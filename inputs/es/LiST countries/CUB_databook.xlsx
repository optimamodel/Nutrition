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531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es\LiST countries\"/>
    </mc:Choice>
  </mc:AlternateContent>
  <xr:revisionPtr revIDLastSave="0" documentId="8_{1D1C4EA3-946D-4973-A5EC-4831E15CC3E7}" xr6:coauthVersionLast="47" xr6:coauthVersionMax="47" xr10:uidLastSave="{00000000-0000-0000-0000-000000000000}"/>
  <bookViews>
    <workbookView xWindow="0" yWindow="3670" windowWidth="19200" windowHeight="653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Pérdida económica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iesgos desenlace de nacimiento" sheetId="21" state="hidden" r:id="rId21"/>
    <sheet name="Riesgos relativos" sheetId="22" state="hidden" r:id="rId22"/>
    <sheet name="Razón de momios" sheetId="23" state="hidden" r:id="rId23"/>
    <sheet name="Resultados de nacimiento- prog" sheetId="24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<sst xmlns="http://schemas.openxmlformats.org/spreadsheetml/2006/main" count="2102" uniqueCount="341">
  <si>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</si>
  <si>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</si>
  <si>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</si>
  <si>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</si>
  <si>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</si>
  <si>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</si>
  <si>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</si>
  <si>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</si>
  <si>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</si>
  <si>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</si>
  <si>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</si>
  <si>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</si>
  <si>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</si>
  <si>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</si>
  <si>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</si>
  <si>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</si>
  <si>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</si>
  <si>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</si>
  <si>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</si>
  <si>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</si>
  <si>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</si>
  <si>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</si>
  <si>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</si>
  <si>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</si>
  <si>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</si>
  <si>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</si>
  <si>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</si>
  <si>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</si>
  <si>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</si>
  <si>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</si>
  <si>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</si>
  <si>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</si>
  <si>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</si>
  <si>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</si>
  <si>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</si>
  <si>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</si>
  <si>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</si>
  <si>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</si>
  <si>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</si>
  <si>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</si>
  <si>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</si>
  <si>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</si>
  <si>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</si>
  <si>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</si>
  <si>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</si>
  <si>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</si>
  <si>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</si>
  <si>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</si>
  <si>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</si>
  <si>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</si>
  <si>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</si>
  <si>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</si>
  <si>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</si>
  <si>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</si>
  <si>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</si>
  <si>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</si>
  <si>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</si>
  <si>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</si>
  <si>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</si>
  <si>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</si>
  <si>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</si>
  <si>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</si>
  <si>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</si>
  <si>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</si>
  <si>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</si>
  <si>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</si>
  <si>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</si>
  <si>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</si>
  <si>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</si>
  <si>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</si>
  <si>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</si>
  <si>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</si>
  <si>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</si>
  <si>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</si>
  <si>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</si>
  <si>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</si>
  <si>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</si>
  <si>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</si>
  <si>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</si>
  <si>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</si>
  <si>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</si>
  <si>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</si>
  <si>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</si>
  <si>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</si>
  <si>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</si>
  <si>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</si>
  <si>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</si>
  <si>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</si>
  <si>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</si>
  <si>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</si>
  <si>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</si>
  <si>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</si>
  <si>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</si>
  <si>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</si>
  <si>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</si>
  <si>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</si>
  <si>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</si>
  <si>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</si>
  <si>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</si>
  <si>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</si>
  <si>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</si>
  <si>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</si>
  <si>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</si>
  <si>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</si>
  <si>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</si>
  <si>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</si>
  <si>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</si>
  <si>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</si>
  <si>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</si>
  <si>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</si>
  <si>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</si>
  <si>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</si>
  <si>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</si>
  <si>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</si>
  <si>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</si>
  <si>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</si>
  <si>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</si>
  <si>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</si>
  <si>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</si>
  <si>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</si>
  <si>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</si>
  <si>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</si>
  <si>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</si>
  <si>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</si>
  <si>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</si>
  <si>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</si>
  <si>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</si>
  <si>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</si>
  <si>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</si>
  <si>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</si>
  <si>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</si>
  <si>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</si>
  <si>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</si>
  <si>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</si>
  <si>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</si>
  <si>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</si>
  <si>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</si>
  <si>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</si>
  <si>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</si>
  <si>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</si>
  <si>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Niño anémico (por año)</t>
  </si>
  <si>
    <t>Mujer embarazada anémica (por embarazo)</t>
  </si>
  <si>
    <t>Muerte del niño</t>
  </si>
  <si>
    <t>Niño que cumple 5 años con retraso en el crecimiento (a lo largo de su vida)</t>
  </si>
  <si>
    <t>Episodio de emaciación infantil</t>
  </si>
  <si>
    <t>Costo</t>
  </si>
  <si>
    <t>Muerte materna</t>
  </si>
  <si>
    <t>Tipo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</si>
  <si>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</si>
  <si>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</si>
  <si>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</si>
  <si>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</si>
  <si>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</si>
  <si>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</si>
  <si>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</si>
  <si>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</si>
  <si>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</si>
  <si>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</si>
  <si>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</si>
  <si>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</si>
  <si>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</si>
  <si>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</si>
  <si>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</si>
  <si>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</si>
  <si>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</si>
  <si>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</si>
  <si>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</si>
  <si>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</si>
  <si>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</si>
  <si>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</si>
  <si>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</si>
  <si>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</si>
  <si>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</si>
  <si>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</si>
  <si>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</si>
  <si>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</si>
  <si>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</si>
  <si>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</si>
  <si>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</si>
  <si>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</si>
  <si>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</si>
  <si>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</si>
  <si>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</si>
  <si>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</si>
  <si>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</si>
  <si>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</si>
  <si>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</si>
  <si>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</si>
  <si>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</si>
  <si>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</si>
  <si>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</si>
  <si>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</si>
  <si>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</si>
  <si>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</si>
  <si>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</si>
  <si>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</si>
  <si>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</si>
  <si>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</si>
  <si>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</si>
  <si>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</si>
  <si>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</si>
  <si>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</si>
  <si>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</si>
  <si>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</si>
  <si>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</si>
  <si>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</si>
  <si>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</si>
  <si>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</si>
  <si>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</si>
  <si>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</si>
  <si>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</si>
  <si>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</si>
  <si>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</si>
  <si>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</si>
  <si>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</si>
  <si>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</si>
  <si>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</si>
  <si>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</si>
  <si>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</si>
  <si>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</si>
  <si>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</si>
  <si>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</si>
  <si>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</si>
  <si>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</si>
  <si>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</si>
  <si>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</si>
  <si>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</si>
  <si>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</si>
  <si>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</si>
  <si>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</si>
  <si>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</si>
  <si>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</si>
  <si>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</si>
  <si>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</si>
  <si>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</si>
  <si>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</si>
  <si>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</si>
  <si>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</si>
  <si>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</si>
  <si>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</si>
  <si>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</si>
  <si>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</si>
  <si>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</si>
  <si>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</si>
  <si>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</si>
  <si>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</si>
  <si>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</si>
  <si>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</si>
  <si>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</si>
  <si>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</si>
  <si>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</si>
  <si>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</si>
  <si>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</si>
  <si>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</si>
  <si>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</si>
  <si>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</si>
  <si>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</si>
  <si>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</si>
  <si>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</si>
  <si>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</si>
  <si>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</si>
  <si>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</si>
  <si>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</si>
  <si>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</si>
  <si>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</si>
  <si>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</si>
  <si>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</si>
  <si>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</si>
  <si>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</si>
  <si>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</si>
  <si>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</si>
  <si>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</si>
  <si>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</si>
  <si>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</si>
  <si>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</si>
  <si>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</si>
  <si>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</si>
  <si>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</si>
  <si>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</si>
  <si>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</si>
  <si>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</si>
  <si>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</si>
  <si>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Emaciación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</si>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</sst>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19</v>
      </c>
      <c r="B1" s="29" t="s">
        <v>0</v>
      </c>
      <c r="C1" s="29" t="s">
        <v>24</v>
      </c>
    </row>
    <row r="2" spans="1:3" ht="15.9" customHeight="1" x14ac:dyDescent="0.3">
      <c r="A2" s="8" t="s">
        <v>55</v>
      </c>
      <c r="B2" s="29"/>
      <c r="C2" s="29"/>
    </row>
    <row r="3" spans="1:3" ht="15.9" customHeight="1" x14ac:dyDescent="0.3">
      <c r="A3" s="1"/>
      <c r="B3" s="5" t="s">
        <v>18</v>
      </c>
      <c r="C3" s="41">
        <v>2024</v>
      </c>
    </row>
    <row r="4" spans="1:3" ht="15.9" customHeight="1" x14ac:dyDescent="0.3">
      <c r="A4" s="1"/>
      <c r="B4" s="5" t="s">
        <v>26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50</v>
      </c>
    </row>
    <row r="7" spans="1:3" ht="15" customHeight="1" x14ac:dyDescent="0.25">
      <c r="B7" s="11" t="s">
        <v>23</v>
      </c>
      <c r="C7" s="43">
        <v>498418.4453125</v>
      </c>
    </row>
    <row r="8" spans="1:3" ht="15" customHeight="1" x14ac:dyDescent="0.25">
      <c r="B8" s="5" t="s">
        <v>44</v>
      </c>
      <c r="C8" s="44">
        <v>1.4999999999999999E-2</v>
      </c>
    </row>
    <row r="9" spans="1:3" ht="15" customHeight="1" x14ac:dyDescent="0.25">
      <c r="B9" s="5" t="s">
        <v>43</v>
      </c>
      <c r="C9" s="45">
        <v>0.01</v>
      </c>
    </row>
    <row r="10" spans="1:3" ht="15" customHeight="1" x14ac:dyDescent="0.25">
      <c r="B10" s="5" t="s">
        <v>56</v>
      </c>
      <c r="C10" s="45">
        <v>0.89261077880859407</v>
      </c>
    </row>
    <row r="11" spans="1:3" ht="15" customHeight="1" x14ac:dyDescent="0.25">
      <c r="B11" s="5" t="s">
        <v>49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62</v>
      </c>
      <c r="C13" s="45">
        <v>0.11600000000000001</v>
      </c>
    </row>
    <row r="14" spans="1:3" ht="15" customHeight="1" x14ac:dyDescent="0.25">
      <c r="B14" s="8"/>
    </row>
    <row r="15" spans="1:3" ht="15" customHeight="1" x14ac:dyDescent="0.3">
      <c r="A15" s="8" t="s">
        <v>28</v>
      </c>
      <c r="B15" s="14"/>
      <c r="C15" s="3"/>
    </row>
    <row r="16" spans="1:3" ht="15" customHeight="1" x14ac:dyDescent="0.25">
      <c r="B16" s="5" t="s">
        <v>33</v>
      </c>
      <c r="C16" s="45">
        <v>0.1</v>
      </c>
    </row>
    <row r="17" spans="1:3" ht="15" customHeight="1" x14ac:dyDescent="0.25">
      <c r="B17" s="5" t="s">
        <v>30</v>
      </c>
      <c r="C17" s="45">
        <v>0.01</v>
      </c>
    </row>
    <row r="18" spans="1:3" ht="15" customHeight="1" x14ac:dyDescent="0.25">
      <c r="B18" s="5" t="s">
        <v>31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34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12</v>
      </c>
    </row>
    <row r="23" spans="1:3" ht="15" customHeight="1" x14ac:dyDescent="0.25">
      <c r="B23" s="15" t="s">
        <v>45</v>
      </c>
      <c r="C23" s="45">
        <v>0.13220000000000001</v>
      </c>
    </row>
    <row r="24" spans="1:3" ht="15" customHeight="1" x14ac:dyDescent="0.25">
      <c r="B24" s="15" t="s">
        <v>46</v>
      </c>
      <c r="C24" s="45">
        <v>0.57689999999999997</v>
      </c>
    </row>
    <row r="25" spans="1:3" ht="15" customHeight="1" x14ac:dyDescent="0.25">
      <c r="B25" s="15" t="s">
        <v>47</v>
      </c>
      <c r="C25" s="45">
        <v>0.27529999999999999</v>
      </c>
    </row>
    <row r="26" spans="1:3" ht="15" customHeight="1" x14ac:dyDescent="0.25">
      <c r="B26" s="15" t="s">
        <v>48</v>
      </c>
      <c r="C26" s="45">
        <v>1.5599999999999999E-2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22</v>
      </c>
      <c r="B28" s="15"/>
      <c r="C28" s="15"/>
    </row>
    <row r="29" spans="1:3" ht="14.25" customHeight="1" x14ac:dyDescent="0.25">
      <c r="B29" s="25" t="s">
        <v>27</v>
      </c>
      <c r="C29" s="45">
        <v>0.38027698235904311</v>
      </c>
    </row>
    <row r="30" spans="1:3" ht="14.25" customHeight="1" x14ac:dyDescent="0.25">
      <c r="B30" s="25" t="s">
        <v>63</v>
      </c>
      <c r="C30" s="99">
        <v>5.4660418264349912E-2</v>
      </c>
    </row>
    <row r="31" spans="1:3" ht="14.25" customHeight="1" x14ac:dyDescent="0.25">
      <c r="B31" s="25" t="s">
        <v>10</v>
      </c>
      <c r="C31" s="99">
        <v>6.1967733026657798E-2</v>
      </c>
    </row>
    <row r="32" spans="1:3" ht="14.25" customHeight="1" x14ac:dyDescent="0.25">
      <c r="B32" s="25" t="s">
        <v>11</v>
      </c>
      <c r="C32" s="99">
        <v>0.50309486634994893</v>
      </c>
    </row>
    <row r="33" spans="1:5" ht="13" customHeight="1" x14ac:dyDescent="0.25">
      <c r="B33" s="27" t="s">
        <v>60</v>
      </c>
      <c r="C33" s="48">
        <f>SUM(C29:C32)</f>
        <v>0.99999999999999978</v>
      </c>
    </row>
    <row r="34" spans="1:5" ht="15" customHeight="1" x14ac:dyDescent="0.25"/>
    <row r="35" spans="1:5" ht="15" customHeight="1" x14ac:dyDescent="0.3">
      <c r="A35" s="4" t="s">
        <v>20</v>
      </c>
    </row>
    <row r="36" spans="1:5" ht="15" customHeight="1" x14ac:dyDescent="0.25">
      <c r="A36" s="8" t="s">
        <v>37</v>
      </c>
      <c r="B36" s="5"/>
    </row>
    <row r="37" spans="1:5" ht="15" customHeight="1" x14ac:dyDescent="0.25">
      <c r="B37" s="11" t="s">
        <v>38</v>
      </c>
      <c r="C37" s="43">
        <v>2.3803999999999998</v>
      </c>
    </row>
    <row r="38" spans="1:5" ht="15" customHeight="1" x14ac:dyDescent="0.25">
      <c r="B38" s="11" t="s">
        <v>35</v>
      </c>
      <c r="C38" s="43">
        <v>3.9929299999999999</v>
      </c>
      <c r="D38" s="12"/>
      <c r="E38" s="13"/>
    </row>
    <row r="39" spans="1:5" ht="15" customHeight="1" x14ac:dyDescent="0.25">
      <c r="B39" s="11" t="s">
        <v>61</v>
      </c>
      <c r="C39" s="43">
        <v>5.0016400000000001</v>
      </c>
      <c r="D39" s="12"/>
      <c r="E39" s="12"/>
    </row>
    <row r="40" spans="1:5" ht="15" customHeight="1" x14ac:dyDescent="0.25">
      <c r="B40" s="11" t="s">
        <v>36</v>
      </c>
      <c r="C40" s="100">
        <v>0.39</v>
      </c>
    </row>
    <row r="41" spans="1:5" ht="15" customHeight="1" x14ac:dyDescent="0.25">
      <c r="B41" s="11" t="s">
        <v>32</v>
      </c>
      <c r="C41" s="45">
        <v>0.12</v>
      </c>
    </row>
    <row r="42" spans="1:5" ht="15" customHeight="1" x14ac:dyDescent="0.25">
      <c r="B42" s="11" t="s">
        <v>57</v>
      </c>
      <c r="C42" s="43">
        <v>6.9491399999999999</v>
      </c>
    </row>
    <row r="43" spans="1:5" ht="15.75" customHeight="1" x14ac:dyDescent="0.25">
      <c r="D43" s="12"/>
    </row>
    <row r="44" spans="1:5" ht="15.75" customHeight="1" x14ac:dyDescent="0.25">
      <c r="A44" s="8" t="s">
        <v>21</v>
      </c>
      <c r="D44" s="12"/>
    </row>
    <row r="45" spans="1:5" ht="15.75" customHeight="1" x14ac:dyDescent="0.25">
      <c r="B45" s="11" t="s">
        <v>52</v>
      </c>
      <c r="C45" s="45">
        <v>5.0914999999999997E-3</v>
      </c>
      <c r="D45" s="12"/>
    </row>
    <row r="46" spans="1:5" ht="15.75" customHeight="1" x14ac:dyDescent="0.25">
      <c r="B46" s="11" t="s">
        <v>51</v>
      </c>
      <c r="C46" s="45">
        <v>5.4706900000000003E-2</v>
      </c>
      <c r="D46" s="12"/>
    </row>
    <row r="47" spans="1:5" ht="15.75" customHeight="1" x14ac:dyDescent="0.25">
      <c r="B47" s="11" t="s">
        <v>59</v>
      </c>
      <c r="C47" s="45">
        <v>7.6159900000000003E-2</v>
      </c>
      <c r="D47" s="12"/>
      <c r="E47" s="13"/>
    </row>
    <row r="48" spans="1:5" ht="15" customHeight="1" x14ac:dyDescent="0.25">
      <c r="B48" s="11" t="s">
        <v>58</v>
      </c>
      <c r="C48" s="46">
        <v>0.86404169999999991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25</v>
      </c>
      <c r="D50" s="12"/>
    </row>
    <row r="51" spans="1:4" ht="15.75" customHeight="1" x14ac:dyDescent="0.25">
      <c r="B51" s="11" t="s">
        <v>17</v>
      </c>
      <c r="C51" s="100">
        <v>3.2</v>
      </c>
      <c r="D51" s="12"/>
    </row>
    <row r="52" spans="1:4" ht="15" customHeight="1" x14ac:dyDescent="0.25">
      <c r="B52" s="11" t="s">
        <v>13</v>
      </c>
      <c r="C52" s="100">
        <v>3.2</v>
      </c>
    </row>
    <row r="53" spans="1:4" ht="15.75" customHeight="1" x14ac:dyDescent="0.25">
      <c r="B53" s="11" t="s">
        <v>16</v>
      </c>
      <c r="C53" s="100">
        <v>3.2</v>
      </c>
    </row>
    <row r="54" spans="1:4" ht="15.75" customHeight="1" x14ac:dyDescent="0.25">
      <c r="B54" s="11" t="s">
        <v>14</v>
      </c>
      <c r="C54" s="100">
        <v>3.2</v>
      </c>
    </row>
    <row r="55" spans="1:4" ht="15.75" customHeight="1" x14ac:dyDescent="0.25">
      <c r="B55" s="11" t="s">
        <v>15</v>
      </c>
      <c r="C55" s="100">
        <v>3.2</v>
      </c>
    </row>
    <row r="57" spans="1:4" ht="15.75" customHeight="1" x14ac:dyDescent="0.25">
      <c r="A57" s="8" t="s">
        <v>39</v>
      </c>
    </row>
    <row r="58" spans="1:4" ht="15.75" customHeight="1" x14ac:dyDescent="0.25">
      <c r="B58" s="5" t="s">
        <v>42</v>
      </c>
      <c r="C58" s="45">
        <v>1.9375E-2</v>
      </c>
    </row>
    <row r="59" spans="1:4" ht="15.75" customHeight="1" x14ac:dyDescent="0.25">
      <c r="B59" s="11" t="s">
        <v>40</v>
      </c>
      <c r="C59" s="45">
        <v>0.57630200000000009</v>
      </c>
    </row>
    <row r="60" spans="1:4" ht="15.75" customHeight="1" x14ac:dyDescent="0.25">
      <c r="B60" s="11" t="s">
        <v>54</v>
      </c>
      <c r="C60" s="45">
        <v>4.5999999999999999E-2</v>
      </c>
    </row>
    <row r="61" spans="1:4" ht="15.75" customHeight="1" x14ac:dyDescent="0.25">
      <c r="B61" s="11" t="s">
        <v>53</v>
      </c>
      <c r="C61" s="45">
        <v>1.4E-2</v>
      </c>
    </row>
    <row r="62" spans="1:4" ht="15.75" customHeight="1" x14ac:dyDescent="0.25">
      <c r="B62" s="11" t="s">
        <v>64</v>
      </c>
      <c r="C62" s="44">
        <v>5.26355739999999E-2</v>
      </c>
    </row>
    <row r="63" spans="1:4" ht="15.75" customHeight="1" x14ac:dyDescent="0.3">
      <c r="A63" s="4"/>
    </row>
  </sheetData>
  <sheetProtection algorithmName="SHA-512" hashValue="2Hj0GZh2ppTArVWye95/3Qlg27x5NzkuIUEZk29hnvKDiLFiz/K3h1a5gZZpVvutnVp9ahlp5vOTJQv2fHpsuw==" saltValue="3J+HFc7WkUt6OVDsE6kI0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73</v>
      </c>
      <c r="B1" s="20" t="s">
        <v>66</v>
      </c>
      <c r="C1" s="18" t="s">
        <v>68</v>
      </c>
      <c r="D1" s="18" t="s">
        <v>69</v>
      </c>
      <c r="E1" s="18" t="s">
        <v>70</v>
      </c>
      <c r="F1" s="18" t="s">
        <v>71</v>
      </c>
      <c r="G1" s="18" t="s">
        <v>67</v>
      </c>
      <c r="H1" s="18" t="s">
        <v>65</v>
      </c>
      <c r="I1" s="18" t="s">
        <v>72</v>
      </c>
    </row>
    <row r="2" spans="1:9" ht="15.75" customHeight="1" x14ac:dyDescent="0.25">
      <c r="A2" s="5">
        <f>start_year</f>
        <v>2024</v>
      </c>
      <c r="B2" s="49">
        <v>97775</v>
      </c>
      <c r="C2" s="49">
        <v>346620</v>
      </c>
      <c r="D2" s="49">
        <v>666463.5</v>
      </c>
      <c r="E2" s="49">
        <v>752266.5</v>
      </c>
      <c r="F2" s="49">
        <v>600503</v>
      </c>
      <c r="G2" s="17">
        <f t="shared" ref="G2:G13" si="0">C2+D2+E2+F2</f>
        <v>2365853</v>
      </c>
      <c r="H2" s="17">
        <f t="shared" ref="H2:H13" si="1">(B2 + stillbirth*B2/(1000-stillbirth))/(1-abortion)</f>
        <v>111885.46228685058</v>
      </c>
      <c r="I2" s="17">
        <f t="shared" ref="I2:I13" si="2">G2-H2</f>
        <v>2253967.5377131496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97031</v>
      </c>
      <c r="C3" s="50">
        <v>350582.5</v>
      </c>
      <c r="D3" s="50">
        <v>656831.5</v>
      </c>
      <c r="E3" s="50">
        <v>744271</v>
      </c>
      <c r="F3" s="50">
        <v>588141</v>
      </c>
      <c r="G3" s="17">
        <f t="shared" si="0"/>
        <v>2339826</v>
      </c>
      <c r="H3" s="17">
        <f t="shared" si="1"/>
        <v>111034.09144623268</v>
      </c>
      <c r="I3" s="17">
        <f t="shared" si="2"/>
        <v>2228791.9085537675</v>
      </c>
    </row>
    <row r="4" spans="1:9" ht="15.75" customHeight="1" x14ac:dyDescent="0.25">
      <c r="A4" s="5">
        <f t="shared" si="3"/>
        <v>2026</v>
      </c>
      <c r="B4" s="49">
        <v>96330</v>
      </c>
      <c r="C4" s="50">
        <v>356295.5</v>
      </c>
      <c r="D4" s="50">
        <v>644317.5</v>
      </c>
      <c r="E4" s="50">
        <v>735001.49999999988</v>
      </c>
      <c r="F4" s="50">
        <v>583055.5</v>
      </c>
      <c r="G4" s="17">
        <f t="shared" si="0"/>
        <v>2318670</v>
      </c>
      <c r="H4" s="17">
        <f t="shared" si="1"/>
        <v>110231.9261783924</v>
      </c>
      <c r="I4" s="17">
        <f t="shared" si="2"/>
        <v>2208438.0738216075</v>
      </c>
    </row>
    <row r="5" spans="1:9" ht="15.75" customHeight="1" x14ac:dyDescent="0.25">
      <c r="A5" s="5">
        <f t="shared" si="3"/>
        <v>2027</v>
      </c>
      <c r="B5" s="49">
        <v>95687</v>
      </c>
      <c r="C5" s="50">
        <v>360816.00000000012</v>
      </c>
      <c r="D5" s="50">
        <v>630846.5</v>
      </c>
      <c r="E5" s="50">
        <v>725983.5</v>
      </c>
      <c r="F5" s="50">
        <v>585756.5</v>
      </c>
      <c r="G5" s="17">
        <f t="shared" si="0"/>
        <v>2303402.5</v>
      </c>
      <c r="H5" s="17">
        <f t="shared" si="1"/>
        <v>109496.13121801967</v>
      </c>
      <c r="I5" s="17">
        <f t="shared" si="2"/>
        <v>2193906.3687819801</v>
      </c>
    </row>
    <row r="6" spans="1:9" ht="15.75" customHeight="1" x14ac:dyDescent="0.25">
      <c r="A6" s="5">
        <f t="shared" si="3"/>
        <v>2028</v>
      </c>
      <c r="B6" s="49">
        <v>95122</v>
      </c>
      <c r="C6" s="50">
        <v>362814</v>
      </c>
      <c r="D6" s="50">
        <v>618333</v>
      </c>
      <c r="E6" s="50">
        <v>714739</v>
      </c>
      <c r="F6" s="50">
        <v>596077.5</v>
      </c>
      <c r="G6" s="17">
        <f t="shared" si="0"/>
        <v>2291963.5</v>
      </c>
      <c r="H6" s="17">
        <f t="shared" si="1"/>
        <v>108849.59287803428</v>
      </c>
      <c r="I6" s="17">
        <f t="shared" si="2"/>
        <v>2183113.9071219657</v>
      </c>
    </row>
    <row r="7" spans="1:9" ht="15.75" customHeight="1" x14ac:dyDescent="0.25">
      <c r="A7" s="5">
        <f t="shared" si="3"/>
        <v>2029</v>
      </c>
      <c r="B7" s="49">
        <v>94781</v>
      </c>
      <c r="C7" s="50">
        <v>362026.50000000012</v>
      </c>
      <c r="D7" s="50">
        <v>607909.5</v>
      </c>
      <c r="E7" s="50">
        <v>700785</v>
      </c>
      <c r="F7" s="50">
        <v>613532.5</v>
      </c>
      <c r="G7" s="17">
        <f t="shared" si="0"/>
        <v>2284253.5</v>
      </c>
      <c r="H7" s="17">
        <f t="shared" si="1"/>
        <v>108459.38124275106</v>
      </c>
      <c r="I7" s="17">
        <f t="shared" si="2"/>
        <v>2175794.1187572489</v>
      </c>
    </row>
    <row r="8" spans="1:9" ht="15.75" customHeight="1" x14ac:dyDescent="0.25">
      <c r="A8" s="5">
        <f t="shared" si="3"/>
        <v>2030</v>
      </c>
      <c r="B8" s="49">
        <v>94300</v>
      </c>
      <c r="C8" s="50">
        <v>358105.5</v>
      </c>
      <c r="D8" s="50">
        <v>599535.5</v>
      </c>
      <c r="E8" s="50">
        <v>686688.99999999988</v>
      </c>
      <c r="F8" s="50">
        <v>635877</v>
      </c>
      <c r="G8" s="17">
        <f t="shared" si="0"/>
        <v>2280207</v>
      </c>
      <c r="H8" s="17">
        <f t="shared" si="1"/>
        <v>107908.965417029</v>
      </c>
      <c r="I8" s="17">
        <f t="shared" si="2"/>
        <v>2172298.0345829711</v>
      </c>
    </row>
    <row r="9" spans="1:9" ht="15.75" customHeight="1" x14ac:dyDescent="0.25">
      <c r="A9" s="5">
        <f t="shared" si="3"/>
        <v>2031</v>
      </c>
      <c r="B9" s="49">
        <v>93634</v>
      </c>
      <c r="C9" s="50">
        <v>350802.5</v>
      </c>
      <c r="D9" s="50">
        <v>593356.5</v>
      </c>
      <c r="E9" s="50">
        <v>675030</v>
      </c>
      <c r="F9" s="50">
        <v>658392</v>
      </c>
      <c r="G9" s="17">
        <f t="shared" si="0"/>
        <v>2277581</v>
      </c>
      <c r="H9" s="17">
        <f t="shared" si="1"/>
        <v>107146.85119679844</v>
      </c>
      <c r="I9" s="17">
        <f t="shared" si="2"/>
        <v>2170434.1488032015</v>
      </c>
    </row>
    <row r="10" spans="1:9" ht="15.75" customHeight="1" x14ac:dyDescent="0.25">
      <c r="A10" s="5">
        <f t="shared" si="3"/>
        <v>2032</v>
      </c>
      <c r="B10" s="49">
        <v>92958</v>
      </c>
      <c r="C10" s="50">
        <v>344431</v>
      </c>
      <c r="D10" s="50">
        <v>587664.5</v>
      </c>
      <c r="E10" s="50">
        <v>666920</v>
      </c>
      <c r="F10" s="50">
        <v>672701.5</v>
      </c>
      <c r="G10" s="17">
        <f t="shared" si="0"/>
        <v>2271717</v>
      </c>
      <c r="H10" s="17">
        <f t="shared" si="1"/>
        <v>106373.29382010797</v>
      </c>
      <c r="I10" s="17">
        <f t="shared" si="2"/>
        <v>2165343.7061798922</v>
      </c>
    </row>
    <row r="11" spans="1:9" ht="15.75" customHeight="1" x14ac:dyDescent="0.25">
      <c r="A11" s="5">
        <f t="shared" si="3"/>
        <v>2033</v>
      </c>
      <c r="B11" s="49">
        <v>92924</v>
      </c>
      <c r="C11" s="50">
        <v>338617.5</v>
      </c>
      <c r="D11" s="50">
        <v>582312</v>
      </c>
      <c r="E11" s="50">
        <v>660774.99999999988</v>
      </c>
      <c r="F11" s="50">
        <v>676477.5</v>
      </c>
      <c r="G11" s="17">
        <f t="shared" si="0"/>
        <v>2258182</v>
      </c>
      <c r="H11" s="17">
        <f t="shared" si="1"/>
        <v>106334.38708814426</v>
      </c>
      <c r="I11" s="17">
        <f t="shared" si="2"/>
        <v>2151847.6129118558</v>
      </c>
    </row>
    <row r="12" spans="1:9" ht="15.75" customHeight="1" x14ac:dyDescent="0.25">
      <c r="A12" s="5">
        <f t="shared" si="3"/>
        <v>2034</v>
      </c>
      <c r="B12" s="49">
        <v>92277</v>
      </c>
      <c r="C12" s="50">
        <v>330937</v>
      </c>
      <c r="D12" s="50">
        <v>579270</v>
      </c>
      <c r="E12" s="50">
        <v>654086.5</v>
      </c>
      <c r="F12" s="50">
        <v>674362</v>
      </c>
      <c r="G12" s="17">
        <f t="shared" si="0"/>
        <v>2238655.5</v>
      </c>
      <c r="H12" s="17">
        <f t="shared" si="1"/>
        <v>105594.01486518754</v>
      </c>
      <c r="I12" s="17">
        <f t="shared" si="2"/>
        <v>2133061.4851348125</v>
      </c>
    </row>
    <row r="13" spans="1:9" ht="15.75" customHeight="1" x14ac:dyDescent="0.25">
      <c r="A13" s="5">
        <f t="shared" si="3"/>
        <v>2035</v>
      </c>
      <c r="B13" s="49">
        <v>91851</v>
      </c>
      <c r="C13" s="50">
        <v>321300.5</v>
      </c>
      <c r="D13" s="50">
        <v>579461.5</v>
      </c>
      <c r="E13" s="50">
        <v>644542</v>
      </c>
      <c r="F13" s="50">
        <v>667265.5</v>
      </c>
      <c r="G13" s="17">
        <f t="shared" si="0"/>
        <v>2212569.5</v>
      </c>
      <c r="H13" s="17">
        <f t="shared" si="1"/>
        <v>105106.53639999502</v>
      </c>
      <c r="I13" s="17">
        <f t="shared" si="2"/>
        <v>2107462.963600005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EcIzkiVoZPpjgpIq07VYfeGrAy4LFNP/IqL2zH9KZ9phXh1t0n4/QcoRIr20UsxcdR6ZpEeeVs+F4DjegunntQ==" saltValue="X3FG9Pc5G3PdqO9KxkYIw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82</v>
      </c>
      <c r="C2" s="29" t="s">
        <v>78</v>
      </c>
      <c r="D2" s="29"/>
      <c r="E2" s="29"/>
      <c r="F2" s="29"/>
      <c r="G2" s="29"/>
    </row>
    <row r="3" spans="1:8" ht="15.75" customHeight="1" x14ac:dyDescent="0.25">
      <c r="B3" s="19" t="s">
        <v>93</v>
      </c>
      <c r="C3" s="55">
        <v>0</v>
      </c>
    </row>
    <row r="4" spans="1:8" ht="15.75" customHeight="1" x14ac:dyDescent="0.25">
      <c r="B4" s="19" t="s">
        <v>97</v>
      </c>
      <c r="C4" s="101">
        <v>0.1140902</v>
      </c>
    </row>
    <row r="5" spans="1:8" ht="15.75" customHeight="1" x14ac:dyDescent="0.25">
      <c r="B5" s="19" t="s">
        <v>95</v>
      </c>
      <c r="C5" s="101">
        <v>0.1053632</v>
      </c>
    </row>
    <row r="6" spans="1:8" ht="15.75" customHeight="1" x14ac:dyDescent="0.25">
      <c r="B6" s="19" t="s">
        <v>91</v>
      </c>
      <c r="C6" s="101">
        <v>0.1239611999999998</v>
      </c>
    </row>
    <row r="7" spans="1:8" ht="15.75" customHeight="1" x14ac:dyDescent="0.25">
      <c r="B7" s="19" t="s">
        <v>96</v>
      </c>
      <c r="C7" s="101">
        <v>0.33435490000000018</v>
      </c>
    </row>
    <row r="8" spans="1:8" ht="15.75" customHeight="1" x14ac:dyDescent="0.25">
      <c r="B8" s="19" t="s">
        <v>98</v>
      </c>
      <c r="C8" s="101">
        <v>0</v>
      </c>
    </row>
    <row r="9" spans="1:8" ht="15.75" customHeight="1" x14ac:dyDescent="0.25">
      <c r="B9" s="19" t="s">
        <v>92</v>
      </c>
      <c r="C9" s="101">
        <v>0.18478</v>
      </c>
    </row>
    <row r="10" spans="1:8" ht="15.75" customHeight="1" x14ac:dyDescent="0.25">
      <c r="B10" s="19" t="s">
        <v>94</v>
      </c>
      <c r="C10" s="101">
        <v>0.13745049999999989</v>
      </c>
    </row>
    <row r="11" spans="1:8" ht="15.75" customHeight="1" x14ac:dyDescent="0.25">
      <c r="B11" s="27" t="s">
        <v>60</v>
      </c>
      <c r="C11" s="48">
        <f>SUM(C3:C10)</f>
        <v>0.99999999999999978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83</v>
      </c>
      <c r="B13" s="29" t="s">
        <v>82</v>
      </c>
      <c r="C13" s="102" t="s">
        <v>74</v>
      </c>
      <c r="D13" s="102" t="s">
        <v>77</v>
      </c>
      <c r="E13" s="102" t="s">
        <v>75</v>
      </c>
      <c r="F13" s="102" t="s">
        <v>76</v>
      </c>
      <c r="G13" s="19"/>
    </row>
    <row r="14" spans="1:8" ht="15.75" customHeight="1" x14ac:dyDescent="0.25">
      <c r="B14" s="19" t="s">
        <v>84</v>
      </c>
      <c r="C14" s="55">
        <v>3.8033273814434908E-2</v>
      </c>
      <c r="D14" s="55">
        <v>3.8033273814434908E-2</v>
      </c>
      <c r="E14" s="55">
        <v>3.8033273814434908E-2</v>
      </c>
      <c r="F14" s="55">
        <v>3.8033273814434908E-2</v>
      </c>
    </row>
    <row r="15" spans="1:8" ht="15.75" customHeight="1" x14ac:dyDescent="0.25">
      <c r="B15" s="19" t="s">
        <v>102</v>
      </c>
      <c r="C15" s="101">
        <v>0.281737931796603</v>
      </c>
      <c r="D15" s="101">
        <v>0.281737931796603</v>
      </c>
      <c r="E15" s="101">
        <v>0.281737931796603</v>
      </c>
      <c r="F15" s="101">
        <v>0.281737931796603</v>
      </c>
    </row>
    <row r="16" spans="1:8" ht="15.75" customHeight="1" x14ac:dyDescent="0.25">
      <c r="B16" s="19" t="s">
        <v>2</v>
      </c>
      <c r="C16" s="101">
        <v>9.9135393561145146E-2</v>
      </c>
      <c r="D16" s="101">
        <v>9.9135393561145146E-2</v>
      </c>
      <c r="E16" s="101">
        <v>9.9135393561145146E-2</v>
      </c>
      <c r="F16" s="101">
        <v>9.9135393561145146E-2</v>
      </c>
    </row>
    <row r="17" spans="1:8" ht="15.75" customHeight="1" x14ac:dyDescent="0.25">
      <c r="B17" s="19" t="s">
        <v>90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3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101</v>
      </c>
      <c r="C19" s="101">
        <v>9.0770348326293812E-2</v>
      </c>
      <c r="D19" s="101">
        <v>9.0770348326293812E-2</v>
      </c>
      <c r="E19" s="101">
        <v>9.0770348326293812E-2</v>
      </c>
      <c r="F19" s="101">
        <v>9.0770348326293812E-2</v>
      </c>
    </row>
    <row r="20" spans="1:8" ht="15.75" customHeight="1" x14ac:dyDescent="0.25">
      <c r="B20" s="19" t="s">
        <v>79</v>
      </c>
      <c r="C20" s="101">
        <v>0.1381062373663336</v>
      </c>
      <c r="D20" s="101">
        <v>0.1381062373663336</v>
      </c>
      <c r="E20" s="101">
        <v>0.1381062373663336</v>
      </c>
      <c r="F20" s="101">
        <v>0.1381062373663336</v>
      </c>
    </row>
    <row r="21" spans="1:8" ht="15.75" customHeight="1" x14ac:dyDescent="0.25">
      <c r="B21" s="19" t="s">
        <v>88</v>
      </c>
      <c r="C21" s="101">
        <v>0.26144625539141192</v>
      </c>
      <c r="D21" s="101">
        <v>0.26144625539141192</v>
      </c>
      <c r="E21" s="101">
        <v>0.26144625539141192</v>
      </c>
      <c r="F21" s="101">
        <v>0.26144625539141192</v>
      </c>
    </row>
    <row r="22" spans="1:8" ht="15.75" customHeight="1" x14ac:dyDescent="0.25">
      <c r="B22" s="19" t="s">
        <v>99</v>
      </c>
      <c r="C22" s="101">
        <v>9.0770559743777526E-2</v>
      </c>
      <c r="D22" s="101">
        <v>9.0770559743777526E-2</v>
      </c>
      <c r="E22" s="101">
        <v>9.0770559743777526E-2</v>
      </c>
      <c r="F22" s="101">
        <v>9.0770559743777526E-2</v>
      </c>
    </row>
    <row r="23" spans="1:8" ht="15.75" customHeight="1" x14ac:dyDescent="0.25">
      <c r="B23" s="27" t="s">
        <v>60</v>
      </c>
      <c r="C23" s="48">
        <f>SUM(C14:C22)</f>
        <v>0.99999999999999978</v>
      </c>
      <c r="D23" s="48">
        <f>SUM(D14:D22)</f>
        <v>0.99999999999999978</v>
      </c>
      <c r="E23" s="48">
        <f>SUM(E14:E22)</f>
        <v>0.99999999999999978</v>
      </c>
      <c r="F23" s="48">
        <f>SUM(F14:F22)</f>
        <v>0.99999999999999978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104</v>
      </c>
      <c r="B25" s="29" t="s">
        <v>82</v>
      </c>
      <c r="C25" s="29" t="s">
        <v>104</v>
      </c>
      <c r="D25" s="19"/>
      <c r="E25" s="19"/>
      <c r="F25" s="19"/>
      <c r="G25" s="19"/>
      <c r="H25" s="19"/>
    </row>
    <row r="26" spans="1:8" ht="15.75" customHeight="1" x14ac:dyDescent="0.25">
      <c r="B26" s="19" t="s">
        <v>81</v>
      </c>
      <c r="C26" s="55">
        <v>2.9679839999999999E-2</v>
      </c>
    </row>
    <row r="27" spans="1:8" ht="15.75" customHeight="1" x14ac:dyDescent="0.25">
      <c r="B27" s="19" t="s">
        <v>89</v>
      </c>
      <c r="C27" s="101">
        <v>2.1739139000000001E-2</v>
      </c>
    </row>
    <row r="28" spans="1:8" ht="15.75" customHeight="1" x14ac:dyDescent="0.25">
      <c r="B28" s="19" t="s">
        <v>103</v>
      </c>
      <c r="C28" s="101">
        <v>0.105935959</v>
      </c>
    </row>
    <row r="29" spans="1:8" ht="15.75" customHeight="1" x14ac:dyDescent="0.25">
      <c r="B29" s="19" t="s">
        <v>86</v>
      </c>
      <c r="C29" s="101">
        <v>0.11928900100000001</v>
      </c>
    </row>
    <row r="30" spans="1:8" ht="15.75" customHeight="1" x14ac:dyDescent="0.25">
      <c r="B30" s="19" t="s">
        <v>4</v>
      </c>
      <c r="C30" s="101">
        <v>5.9336512000000001E-2</v>
      </c>
    </row>
    <row r="31" spans="1:8" ht="15.75" customHeight="1" x14ac:dyDescent="0.25">
      <c r="B31" s="19" t="s">
        <v>80</v>
      </c>
      <c r="C31" s="101">
        <v>0.21511585599999999</v>
      </c>
    </row>
    <row r="32" spans="1:8" ht="15.75" customHeight="1" x14ac:dyDescent="0.25">
      <c r="B32" s="19" t="s">
        <v>85</v>
      </c>
      <c r="C32" s="101">
        <v>9.6009434000000005E-2</v>
      </c>
    </row>
    <row r="33" spans="2:3" ht="15.75" customHeight="1" x14ac:dyDescent="0.25">
      <c r="B33" s="19" t="s">
        <v>100</v>
      </c>
      <c r="C33" s="101">
        <v>7.9330116000000006E-2</v>
      </c>
    </row>
    <row r="34" spans="2:3" ht="15.75" customHeight="1" x14ac:dyDescent="0.25">
      <c r="B34" s="19" t="s">
        <v>87</v>
      </c>
      <c r="C34" s="101">
        <v>0.27356414400000001</v>
      </c>
    </row>
    <row r="35" spans="2:3" ht="15.75" customHeight="1" x14ac:dyDescent="0.25">
      <c r="B35" s="27" t="s">
        <v>60</v>
      </c>
      <c r="C35" s="48">
        <f>SUM(C26:C34)</f>
        <v>1.0000000010000001</v>
      </c>
    </row>
  </sheetData>
  <sheetProtection algorithmName="SHA-512" hashValue="hE6CCIgHe9bC6Rwx1znDDpjh1C5RhTW5ZwzfvcXWMNSpG4JkTOYGZwm8cXhoZb3k25dxHIghrN4au9R+7o3PWA==" saltValue="sPNebq1p20HKxiH+Zft7PA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120</v>
      </c>
      <c r="C1" s="11" t="s">
        <v>78</v>
      </c>
      <c r="D1" s="11" t="s">
        <v>74</v>
      </c>
      <c r="E1" s="11" t="s">
        <v>77</v>
      </c>
      <c r="F1" s="11" t="s">
        <v>75</v>
      </c>
      <c r="G1" s="11" t="s">
        <v>76</v>
      </c>
    </row>
    <row r="2" spans="1:15" ht="15.75" customHeight="1" x14ac:dyDescent="0.25">
      <c r="A2" s="3" t="s">
        <v>121</v>
      </c>
      <c r="B2" s="5" t="s">
        <v>111</v>
      </c>
      <c r="C2" s="52">
        <f>IFERROR(1-_xlfn.NORM.DIST(_xlfn.NORM.INV(SUM(C4:C5), 0, 1) + 1, 0, 1, TRUE), "")</f>
        <v>0.68485481924739933</v>
      </c>
      <c r="D2" s="52">
        <f>IFERROR(1-_xlfn.NORM.DIST(_xlfn.NORM.INV(SUM(D4:D5), 0, 1) + 1, 0, 1, TRUE), "")</f>
        <v>0.68485481924739933</v>
      </c>
      <c r="E2" s="52">
        <f>IFERROR(1-_xlfn.NORM.DIST(_xlfn.NORM.INV(SUM(E4:E5), 0, 1) + 1, 0, 1, TRUE), "")</f>
        <v>0.81455925434745047</v>
      </c>
      <c r="F2" s="52">
        <f>IFERROR(1-_xlfn.NORM.DIST(_xlfn.NORM.INV(SUM(F4:F5), 0, 1) + 1, 0, 1, TRUE), "")</f>
        <v>0.65889496102337786</v>
      </c>
      <c r="G2" s="52">
        <f>IFERROR(1-_xlfn.NORM.DIST(_xlfn.NORM.INV(SUM(G4:G5), 0, 1) + 1, 0, 1, TRUE), "")</f>
        <v>0.67024705976319832</v>
      </c>
    </row>
    <row r="3" spans="1:15" ht="15.75" customHeight="1" x14ac:dyDescent="0.25">
      <c r="B3" s="5" t="s">
        <v>108</v>
      </c>
      <c r="C3" s="52">
        <f>IFERROR(_xlfn.NORM.DIST(_xlfn.NORM.INV(SUM(C4:C5), 0, 1) + 1, 0, 1, TRUE) - SUM(C4:C5), "")</f>
        <v>0.24588428075260066</v>
      </c>
      <c r="D3" s="52">
        <f>IFERROR(_xlfn.NORM.DIST(_xlfn.NORM.INV(SUM(D4:D5), 0, 1) + 1, 0, 1, TRUE) - SUM(D4:D5), "")</f>
        <v>0.24588428075260066</v>
      </c>
      <c r="E3" s="52">
        <f>IFERROR(_xlfn.NORM.DIST(_xlfn.NORM.INV(SUM(E4:E5), 0, 1) + 1, 0, 1, TRUE) - SUM(E4:E5), "")</f>
        <v>0.15638284565254959</v>
      </c>
      <c r="F3" s="52">
        <f>IFERROR(_xlfn.NORM.DIST(_xlfn.NORM.INV(SUM(F4:F5), 0, 1) + 1, 0, 1, TRUE) - SUM(F4:F5), "")</f>
        <v>0.26175383897662213</v>
      </c>
      <c r="G3" s="52">
        <f>IFERROR(_xlfn.NORM.DIST(_xlfn.NORM.INV(SUM(G4:G5), 0, 1) + 1, 0, 1, TRUE) - SUM(G4:G5), "")</f>
        <v>0.25490344023680167</v>
      </c>
    </row>
    <row r="4" spans="1:15" ht="15.75" customHeight="1" x14ac:dyDescent="0.25">
      <c r="B4" s="5" t="s">
        <v>110</v>
      </c>
      <c r="C4" s="45">
        <v>6.6390299999999999E-2</v>
      </c>
      <c r="D4" s="53">
        <v>6.6390299999999999E-2</v>
      </c>
      <c r="E4" s="53">
        <v>2.9057900000000001E-2</v>
      </c>
      <c r="F4" s="53">
        <v>7.5866900000000001E-2</v>
      </c>
      <c r="G4" s="53">
        <v>7.2968000000000005E-2</v>
      </c>
    </row>
    <row r="5" spans="1:15" ht="15.75" customHeight="1" x14ac:dyDescent="0.25">
      <c r="B5" s="5" t="s">
        <v>106</v>
      </c>
      <c r="C5" s="45">
        <v>2.8706000000000001E-3</v>
      </c>
      <c r="D5" s="53">
        <v>2.8706000000000001E-3</v>
      </c>
      <c r="E5" s="53">
        <v>0</v>
      </c>
      <c r="F5" s="53">
        <v>3.4843000000000001E-3</v>
      </c>
      <c r="G5" s="53">
        <v>1.8814999999999999E-3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122</v>
      </c>
      <c r="B8" s="5" t="s">
        <v>112</v>
      </c>
      <c r="C8" s="52">
        <f>IFERROR(1-_xlfn.NORM.DIST(_xlfn.NORM.INV(SUM(C10:C11), 0, 1) + 1, 0, 1, TRUE), "")</f>
        <v>0.75896258203655209</v>
      </c>
      <c r="D8" s="52">
        <f>IFERROR(1-_xlfn.NORM.DIST(_xlfn.NORM.INV(SUM(D10:D11), 0, 1) + 1, 0, 1, TRUE), "")</f>
        <v>0.75896258203655209</v>
      </c>
      <c r="E8" s="52">
        <f>IFERROR(1-_xlfn.NORM.DIST(_xlfn.NORM.INV(SUM(E10:E11), 0, 1) + 1, 0, 1, TRUE), "")</f>
        <v>0.83791117953739236</v>
      </c>
      <c r="F8" s="52">
        <f>IFERROR(1-_xlfn.NORM.DIST(_xlfn.NORM.INV(SUM(F10:F11), 0, 1) + 1, 0, 1, TRUE), "")</f>
        <v>0.853063761053518</v>
      </c>
      <c r="G8" s="52">
        <f>IFERROR(1-_xlfn.NORM.DIST(_xlfn.NORM.INV(SUM(G10:G11), 0, 1) + 1, 0, 1, TRUE), "")</f>
        <v>0.86964864494147098</v>
      </c>
    </row>
    <row r="9" spans="1:15" ht="15.75" customHeight="1" x14ac:dyDescent="0.25">
      <c r="B9" s="5" t="s">
        <v>109</v>
      </c>
      <c r="C9" s="52">
        <f>IFERROR(_xlfn.NORM.DIST(_xlfn.NORM.INV(SUM(C10:C11), 0, 1) + 1, 0, 1, TRUE) - SUM(C10:C11), "")</f>
        <v>0.19675051796344789</v>
      </c>
      <c r="D9" s="52">
        <f>IFERROR(_xlfn.NORM.DIST(_xlfn.NORM.INV(SUM(D10:D11), 0, 1) + 1, 0, 1, TRUE) - SUM(D10:D11), "")</f>
        <v>0.19675051796344789</v>
      </c>
      <c r="E9" s="52">
        <f>IFERROR(_xlfn.NORM.DIST(_xlfn.NORM.INV(SUM(E10:E11), 0, 1) + 1, 0, 1, TRUE) - SUM(E10:E11), "")</f>
        <v>0.13856712046260766</v>
      </c>
      <c r="F9" s="52">
        <f>IFERROR(_xlfn.NORM.DIST(_xlfn.NORM.INV(SUM(F10:F11), 0, 1) + 1, 0, 1, TRUE) - SUM(F10:F11), "")</f>
        <v>0.12673763894648199</v>
      </c>
      <c r="G9" s="52">
        <f>IFERROR(_xlfn.NORM.DIST(_xlfn.NORM.INV(SUM(G10:G11), 0, 1) + 1, 0, 1, TRUE) - SUM(G10:G11), "")</f>
        <v>0.11354685505852902</v>
      </c>
    </row>
    <row r="10" spans="1:15" ht="15.75" customHeight="1" x14ac:dyDescent="0.25">
      <c r="B10" s="5" t="s">
        <v>107</v>
      </c>
      <c r="C10" s="45">
        <v>2.0957400000000001E-2</v>
      </c>
      <c r="D10" s="53">
        <v>2.0957400000000001E-2</v>
      </c>
      <c r="E10" s="53">
        <v>1.6555899999999998E-2</v>
      </c>
      <c r="F10" s="53">
        <v>1.7121999999999998E-2</v>
      </c>
      <c r="G10" s="53">
        <v>1.17929E-2</v>
      </c>
    </row>
    <row r="11" spans="1:15" ht="15.75" customHeight="1" x14ac:dyDescent="0.25">
      <c r="B11" s="5" t="s">
        <v>119</v>
      </c>
      <c r="C11" s="45">
        <v>2.33295E-2</v>
      </c>
      <c r="D11" s="53">
        <v>2.33295E-2</v>
      </c>
      <c r="E11" s="53">
        <v>6.9657999999999994E-3</v>
      </c>
      <c r="F11" s="53">
        <v>3.0766000000000001E-3</v>
      </c>
      <c r="G11" s="53">
        <v>5.0116000000000006E-3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105</v>
      </c>
      <c r="C13" s="11" t="s">
        <v>78</v>
      </c>
      <c r="D13" s="11" t="s">
        <v>74</v>
      </c>
      <c r="E13" s="11" t="s">
        <v>77</v>
      </c>
      <c r="F13" s="11" t="s">
        <v>75</v>
      </c>
      <c r="G13" s="11" t="s">
        <v>76</v>
      </c>
      <c r="H13" s="18" t="s">
        <v>113</v>
      </c>
      <c r="I13" s="18" t="s">
        <v>114</v>
      </c>
      <c r="J13" s="18" t="s">
        <v>115</v>
      </c>
      <c r="K13" s="18" t="s">
        <v>116</v>
      </c>
      <c r="L13" s="18" t="s">
        <v>68</v>
      </c>
      <c r="M13" s="18" t="s">
        <v>69</v>
      </c>
      <c r="N13" s="18" t="s">
        <v>70</v>
      </c>
      <c r="O13" s="18" t="s">
        <v>71</v>
      </c>
    </row>
    <row r="14" spans="1:15" ht="15.75" customHeight="1" x14ac:dyDescent="0.25">
      <c r="B14" s="11" t="s">
        <v>117</v>
      </c>
      <c r="C14" s="51">
        <v>0.34035478875000003</v>
      </c>
      <c r="D14" s="54">
        <v>0.31335189346999998</v>
      </c>
      <c r="E14" s="54">
        <v>0.31335189346999998</v>
      </c>
      <c r="F14" s="54">
        <v>0.19796945741300001</v>
      </c>
      <c r="G14" s="54">
        <v>0.19796945741300001</v>
      </c>
      <c r="H14" s="45">
        <v>0.28499999999999998</v>
      </c>
      <c r="I14" s="55">
        <v>0.28499999999999998</v>
      </c>
      <c r="J14" s="55">
        <v>0.28499999999999998</v>
      </c>
      <c r="K14" s="55">
        <v>0.28499999999999998</v>
      </c>
      <c r="L14" s="45">
        <v>0.25</v>
      </c>
      <c r="M14" s="55">
        <v>0.25</v>
      </c>
      <c r="N14" s="55">
        <v>0.25</v>
      </c>
      <c r="O14" s="55">
        <v>0.25</v>
      </c>
    </row>
    <row r="15" spans="1:15" ht="15.75" customHeight="1" x14ac:dyDescent="0.25">
      <c r="B15" s="11" t="s">
        <v>118</v>
      </c>
      <c r="C15" s="52">
        <f t="shared" ref="C15:O15" si="0">iron_deficiency_anaemia*C14</f>
        <v>0.19614714546620254</v>
      </c>
      <c r="D15" s="52">
        <f t="shared" si="0"/>
        <v>0.18058532291054796</v>
      </c>
      <c r="E15" s="52">
        <f t="shared" si="0"/>
        <v>0.18058532291054796</v>
      </c>
      <c r="F15" s="52">
        <f t="shared" si="0"/>
        <v>0.11409019424602675</v>
      </c>
      <c r="G15" s="52">
        <f t="shared" si="0"/>
        <v>0.11409019424602675</v>
      </c>
      <c r="H15" s="52">
        <f t="shared" si="0"/>
        <v>0.16424607000000002</v>
      </c>
      <c r="I15" s="52">
        <f t="shared" si="0"/>
        <v>0.16424607000000002</v>
      </c>
      <c r="J15" s="52">
        <f t="shared" si="0"/>
        <v>0.16424607000000002</v>
      </c>
      <c r="K15" s="52">
        <f t="shared" si="0"/>
        <v>0.16424607000000002</v>
      </c>
      <c r="L15" s="52">
        <f t="shared" si="0"/>
        <v>0.14407550000000002</v>
      </c>
      <c r="M15" s="52">
        <f t="shared" si="0"/>
        <v>0.14407550000000002</v>
      </c>
      <c r="N15" s="52">
        <f t="shared" si="0"/>
        <v>0.14407550000000002</v>
      </c>
      <c r="O15" s="52">
        <f t="shared" si="0"/>
        <v>0.14407550000000002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1AQMuxEIqXbY5bCBoG0QARNhX99dT58J4/+NqLH55eIYRlgFo9knoA2RGOh55VUF9WkTjMQLy2UEEAQq293IJg==" saltValue="1zbkvH7RS+M5niPkEbyuD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120</v>
      </c>
      <c r="C1" s="8" t="s">
        <v>78</v>
      </c>
      <c r="D1" s="8" t="s">
        <v>74</v>
      </c>
      <c r="E1" s="8" t="s">
        <v>77</v>
      </c>
      <c r="F1" s="8" t="s">
        <v>75</v>
      </c>
      <c r="G1" s="8" t="s">
        <v>76</v>
      </c>
    </row>
    <row r="2" spans="1:7" x14ac:dyDescent="0.25">
      <c r="A2" s="3" t="s">
        <v>123</v>
      </c>
      <c r="B2" s="3" t="s">
        <v>124</v>
      </c>
      <c r="C2" s="45">
        <v>0.85080100000000003</v>
      </c>
      <c r="D2" s="53">
        <v>0.36791390000000002</v>
      </c>
      <c r="E2" s="53">
        <v>0</v>
      </c>
      <c r="F2" s="53">
        <v>0</v>
      </c>
      <c r="G2" s="53">
        <v>0</v>
      </c>
    </row>
    <row r="3" spans="1:7" x14ac:dyDescent="0.25">
      <c r="B3" s="3" t="s">
        <v>127</v>
      </c>
      <c r="C3" s="53">
        <v>0.1190153</v>
      </c>
      <c r="D3" s="53">
        <v>0.13744600000000001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126</v>
      </c>
      <c r="C4" s="53">
        <v>3.0183700000000001E-2</v>
      </c>
      <c r="D4" s="53">
        <v>0.3566627</v>
      </c>
      <c r="E4" s="53">
        <v>0.53054849999999998</v>
      </c>
      <c r="F4" s="53">
        <v>0.24713470000000001</v>
      </c>
      <c r="G4" s="53">
        <v>0</v>
      </c>
    </row>
    <row r="5" spans="1:7" x14ac:dyDescent="0.25">
      <c r="B5" s="3" t="s">
        <v>125</v>
      </c>
      <c r="C5" s="52">
        <v>0</v>
      </c>
      <c r="D5" s="52">
        <v>0.1379774</v>
      </c>
      <c r="E5" s="52">
        <f>1-SUM(E2:E4)</f>
        <v>0.46945150000000002</v>
      </c>
      <c r="F5" s="52">
        <f>1-SUM(F2:F4)</f>
        <v>0.75286529999999996</v>
      </c>
      <c r="G5" s="52">
        <f>1-SUM(G2:G4)</f>
        <v>1</v>
      </c>
    </row>
  </sheetData>
  <sheetProtection algorithmName="SHA-512" hashValue="Fd3mBOssu4VRBroXp3LTBpbHUw9dxtl3M+Uj+RvciTf+YtNSyyykqtRPn8MrHX4w81JovXSW7YaOhGtiKQHdBQ==" saltValue="JICDGy8h7z8xjKy/vW9rSQ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135</v>
      </c>
      <c r="B1" s="4" t="s">
        <v>133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136</v>
      </c>
      <c r="B2" s="9" t="s">
        <v>130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138</v>
      </c>
      <c r="B4" s="9" t="s">
        <v>130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130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104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139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134</v>
      </c>
      <c r="B10" s="11" t="s">
        <v>129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131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37</v>
      </c>
      <c r="B13" s="11" t="s">
        <v>137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XHEGp4GxUJdgRk9EW8hTbRsfMkD6mEDsvc71ISwn9q2TUrvScZTp584h2fGl4BZbggCCsdduyyVsj81dPaCt7g==" saltValue="o7T5oGgWg4vbQ2G0l/rc0g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147</v>
      </c>
      <c r="B1" s="4" t="s">
        <v>145</v>
      </c>
    </row>
    <row r="2" spans="1:2" x14ac:dyDescent="0.25">
      <c r="A2" s="8" t="s">
        <v>144</v>
      </c>
      <c r="B2" s="41">
        <v>10</v>
      </c>
    </row>
    <row r="3" spans="1:2" x14ac:dyDescent="0.25">
      <c r="A3" s="8" t="s">
        <v>143</v>
      </c>
      <c r="B3" s="41">
        <v>10</v>
      </c>
    </row>
    <row r="4" spans="1:2" x14ac:dyDescent="0.25">
      <c r="A4" s="8" t="s">
        <v>142</v>
      </c>
      <c r="B4" s="41">
        <v>10</v>
      </c>
    </row>
    <row r="5" spans="1:2" x14ac:dyDescent="0.25">
      <c r="A5" s="8" t="s">
        <v>146</v>
      </c>
      <c r="B5" s="41">
        <v>10</v>
      </c>
    </row>
    <row r="6" spans="1:2" x14ac:dyDescent="0.25">
      <c r="A6" s="8" t="s">
        <v>140</v>
      </c>
      <c r="B6" s="41">
        <v>10</v>
      </c>
    </row>
    <row r="7" spans="1:2" x14ac:dyDescent="0.25">
      <c r="A7" s="8" t="s">
        <v>141</v>
      </c>
      <c r="B7" s="41">
        <v>10</v>
      </c>
    </row>
  </sheetData>
  <sheetProtection algorithmName="SHA-512" hashValue="gpN0q7mcT6twX7INWqQA4dHnuQWHzcUdsSI2BYuTfJQtTPYVFACYcMyhWPq8i7VCFKBgFr1lDINrsrVwyPVb8g==" saltValue="igeDXcPY3ISQw8wQaRGaw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154</v>
      </c>
      <c r="B1" s="36" t="s">
        <v>156</v>
      </c>
      <c r="C1" s="36" t="s">
        <v>150</v>
      </c>
      <c r="D1" s="36" t="s">
        <v>149</v>
      </c>
      <c r="E1" s="36" t="s">
        <v>155</v>
      </c>
    </row>
    <row r="2" spans="1:5" ht="13" customHeight="1" x14ac:dyDescent="0.3">
      <c r="A2" s="34" t="s">
        <v>151</v>
      </c>
      <c r="B2" s="32" t="s">
        <v>104</v>
      </c>
      <c r="C2" s="47"/>
      <c r="D2" s="47"/>
      <c r="E2" s="38" t="str">
        <f>IF(E$7="","",E$7)</f>
        <v/>
      </c>
    </row>
    <row r="3" spans="1:5" x14ac:dyDescent="0.25">
      <c r="B3" s="32" t="s">
        <v>78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74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77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75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148</v>
      </c>
      <c r="C7" s="31"/>
      <c r="D7" s="30"/>
      <c r="E7" s="47"/>
    </row>
    <row r="9" spans="1:5" ht="13" customHeight="1" x14ac:dyDescent="0.3">
      <c r="A9" s="34" t="s">
        <v>152</v>
      </c>
      <c r="B9" s="32" t="s">
        <v>104</v>
      </c>
      <c r="C9" s="47"/>
      <c r="D9" s="47"/>
      <c r="E9" s="38" t="str">
        <f>IF(E$7="","",E$7)</f>
        <v/>
      </c>
    </row>
    <row r="10" spans="1:5" x14ac:dyDescent="0.25">
      <c r="B10" s="32" t="s">
        <v>78</v>
      </c>
      <c r="C10" s="47"/>
      <c r="D10" s="47"/>
      <c r="E10" s="38" t="str">
        <f>IF(E$7="","",E$7)</f>
        <v/>
      </c>
    </row>
    <row r="11" spans="1:5" x14ac:dyDescent="0.25">
      <c r="B11" s="32" t="s">
        <v>74</v>
      </c>
      <c r="C11" s="47"/>
      <c r="D11" s="47"/>
      <c r="E11" s="38" t="str">
        <f>IF(E$7="","",E$7)</f>
        <v/>
      </c>
    </row>
    <row r="12" spans="1:5" x14ac:dyDescent="0.25">
      <c r="B12" s="32" t="s">
        <v>77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75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148</v>
      </c>
      <c r="C14" s="31"/>
      <c r="D14" s="30"/>
      <c r="E14" s="47"/>
    </row>
    <row r="16" spans="1:5" ht="13" customHeight="1" x14ac:dyDescent="0.3">
      <c r="A16" s="34" t="s">
        <v>153</v>
      </c>
      <c r="B16" s="32" t="s">
        <v>104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78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74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77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75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148</v>
      </c>
      <c r="C21" s="31"/>
      <c r="D21" s="30"/>
      <c r="E21" s="47"/>
    </row>
  </sheetData>
  <sheetProtection algorithmName="SHA-512" hashValue="Vkqme/OZWlJhYvNjRyfMcSaMxl3N52LuRBLxBkQGW/ydateIl8Yu3hyljq5CzgCS844X6T8dZr8cuDhK6ym75Q==" saltValue="5gWUW0F7vzyks6pglKioP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159</v>
      </c>
      <c r="C1" s="40" t="s">
        <v>161</v>
      </c>
      <c r="D1" s="40" t="s">
        <v>157</v>
      </c>
    </row>
    <row r="2" spans="1:4" ht="13" customHeight="1" x14ac:dyDescent="0.3">
      <c r="A2" s="40" t="s">
        <v>163</v>
      </c>
      <c r="B2" s="32" t="s">
        <v>164</v>
      </c>
      <c r="C2" s="32" t="s">
        <v>162</v>
      </c>
      <c r="D2" s="47"/>
    </row>
    <row r="3" spans="1:4" ht="13" customHeight="1" x14ac:dyDescent="0.3">
      <c r="A3" s="40" t="s">
        <v>160</v>
      </c>
      <c r="B3" s="32" t="s">
        <v>150</v>
      </c>
      <c r="C3" s="32" t="s">
        <v>158</v>
      </c>
      <c r="D3" s="47"/>
    </row>
  </sheetData>
  <sheetProtection algorithmName="SHA-512" hashValue="G4W7FpE/4awAqQPM8bYZYQhtNmfRQjQxsCJGcb5fWKiIxLloHh6HxflistOyFpbavAZugbG37W6ma9xqrLy7Lg==" saltValue="3WQ4XLkF/HBMuEoDbEw40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163</v>
      </c>
      <c r="B1" s="22" t="str">
        <f>"Cobertura de referencia ("&amp;start_year&amp;")"</f>
        <v>Cobertura de referencia (2024)</v>
      </c>
      <c r="C1" s="22" t="s">
        <v>194</v>
      </c>
      <c r="D1" s="22" t="s">
        <v>195</v>
      </c>
      <c r="E1" s="22" t="s">
        <v>168</v>
      </c>
      <c r="F1" s="22" t="s">
        <v>187</v>
      </c>
      <c r="G1" s="22" t="s">
        <v>186</v>
      </c>
    </row>
    <row r="2" spans="1:7" ht="15.75" customHeight="1" x14ac:dyDescent="0.25">
      <c r="A2" s="5" t="s">
        <v>165</v>
      </c>
      <c r="B2" s="45">
        <v>0</v>
      </c>
      <c r="C2" s="98">
        <v>0.95</v>
      </c>
      <c r="D2" s="56">
        <v>83.013851094978818</v>
      </c>
      <c r="E2" s="56" t="s">
        <v>183</v>
      </c>
      <c r="F2" s="98">
        <v>1</v>
      </c>
      <c r="G2" s="98">
        <v>1</v>
      </c>
    </row>
    <row r="3" spans="1:7" ht="15.75" customHeight="1" x14ac:dyDescent="0.25">
      <c r="A3" s="5" t="s">
        <v>166</v>
      </c>
      <c r="B3" s="45">
        <v>0.52699763328000004</v>
      </c>
      <c r="C3" s="98">
        <v>0.95</v>
      </c>
      <c r="D3" s="56">
        <v>40.440126307838547</v>
      </c>
      <c r="E3" s="56" t="s">
        <v>183</v>
      </c>
      <c r="F3" s="98">
        <v>1</v>
      </c>
      <c r="G3" s="98">
        <v>1</v>
      </c>
    </row>
    <row r="4" spans="1:7" ht="15.75" customHeight="1" x14ac:dyDescent="0.25">
      <c r="A4" s="5" t="s">
        <v>167</v>
      </c>
      <c r="B4" s="98">
        <v>0</v>
      </c>
      <c r="C4" s="98">
        <v>0.95</v>
      </c>
      <c r="D4" s="56">
        <v>806.1</v>
      </c>
      <c r="E4" s="56" t="s">
        <v>183</v>
      </c>
      <c r="F4" s="98">
        <v>1</v>
      </c>
      <c r="G4" s="98">
        <v>1</v>
      </c>
    </row>
    <row r="5" spans="1:7" ht="15.75" customHeight="1" x14ac:dyDescent="0.25">
      <c r="A5" s="5" t="s">
        <v>169</v>
      </c>
      <c r="B5" s="98">
        <v>0</v>
      </c>
      <c r="C5" s="98">
        <v>0.95</v>
      </c>
      <c r="D5" s="56">
        <v>9.8831856591429368</v>
      </c>
      <c r="E5" s="56" t="s">
        <v>183</v>
      </c>
      <c r="F5" s="98">
        <v>1</v>
      </c>
      <c r="G5" s="98">
        <v>1</v>
      </c>
    </row>
    <row r="6" spans="1:7" ht="15.75" customHeight="1" x14ac:dyDescent="0.25">
      <c r="A6" s="5" t="s">
        <v>170</v>
      </c>
      <c r="B6" s="98">
        <v>0</v>
      </c>
      <c r="C6" s="98">
        <v>0.95</v>
      </c>
      <c r="D6" s="56">
        <v>99.99</v>
      </c>
      <c r="E6" s="56" t="s">
        <v>183</v>
      </c>
      <c r="F6" s="98">
        <v>1</v>
      </c>
      <c r="G6" s="98">
        <v>1</v>
      </c>
    </row>
    <row r="7" spans="1:7" ht="15.75" customHeight="1" x14ac:dyDescent="0.25">
      <c r="A7" s="5" t="s">
        <v>171</v>
      </c>
      <c r="B7" s="98">
        <v>0</v>
      </c>
      <c r="C7" s="98">
        <v>0.95</v>
      </c>
      <c r="D7" s="56">
        <v>99.99</v>
      </c>
      <c r="E7" s="56" t="s">
        <v>183</v>
      </c>
      <c r="F7" s="98">
        <v>1</v>
      </c>
      <c r="G7" s="98">
        <v>1</v>
      </c>
    </row>
    <row r="8" spans="1:7" ht="15.75" customHeight="1" x14ac:dyDescent="0.25">
      <c r="A8" s="5" t="s">
        <v>172</v>
      </c>
      <c r="B8" s="98">
        <v>0</v>
      </c>
      <c r="C8" s="98">
        <v>0.95</v>
      </c>
      <c r="D8" s="56">
        <v>99.99</v>
      </c>
      <c r="E8" s="56" t="s">
        <v>183</v>
      </c>
      <c r="F8" s="98">
        <v>1</v>
      </c>
      <c r="G8" s="98">
        <v>1</v>
      </c>
    </row>
    <row r="9" spans="1:7" ht="15.75" customHeight="1" x14ac:dyDescent="0.25">
      <c r="A9" s="5" t="s">
        <v>173</v>
      </c>
      <c r="B9" s="98">
        <v>0</v>
      </c>
      <c r="C9" s="98">
        <v>0.95</v>
      </c>
      <c r="D9" s="56">
        <v>99.99</v>
      </c>
      <c r="E9" s="56" t="s">
        <v>183</v>
      </c>
      <c r="F9" s="98">
        <v>1</v>
      </c>
      <c r="G9" s="98">
        <v>1</v>
      </c>
    </row>
    <row r="10" spans="1:7" ht="15.75" customHeight="1" x14ac:dyDescent="0.25">
      <c r="A10" s="11" t="s">
        <v>174</v>
      </c>
      <c r="B10" s="45">
        <v>0</v>
      </c>
      <c r="C10" s="98">
        <v>0.95</v>
      </c>
      <c r="D10" s="56">
        <v>13.57242575163446</v>
      </c>
      <c r="E10" s="56" t="s">
        <v>183</v>
      </c>
      <c r="F10" s="98">
        <v>1</v>
      </c>
      <c r="G10" s="98">
        <v>1</v>
      </c>
    </row>
    <row r="11" spans="1:7" ht="15.75" customHeight="1" x14ac:dyDescent="0.25">
      <c r="A11" s="11" t="s">
        <v>175</v>
      </c>
      <c r="B11" s="98">
        <v>0</v>
      </c>
      <c r="C11" s="98">
        <v>0.95</v>
      </c>
      <c r="D11" s="56">
        <v>13.57242575163446</v>
      </c>
      <c r="E11" s="56" t="s">
        <v>183</v>
      </c>
      <c r="F11" s="98">
        <v>1</v>
      </c>
      <c r="G11" s="98">
        <v>1</v>
      </c>
    </row>
    <row r="12" spans="1:7" ht="15.75" customHeight="1" x14ac:dyDescent="0.25">
      <c r="A12" s="11" t="s">
        <v>176</v>
      </c>
      <c r="B12" s="98">
        <v>0</v>
      </c>
      <c r="C12" s="98">
        <v>0.95</v>
      </c>
      <c r="D12" s="56">
        <v>13.57242575163446</v>
      </c>
      <c r="E12" s="56" t="s">
        <v>183</v>
      </c>
      <c r="F12" s="98">
        <v>1</v>
      </c>
      <c r="G12" s="98">
        <v>1</v>
      </c>
    </row>
    <row r="13" spans="1:7" ht="15.75" customHeight="1" x14ac:dyDescent="0.25">
      <c r="A13" s="11" t="s">
        <v>177</v>
      </c>
      <c r="B13" s="98">
        <v>0</v>
      </c>
      <c r="C13" s="98">
        <v>0.95</v>
      </c>
      <c r="D13" s="56">
        <v>13.57242575163446</v>
      </c>
      <c r="E13" s="56" t="s">
        <v>183</v>
      </c>
      <c r="F13" s="98">
        <v>1</v>
      </c>
      <c r="G13" s="98">
        <v>1</v>
      </c>
    </row>
    <row r="14" spans="1:7" ht="15.75" customHeight="1" x14ac:dyDescent="0.25">
      <c r="A14" s="5" t="s">
        <v>178</v>
      </c>
      <c r="B14" s="45">
        <v>0</v>
      </c>
      <c r="C14" s="98">
        <v>0.95</v>
      </c>
      <c r="D14" s="56">
        <v>13.57242575163446</v>
      </c>
      <c r="E14" s="56" t="s">
        <v>183</v>
      </c>
      <c r="F14" s="98">
        <v>1</v>
      </c>
      <c r="G14" s="98">
        <v>1</v>
      </c>
    </row>
    <row r="15" spans="1:7" ht="15.75" customHeight="1" x14ac:dyDescent="0.25">
      <c r="A15" s="5" t="s">
        <v>179</v>
      </c>
      <c r="B15" s="98">
        <v>0</v>
      </c>
      <c r="C15" s="98">
        <v>0.95</v>
      </c>
      <c r="D15" s="56">
        <v>13.57242575163446</v>
      </c>
      <c r="E15" s="56" t="s">
        <v>183</v>
      </c>
      <c r="F15" s="98">
        <v>1</v>
      </c>
      <c r="G15" s="98">
        <v>1</v>
      </c>
    </row>
    <row r="16" spans="1:7" ht="15.75" customHeight="1" x14ac:dyDescent="0.25">
      <c r="A16" s="5" t="s">
        <v>180</v>
      </c>
      <c r="B16" s="45">
        <v>0</v>
      </c>
      <c r="C16" s="98">
        <v>0.95</v>
      </c>
      <c r="D16" s="56">
        <v>1.27919155152981</v>
      </c>
      <c r="E16" s="56" t="s">
        <v>183</v>
      </c>
      <c r="F16" s="98">
        <v>1</v>
      </c>
      <c r="G16" s="98">
        <v>1</v>
      </c>
    </row>
    <row r="17" spans="1:7" ht="15.75" customHeight="1" x14ac:dyDescent="0.25">
      <c r="A17" s="5" t="s">
        <v>181</v>
      </c>
      <c r="B17" s="98">
        <v>0.50578611111111105</v>
      </c>
      <c r="C17" s="98">
        <v>0.95</v>
      </c>
      <c r="D17" s="56">
        <v>0.1369044839662158</v>
      </c>
      <c r="E17" s="56" t="s">
        <v>183</v>
      </c>
      <c r="F17" s="98">
        <v>1</v>
      </c>
      <c r="G17" s="98">
        <v>1</v>
      </c>
    </row>
    <row r="18" spans="1:7" ht="15.9" customHeight="1" x14ac:dyDescent="0.25">
      <c r="A18" s="5" t="s">
        <v>151</v>
      </c>
      <c r="B18" s="98">
        <v>0.21369175411999999</v>
      </c>
      <c r="C18" s="98">
        <v>0.95</v>
      </c>
      <c r="D18" s="56">
        <v>18.465600261324941</v>
      </c>
      <c r="E18" s="56" t="s">
        <v>183</v>
      </c>
      <c r="F18" s="98">
        <v>1</v>
      </c>
      <c r="G18" s="98">
        <v>1</v>
      </c>
    </row>
    <row r="19" spans="1:7" ht="15.75" customHeight="1" x14ac:dyDescent="0.25">
      <c r="A19" s="5" t="s">
        <v>152</v>
      </c>
      <c r="B19" s="98">
        <v>0.92149409999999998</v>
      </c>
      <c r="C19" s="98">
        <v>0.95</v>
      </c>
      <c r="D19" s="56">
        <v>18.465600261324941</v>
      </c>
      <c r="E19" s="56" t="s">
        <v>183</v>
      </c>
      <c r="F19" s="98">
        <v>1</v>
      </c>
      <c r="G19" s="98">
        <v>1</v>
      </c>
    </row>
    <row r="20" spans="1:7" ht="15.75" customHeight="1" x14ac:dyDescent="0.25">
      <c r="A20" s="5" t="s">
        <v>153</v>
      </c>
      <c r="B20" s="98">
        <v>0</v>
      </c>
      <c r="C20" s="98">
        <v>0.95</v>
      </c>
      <c r="D20" s="56">
        <v>99.99</v>
      </c>
      <c r="E20" s="56" t="s">
        <v>183</v>
      </c>
      <c r="F20" s="98">
        <v>1</v>
      </c>
      <c r="G20" s="98">
        <v>1</v>
      </c>
    </row>
    <row r="21" spans="1:7" ht="15.75" customHeight="1" x14ac:dyDescent="0.25">
      <c r="A21" s="5" t="s">
        <v>182</v>
      </c>
      <c r="B21" s="45">
        <v>0.79862369999999994</v>
      </c>
      <c r="C21" s="98">
        <v>0.95</v>
      </c>
      <c r="D21" s="56">
        <v>143.79383063706061</v>
      </c>
      <c r="E21" s="56" t="s">
        <v>183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23.715420771638289</v>
      </c>
      <c r="E22" s="56" t="s">
        <v>183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4.6294916046252768</v>
      </c>
      <c r="E23" s="56" t="s">
        <v>183</v>
      </c>
      <c r="F23" s="98">
        <v>1</v>
      </c>
      <c r="G23" s="98">
        <v>1</v>
      </c>
    </row>
    <row r="24" spans="1:7" ht="15.75" customHeight="1" x14ac:dyDescent="0.25">
      <c r="A24" s="5" t="s">
        <v>188</v>
      </c>
      <c r="B24" s="45">
        <v>0.96974739304372803</v>
      </c>
      <c r="C24" s="98">
        <v>0.95</v>
      </c>
      <c r="D24" s="56">
        <v>99.99</v>
      </c>
      <c r="E24" s="56" t="s">
        <v>183</v>
      </c>
      <c r="F24" s="98">
        <v>1</v>
      </c>
      <c r="G24" s="98">
        <v>1</v>
      </c>
    </row>
    <row r="25" spans="1:7" ht="15.75" customHeight="1" x14ac:dyDescent="0.25">
      <c r="A25" s="5" t="s">
        <v>189</v>
      </c>
      <c r="B25" s="98">
        <v>0</v>
      </c>
      <c r="C25" s="98">
        <v>0.95</v>
      </c>
      <c r="D25" s="56">
        <v>99.99</v>
      </c>
      <c r="E25" s="56" t="s">
        <v>183</v>
      </c>
      <c r="F25" s="98">
        <v>1</v>
      </c>
      <c r="G25" s="98">
        <v>1</v>
      </c>
    </row>
    <row r="26" spans="1:7" ht="15.75" customHeight="1" x14ac:dyDescent="0.25">
      <c r="A26" s="5" t="s">
        <v>190</v>
      </c>
      <c r="B26" s="45">
        <v>0</v>
      </c>
      <c r="C26" s="98">
        <v>0.95</v>
      </c>
      <c r="D26" s="56">
        <v>99.99</v>
      </c>
      <c r="E26" s="56" t="s">
        <v>183</v>
      </c>
      <c r="F26" s="98">
        <v>1</v>
      </c>
      <c r="G26" s="98">
        <v>1</v>
      </c>
    </row>
    <row r="27" spans="1:7" ht="15.75" customHeight="1" x14ac:dyDescent="0.25">
      <c r="A27" s="5" t="s">
        <v>191</v>
      </c>
      <c r="B27" s="45">
        <v>0</v>
      </c>
      <c r="C27" s="98">
        <v>0.95</v>
      </c>
      <c r="D27" s="56">
        <v>19.135548002264301</v>
      </c>
      <c r="E27" s="56" t="s">
        <v>183</v>
      </c>
      <c r="F27" s="98">
        <v>1</v>
      </c>
      <c r="G27" s="98">
        <v>1</v>
      </c>
    </row>
    <row r="28" spans="1:7" ht="15.75" customHeight="1" x14ac:dyDescent="0.25">
      <c r="A28" s="5" t="s">
        <v>192</v>
      </c>
      <c r="B28" s="45">
        <v>0.79148793754279589</v>
      </c>
      <c r="C28" s="98">
        <v>0.95</v>
      </c>
      <c r="D28" s="56">
        <v>99.99</v>
      </c>
      <c r="E28" s="56" t="s">
        <v>183</v>
      </c>
      <c r="F28" s="98">
        <v>1</v>
      </c>
      <c r="G28" s="98">
        <v>1</v>
      </c>
    </row>
    <row r="29" spans="1:7" ht="15.75" customHeight="1" x14ac:dyDescent="0.25">
      <c r="A29" s="5" t="s">
        <v>193</v>
      </c>
      <c r="B29" s="45">
        <v>0</v>
      </c>
      <c r="C29" s="98">
        <v>0.95</v>
      </c>
      <c r="D29" s="56">
        <v>170.67126179613081</v>
      </c>
      <c r="E29" s="56" t="s">
        <v>183</v>
      </c>
      <c r="F29" s="98">
        <v>1</v>
      </c>
      <c r="G29" s="98">
        <v>1</v>
      </c>
    </row>
    <row r="30" spans="1:7" ht="15.75" customHeight="1" x14ac:dyDescent="0.25">
      <c r="A30" s="5" t="s">
        <v>204</v>
      </c>
      <c r="B30" s="98">
        <v>0</v>
      </c>
      <c r="C30" s="98">
        <v>0.95</v>
      </c>
      <c r="D30" s="56">
        <v>99</v>
      </c>
      <c r="E30" s="56" t="s">
        <v>183</v>
      </c>
      <c r="F30" s="98">
        <v>1</v>
      </c>
      <c r="G30" s="98">
        <v>1</v>
      </c>
    </row>
    <row r="31" spans="1:7" ht="15.75" customHeight="1" x14ac:dyDescent="0.25">
      <c r="A31" s="5" t="s">
        <v>164</v>
      </c>
      <c r="B31" s="45">
        <v>0</v>
      </c>
      <c r="C31" s="98">
        <v>0.95</v>
      </c>
      <c r="D31" s="56">
        <v>1.646089855331895</v>
      </c>
      <c r="E31" s="56" t="s">
        <v>183</v>
      </c>
      <c r="F31" s="98">
        <v>1</v>
      </c>
      <c r="G31" s="98">
        <v>1</v>
      </c>
    </row>
    <row r="32" spans="1:7" ht="15.75" customHeight="1" x14ac:dyDescent="0.25">
      <c r="A32" s="5" t="s">
        <v>196</v>
      </c>
      <c r="B32" s="45">
        <v>0</v>
      </c>
      <c r="C32" s="98">
        <v>0.95</v>
      </c>
      <c r="D32" s="56">
        <v>2.8042389349532271</v>
      </c>
      <c r="E32" s="56" t="s">
        <v>183</v>
      </c>
      <c r="F32" s="98">
        <v>1</v>
      </c>
      <c r="G32" s="98">
        <v>1</v>
      </c>
    </row>
    <row r="33" spans="1:7" ht="15.75" customHeight="1" x14ac:dyDescent="0.25">
      <c r="A33" s="5" t="s">
        <v>197</v>
      </c>
      <c r="B33" s="45">
        <v>0</v>
      </c>
      <c r="C33" s="98">
        <v>0.95</v>
      </c>
      <c r="D33" s="56">
        <v>99.99</v>
      </c>
      <c r="E33" s="56" t="s">
        <v>183</v>
      </c>
      <c r="F33" s="98">
        <v>1</v>
      </c>
      <c r="G33" s="98">
        <v>1</v>
      </c>
    </row>
    <row r="34" spans="1:7" ht="15.75" customHeight="1" x14ac:dyDescent="0.25">
      <c r="A34" s="5" t="s">
        <v>198</v>
      </c>
      <c r="B34" s="45">
        <v>0</v>
      </c>
      <c r="C34" s="98">
        <v>0.95</v>
      </c>
      <c r="D34" s="56">
        <v>99.99</v>
      </c>
      <c r="E34" s="56" t="s">
        <v>183</v>
      </c>
      <c r="F34" s="98">
        <v>1</v>
      </c>
      <c r="G34" s="98">
        <v>1</v>
      </c>
    </row>
    <row r="35" spans="1:7" ht="15.75" customHeight="1" x14ac:dyDescent="0.25">
      <c r="A35" s="5" t="s">
        <v>199</v>
      </c>
      <c r="B35" s="98">
        <v>0</v>
      </c>
      <c r="C35" s="98">
        <v>0.95</v>
      </c>
      <c r="D35" s="56">
        <v>99.99</v>
      </c>
      <c r="E35" s="56" t="s">
        <v>183</v>
      </c>
      <c r="F35" s="98">
        <v>1</v>
      </c>
      <c r="G35" s="98">
        <v>1</v>
      </c>
    </row>
    <row r="36" spans="1:7" ht="15.75" customHeight="1" x14ac:dyDescent="0.25">
      <c r="A36" s="5" t="s">
        <v>200</v>
      </c>
      <c r="B36" s="45">
        <v>0.47701749999999998</v>
      </c>
      <c r="C36" s="98">
        <v>0.95</v>
      </c>
      <c r="D36" s="56">
        <v>99.99</v>
      </c>
      <c r="E36" s="56" t="s">
        <v>183</v>
      </c>
      <c r="F36" s="98">
        <v>1</v>
      </c>
      <c r="G36" s="98">
        <v>1</v>
      </c>
    </row>
    <row r="37" spans="1:7" ht="15.75" customHeight="1" x14ac:dyDescent="0.25">
      <c r="A37" s="5" t="s">
        <v>201</v>
      </c>
      <c r="B37" s="45">
        <v>0</v>
      </c>
      <c r="C37" s="98">
        <v>0.95</v>
      </c>
      <c r="D37" s="56">
        <v>99.99</v>
      </c>
      <c r="E37" s="56" t="s">
        <v>183</v>
      </c>
      <c r="F37" s="98">
        <v>1</v>
      </c>
      <c r="G37" s="98">
        <v>1</v>
      </c>
    </row>
    <row r="38" spans="1:7" ht="15.75" customHeight="1" x14ac:dyDescent="0.25">
      <c r="A38" s="5" t="s">
        <v>202</v>
      </c>
      <c r="B38" s="45">
        <v>0.35173209999999999</v>
      </c>
      <c r="C38" s="98">
        <v>0.95</v>
      </c>
      <c r="D38" s="56">
        <v>1.831778577435033</v>
      </c>
      <c r="E38" s="56" t="s">
        <v>183</v>
      </c>
      <c r="F38" s="98">
        <v>1</v>
      </c>
      <c r="G38" s="98">
        <v>1</v>
      </c>
    </row>
    <row r="39" spans="1:7" ht="15.75" customHeight="1" x14ac:dyDescent="0.25">
      <c r="A39" s="5" t="s">
        <v>203</v>
      </c>
      <c r="B39" s="45">
        <v>0</v>
      </c>
      <c r="C39" s="98">
        <v>0.95</v>
      </c>
      <c r="D39" s="56">
        <v>99.99</v>
      </c>
      <c r="E39" s="56" t="s">
        <v>183</v>
      </c>
      <c r="F39" s="98">
        <v>1</v>
      </c>
      <c r="G39" s="98">
        <v>1</v>
      </c>
    </row>
  </sheetData>
  <sheetProtection algorithmName="SHA-512" hashValue="OJ2eHFzctvCoBy7Viz/CgYkTc7yXaZTzSJ8DywOHwQ888fuxuFLmhYVnuQS3Ig1yuVHA2i4L1wwQZeR8xDBgkg==" saltValue="Vti9EX1LdyQCFDwn2iPqM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163</v>
      </c>
      <c r="B1" s="4" t="s">
        <v>205</v>
      </c>
      <c r="C1" s="4" t="s">
        <v>206</v>
      </c>
    </row>
    <row r="2" spans="1:3" x14ac:dyDescent="0.25">
      <c r="A2" s="57" t="s">
        <v>178</v>
      </c>
      <c r="B2" s="47" t="s">
        <v>191</v>
      </c>
      <c r="C2" s="47"/>
    </row>
    <row r="3" spans="1:3" x14ac:dyDescent="0.25">
      <c r="A3" s="57" t="s">
        <v>179</v>
      </c>
      <c r="B3" s="47" t="s">
        <v>191</v>
      </c>
      <c r="C3" s="47"/>
    </row>
    <row r="4" spans="1:3" x14ac:dyDescent="0.25">
      <c r="A4" s="57" t="s">
        <v>193</v>
      </c>
      <c r="B4" s="47" t="s">
        <v>184</v>
      </c>
      <c r="C4" s="47"/>
    </row>
    <row r="5" spans="1:3" x14ac:dyDescent="0.25">
      <c r="A5" s="57" t="s">
        <v>190</v>
      </c>
      <c r="B5" s="47" t="s">
        <v>184</v>
      </c>
      <c r="C5" s="47"/>
    </row>
    <row r="6" spans="1:3" x14ac:dyDescent="0.25">
      <c r="A6" s="57" t="s">
        <v>193</v>
      </c>
      <c r="B6" s="58" t="s">
        <v>204</v>
      </c>
      <c r="C6" s="58"/>
    </row>
    <row r="7" spans="1:3" x14ac:dyDescent="0.25">
      <c r="A7" s="57" t="s">
        <v>190</v>
      </c>
      <c r="B7" s="58" t="s">
        <v>204</v>
      </c>
      <c r="C7" s="58"/>
    </row>
    <row r="8" spans="1:3" x14ac:dyDescent="0.25">
      <c r="A8" s="57" t="s">
        <v>203</v>
      </c>
      <c r="B8" s="58" t="s">
        <v>204</v>
      </c>
      <c r="C8" s="58"/>
    </row>
    <row r="9" spans="1:3" x14ac:dyDescent="0.25">
      <c r="A9" s="57" t="s">
        <v>196</v>
      </c>
      <c r="B9" s="58" t="s">
        <v>204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K0WdXj9TBsIew6OH/FU+WvgwqyV9aMuaEblxhQt+tLGtlSRkIZwn8qUDgxJr7mmEXEYnQcYOk5w2zyGsW5JufQ==" saltValue="ti5rtCu7sE/e3IITNRDmk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163</v>
      </c>
    </row>
    <row r="2" spans="1:1" x14ac:dyDescent="0.25">
      <c r="A2" s="33" t="s">
        <v>170</v>
      </c>
    </row>
    <row r="3" spans="1:1" x14ac:dyDescent="0.25">
      <c r="A3" s="33" t="s">
        <v>180</v>
      </c>
    </row>
    <row r="4" spans="1:1" x14ac:dyDescent="0.25">
      <c r="A4" s="33" t="s">
        <v>185</v>
      </c>
    </row>
    <row r="5" spans="1:1" x14ac:dyDescent="0.25">
      <c r="A5" s="33" t="s">
        <v>197</v>
      </c>
    </row>
    <row r="6" spans="1:1" x14ac:dyDescent="0.25">
      <c r="A6" s="33" t="s">
        <v>198</v>
      </c>
    </row>
    <row r="7" spans="1:1" x14ac:dyDescent="0.25">
      <c r="A7" s="33" t="s">
        <v>199</v>
      </c>
    </row>
    <row r="8" spans="1:1" x14ac:dyDescent="0.25">
      <c r="A8" s="33" t="s">
        <v>200</v>
      </c>
    </row>
    <row r="9" spans="1:1" x14ac:dyDescent="0.25">
      <c r="A9" s="33" t="s">
        <v>201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AP5StRgTccTHNqI54UwBukG2cttXyBgLX1eeBObSgyjxZ9IFSstU6Pbchpe6VNrXxztPe9IeWnnJXYRHaBbXag==" saltValue="HsDXLT48C34UG447u1OpW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208</v>
      </c>
      <c r="B1" t="s">
        <v>78</v>
      </c>
      <c r="C1" t="s">
        <v>74</v>
      </c>
      <c r="D1" t="s">
        <v>77</v>
      </c>
      <c r="E1" t="s">
        <v>75</v>
      </c>
      <c r="F1" t="s">
        <v>76</v>
      </c>
    </row>
    <row r="2" spans="1:6" ht="15.75" customHeight="1" x14ac:dyDescent="0.25">
      <c r="A2" s="3" t="s">
        <v>84</v>
      </c>
      <c r="B2" s="21">
        <f>'Entradas de población-año base'!C51</f>
        <v>3.2</v>
      </c>
      <c r="C2" s="21">
        <f>'Entradas de población-año base'!C52</f>
        <v>3.2</v>
      </c>
      <c r="D2" s="21">
        <f>'Entradas de población-año base'!C53</f>
        <v>3.2</v>
      </c>
      <c r="E2" s="21">
        <f>'Entradas de población-año base'!C54</f>
        <v>3.2</v>
      </c>
      <c r="F2" s="21">
        <f>'Entradas de población-año base'!C55</f>
        <v>3.2</v>
      </c>
    </row>
    <row r="3" spans="1:6" ht="15.75" customHeight="1" x14ac:dyDescent="0.25">
      <c r="A3" s="3" t="s">
        <v>6</v>
      </c>
      <c r="B3" s="21">
        <f>frac_mam_1month * 2.6</f>
        <v>5.4489240000000001E-2</v>
      </c>
      <c r="C3" s="21">
        <f>frac_mam_1_5months * 2.6</f>
        <v>5.4489240000000001E-2</v>
      </c>
      <c r="D3" s="21">
        <f>frac_mam_6_11months * 2.6</f>
        <v>4.3045339999999994E-2</v>
      </c>
      <c r="E3" s="21">
        <f>frac_mam_12_23months * 2.6</f>
        <v>4.45172E-2</v>
      </c>
      <c r="F3" s="21">
        <f>frac_mam_24_59months * 2.6</f>
        <v>3.0661540000000001E-2</v>
      </c>
    </row>
    <row r="4" spans="1:6" ht="15.75" customHeight="1" x14ac:dyDescent="0.25">
      <c r="A4" s="3" t="s">
        <v>207</v>
      </c>
      <c r="B4" s="21">
        <f>frac_sam_1month * 2.6</f>
        <v>6.0656700000000001E-2</v>
      </c>
      <c r="C4" s="21">
        <f>frac_sam_1_5months * 2.6</f>
        <v>6.0656700000000001E-2</v>
      </c>
      <c r="D4" s="21">
        <f>frac_sam_6_11months * 2.6</f>
        <v>1.8111079999999998E-2</v>
      </c>
      <c r="E4" s="21">
        <f>frac_sam_12_23months * 2.6</f>
        <v>7.99916E-3</v>
      </c>
      <c r="F4" s="21">
        <f>frac_sam_24_59months * 2.6</f>
        <v>1.3030160000000002E-2</v>
      </c>
    </row>
  </sheetData>
  <sheetProtection algorithmName="SHA-512" hashValue="7qZKFH+KiDGZ4DNX3U8yMG8F3TodqOwU3tmBU4iCDxHAK747RQdLREc9v2grFCs8slLo9mbM84Q2NBEQRagqQw==" saltValue="jBMyxN1vIQJbWR8TPioYe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">
      <c r="A2" s="4" t="s">
        <v>83</v>
      </c>
      <c r="B2" s="5" t="s">
        <v>167</v>
      </c>
      <c r="C2" s="60">
        <v>0</v>
      </c>
      <c r="D2" s="60">
        <f>food_insecure</f>
        <v>1.4999999999999999E-2</v>
      </c>
      <c r="E2" s="60">
        <f>food_insecure</f>
        <v>1.4999999999999999E-2</v>
      </c>
      <c r="F2" s="60">
        <f>food_insecure</f>
        <v>1.4999999999999999E-2</v>
      </c>
      <c r="G2" s="60">
        <f>food_insecure</f>
        <v>1.4999999999999999E-2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169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182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1.4999999999999999E-2</v>
      </c>
      <c r="F5" s="60">
        <f>food_insecure</f>
        <v>1.4999999999999999E-2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190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192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193</v>
      </c>
      <c r="C8" s="60">
        <v>0</v>
      </c>
      <c r="D8" s="60">
        <v>0</v>
      </c>
      <c r="E8" s="60">
        <f>food_insecure</f>
        <v>1.4999999999999999E-2</v>
      </c>
      <c r="F8" s="60">
        <f>food_insecure</f>
        <v>1.4999999999999999E-2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204</v>
      </c>
      <c r="C9" s="60">
        <v>0</v>
      </c>
      <c r="D9" s="60">
        <v>0</v>
      </c>
      <c r="E9" s="60">
        <f>food_insecure</f>
        <v>1.4999999999999999E-2</v>
      </c>
      <c r="F9" s="60">
        <f>food_insecure</f>
        <v>1.4999999999999999E-2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164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202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104</v>
      </c>
      <c r="B15" s="9" t="s">
        <v>165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1.4999999999999999E-2</v>
      </c>
      <c r="I15" s="60">
        <f>food_insecure</f>
        <v>1.4999999999999999E-2</v>
      </c>
      <c r="J15" s="60">
        <f>food_insecure</f>
        <v>1.4999999999999999E-2</v>
      </c>
      <c r="K15" s="60">
        <f>food_insecure</f>
        <v>1.4999999999999999E-2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166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178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179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180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188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189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191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211</v>
      </c>
      <c r="B24" s="11" t="s">
        <v>170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0.11600000000000001</v>
      </c>
      <c r="M24" s="60">
        <f>famplan_unmet_need</f>
        <v>0.11600000000000001</v>
      </c>
      <c r="N24" s="60">
        <f>famplan_unmet_need</f>
        <v>0.11600000000000001</v>
      </c>
      <c r="O24" s="60">
        <f>famplan_unmet_need</f>
        <v>0.11600000000000001</v>
      </c>
    </row>
    <row r="25" spans="1:15" ht="15.75" customHeight="1" x14ac:dyDescent="0.25">
      <c r="B25" s="11" t="s">
        <v>174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5.2958994430541827E-2</v>
      </c>
      <c r="M25" s="60">
        <f>(1-food_insecure)*(0.49)+food_insecure*(0.7)</f>
        <v>0.49314999999999998</v>
      </c>
      <c r="N25" s="60">
        <f>(1-food_insecure)*(0.49)+food_insecure*(0.7)</f>
        <v>0.49314999999999998</v>
      </c>
      <c r="O25" s="60">
        <f>(1-food_insecure)*(0.49)+food_insecure*(0.7)</f>
        <v>0.49314999999999998</v>
      </c>
    </row>
    <row r="26" spans="1:15" ht="15.75" customHeight="1" x14ac:dyDescent="0.25">
      <c r="B26" s="11" t="s">
        <v>175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2.2696711898803641E-2</v>
      </c>
      <c r="M26" s="60">
        <f>(1-food_insecure)*(0.21)+food_insecure*(0.3)</f>
        <v>0.21134999999999998</v>
      </c>
      <c r="N26" s="60">
        <f>(1-food_insecure)*(0.21)+food_insecure*(0.3)</f>
        <v>0.21134999999999998</v>
      </c>
      <c r="O26" s="60">
        <f>(1-food_insecure)*(0.21)+food_insecure*(0.3)</f>
        <v>0.21134999999999998</v>
      </c>
    </row>
    <row r="27" spans="1:15" ht="15.75" customHeight="1" x14ac:dyDescent="0.25">
      <c r="B27" s="11" t="s">
        <v>176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3.1733514862060448E-2</v>
      </c>
      <c r="M27" s="60">
        <f>(1-food_insecure)*(0.3)</f>
        <v>0.29549999999999998</v>
      </c>
      <c r="N27" s="60">
        <f>(1-food_insecure)*(0.3)</f>
        <v>0.29549999999999998</v>
      </c>
      <c r="O27" s="60">
        <f>(1-food_insecure)*(0.3)</f>
        <v>0.29549999999999998</v>
      </c>
    </row>
    <row r="28" spans="1:15" ht="15.75" customHeight="1" x14ac:dyDescent="0.25">
      <c r="B28" s="11" t="s">
        <v>177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0.89261077880859407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171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172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173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181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200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201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ERYbOj7lkqOcN8L28UXXg42bmKNvGiKL51KD36I0XJWqGNAbcIYtH/TKdxrXUS1n/ejqD+pGjhDAfECH+RGzhQ==" saltValue="QKZU7oOOgBVfd3go3F4lJ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183</v>
      </c>
    </row>
    <row r="2" spans="1:1" x14ac:dyDescent="0.25">
      <c r="A2" s="8" t="s">
        <v>213</v>
      </c>
    </row>
    <row r="3" spans="1:1" x14ac:dyDescent="0.25">
      <c r="A3" s="8" t="s">
        <v>212</v>
      </c>
    </row>
    <row r="4" spans="1:1" x14ac:dyDescent="0.25">
      <c r="A4" s="8" t="s">
        <v>214</v>
      </c>
    </row>
  </sheetData>
  <sheetProtection algorithmName="SHA-512" hashValue="70B0Axs4hwxgnyFHxrZXYGSepMqBq43cwBJbeg6xXa7qY0w6mejdaMo8kPLJMscAWJdsJQVv5dYza0P88qXqQg==" saltValue="vN9O4+5Afe1VB332vAYmO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223</v>
      </c>
      <c r="B1" s="4" t="s">
        <v>216</v>
      </c>
      <c r="C1" s="4" t="s">
        <v>227</v>
      </c>
      <c r="D1" s="4" t="s">
        <v>145</v>
      </c>
      <c r="E1" s="4" t="s">
        <v>225</v>
      </c>
    </row>
    <row r="2" spans="1:5" ht="14" customHeight="1" x14ac:dyDescent="0.3">
      <c r="A2" s="28" t="s">
        <v>215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222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cKUyIZLoW43Sp4f+bu+l2m1yMCQerHPv39HRldZ1b0WXHoTLEyTxcM77Ta2P8kAs4LiL4BlLvCB/mee8U1QMCQ==" saltValue="kiJPFsCUP+AZvBi1y5mAC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5">
      <c r="A2" s="4" t="s">
        <v>83</v>
      </c>
      <c r="B2" s="5" t="s">
        <v>167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169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152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153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182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190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192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193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164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202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104</v>
      </c>
      <c r="B18" s="5" t="s">
        <v>165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166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178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179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180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188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189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191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211</v>
      </c>
      <c r="B27" s="5" t="s">
        <v>170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174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175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176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177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171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172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173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181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200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201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01WYK4oyk7rrRNhQWNC842ZI89F/xiMyeFQ26KanzFuu4aWK810JIAWx9KDEtIWJYmiKxwfx6RLNSanm1fEUoA==" saltValue="2WFw9C2zevkmfzZvIWyYR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x14ac:dyDescent="0.25">
      <c r="A2" s="5" t="s">
        <v>165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x14ac:dyDescent="0.25">
      <c r="A3" s="5" t="s">
        <v>166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x14ac:dyDescent="0.25">
      <c r="A4" s="5" t="s">
        <v>167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169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170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x14ac:dyDescent="0.25">
      <c r="A7" s="5" t="s">
        <v>171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x14ac:dyDescent="0.25">
      <c r="A8" s="5" t="s">
        <v>172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x14ac:dyDescent="0.25">
      <c r="A9" s="5" t="s">
        <v>173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x14ac:dyDescent="0.25">
      <c r="A10" s="11" t="s">
        <v>174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175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176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177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178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x14ac:dyDescent="0.25">
      <c r="A15" s="5" t="s">
        <v>179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x14ac:dyDescent="0.25">
      <c r="A16" s="5" t="s">
        <v>180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x14ac:dyDescent="0.25">
      <c r="A17" s="5" t="s">
        <v>181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151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x14ac:dyDescent="0.25">
      <c r="A19" s="5" t="s">
        <v>152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x14ac:dyDescent="0.25">
      <c r="A20" s="5" t="s">
        <v>153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x14ac:dyDescent="0.25">
      <c r="A21" s="5" t="s">
        <v>182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184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188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189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190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191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192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193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204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164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196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197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198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199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200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201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202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203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AnY7sd9KGr7jnQvTAywCcbZzAWFCf8HgW5lQz0MDKwOmbcJsOttQJtQ6EA5FOZljHe0VANhoqY5pLQY9Lejz1A==" saltValue="xHBABRlhKJu/n+2Yoe+Tk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x14ac:dyDescent="0.25">
      <c r="A2" s="8" t="s">
        <v>78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x14ac:dyDescent="0.25">
      <c r="A3" s="8" t="s">
        <v>74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x14ac:dyDescent="0.25">
      <c r="A4" s="8" t="s">
        <v>77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x14ac:dyDescent="0.25">
      <c r="A5" s="8" t="s">
        <v>75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x14ac:dyDescent="0.25">
      <c r="A6" s="8" t="s">
        <v>76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x14ac:dyDescent="0.25">
      <c r="A7" s="8" t="s">
        <v>113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x14ac:dyDescent="0.25">
      <c r="A8" s="8" t="s">
        <v>114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x14ac:dyDescent="0.25">
      <c r="A9" s="8" t="s">
        <v>115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x14ac:dyDescent="0.25">
      <c r="A10" s="8" t="s">
        <v>116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x14ac:dyDescent="0.25">
      <c r="A11" s="8" t="s">
        <v>68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x14ac:dyDescent="0.25">
      <c r="A12" s="8" t="s">
        <v>69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x14ac:dyDescent="0.25">
      <c r="A13" s="8" t="s">
        <v>70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x14ac:dyDescent="0.25">
      <c r="A14" s="8" t="s">
        <v>71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9egfRFvJrEplNtV1A4f/02Y13MCtPAd2KZuODEPmLyZm9Gi7phGLDK2GWDPo9odOzN/nZqI8aev1qDP72ulZ0w==" saltValue="pkknxm47Re696vDHMCYav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234</v>
      </c>
      <c r="B1" s="4" t="s">
        <v>156</v>
      </c>
      <c r="C1" s="4" t="s">
        <v>160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10" ht="13" customHeight="1" x14ac:dyDescent="0.3">
      <c r="A2" s="4" t="s">
        <v>236</v>
      </c>
      <c r="B2" s="103" t="s">
        <v>104</v>
      </c>
      <c r="C2" s="8" t="s">
        <v>150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78</v>
      </c>
      <c r="C5" s="8" t="s">
        <v>150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149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74</v>
      </c>
      <c r="C8" s="8" t="s">
        <v>150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149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77</v>
      </c>
      <c r="C11" s="8" t="s">
        <v>150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149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75</v>
      </c>
      <c r="C14" s="8" t="s">
        <v>150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149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148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242</v>
      </c>
      <c r="B19" s="103" t="s">
        <v>104</v>
      </c>
      <c r="C19" s="8" t="s">
        <v>150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78</v>
      </c>
      <c r="C22" s="8" t="s">
        <v>150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74</v>
      </c>
      <c r="C25" s="8" t="s">
        <v>150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77</v>
      </c>
      <c r="C28" s="8" t="s">
        <v>150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75</v>
      </c>
      <c r="C31" s="8" t="s">
        <v>150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148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239</v>
      </c>
      <c r="B36" s="103" t="s">
        <v>104</v>
      </c>
      <c r="C36" s="8" t="s">
        <v>150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78</v>
      </c>
      <c r="C39" s="8" t="s">
        <v>150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74</v>
      </c>
      <c r="C42" s="8" t="s">
        <v>150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77</v>
      </c>
      <c r="C45" s="8" t="s">
        <v>150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75</v>
      </c>
      <c r="C48" s="8" t="s">
        <v>150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148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234</v>
      </c>
      <c r="B54" s="4" t="s">
        <v>156</v>
      </c>
      <c r="C54" s="4" t="s">
        <v>160</v>
      </c>
      <c r="D54" s="4" t="s">
        <v>78</v>
      </c>
      <c r="E54" s="4" t="s">
        <v>74</v>
      </c>
      <c r="F54" s="4" t="s">
        <v>77</v>
      </c>
      <c r="G54" s="4" t="s">
        <v>75</v>
      </c>
      <c r="H54" s="4" t="s">
        <v>76</v>
      </c>
    </row>
    <row r="55" spans="1:8" ht="13" customHeight="1" x14ac:dyDescent="0.3">
      <c r="A55" s="4" t="s">
        <v>237</v>
      </c>
      <c r="B55" s="103" t="s">
        <v>104</v>
      </c>
      <c r="C55" s="8" t="s">
        <v>150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78</v>
      </c>
      <c r="C58" s="8" t="s">
        <v>150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149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74</v>
      </c>
      <c r="C61" s="8" t="s">
        <v>150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149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77</v>
      </c>
      <c r="C64" s="8" t="s">
        <v>150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149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75</v>
      </c>
      <c r="C67" s="8" t="s">
        <v>150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148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243</v>
      </c>
      <c r="B72" s="103" t="s">
        <v>104</v>
      </c>
      <c r="C72" s="8" t="s">
        <v>150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78</v>
      </c>
      <c r="C75" s="8" t="s">
        <v>150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74</v>
      </c>
      <c r="C78" s="8" t="s">
        <v>150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77</v>
      </c>
      <c r="C81" s="8" t="s">
        <v>150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75</v>
      </c>
      <c r="C84" s="8" t="s">
        <v>150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148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240</v>
      </c>
      <c r="B89" s="103" t="s">
        <v>104</v>
      </c>
      <c r="C89" s="8" t="s">
        <v>150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78</v>
      </c>
      <c r="C92" s="8" t="s">
        <v>150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74</v>
      </c>
      <c r="C95" s="8" t="s">
        <v>150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77</v>
      </c>
      <c r="C98" s="8" t="s">
        <v>150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75</v>
      </c>
      <c r="C101" s="8" t="s">
        <v>150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148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245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234</v>
      </c>
      <c r="B107" s="4" t="s">
        <v>156</v>
      </c>
      <c r="C107" s="4" t="s">
        <v>160</v>
      </c>
      <c r="D107" s="4" t="s">
        <v>78</v>
      </c>
      <c r="E107" s="4" t="s">
        <v>74</v>
      </c>
      <c r="F107" s="4" t="s">
        <v>77</v>
      </c>
      <c r="G107" s="4" t="s">
        <v>75</v>
      </c>
      <c r="H107" s="4" t="s">
        <v>76</v>
      </c>
    </row>
    <row r="108" spans="1:8" ht="13" customHeight="1" x14ac:dyDescent="0.3">
      <c r="A108" s="4" t="s">
        <v>238</v>
      </c>
      <c r="B108" s="103" t="s">
        <v>104</v>
      </c>
      <c r="C108" s="8" t="s">
        <v>150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78</v>
      </c>
      <c r="C111" s="8" t="s">
        <v>150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149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155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74</v>
      </c>
      <c r="C114" s="8" t="s">
        <v>150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149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155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77</v>
      </c>
      <c r="C117" s="8" t="s">
        <v>150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149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155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75</v>
      </c>
      <c r="C120" s="8" t="s">
        <v>150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149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155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148</v>
      </c>
      <c r="C123" s="8" t="s">
        <v>155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244</v>
      </c>
      <c r="B125" s="103" t="s">
        <v>104</v>
      </c>
      <c r="C125" s="8" t="s">
        <v>150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149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155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78</v>
      </c>
      <c r="C128" s="8" t="s">
        <v>150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149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155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74</v>
      </c>
      <c r="C131" s="8" t="s">
        <v>150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149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155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77</v>
      </c>
      <c r="C134" s="8" t="s">
        <v>150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149</v>
      </c>
      <c r="D135" s="88">
        <f t="shared" ref="D135:H140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155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75</v>
      </c>
      <c r="C137" s="8" t="s">
        <v>150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149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155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148</v>
      </c>
      <c r="C140" s="8" t="s">
        <v>155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241</v>
      </c>
      <c r="B142" s="103" t="s">
        <v>104</v>
      </c>
      <c r="C142" s="8" t="s">
        <v>150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149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155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78</v>
      </c>
      <c r="C145" s="8" t="s">
        <v>150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149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155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74</v>
      </c>
      <c r="C148" s="8" t="s">
        <v>150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149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155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77</v>
      </c>
      <c r="C151" s="8" t="s">
        <v>150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149</v>
      </c>
      <c r="D152" s="88">
        <f t="shared" ref="D152:H157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155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75</v>
      </c>
      <c r="C154" s="8" t="s">
        <v>150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149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155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148</v>
      </c>
      <c r="C157" s="8" t="s">
        <v>155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87WEj6UMLbTSIPGxrQdbwvHCjWtYuDvL5vFwjOG0tdWa8Amd6AJgBxoi3FbjGHqi9oHFTO1JaWy4K1/qZTspPQ==" saltValue="4XQTHR0FrznzM85H8rFgAg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248</v>
      </c>
    </row>
    <row r="2" spans="1:6" ht="15.75" customHeight="1" x14ac:dyDescent="0.3">
      <c r="B2" s="69"/>
      <c r="C2" s="26" t="s">
        <v>58</v>
      </c>
      <c r="D2" s="70" t="s">
        <v>59</v>
      </c>
      <c r="E2" s="70" t="s">
        <v>51</v>
      </c>
      <c r="F2" s="70" t="s">
        <v>52</v>
      </c>
    </row>
    <row r="3" spans="1:6" ht="15.75" customHeight="1" x14ac:dyDescent="0.3">
      <c r="A3" s="4" t="s">
        <v>255</v>
      </c>
      <c r="B3" s="14"/>
      <c r="C3" s="71"/>
      <c r="D3" s="72"/>
      <c r="E3" s="72"/>
      <c r="F3" s="72"/>
    </row>
    <row r="4" spans="1:6" ht="15.75" customHeight="1" x14ac:dyDescent="0.25">
      <c r="B4" s="5" t="s">
        <v>27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63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10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11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252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261</v>
      </c>
      <c r="C11" s="74"/>
      <c r="D11" s="75"/>
      <c r="E11" s="75"/>
      <c r="F11" s="75"/>
    </row>
    <row r="12" spans="1:6" ht="15.75" customHeight="1" x14ac:dyDescent="0.3">
      <c r="A12" s="4" t="s">
        <v>249</v>
      </c>
      <c r="C12" s="73"/>
      <c r="D12" s="64"/>
      <c r="E12" s="64"/>
      <c r="F12" s="64"/>
    </row>
    <row r="13" spans="1:6" ht="15.75" customHeight="1" x14ac:dyDescent="0.25">
      <c r="B13" s="11" t="s">
        <v>264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119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258</v>
      </c>
      <c r="B17" s="14"/>
      <c r="C17" s="77"/>
      <c r="D17" s="78"/>
      <c r="E17" s="78"/>
      <c r="F17" s="78"/>
    </row>
    <row r="18" spans="1:6" ht="15.75" customHeight="1" x14ac:dyDescent="0.25">
      <c r="B18" s="5" t="s">
        <v>93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95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96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98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92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94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248</v>
      </c>
    </row>
    <row r="29" spans="1:6" ht="15.75" customHeight="1" x14ac:dyDescent="0.3">
      <c r="B29" s="69"/>
      <c r="C29" s="26" t="s">
        <v>58</v>
      </c>
      <c r="D29" s="70" t="s">
        <v>59</v>
      </c>
      <c r="E29" s="70" t="s">
        <v>51</v>
      </c>
      <c r="F29" s="70" t="s">
        <v>52</v>
      </c>
    </row>
    <row r="30" spans="1:6" ht="15.75" customHeight="1" x14ac:dyDescent="0.3">
      <c r="A30" s="4" t="s">
        <v>256</v>
      </c>
      <c r="B30" s="14"/>
      <c r="C30" s="71"/>
      <c r="D30" s="72"/>
      <c r="E30" s="72"/>
      <c r="F30" s="72"/>
    </row>
    <row r="31" spans="1:6" ht="15.75" customHeight="1" x14ac:dyDescent="0.25">
      <c r="B31" s="5" t="s">
        <v>27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63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10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11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261</v>
      </c>
      <c r="B38" s="68"/>
      <c r="C38" s="74"/>
      <c r="D38" s="75"/>
      <c r="E38" s="75"/>
      <c r="F38" s="75"/>
    </row>
    <row r="39" spans="1:6" ht="15.75" customHeight="1" x14ac:dyDescent="0.3">
      <c r="A39" s="4" t="s">
        <v>250</v>
      </c>
      <c r="C39" s="73"/>
      <c r="D39" s="64"/>
      <c r="E39" s="64"/>
      <c r="F39" s="64"/>
    </row>
    <row r="40" spans="1:6" ht="15.75" customHeight="1" x14ac:dyDescent="0.25">
      <c r="B40" s="11" t="s">
        <v>265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246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262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259</v>
      </c>
      <c r="B44" s="14"/>
      <c r="C44" s="77"/>
      <c r="D44" s="78"/>
      <c r="E44" s="78"/>
      <c r="F44" s="78"/>
    </row>
    <row r="45" spans="1:6" ht="15.75" customHeight="1" x14ac:dyDescent="0.25">
      <c r="B45" s="5" t="s">
        <v>93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95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96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98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92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94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245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248</v>
      </c>
    </row>
    <row r="56" spans="1:6" ht="15.75" customHeight="1" x14ac:dyDescent="0.3">
      <c r="B56" s="69"/>
      <c r="C56" s="26" t="s">
        <v>58</v>
      </c>
      <c r="D56" s="70" t="s">
        <v>59</v>
      </c>
      <c r="E56" s="70" t="s">
        <v>51</v>
      </c>
      <c r="F56" s="70" t="s">
        <v>52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63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10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11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261</v>
      </c>
      <c r="B65" s="68"/>
      <c r="C65" s="74"/>
      <c r="D65" s="75"/>
      <c r="E65" s="75"/>
      <c r="F65" s="75"/>
    </row>
    <row r="66" spans="1:6" ht="15.75" customHeight="1" x14ac:dyDescent="0.3">
      <c r="A66" s="4" t="s">
        <v>251</v>
      </c>
      <c r="C66" s="73"/>
      <c r="D66" s="64"/>
      <c r="E66" s="64"/>
      <c r="F66" s="64"/>
    </row>
    <row r="67" spans="1:6" ht="15.75" customHeight="1" x14ac:dyDescent="0.25">
      <c r="B67" s="11" t="s">
        <v>266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247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263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260</v>
      </c>
      <c r="B71" s="14"/>
      <c r="C71" s="77"/>
      <c r="D71" s="78"/>
      <c r="E71" s="78"/>
      <c r="F71" s="78"/>
    </row>
    <row r="72" spans="1:6" ht="15.75" customHeight="1" x14ac:dyDescent="0.25">
      <c r="B72" s="5" t="s">
        <v>93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95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96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98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92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94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3xQ6+8PhZ09nxCapdzZEXqLVwbM5uDd0eMluSnNX0xh9VEtRCjqEx1ORmWgKteVSkIH7migcZqfWKgOCKTYHVg==" saltValue="0IsJ5G5MbqZpInOfLy2J3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30" sqref="D30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278</v>
      </c>
    </row>
    <row r="2" spans="1:16" ht="13" customHeight="1" x14ac:dyDescent="0.3">
      <c r="A2" s="39" t="s">
        <v>230</v>
      </c>
      <c r="B2" s="1" t="s">
        <v>270</v>
      </c>
      <c r="C2" s="1" t="s">
        <v>271</v>
      </c>
      <c r="D2" s="70" t="s">
        <v>78</v>
      </c>
      <c r="E2" s="70" t="s">
        <v>74</v>
      </c>
      <c r="F2" s="70" t="s">
        <v>77</v>
      </c>
      <c r="G2" s="70" t="s">
        <v>75</v>
      </c>
      <c r="H2" s="70" t="s">
        <v>76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84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273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274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272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102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273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274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272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273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274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272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273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274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272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273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274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272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99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273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274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272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279</v>
      </c>
    </row>
    <row r="29" spans="1:16" ht="13" customHeight="1" x14ac:dyDescent="0.3">
      <c r="A29" s="39" t="s">
        <v>282</v>
      </c>
      <c r="B29" s="4" t="s">
        <v>270</v>
      </c>
      <c r="C29" s="4" t="s">
        <v>281</v>
      </c>
      <c r="D29" s="70" t="s">
        <v>78</v>
      </c>
      <c r="E29" s="70" t="s">
        <v>74</v>
      </c>
      <c r="F29" s="70" t="s">
        <v>77</v>
      </c>
      <c r="G29" s="70" t="s">
        <v>75</v>
      </c>
      <c r="H29" s="70" t="s">
        <v>76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84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273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102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273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273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273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273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99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273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276</v>
      </c>
    </row>
    <row r="56" spans="1:16" ht="26" customHeight="1" x14ac:dyDescent="0.3">
      <c r="A56" s="39" t="s">
        <v>105</v>
      </c>
      <c r="B56" s="4" t="s">
        <v>270</v>
      </c>
      <c r="C56" s="69" t="s">
        <v>267</v>
      </c>
      <c r="D56" s="70" t="s">
        <v>113</v>
      </c>
      <c r="E56" s="70" t="s">
        <v>114</v>
      </c>
      <c r="F56" s="70" t="s">
        <v>115</v>
      </c>
      <c r="G56" s="70" t="s">
        <v>116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81</v>
      </c>
      <c r="C57" s="3" t="s">
        <v>275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268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89</v>
      </c>
      <c r="C59" s="3" t="s">
        <v>275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268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275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268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277</v>
      </c>
    </row>
    <row r="65" spans="1:16" ht="26" customHeight="1" x14ac:dyDescent="0.3">
      <c r="A65" s="39" t="s">
        <v>123</v>
      </c>
      <c r="B65" s="4" t="s">
        <v>270</v>
      </c>
      <c r="C65" s="69" t="s">
        <v>269</v>
      </c>
      <c r="D65" s="70" t="s">
        <v>78</v>
      </c>
      <c r="E65" s="70" t="s">
        <v>74</v>
      </c>
      <c r="F65" s="70" t="s">
        <v>77</v>
      </c>
      <c r="G65" s="70" t="s">
        <v>75</v>
      </c>
      <c r="H65" s="81" t="s">
        <v>76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93</v>
      </c>
      <c r="C66" s="3" t="s">
        <v>124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127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126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125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124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127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126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125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95</v>
      </c>
      <c r="C74" s="3" t="s">
        <v>124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127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126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125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96</v>
      </c>
      <c r="C78" s="3" t="s">
        <v>124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127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126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125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84</v>
      </c>
      <c r="C82" s="3" t="s">
        <v>124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127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126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125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102</v>
      </c>
      <c r="C86" s="3" t="s">
        <v>124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127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126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125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124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127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126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125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124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127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126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125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101</v>
      </c>
      <c r="C98" s="3" t="s">
        <v>124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127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126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125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84</v>
      </c>
      <c r="B104" s="82" t="s">
        <v>125</v>
      </c>
      <c r="C104" s="69" t="s">
        <v>269</v>
      </c>
      <c r="D104" s="70" t="s">
        <v>78</v>
      </c>
      <c r="E104" s="70" t="s">
        <v>74</v>
      </c>
      <c r="F104" s="70" t="s">
        <v>77</v>
      </c>
      <c r="G104" s="70" t="s">
        <v>75</v>
      </c>
      <c r="H104" s="81" t="s">
        <v>76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124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127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126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125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278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230</v>
      </c>
      <c r="B112" s="1" t="s">
        <v>270</v>
      </c>
      <c r="C112" s="1" t="s">
        <v>271</v>
      </c>
      <c r="D112" s="70" t="s">
        <v>78</v>
      </c>
      <c r="E112" s="70" t="s">
        <v>74</v>
      </c>
      <c r="F112" s="70" t="s">
        <v>77</v>
      </c>
      <c r="G112" s="70" t="s">
        <v>75</v>
      </c>
      <c r="H112" s="70" t="s">
        <v>76</v>
      </c>
    </row>
    <row r="113" spans="1:8" ht="13" customHeight="1" x14ac:dyDescent="0.3">
      <c r="A113" s="4"/>
      <c r="B113" s="8" t="s">
        <v>84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273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274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272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102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273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274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272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273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274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272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273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274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272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273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274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272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99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273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274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272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279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282</v>
      </c>
      <c r="B139" s="4" t="s">
        <v>270</v>
      </c>
      <c r="C139" s="4" t="s">
        <v>281</v>
      </c>
      <c r="D139" s="70" t="s">
        <v>78</v>
      </c>
      <c r="E139" s="70" t="s">
        <v>74</v>
      </c>
      <c r="F139" s="70" t="s">
        <v>77</v>
      </c>
      <c r="G139" s="70" t="s">
        <v>75</v>
      </c>
      <c r="H139" s="70" t="s">
        <v>76</v>
      </c>
    </row>
    <row r="140" spans="1:8" ht="13" customHeight="1" x14ac:dyDescent="0.3">
      <c r="A140" s="4"/>
      <c r="B140" s="8" t="s">
        <v>84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273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102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273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273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273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273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99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273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276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105</v>
      </c>
      <c r="B166" s="4" t="s">
        <v>270</v>
      </c>
      <c r="C166" s="69" t="s">
        <v>267</v>
      </c>
      <c r="D166" s="70" t="s">
        <v>113</v>
      </c>
      <c r="E166" s="70" t="s">
        <v>114</v>
      </c>
      <c r="F166" s="70" t="s">
        <v>115</v>
      </c>
      <c r="G166" s="70" t="s">
        <v>116</v>
      </c>
      <c r="H166" s="79"/>
    </row>
    <row r="167" spans="1:8" ht="13" customHeight="1" x14ac:dyDescent="0.3">
      <c r="A167" s="4"/>
      <c r="B167" s="8" t="s">
        <v>81</v>
      </c>
      <c r="C167" s="3" t="s">
        <v>275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268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89</v>
      </c>
      <c r="C169" s="3" t="s">
        <v>275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268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275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268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277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123</v>
      </c>
      <c r="B175" s="4" t="s">
        <v>270</v>
      </c>
      <c r="C175" s="69" t="s">
        <v>269</v>
      </c>
      <c r="D175" s="70" t="s">
        <v>78</v>
      </c>
      <c r="E175" s="70" t="s">
        <v>74</v>
      </c>
      <c r="F175" s="70" t="s">
        <v>77</v>
      </c>
      <c r="G175" s="70" t="s">
        <v>75</v>
      </c>
      <c r="H175" s="81" t="s">
        <v>76</v>
      </c>
    </row>
    <row r="176" spans="1:8" ht="13" customHeight="1" x14ac:dyDescent="0.3">
      <c r="A176" s="82"/>
      <c r="B176" s="8" t="s">
        <v>93</v>
      </c>
      <c r="C176" s="3" t="s">
        <v>124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127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126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125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124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127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126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125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95</v>
      </c>
      <c r="C184" s="3" t="s">
        <v>124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127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126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125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96</v>
      </c>
      <c r="C188" s="3" t="s">
        <v>124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127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126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125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84</v>
      </c>
      <c r="C192" s="3" t="s">
        <v>124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127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126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125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102</v>
      </c>
      <c r="C196" s="3" t="s">
        <v>124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127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126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125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124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127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126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125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124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127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126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125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101</v>
      </c>
      <c r="C208" s="3" t="s">
        <v>124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127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126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125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84</v>
      </c>
      <c r="B214" s="82" t="s">
        <v>125</v>
      </c>
      <c r="C214" s="69" t="s">
        <v>269</v>
      </c>
      <c r="D214" s="70" t="s">
        <v>78</v>
      </c>
      <c r="E214" s="70" t="s">
        <v>74</v>
      </c>
      <c r="F214" s="70" t="s">
        <v>77</v>
      </c>
      <c r="G214" s="70" t="s">
        <v>75</v>
      </c>
      <c r="H214" s="81" t="s">
        <v>76</v>
      </c>
    </row>
    <row r="215" spans="1:9" ht="13" customHeight="1" x14ac:dyDescent="0.3">
      <c r="A215" s="4"/>
      <c r="C215" s="3" t="s">
        <v>124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127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126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125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245</v>
      </c>
      <c r="H220" s="92"/>
    </row>
    <row r="221" spans="1:9" ht="13" customHeight="1" x14ac:dyDescent="0.3">
      <c r="A221" s="67" t="s">
        <v>278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230</v>
      </c>
      <c r="B222" s="1" t="s">
        <v>270</v>
      </c>
      <c r="C222" s="1" t="s">
        <v>271</v>
      </c>
      <c r="D222" s="70" t="s">
        <v>78</v>
      </c>
      <c r="E222" s="70" t="s">
        <v>74</v>
      </c>
      <c r="F222" s="70" t="s">
        <v>77</v>
      </c>
      <c r="G222" s="70" t="s">
        <v>75</v>
      </c>
      <c r="H222" s="70" t="s">
        <v>76</v>
      </c>
      <c r="I222" s="79"/>
    </row>
    <row r="223" spans="1:9" ht="13" customHeight="1" x14ac:dyDescent="0.3">
      <c r="A223" s="4"/>
      <c r="B223" s="8" t="s">
        <v>84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273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274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272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102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273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274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272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273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274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272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273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274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272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273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274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272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99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273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274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272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282</v>
      </c>
      <c r="B249" s="4" t="s">
        <v>270</v>
      </c>
      <c r="C249" s="4" t="s">
        <v>281</v>
      </c>
      <c r="D249" s="70" t="s">
        <v>78</v>
      </c>
      <c r="E249" s="70" t="s">
        <v>74</v>
      </c>
      <c r="F249" s="70" t="s">
        <v>77</v>
      </c>
      <c r="G249" s="70" t="s">
        <v>75</v>
      </c>
      <c r="H249" s="70" t="s">
        <v>76</v>
      </c>
      <c r="I249" s="79"/>
    </row>
    <row r="250" spans="1:9" ht="13" customHeight="1" x14ac:dyDescent="0.3">
      <c r="A250" s="4"/>
      <c r="B250" s="8" t="s">
        <v>84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273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102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273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273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273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273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99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273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276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105</v>
      </c>
      <c r="B276" s="4" t="s">
        <v>270</v>
      </c>
      <c r="C276" s="69" t="s">
        <v>267</v>
      </c>
      <c r="D276" s="70" t="s">
        <v>113</v>
      </c>
      <c r="E276" s="70" t="s">
        <v>114</v>
      </c>
      <c r="F276" s="70" t="s">
        <v>115</v>
      </c>
      <c r="G276" s="70" t="s">
        <v>116</v>
      </c>
      <c r="H276" s="79"/>
    </row>
    <row r="277" spans="1:9" ht="13" customHeight="1" x14ac:dyDescent="0.3">
      <c r="A277" s="4"/>
      <c r="B277" s="8" t="s">
        <v>81</v>
      </c>
      <c r="C277" s="3" t="s">
        <v>275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268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89</v>
      </c>
      <c r="C279" s="3" t="s">
        <v>275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268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275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268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277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123</v>
      </c>
      <c r="B285" s="4" t="s">
        <v>270</v>
      </c>
      <c r="C285" s="69" t="s">
        <v>269</v>
      </c>
      <c r="D285" s="70" t="s">
        <v>78</v>
      </c>
      <c r="E285" s="70" t="s">
        <v>74</v>
      </c>
      <c r="F285" s="70" t="s">
        <v>77</v>
      </c>
      <c r="G285" s="70" t="s">
        <v>75</v>
      </c>
      <c r="H285" s="81" t="s">
        <v>76</v>
      </c>
      <c r="I285" s="79"/>
    </row>
    <row r="286" spans="1:9" ht="13" customHeight="1" x14ac:dyDescent="0.3">
      <c r="A286" s="82"/>
      <c r="B286" s="8" t="s">
        <v>93</v>
      </c>
      <c r="C286" s="3" t="s">
        <v>124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127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126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125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124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127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126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125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95</v>
      </c>
      <c r="C294" s="3" t="s">
        <v>124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127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126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125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96</v>
      </c>
      <c r="C298" s="3" t="s">
        <v>124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127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126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125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84</v>
      </c>
      <c r="C302" s="3" t="s">
        <v>124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127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126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125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102</v>
      </c>
      <c r="C306" s="3" t="s">
        <v>124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127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126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125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124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127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126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125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124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127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126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125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101</v>
      </c>
      <c r="C318" s="3" t="s">
        <v>124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127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126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125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84</v>
      </c>
      <c r="B324" s="82" t="s">
        <v>125</v>
      </c>
      <c r="C324" s="69" t="s">
        <v>269</v>
      </c>
      <c r="D324" s="70" t="s">
        <v>78</v>
      </c>
      <c r="E324" s="70" t="s">
        <v>74</v>
      </c>
      <c r="F324" s="70" t="s">
        <v>77</v>
      </c>
      <c r="G324" s="70" t="s">
        <v>75</v>
      </c>
      <c r="H324" s="81" t="s">
        <v>76</v>
      </c>
      <c r="I324" s="79"/>
    </row>
    <row r="325" spans="1:9" ht="13" customHeight="1" x14ac:dyDescent="0.3">
      <c r="A325" s="4"/>
      <c r="C325" s="3" t="s">
        <v>124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127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126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125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b+LvRW9NRzVIhxASK4O/0xnXCa6tmOjEFbol+przeBACSwv0tA1/twQ+5HeBcJqdw4/KD/HT7cWNBKmHaTiGUw==" saltValue="r5XD2vcSzOgXbhFtCuC1L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313</v>
      </c>
    </row>
    <row r="2" spans="1:7" ht="14.25" customHeight="1" x14ac:dyDescent="0.3">
      <c r="A2" s="82" t="s">
        <v>208</v>
      </c>
      <c r="B2" s="1"/>
      <c r="C2" s="4" t="s">
        <v>78</v>
      </c>
      <c r="D2" s="4" t="s">
        <v>74</v>
      </c>
      <c r="E2" s="4" t="s">
        <v>77</v>
      </c>
      <c r="F2" s="4" t="s">
        <v>75</v>
      </c>
      <c r="G2" s="4" t="s">
        <v>76</v>
      </c>
    </row>
    <row r="3" spans="1:7" ht="14.25" customHeight="1" x14ac:dyDescent="0.25">
      <c r="B3" s="11" t="s">
        <v>300</v>
      </c>
      <c r="C3" s="90" t="s">
        <v>8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286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283</v>
      </c>
    </row>
    <row r="6" spans="1:7" ht="14.25" customHeight="1" x14ac:dyDescent="0.25">
      <c r="B6" s="5" t="s">
        <v>193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204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307</v>
      </c>
    </row>
    <row r="12" spans="1:7" ht="14.25" customHeight="1" x14ac:dyDescent="0.3">
      <c r="A12" s="14"/>
      <c r="B12" s="11" t="s">
        <v>182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314</v>
      </c>
    </row>
    <row r="15" spans="1:7" ht="14.25" customHeight="1" x14ac:dyDescent="0.3">
      <c r="A15" s="82" t="s">
        <v>282</v>
      </c>
      <c r="B15" s="5" t="s">
        <v>294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291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105</v>
      </c>
      <c r="B17" s="11" t="s">
        <v>297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310</v>
      </c>
    </row>
    <row r="20" spans="1:7" s="14" customFormat="1" ht="14.25" customHeight="1" x14ac:dyDescent="0.3">
      <c r="C20" s="4" t="s">
        <v>68</v>
      </c>
      <c r="D20" s="4" t="s">
        <v>69</v>
      </c>
      <c r="E20" s="4" t="s">
        <v>70</v>
      </c>
      <c r="F20" s="4" t="s">
        <v>71</v>
      </c>
    </row>
    <row r="21" spans="1:7" x14ac:dyDescent="0.25">
      <c r="B21" s="11" t="s">
        <v>170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313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208</v>
      </c>
      <c r="B25" s="1"/>
      <c r="C25" s="4" t="s">
        <v>78</v>
      </c>
      <c r="D25" s="4" t="s">
        <v>74</v>
      </c>
      <c r="E25" s="4" t="s">
        <v>77</v>
      </c>
      <c r="F25" s="4" t="s">
        <v>75</v>
      </c>
      <c r="G25" s="4" t="s">
        <v>76</v>
      </c>
    </row>
    <row r="26" spans="1:7" x14ac:dyDescent="0.25">
      <c r="B26" s="11" t="s">
        <v>301</v>
      </c>
      <c r="C26" s="90" t="s">
        <v>8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287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284</v>
      </c>
    </row>
    <row r="29" spans="1:7" x14ac:dyDescent="0.25">
      <c r="B29" s="5" t="s">
        <v>315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305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319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317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308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303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314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282</v>
      </c>
      <c r="B38" s="5" t="s">
        <v>295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292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105</v>
      </c>
      <c r="B40" s="11" t="s">
        <v>298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311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68</v>
      </c>
      <c r="D43" s="4" t="s">
        <v>69</v>
      </c>
      <c r="E43" s="4" t="s">
        <v>70</v>
      </c>
      <c r="F43" s="4" t="s">
        <v>71</v>
      </c>
      <c r="G43" s="14"/>
    </row>
    <row r="44" spans="1:7" x14ac:dyDescent="0.25">
      <c r="B44" s="11" t="s">
        <v>289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245</v>
      </c>
    </row>
    <row r="47" spans="1:7" ht="13" customHeight="1" x14ac:dyDescent="0.3">
      <c r="A47" s="67" t="s">
        <v>313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208</v>
      </c>
      <c r="B48" s="1"/>
      <c r="C48" s="4" t="s">
        <v>78</v>
      </c>
      <c r="D48" s="4" t="s">
        <v>74</v>
      </c>
      <c r="E48" s="4" t="s">
        <v>77</v>
      </c>
      <c r="F48" s="4" t="s">
        <v>75</v>
      </c>
      <c r="G48" s="4" t="s">
        <v>76</v>
      </c>
    </row>
    <row r="49" spans="1:7" x14ac:dyDescent="0.25">
      <c r="B49" s="11" t="s">
        <v>302</v>
      </c>
      <c r="C49" s="90" t="s">
        <v>8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288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285</v>
      </c>
    </row>
    <row r="52" spans="1:7" x14ac:dyDescent="0.25">
      <c r="B52" s="5" t="s">
        <v>316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320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318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309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314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282</v>
      </c>
      <c r="B61" s="5" t="s">
        <v>296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293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105</v>
      </c>
      <c r="B63" s="11" t="s">
        <v>299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312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68</v>
      </c>
      <c r="D66" s="4" t="s">
        <v>69</v>
      </c>
      <c r="E66" s="4" t="s">
        <v>70</v>
      </c>
      <c r="F66" s="4" t="s">
        <v>71</v>
      </c>
      <c r="G66" s="14"/>
    </row>
    <row r="67" spans="1:7" x14ac:dyDescent="0.25">
      <c r="B67" s="11" t="s">
        <v>290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b5Y50zijguOICfSIS/wrgMCGkIpSjGnQX072ZEXoZs2ELNAMnrNf4esLJ+dg7iwhTdSV3CRLWa3yOlXW3MKLmQ==" saltValue="zhFYe4VsAWfWZXI41//Bx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163</v>
      </c>
      <c r="B1" s="4"/>
      <c r="C1" s="4" t="s">
        <v>52</v>
      </c>
      <c r="D1" s="4" t="s">
        <v>59</v>
      </c>
      <c r="E1" s="4" t="s">
        <v>51</v>
      </c>
      <c r="F1" s="1" t="s">
        <v>58</v>
      </c>
    </row>
    <row r="2" spans="1:6" ht="15.75" customHeight="1" x14ac:dyDescent="0.25">
      <c r="A2" s="5" t="s">
        <v>165</v>
      </c>
      <c r="B2" s="5" t="s">
        <v>322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178</v>
      </c>
      <c r="B4" s="5" t="s">
        <v>322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179</v>
      </c>
      <c r="B6" s="5" t="s">
        <v>322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180</v>
      </c>
      <c r="B8" s="5" t="s">
        <v>322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322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191</v>
      </c>
      <c r="B12" s="5" t="s">
        <v>322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163</v>
      </c>
      <c r="B16" s="4"/>
      <c r="C16" s="4" t="s">
        <v>52</v>
      </c>
      <c r="D16" s="4" t="s">
        <v>59</v>
      </c>
      <c r="E16" s="4" t="s">
        <v>51</v>
      </c>
      <c r="F16" s="1" t="s">
        <v>58</v>
      </c>
    </row>
    <row r="17" spans="1:6" ht="15.75" customHeight="1" x14ac:dyDescent="0.25">
      <c r="A17" s="5" t="s">
        <v>165</v>
      </c>
      <c r="B17" s="5" t="s">
        <v>322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178</v>
      </c>
      <c r="B19" s="5" t="s">
        <v>322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179</v>
      </c>
      <c r="B21" s="5" t="s">
        <v>322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180</v>
      </c>
      <c r="B23" s="5" t="s">
        <v>322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322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191</v>
      </c>
      <c r="B27" s="5" t="s">
        <v>322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245</v>
      </c>
    </row>
    <row r="31" spans="1:6" ht="15.75" customHeight="1" x14ac:dyDescent="0.3">
      <c r="A31" s="1" t="s">
        <v>163</v>
      </c>
      <c r="B31" s="4"/>
      <c r="C31" s="4" t="s">
        <v>52</v>
      </c>
      <c r="D31" s="4" t="s">
        <v>59</v>
      </c>
      <c r="E31" s="4" t="s">
        <v>51</v>
      </c>
      <c r="F31" s="1" t="s">
        <v>58</v>
      </c>
    </row>
    <row r="32" spans="1:6" ht="15.75" customHeight="1" x14ac:dyDescent="0.25">
      <c r="A32" s="5" t="s">
        <v>165</v>
      </c>
      <c r="B32" s="5" t="s">
        <v>322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178</v>
      </c>
      <c r="B34" s="5" t="s">
        <v>322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179</v>
      </c>
      <c r="B36" s="5" t="s">
        <v>322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180</v>
      </c>
      <c r="B38" s="5" t="s">
        <v>322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322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191</v>
      </c>
      <c r="B42" s="5" t="s">
        <v>322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uuMUyqYnIiGxvQWiS0oIy3EvuMs/W+gh9B9AvVWfch5Xw6C3fpqZOPTISYKXXx8BoQfWrmRz/7mBg6q0/wxBWw==" saltValue="Vr3pIomWY4Z4nkdgkgDUM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78</v>
      </c>
      <c r="D1" s="70" t="s">
        <v>74</v>
      </c>
      <c r="E1" s="70" t="s">
        <v>77</v>
      </c>
      <c r="F1" s="70" t="s">
        <v>75</v>
      </c>
      <c r="G1" s="70" t="s">
        <v>76</v>
      </c>
      <c r="H1" s="70" t="s">
        <v>68</v>
      </c>
      <c r="I1" s="70" t="s">
        <v>69</v>
      </c>
      <c r="J1" s="70" t="s">
        <v>70</v>
      </c>
      <c r="K1" s="70" t="s">
        <v>71</v>
      </c>
      <c r="L1" s="70" t="s">
        <v>113</v>
      </c>
      <c r="M1" s="70" t="s">
        <v>114</v>
      </c>
      <c r="N1" s="70" t="s">
        <v>115</v>
      </c>
      <c r="O1" s="70" t="s">
        <v>116</v>
      </c>
    </row>
    <row r="2" spans="1:15" ht="13" customHeight="1" x14ac:dyDescent="0.3">
      <c r="A2" s="4" t="s">
        <v>326</v>
      </c>
    </row>
    <row r="3" spans="1:15" x14ac:dyDescent="0.25">
      <c r="B3" s="11" t="s">
        <v>169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174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175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176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177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178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179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180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190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191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171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172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173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181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78</v>
      </c>
      <c r="D24" s="70" t="s">
        <v>74</v>
      </c>
      <c r="E24" s="70" t="s">
        <v>77</v>
      </c>
      <c r="F24" s="70" t="s">
        <v>75</v>
      </c>
      <c r="G24" s="70" t="s">
        <v>76</v>
      </c>
      <c r="H24" s="70" t="s">
        <v>68</v>
      </c>
      <c r="I24" s="70" t="s">
        <v>69</v>
      </c>
      <c r="J24" s="70" t="s">
        <v>70</v>
      </c>
      <c r="K24" s="70" t="s">
        <v>71</v>
      </c>
      <c r="L24" s="70" t="s">
        <v>113</v>
      </c>
      <c r="M24" s="70" t="s">
        <v>114</v>
      </c>
      <c r="N24" s="70" t="s">
        <v>115</v>
      </c>
      <c r="O24" s="70" t="s">
        <v>116</v>
      </c>
    </row>
    <row r="25" spans="1:15" ht="13" customHeight="1" x14ac:dyDescent="0.3">
      <c r="A25" s="4" t="s">
        <v>327</v>
      </c>
    </row>
    <row r="26" spans="1:15" x14ac:dyDescent="0.25">
      <c r="B26" s="11" t="s">
        <v>169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174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175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176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177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178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179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180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190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191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204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324</v>
      </c>
      <c r="B40" s="11"/>
    </row>
    <row r="41" spans="1:15" x14ac:dyDescent="0.25">
      <c r="B41" s="5" t="s">
        <v>171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172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173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181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245</v>
      </c>
    </row>
    <row r="47" spans="1:15" ht="26" customHeight="1" x14ac:dyDescent="0.3">
      <c r="A47" s="4"/>
      <c r="B47" s="4"/>
      <c r="C47" s="70" t="s">
        <v>78</v>
      </c>
      <c r="D47" s="70" t="s">
        <v>74</v>
      </c>
      <c r="E47" s="70" t="s">
        <v>77</v>
      </c>
      <c r="F47" s="70" t="s">
        <v>75</v>
      </c>
      <c r="G47" s="70" t="s">
        <v>76</v>
      </c>
      <c r="H47" s="70" t="s">
        <v>68</v>
      </c>
      <c r="I47" s="70" t="s">
        <v>69</v>
      </c>
      <c r="J47" s="70" t="s">
        <v>70</v>
      </c>
      <c r="K47" s="70" t="s">
        <v>71</v>
      </c>
      <c r="L47" s="70" t="s">
        <v>113</v>
      </c>
      <c r="M47" s="70" t="s">
        <v>114</v>
      </c>
      <c r="N47" s="70" t="s">
        <v>115</v>
      </c>
      <c r="O47" s="70" t="s">
        <v>116</v>
      </c>
    </row>
    <row r="48" spans="1:15" ht="13" customHeight="1" x14ac:dyDescent="0.3">
      <c r="A48" s="4" t="s">
        <v>328</v>
      </c>
    </row>
    <row r="49" spans="1:15" x14ac:dyDescent="0.25">
      <c r="B49" s="11" t="s">
        <v>169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174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175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176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177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178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179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180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190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191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204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325</v>
      </c>
      <c r="B63" s="11"/>
    </row>
    <row r="64" spans="1:15" x14ac:dyDescent="0.25">
      <c r="B64" s="5" t="s">
        <v>171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172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173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181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qfQaRkg6xvVBFMwr0a/G6s8rBaUemXMs8dkVPuS3Ah2wDi52jsy+epod3w02Qv+BMVuHSYt3CAiiZaw6PvHvqg==" saltValue="MM6eyvh7VKDSiAFAo1Q7g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</row>
    <row r="2" spans="1:7" ht="13" customHeight="1" x14ac:dyDescent="0.3">
      <c r="A2" s="4" t="s">
        <v>333</v>
      </c>
    </row>
    <row r="3" spans="1:7" x14ac:dyDescent="0.25">
      <c r="B3" s="11" t="s">
        <v>164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330</v>
      </c>
      <c r="B4" s="11"/>
      <c r="C4" s="83"/>
      <c r="D4" s="83"/>
      <c r="E4" s="83"/>
      <c r="F4" s="83"/>
      <c r="G4" s="83"/>
    </row>
    <row r="5" spans="1:7" x14ac:dyDescent="0.25">
      <c r="B5" s="5" t="s">
        <v>162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329</v>
      </c>
    </row>
    <row r="8" spans="1:7" ht="13" customHeight="1" x14ac:dyDescent="0.3">
      <c r="A8" s="4"/>
      <c r="B8" s="1"/>
      <c r="C8" s="4" t="s">
        <v>78</v>
      </c>
      <c r="D8" s="4" t="s">
        <v>74</v>
      </c>
      <c r="E8" s="4" t="s">
        <v>77</v>
      </c>
      <c r="F8" s="4" t="s">
        <v>75</v>
      </c>
      <c r="G8" s="4" t="s">
        <v>76</v>
      </c>
    </row>
    <row r="9" spans="1:7" ht="13" customHeight="1" x14ac:dyDescent="0.3">
      <c r="A9" s="4" t="s">
        <v>334</v>
      </c>
    </row>
    <row r="10" spans="1:7" x14ac:dyDescent="0.25">
      <c r="B10" s="11" t="s">
        <v>164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331</v>
      </c>
      <c r="B11" s="11"/>
      <c r="C11" s="83"/>
      <c r="D11" s="83"/>
      <c r="E11" s="83"/>
      <c r="F11" s="83"/>
      <c r="G11" s="83"/>
    </row>
    <row r="12" spans="1:7" x14ac:dyDescent="0.25">
      <c r="B12" s="5" t="s">
        <v>162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336</v>
      </c>
    </row>
    <row r="15" spans="1:7" ht="13" customHeight="1" x14ac:dyDescent="0.3">
      <c r="A15" s="4"/>
      <c r="B15" s="1"/>
      <c r="C15" s="4" t="s">
        <v>78</v>
      </c>
      <c r="D15" s="4" t="s">
        <v>74</v>
      </c>
      <c r="E15" s="4" t="s">
        <v>77</v>
      </c>
      <c r="F15" s="4" t="s">
        <v>75</v>
      </c>
      <c r="G15" s="4" t="s">
        <v>76</v>
      </c>
    </row>
    <row r="16" spans="1:7" ht="13" customHeight="1" x14ac:dyDescent="0.3">
      <c r="A16" s="4" t="s">
        <v>335</v>
      </c>
    </row>
    <row r="17" spans="1:7" x14ac:dyDescent="0.25">
      <c r="B17" s="11" t="s">
        <v>164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332</v>
      </c>
      <c r="B18" s="11"/>
      <c r="C18" s="83"/>
      <c r="D18" s="83"/>
      <c r="E18" s="83"/>
      <c r="F18" s="83"/>
      <c r="G18" s="83"/>
    </row>
    <row r="19" spans="1:7" x14ac:dyDescent="0.25">
      <c r="B19" s="5" t="s">
        <v>162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D+h/QxcTLuHLxWkL69oQFPTqyvb7oxJfrZvpYKQhl2cDUvyUTS4k5BhnGPS1KHtyE/cwT7QMJ/BfH2HoGq33dw==" saltValue="EW+RlmE50ngG8DQ+nZDgt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163</v>
      </c>
      <c r="B1" s="4" t="s">
        <v>340</v>
      </c>
      <c r="C1" s="82" t="s">
        <v>9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8" x14ac:dyDescent="0.25">
      <c r="A2" s="5" t="s">
        <v>196</v>
      </c>
      <c r="B2" s="5" t="s">
        <v>84</v>
      </c>
      <c r="C2" s="5" t="s">
        <v>337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338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193</v>
      </c>
      <c r="B5" s="5" t="s">
        <v>207</v>
      </c>
      <c r="C5" s="5" t="s">
        <v>337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338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337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338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207</v>
      </c>
      <c r="C9" s="5" t="s">
        <v>337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338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337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338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204</v>
      </c>
      <c r="B13" s="5" t="s">
        <v>207</v>
      </c>
      <c r="C13" s="5" t="s">
        <v>337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338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337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338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167</v>
      </c>
      <c r="B17" s="5" t="s">
        <v>207</v>
      </c>
      <c r="C17" s="5" t="s">
        <v>337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338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6</v>
      </c>
      <c r="C19" s="5" t="s">
        <v>337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338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173</v>
      </c>
      <c r="B21" s="5" t="s">
        <v>92</v>
      </c>
      <c r="C21" s="5" t="s">
        <v>337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171</v>
      </c>
      <c r="B23" s="5" t="s">
        <v>92</v>
      </c>
      <c r="C23" s="5" t="s">
        <v>337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172</v>
      </c>
      <c r="B25" s="5" t="s">
        <v>92</v>
      </c>
      <c r="C25" s="5" t="s">
        <v>337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200</v>
      </c>
      <c r="B27" s="5" t="s">
        <v>84</v>
      </c>
      <c r="C27" s="5" t="s">
        <v>337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338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201</v>
      </c>
      <c r="B30" s="5" t="s">
        <v>84</v>
      </c>
      <c r="C30" s="5" t="s">
        <v>337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338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199</v>
      </c>
      <c r="B33" s="5" t="s">
        <v>84</v>
      </c>
      <c r="C33" s="5" t="s">
        <v>337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338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198</v>
      </c>
      <c r="B36" s="5" t="s">
        <v>84</v>
      </c>
      <c r="C36" s="5" t="s">
        <v>337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338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197</v>
      </c>
      <c r="B39" s="5" t="s">
        <v>84</v>
      </c>
      <c r="C39" s="5" t="s">
        <v>337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338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203</v>
      </c>
      <c r="B42" s="5" t="s">
        <v>84</v>
      </c>
      <c r="C42" s="5" t="s">
        <v>337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338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102</v>
      </c>
      <c r="C45" s="5" t="s">
        <v>337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338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192</v>
      </c>
      <c r="B48" s="5" t="s">
        <v>84</v>
      </c>
      <c r="C48" s="5" t="s">
        <v>337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202</v>
      </c>
      <c r="B50" s="5" t="s">
        <v>84</v>
      </c>
      <c r="C50" s="5" t="s">
        <v>337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182</v>
      </c>
      <c r="B52" s="5" t="s">
        <v>96</v>
      </c>
      <c r="C52" s="5" t="s">
        <v>337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329</v>
      </c>
      <c r="B55" s="97"/>
      <c r="C55" s="97"/>
    </row>
    <row r="56" spans="1:8" ht="13" customHeight="1" x14ac:dyDescent="0.3">
      <c r="A56" s="4" t="s">
        <v>163</v>
      </c>
      <c r="B56" s="4" t="s">
        <v>340</v>
      </c>
      <c r="C56" s="82" t="s">
        <v>9</v>
      </c>
      <c r="D56" s="4" t="s">
        <v>78</v>
      </c>
      <c r="E56" s="4" t="s">
        <v>74</v>
      </c>
      <c r="F56" s="4" t="s">
        <v>77</v>
      </c>
      <c r="G56" s="4" t="s">
        <v>75</v>
      </c>
      <c r="H56" s="4" t="s">
        <v>76</v>
      </c>
    </row>
    <row r="57" spans="1:8" x14ac:dyDescent="0.25">
      <c r="A57" s="5" t="s">
        <v>196</v>
      </c>
      <c r="B57" s="5" t="s">
        <v>84</v>
      </c>
      <c r="C57" s="5" t="s">
        <v>337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338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193</v>
      </c>
      <c r="B60" s="5" t="s">
        <v>207</v>
      </c>
      <c r="C60" s="5" t="s">
        <v>337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338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337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338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207</v>
      </c>
      <c r="C64" s="5" t="s">
        <v>337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338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337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338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204</v>
      </c>
      <c r="B68" s="5" t="s">
        <v>207</v>
      </c>
      <c r="C68" s="5" t="s">
        <v>337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338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337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338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167</v>
      </c>
      <c r="B72" s="5" t="s">
        <v>207</v>
      </c>
      <c r="C72" s="5" t="s">
        <v>337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338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6</v>
      </c>
      <c r="C74" s="5" t="s">
        <v>337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338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173</v>
      </c>
      <c r="B76" s="5" t="s">
        <v>92</v>
      </c>
      <c r="C76" s="5" t="s">
        <v>337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171</v>
      </c>
      <c r="B78" s="5" t="s">
        <v>92</v>
      </c>
      <c r="C78" s="5" t="s">
        <v>337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172</v>
      </c>
      <c r="B80" s="5" t="s">
        <v>92</v>
      </c>
      <c r="C80" s="5" t="s">
        <v>337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200</v>
      </c>
      <c r="B82" s="5" t="s">
        <v>84</v>
      </c>
      <c r="C82" s="5" t="s">
        <v>337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338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201</v>
      </c>
      <c r="B85" s="5" t="s">
        <v>84</v>
      </c>
      <c r="C85" s="5" t="s">
        <v>337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338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199</v>
      </c>
      <c r="B88" s="5" t="s">
        <v>84</v>
      </c>
      <c r="C88" s="5" t="s">
        <v>337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338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198</v>
      </c>
      <c r="B91" s="5" t="s">
        <v>84</v>
      </c>
      <c r="C91" s="5" t="s">
        <v>337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338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197</v>
      </c>
      <c r="B94" s="5" t="s">
        <v>84</v>
      </c>
      <c r="C94" s="5" t="s">
        <v>337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338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203</v>
      </c>
      <c r="B97" s="5" t="s">
        <v>84</v>
      </c>
      <c r="C97" s="5" t="s">
        <v>337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338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102</v>
      </c>
      <c r="C100" s="5" t="s">
        <v>337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338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192</v>
      </c>
      <c r="B103" s="5" t="s">
        <v>84</v>
      </c>
      <c r="C103" s="5" t="s">
        <v>337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202</v>
      </c>
      <c r="B105" s="5" t="s">
        <v>84</v>
      </c>
      <c r="C105" s="5" t="s">
        <v>337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182</v>
      </c>
      <c r="B107" s="5" t="s">
        <v>96</v>
      </c>
      <c r="C107" s="5" t="s">
        <v>337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336</v>
      </c>
      <c r="B110" s="97"/>
      <c r="C110" s="97"/>
    </row>
    <row r="111" spans="1:8" ht="13" customHeight="1" x14ac:dyDescent="0.3">
      <c r="A111" s="4" t="s">
        <v>163</v>
      </c>
      <c r="B111" s="4" t="s">
        <v>340</v>
      </c>
      <c r="C111" s="82" t="s">
        <v>9</v>
      </c>
      <c r="D111" s="4" t="s">
        <v>78</v>
      </c>
      <c r="E111" s="4" t="s">
        <v>74</v>
      </c>
      <c r="F111" s="4" t="s">
        <v>77</v>
      </c>
      <c r="G111" s="4" t="s">
        <v>75</v>
      </c>
      <c r="H111" s="4" t="s">
        <v>76</v>
      </c>
    </row>
    <row r="112" spans="1:8" x14ac:dyDescent="0.25">
      <c r="A112" s="5" t="s">
        <v>196</v>
      </c>
      <c r="B112" s="5" t="s">
        <v>84</v>
      </c>
      <c r="C112" s="5" t="s">
        <v>337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338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193</v>
      </c>
      <c r="B115" s="5" t="s">
        <v>207</v>
      </c>
      <c r="C115" s="5" t="s">
        <v>337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338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337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338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207</v>
      </c>
      <c r="C119" s="5" t="s">
        <v>337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338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337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338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204</v>
      </c>
      <c r="B123" s="5" t="s">
        <v>207</v>
      </c>
      <c r="C123" s="5" t="s">
        <v>337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338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337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338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167</v>
      </c>
      <c r="B127" s="5" t="s">
        <v>207</v>
      </c>
      <c r="C127" s="5" t="s">
        <v>337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338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6</v>
      </c>
      <c r="C129" s="5" t="s">
        <v>337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338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173</v>
      </c>
      <c r="B131" s="5" t="s">
        <v>92</v>
      </c>
      <c r="C131" s="5" t="s">
        <v>337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171</v>
      </c>
      <c r="B133" s="5" t="s">
        <v>92</v>
      </c>
      <c r="C133" s="5" t="s">
        <v>337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172</v>
      </c>
      <c r="B135" s="5" t="s">
        <v>92</v>
      </c>
      <c r="C135" s="5" t="s">
        <v>337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200</v>
      </c>
      <c r="B137" s="5" t="s">
        <v>84</v>
      </c>
      <c r="C137" s="5" t="s">
        <v>337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338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201</v>
      </c>
      <c r="B140" s="5" t="s">
        <v>84</v>
      </c>
      <c r="C140" s="5" t="s">
        <v>337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338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199</v>
      </c>
      <c r="B143" s="5" t="s">
        <v>84</v>
      </c>
      <c r="C143" s="5" t="s">
        <v>337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338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198</v>
      </c>
      <c r="B146" s="5" t="s">
        <v>84</v>
      </c>
      <c r="C146" s="5" t="s">
        <v>337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338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197</v>
      </c>
      <c r="B149" s="5" t="s">
        <v>84</v>
      </c>
      <c r="C149" s="5" t="s">
        <v>337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338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203</v>
      </c>
      <c r="B152" s="5" t="s">
        <v>84</v>
      </c>
      <c r="C152" s="5" t="s">
        <v>337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338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102</v>
      </c>
      <c r="C155" s="5" t="s">
        <v>337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338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192</v>
      </c>
      <c r="B158" s="5" t="s">
        <v>84</v>
      </c>
      <c r="C158" s="5" t="s">
        <v>337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202</v>
      </c>
      <c r="B160" s="5" t="s">
        <v>84</v>
      </c>
      <c r="C160" s="5" t="s">
        <v>337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182</v>
      </c>
      <c r="B162" s="5" t="s">
        <v>96</v>
      </c>
      <c r="C162" s="5" t="s">
        <v>337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RkAtj3TQq5LlHMNMr4XBA7r18M6E5HN9M9AinJEgnIzA8lff21fKtPCnxquL5KFzFDmLxVLK4r9Rpv+6xZuMFw==" saltValue="amIOI4PNu0q8KtHoMLkbX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163</v>
      </c>
      <c r="B1" s="1" t="s">
        <v>340</v>
      </c>
      <c r="C1" s="1"/>
      <c r="D1" s="4" t="s">
        <v>113</v>
      </c>
      <c r="E1" s="4" t="s">
        <v>114</v>
      </c>
      <c r="F1" s="4" t="s">
        <v>115</v>
      </c>
      <c r="G1" s="4" t="s">
        <v>116</v>
      </c>
      <c r="H1" s="4"/>
    </row>
    <row r="2" spans="1:8" x14ac:dyDescent="0.25">
      <c r="A2" s="3" t="s">
        <v>166</v>
      </c>
      <c r="B2" s="8" t="s">
        <v>86</v>
      </c>
      <c r="C2" s="3" t="s">
        <v>337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189</v>
      </c>
      <c r="B4" s="8" t="s">
        <v>86</v>
      </c>
      <c r="C4" s="3" t="s">
        <v>337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188</v>
      </c>
      <c r="B6" s="8" t="s">
        <v>86</v>
      </c>
      <c r="C6" s="3" t="s">
        <v>337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329</v>
      </c>
    </row>
    <row r="10" spans="1:8" ht="13" customHeight="1" x14ac:dyDescent="0.3">
      <c r="A10" s="1" t="s">
        <v>163</v>
      </c>
      <c r="B10" s="1" t="s">
        <v>340</v>
      </c>
      <c r="C10" s="1"/>
      <c r="D10" s="4" t="s">
        <v>113</v>
      </c>
      <c r="E10" s="4" t="s">
        <v>114</v>
      </c>
      <c r="F10" s="4" t="s">
        <v>115</v>
      </c>
      <c r="G10" s="4" t="s">
        <v>116</v>
      </c>
    </row>
    <row r="11" spans="1:8" x14ac:dyDescent="0.25">
      <c r="A11" s="3" t="s">
        <v>166</v>
      </c>
      <c r="B11" s="8" t="s">
        <v>86</v>
      </c>
      <c r="C11" s="3" t="s">
        <v>337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189</v>
      </c>
      <c r="B13" s="8" t="s">
        <v>86</v>
      </c>
      <c r="C13" s="3" t="s">
        <v>337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188</v>
      </c>
      <c r="B15" s="8" t="s">
        <v>86</v>
      </c>
      <c r="C15" s="3" t="s">
        <v>337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336</v>
      </c>
    </row>
    <row r="19" spans="1:7" ht="13" customHeight="1" x14ac:dyDescent="0.3">
      <c r="A19" s="1" t="s">
        <v>163</v>
      </c>
      <c r="B19" s="1" t="s">
        <v>340</v>
      </c>
      <c r="C19" s="1"/>
      <c r="D19" s="4" t="s">
        <v>113</v>
      </c>
      <c r="E19" s="4" t="s">
        <v>114</v>
      </c>
      <c r="F19" s="4" t="s">
        <v>115</v>
      </c>
      <c r="G19" s="4" t="s">
        <v>116</v>
      </c>
    </row>
    <row r="20" spans="1:7" x14ac:dyDescent="0.25">
      <c r="A20" s="3" t="s">
        <v>166</v>
      </c>
      <c r="B20" s="8" t="s">
        <v>86</v>
      </c>
      <c r="C20" s="3" t="s">
        <v>337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189</v>
      </c>
      <c r="B22" s="8" t="s">
        <v>86</v>
      </c>
      <c r="C22" s="3" t="s">
        <v>337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188</v>
      </c>
      <c r="B24" s="8" t="s">
        <v>86</v>
      </c>
      <c r="C24" s="3" t="s">
        <v>337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G97zCNmwxwSAClEIIm+vQZ/CFq8IYWwBIwaPKALGFB+mPDGRpiMJdL9VE6ZngrWsted5RjZ9UDU8dlPrer9tvQ==" saltValue="d6gZKWc7YptfpZ6cn7yZ4g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Pérdida económica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Riesgos desenlace de nacimiento</vt:lpstr>
      <vt:lpstr>Riesgos relativos</vt:lpstr>
      <vt:lpstr>Razón de momios</vt:lpstr>
      <vt:lpstr>Resultados de nacimiento- prog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lang=es</cp:keywords>
  <cp:lastModifiedBy>Tharindu Wickramaarachchi</cp:lastModifiedBy>
  <dcterms:created xsi:type="dcterms:W3CDTF">2017-08-01T10:42:13Z</dcterms:created>
  <dcterms:modified xsi:type="dcterms:W3CDTF">2024-05-16T23:28:17Z</dcterms:modified>
</cp:coreProperties>
</file>