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harindu.wickram\Desktop\Modeling\2025 studies\Nutrition\inputs\es\LiST countries\"/>
    </mc:Choice>
  </mc:AlternateContent>
  <xr:revisionPtr revIDLastSave="0" documentId="8_{61F9C1D9-C268-4D34-A681-F36B7002C7D6}" xr6:coauthVersionLast="47" xr6:coauthVersionMax="47" xr10:uidLastSave="{00000000-0000-0000-0000-000000000000}"/>
  <bookViews>
    <workbookView xWindow="-110" yWindow="-110" windowWidth="19420" windowHeight="10420" tabRatio="961" xr2:uid="{00000000-000D-0000-FFFF-FFFF00000000}"/>
  </bookViews>
  <sheets>
    <sheet name="Entradas de población-año base" sheetId="1" r:id="rId1"/>
    <sheet name="Proyecciones demográficas" sheetId="2" r:id="rId2"/>
    <sheet name="Causas de muerte" sheetId="3" r:id="rId3"/>
    <sheet name="Distribución estado nutricional" sheetId="4" r:id="rId4"/>
    <sheet name="Distribución de lactancia" sheetId="5" r:id="rId5"/>
    <sheet name="Tendencias temporales" sheetId="6" r:id="rId6"/>
    <sheet name="Variables económicas" sheetId="7" r:id="rId7"/>
    <sheet name="Paquetes de IYCF" sheetId="8" r:id="rId8"/>
    <sheet name="Tratamiento de la MAS" sheetId="9" r:id="rId9"/>
    <sheet name="Costo y cobertura del programa" sheetId="10" r:id="rId10"/>
    <sheet name="Dependencias del programa" sheetId="11" r:id="rId11"/>
    <sheet name="Programas de referencia" sheetId="12" state="hidden" r:id="rId12"/>
    <sheet name="Incidencia de las afecciones" sheetId="13" state="hidden" r:id="rId13"/>
    <sheet name="Población objetivo del programa" sheetId="14" state="hidden" r:id="rId14"/>
    <sheet name="Opciones de la curva de costos" sheetId="15" state="hidden" r:id="rId15"/>
    <sheet name="Prog. de planificación familiar" sheetId="16" state="hidden" r:id="rId16"/>
    <sheet name="Programas población afectada" sheetId="17" state="hidden" r:id="rId17"/>
    <sheet name="Riesgos que impacta programa" sheetId="18" state="hidden" r:id="rId18"/>
    <sheet name="Riegos para la población" sheetId="19" state="hidden" r:id="rId19"/>
    <sheet name="Razón de momios IYCF" sheetId="20" state="hidden" r:id="rId20"/>
    <sheet name="Razón de momios" sheetId="23" state="hidden" r:id="rId21"/>
    <sheet name="Resultados de nacimiento- prog" sheetId="24" state="hidden" r:id="rId22"/>
    <sheet name="Riesgos desenlace de nacimiento" sheetId="21" state="hidden" r:id="rId23"/>
    <sheet name="Riesgos relativos" sheetId="22" state="hidden" r:id="rId24"/>
    <sheet name="Programas de anemia" sheetId="25" state="hidden" r:id="rId25"/>
    <sheet name="Programas para emaciación" sheetId="26" state="hidden" r:id="rId26"/>
    <sheet name="Programas para niños" sheetId="27" state="hidden" r:id="rId27"/>
    <sheet name="Prog. para mujeres embarazadas" sheetId="28" state="hidden" r:id="rId28"/>
  </sheets>
  <definedNames>
    <definedName name="abortion" localSheetId="7">'Entradas de población-año base'!$C$38</definedName>
    <definedName name="abortion">'Entradas de población-año base'!$C$41</definedName>
    <definedName name="comm_deliv">'Tratamiento de la MAS'!$D$3</definedName>
    <definedName name="diarrhoea_1_5mo">'Entradas de población-año base'!$C$52</definedName>
    <definedName name="diarrhoea_12_23mo">'Entradas de población-año base'!$C$54</definedName>
    <definedName name="diarrhoea_1mo">'Entradas de población-año base'!$C$51</definedName>
    <definedName name="diarrhoea_24_59mo">'Entradas de población-año base'!$C$55</definedName>
    <definedName name="diarrhoea_6_11mo">'Entradas de población-año base'!$C$53</definedName>
    <definedName name="end_year">'Entradas de población-año base'!$C$4</definedName>
    <definedName name="famplan_unmet_need">'Entradas de población-año base'!$C$13</definedName>
    <definedName name="food_insecure">'Entradas de población-año base'!$C$8</definedName>
    <definedName name="frac_children_health_facility">'Entradas de población-año base'!$C$12</definedName>
    <definedName name="frac_diarrhea_severe">'Entradas de población-año base'!$C$58</definedName>
    <definedName name="frac_maize">'Entradas de población-año base'!$C$19</definedName>
    <definedName name="frac_malaria_risk">'Entradas de población-año base'!$C$9</definedName>
    <definedName name="frac_mam_1_5months">'Distribución estado nutricional'!$D$10</definedName>
    <definedName name="frac_mam_12_23months">'Distribución estado nutricional'!$F$10</definedName>
    <definedName name="frac_mam_1month">'Distribución estado nutricional'!$C$10</definedName>
    <definedName name="frac_mam_24_59months">'Distribución estado nutricional'!$G$10</definedName>
    <definedName name="frac_mam_6_11months">'Distribución estado nutricional'!$E$10</definedName>
    <definedName name="frac_MAMtoSAM">'Entradas de población-año base'!#REF!</definedName>
    <definedName name="frac_other_staples">'Entradas de población-año base'!$C$20</definedName>
    <definedName name="frac_PW_health_facility">'Entradas de población-año base'!$C$11</definedName>
    <definedName name="frac_rice">'Entradas de población-año base'!$C$17</definedName>
    <definedName name="frac_sam_1_5months">'Distribución estado nutricional'!$D$11</definedName>
    <definedName name="frac_sam_12_23months">'Distribución estado nutricional'!$F$11</definedName>
    <definedName name="frac_sam_1month">'Distribución estado nutricional'!$C$11</definedName>
    <definedName name="frac_sam_24_59months">'Distribución estado nutricional'!$G$11</definedName>
    <definedName name="frac_sam_6_11months">'Distribución estado nutricional'!$E$11</definedName>
    <definedName name="frac_SAMtoMAM">'Entradas de población-año base'!#REF!</definedName>
    <definedName name="frac_subsistence_farming">'Entradas de población-año base'!$C$16</definedName>
    <definedName name="frac_wheat">'Entradas de población-año base'!$C$18</definedName>
    <definedName name="infant_mortality">'Entradas de población-año base'!$C$38</definedName>
    <definedName name="iron_deficiency_anaemia">'Entradas de población-año base'!$C$59</definedName>
    <definedName name="manage_mam">'Tratamiento de la MAS'!$D$2</definedName>
    <definedName name="maternal_mortality">'Entradas de población-año base'!$C$40</definedName>
    <definedName name="neonatal_mortality">'Entradas de población-año base'!$C$37</definedName>
    <definedName name="Percentage_of_pregnant_women_attending_health_facility">'Entradas de población-año base'!$C$11</definedName>
    <definedName name="preterm_AGA">'Entradas de población-año base'!$C$46</definedName>
    <definedName name="preterm_SGA">'Entradas de población-año base'!$C$45</definedName>
    <definedName name="school_attendance">'Entradas de población-año base'!$C$10</definedName>
    <definedName name="start_year">'Entradas de población-año base'!$C$3</definedName>
    <definedName name="stillbirth" localSheetId="7">'Entradas de población-año base'!$C$39</definedName>
    <definedName name="stillbirth">'Entradas de población-año base'!$C$42</definedName>
    <definedName name="term_AGA">'Entradas de población-año base'!$C$48</definedName>
    <definedName name="term_SGA">'Entradas de población-año base'!$C$47</definedName>
    <definedName name="U5_mortality">'Entradas de población-año base'!$C$39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H159" i="27"/>
  <c r="G159" i="27"/>
  <c r="F159" i="27"/>
  <c r="E159" i="27"/>
  <c r="D159" i="27"/>
  <c r="H142" i="27"/>
  <c r="G142" i="27"/>
  <c r="F142" i="27"/>
  <c r="E142" i="27"/>
  <c r="H141" i="27"/>
  <c r="G141" i="27"/>
  <c r="F141" i="27"/>
  <c r="E141" i="27"/>
  <c r="H140" i="27"/>
  <c r="G140" i="27"/>
  <c r="F140" i="27"/>
  <c r="E140" i="27"/>
  <c r="H139" i="27"/>
  <c r="G139" i="27"/>
  <c r="F139" i="27"/>
  <c r="E139" i="27"/>
  <c r="H138" i="27"/>
  <c r="G138" i="27"/>
  <c r="F138" i="27"/>
  <c r="E138" i="27"/>
  <c r="H137" i="27"/>
  <c r="G137" i="27"/>
  <c r="F137" i="27"/>
  <c r="E137" i="27"/>
  <c r="E136" i="27"/>
  <c r="D136" i="27"/>
  <c r="E135" i="27"/>
  <c r="D135" i="27"/>
  <c r="E134" i="27"/>
  <c r="D134" i="27"/>
  <c r="H133" i="27"/>
  <c r="G133" i="27"/>
  <c r="F133" i="27"/>
  <c r="E133" i="27"/>
  <c r="D133" i="27"/>
  <c r="H130" i="27"/>
  <c r="E130" i="27"/>
  <c r="D130" i="27"/>
  <c r="H129" i="27"/>
  <c r="G129" i="27"/>
  <c r="F129" i="27"/>
  <c r="E129" i="27"/>
  <c r="D129" i="27"/>
  <c r="H128" i="27"/>
  <c r="E128" i="27"/>
  <c r="D128" i="27"/>
  <c r="E118" i="27"/>
  <c r="D118" i="27"/>
  <c r="E117" i="27"/>
  <c r="D117" i="27"/>
  <c r="E116" i="27"/>
  <c r="D116" i="27"/>
  <c r="H101" i="27"/>
  <c r="H158" i="27" s="1"/>
  <c r="G101" i="27"/>
  <c r="G158" i="27" s="1"/>
  <c r="F101" i="27"/>
  <c r="F158" i="27" s="1"/>
  <c r="E101" i="27"/>
  <c r="E158" i="27" s="1"/>
  <c r="D101" i="27"/>
  <c r="D158" i="27" s="1"/>
  <c r="H85" i="27"/>
  <c r="G85" i="27"/>
  <c r="F85" i="27"/>
  <c r="E85" i="27"/>
  <c r="H84" i="27"/>
  <c r="G84" i="27"/>
  <c r="F84" i="27"/>
  <c r="E84" i="27"/>
  <c r="D84" i="27"/>
  <c r="D141" i="27" s="1"/>
  <c r="H83" i="27"/>
  <c r="G83" i="27"/>
  <c r="F83" i="27"/>
  <c r="E83" i="27"/>
  <c r="H82" i="27"/>
  <c r="G82" i="27"/>
  <c r="F82" i="27"/>
  <c r="E82" i="27"/>
  <c r="D82" i="27"/>
  <c r="D139" i="27" s="1"/>
  <c r="H81" i="27"/>
  <c r="G81" i="27"/>
  <c r="F81" i="27"/>
  <c r="E81" i="27"/>
  <c r="H80" i="27"/>
  <c r="G80" i="27"/>
  <c r="F80" i="27"/>
  <c r="E80" i="27"/>
  <c r="D80" i="27"/>
  <c r="D137" i="27" s="1"/>
  <c r="E79" i="27"/>
  <c r="D79" i="27"/>
  <c r="E78" i="27"/>
  <c r="D78" i="27"/>
  <c r="E77" i="27"/>
  <c r="D77" i="27"/>
  <c r="H76" i="27"/>
  <c r="G76" i="27"/>
  <c r="F76" i="27"/>
  <c r="E76" i="27"/>
  <c r="D76" i="27"/>
  <c r="H73" i="27"/>
  <c r="E73" i="27"/>
  <c r="D73" i="27"/>
  <c r="H72" i="27"/>
  <c r="G72" i="27"/>
  <c r="F72" i="27"/>
  <c r="E72" i="27"/>
  <c r="D72" i="27"/>
  <c r="H71" i="27"/>
  <c r="E71" i="27"/>
  <c r="D71" i="27"/>
  <c r="E61" i="27"/>
  <c r="D61" i="27"/>
  <c r="E60" i="27"/>
  <c r="D60" i="27"/>
  <c r="H59" i="27"/>
  <c r="H116" i="27" s="1"/>
  <c r="G59" i="27"/>
  <c r="G116" i="27" s="1"/>
  <c r="F59" i="27"/>
  <c r="F116" i="27" s="1"/>
  <c r="E59" i="27"/>
  <c r="D59" i="27"/>
  <c r="H16" i="14" l="1"/>
  <c r="I16" i="14"/>
  <c r="J16" i="14"/>
  <c r="K16" i="14"/>
  <c r="D48" i="24"/>
  <c r="C48" i="24"/>
  <c r="D31" i="24"/>
  <c r="C31" i="24"/>
  <c r="D14" i="24"/>
  <c r="C14" i="24"/>
  <c r="G30" i="28" l="1"/>
  <c r="F30" i="28"/>
  <c r="E30" i="28"/>
  <c r="D30" i="28"/>
  <c r="G19" i="28"/>
  <c r="F19" i="28"/>
  <c r="E19" i="28"/>
  <c r="D19" i="28"/>
  <c r="C70" i="23"/>
  <c r="G66" i="23"/>
  <c r="F66" i="23"/>
  <c r="E66" i="23"/>
  <c r="D66" i="23"/>
  <c r="C66" i="23"/>
  <c r="G58" i="23"/>
  <c r="F58" i="23"/>
  <c r="E58" i="23"/>
  <c r="D58" i="23"/>
  <c r="C58" i="23"/>
  <c r="G57" i="23"/>
  <c r="D57" i="23"/>
  <c r="C57" i="23"/>
  <c r="D56" i="23"/>
  <c r="C56" i="23"/>
  <c r="G55" i="23"/>
  <c r="D55" i="23"/>
  <c r="C55" i="23"/>
  <c r="G54" i="23"/>
  <c r="F54" i="23"/>
  <c r="E54" i="23"/>
  <c r="D54" i="23"/>
  <c r="C54" i="23"/>
  <c r="G51" i="23"/>
  <c r="F51" i="23"/>
  <c r="E51" i="23"/>
  <c r="D51" i="23"/>
  <c r="C46" i="23"/>
  <c r="G42" i="23"/>
  <c r="F42" i="23"/>
  <c r="E42" i="23"/>
  <c r="D42" i="23"/>
  <c r="C42" i="23"/>
  <c r="G34" i="23"/>
  <c r="F34" i="23"/>
  <c r="E34" i="23"/>
  <c r="D34" i="23"/>
  <c r="C34" i="23"/>
  <c r="G33" i="23"/>
  <c r="D33" i="23"/>
  <c r="C33" i="23"/>
  <c r="D32" i="23"/>
  <c r="C32" i="23"/>
  <c r="G31" i="23"/>
  <c r="D31" i="23"/>
  <c r="C31" i="23"/>
  <c r="G30" i="23"/>
  <c r="F30" i="23"/>
  <c r="E30" i="23"/>
  <c r="D30" i="23"/>
  <c r="C30" i="23"/>
  <c r="G27" i="23"/>
  <c r="F27" i="23"/>
  <c r="E27" i="23"/>
  <c r="D27" i="23"/>
  <c r="F48" i="24"/>
  <c r="E48" i="24"/>
  <c r="F46" i="24"/>
  <c r="E46" i="24"/>
  <c r="D46" i="24"/>
  <c r="C46" i="24"/>
  <c r="F44" i="24"/>
  <c r="E44" i="24"/>
  <c r="D44" i="24"/>
  <c r="C44" i="24"/>
  <c r="F42" i="24"/>
  <c r="E42" i="24"/>
  <c r="D42" i="24"/>
  <c r="C42" i="24"/>
  <c r="F40" i="24"/>
  <c r="E40" i="24"/>
  <c r="D40" i="24"/>
  <c r="C40" i="24"/>
  <c r="E38" i="24"/>
  <c r="C38" i="24"/>
  <c r="F36" i="24"/>
  <c r="E36" i="24"/>
  <c r="D36" i="24"/>
  <c r="C36" i="24"/>
  <c r="F31" i="24"/>
  <c r="E31" i="24"/>
  <c r="F29" i="24"/>
  <c r="E29" i="24"/>
  <c r="D29" i="24"/>
  <c r="C29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E21" i="24"/>
  <c r="C21" i="24"/>
  <c r="F19" i="24"/>
  <c r="E19" i="24"/>
  <c r="D19" i="24"/>
  <c r="C19" i="24"/>
  <c r="E4" i="24"/>
  <c r="C4" i="24"/>
  <c r="K15" i="14"/>
  <c r="J15" i="14"/>
  <c r="I15" i="14"/>
  <c r="H15" i="14"/>
  <c r="E2" i="14"/>
  <c r="F2" i="14"/>
  <c r="E5" i="14"/>
  <c r="F5" i="14"/>
  <c r="E6" i="14"/>
  <c r="F6" i="14"/>
  <c r="G6" i="14"/>
  <c r="C7" i="14"/>
  <c r="D7" i="14"/>
  <c r="E7" i="14"/>
  <c r="F7" i="14"/>
  <c r="G7" i="14"/>
  <c r="E8" i="14"/>
  <c r="F8" i="14"/>
  <c r="E9" i="14"/>
  <c r="F9" i="14"/>
  <c r="D10" i="14"/>
  <c r="E10" i="14"/>
  <c r="F10" i="14"/>
  <c r="G10" i="14"/>
  <c r="C12" i="14"/>
  <c r="D12" i="14"/>
  <c r="E12" i="14"/>
  <c r="F12" i="14"/>
  <c r="G12" i="14"/>
  <c r="H17" i="14"/>
  <c r="I17" i="14"/>
  <c r="J17" i="14"/>
  <c r="K17" i="14"/>
  <c r="H18" i="14"/>
  <c r="I18" i="14"/>
  <c r="J18" i="14"/>
  <c r="K18" i="14"/>
  <c r="H19" i="14"/>
  <c r="I19" i="14"/>
  <c r="J19" i="14"/>
  <c r="K19" i="14"/>
  <c r="H22" i="14"/>
  <c r="I22" i="14"/>
  <c r="J22" i="14"/>
  <c r="K22" i="14"/>
  <c r="L24" i="14"/>
  <c r="M24" i="14"/>
  <c r="N24" i="14"/>
  <c r="O24" i="14"/>
  <c r="L25" i="14"/>
  <c r="M25" i="14"/>
  <c r="N25" i="14"/>
  <c r="O25" i="14"/>
  <c r="L26" i="14"/>
  <c r="M26" i="14"/>
  <c r="N26" i="14"/>
  <c r="O26" i="14"/>
  <c r="L27" i="14"/>
  <c r="M27" i="14"/>
  <c r="N27" i="14"/>
  <c r="O27" i="14"/>
  <c r="L28" i="14"/>
  <c r="E30" i="14"/>
  <c r="F30" i="14"/>
  <c r="G30" i="14"/>
  <c r="H30" i="14"/>
  <c r="I30" i="14"/>
  <c r="J30" i="14"/>
  <c r="K30" i="14"/>
  <c r="L30" i="14"/>
  <c r="M30" i="14"/>
  <c r="N30" i="14"/>
  <c r="O30" i="14"/>
  <c r="E31" i="14"/>
  <c r="F31" i="14"/>
  <c r="G31" i="14"/>
  <c r="H31" i="14"/>
  <c r="I31" i="14"/>
  <c r="J31" i="14"/>
  <c r="K31" i="14"/>
  <c r="L31" i="14"/>
  <c r="M31" i="14"/>
  <c r="N31" i="14"/>
  <c r="O31" i="14"/>
  <c r="E32" i="14"/>
  <c r="F32" i="14"/>
  <c r="G32" i="14"/>
  <c r="H32" i="14"/>
  <c r="I32" i="14"/>
  <c r="J32" i="14"/>
  <c r="K32" i="14"/>
  <c r="L32" i="14"/>
  <c r="M32" i="14"/>
  <c r="N32" i="14"/>
  <c r="O32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D5" i="5" l="1"/>
  <c r="C5" i="5"/>
  <c r="G29" i="28"/>
  <c r="F29" i="28"/>
  <c r="E29" i="28"/>
  <c r="D29" i="28"/>
  <c r="G28" i="28"/>
  <c r="F28" i="28"/>
  <c r="E28" i="28"/>
  <c r="D28" i="28"/>
  <c r="G27" i="28"/>
  <c r="F27" i="28"/>
  <c r="E27" i="28"/>
  <c r="D27" i="28"/>
  <c r="G26" i="28"/>
  <c r="F26" i="28"/>
  <c r="E26" i="28"/>
  <c r="D26" i="28"/>
  <c r="G24" i="28"/>
  <c r="F24" i="28"/>
  <c r="E24" i="28"/>
  <c r="D24" i="28"/>
  <c r="G18" i="28"/>
  <c r="F18" i="28"/>
  <c r="E18" i="28"/>
  <c r="D18" i="28"/>
  <c r="G17" i="28"/>
  <c r="F17" i="28"/>
  <c r="E17" i="28"/>
  <c r="D17" i="28"/>
  <c r="G16" i="28"/>
  <c r="F16" i="28"/>
  <c r="E16" i="28"/>
  <c r="D16" i="28"/>
  <c r="G15" i="28"/>
  <c r="F15" i="28"/>
  <c r="E15" i="28"/>
  <c r="D15" i="28"/>
  <c r="G13" i="28"/>
  <c r="F13" i="28"/>
  <c r="E13" i="28"/>
  <c r="D13" i="28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F57" i="25"/>
  <c r="E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F34" i="25"/>
  <c r="E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L14" i="25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F120" i="20"/>
  <c r="E120" i="20"/>
  <c r="D120" i="20"/>
  <c r="H119" i="20"/>
  <c r="G119" i="20"/>
  <c r="F119" i="20"/>
  <c r="E119" i="20"/>
  <c r="H118" i="20"/>
  <c r="H117" i="20"/>
  <c r="G117" i="20"/>
  <c r="E117" i="20"/>
  <c r="D117" i="20"/>
  <c r="H116" i="20"/>
  <c r="G116" i="20"/>
  <c r="F116" i="20"/>
  <c r="H115" i="20"/>
  <c r="D115" i="20"/>
  <c r="H114" i="20"/>
  <c r="G114" i="20"/>
  <c r="F114" i="20"/>
  <c r="D114" i="20"/>
  <c r="H113" i="20"/>
  <c r="G113" i="20"/>
  <c r="H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E67" i="20"/>
  <c r="D67" i="20"/>
  <c r="H66" i="20"/>
  <c r="G66" i="20"/>
  <c r="F66" i="20"/>
  <c r="E66" i="20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E64" i="20"/>
  <c r="D64" i="20"/>
  <c r="H63" i="20"/>
  <c r="G63" i="20"/>
  <c r="F63" i="20"/>
  <c r="E63" i="20"/>
  <c r="E116" i="20" s="1"/>
  <c r="D63" i="20"/>
  <c r="D116" i="20" s="1"/>
  <c r="H62" i="20"/>
  <c r="G62" i="20"/>
  <c r="G115" i="20" s="1"/>
  <c r="F62" i="20"/>
  <c r="F115" i="20" s="1"/>
  <c r="D62" i="20"/>
  <c r="H61" i="20"/>
  <c r="G61" i="20"/>
  <c r="F61" i="20"/>
  <c r="D61" i="20"/>
  <c r="H60" i="20"/>
  <c r="G60" i="20"/>
  <c r="F60" i="20"/>
  <c r="F113" i="20" s="1"/>
  <c r="E60" i="20"/>
  <c r="E113" i="20" s="1"/>
  <c r="D60" i="20"/>
  <c r="D113" i="20" s="1"/>
  <c r="H59" i="20"/>
  <c r="G59" i="20"/>
  <c r="G112" i="20" s="1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H40" i="2"/>
  <c r="G40" i="2"/>
  <c r="H39" i="2"/>
  <c r="G39" i="2"/>
  <c r="H38" i="2"/>
  <c r="G38" i="2"/>
  <c r="I38" i="2" s="1"/>
  <c r="H13" i="2"/>
  <c r="G13" i="2"/>
  <c r="H12" i="2"/>
  <c r="G12" i="2"/>
  <c r="I12" i="2" s="1"/>
  <c r="H11" i="2"/>
  <c r="G11" i="2"/>
  <c r="H10" i="2"/>
  <c r="G10" i="2"/>
  <c r="H9" i="2"/>
  <c r="G9" i="2"/>
  <c r="H8" i="2"/>
  <c r="G8" i="2"/>
  <c r="I8" i="2" s="1"/>
  <c r="H7" i="2"/>
  <c r="G7" i="2"/>
  <c r="H6" i="2"/>
  <c r="G6" i="2"/>
  <c r="H5" i="2"/>
  <c r="G5" i="2"/>
  <c r="H4" i="2"/>
  <c r="G4" i="2"/>
  <c r="I4" i="2" s="1"/>
  <c r="H3" i="2"/>
  <c r="G3" i="2"/>
  <c r="H2" i="2"/>
  <c r="G2" i="2"/>
  <c r="A2" i="2"/>
  <c r="A39" i="2" s="1"/>
  <c r="C33" i="1"/>
  <c r="C20" i="1"/>
  <c r="A22" i="2" l="1"/>
  <c r="A23" i="2"/>
  <c r="A24" i="2"/>
  <c r="A25" i="2"/>
  <c r="A31" i="2"/>
  <c r="A36" i="2"/>
  <c r="I9" i="2"/>
  <c r="I13" i="2"/>
  <c r="A37" i="2"/>
  <c r="A26" i="2"/>
  <c r="I39" i="2"/>
  <c r="A34" i="2"/>
  <c r="A40" i="2"/>
  <c r="I2" i="2"/>
  <c r="I6" i="2"/>
  <c r="A19" i="2"/>
  <c r="A35" i="2"/>
  <c r="I3" i="2"/>
  <c r="I7" i="2"/>
  <c r="I11" i="2"/>
  <c r="I5" i="2"/>
  <c r="I10" i="2"/>
  <c r="I40" i="2"/>
  <c r="A20" i="2"/>
  <c r="A32" i="2"/>
  <c r="A21" i="2"/>
  <c r="A33" i="2"/>
  <c r="A38" i="2"/>
  <c r="A27" i="2"/>
  <c r="A16" i="2"/>
  <c r="A28" i="2"/>
  <c r="A14" i="2"/>
  <c r="A15" i="2"/>
  <c r="A17" i="2"/>
  <c r="A29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8" i="2"/>
  <c r="A3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  <family val="2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  <family val="2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  <family val="2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  <family val="2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14" authorId="0" shapeId="0" xr:uid="{DF0264FA-B6D6-4BB9-B9CD-50F2BBAA88BE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This is estimated by using:
Wage Share in GDP for manual occupations
[Gains productivity in light labour (Horton and Ross, 2003) *
Blue-Collar Share employment in total employment +
Wage Share of Heavy manual labor (Age share * manual labor) *
Gains in productivity in heavy labor (Horton and Ross, 2003)]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  <family val="2"/>
          </rPr>
          <t>Nick Scott:
Cost per person per year, or per pregnancy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  <family val="2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  <family val="2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  <family val="2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  <family val="2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6" authorId="0" shapeId="0" xr:uid="{81F4589C-1780-4EBA-B575-E552071AC881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7" authorId="0" shapeId="0" xr:uid="{FACF8BD7-8798-4CCE-8AAB-38235262605E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8" authorId="0" shapeId="0" xr:uid="{7FEA9C4B-72BF-4181-A79A-89353DBEFA54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8" authorId="0" shapeId="0" xr:uid="{08D96EBA-0117-4AB6-8F79-0E390B80228B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30" authorId="0" shapeId="0" xr:uid="{6C9EB23A-B848-4734-BF89-A6A3A471075C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31" authorId="0" shapeId="0" xr:uid="{5155DBF5-8175-48E5-82C9-CBC6031315A2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32" authorId="0" shapeId="0" xr:uid="{44AC148F-E3A6-4AB2-95D7-98E6D700E1E8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32" authorId="0" shapeId="0" xr:uid="{7B044F71-7F62-45EA-9806-F20C239F10ED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54" authorId="0" shapeId="0" xr:uid="{48C3C9E4-F093-472A-9A5F-63E58DAD5C75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55" authorId="0" shapeId="0" xr:uid="{995E37B5-966C-41D4-A3DF-5D1DB89F2BE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56" authorId="0" shapeId="0" xr:uid="{F4DFC4CA-FF99-4637-826C-26601B0E5997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56" authorId="0" shapeId="0" xr:uid="{38C7434E-90D6-4C8B-A108-09EFA6B5660C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D62CD89F-BD2F-4478-8F3E-0EA4D2085B3B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4" authorId="1" shapeId="0" xr:uid="{D11A7C1F-57C7-45FF-AF35-46BFB6CDF672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4" authorId="0" shapeId="0" xr:uid="{686D10A3-A5B1-434C-A4D1-BD62E37259A7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21" authorId="0" shapeId="0" xr:uid="{91E40E3C-FF4C-43CD-81EF-0E1BC1EA54E2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21" authorId="1" shapeId="0" xr:uid="{26FB7C01-8BFC-4CDE-B944-09A78509DFB6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21" authorId="0" shapeId="0" xr:uid="{CE8D769D-B0CE-403D-B0F9-93DC64D00AEE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38" authorId="0" shapeId="0" xr:uid="{47FC79F1-D2EC-41F0-9C61-50A3B649EE53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38" authorId="1" shapeId="0" xr:uid="{F08797EF-8D01-4FCB-9A0D-7F4D5E4BADD7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38" authorId="0" shapeId="0" xr:uid="{460E7559-A270-49FB-B37B-B927DDEE0A7F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  <family val="2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  <family val="2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  <family val="2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  <family val="2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  <family val="2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  <family val="2"/>
          </rPr>
          <t>Tharindu Wickramaarachchi:
All the values should be greater than 1 and above the point estimate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B11" authorId="1" shapeId="0" xr:uid="{00000000-0006-0000-1800-000014000000}">
      <text>
        <r>
          <rPr>
            <sz val="10"/>
            <color rgb="FF000000"/>
            <rFont val="Arial"/>
            <family val="2"/>
          </rPr>
          <t>Nick Scott:
Using as a proxy for cash transfers in this databook</t>
        </r>
      </text>
    </comment>
    <comment ref="C12" authorId="0" shapeId="0" xr:uid="{00000000-0006-0000-1800-00001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2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13" authorId="0" shapeId="0" xr:uid="{00000000-0006-0000-1800-000023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13" authorId="0" shapeId="0" xr:uid="{00000000-0006-0000-1800-00002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14" authorId="1" shapeId="0" xr:uid="{00000000-0006-0000-1800-000025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6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7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8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9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A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18" authorId="0" shapeId="0" xr:uid="{00000000-0006-0000-1800-00002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18" authorId="0" shapeId="0" xr:uid="{00000000-0006-0000-1800-00002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18" authorId="0" shapeId="0" xr:uid="{00000000-0006-0000-1800-00002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18" authorId="0" shapeId="0" xr:uid="{00000000-0006-0000-1800-00002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18" authorId="0" shapeId="0" xr:uid="{00000000-0006-0000-1800-00003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18" authorId="0" shapeId="0" xr:uid="{00000000-0006-0000-1800-00003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18" authorId="0" shapeId="0" xr:uid="{00000000-0006-0000-1800-00003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18" authorId="0" shapeId="0" xr:uid="{00000000-0006-0000-1800-000033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18" authorId="0" shapeId="0" xr:uid="{00000000-0006-0000-1800-000034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18" authorId="0" shapeId="0" xr:uid="{00000000-0006-0000-1800-000035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19" authorId="0" shapeId="0" xr:uid="{00000000-0006-0000-1800-000036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0" authorId="0" shapeId="0" xr:uid="{00000000-0006-0000-1800-000037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20" authorId="0" shapeId="0" xr:uid="{00000000-0006-0000-1800-000038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20" authorId="0" shapeId="0" xr:uid="{00000000-0006-0000-1800-00003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20" authorId="0" shapeId="0" xr:uid="{00000000-0006-0000-1800-00003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20" authorId="0" shapeId="0" xr:uid="{00000000-0006-0000-1800-00003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20" authorId="0" shapeId="0" xr:uid="{00000000-0006-0000-1800-00003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20" authorId="0" shapeId="0" xr:uid="{00000000-0006-0000-1800-00003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20" authorId="0" shapeId="0" xr:uid="{00000000-0006-0000-1800-00003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20" authorId="0" shapeId="0" xr:uid="{00000000-0006-0000-1800-00003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20" authorId="0" shapeId="0" xr:uid="{00000000-0006-0000-1800-00004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20" authorId="0" shapeId="0" xr:uid="{00000000-0006-0000-1800-00004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1" authorId="0" shapeId="0" xr:uid="{00000000-0006-0000-1800-00004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A25" authorId="0" shapeId="0" xr:uid="{00000000-0006-0000-1800-000043000000}">
      <text>
        <r>
          <rPr>
            <sz val="10"/>
            <color rgb="FF000000"/>
            <rFont val="Arial"/>
            <family val="2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4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5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6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27" authorId="0" shapeId="0" xr:uid="{00000000-0006-0000-1800-00004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1" authorId="0" shapeId="0" xr:uid="{00000000-0006-0000-1800-00004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1" authorId="0" shapeId="0" xr:uid="{00000000-0006-0000-1800-00004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1" authorId="0" shapeId="0" xr:uid="{00000000-0006-0000-1800-00004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2" authorId="0" shapeId="0" xr:uid="{00000000-0006-0000-1800-00004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2" authorId="0" shapeId="0" xr:uid="{00000000-0006-0000-1800-00005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2" authorId="0" shapeId="0" xr:uid="{00000000-0006-0000-1800-00005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2" authorId="0" shapeId="0" xr:uid="{00000000-0006-0000-1800-00005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3" authorId="0" shapeId="0" xr:uid="{00000000-0006-0000-1800-00005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33" authorId="0" shapeId="0" xr:uid="{00000000-0006-0000-1800-000054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33" authorId="0" shapeId="0" xr:uid="{00000000-0006-0000-1800-000055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33" authorId="0" shapeId="0" xr:uid="{00000000-0006-0000-1800-000056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35" authorId="0" shapeId="0" xr:uid="{00000000-0006-0000-1800-00005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5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36" authorId="0" shapeId="0" xr:uid="{00000000-0006-0000-1800-000065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36" authorId="0" shapeId="0" xr:uid="{00000000-0006-0000-1800-000066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38" authorId="0" shapeId="0" xr:uid="{00000000-0006-0000-1800-000067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8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2" authorId="0" shapeId="0" xr:uid="{00000000-0006-0000-1800-00006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3" authorId="0" shapeId="0" xr:uid="{00000000-0006-0000-1800-00006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4" authorId="0" shapeId="0" xr:uid="{00000000-0006-0000-1800-00006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C49" authorId="0" shapeId="0" xr:uid="{00000000-0006-0000-1800-00006D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E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6F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50" authorId="0" shapeId="0" xr:uid="{00000000-0006-0000-1800-000070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1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2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3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5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6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B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C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D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E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7F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4" authorId="0" shapeId="0" xr:uid="{00000000-0006-0000-1800-00008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4" authorId="0" shapeId="0" xr:uid="{00000000-0006-0000-1800-00008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4" authorId="0" shapeId="0" xr:uid="{00000000-0006-0000-1800-000083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5" authorId="0" shapeId="0" xr:uid="{00000000-0006-0000-1800-000084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5" authorId="0" shapeId="0" xr:uid="{00000000-0006-0000-1800-000085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5" authorId="0" shapeId="0" xr:uid="{00000000-0006-0000-1800-000086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5" authorId="0" shapeId="0" xr:uid="{00000000-0006-0000-1800-000087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6" authorId="0" shapeId="0" xr:uid="{00000000-0006-0000-1800-000088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56" authorId="0" shapeId="0" xr:uid="{00000000-0006-0000-1800-000089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56" authorId="0" shapeId="0" xr:uid="{00000000-0006-0000-1800-00008A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56" authorId="0" shapeId="0" xr:uid="{00000000-0006-0000-1800-00008B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58" authorId="0" shapeId="0" xr:uid="{00000000-0006-0000-1800-00008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8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4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9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59" authorId="0" shapeId="0" xr:uid="{00000000-0006-0000-1800-00009A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59" authorId="0" shapeId="0" xr:uid="{00000000-0006-0000-1800-00009B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61" authorId="0" shapeId="0" xr:uid="{00000000-0006-0000-1800-00009C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D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5" authorId="0" shapeId="0" xr:uid="{00000000-0006-0000-1800-00009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6" authorId="0" shapeId="0" xr:uid="{00000000-0006-0000-1800-0000A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7" authorId="0" shapeId="0" xr:uid="{00000000-0006-0000-1800-0000A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6BB5D3EA-EB2C-4557-A77A-BC3B31DE5A74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3" authorId="0" shapeId="0" xr:uid="{8276B184-5391-46AC-9017-CD45ED68E7E2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3" authorId="0" shapeId="0" xr:uid="{70662288-9B2B-4D49-A059-B389A408D887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4" authorId="0" shapeId="0" xr:uid="{5F99FF59-4E44-4847-82EE-D42B7418AA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4" authorId="0" shapeId="0" xr:uid="{F6C9465E-FBDE-45D1-8394-CD6F9C9C2529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4" authorId="0" shapeId="0" xr:uid="{8724D448-9507-4D14-BCA7-F21B3CAF1BD6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" authorId="1" shapeId="0" xr:uid="{1D086CE7-3639-4C5A-8FD3-DB935503731C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" authorId="1" shapeId="0" xr:uid="{1EDBAC82-3035-4B47-8DB4-6C9605D373FF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8" authorId="1" shapeId="0" xr:uid="{F889FFDD-F5D3-428F-97C9-3FA317F4DEEC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8" authorId="1" shapeId="0" xr:uid="{178C61B9-10CF-475E-AE2A-1148BD159501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0" authorId="1" shapeId="0" xr:uid="{D1ADD6AA-00B3-496F-889D-6AD9E8EC7261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0" authorId="1" shapeId="0" xr:uid="{D8A7821F-2C8B-4B9F-B2CF-783B6F1D6ACB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" authorId="1" shapeId="0" xr:uid="{30A88894-D578-48EA-8642-A1FBFF69A3C1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" authorId="1" shapeId="0" xr:uid="{1FC0B5F8-9FC2-4095-AEC3-321F62EB13E4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4" authorId="0" shapeId="0" xr:uid="{037243D6-BCDE-4F6B-AFCC-3F94A0DD5E02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4" authorId="0" shapeId="0" xr:uid="{DE335ADC-5DD3-496C-A5AC-AAE47036457E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6" authorId="0" shapeId="0" xr:uid="{2912EBE3-D556-42B6-96D5-24EC21E6156C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6" authorId="0" shapeId="0" xr:uid="{4CB9182B-79CD-4596-8295-56AF4E3846AB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8" authorId="0" shapeId="0" xr:uid="{80F6289A-949B-4FAE-AC85-22980BCEA4F4}">
      <text>
        <r>
          <rPr>
            <b/>
            <sz val="9"/>
            <color indexed="81"/>
            <rFont val="Tahoma"/>
            <charset val="1"/>
          </rPr>
          <t>Tharindu Wickramaarachchi:</t>
        </r>
        <r>
          <rPr>
            <sz val="9"/>
            <color indexed="81"/>
            <rFont val="Tahoma"/>
            <charset val="1"/>
          </rPr>
          <t xml:space="preserve">
Until clear effect evidence is found, assume no effect</t>
        </r>
      </text>
    </comment>
    <comment ref="F20" authorId="1" shapeId="0" xr:uid="{96FCBC9B-E5EC-46B8-8DF3-3E8D35EE350D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F22" authorId="1" shapeId="0" xr:uid="{93171B53-CE10-41E2-9E96-E27147D4D778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D24" authorId="0" shapeId="0" xr:uid="{5FE03E37-E69F-43F4-B94E-7BBC3063A87D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626B60BA-B78A-4BE5-ACC0-D15C014DDDE7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0" shapeId="0" xr:uid="{A6D7FDB2-70C1-4A3F-AE05-E1F583DAC911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30" authorId="1" shapeId="0" xr:uid="{73FE6ADA-DBBD-4E18-9E0A-7E9F1B65F4F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30" authorId="1" shapeId="0" xr:uid="{36DC02C6-7D52-483D-9E4D-A62E1832D1E9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30" authorId="1" shapeId="0" xr:uid="{3A418ECB-CB98-4DAE-914F-181BDF7ED565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30" authorId="1" shapeId="0" xr:uid="{F54E6507-D7CB-4F8D-8BA0-8C678AC88484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30" authorId="1" shapeId="0" xr:uid="{51D136EC-624C-44D3-B5B3-53EE7A4C79F4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5" authorId="0" shapeId="0" xr:uid="{0358037B-23C7-469B-B136-BD3C312D371A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E45" authorId="0" shapeId="0" xr:uid="{83DD7CE2-EBA6-4C72-A5A2-1E7961104F35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F45" authorId="0" shapeId="0" xr:uid="{D00C0728-6CE5-4232-9E9D-03298AA7E83F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G45" authorId="0" shapeId="0" xr:uid="{DE005C0A-2F8A-418C-851E-64B2B8CFE1FA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H45" authorId="0" shapeId="0" xr:uid="{E55324F7-370C-4385-ADBA-E8B0EBEB4BEC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D46" authorId="0" shapeId="0" xr:uid="{F53439F8-F18B-45A1-B265-14A4B9BFCA4E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46" authorId="0" shapeId="0" xr:uid="{D3552897-BBD5-4175-B68A-A3F1E4A6E75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46" authorId="0" shapeId="0" xr:uid="{CC47941B-D047-44AD-8609-225A3A1207CF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46" authorId="0" shapeId="0" xr:uid="{0CBE3706-3924-4509-A583-88069D4C218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46" authorId="0" shapeId="0" xr:uid="{A5F6F3D3-D70F-4D04-A795-6D6BF5E34983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49" authorId="0" shapeId="0" xr:uid="{DD598447-A738-4E83-BE84-12132D14A7E3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49" authorId="0" shapeId="0" xr:uid="{AAC1265A-FBA5-4B61-B6FD-C1ADAB02C01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49" authorId="0" shapeId="0" xr:uid="{CB5BEA38-52BE-4279-8999-876D134092DA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49" authorId="0" shapeId="0" xr:uid="{EEC82E46-7238-472F-8156-89C286EC0CC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49" authorId="0" shapeId="0" xr:uid="{9AD99541-38BF-452C-BBDF-30A63672B134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51" authorId="0" shapeId="0" xr:uid="{9F2485E2-4FB1-40DF-95BC-EF307614F383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51" authorId="0" shapeId="0" xr:uid="{5A344499-6486-4E45-BC00-E472735A7CB2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51" authorId="0" shapeId="0" xr:uid="{031BB5AD-8138-4687-BD78-7EBC20A98663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51" authorId="0" shapeId="0" xr:uid="{184A5B5A-1F15-44FE-898C-B90309E01D89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51" authorId="0" shapeId="0" xr:uid="{8ED585B4-389F-460E-8916-C9CBE4D87E3D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53" authorId="0" shapeId="0" xr:uid="{AD24A257-1231-432A-9AC2-49A1BBCFE8E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53" authorId="0" shapeId="0" xr:uid="{A07ED250-D084-453F-8461-66EC0C10E11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53" authorId="0" shapeId="0" xr:uid="{9059BCA8-1FD3-4E64-86A7-3061E1F307E3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53" authorId="0" shapeId="0" xr:uid="{7052734F-4036-424E-8991-EAD18C6FC7CF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53" authorId="0" shapeId="0" xr:uid="{9211745A-0C8C-4E89-B62F-2D6F1D5B7D01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55" authorId="1" shapeId="0" xr:uid="{5423B35A-FBAB-43E1-A574-44F7790EAEA1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60" authorId="0" shapeId="0" xr:uid="{9923839E-0345-401E-8DBE-0D84F514E4A9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60" authorId="0" shapeId="0" xr:uid="{BA7FE3E3-08B4-4F16-B01F-05A523005C56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60" authorId="0" shapeId="0" xr:uid="{6D26BBC2-8403-47E0-89A8-CCA5B5E2A63F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61" authorId="0" shapeId="0" xr:uid="{4063B8B9-975B-4060-938A-48F03FAEF419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61" authorId="0" shapeId="0" xr:uid="{50660BAB-9FCC-42B5-9F93-0DBB8CA89897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61" authorId="0" shapeId="0" xr:uid="{C6A07F78-8D75-479F-926E-474BA841B234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3" authorId="1" shapeId="0" xr:uid="{FA86AF70-4991-447A-BCAA-1000A44BF256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3" authorId="1" shapeId="0" xr:uid="{FD47D524-CA3E-4654-B95C-882313C71EE4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5" authorId="1" shapeId="0" xr:uid="{350D10EC-94B3-4790-8891-B0A27313C3E5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5" authorId="1" shapeId="0" xr:uid="{E54F70F0-DBA3-4F25-90EB-D1DFD3641E6A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7" authorId="1" shapeId="0" xr:uid="{77363AFB-2A43-477F-8EB8-CC2F7E3ECEA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7" authorId="1" shapeId="0" xr:uid="{01109C22-04ED-4FDB-949C-C34810AB2E9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9" authorId="1" shapeId="0" xr:uid="{72F3E256-254B-4FFC-9E01-1752BCF475A6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9" authorId="1" shapeId="0" xr:uid="{E057EF81-59F3-42CB-9D3F-907D93019067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71" authorId="0" shapeId="0" xr:uid="{DF457454-4973-4207-9E3D-7D50D7830FDE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71" authorId="0" shapeId="0" xr:uid="{0A31E4B1-743B-4208-AE2B-4146BBD81A93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73" authorId="0" shapeId="0" xr:uid="{BA5122FC-4C8D-49F0-9902-8C88B2457CA4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73" authorId="0" shapeId="0" xr:uid="{EB775666-1A82-4D30-A432-4C033A1A7AED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77" authorId="1" shapeId="0" xr:uid="{98BB8C6D-B30B-4DB6-8B35-7D8DCE93E79C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9" authorId="1" shapeId="0" xr:uid="{75544419-0995-4A7F-98E3-CBE19D6471D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81" authorId="0" shapeId="0" xr:uid="{866B3636-D1B7-40EE-A9B3-22FD1891C34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0" shapeId="0" xr:uid="{3C5743BD-EFCC-4AF2-B330-6FDF8775A9D5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5" authorId="0" shapeId="0" xr:uid="{07C4191C-0E34-4B64-AAF8-A7F551741AB2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7" authorId="1" shapeId="0" xr:uid="{419B2D75-98C1-46B5-842D-118FC911FF04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7" authorId="1" shapeId="0" xr:uid="{A1CD6A7F-EF69-49BD-84EA-F060EB24114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7" authorId="1" shapeId="0" xr:uid="{D5825461-688C-438C-8542-BD85D579FDC7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7" authorId="1" shapeId="0" xr:uid="{AF7C92B2-AC28-43C3-9C19-D68E37FF28FD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7" authorId="1" shapeId="0" xr:uid="{700142E9-6A7D-415A-8AA2-F2A8B6A75555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03" authorId="0" shapeId="0" xr:uid="{7D67AB3C-983B-47D0-9AFF-DA097636CBA4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03" authorId="0" shapeId="0" xr:uid="{38FC6B21-5384-4027-AE29-F2FF12011A26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03" authorId="0" shapeId="0" xr:uid="{EB3D123B-E86C-4173-B872-21E041277078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03" authorId="0" shapeId="0" xr:uid="{C5BAFDF7-3C0B-454A-B8DD-17A5272728F7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03" authorId="0" shapeId="0" xr:uid="{BB84B4E6-6EBF-43F8-A27F-ABACD68A728A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06" authorId="0" shapeId="0" xr:uid="{BFD18A89-7D4A-4FA5-8D9C-46BDFC49F7B4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06" authorId="0" shapeId="0" xr:uid="{1ABF9016-F3C2-48B1-BD46-AD89F4003AC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06" authorId="0" shapeId="0" xr:uid="{6A6E8E29-2989-40FF-B168-55803883F0D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06" authorId="0" shapeId="0" xr:uid="{48DA76B4-3665-4A45-819A-BFEEFF70E5D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06" authorId="0" shapeId="0" xr:uid="{B80ED8C6-87BC-498B-8629-005BCCE79F4B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08" authorId="0" shapeId="0" xr:uid="{B5F2ED77-4534-4005-9653-3943813A8B2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08" authorId="0" shapeId="0" xr:uid="{76285A74-606B-4904-9089-8C072E19A125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08" authorId="0" shapeId="0" xr:uid="{63134AD8-900C-4178-BB9D-773F5A2AEB3B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08" authorId="0" shapeId="0" xr:uid="{E4550204-DAD5-4F24-9613-4B653BB1BEF9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08" authorId="0" shapeId="0" xr:uid="{8EB04C99-52A7-4C56-9738-8833ED4CF79E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10" authorId="0" shapeId="0" xr:uid="{1E087D6A-9C87-4366-B106-9662D0E9F522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10" authorId="0" shapeId="0" xr:uid="{9524A10F-3B35-4B50-9361-07DEAF9EC66F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10" authorId="0" shapeId="0" xr:uid="{00995C78-B5BF-45A5-8F02-B4D6CB8053C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10" authorId="0" shapeId="0" xr:uid="{B614B807-4445-457C-8B76-0D078F087764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10" authorId="0" shapeId="0" xr:uid="{4A9ECB14-4CB2-41BF-A402-F7A28029EC1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12" authorId="1" shapeId="0" xr:uid="{B642BE55-802D-4C94-B750-1AEA253BACA7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117" authorId="0" shapeId="0" xr:uid="{CE9B9D72-3B1C-4412-9D79-6D0874D60CEE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117" authorId="0" shapeId="0" xr:uid="{AB5427B8-7880-46F7-8737-0E11C545B3E1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117" authorId="0" shapeId="0" xr:uid="{7DADC3D7-B312-4F80-917D-FD030194B70F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118" authorId="0" shapeId="0" xr:uid="{E932DAA3-B84B-48A0-A350-BB68775D78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118" authorId="0" shapeId="0" xr:uid="{75AFBBA3-C0BF-47C9-96C1-E2BCE0A5518C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118" authorId="0" shapeId="0" xr:uid="{44B4DAC8-1128-45E5-B99C-C84974BBEE0A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120" authorId="1" shapeId="0" xr:uid="{BFC250B8-BAEB-445C-954D-7BE97AABDFDB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20" authorId="1" shapeId="0" xr:uid="{AEC7DAF2-9B1C-4CBB-B735-E9AB7A0CFD03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2" authorId="1" shapeId="0" xr:uid="{5757C298-3224-4FCB-AE44-57AE2804657A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22" authorId="1" shapeId="0" xr:uid="{32018E11-B6CC-4CB9-AD83-CDEAB15CB02F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4" authorId="1" shapeId="0" xr:uid="{548CA939-8049-4A22-8DCF-97B43275D45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4" authorId="1" shapeId="0" xr:uid="{B79D2BBE-1689-4CA2-9F3C-27F21A09699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6" authorId="1" shapeId="0" xr:uid="{521B8842-9FA3-4AE6-9999-7E38BD5734E2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6" authorId="1" shapeId="0" xr:uid="{745C521C-CEC3-4590-B658-F244E03502B3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8" authorId="0" shapeId="0" xr:uid="{48501DF5-33AD-4137-BF61-A1ACEF3712BB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28" authorId="0" shapeId="0" xr:uid="{52DA180B-0E50-41F0-B433-76D057FD32AA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30" authorId="0" shapeId="0" xr:uid="{1827DF80-3E7F-4FAE-B545-321A48A20B7F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30" authorId="0" shapeId="0" xr:uid="{428ADF28-94CB-45A6-B512-653753D79D4A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34" authorId="1" shapeId="0" xr:uid="{E327363C-87BF-426D-8031-8E5B15B868F6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6" authorId="1" shapeId="0" xr:uid="{0FC0F10D-E16C-4929-8C9C-BBCE7D585B2C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8" authorId="0" shapeId="0" xr:uid="{83AA2241-D1A0-473B-BB01-4502DE008F6C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0" authorId="0" shapeId="0" xr:uid="{AB840D19-E9DC-41E5-8B1A-28772D27BB6F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2" authorId="0" shapeId="0" xr:uid="{28DA7237-5B4A-4888-B612-1517D8E4181A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4" authorId="1" shapeId="0" xr:uid="{24B15358-0318-4650-A1D9-ACBF45D6BD86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44" authorId="1" shapeId="0" xr:uid="{3CCBD856-2028-4562-873C-EF798B7CEB0E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44" authorId="1" shapeId="0" xr:uid="{515C103F-DDC3-40D5-AA24-3704C957FBD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44" authorId="1" shapeId="0" xr:uid="{2B07245A-D9DE-402F-8C94-59F9204780AD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44" authorId="1" shapeId="0" xr:uid="{B09F6ACE-9930-4B23-AC49-D976E3AF6D2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60" authorId="0" shapeId="0" xr:uid="{08D07A70-B0BF-4318-BF4F-F0DBC6170F84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60" authorId="0" shapeId="0" xr:uid="{76EC0005-9898-4CC7-A802-EC15F25448F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60" authorId="0" shapeId="0" xr:uid="{E5FFA232-5153-4095-946B-DFA45A9FBF8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60" authorId="0" shapeId="0" xr:uid="{AFCCFA07-E0EB-45D3-B7C0-514815792647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60" authorId="0" shapeId="0" xr:uid="{C392BCAD-8C69-4A4C-87EF-377772EECC28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63" authorId="0" shapeId="0" xr:uid="{E3317A10-0BE4-48FF-9352-A01B5BA3FEE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63" authorId="0" shapeId="0" xr:uid="{67EC6033-7BEB-4400-84EE-0A8533A907FD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63" authorId="0" shapeId="0" xr:uid="{E94FC89C-5249-427A-BE28-D6BFC2F8175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63" authorId="0" shapeId="0" xr:uid="{AA56A34D-E716-48F4-B898-FA37D2EF7D4D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63" authorId="0" shapeId="0" xr:uid="{90492BA0-E368-47BA-98D1-DF7E39D86EF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65" authorId="0" shapeId="0" xr:uid="{9CD81021-C7F5-4F80-9E36-5A372FBC35BF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65" authorId="0" shapeId="0" xr:uid="{49DF1121-32A1-4036-AEE8-BCAAA6147B06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65" authorId="0" shapeId="0" xr:uid="{9499DF21-B57E-420A-A749-CC9BF2D4D725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65" authorId="0" shapeId="0" xr:uid="{4524A951-07DC-487B-A233-43D4EAAEC70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65" authorId="0" shapeId="0" xr:uid="{889D9E25-29F0-4C18-931F-58D4600ECBE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67" authorId="0" shapeId="0" xr:uid="{678FE956-BF94-4DA4-81E3-20DDE72682D7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67" authorId="0" shapeId="0" xr:uid="{6CE9DBC0-F411-450C-ADE5-6FE43AB51348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67" authorId="0" shapeId="0" xr:uid="{F2C8AB55-E76F-4187-99C2-69AB2BD9809A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67" authorId="0" shapeId="0" xr:uid="{D025E63E-9D67-4225-8627-D53B10AA6DB9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67" authorId="0" shapeId="0" xr:uid="{E220EC8B-3A48-4133-BD12-15E3EB9F00B6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69" authorId="1" shapeId="0" xr:uid="{74D29CD4-44A4-4706-B0D2-5EBDC4B70B6C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9" authorId="0" shapeId="0" xr:uid="{32FA61A0-1B1D-4640-80AE-AA60652E0238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RR = 0.91 (0.86-0.98)
Hofmeyr et al 2023 </t>
        </r>
      </text>
    </comment>
    <comment ref="D14" authorId="0" shapeId="0" xr:uid="{00000000-0006-0000-1B00-00000D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14" authorId="0" shapeId="0" xr:uid="{00000000-0006-0000-1B00-00000E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14" authorId="0" shapeId="0" xr:uid="{00000000-0006-0000-1B00-00000F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14" authorId="0" shapeId="0" xr:uid="{00000000-0006-0000-1B00-000010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D25" authorId="0" shapeId="0" xr:uid="{00000000-0006-0000-1B00-000011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25" authorId="0" shapeId="0" xr:uid="{00000000-0006-0000-1B00-000012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25" authorId="0" shapeId="0" xr:uid="{00000000-0006-0000-1B00-000013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25" authorId="0" shapeId="0" xr:uid="{00000000-0006-0000-1B00-000014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<sst xmlns="http://schemas.openxmlformats.org/spreadsheetml/2006/main" count="2169" uniqueCount="373">
  <si>
    <t>Field</t>
  </si>
  <si>
    <t>Neonatal</t>
  </si>
  <si>
    <t>Meningitis</t>
  </si>
  <si>
    <t>Malaria</t>
  </si>
  <si>
    <t>Sepsis</t>
  </si>
  <si>
    <t>x</t>
  </si>
  <si>
    <t>MAM</t>
  </si>
  <si>
    <t>Normal</t>
  </si>
  <si>
    <t>N/A</t>
  </si>
  <si>
    <t>Outcome</t>
  </si>
  <si>
    <t>Parameter</t>
  </si>
  <si>
    <t>Value</t>
  </si>
  <si>
    <t>Life tables</t>
  </si>
  <si>
    <t>Age 5</t>
  </si>
  <si>
    <t>Age  10</t>
  </si>
  <si>
    <t>Age 15</t>
  </si>
  <si>
    <t>Age 20</t>
  </si>
  <si>
    <t>Age 25</t>
  </si>
  <si>
    <t>Age 30</t>
  </si>
  <si>
    <t>Age 35</t>
  </si>
  <si>
    <t>Age 40</t>
  </si>
  <si>
    <t>Age 45</t>
  </si>
  <si>
    <t>Age 50</t>
  </si>
  <si>
    <t>Age 55</t>
  </si>
  <si>
    <t>Age 60</t>
  </si>
  <si>
    <t>Age 65</t>
  </si>
  <si>
    <t>Age 70</t>
  </si>
  <si>
    <t>Cash transfers - lower</t>
  </si>
  <si>
    <t>Cash transfers - upper</t>
  </si>
  <si>
    <t>18-23 meses</t>
  </si>
  <si>
    <t>24 meses o más</t>
  </si>
  <si>
    <t>Distribución de edad de las mujeres embarazadas</t>
  </si>
  <si>
    <t>Promedio de episodios por año: 1-5 meses</t>
  </si>
  <si>
    <t>Promedio de episodios por año: 12-23 meses</t>
  </si>
  <si>
    <t>Promedio de episodios por año: 24-59 meses</t>
  </si>
  <si>
    <t>Promedio de episodios por año: 6-11 meses</t>
  </si>
  <si>
    <t>Promedio de episodios por año: &lt;1 mes</t>
  </si>
  <si>
    <t>Año de referencia (año de inicio de la proyección)</t>
  </si>
  <si>
    <t>Datos del año de referencia</t>
  </si>
  <si>
    <t>Mortalidad y factores de riesgo en el año de referencia</t>
  </si>
  <si>
    <t>Distribución del desenlace del nacimiento</t>
  </si>
  <si>
    <t>Espaciamiento entre los nacimientos</t>
  </si>
  <si>
    <t>Población infantil menor de 5 años</t>
  </si>
  <si>
    <t>Datos</t>
  </si>
  <si>
    <t>Incidencia de la diarrea</t>
  </si>
  <si>
    <t>Año final</t>
  </si>
  <si>
    <t>El primer nacimiento</t>
  </si>
  <si>
    <t>Alimento</t>
  </si>
  <si>
    <t>Fracción que consume maíz como principal alimento básico</t>
  </si>
  <si>
    <t>Fracción que consume arroz como principal alimento básico</t>
  </si>
  <si>
    <t>Fracción que consume trigo como principal alimento básico</t>
  </si>
  <si>
    <t>Fracción de embarazos que terminan en aborto espontáneo</t>
  </si>
  <si>
    <t>Fracción de agricultura de subsistencia</t>
  </si>
  <si>
    <t>Fracción de otros alimentos básicos como alimento principal</t>
  </si>
  <si>
    <t>Mortalidad infantil (por cada 1.000 nacidos vivos)</t>
  </si>
  <si>
    <t>Mortalidad materna (por cada 1.000 nacidos vivos)</t>
  </si>
  <si>
    <t>Mortalidad</t>
  </si>
  <si>
    <t>Mortalidad neonatal (por cada 1.000 nacidos vivos)</t>
  </si>
  <si>
    <t>Otros riesgos</t>
  </si>
  <si>
    <t>Porcentaje de anemia que es deficiente en hierro</t>
  </si>
  <si>
    <t>Porcentaje de niños que acuden a un centro de salud</t>
  </si>
  <si>
    <t>Porcentaje de diarrea grave</t>
  </si>
  <si>
    <t>Porcentaje de población con riesgo de malaria</t>
  </si>
  <si>
    <t>Porcentaje de población con inseguridad alimentaria (pobre por defecto)</t>
  </si>
  <si>
    <t>Porcentaje de mujeres embarazadas de 15 a 19 años</t>
  </si>
  <si>
    <t>Porcentaje de mujeres embarazadas de 20 a 29 años</t>
  </si>
  <si>
    <t>Porcentaje de mujeres embarazadas de 30 a 39 años</t>
  </si>
  <si>
    <t>Porcentaje de mujeres embarazadas de 40 a 49 años</t>
  </si>
  <si>
    <t>Porcentaje de mujeres embarazadas que acuden a un centro de salud</t>
  </si>
  <si>
    <t>Datos poblacionales</t>
  </si>
  <si>
    <t>Prematuro AEG (adecuado para edad gestacional)</t>
  </si>
  <si>
    <t>Prematuro PEG (pequeño para la edad gestacional)</t>
  </si>
  <si>
    <t>Prevalencia de eclampsia</t>
  </si>
  <si>
    <t>Prevalencia de preeclampsia</t>
  </si>
  <si>
    <t>Años de proyección</t>
  </si>
  <si>
    <t>Asistencia a la escuela (porcentaje de mujeres de 15 a 19 años)</t>
  </si>
  <si>
    <t>Nacidos muertos (por cada 1.000 nacimientos totales)</t>
  </si>
  <si>
    <t>Nacido a término AEG (Adecuado para la edad gestacional)</t>
  </si>
  <si>
    <t>Nacido a término PEG (pequeño para la edad gestacional)</t>
  </si>
  <si>
    <t>Total (debe ser el 100%)</t>
  </si>
  <si>
    <t>Mortalidad de menores de 5 años (por cada 1.000 nacidos vivos)</t>
  </si>
  <si>
    <t>Necesidad insatisfecha de planificación familiar</t>
  </si>
  <si>
    <t>menos de 18 meses</t>
  </si>
  <si>
    <t>Bajo peso al nacer</t>
  </si>
  <si>
    <t>Estimación de mujeres embarazadas</t>
  </si>
  <si>
    <t>Número de nacimientos</t>
  </si>
  <si>
    <t>Total mujeres en edad reproductiva</t>
  </si>
  <si>
    <t>WRA: 15-19 años  (mujeres en edad reproductiva)</t>
  </si>
  <si>
    <t>WRA: 20-29 años (mujeres en edad reproductiva)</t>
  </si>
  <si>
    <t>WRA: 30-39 años (mujeres en edad reproductiva)</t>
  </si>
  <si>
    <t>WRA: 40-49 años (mujeres en edad reproductiva)</t>
  </si>
  <si>
    <t>mujeres en edad reproductiva no embarazadas</t>
  </si>
  <si>
    <t>año</t>
  </si>
  <si>
    <t>1-5 meses</t>
  </si>
  <si>
    <t>12-23 meses</t>
  </si>
  <si>
    <t>24-59 meses</t>
  </si>
  <si>
    <t>6-11 meses</t>
  </si>
  <si>
    <t>&lt;1 mes</t>
  </si>
  <si>
    <t>SIDA</t>
  </si>
  <si>
    <t>Aborto</t>
  </si>
  <si>
    <t>Hemorragia pre-parto</t>
  </si>
  <si>
    <t>Causas</t>
  </si>
  <si>
    <t>Niños</t>
  </si>
  <si>
    <t>Diarrea</t>
  </si>
  <si>
    <t>Embolia</t>
  </si>
  <si>
    <t>Trastornos hipertensivos</t>
  </si>
  <si>
    <t>Causas indirectas</t>
  </si>
  <si>
    <t>Lesión</t>
  </si>
  <si>
    <t>Hemorragia intraparto</t>
  </si>
  <si>
    <t>Sarampión</t>
  </si>
  <si>
    <t>Asfixia neonatal</t>
  </si>
  <si>
    <t>Anomalías congénitas neonatales</t>
  </si>
  <si>
    <t>Diarrea neonatal</t>
  </si>
  <si>
    <t>Neonatal otros</t>
  </si>
  <si>
    <t>Neumonía neonatal</t>
  </si>
  <si>
    <t>Prematuridad neonatal</t>
  </si>
  <si>
    <t>Sepsis neonatal</t>
  </si>
  <si>
    <t>Tétanos neonatal</t>
  </si>
  <si>
    <t>Otro</t>
  </si>
  <si>
    <t>Otras causas directas</t>
  </si>
  <si>
    <t>Tosferina</t>
  </si>
  <si>
    <t>Neumonía</t>
  </si>
  <si>
    <t>Hemorragia posparto</t>
  </si>
  <si>
    <t>Mujeres embarazadas</t>
  </si>
  <si>
    <t>Anemia</t>
  </si>
  <si>
    <t>Alto (puntuación HAZ &lt; -3)</t>
  </si>
  <si>
    <t>MAM (puntuación WHZ entre -3 y -2)</t>
  </si>
  <si>
    <t>Leve (score HAZ entre -2 y -1)</t>
  </si>
  <si>
    <t>Leve (score WHZ entre -2 y -1)</t>
  </si>
  <si>
    <t>Moderado (score HAZ entre -3 y -2)</t>
  </si>
  <si>
    <t>Normal (score HAZ &gt; -1)</t>
  </si>
  <si>
    <t>Normal (score WHZ &gt; -1)</t>
  </si>
  <si>
    <t>PW: 15-19 años</t>
  </si>
  <si>
    <t>PW: 20-29 años</t>
  </si>
  <si>
    <t>PW: 30-39 años</t>
  </si>
  <si>
    <t>PW: 40-49 años</t>
  </si>
  <si>
    <t>Prevalencia de anemia</t>
  </si>
  <si>
    <t>Prevalencia de anemia por deficiencia de hierro</t>
  </si>
  <si>
    <t>MAS (score WHZ &lt; -3)</t>
  </si>
  <si>
    <t>Estado</t>
  </si>
  <si>
    <t>Retraso en el crecimiento (Talla para la edad)</t>
  </si>
  <si>
    <t>Emaciación (peso para la talla)</t>
  </si>
  <si>
    <t>Lactancia materna</t>
  </si>
  <si>
    <t>Exclusivo</t>
  </si>
  <si>
    <t>Ninguno</t>
  </si>
  <si>
    <t>Parcial</t>
  </si>
  <si>
    <t>Predominante</t>
  </si>
  <si>
    <t>Prevalencia de anemia (%)</t>
  </si>
  <si>
    <t>Niños de 0 a 5 meses</t>
  </si>
  <si>
    <t>Niños de 0 a 59 meses</t>
  </si>
  <si>
    <t>Niños de 6 a 23 meses</t>
  </si>
  <si>
    <t>Materna (muertes por cada 1.000 nacimientos)</t>
  </si>
  <si>
    <t>Población</t>
  </si>
  <si>
    <t>Prevalencia de lactancia materna adecuada para la edad</t>
  </si>
  <si>
    <t>Riesgo</t>
  </si>
  <si>
    <t>Prevalencia del retraso del crecimiento (%)</t>
  </si>
  <si>
    <t>Menores de cinco años (muertes por cada 1.000 nacimientos)</t>
  </si>
  <si>
    <t>Prevalencia de emaciación (%)</t>
  </si>
  <si>
    <t>Mujeres en edad reproductiva</t>
  </si>
  <si>
    <t>Crecimiento anual del PIB</t>
  </si>
  <si>
    <t>PIB per cápita</t>
  </si>
  <si>
    <t>Descuento temporal (costos)</t>
  </si>
  <si>
    <t>Descuento temporal (beneficios)</t>
  </si>
  <si>
    <t>Porcentaje de ingresos vitales que realmente se han ganado</t>
  </si>
  <si>
    <t>Edad a la que se acaba la productividad laboral</t>
  </si>
  <si>
    <t>Edad de inicio de la productividad laboral</t>
  </si>
  <si>
    <t>Participación laboral femenina</t>
  </si>
  <si>
    <t>Porcentaje de embarazos a los cuales se les puede atribuir una pérdida de productividad por anemia materna</t>
  </si>
  <si>
    <t>Aumento de puntuación de CI gracias a la lactancia temprana</t>
  </si>
  <si>
    <t xml:space="preserve">Aumento de ingresos por punto de CI </t>
  </si>
  <si>
    <t>Participación del trabajo en el PIB</t>
  </si>
  <si>
    <t>Reducción total de ingresos vitales en individuos con retraso del crecimiento</t>
  </si>
  <si>
    <t>Disminución de productividad debido a la anemia infantil (%)</t>
  </si>
  <si>
    <t>Disminución de productividad debido al bajo peso al nacer (%)</t>
  </si>
  <si>
    <t>Disminución de productividad debido a la anemia materna (%)</t>
  </si>
  <si>
    <t>Porcentaje de mortinatos a incluir en la pérdida de productividad</t>
  </si>
  <si>
    <t>Número de personas vivas restantes (empezando con 100.000 nacimientos)</t>
  </si>
  <si>
    <t>Todo</t>
  </si>
  <si>
    <t>Comunidad</t>
  </si>
  <si>
    <t>Centro de salud</t>
  </si>
  <si>
    <t>IYCF 1-alimentación del lactante y del niño pequeño</t>
  </si>
  <si>
    <t>IYCF 2-alimentación del lactante y del niño pequeño</t>
  </si>
  <si>
    <t>IYCF 3-alimentación del lactante y del niño pequeño</t>
  </si>
  <si>
    <t>Paquete alimentación del lactante y del niño pequeño (IYCF)</t>
  </si>
  <si>
    <t>Medios de comunicación masivos</t>
  </si>
  <si>
    <t>Población objetivo</t>
  </si>
  <si>
    <t>Añadir extensión</t>
  </si>
  <si>
    <t>Basado en la comunidad</t>
  </si>
  <si>
    <t>Por defecto</t>
  </si>
  <si>
    <t>Método de entrega</t>
  </si>
  <si>
    <t>Extensión</t>
  </si>
  <si>
    <t>Manejo de la Malnutrición Aguda Moderada (MAM)</t>
  </si>
  <si>
    <t>Programa</t>
  </si>
  <si>
    <t>Tratamiento de la MAS</t>
  </si>
  <si>
    <t>Suplemento energético-proteico equilibrado</t>
  </si>
  <si>
    <t>Suplemento con calcio</t>
  </si>
  <si>
    <t>Transferencias de efectivo</t>
  </si>
  <si>
    <t>Relación costo-cobertura</t>
  </si>
  <si>
    <t>Retraso en el pinzamiento del cordón umbilical</t>
  </si>
  <si>
    <t>Planificación familiar</t>
  </si>
  <si>
    <t>Enriquecimiento del maíz con hierro y ácido fólico</t>
  </si>
  <si>
    <t>Enriquecimiento del arroz con hierro y ácido fólico</t>
  </si>
  <si>
    <t>Enriquecimiento de la harina de trigo con hierro y ácido fólico</t>
  </si>
  <si>
    <t>Suplementación con hierro y ácido fólico (comunidad)</t>
  </si>
  <si>
    <t>Suplementación con hierro y ácido fólico (centro de salud)</t>
  </si>
  <si>
    <t>Suplementación con hierro y ácido fólico (minorista)</t>
  </si>
  <si>
    <t>Suplementación con hierro y ácido fólico (escuela)</t>
  </si>
  <si>
    <t>Suplementación con hierro y ácido fólico para mujeres embarazadas (comunidad)</t>
  </si>
  <si>
    <t>Suplementación con hierro y ácido fólico para mujeres embarazadas (centro de salud)</t>
  </si>
  <si>
    <t>IPTp-Tratamiento preventivo intermitente de la malaria en el embarazo</t>
  </si>
  <si>
    <t>Fortificación de la sal con hierro y yodo</t>
  </si>
  <si>
    <t>Método de la madre canguro</t>
  </si>
  <si>
    <t>Lineal (costo marginal constante) [por defecto]</t>
  </si>
  <si>
    <t>Suplementos nutricionales a base de lípidos</t>
  </si>
  <si>
    <t>Mosquiteros tratados con insecticida de larga duración</t>
  </si>
  <si>
    <t>Disminución máxima anual</t>
  </si>
  <si>
    <t>Aumento máximo anual</t>
  </si>
  <si>
    <t>Magnesio para la eclampsia</t>
  </si>
  <si>
    <t>Magnesio para la preeclampsia</t>
  </si>
  <si>
    <t>Micronutrientes en polvo</t>
  </si>
  <si>
    <t>Suplementación con micronutrientes múltiples</t>
  </si>
  <si>
    <t>Sales de rehidratación oral</t>
  </si>
  <si>
    <t>Suministro público de alimentos complementarios</t>
  </si>
  <si>
    <t>Cobertura de saturación de la población objetivo</t>
  </si>
  <si>
    <t>Costo unitario (US$)</t>
  </si>
  <si>
    <t>Suplementación con vitamina A</t>
  </si>
  <si>
    <t>WASH: Lavado de manos</t>
  </si>
  <si>
    <t>WASH: Eliminación higiénica de residuos</t>
  </si>
  <si>
    <t>WASH: Mejora del saneamiento</t>
  </si>
  <si>
    <t>WASH: Mejora de la fuente de agua</t>
  </si>
  <si>
    <t>WASH: Agua corriente o entubada</t>
  </si>
  <si>
    <t>Zinc para el tratamiento + SRO</t>
  </si>
  <si>
    <t>Suplementación con zinc</t>
  </si>
  <si>
    <t>Suplementos nutricionales a base de lípidos en pequeñas cantidades</t>
  </si>
  <si>
    <t>Exclusión de intervención dependiente</t>
  </si>
  <si>
    <t>Dependencia de otra intervención</t>
  </si>
  <si>
    <t>MAS</t>
  </si>
  <si>
    <t>Condición</t>
  </si>
  <si>
    <t>Amplio grupo de población</t>
  </si>
  <si>
    <t>Población general</t>
  </si>
  <si>
    <t>Mujeres en edad reproductiva no embarazadas</t>
  </si>
  <si>
    <t>Curva con costo marginal decreciente</t>
  </si>
  <si>
    <t>Curva con costo marginal creciente</t>
  </si>
  <si>
    <t>En forma de S (costo marginal decreciente y luego creciente)</t>
  </si>
  <si>
    <t>Preservativo/condón</t>
  </si>
  <si>
    <t>Costo</t>
  </si>
  <si>
    <t>Efectividad</t>
  </si>
  <si>
    <t>Esterilización femenina</t>
  </si>
  <si>
    <t>Planificación Familiar Natural</t>
  </si>
  <si>
    <t>Dispositivo Intrauterino (DIU)</t>
  </si>
  <si>
    <t>Implante</t>
  </si>
  <si>
    <t>Inyectable</t>
  </si>
  <si>
    <t>Esterilización masculina</t>
  </si>
  <si>
    <t>Método</t>
  </si>
  <si>
    <t>Cápsula/píldora</t>
  </si>
  <si>
    <t>Costo proporcional</t>
  </si>
  <si>
    <t>Retiro</t>
  </si>
  <si>
    <t>Distribución</t>
  </si>
  <si>
    <t>Número de nacimiento</t>
  </si>
  <si>
    <t>Desenlaces del nacimiento</t>
  </si>
  <si>
    <t>Baja talla o retraso en el crecimiento</t>
  </si>
  <si>
    <t>Prevención de la emaciación</t>
  </si>
  <si>
    <t>Tratamiento de la emaciación</t>
  </si>
  <si>
    <t>Mortinatos</t>
  </si>
  <si>
    <t>Rango de edades</t>
  </si>
  <si>
    <t>Comportamiento</t>
  </si>
  <si>
    <t>Límites inferiores</t>
  </si>
  <si>
    <t>Razón de momios para lactancia materna adecuada</t>
  </si>
  <si>
    <t>Razón de momios para lactancia materna adecuada- inferior</t>
  </si>
  <si>
    <t>Razón de momios para lactancia materna adecuada - superior</t>
  </si>
  <si>
    <t>Razón de momios para alimentación complementaria correcta</t>
  </si>
  <si>
    <t>Razón de momios para alimentación complementaria correcta - inferior</t>
  </si>
  <si>
    <t>Razón de momios para alimentación complementaria correcta - superior</t>
  </si>
  <si>
    <t>Razón de momios para baja talla o retraso en el crecimiento</t>
  </si>
  <si>
    <t>Razón de momios para baja talla - inferior</t>
  </si>
  <si>
    <t>Razón de momios para baja talla - superior</t>
  </si>
  <si>
    <t>Límites superiores</t>
  </si>
  <si>
    <t>Por programa</t>
  </si>
  <si>
    <t>Por programa - inferior</t>
  </si>
  <si>
    <t>Por programa - superior</t>
  </si>
  <si>
    <t>Diarrea (por episodio adicional)</t>
  </si>
  <si>
    <t>Diarrea (por episodio adicional) - inferior</t>
  </si>
  <si>
    <t>Diarrea (por episodio adicional) - superior</t>
  </si>
  <si>
    <t>Planificación familiar - más baja</t>
  </si>
  <si>
    <t>Planificación familiar - superior</t>
  </si>
  <si>
    <t>Para MAM por episodio adicional de diarrea</t>
  </si>
  <si>
    <t>Para MAM por episodio adicional de diarrea - inferior</t>
  </si>
  <si>
    <t>Para MAM por episodio adicional de diarrea - superior</t>
  </si>
  <si>
    <t>Para MAS por episodio adicional de diarrea</t>
  </si>
  <si>
    <t>Para MAS por episodio adicional de diarrea - inferior</t>
  </si>
  <si>
    <t>Para MAS por episodio adicional de diarrea - superior</t>
  </si>
  <si>
    <t>Para anemia por episodio adicional de diarrea grave</t>
  </si>
  <si>
    <t>Para anemia por episodio adicional de diarrea grave - inferior</t>
  </si>
  <si>
    <t>Para anemia por episodio adicional de diarrea grave - superior</t>
  </si>
  <si>
    <t>Dada la baja talla previa  (HAZ &lt; -2 en la banda de edad anterior)</t>
  </si>
  <si>
    <t>Dada a baja talla previa (HAZ &lt; -2 en la banda de edad anterior) - inferior</t>
  </si>
  <si>
    <t>Dada la baja talla previa (HAZ &lt; -2 en la banda de edad anterior) - superior</t>
  </si>
  <si>
    <t>Método madre canguro - inferior</t>
  </si>
  <si>
    <t>Método madre canguro - superior</t>
  </si>
  <si>
    <t>Suplementos nutricionales a base de lípidos: más bajos</t>
  </si>
  <si>
    <t>Suplementos nutricionales a base de lípidos - superior</t>
  </si>
  <si>
    <t>Razón de momios de lactancia materna adecuada por programa</t>
  </si>
  <si>
    <t>Razón de momios de lactancia materna adecuada por programa - inferior</t>
  </si>
  <si>
    <t>Razón de momios de lactancia materna adecuada por programa - superior</t>
  </si>
  <si>
    <t>Razón de momios para el espaciamiento óptimo de los nacimientos por programa</t>
  </si>
  <si>
    <t>Razón de momios para el espaciamiento óptimo de los nacimientos por programa - inferior</t>
  </si>
  <si>
    <t>Razón de momios para el espaciamiento óptimo de los nacimientos por programa - superior</t>
  </si>
  <si>
    <t>Razón de momios de baja talla o retraso en el crecimiento</t>
  </si>
  <si>
    <t>Otras razones de momios</t>
  </si>
  <si>
    <t>Suministro público de alimentos complementarios - inferior</t>
  </si>
  <si>
    <t>Suministro público de alimentos complementarios - superior</t>
  </si>
  <si>
    <t>Emaciación</t>
  </si>
  <si>
    <t>Suplementación con zinc - inferior</t>
  </si>
  <si>
    <t>Suplementación con zinc- superior</t>
  </si>
  <si>
    <t>Suplementos nutricionales a base de lípidos en pequeñas cantidades: lower</t>
  </si>
  <si>
    <t>Suplementos nutricionales a base de lípidos en pequeñas cantidades - superior</t>
  </si>
  <si>
    <t>fracción afectada</t>
  </si>
  <si>
    <t>efectividad</t>
  </si>
  <si>
    <t>MAM (puntuación WHZ entre -3 y -2)-inferior</t>
  </si>
  <si>
    <t>MAM (puntuación WHZ entre -3 y -2)-superior</t>
  </si>
  <si>
    <t>Factores de riesgo materno que conducen a los resultados del nacimiento</t>
  </si>
  <si>
    <t>Razón de momios para las condiciones</t>
  </si>
  <si>
    <t>Razón de momios para las condiciones - inferior</t>
  </si>
  <si>
    <t>Razón de momios para las condiciones - superior</t>
  </si>
  <si>
    <t>Razón de momios para mujeres con anemia materna</t>
  </si>
  <si>
    <t>Razón de momios para mujeres con anemia materna-inferior</t>
  </si>
  <si>
    <t>Razón de momios para mujeres con anemia materna-superior</t>
  </si>
  <si>
    <t>Riesgo relativo según el espaciamiento de los nacimientos</t>
  </si>
  <si>
    <t>Riesgo relativo según el espaciamiento de los nacimientos-inferior</t>
  </si>
  <si>
    <t>Riesgo relativo según el espaciamiento de los nacimientos - superior</t>
  </si>
  <si>
    <t>Riesgos relativos de las causas de muerte neonatal</t>
  </si>
  <si>
    <t>Riesgos relativos de las causas de muerte neonatal - inferior</t>
  </si>
  <si>
    <t>Riesgos relativos de las causas de muerte neonatal - superior</t>
  </si>
  <si>
    <t>Riesgos para los niños que experimentan desenlaces al nacimiento</t>
  </si>
  <si>
    <t>MAS (score WHZ &lt; -3)-Inferior</t>
  </si>
  <si>
    <t>MAS (score WHZ &lt; -3)-superior</t>
  </si>
  <si>
    <t>Retraso en el crecimiento (score HAZ &lt; -2)</t>
  </si>
  <si>
    <t>Retraso en el crecimiento (score HAZ &lt; -2)-Inferior</t>
  </si>
  <si>
    <t>Retraso en el crecimiento (score HAZ &lt; -2)-superior</t>
  </si>
  <si>
    <t>Estado de anemia</t>
  </si>
  <si>
    <t>Anémico</t>
  </si>
  <si>
    <t>Situación de lactancia materna</t>
  </si>
  <si>
    <t>Causa de muerte</t>
  </si>
  <si>
    <t>Estado de HAZ (baja talla)</t>
  </si>
  <si>
    <t>Alto</t>
  </si>
  <si>
    <t>Leve</t>
  </si>
  <si>
    <t>Moderado</t>
  </si>
  <si>
    <t>No anémico</t>
  </si>
  <si>
    <t>Riesgo relativo de las causas de muerte según el estado de la anemia</t>
  </si>
  <si>
    <t>Riesgo relativo de las causas de muerte según el estado de la lactancia materna</t>
  </si>
  <si>
    <t>Riesgo relativo de las causas de muerte según la distribución de talla para la edad (retraso en el crecimiento)</t>
  </si>
  <si>
    <t>Riesgo relativo de las causas de muerte según la distribución del peso para la talla (emaciación)</t>
  </si>
  <si>
    <t>Riesgos relativos de sufrir diarrea según el estado de la lactancia materna</t>
  </si>
  <si>
    <t>Estado de la peso para la talla (WHZ)</t>
  </si>
  <si>
    <t>Razón de momios de ser anémico cuando está cubierto por la intervención</t>
  </si>
  <si>
    <t>Razón de momios de ser anémico cuando está cubierto por la intervención-menor</t>
  </si>
  <si>
    <t>Razón de momios de ser anémico cuando está cubierto por la intervención - superior</t>
  </si>
  <si>
    <t>Riesgos relativos de anemia cuando está cubierto por la intervención</t>
  </si>
  <si>
    <t>Riesgos relativos de anemia cuando está cubierto por la intervención - inferior</t>
  </si>
  <si>
    <t>Riesgos relativos de anemia cuando está cubierto por la intervención - superior</t>
  </si>
  <si>
    <t>Límite inferior</t>
  </si>
  <si>
    <t>Razón de momios de MAM cuando está cubierto por el programa</t>
  </si>
  <si>
    <t>Razón de momios de MAM cuando está cubierto por el programa - inferior</t>
  </si>
  <si>
    <t>Razón de momios de MAM cuando está cubierto por el programaa - superior</t>
  </si>
  <si>
    <t>Razón de momios de MAS cuando está cubierto por el programa</t>
  </si>
  <si>
    <t>Razón de momios de MAS cuando está cubierto por el programa - inferior</t>
  </si>
  <si>
    <t>Razón de momios de MAS cuando está cubierto por el programa - superior</t>
  </si>
  <si>
    <t>Límite superior</t>
  </si>
  <si>
    <t>Fracción afectada</t>
  </si>
  <si>
    <t>Efectividad en incidencia</t>
  </si>
  <si>
    <t>Efectividad en mortalidad</t>
  </si>
  <si>
    <t>Condición objetivo</t>
  </si>
  <si>
    <t>Todas las causas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</si>
</sst>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_(* #,##0_);_(* \(#,##0\);_(* &quot;-&quot;??_);_(@_)"/>
    <numFmt numFmtId="166" formatCode="0.000"/>
    <numFmt numFmtId="167" formatCode="0.0%"/>
    <numFmt numFmtId="168" formatCode="0.0"/>
    <numFmt numFmtId="169" formatCode="#,##0.0"/>
    <numFmt numFmtId="170" formatCode="0.0000"/>
  </numFmts>
  <fonts count="24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9" fontId="19" fillId="0" borderId="0" applyFont="0" applyFill="0" applyBorder="0" applyAlignment="0" applyProtection="0"/>
  </cellStyleXfs>
  <cellXfs count="128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164" fontId="4" fillId="0" borderId="0" xfId="0" applyNumberFormat="1" applyFont="1"/>
    <xf numFmtId="165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5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6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7" fontId="4" fillId="2" borderId="1" xfId="0" applyNumberFormat="1" applyFont="1" applyFill="1" applyBorder="1" applyAlignment="1">
      <alignment horizontal="right"/>
    </xf>
    <xf numFmtId="167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7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7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7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5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167" fontId="4" fillId="2" borderId="1" xfId="0" applyNumberFormat="1" applyFont="1" applyFill="1" applyBorder="1" applyAlignment="1" applyProtection="1">
      <alignment horizontal="right"/>
      <protection locked="0"/>
    </xf>
    <xf numFmtId="167" fontId="0" fillId="2" borderId="1" xfId="0" applyNumberFormat="1" applyFill="1" applyBorder="1" applyProtection="1">
      <protection locked="0"/>
    </xf>
    <xf numFmtId="167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6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8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9" fontId="4" fillId="2" borderId="1" xfId="0" applyNumberFormat="1" applyFont="1" applyFill="1" applyBorder="1" applyProtection="1">
      <protection locked="0"/>
    </xf>
    <xf numFmtId="167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3" fillId="7" borderId="0" xfId="0" applyFont="1" applyFill="1" applyAlignment="1">
      <alignment horizontal="right"/>
    </xf>
    <xf numFmtId="2" fontId="8" fillId="7" borderId="1" xfId="0" applyNumberFormat="1" applyFont="1" applyFill="1" applyBorder="1" applyAlignment="1" applyProtection="1">
      <alignment horizontal="right"/>
      <protection locked="0"/>
    </xf>
    <xf numFmtId="0" fontId="7" fillId="0" borderId="0" xfId="3" applyFont="1"/>
    <xf numFmtId="0" fontId="5" fillId="0" borderId="0" xfId="3"/>
    <xf numFmtId="0" fontId="2" fillId="0" borderId="0" xfId="3" applyFont="1"/>
    <xf numFmtId="0" fontId="3" fillId="0" borderId="0" xfId="3" applyFont="1"/>
    <xf numFmtId="3" fontId="3" fillId="2" borderId="1" xfId="3" applyNumberFormat="1" applyFont="1" applyFill="1" applyBorder="1" applyAlignment="1" applyProtection="1">
      <alignment horizontal="right"/>
      <protection locked="0"/>
    </xf>
    <xf numFmtId="167" fontId="3" fillId="2" borderId="1" xfId="6" applyNumberFormat="1" applyFont="1" applyFill="1" applyBorder="1" applyAlignment="1" applyProtection="1">
      <alignment horizontal="right"/>
      <protection locked="0"/>
    </xf>
    <xf numFmtId="0" fontId="3" fillId="2" borderId="1" xfId="3" applyFont="1" applyFill="1" applyBorder="1" applyAlignment="1" applyProtection="1">
      <alignment horizontal="right"/>
      <protection locked="0"/>
    </xf>
    <xf numFmtId="10" fontId="3" fillId="2" borderId="1" xfId="6" applyNumberFormat="1" applyFont="1" applyFill="1" applyBorder="1" applyAlignment="1" applyProtection="1">
      <alignment horizontal="right"/>
      <protection locked="0"/>
    </xf>
    <xf numFmtId="170" fontId="3" fillId="2" borderId="1" xfId="3" applyNumberFormat="1" applyFont="1" applyFill="1" applyBorder="1" applyAlignment="1" applyProtection="1">
      <alignment horizontal="right"/>
      <protection locked="0"/>
    </xf>
    <xf numFmtId="0" fontId="5" fillId="0" borderId="0" xfId="3" applyAlignment="1">
      <alignment horizontal="right"/>
    </xf>
    <xf numFmtId="0" fontId="3" fillId="0" borderId="0" xfId="4" applyFont="1" applyAlignment="1">
      <alignment horizontal="right"/>
    </xf>
    <xf numFmtId="1" fontId="8" fillId="3" borderId="1" xfId="3" applyNumberFormat="1" applyFont="1" applyFill="1" applyBorder="1" applyProtection="1">
      <protection locked="0"/>
    </xf>
    <xf numFmtId="0" fontId="3" fillId="0" borderId="0" xfId="3" applyFont="1" applyAlignment="1">
      <alignment horizontal="right"/>
    </xf>
    <xf numFmtId="2" fontId="8" fillId="3" borderId="1" xfId="5" applyNumberFormat="1" applyFont="1" applyFill="1" applyBorder="1" applyAlignment="1" applyProtection="1">
      <alignment horizontal="right"/>
      <protection locked="0"/>
    </xf>
    <xf numFmtId="0" fontId="7" fillId="6" borderId="0" xfId="3" applyFont="1" applyFill="1"/>
    <xf numFmtId="0" fontId="7" fillId="5" borderId="0" xfId="3" applyFont="1" applyFill="1"/>
    <xf numFmtId="0" fontId="5" fillId="5" borderId="0" xfId="3" applyFill="1"/>
    <xf numFmtId="0" fontId="13" fillId="0" borderId="0" xfId="3" applyFont="1"/>
    <xf numFmtId="0" fontId="7" fillId="0" borderId="0" xfId="3" applyFont="1" applyAlignment="1">
      <alignment horizontal="right"/>
    </xf>
    <xf numFmtId="0" fontId="7" fillId="0" borderId="0" xfId="4" applyFont="1"/>
    <xf numFmtId="0" fontId="2" fillId="6" borderId="0" xfId="4" applyFont="1" applyFill="1" applyAlignment="1">
      <alignment horizontal="left"/>
    </xf>
    <xf numFmtId="0" fontId="3" fillId="6" borderId="0" xfId="4" applyFont="1" applyFill="1" applyAlignment="1">
      <alignment horizontal="right"/>
    </xf>
    <xf numFmtId="0" fontId="5" fillId="6" borderId="0" xfId="3" applyFill="1"/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7">
    <cellStyle name="Comma 2" xfId="5" xr:uid="{00000000-0005-0000-0000-000005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3000000}"/>
    <cellStyle name="Normal 3" xfId="4" xr:uid="{00000000-0005-0000-0000-000004000000}"/>
    <cellStyle name="Percent" xfId="6" builtinId="5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7600"/>
  </sheetPr>
  <dimension ref="A1:E63"/>
  <sheetViews>
    <sheetView tabSelected="1" topLeftCell="A22" zoomScaleNormal="100" workbookViewId="0">
      <selection activeCell="C29" sqref="C29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4" width="14.453125" style="8" customWidth="1"/>
    <col min="5" max="16384" width="14.453125" style="8"/>
  </cols>
  <sheetData>
    <row r="1" spans="1:3" ht="15.9" customHeight="1" x14ac:dyDescent="0.3">
      <c r="A1" s="1" t="s">
        <v>38</v>
      </c>
      <c r="B1" s="29" t="s">
        <v>0</v>
      </c>
      <c r="C1" s="29" t="s">
        <v>43</v>
      </c>
    </row>
    <row r="2" spans="1:3" ht="15.9" customHeight="1" x14ac:dyDescent="0.3">
      <c r="A2" s="8" t="s">
        <v>74</v>
      </c>
      <c r="B2" s="29"/>
      <c r="C2" s="29"/>
    </row>
    <row r="3" spans="1:3" ht="15.9" customHeight="1" x14ac:dyDescent="0.3">
      <c r="A3" s="1"/>
      <c r="B3" s="5" t="s">
        <v>37</v>
      </c>
      <c r="C3" s="41">
        <v>2024</v>
      </c>
    </row>
    <row r="4" spans="1:3" ht="15.9" customHeight="1" x14ac:dyDescent="0.3">
      <c r="A4" s="1"/>
      <c r="B4" s="5" t="s">
        <v>45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69</v>
      </c>
    </row>
    <row r="7" spans="1:3" ht="15" customHeight="1" x14ac:dyDescent="0.25">
      <c r="B7" s="11" t="s">
        <v>42</v>
      </c>
      <c r="C7" s="43">
        <v>474743</v>
      </c>
    </row>
    <row r="8" spans="1:3" ht="15" customHeight="1" x14ac:dyDescent="0.25">
      <c r="B8" s="5" t="s">
        <v>63</v>
      </c>
      <c r="C8" s="44">
        <v>1.4999999999999999E-2</v>
      </c>
    </row>
    <row r="9" spans="1:3" ht="15" customHeight="1" x14ac:dyDescent="0.25">
      <c r="B9" s="5" t="s">
        <v>62</v>
      </c>
      <c r="C9" s="45">
        <v>0.01</v>
      </c>
    </row>
    <row r="10" spans="1:3" ht="15" customHeight="1" x14ac:dyDescent="0.25">
      <c r="B10" s="5" t="s">
        <v>75</v>
      </c>
      <c r="C10" s="45">
        <v>0.89261077880859407</v>
      </c>
    </row>
    <row r="11" spans="1:3" ht="15" customHeight="1" x14ac:dyDescent="0.25">
      <c r="B11" s="5" t="s">
        <v>68</v>
      </c>
      <c r="C11" s="45">
        <v>1</v>
      </c>
    </row>
    <row r="12" spans="1:3" ht="15" customHeight="1" x14ac:dyDescent="0.25">
      <c r="B12" s="5" t="s">
        <v>60</v>
      </c>
      <c r="C12" s="45">
        <v>1</v>
      </c>
    </row>
    <row r="13" spans="1:3" ht="15" customHeight="1" x14ac:dyDescent="0.25">
      <c r="B13" s="5" t="s">
        <v>81</v>
      </c>
      <c r="C13" s="45">
        <v>0.11600000000000001</v>
      </c>
    </row>
    <row r="14" spans="1:3" ht="15" customHeight="1" x14ac:dyDescent="0.25">
      <c r="B14" s="8"/>
    </row>
    <row r="15" spans="1:3" ht="15" customHeight="1" x14ac:dyDescent="0.3">
      <c r="A15" s="8" t="s">
        <v>47</v>
      </c>
      <c r="B15" s="14"/>
      <c r="C15" s="3"/>
    </row>
    <row r="16" spans="1:3" ht="15" customHeight="1" x14ac:dyDescent="0.25">
      <c r="B16" s="5" t="s">
        <v>52</v>
      </c>
      <c r="C16" s="45">
        <v>0.1</v>
      </c>
    </row>
    <row r="17" spans="1:3" ht="15" customHeight="1" x14ac:dyDescent="0.25">
      <c r="B17" s="5" t="s">
        <v>49</v>
      </c>
      <c r="C17" s="45">
        <v>0.01</v>
      </c>
    </row>
    <row r="18" spans="1:3" ht="15" customHeight="1" x14ac:dyDescent="0.25">
      <c r="B18" s="5" t="s">
        <v>50</v>
      </c>
      <c r="C18" s="45">
        <v>0.98</v>
      </c>
    </row>
    <row r="19" spans="1:3" ht="15" customHeight="1" x14ac:dyDescent="0.25">
      <c r="B19" s="5" t="s">
        <v>48</v>
      </c>
      <c r="C19" s="45">
        <v>0.01</v>
      </c>
    </row>
    <row r="20" spans="1:3" ht="15" customHeight="1" x14ac:dyDescent="0.25">
      <c r="B20" s="5" t="s">
        <v>53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31</v>
      </c>
    </row>
    <row r="23" spans="1:3" ht="15" customHeight="1" x14ac:dyDescent="0.25">
      <c r="B23" s="15" t="s">
        <v>64</v>
      </c>
      <c r="C23" s="45">
        <v>0.13220000000000001</v>
      </c>
    </row>
    <row r="24" spans="1:3" ht="15" customHeight="1" x14ac:dyDescent="0.25">
      <c r="B24" s="15" t="s">
        <v>65</v>
      </c>
      <c r="C24" s="45">
        <v>0.57689999999999997</v>
      </c>
    </row>
    <row r="25" spans="1:3" ht="15" customHeight="1" x14ac:dyDescent="0.25">
      <c r="B25" s="15" t="s">
        <v>66</v>
      </c>
      <c r="C25" s="45">
        <v>0.27529999999999999</v>
      </c>
    </row>
    <row r="26" spans="1:3" ht="15" customHeight="1" x14ac:dyDescent="0.25">
      <c r="B26" s="15" t="s">
        <v>67</v>
      </c>
      <c r="C26" s="45">
        <v>1.5599999999999999E-2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41</v>
      </c>
      <c r="B28" s="15"/>
      <c r="C28" s="15"/>
    </row>
    <row r="29" spans="1:3" ht="14.25" customHeight="1" x14ac:dyDescent="0.25">
      <c r="B29" s="25" t="s">
        <v>46</v>
      </c>
      <c r="C29" s="45">
        <v>0.38027698235904311</v>
      </c>
    </row>
    <row r="30" spans="1:3" ht="14.25" customHeight="1" x14ac:dyDescent="0.25">
      <c r="B30" s="25" t="s">
        <v>82</v>
      </c>
      <c r="C30" s="97">
        <v>5.4660418264349912E-2</v>
      </c>
    </row>
    <row r="31" spans="1:3" ht="14.25" customHeight="1" x14ac:dyDescent="0.25">
      <c r="B31" s="25" t="s">
        <v>29</v>
      </c>
      <c r="C31" s="97">
        <v>6.1967733026657798E-2</v>
      </c>
    </row>
    <row r="32" spans="1:3" ht="14.25" customHeight="1" x14ac:dyDescent="0.25">
      <c r="B32" s="25" t="s">
        <v>30</v>
      </c>
      <c r="C32" s="97">
        <v>0.50309486634994893</v>
      </c>
    </row>
    <row r="33" spans="1:5" ht="13.25" customHeight="1" x14ac:dyDescent="0.25">
      <c r="B33" s="27" t="s">
        <v>79</v>
      </c>
      <c r="C33" s="48">
        <f>SUM(C29:C32)</f>
        <v>0.99999999999999978</v>
      </c>
    </row>
    <row r="34" spans="1:5" ht="15" customHeight="1" x14ac:dyDescent="0.25"/>
    <row r="35" spans="1:5" ht="15" customHeight="1" x14ac:dyDescent="0.3">
      <c r="A35" s="4" t="s">
        <v>39</v>
      </c>
    </row>
    <row r="36" spans="1:5" ht="15" customHeight="1" x14ac:dyDescent="0.25">
      <c r="A36" s="8" t="s">
        <v>56</v>
      </c>
      <c r="B36" s="5"/>
    </row>
    <row r="37" spans="1:5" ht="15" customHeight="1" x14ac:dyDescent="0.25">
      <c r="B37" s="11" t="s">
        <v>57</v>
      </c>
      <c r="C37" s="43">
        <v>2.3803999999999998</v>
      </c>
    </row>
    <row r="38" spans="1:5" ht="15" customHeight="1" x14ac:dyDescent="0.25">
      <c r="B38" s="11" t="s">
        <v>54</v>
      </c>
      <c r="C38" s="43">
        <v>3.9929299999999999</v>
      </c>
      <c r="D38" s="12"/>
      <c r="E38" s="13"/>
    </row>
    <row r="39" spans="1:5" ht="15" customHeight="1" x14ac:dyDescent="0.25">
      <c r="B39" s="11" t="s">
        <v>80</v>
      </c>
      <c r="C39" s="43">
        <v>5.0016400000000001</v>
      </c>
      <c r="D39" s="12"/>
      <c r="E39" s="12"/>
    </row>
    <row r="40" spans="1:5" ht="15" customHeight="1" x14ac:dyDescent="0.25">
      <c r="B40" s="11" t="s">
        <v>55</v>
      </c>
      <c r="C40" s="98">
        <v>0.39</v>
      </c>
    </row>
    <row r="41" spans="1:5" ht="15" customHeight="1" x14ac:dyDescent="0.25">
      <c r="B41" s="11" t="s">
        <v>51</v>
      </c>
      <c r="C41" s="45">
        <v>0.12</v>
      </c>
    </row>
    <row r="42" spans="1:5" ht="15" customHeight="1" x14ac:dyDescent="0.25">
      <c r="B42" s="11" t="s">
        <v>76</v>
      </c>
      <c r="C42" s="43">
        <v>6.9491399999999999</v>
      </c>
    </row>
    <row r="43" spans="1:5" ht="15.75" customHeight="1" x14ac:dyDescent="0.25">
      <c r="D43" s="12"/>
    </row>
    <row r="44" spans="1:5" ht="15.75" customHeight="1" x14ac:dyDescent="0.25">
      <c r="A44" s="8" t="s">
        <v>40</v>
      </c>
      <c r="D44" s="12"/>
    </row>
    <row r="45" spans="1:5" ht="15.75" customHeight="1" x14ac:dyDescent="0.25">
      <c r="B45" s="11" t="s">
        <v>71</v>
      </c>
      <c r="C45" s="45">
        <v>5.0914999999999997E-3</v>
      </c>
      <c r="D45" s="12"/>
    </row>
    <row r="46" spans="1:5" ht="15.75" customHeight="1" x14ac:dyDescent="0.25">
      <c r="B46" s="11" t="s">
        <v>70</v>
      </c>
      <c r="C46" s="45">
        <v>5.4706900000000003E-2</v>
      </c>
      <c r="D46" s="12"/>
    </row>
    <row r="47" spans="1:5" ht="15.75" customHeight="1" x14ac:dyDescent="0.25">
      <c r="B47" s="11" t="s">
        <v>78</v>
      </c>
      <c r="C47" s="45">
        <v>7.6159900000000003E-2</v>
      </c>
      <c r="D47" s="12"/>
      <c r="E47" s="13"/>
    </row>
    <row r="48" spans="1:5" ht="15" customHeight="1" x14ac:dyDescent="0.25">
      <c r="B48" s="11" t="s">
        <v>77</v>
      </c>
      <c r="C48" s="46">
        <v>0.46841549999999998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44</v>
      </c>
      <c r="D50" s="12"/>
    </row>
    <row r="51" spans="1:4" ht="15.75" customHeight="1" x14ac:dyDescent="0.25">
      <c r="B51" s="11" t="s">
        <v>36</v>
      </c>
      <c r="C51" s="98">
        <v>3.2</v>
      </c>
      <c r="D51" s="12"/>
    </row>
    <row r="52" spans="1:4" ht="15" customHeight="1" x14ac:dyDescent="0.25">
      <c r="B52" s="11" t="s">
        <v>32</v>
      </c>
      <c r="C52" s="98">
        <v>3.2</v>
      </c>
    </row>
    <row r="53" spans="1:4" ht="15.75" customHeight="1" x14ac:dyDescent="0.25">
      <c r="B53" s="11" t="s">
        <v>35</v>
      </c>
      <c r="C53" s="98">
        <v>3.2</v>
      </c>
    </row>
    <row r="54" spans="1:4" ht="15.75" customHeight="1" x14ac:dyDescent="0.25">
      <c r="B54" s="11" t="s">
        <v>33</v>
      </c>
      <c r="C54" s="98">
        <v>3.2</v>
      </c>
    </row>
    <row r="55" spans="1:4" ht="15.75" customHeight="1" x14ac:dyDescent="0.25">
      <c r="B55" s="11" t="s">
        <v>34</v>
      </c>
      <c r="C55" s="98">
        <v>3.2</v>
      </c>
    </row>
    <row r="57" spans="1:4" ht="15.75" customHeight="1" x14ac:dyDescent="0.25">
      <c r="A57" s="8" t="s">
        <v>58</v>
      </c>
    </row>
    <row r="58" spans="1:4" ht="15.75" customHeight="1" x14ac:dyDescent="0.25">
      <c r="B58" s="5" t="s">
        <v>61</v>
      </c>
      <c r="C58" s="45">
        <v>1.9375E-2</v>
      </c>
    </row>
    <row r="59" spans="1:4" ht="15.75" customHeight="1" x14ac:dyDescent="0.25">
      <c r="B59" s="11" t="s">
        <v>59</v>
      </c>
      <c r="C59" s="45">
        <v>0.57630200000000009</v>
      </c>
    </row>
    <row r="60" spans="1:4" ht="15.75" customHeight="1" x14ac:dyDescent="0.25">
      <c r="B60" s="11" t="s">
        <v>73</v>
      </c>
      <c r="C60" s="45">
        <v>4.5999999999999999E-2</v>
      </c>
    </row>
    <row r="61" spans="1:4" ht="15.75" customHeight="1" x14ac:dyDescent="0.25">
      <c r="B61" s="11" t="s">
        <v>72</v>
      </c>
      <c r="C61" s="45">
        <v>1.4E-2</v>
      </c>
    </row>
    <row r="62" spans="1:4" ht="15.75" customHeight="1" x14ac:dyDescent="0.25">
      <c r="B62" s="11" t="s">
        <v>83</v>
      </c>
      <c r="C62" s="44">
        <v>5.26355739999999E-2</v>
      </c>
    </row>
    <row r="63" spans="1:4" ht="15.75" customHeight="1" x14ac:dyDescent="0.3">
      <c r="A63" s="4"/>
    </row>
  </sheetData>
  <sheetProtection algorithmName="SHA-512" hashValue="axGNmqxh7Qysnz/SoYmLfQAG/iTaA+W1r+WtLyPh6wC+cROBe1fiBFeZmxMODfxk/MtSUlclGiJRy+lhxYSPjg==" saltValue="6+eNwawy7h8tKXoGYmsm8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7600"/>
  </sheetPr>
  <dimension ref="A1:I40"/>
  <sheetViews>
    <sheetView zoomScale="85" zoomScaleNormal="85" workbookViewId="0">
      <selection activeCell="E28" sqref="E28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1" width="14.453125" style="8" customWidth="1"/>
    <col min="12" max="16384" width="14.453125" style="8"/>
  </cols>
  <sheetData>
    <row r="1" spans="1:9" s="16" customFormat="1" ht="30" customHeight="1" x14ac:dyDescent="0.3">
      <c r="A1" s="26" t="s">
        <v>92</v>
      </c>
      <c r="B1" s="20" t="s">
        <v>85</v>
      </c>
      <c r="C1" s="18" t="s">
        <v>87</v>
      </c>
      <c r="D1" s="18" t="s">
        <v>88</v>
      </c>
      <c r="E1" s="18" t="s">
        <v>89</v>
      </c>
      <c r="F1" s="18" t="s">
        <v>90</v>
      </c>
      <c r="G1" s="18" t="s">
        <v>86</v>
      </c>
      <c r="H1" s="18" t="s">
        <v>84</v>
      </c>
      <c r="I1" s="18" t="s">
        <v>91</v>
      </c>
    </row>
    <row r="2" spans="1:9" ht="15.75" customHeight="1" x14ac:dyDescent="0.25">
      <c r="A2" s="5">
        <f>start_year</f>
        <v>2024</v>
      </c>
      <c r="B2" s="49">
        <v>94650</v>
      </c>
      <c r="C2" s="49">
        <v>283213.5</v>
      </c>
      <c r="D2" s="49">
        <v>648262.99999999988</v>
      </c>
      <c r="E2" s="49">
        <v>733647.5</v>
      </c>
      <c r="F2" s="49">
        <v>662831.5</v>
      </c>
      <c r="G2" s="17">
        <f t="shared" ref="G2:G13" si="0">C2+D2+E2+F2</f>
        <v>2327955.5</v>
      </c>
      <c r="H2" s="17">
        <f t="shared" ref="H2:H13" si="1">(B2 + stillbirth*B2/(1000-stillbirth))/(1-abortion)</f>
        <v>108309.47589312613</v>
      </c>
      <c r="I2" s="17">
        <f t="shared" ref="I2:I13" si="2">G2-H2</f>
        <v>2219646.0241068737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93499</v>
      </c>
      <c r="C3" s="50">
        <v>285518.5</v>
      </c>
      <c r="D3" s="50">
        <v>638312</v>
      </c>
      <c r="E3" s="50">
        <v>722959.00000000012</v>
      </c>
      <c r="F3" s="50">
        <v>650970.5</v>
      </c>
      <c r="G3" s="17">
        <f t="shared" si="0"/>
        <v>2297760</v>
      </c>
      <c r="H3" s="17">
        <f t="shared" si="1"/>
        <v>106992.36858458955</v>
      </c>
      <c r="I3" s="17">
        <f t="shared" si="2"/>
        <v>2190767.6314154104</v>
      </c>
    </row>
    <row r="4" spans="1:9" ht="15.75" customHeight="1" x14ac:dyDescent="0.25">
      <c r="A4" s="5">
        <f t="shared" si="3"/>
        <v>2026</v>
      </c>
      <c r="B4" s="49">
        <v>92314</v>
      </c>
      <c r="C4" s="50">
        <v>291682.5</v>
      </c>
      <c r="D4" s="50">
        <v>625598</v>
      </c>
      <c r="E4" s="50">
        <v>711052.5</v>
      </c>
      <c r="F4" s="50">
        <v>645445.5</v>
      </c>
      <c r="G4" s="17">
        <f t="shared" si="0"/>
        <v>2273778.5</v>
      </c>
      <c r="H4" s="17">
        <f t="shared" si="1"/>
        <v>105636.35454408925</v>
      </c>
      <c r="I4" s="17">
        <f t="shared" si="2"/>
        <v>2168142.1454559108</v>
      </c>
    </row>
    <row r="5" spans="1:9" ht="15.75" customHeight="1" x14ac:dyDescent="0.25">
      <c r="A5" s="5">
        <f t="shared" si="3"/>
        <v>2027</v>
      </c>
      <c r="B5" s="49">
        <v>91231</v>
      </c>
      <c r="C5" s="50">
        <v>297379</v>
      </c>
      <c r="D5" s="50">
        <v>612069.99999999988</v>
      </c>
      <c r="E5" s="50">
        <v>699502</v>
      </c>
      <c r="F5" s="50">
        <v>646451</v>
      </c>
      <c r="G5" s="17">
        <f t="shared" si="0"/>
        <v>2255402</v>
      </c>
      <c r="H5" s="17">
        <f t="shared" si="1"/>
        <v>104397.06069948009</v>
      </c>
      <c r="I5" s="17">
        <f t="shared" si="2"/>
        <v>2151004.9393005199</v>
      </c>
    </row>
    <row r="6" spans="1:9" ht="15.75" customHeight="1" x14ac:dyDescent="0.25">
      <c r="A6" s="5">
        <f t="shared" si="3"/>
        <v>2028</v>
      </c>
      <c r="B6" s="49">
        <v>90374</v>
      </c>
      <c r="C6" s="50">
        <v>299581</v>
      </c>
      <c r="D6" s="50">
        <v>599646.50000000012</v>
      </c>
      <c r="E6" s="50">
        <v>685757.49999999988</v>
      </c>
      <c r="F6" s="50">
        <v>658002.5</v>
      </c>
      <c r="G6" s="17">
        <f t="shared" si="0"/>
        <v>2242987.5</v>
      </c>
      <c r="H6" s="17">
        <f t="shared" si="1"/>
        <v>103416.3821908651</v>
      </c>
      <c r="I6" s="17">
        <f t="shared" si="2"/>
        <v>2139571.117809135</v>
      </c>
    </row>
    <row r="7" spans="1:9" ht="15.75" customHeight="1" x14ac:dyDescent="0.25">
      <c r="A7" s="5">
        <f t="shared" si="3"/>
        <v>2029</v>
      </c>
      <c r="B7" s="49">
        <v>89461</v>
      </c>
      <c r="C7" s="50">
        <v>298380.5</v>
      </c>
      <c r="D7" s="50">
        <v>589367.99999999988</v>
      </c>
      <c r="E7" s="50">
        <v>669342.00000000012</v>
      </c>
      <c r="F7" s="50">
        <v>676914</v>
      </c>
      <c r="G7" s="17">
        <f t="shared" si="0"/>
        <v>2234004.5</v>
      </c>
      <c r="H7" s="17">
        <f t="shared" si="1"/>
        <v>102371.62200607457</v>
      </c>
      <c r="I7" s="17">
        <f t="shared" si="2"/>
        <v>2131632.8779939255</v>
      </c>
    </row>
    <row r="8" spans="1:9" ht="15.75" customHeight="1" x14ac:dyDescent="0.25">
      <c r="A8" s="5">
        <f t="shared" si="3"/>
        <v>2030</v>
      </c>
      <c r="B8" s="49">
        <v>88613</v>
      </c>
      <c r="C8" s="50">
        <v>294865.5</v>
      </c>
      <c r="D8" s="50">
        <v>581161</v>
      </c>
      <c r="E8" s="50">
        <v>653030</v>
      </c>
      <c r="F8" s="50">
        <v>697559</v>
      </c>
      <c r="G8" s="17">
        <f t="shared" si="0"/>
        <v>2226615.5</v>
      </c>
      <c r="H8" s="17">
        <f t="shared" si="1"/>
        <v>101401.2423382735</v>
      </c>
      <c r="I8" s="17">
        <f t="shared" si="2"/>
        <v>2125214.2576617263</v>
      </c>
    </row>
    <row r="9" spans="1:9" ht="15.75" customHeight="1" x14ac:dyDescent="0.25">
      <c r="A9" s="5">
        <f t="shared" si="3"/>
        <v>2031</v>
      </c>
      <c r="B9" s="49">
        <v>87798</v>
      </c>
      <c r="C9" s="50">
        <v>288561.5</v>
      </c>
      <c r="D9" s="50">
        <v>575143.5</v>
      </c>
      <c r="E9" s="50">
        <v>639615</v>
      </c>
      <c r="F9" s="50">
        <v>715069.50000000012</v>
      </c>
      <c r="G9" s="17">
        <f t="shared" si="0"/>
        <v>2218389.5</v>
      </c>
      <c r="H9" s="17">
        <f t="shared" si="1"/>
        <v>100468.62508679017</v>
      </c>
      <c r="I9" s="17">
        <f t="shared" si="2"/>
        <v>2117920.87491321</v>
      </c>
    </row>
    <row r="10" spans="1:9" ht="15.75" customHeight="1" x14ac:dyDescent="0.25">
      <c r="A10" s="5">
        <f t="shared" si="3"/>
        <v>2032</v>
      </c>
      <c r="B10" s="49">
        <v>87028</v>
      </c>
      <c r="C10" s="50">
        <v>280972.5</v>
      </c>
      <c r="D10" s="50">
        <v>569472</v>
      </c>
      <c r="E10" s="50">
        <v>630364.49999999988</v>
      </c>
      <c r="F10" s="50">
        <v>722563</v>
      </c>
      <c r="G10" s="17">
        <f t="shared" si="0"/>
        <v>2203372</v>
      </c>
      <c r="H10" s="17">
        <f t="shared" si="1"/>
        <v>99587.502039376457</v>
      </c>
      <c r="I10" s="17">
        <f t="shared" si="2"/>
        <v>2103784.4979606234</v>
      </c>
    </row>
    <row r="11" spans="1:9" ht="15.75" customHeight="1" x14ac:dyDescent="0.25">
      <c r="A11" s="5">
        <f t="shared" si="3"/>
        <v>2033</v>
      </c>
      <c r="B11" s="49">
        <v>86152</v>
      </c>
      <c r="C11" s="50">
        <v>274823.5</v>
      </c>
      <c r="D11" s="50">
        <v>563856</v>
      </c>
      <c r="E11" s="50">
        <v>623774.5</v>
      </c>
      <c r="F11" s="50">
        <v>720156.99999999988</v>
      </c>
      <c r="G11" s="17">
        <f t="shared" si="0"/>
        <v>2182611</v>
      </c>
      <c r="H11" s="17">
        <f t="shared" si="1"/>
        <v>98585.081533487624</v>
      </c>
      <c r="I11" s="17">
        <f t="shared" si="2"/>
        <v>2084025.9184665123</v>
      </c>
    </row>
    <row r="12" spans="1:9" ht="15.75" customHeight="1" x14ac:dyDescent="0.25">
      <c r="A12" s="5">
        <f t="shared" si="3"/>
        <v>2034</v>
      </c>
      <c r="B12" s="49">
        <v>85328</v>
      </c>
      <c r="C12" s="50">
        <v>268435.5</v>
      </c>
      <c r="D12" s="50">
        <v>560288</v>
      </c>
      <c r="E12" s="50">
        <v>617217.5</v>
      </c>
      <c r="F12" s="50">
        <v>713112</v>
      </c>
      <c r="G12" s="17">
        <f t="shared" si="0"/>
        <v>2159053</v>
      </c>
      <c r="H12" s="17">
        <f t="shared" si="1"/>
        <v>97642.165441190358</v>
      </c>
      <c r="I12" s="17">
        <f t="shared" si="2"/>
        <v>2061410.8345588096</v>
      </c>
    </row>
    <row r="13" spans="1:9" ht="15.75" customHeight="1" x14ac:dyDescent="0.25">
      <c r="A13" s="5">
        <f t="shared" si="3"/>
        <v>2035</v>
      </c>
      <c r="B13" s="49">
        <v>84480</v>
      </c>
      <c r="C13" s="50">
        <v>260136.5</v>
      </c>
      <c r="D13" s="50">
        <v>559729.5</v>
      </c>
      <c r="E13" s="50">
        <v>608153.5</v>
      </c>
      <c r="F13" s="50">
        <v>702971</v>
      </c>
      <c r="G13" s="17">
        <f t="shared" si="0"/>
        <v>2130990.5</v>
      </c>
      <c r="H13" s="17">
        <f t="shared" si="1"/>
        <v>96671.785773389289</v>
      </c>
      <c r="I13" s="17">
        <f t="shared" si="2"/>
        <v>2034318.7142266107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+9eIXvHYVcC2C8PdJ7+Op9C7nkdXzcWPzB5nzoP9Fi7dGmYmpwK2l9fznVy0mGaXm33ilByIgw1aa4ose8zcYw==" saltValue="EqDyQ5KRgjrpitZi2RgSvg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7600"/>
  </sheetPr>
  <dimension ref="A1:H35"/>
  <sheetViews>
    <sheetView topLeftCell="A16" zoomScale="115" zoomScaleNormal="115" workbookViewId="0">
      <selection activeCell="C29" sqref="C29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"Porcentaje de muertes en el año de referencia ("&amp;start_year&amp;") atribuible a la causa"</f>
        <v>Porcentaje de muertes en el año de referencia (2024) atribuible a la causa</v>
      </c>
      <c r="B1" s="29"/>
      <c r="C1" s="29"/>
      <c r="D1" s="29"/>
      <c r="E1" s="29"/>
      <c r="F1" s="29"/>
    </row>
    <row r="2" spans="1:8" ht="27.75" customHeight="1" x14ac:dyDescent="0.3">
      <c r="A2" t="s">
        <v>1</v>
      </c>
      <c r="B2" s="29" t="s">
        <v>101</v>
      </c>
      <c r="C2" s="29" t="s">
        <v>97</v>
      </c>
      <c r="D2" s="29"/>
      <c r="E2" s="29"/>
      <c r="F2" s="29"/>
      <c r="G2" s="29"/>
    </row>
    <row r="3" spans="1:8" ht="15.75" customHeight="1" x14ac:dyDescent="0.25">
      <c r="B3" s="19" t="s">
        <v>112</v>
      </c>
      <c r="C3" s="55">
        <v>0</v>
      </c>
    </row>
    <row r="4" spans="1:8" ht="15.75" customHeight="1" x14ac:dyDescent="0.25">
      <c r="B4" s="19" t="s">
        <v>116</v>
      </c>
      <c r="C4" s="99">
        <v>0.1140902</v>
      </c>
    </row>
    <row r="5" spans="1:8" ht="15.75" customHeight="1" x14ac:dyDescent="0.25">
      <c r="B5" s="19" t="s">
        <v>114</v>
      </c>
      <c r="C5" s="99">
        <v>0.1053632</v>
      </c>
    </row>
    <row r="6" spans="1:8" ht="15.75" customHeight="1" x14ac:dyDescent="0.25">
      <c r="B6" s="19" t="s">
        <v>110</v>
      </c>
      <c r="C6" s="99">
        <v>0.1239611999999998</v>
      </c>
    </row>
    <row r="7" spans="1:8" ht="15.75" customHeight="1" x14ac:dyDescent="0.25">
      <c r="B7" s="19" t="s">
        <v>115</v>
      </c>
      <c r="C7" s="99">
        <v>0.33435490000000018</v>
      </c>
    </row>
    <row r="8" spans="1:8" ht="15.75" customHeight="1" x14ac:dyDescent="0.25">
      <c r="B8" s="19" t="s">
        <v>117</v>
      </c>
      <c r="C8" s="99">
        <v>0</v>
      </c>
    </row>
    <row r="9" spans="1:8" ht="15.75" customHeight="1" x14ac:dyDescent="0.25">
      <c r="B9" s="19" t="s">
        <v>111</v>
      </c>
      <c r="C9" s="99">
        <v>0.18478</v>
      </c>
    </row>
    <row r="10" spans="1:8" ht="15.75" customHeight="1" x14ac:dyDescent="0.25">
      <c r="B10" s="19" t="s">
        <v>113</v>
      </c>
      <c r="C10" s="99">
        <v>0.13745049999999989</v>
      </c>
    </row>
    <row r="11" spans="1:8" ht="15.75" customHeight="1" x14ac:dyDescent="0.25">
      <c r="B11" s="27" t="s">
        <v>79</v>
      </c>
      <c r="C11" s="48">
        <f>SUM(C3:C10)</f>
        <v>0.99999999999999978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102</v>
      </c>
      <c r="B13" s="29" t="s">
        <v>101</v>
      </c>
      <c r="C13" s="100" t="s">
        <v>93</v>
      </c>
      <c r="D13" s="100" t="s">
        <v>96</v>
      </c>
      <c r="E13" s="100" t="s">
        <v>94</v>
      </c>
      <c r="F13" s="100" t="s">
        <v>95</v>
      </c>
      <c r="G13" s="19"/>
    </row>
    <row r="14" spans="1:8" ht="15.75" customHeight="1" x14ac:dyDescent="0.25">
      <c r="B14" s="19" t="s">
        <v>103</v>
      </c>
      <c r="C14" s="55">
        <v>3.8033273814434908E-2</v>
      </c>
      <c r="D14" s="55">
        <v>3.8033273814434908E-2</v>
      </c>
      <c r="E14" s="55">
        <v>3.8033273814434908E-2</v>
      </c>
      <c r="F14" s="55">
        <v>3.8033273814434908E-2</v>
      </c>
    </row>
    <row r="15" spans="1:8" ht="15.75" customHeight="1" x14ac:dyDescent="0.25">
      <c r="B15" s="19" t="s">
        <v>121</v>
      </c>
      <c r="C15" s="99">
        <v>0.281737931796603</v>
      </c>
      <c r="D15" s="99">
        <v>0.281737931796603</v>
      </c>
      <c r="E15" s="99">
        <v>0.281737931796603</v>
      </c>
      <c r="F15" s="99">
        <v>0.281737931796603</v>
      </c>
    </row>
    <row r="16" spans="1:8" ht="15.75" customHeight="1" x14ac:dyDescent="0.25">
      <c r="B16" s="19" t="s">
        <v>2</v>
      </c>
      <c r="C16" s="99">
        <v>9.9135393561145146E-2</v>
      </c>
      <c r="D16" s="99">
        <v>9.9135393561145146E-2</v>
      </c>
      <c r="E16" s="99">
        <v>9.9135393561145146E-2</v>
      </c>
      <c r="F16" s="99">
        <v>9.9135393561145146E-2</v>
      </c>
    </row>
    <row r="17" spans="1:8" ht="15.75" customHeight="1" x14ac:dyDescent="0.25">
      <c r="B17" s="19" t="s">
        <v>109</v>
      </c>
      <c r="C17" s="99">
        <v>0</v>
      </c>
      <c r="D17" s="99">
        <v>0</v>
      </c>
      <c r="E17" s="99">
        <v>0</v>
      </c>
      <c r="F17" s="99">
        <v>0</v>
      </c>
    </row>
    <row r="18" spans="1:8" ht="15.75" customHeight="1" x14ac:dyDescent="0.25">
      <c r="B18" s="19" t="s">
        <v>3</v>
      </c>
      <c r="C18" s="99">
        <v>0</v>
      </c>
      <c r="D18" s="99">
        <v>0</v>
      </c>
      <c r="E18" s="99">
        <v>0</v>
      </c>
      <c r="F18" s="99">
        <v>0</v>
      </c>
    </row>
    <row r="19" spans="1:8" ht="15.75" customHeight="1" x14ac:dyDescent="0.25">
      <c r="B19" s="19" t="s">
        <v>120</v>
      </c>
      <c r="C19" s="99">
        <v>9.0770348326293812E-2</v>
      </c>
      <c r="D19" s="99">
        <v>9.0770348326293812E-2</v>
      </c>
      <c r="E19" s="99">
        <v>9.0770348326293812E-2</v>
      </c>
      <c r="F19" s="99">
        <v>9.0770348326293812E-2</v>
      </c>
    </row>
    <row r="20" spans="1:8" ht="15.75" customHeight="1" x14ac:dyDescent="0.25">
      <c r="B20" s="19" t="s">
        <v>98</v>
      </c>
      <c r="C20" s="99">
        <v>0.1381062373663336</v>
      </c>
      <c r="D20" s="99">
        <v>0.1381062373663336</v>
      </c>
      <c r="E20" s="99">
        <v>0.1381062373663336</v>
      </c>
      <c r="F20" s="99">
        <v>0.1381062373663336</v>
      </c>
    </row>
    <row r="21" spans="1:8" ht="15.75" customHeight="1" x14ac:dyDescent="0.25">
      <c r="B21" s="19" t="s">
        <v>107</v>
      </c>
      <c r="C21" s="99">
        <v>0.26144625539141192</v>
      </c>
      <c r="D21" s="99">
        <v>0.26144625539141192</v>
      </c>
      <c r="E21" s="99">
        <v>0.26144625539141192</v>
      </c>
      <c r="F21" s="99">
        <v>0.26144625539141192</v>
      </c>
    </row>
    <row r="22" spans="1:8" ht="15.75" customHeight="1" x14ac:dyDescent="0.25">
      <c r="B22" s="19" t="s">
        <v>118</v>
      </c>
      <c r="C22" s="99">
        <v>9.0770559743777526E-2</v>
      </c>
      <c r="D22" s="99">
        <v>9.0770559743777526E-2</v>
      </c>
      <c r="E22" s="99">
        <v>9.0770559743777526E-2</v>
      </c>
      <c r="F22" s="99">
        <v>9.0770559743777526E-2</v>
      </c>
    </row>
    <row r="23" spans="1:8" ht="15.75" customHeight="1" x14ac:dyDescent="0.25">
      <c r="B23" s="27" t="s">
        <v>79</v>
      </c>
      <c r="C23" s="48">
        <f>SUM(C14:C22)</f>
        <v>0.99999999999999978</v>
      </c>
      <c r="D23" s="48">
        <f>SUM(D14:D22)</f>
        <v>0.99999999999999978</v>
      </c>
      <c r="E23" s="48">
        <f>SUM(E14:E22)</f>
        <v>0.99999999999999978</v>
      </c>
      <c r="F23" s="48">
        <f>SUM(F14:F22)</f>
        <v>0.99999999999999978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123</v>
      </c>
      <c r="B25" s="29" t="s">
        <v>101</v>
      </c>
      <c r="C25" s="29" t="s">
        <v>123</v>
      </c>
      <c r="D25" s="19"/>
      <c r="E25" s="19"/>
      <c r="F25" s="19"/>
      <c r="G25" s="19"/>
      <c r="H25" s="19"/>
    </row>
    <row r="26" spans="1:8" ht="15.75" customHeight="1" x14ac:dyDescent="0.25">
      <c r="B26" s="19" t="s">
        <v>100</v>
      </c>
      <c r="C26" s="55">
        <v>2.9679839999999999E-2</v>
      </c>
    </row>
    <row r="27" spans="1:8" ht="15.75" customHeight="1" x14ac:dyDescent="0.25">
      <c r="B27" s="19" t="s">
        <v>108</v>
      </c>
      <c r="C27" s="99">
        <v>2.1739139000000001E-2</v>
      </c>
    </row>
    <row r="28" spans="1:8" ht="15.75" customHeight="1" x14ac:dyDescent="0.25">
      <c r="B28" s="19" t="s">
        <v>122</v>
      </c>
      <c r="C28" s="99">
        <v>0.105935959</v>
      </c>
    </row>
    <row r="29" spans="1:8" ht="15.75" customHeight="1" x14ac:dyDescent="0.25">
      <c r="B29" s="19" t="s">
        <v>105</v>
      </c>
      <c r="C29" s="99">
        <v>0.11928900100000001</v>
      </c>
    </row>
    <row r="30" spans="1:8" ht="15.75" customHeight="1" x14ac:dyDescent="0.25">
      <c r="B30" s="19" t="s">
        <v>4</v>
      </c>
      <c r="C30" s="99">
        <v>5.9336512000000001E-2</v>
      </c>
    </row>
    <row r="31" spans="1:8" ht="15.75" customHeight="1" x14ac:dyDescent="0.25">
      <c r="B31" s="19" t="s">
        <v>99</v>
      </c>
      <c r="C31" s="99">
        <v>0.21511585599999999</v>
      </c>
    </row>
    <row r="32" spans="1:8" ht="15.75" customHeight="1" x14ac:dyDescent="0.25">
      <c r="B32" s="19" t="s">
        <v>104</v>
      </c>
      <c r="C32" s="99">
        <v>9.6009434000000005E-2</v>
      </c>
    </row>
    <row r="33" spans="2:3" ht="15.75" customHeight="1" x14ac:dyDescent="0.25">
      <c r="B33" s="19" t="s">
        <v>119</v>
      </c>
      <c r="C33" s="99">
        <v>7.9330116000000006E-2</v>
      </c>
    </row>
    <row r="34" spans="2:3" ht="15.75" customHeight="1" x14ac:dyDescent="0.25">
      <c r="B34" s="19" t="s">
        <v>106</v>
      </c>
      <c r="C34" s="99">
        <v>0.27356414400000001</v>
      </c>
    </row>
    <row r="35" spans="2:3" ht="15.75" customHeight="1" x14ac:dyDescent="0.25">
      <c r="B35" s="27" t="s">
        <v>79</v>
      </c>
      <c r="C35" s="48">
        <f>SUM(C26:C34)</f>
        <v>1.0000000010000001</v>
      </c>
    </row>
  </sheetData>
  <sheetProtection algorithmName="SHA-512" hashValue="oZRYLjFwmnGxKfKVPva/kaHLKxGW8Xc9V1JzUvqhxxlftAgNaQcscEnrw6dSycXeT7URYe+xh2BrsTvPc4ijWQ==" saltValue="G9I9zL0eJ3ZTA78xGxf0Yg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"Porcentaje de población en cada categoría en el año de referencia ("&amp;start_year&amp;")"</f>
        <v>Porcentaje de población en cada categoría en el año de referencia (2024)</v>
      </c>
      <c r="B1" s="1" t="s">
        <v>139</v>
      </c>
      <c r="C1" s="11" t="s">
        <v>97</v>
      </c>
      <c r="D1" s="11" t="s">
        <v>93</v>
      </c>
      <c r="E1" s="11" t="s">
        <v>96</v>
      </c>
      <c r="F1" s="11" t="s">
        <v>94</v>
      </c>
      <c r="G1" s="11" t="s">
        <v>95</v>
      </c>
    </row>
    <row r="2" spans="1:15" ht="15.75" customHeight="1" x14ac:dyDescent="0.25">
      <c r="A2" s="3" t="s">
        <v>140</v>
      </c>
      <c r="B2" s="5" t="s">
        <v>130</v>
      </c>
      <c r="C2" s="52">
        <f>IFERROR(1-_xlfn.NORM.DIST(_xlfn.NORM.INV(SUM(C4:C5), 0, 1) + 1, 0, 1, TRUE), "")</f>
        <v>0.68485481924739933</v>
      </c>
      <c r="D2" s="52">
        <f>IFERROR(1-_xlfn.NORM.DIST(_xlfn.NORM.INV(SUM(D4:D5), 0, 1) + 1, 0, 1, TRUE), "")</f>
        <v>0.68485481924739933</v>
      </c>
      <c r="E2" s="52">
        <f>IFERROR(1-_xlfn.NORM.DIST(_xlfn.NORM.INV(SUM(E4:E5), 0, 1) + 1, 0, 1, TRUE), "")</f>
        <v>0.81455925434745047</v>
      </c>
      <c r="F2" s="52">
        <f>IFERROR(1-_xlfn.NORM.DIST(_xlfn.NORM.INV(SUM(F4:F5), 0, 1) + 1, 0, 1, TRUE), "")</f>
        <v>0.65889496102337786</v>
      </c>
      <c r="G2" s="52">
        <f>IFERROR(1-_xlfn.NORM.DIST(_xlfn.NORM.INV(SUM(G4:G5), 0, 1) + 1, 0, 1, TRUE), "")</f>
        <v>0.67024705976319832</v>
      </c>
    </row>
    <row r="3" spans="1:15" ht="15.75" customHeight="1" x14ac:dyDescent="0.25">
      <c r="B3" s="5" t="s">
        <v>127</v>
      </c>
      <c r="C3" s="52">
        <f>IFERROR(_xlfn.NORM.DIST(_xlfn.NORM.INV(SUM(C4:C5), 0, 1) + 1, 0, 1, TRUE) - SUM(C4:C5), "")</f>
        <v>0.24588428075260066</v>
      </c>
      <c r="D3" s="52">
        <f>IFERROR(_xlfn.NORM.DIST(_xlfn.NORM.INV(SUM(D4:D5), 0, 1) + 1, 0, 1, TRUE) - SUM(D4:D5), "")</f>
        <v>0.24588428075260066</v>
      </c>
      <c r="E3" s="52">
        <f>IFERROR(_xlfn.NORM.DIST(_xlfn.NORM.INV(SUM(E4:E5), 0, 1) + 1, 0, 1, TRUE) - SUM(E4:E5), "")</f>
        <v>0.15638284565254959</v>
      </c>
      <c r="F3" s="52">
        <f>IFERROR(_xlfn.NORM.DIST(_xlfn.NORM.INV(SUM(F4:F5), 0, 1) + 1, 0, 1, TRUE) - SUM(F4:F5), "")</f>
        <v>0.26175383897662213</v>
      </c>
      <c r="G3" s="52">
        <f>IFERROR(_xlfn.NORM.DIST(_xlfn.NORM.INV(SUM(G4:G5), 0, 1) + 1, 0, 1, TRUE) - SUM(G4:G5), "")</f>
        <v>0.25490344023680167</v>
      </c>
    </row>
    <row r="4" spans="1:15" ht="15.75" customHeight="1" x14ac:dyDescent="0.25">
      <c r="B4" s="5" t="s">
        <v>129</v>
      </c>
      <c r="C4" s="45">
        <v>6.6390299999999999E-2</v>
      </c>
      <c r="D4" s="53">
        <v>6.6390299999999999E-2</v>
      </c>
      <c r="E4" s="53">
        <v>2.9057900000000001E-2</v>
      </c>
      <c r="F4" s="53">
        <v>7.5866900000000001E-2</v>
      </c>
      <c r="G4" s="53">
        <v>7.2968000000000005E-2</v>
      </c>
    </row>
    <row r="5" spans="1:15" ht="15.75" customHeight="1" x14ac:dyDescent="0.25">
      <c r="B5" s="5" t="s">
        <v>125</v>
      </c>
      <c r="C5" s="45">
        <v>2.8706000000000001E-3</v>
      </c>
      <c r="D5" s="53">
        <v>2.8706000000000001E-3</v>
      </c>
      <c r="E5" s="53">
        <v>0</v>
      </c>
      <c r="F5" s="53">
        <v>3.4843000000000001E-3</v>
      </c>
      <c r="G5" s="53">
        <v>1.8814999999999999E-3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141</v>
      </c>
      <c r="B8" s="5" t="s">
        <v>131</v>
      </c>
      <c r="C8" s="52">
        <f>IFERROR(1-_xlfn.NORM.DIST(_xlfn.NORM.INV(SUM(C10:C11), 0, 1) + 1, 0, 1, TRUE), "")</f>
        <v>0.75896258203655209</v>
      </c>
      <c r="D8" s="52">
        <f>IFERROR(1-_xlfn.NORM.DIST(_xlfn.NORM.INV(SUM(D10:D11), 0, 1) + 1, 0, 1, TRUE), "")</f>
        <v>0.75896258203655209</v>
      </c>
      <c r="E8" s="52">
        <f>IFERROR(1-_xlfn.NORM.DIST(_xlfn.NORM.INV(SUM(E10:E11), 0, 1) + 1, 0, 1, TRUE), "")</f>
        <v>0.83791117953739236</v>
      </c>
      <c r="F8" s="52">
        <f>IFERROR(1-_xlfn.NORM.DIST(_xlfn.NORM.INV(SUM(F10:F11), 0, 1) + 1, 0, 1, TRUE), "")</f>
        <v>0.853063761053518</v>
      </c>
      <c r="G8" s="52">
        <f>IFERROR(1-_xlfn.NORM.DIST(_xlfn.NORM.INV(SUM(G10:G11), 0, 1) + 1, 0, 1, TRUE), "")</f>
        <v>0.86964864494147098</v>
      </c>
    </row>
    <row r="9" spans="1:15" ht="15.75" customHeight="1" x14ac:dyDescent="0.25">
      <c r="B9" s="5" t="s">
        <v>128</v>
      </c>
      <c r="C9" s="52">
        <f>IFERROR(_xlfn.NORM.DIST(_xlfn.NORM.INV(SUM(C10:C11), 0, 1) + 1, 0, 1, TRUE) - SUM(C10:C11), "")</f>
        <v>0.19675051796344789</v>
      </c>
      <c r="D9" s="52">
        <f>IFERROR(_xlfn.NORM.DIST(_xlfn.NORM.INV(SUM(D10:D11), 0, 1) + 1, 0, 1, TRUE) - SUM(D10:D11), "")</f>
        <v>0.19675051796344789</v>
      </c>
      <c r="E9" s="52">
        <f>IFERROR(_xlfn.NORM.DIST(_xlfn.NORM.INV(SUM(E10:E11), 0, 1) + 1, 0, 1, TRUE) - SUM(E10:E11), "")</f>
        <v>0.13856712046260766</v>
      </c>
      <c r="F9" s="52">
        <f>IFERROR(_xlfn.NORM.DIST(_xlfn.NORM.INV(SUM(F10:F11), 0, 1) + 1, 0, 1, TRUE) - SUM(F10:F11), "")</f>
        <v>0.12673763894648199</v>
      </c>
      <c r="G9" s="52">
        <f>IFERROR(_xlfn.NORM.DIST(_xlfn.NORM.INV(SUM(G10:G11), 0, 1) + 1, 0, 1, TRUE) - SUM(G10:G11), "")</f>
        <v>0.11354685505852902</v>
      </c>
    </row>
    <row r="10" spans="1:15" ht="15.75" customHeight="1" x14ac:dyDescent="0.25">
      <c r="B10" s="5" t="s">
        <v>126</v>
      </c>
      <c r="C10" s="45">
        <v>2.0957400000000001E-2</v>
      </c>
      <c r="D10" s="53">
        <v>2.0957400000000001E-2</v>
      </c>
      <c r="E10" s="53">
        <v>1.6555899999999998E-2</v>
      </c>
      <c r="F10" s="53">
        <v>1.7121999999999998E-2</v>
      </c>
      <c r="G10" s="53">
        <v>1.17929E-2</v>
      </c>
    </row>
    <row r="11" spans="1:15" ht="15.75" customHeight="1" x14ac:dyDescent="0.25">
      <c r="B11" s="5" t="s">
        <v>138</v>
      </c>
      <c r="C11" s="45">
        <v>2.33295E-2</v>
      </c>
      <c r="D11" s="53">
        <v>2.33295E-2</v>
      </c>
      <c r="E11" s="53">
        <v>6.9657999999999994E-3</v>
      </c>
      <c r="F11" s="53">
        <v>3.0766000000000001E-3</v>
      </c>
      <c r="G11" s="53">
        <v>5.0116000000000006E-3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124</v>
      </c>
      <c r="C13" s="11" t="s">
        <v>97</v>
      </c>
      <c r="D13" s="11" t="s">
        <v>93</v>
      </c>
      <c r="E13" s="11" t="s">
        <v>96</v>
      </c>
      <c r="F13" s="11" t="s">
        <v>94</v>
      </c>
      <c r="G13" s="11" t="s">
        <v>95</v>
      </c>
      <c r="H13" s="18" t="s">
        <v>132</v>
      </c>
      <c r="I13" s="18" t="s">
        <v>133</v>
      </c>
      <c r="J13" s="18" t="s">
        <v>134</v>
      </c>
      <c r="K13" s="18" t="s">
        <v>135</v>
      </c>
      <c r="L13" s="18" t="s">
        <v>87</v>
      </c>
      <c r="M13" s="18" t="s">
        <v>88</v>
      </c>
      <c r="N13" s="18" t="s">
        <v>89</v>
      </c>
      <c r="O13" s="18" t="s">
        <v>90</v>
      </c>
    </row>
    <row r="14" spans="1:15" ht="15.75" customHeight="1" x14ac:dyDescent="0.25">
      <c r="B14" s="11" t="s">
        <v>136</v>
      </c>
      <c r="C14" s="51">
        <v>0.34035478875000003</v>
      </c>
      <c r="D14" s="54">
        <v>0.31335189346999998</v>
      </c>
      <c r="E14" s="54">
        <v>0.31335189346999998</v>
      </c>
      <c r="F14" s="54">
        <v>0.19796945741300001</v>
      </c>
      <c r="G14" s="54">
        <v>0.19796945741300001</v>
      </c>
      <c r="H14" s="45">
        <v>0.28499999999999998</v>
      </c>
      <c r="I14" s="55">
        <v>0.28499999999999998</v>
      </c>
      <c r="J14" s="55">
        <v>0.28499999999999998</v>
      </c>
      <c r="K14" s="55">
        <v>0.28499999999999998</v>
      </c>
      <c r="L14" s="45">
        <v>0.25</v>
      </c>
      <c r="M14" s="55">
        <v>0.25</v>
      </c>
      <c r="N14" s="55">
        <v>0.25</v>
      </c>
      <c r="O14" s="55">
        <v>0.25</v>
      </c>
    </row>
    <row r="15" spans="1:15" ht="15.75" customHeight="1" x14ac:dyDescent="0.25">
      <c r="B15" s="11" t="s">
        <v>137</v>
      </c>
      <c r="C15" s="52">
        <f t="shared" ref="C15:O15" si="0">iron_deficiency_anaemia*C14</f>
        <v>0.19614714546620254</v>
      </c>
      <c r="D15" s="52">
        <f t="shared" si="0"/>
        <v>0.18058532291054796</v>
      </c>
      <c r="E15" s="52">
        <f t="shared" si="0"/>
        <v>0.18058532291054796</v>
      </c>
      <c r="F15" s="52">
        <f t="shared" si="0"/>
        <v>0.11409019424602675</v>
      </c>
      <c r="G15" s="52">
        <f t="shared" si="0"/>
        <v>0.11409019424602675</v>
      </c>
      <c r="H15" s="52">
        <f t="shared" si="0"/>
        <v>0.16424607000000002</v>
      </c>
      <c r="I15" s="52">
        <f t="shared" si="0"/>
        <v>0.16424607000000002</v>
      </c>
      <c r="J15" s="52">
        <f t="shared" si="0"/>
        <v>0.16424607000000002</v>
      </c>
      <c r="K15" s="52">
        <f t="shared" si="0"/>
        <v>0.16424607000000002</v>
      </c>
      <c r="L15" s="52">
        <f t="shared" si="0"/>
        <v>0.14407550000000002</v>
      </c>
      <c r="M15" s="52">
        <f t="shared" si="0"/>
        <v>0.14407550000000002</v>
      </c>
      <c r="N15" s="52">
        <f t="shared" si="0"/>
        <v>0.14407550000000002</v>
      </c>
      <c r="O15" s="52">
        <f t="shared" si="0"/>
        <v>0.14407550000000002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dRjB9DX3HWatK/SkIoLWMKcN/iOls8IVVKYURqeMoNJh8xrb4i8c1hVyR69xJeAfKU9Aa10WtuYJn0slMU4VyQ==" saltValue="a2oe38VInm4rxsurUK/Jt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07600"/>
  </sheetPr>
  <dimension ref="A1:G5"/>
  <sheetViews>
    <sheetView zoomScaleNormal="100" workbookViewId="0">
      <selection activeCell="C2" sqref="C2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"Porcentaje de niños en cada categoría en el año de referencia ("&amp;start_year&amp;")"</f>
        <v>Porcentaje de niños en cada categoría en el año de referencia (2024)</v>
      </c>
      <c r="B1" s="1" t="s">
        <v>139</v>
      </c>
      <c r="C1" s="8" t="s">
        <v>97</v>
      </c>
      <c r="D1" s="8" t="s">
        <v>93</v>
      </c>
      <c r="E1" s="8" t="s">
        <v>96</v>
      </c>
      <c r="F1" s="8" t="s">
        <v>94</v>
      </c>
      <c r="G1" s="8" t="s">
        <v>95</v>
      </c>
    </row>
    <row r="2" spans="1:7" x14ac:dyDescent="0.25">
      <c r="A2" s="3" t="s">
        <v>142</v>
      </c>
      <c r="B2" s="3" t="s">
        <v>143</v>
      </c>
      <c r="C2" s="45">
        <v>0.85080100000000003</v>
      </c>
      <c r="D2" s="53">
        <v>0.36791390000000002</v>
      </c>
      <c r="E2" s="53">
        <v>0</v>
      </c>
      <c r="F2" s="53">
        <v>0</v>
      </c>
      <c r="G2" s="53">
        <v>0</v>
      </c>
    </row>
    <row r="3" spans="1:7" x14ac:dyDescent="0.25">
      <c r="B3" s="3" t="s">
        <v>146</v>
      </c>
      <c r="C3" s="53">
        <v>0.1190153</v>
      </c>
      <c r="D3" s="53">
        <v>0.13744600000000001</v>
      </c>
      <c r="E3" s="53">
        <v>0</v>
      </c>
      <c r="F3" s="53">
        <v>0</v>
      </c>
      <c r="G3" s="53">
        <v>0</v>
      </c>
    </row>
    <row r="4" spans="1:7" x14ac:dyDescent="0.25">
      <c r="B4" s="3" t="s">
        <v>145</v>
      </c>
      <c r="C4" s="53">
        <v>3.0183700000000001E-2</v>
      </c>
      <c r="D4" s="53">
        <v>0.3566627</v>
      </c>
      <c r="E4" s="53">
        <v>0.53054849999999998</v>
      </c>
      <c r="F4" s="53">
        <v>0.24713470000000001</v>
      </c>
      <c r="G4" s="53">
        <v>0</v>
      </c>
    </row>
    <row r="5" spans="1:7" x14ac:dyDescent="0.25">
      <c r="B5" s="3" t="s">
        <v>144</v>
      </c>
      <c r="C5" s="52">
        <f t="shared" ref="C5:D5" si="0">1-SUM(C2:C4)</f>
        <v>0</v>
      </c>
      <c r="D5" s="52">
        <f t="shared" si="0"/>
        <v>0.13797740000000003</v>
      </c>
      <c r="E5" s="52">
        <f>1-SUM(E2:E4)</f>
        <v>0.46945150000000002</v>
      </c>
      <c r="F5" s="52">
        <f>1-SUM(F2:F4)</f>
        <v>0.75286529999999996</v>
      </c>
      <c r="G5" s="52">
        <f>1-SUM(G2:G4)</f>
        <v>1</v>
      </c>
    </row>
  </sheetData>
  <sheetProtection algorithmName="SHA-512" hashValue="HyCALlaVQVvI6pCNWLLiyBios9Mg27P1XbjAMbJxGAnoJRu/iYET/xzfj5J52kF7uC8qfik99Q67GMrfZAoUTQ==" saltValue="xU8k89rIekDkHCAVOueyYA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7600"/>
  </sheetPr>
  <dimension ref="A1:K14"/>
  <sheetViews>
    <sheetView zoomScale="115" zoomScaleNormal="115" workbookViewId="0">
      <selection activeCell="C14" sqref="C14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x14ac:dyDescent="0.3">
      <c r="A1" s="4" t="s">
        <v>154</v>
      </c>
      <c r="B1" s="4" t="s">
        <v>152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155</v>
      </c>
      <c r="B2" s="9" t="s">
        <v>149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157</v>
      </c>
      <c r="B4" s="9" t="s">
        <v>149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147</v>
      </c>
      <c r="B6" s="9" t="s">
        <v>149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123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158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153</v>
      </c>
      <c r="B10" s="11" t="s">
        <v>148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150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56</v>
      </c>
      <c r="B13" s="11" t="s">
        <v>156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151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oS0GWqEIHqVPgqkGuEgNarWbZ0EOY7pL4tX+JBUgeBkP5HR3aJa9Z5dLJXD/FwNjSqdlslsipB4H3pJiJig2PA==" saltValue="+ecmjL8PXgYciBhWmM18Fw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007600"/>
  </sheetPr>
  <dimension ref="A1:O22"/>
  <sheetViews>
    <sheetView topLeftCell="B9" workbookViewId="0">
      <selection activeCell="B22" sqref="B22"/>
    </sheetView>
  </sheetViews>
  <sheetFormatPr defaultRowHeight="12.5" x14ac:dyDescent="0.25"/>
  <cols>
    <col min="1" max="1" width="57.1796875" customWidth="1"/>
    <col min="2" max="2" width="15.36328125" customWidth="1"/>
  </cols>
  <sheetData>
    <row r="1" spans="1:15" ht="13" x14ac:dyDescent="0.3">
      <c r="A1" s="103" t="s">
        <v>10</v>
      </c>
      <c r="B1" s="103" t="s">
        <v>11</v>
      </c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</row>
    <row r="2" spans="1:15" x14ac:dyDescent="0.25">
      <c r="A2" t="s">
        <v>160</v>
      </c>
      <c r="B2" s="107">
        <v>9499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</row>
    <row r="3" spans="1:15" x14ac:dyDescent="0.25">
      <c r="A3" t="s">
        <v>159</v>
      </c>
      <c r="B3" s="108">
        <v>0.03</v>
      </c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</row>
    <row r="4" spans="1:15" x14ac:dyDescent="0.25">
      <c r="A4" t="s">
        <v>170</v>
      </c>
      <c r="B4" s="108">
        <v>0.41922999999999999</v>
      </c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</row>
    <row r="5" spans="1:15" x14ac:dyDescent="0.25">
      <c r="A5" t="s">
        <v>161</v>
      </c>
      <c r="B5" s="108">
        <v>0.03</v>
      </c>
      <c r="C5" s="104"/>
      <c r="D5" s="104"/>
      <c r="E5" s="104"/>
      <c r="F5" s="104"/>
      <c r="G5" s="104"/>
      <c r="H5" s="104"/>
      <c r="I5" s="104"/>
      <c r="J5" s="104"/>
      <c r="K5" s="104"/>
      <c r="L5" s="104"/>
      <c r="M5" s="104"/>
      <c r="N5" s="104"/>
      <c r="O5" s="104"/>
    </row>
    <row r="6" spans="1:15" x14ac:dyDescent="0.25">
      <c r="A6" t="s">
        <v>162</v>
      </c>
      <c r="B6" s="108">
        <v>0.03</v>
      </c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</row>
    <row r="7" spans="1:15" x14ac:dyDescent="0.25">
      <c r="A7" t="s">
        <v>165</v>
      </c>
      <c r="B7" s="109">
        <v>18</v>
      </c>
      <c r="C7" s="104"/>
      <c r="D7" s="104"/>
      <c r="E7" s="104"/>
      <c r="F7" s="104"/>
      <c r="G7" s="104"/>
      <c r="H7" s="104"/>
      <c r="I7" s="104"/>
      <c r="J7" s="104"/>
      <c r="K7" s="104"/>
      <c r="L7" s="104"/>
      <c r="M7" s="104"/>
      <c r="N7" s="104"/>
      <c r="O7" s="104"/>
    </row>
    <row r="8" spans="1:15" x14ac:dyDescent="0.25">
      <c r="A8" t="s">
        <v>164</v>
      </c>
      <c r="B8" s="109">
        <v>65</v>
      </c>
      <c r="C8" s="104"/>
      <c r="D8" s="104"/>
      <c r="E8" s="104"/>
      <c r="F8" s="104"/>
      <c r="G8" s="104"/>
      <c r="H8" s="104"/>
      <c r="I8" s="104"/>
      <c r="J8" s="104"/>
      <c r="K8" s="104"/>
      <c r="L8" s="104"/>
      <c r="M8" s="104"/>
      <c r="N8" s="104"/>
      <c r="O8" s="104"/>
    </row>
    <row r="9" spans="1:15" x14ac:dyDescent="0.25">
      <c r="A9" t="s">
        <v>166</v>
      </c>
      <c r="B9" s="108">
        <v>0.51119999999999999</v>
      </c>
      <c r="C9" s="104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04"/>
    </row>
    <row r="10" spans="1:15" x14ac:dyDescent="0.25">
      <c r="A10" t="s">
        <v>163</v>
      </c>
      <c r="B10" s="108">
        <v>0.9</v>
      </c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</row>
    <row r="11" spans="1:15" x14ac:dyDescent="0.25">
      <c r="A11" t="s">
        <v>171</v>
      </c>
      <c r="B11" s="108">
        <v>0.66</v>
      </c>
      <c r="C11" s="104"/>
      <c r="D11" s="104"/>
      <c r="E11" s="104"/>
      <c r="F11" s="104"/>
      <c r="G11" s="104"/>
      <c r="H11" s="104"/>
      <c r="I11" s="104"/>
      <c r="J11" s="104"/>
      <c r="K11" s="104"/>
      <c r="L11" s="104"/>
      <c r="M11" s="104"/>
      <c r="N11" s="104"/>
      <c r="O11" s="104"/>
    </row>
    <row r="12" spans="1:15" x14ac:dyDescent="0.25">
      <c r="A12" t="s">
        <v>172</v>
      </c>
      <c r="B12" s="108">
        <v>2.5000000000000001E-2</v>
      </c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</row>
    <row r="13" spans="1:15" x14ac:dyDescent="0.25">
      <c r="A13" t="s">
        <v>173</v>
      </c>
      <c r="B13" s="108">
        <v>7.4999999999999997E-2</v>
      </c>
      <c r="C13" s="104"/>
      <c r="D13" s="104"/>
      <c r="E13" s="104"/>
      <c r="F13" s="104"/>
      <c r="G13" s="104"/>
      <c r="H13" s="104"/>
      <c r="I13" s="104"/>
      <c r="J13" s="104"/>
      <c r="K13" s="104"/>
      <c r="L13" s="104"/>
      <c r="M13" s="104"/>
      <c r="N13" s="104"/>
      <c r="O13" s="104"/>
    </row>
    <row r="14" spans="1:15" x14ac:dyDescent="0.25">
      <c r="A14" t="s">
        <v>174</v>
      </c>
      <c r="B14" s="110">
        <v>1.0712240838871987E-2</v>
      </c>
      <c r="C14" s="104"/>
      <c r="D14" s="104"/>
      <c r="E14" s="104"/>
      <c r="F14" s="104"/>
      <c r="G14" s="104"/>
      <c r="H14" s="104"/>
      <c r="I14" s="104"/>
      <c r="J14" s="104"/>
      <c r="K14" s="104"/>
      <c r="L14" s="104"/>
      <c r="M14" s="104"/>
      <c r="N14" s="104"/>
      <c r="O14" s="104"/>
    </row>
    <row r="15" spans="1:15" x14ac:dyDescent="0.25">
      <c r="A15" t="s">
        <v>167</v>
      </c>
      <c r="B15" s="109">
        <v>0.5</v>
      </c>
      <c r="C15" s="104"/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  <c r="O15" s="104"/>
    </row>
    <row r="16" spans="1:15" x14ac:dyDescent="0.25">
      <c r="A16" t="s">
        <v>168</v>
      </c>
      <c r="B16" s="109">
        <v>0.8</v>
      </c>
      <c r="C16" s="104"/>
      <c r="D16" s="104"/>
      <c r="E16" s="104"/>
      <c r="F16" s="104"/>
      <c r="G16" s="104"/>
      <c r="H16" s="104"/>
      <c r="I16" s="104"/>
      <c r="J16" s="104"/>
      <c r="K16" s="104"/>
      <c r="L16" s="104"/>
      <c r="M16" s="104"/>
      <c r="N16" s="104"/>
      <c r="O16" s="104"/>
    </row>
    <row r="17" spans="1:15" x14ac:dyDescent="0.25">
      <c r="A17" t="s">
        <v>169</v>
      </c>
      <c r="B17" s="111">
        <v>1.0666666666666666E-2</v>
      </c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104"/>
      <c r="O17" s="104"/>
    </row>
    <row r="18" spans="1:15" x14ac:dyDescent="0.25">
      <c r="A18" t="s">
        <v>175</v>
      </c>
      <c r="B18" s="108">
        <v>0</v>
      </c>
      <c r="C18" s="104"/>
      <c r="D18" s="104"/>
      <c r="E18" s="104"/>
      <c r="F18" s="104"/>
      <c r="G18" s="104"/>
      <c r="H18" s="104"/>
      <c r="I18" s="104"/>
      <c r="J18" s="104"/>
      <c r="K18" s="104"/>
      <c r="L18" s="104"/>
      <c r="M18" s="104"/>
      <c r="N18" s="104"/>
      <c r="O18" s="104"/>
    </row>
    <row r="19" spans="1:15" x14ac:dyDescent="0.25">
      <c r="A19" s="104"/>
      <c r="B19" s="104"/>
      <c r="C19" s="104"/>
      <c r="D19" s="104"/>
      <c r="E19" s="104"/>
      <c r="F19" s="104"/>
      <c r="G19" s="104"/>
      <c r="H19" s="104"/>
      <c r="I19" s="104"/>
      <c r="J19" s="104"/>
      <c r="K19" s="104"/>
      <c r="L19" s="104"/>
      <c r="M19" s="104"/>
      <c r="N19" s="104"/>
      <c r="O19" s="104"/>
    </row>
    <row r="20" spans="1:15" x14ac:dyDescent="0.25">
      <c r="A20" s="104"/>
      <c r="B20" s="104"/>
      <c r="C20" s="104"/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</row>
    <row r="21" spans="1:15" ht="13" x14ac:dyDescent="0.3">
      <c r="A21" s="105" t="s">
        <v>12</v>
      </c>
      <c r="B21" s="106" t="s">
        <v>13</v>
      </c>
      <c r="C21" s="106" t="s">
        <v>14</v>
      </c>
      <c r="D21" s="106" t="s">
        <v>15</v>
      </c>
      <c r="E21" s="106" t="s">
        <v>16</v>
      </c>
      <c r="F21" s="106" t="s">
        <v>17</v>
      </c>
      <c r="G21" s="106" t="s">
        <v>18</v>
      </c>
      <c r="H21" s="106" t="s">
        <v>19</v>
      </c>
      <c r="I21" s="106" t="s">
        <v>20</v>
      </c>
      <c r="J21" s="106" t="s">
        <v>21</v>
      </c>
      <c r="K21" s="106" t="s">
        <v>22</v>
      </c>
      <c r="L21" s="106" t="s">
        <v>23</v>
      </c>
      <c r="M21" s="106" t="s">
        <v>24</v>
      </c>
      <c r="N21" s="106" t="s">
        <v>25</v>
      </c>
      <c r="O21" s="106" t="s">
        <v>26</v>
      </c>
    </row>
    <row r="22" spans="1:15" x14ac:dyDescent="0.25">
      <c r="A22" s="106" t="s">
        <v>176</v>
      </c>
      <c r="B22" s="107">
        <v>99458.483229999998</v>
      </c>
      <c r="C22" s="107">
        <v>99367.002160000004</v>
      </c>
      <c r="D22" s="107">
        <v>99260.373470000006</v>
      </c>
      <c r="E22" s="107">
        <v>99067.585720000003</v>
      </c>
      <c r="F22" s="107">
        <v>98813.584170000002</v>
      </c>
      <c r="G22" s="107">
        <v>98472.610960000005</v>
      </c>
      <c r="H22" s="107">
        <v>98046.481</v>
      </c>
      <c r="I22" s="107">
        <v>97404.418040000004</v>
      </c>
      <c r="J22" s="107">
        <v>96507.249129999997</v>
      </c>
      <c r="K22" s="107">
        <v>95182.85626</v>
      </c>
      <c r="L22" s="107">
        <v>93093.032179999995</v>
      </c>
      <c r="M22" s="107">
        <v>89401.177710000004</v>
      </c>
      <c r="N22" s="107">
        <v>84152.425000000003</v>
      </c>
      <c r="O22" s="107">
        <v>76525.274690000006</v>
      </c>
    </row>
  </sheetData>
  <sheetProtection algorithmName="SHA-512" hashValue="xY0LnCYqVok0DnXEb8d0bEARdtcSXAje0TO9ag7PYRI0ITOnOkTpff6W7X/yuQlUKYjQwaGKulynsHrBRcE8hQ==" saltValue="GFyg7qmvElo5UPtKviPW0Q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7" tint="-0.249977111117893"/>
  </sheetPr>
  <dimension ref="A1:E21"/>
  <sheetViews>
    <sheetView zoomScale="115" zoomScaleNormal="115" workbookViewId="0">
      <selection activeCell="C2" sqref="C2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5" width="11.453125" style="8" customWidth="1"/>
    <col min="6" max="16384" width="11.453125" style="8"/>
  </cols>
  <sheetData>
    <row r="1" spans="1:5" ht="13" x14ac:dyDescent="0.3">
      <c r="A1" s="35" t="s">
        <v>183</v>
      </c>
      <c r="B1" s="36" t="s">
        <v>185</v>
      </c>
      <c r="C1" s="36" t="s">
        <v>179</v>
      </c>
      <c r="D1" s="36" t="s">
        <v>178</v>
      </c>
      <c r="E1" s="36" t="s">
        <v>184</v>
      </c>
    </row>
    <row r="2" spans="1:5" ht="13" x14ac:dyDescent="0.3">
      <c r="A2" s="34" t="s">
        <v>180</v>
      </c>
      <c r="B2" s="32" t="s">
        <v>123</v>
      </c>
      <c r="C2" s="47"/>
      <c r="D2" s="47"/>
      <c r="E2" s="38" t="str">
        <f>IF(E$7="","",E$7)</f>
        <v/>
      </c>
    </row>
    <row r="3" spans="1:5" x14ac:dyDescent="0.25">
      <c r="B3" s="32" t="s">
        <v>97</v>
      </c>
      <c r="C3" s="47"/>
      <c r="D3" s="47" t="s">
        <v>5</v>
      </c>
      <c r="E3" s="38" t="str">
        <f>IF(E$7="","",E$7)</f>
        <v/>
      </c>
    </row>
    <row r="4" spans="1:5" x14ac:dyDescent="0.25">
      <c r="B4" s="32" t="s">
        <v>93</v>
      </c>
      <c r="C4" s="47"/>
      <c r="D4" s="47" t="s">
        <v>5</v>
      </c>
      <c r="E4" s="38" t="str">
        <f>IF(E$7="","",E$7)</f>
        <v/>
      </c>
    </row>
    <row r="5" spans="1:5" x14ac:dyDescent="0.25">
      <c r="B5" s="32" t="s">
        <v>96</v>
      </c>
      <c r="C5" s="47"/>
      <c r="D5" s="47" t="s">
        <v>5</v>
      </c>
      <c r="E5" s="38" t="str">
        <f>IF(E$7="","",E$7)</f>
        <v/>
      </c>
    </row>
    <row r="6" spans="1:5" x14ac:dyDescent="0.25">
      <c r="B6" s="32" t="s">
        <v>94</v>
      </c>
      <c r="C6" s="47"/>
      <c r="D6" s="47" t="s">
        <v>5</v>
      </c>
      <c r="E6" s="38" t="str">
        <f>IF(E$7="","",E$7)</f>
        <v/>
      </c>
    </row>
    <row r="7" spans="1:5" x14ac:dyDescent="0.25">
      <c r="B7" s="32" t="s">
        <v>177</v>
      </c>
      <c r="C7" s="31"/>
      <c r="D7" s="30"/>
      <c r="E7" s="47"/>
    </row>
    <row r="9" spans="1:5" ht="13" x14ac:dyDescent="0.3">
      <c r="A9" s="34" t="s">
        <v>181</v>
      </c>
      <c r="B9" s="32" t="s">
        <v>123</v>
      </c>
      <c r="C9" s="47"/>
      <c r="D9" s="47"/>
      <c r="E9" s="38" t="str">
        <f>IF(E$7="","",E$7)</f>
        <v/>
      </c>
    </row>
    <row r="10" spans="1:5" x14ac:dyDescent="0.25">
      <c r="B10" s="32" t="s">
        <v>97</v>
      </c>
      <c r="C10" s="47"/>
      <c r="D10" s="47"/>
      <c r="E10" s="38" t="str">
        <f>IF(E$7="","",E$7)</f>
        <v/>
      </c>
    </row>
    <row r="11" spans="1:5" x14ac:dyDescent="0.25">
      <c r="B11" s="32" t="s">
        <v>93</v>
      </c>
      <c r="C11" s="47"/>
      <c r="D11" s="47"/>
      <c r="E11" s="38" t="str">
        <f>IF(E$7="","",E$7)</f>
        <v/>
      </c>
    </row>
    <row r="12" spans="1:5" x14ac:dyDescent="0.25">
      <c r="B12" s="32" t="s">
        <v>96</v>
      </c>
      <c r="C12" s="47"/>
      <c r="D12" s="47" t="s">
        <v>5</v>
      </c>
      <c r="E12" s="38" t="str">
        <f>IF(E$7="","",E$7)</f>
        <v/>
      </c>
    </row>
    <row r="13" spans="1:5" x14ac:dyDescent="0.25">
      <c r="B13" s="32" t="s">
        <v>94</v>
      </c>
      <c r="C13" s="47"/>
      <c r="D13" s="47" t="s">
        <v>5</v>
      </c>
      <c r="E13" s="38" t="str">
        <f>IF(E$7="","",E$7)</f>
        <v/>
      </c>
    </row>
    <row r="14" spans="1:5" x14ac:dyDescent="0.25">
      <c r="B14" s="32" t="s">
        <v>177</v>
      </c>
      <c r="C14" s="31"/>
      <c r="D14" s="30"/>
      <c r="E14" s="47"/>
    </row>
    <row r="16" spans="1:5" ht="13" x14ac:dyDescent="0.3">
      <c r="A16" s="34" t="s">
        <v>182</v>
      </c>
      <c r="B16" s="32" t="s">
        <v>123</v>
      </c>
      <c r="C16" s="47"/>
      <c r="D16" s="47" t="s">
        <v>5</v>
      </c>
      <c r="E16" s="38" t="str">
        <f>IF(E$7="","",E$7)</f>
        <v/>
      </c>
    </row>
    <row r="17" spans="2:5" x14ac:dyDescent="0.25">
      <c r="B17" s="32" t="s">
        <v>97</v>
      </c>
      <c r="C17" s="47"/>
      <c r="D17" s="47" t="s">
        <v>5</v>
      </c>
      <c r="E17" s="38" t="str">
        <f>IF(E$7="","",E$7)</f>
        <v/>
      </c>
    </row>
    <row r="18" spans="2:5" x14ac:dyDescent="0.25">
      <c r="B18" s="32" t="s">
        <v>93</v>
      </c>
      <c r="C18" s="47"/>
      <c r="D18" s="47" t="s">
        <v>5</v>
      </c>
      <c r="E18" s="38" t="str">
        <f>IF(E$7="","",E$7)</f>
        <v/>
      </c>
    </row>
    <row r="19" spans="2:5" x14ac:dyDescent="0.25">
      <c r="B19" s="32" t="s">
        <v>96</v>
      </c>
      <c r="C19" s="47"/>
      <c r="D19" s="47" t="s">
        <v>5</v>
      </c>
      <c r="E19" s="38" t="str">
        <f>IF(E$7="","",E$7)</f>
        <v/>
      </c>
    </row>
    <row r="20" spans="2:5" x14ac:dyDescent="0.25">
      <c r="B20" s="32" t="s">
        <v>94</v>
      </c>
      <c r="C20" s="47"/>
      <c r="D20" s="47" t="s">
        <v>5</v>
      </c>
      <c r="E20" s="38" t="str">
        <f>IF(E$7="","",E$7)</f>
        <v/>
      </c>
    </row>
    <row r="21" spans="2:5" x14ac:dyDescent="0.25">
      <c r="B21" s="32" t="s">
        <v>177</v>
      </c>
      <c r="C21" s="31"/>
      <c r="D21" s="30"/>
      <c r="E21" s="47"/>
    </row>
  </sheetData>
  <sheetProtection algorithmName="SHA-512" hashValue="gn8exELxCHO5zXzD1z9DWX1o2z3q/HLbPTcdsHJ1ao9tPwArAoBKrLapwMg11eqmx7k457piLAVNVpkupMqfig==" saltValue="7jWrpWsV3T8fJyBCuHTBYA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7" tint="-0.249977111117893"/>
  </sheetPr>
  <dimension ref="A1:D3"/>
  <sheetViews>
    <sheetView zoomScale="145" zoomScaleNormal="145" workbookViewId="0">
      <selection activeCell="D2" sqref="D2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x14ac:dyDescent="0.3">
      <c r="A1" s="39" t="s">
        <v>0</v>
      </c>
      <c r="B1" s="36" t="s">
        <v>188</v>
      </c>
      <c r="C1" s="40" t="s">
        <v>190</v>
      </c>
      <c r="D1" s="40" t="s">
        <v>186</v>
      </c>
    </row>
    <row r="2" spans="1:4" ht="13" x14ac:dyDescent="0.3">
      <c r="A2" s="40" t="s">
        <v>192</v>
      </c>
      <c r="B2" s="32" t="s">
        <v>193</v>
      </c>
      <c r="C2" s="32" t="s">
        <v>191</v>
      </c>
      <c r="D2" s="47"/>
    </row>
    <row r="3" spans="1:4" ht="13" x14ac:dyDescent="0.3">
      <c r="A3" s="40" t="s">
        <v>189</v>
      </c>
      <c r="B3" s="32" t="s">
        <v>179</v>
      </c>
      <c r="C3" s="32" t="s">
        <v>187</v>
      </c>
      <c r="D3" s="47"/>
    </row>
  </sheetData>
  <sheetProtection algorithmName="SHA-512" hashValue="s08PL+5dFw2SBuvH7E3Kk1DfwrrEnWB+ORSPbJNLkz3MQ8/rmGuO1O/H58QKg5FHQh54an4zpM2goO/EmDc6Jw==" saltValue="PNXJKd8p+w6/MAp8TpZDBA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7" tint="-0.249977111117893"/>
  </sheetPr>
  <dimension ref="A1:G39"/>
  <sheetViews>
    <sheetView zoomScale="70" zoomScaleNormal="70" workbookViewId="0">
      <selection activeCell="B28" sqref="B28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9" width="14.453125" style="8" customWidth="1"/>
    <col min="10" max="16384" width="14.453125" style="8"/>
  </cols>
  <sheetData>
    <row r="1" spans="1:7" ht="26.4" customHeight="1" x14ac:dyDescent="0.3">
      <c r="A1" s="1" t="s">
        <v>192</v>
      </c>
      <c r="B1" s="22" t="str">
        <f>"Cobertura de referencia ("&amp;start_year&amp;")"</f>
        <v>Cobertura de referencia (2024)</v>
      </c>
      <c r="C1" s="22" t="s">
        <v>223</v>
      </c>
      <c r="D1" s="22" t="s">
        <v>224</v>
      </c>
      <c r="E1" s="22" t="s">
        <v>197</v>
      </c>
      <c r="F1" s="22" t="s">
        <v>216</v>
      </c>
      <c r="G1" s="22" t="s">
        <v>215</v>
      </c>
    </row>
    <row r="2" spans="1:7" ht="15.75" customHeight="1" x14ac:dyDescent="0.25">
      <c r="A2" s="5" t="s">
        <v>194</v>
      </c>
      <c r="B2" s="45">
        <v>0</v>
      </c>
      <c r="C2" s="96">
        <v>0.95</v>
      </c>
      <c r="D2" s="56">
        <v>19.75</v>
      </c>
      <c r="E2" s="56" t="s">
        <v>212</v>
      </c>
      <c r="F2" s="96">
        <v>1</v>
      </c>
      <c r="G2" s="96">
        <v>1</v>
      </c>
    </row>
    <row r="3" spans="1:7" ht="15.75" customHeight="1" x14ac:dyDescent="0.25">
      <c r="A3" s="5" t="s">
        <v>195</v>
      </c>
      <c r="B3" s="45">
        <v>0</v>
      </c>
      <c r="C3" s="96">
        <v>0.95</v>
      </c>
      <c r="D3" s="56">
        <v>19.75</v>
      </c>
      <c r="E3" s="56" t="s">
        <v>212</v>
      </c>
      <c r="F3" s="96">
        <v>1</v>
      </c>
      <c r="G3" s="96">
        <v>1</v>
      </c>
    </row>
    <row r="4" spans="1:7" ht="15.75" customHeight="1" x14ac:dyDescent="0.25">
      <c r="A4" s="5" t="s">
        <v>196</v>
      </c>
      <c r="B4" s="96">
        <v>0</v>
      </c>
      <c r="C4" s="96">
        <v>0.95</v>
      </c>
      <c r="D4" s="56">
        <v>21.195</v>
      </c>
      <c r="E4" s="56" t="s">
        <v>212</v>
      </c>
      <c r="F4" s="96">
        <v>1</v>
      </c>
      <c r="G4" s="96">
        <v>1</v>
      </c>
    </row>
    <row r="5" spans="1:7" ht="15.75" customHeight="1" x14ac:dyDescent="0.25">
      <c r="A5" s="5" t="s">
        <v>198</v>
      </c>
      <c r="B5" s="96">
        <v>0</v>
      </c>
      <c r="C5" s="96">
        <v>0.95</v>
      </c>
      <c r="D5" s="56">
        <v>0.48</v>
      </c>
      <c r="E5" s="56" t="s">
        <v>212</v>
      </c>
      <c r="F5" s="96">
        <v>1</v>
      </c>
      <c r="G5" s="96">
        <v>1</v>
      </c>
    </row>
    <row r="6" spans="1:7" ht="15.75" customHeight="1" x14ac:dyDescent="0.25">
      <c r="A6" s="5" t="s">
        <v>199</v>
      </c>
      <c r="B6" s="96">
        <v>0</v>
      </c>
      <c r="C6" s="96">
        <v>0.95</v>
      </c>
      <c r="D6" s="56">
        <v>99.99</v>
      </c>
      <c r="E6" s="56" t="s">
        <v>212</v>
      </c>
      <c r="F6" s="96">
        <v>1</v>
      </c>
      <c r="G6" s="96">
        <v>1</v>
      </c>
    </row>
    <row r="7" spans="1:7" ht="15.75" customHeight="1" x14ac:dyDescent="0.25">
      <c r="A7" s="5" t="s">
        <v>200</v>
      </c>
      <c r="B7" s="96">
        <v>0</v>
      </c>
      <c r="C7" s="96">
        <v>0.95</v>
      </c>
      <c r="D7" s="56">
        <v>0.19</v>
      </c>
      <c r="E7" s="56" t="s">
        <v>212</v>
      </c>
      <c r="F7" s="96">
        <v>1</v>
      </c>
      <c r="G7" s="96">
        <v>1</v>
      </c>
    </row>
    <row r="8" spans="1:7" ht="15.75" customHeight="1" x14ac:dyDescent="0.25">
      <c r="A8" s="5" t="s">
        <v>201</v>
      </c>
      <c r="B8" s="96">
        <v>0</v>
      </c>
      <c r="C8" s="96">
        <v>0.95</v>
      </c>
      <c r="D8" s="56">
        <v>0.79</v>
      </c>
      <c r="E8" s="56" t="s">
        <v>212</v>
      </c>
      <c r="F8" s="96">
        <v>1</v>
      </c>
      <c r="G8" s="96">
        <v>1</v>
      </c>
    </row>
    <row r="9" spans="1:7" ht="15.75" customHeight="1" x14ac:dyDescent="0.25">
      <c r="A9" s="5" t="s">
        <v>202</v>
      </c>
      <c r="B9" s="96">
        <v>0.5</v>
      </c>
      <c r="C9" s="96">
        <v>0.95</v>
      </c>
      <c r="D9" s="56">
        <v>0.32855565777368906</v>
      </c>
      <c r="E9" s="56" t="s">
        <v>212</v>
      </c>
      <c r="F9" s="96">
        <v>1</v>
      </c>
      <c r="G9" s="96">
        <v>1</v>
      </c>
    </row>
    <row r="10" spans="1:7" ht="15.75" customHeight="1" x14ac:dyDescent="0.25">
      <c r="A10" s="11" t="s">
        <v>203</v>
      </c>
      <c r="B10" s="45">
        <v>0</v>
      </c>
      <c r="C10" s="96">
        <v>0.95</v>
      </c>
      <c r="D10" s="56">
        <v>13.57242575163446</v>
      </c>
      <c r="E10" s="56" t="s">
        <v>212</v>
      </c>
      <c r="F10" s="96">
        <v>1</v>
      </c>
      <c r="G10" s="96">
        <v>1</v>
      </c>
    </row>
    <row r="11" spans="1:7" ht="15.75" customHeight="1" x14ac:dyDescent="0.25">
      <c r="A11" s="11" t="s">
        <v>204</v>
      </c>
      <c r="B11" s="96">
        <v>0</v>
      </c>
      <c r="C11" s="96">
        <v>0.95</v>
      </c>
      <c r="D11" s="56">
        <v>13.57242575163446</v>
      </c>
      <c r="E11" s="56" t="s">
        <v>212</v>
      </c>
      <c r="F11" s="96">
        <v>1</v>
      </c>
      <c r="G11" s="96">
        <v>1</v>
      </c>
    </row>
    <row r="12" spans="1:7" ht="15.75" customHeight="1" x14ac:dyDescent="0.25">
      <c r="A12" s="11" t="s">
        <v>205</v>
      </c>
      <c r="B12" s="96">
        <v>0</v>
      </c>
      <c r="C12" s="96">
        <v>0.95</v>
      </c>
      <c r="D12" s="56">
        <v>13.57242575163446</v>
      </c>
      <c r="E12" s="56" t="s">
        <v>212</v>
      </c>
      <c r="F12" s="96">
        <v>1</v>
      </c>
      <c r="G12" s="96">
        <v>1</v>
      </c>
    </row>
    <row r="13" spans="1:7" ht="15.75" customHeight="1" x14ac:dyDescent="0.25">
      <c r="A13" s="11" t="s">
        <v>206</v>
      </c>
      <c r="B13" s="96">
        <v>0</v>
      </c>
      <c r="C13" s="96">
        <v>0.95</v>
      </c>
      <c r="D13" s="56">
        <v>13.57242575163446</v>
      </c>
      <c r="E13" s="56" t="s">
        <v>212</v>
      </c>
      <c r="F13" s="96">
        <v>1</v>
      </c>
      <c r="G13" s="96">
        <v>1</v>
      </c>
    </row>
    <row r="14" spans="1:7" ht="15.75" customHeight="1" x14ac:dyDescent="0.25">
      <c r="A14" s="5" t="s">
        <v>207</v>
      </c>
      <c r="B14" s="45">
        <v>0</v>
      </c>
      <c r="C14" s="96">
        <v>0.95</v>
      </c>
      <c r="D14" s="56">
        <v>13.57242575163446</v>
      </c>
      <c r="E14" s="56" t="s">
        <v>212</v>
      </c>
      <c r="F14" s="96">
        <v>1</v>
      </c>
      <c r="G14" s="96">
        <v>1</v>
      </c>
    </row>
    <row r="15" spans="1:7" ht="15.75" customHeight="1" x14ac:dyDescent="0.25">
      <c r="A15" s="5" t="s">
        <v>208</v>
      </c>
      <c r="B15" s="96">
        <v>0</v>
      </c>
      <c r="C15" s="96">
        <v>0.95</v>
      </c>
      <c r="D15" s="56">
        <v>13.57242575163446</v>
      </c>
      <c r="E15" s="56" t="s">
        <v>212</v>
      </c>
      <c r="F15" s="96">
        <v>1</v>
      </c>
      <c r="G15" s="96">
        <v>1</v>
      </c>
    </row>
    <row r="16" spans="1:7" ht="15.75" customHeight="1" x14ac:dyDescent="0.25">
      <c r="A16" s="5" t="s">
        <v>209</v>
      </c>
      <c r="B16" s="45">
        <v>0</v>
      </c>
      <c r="C16" s="96">
        <v>0.95</v>
      </c>
      <c r="D16" s="56">
        <v>2.5</v>
      </c>
      <c r="E16" s="56" t="s">
        <v>212</v>
      </c>
      <c r="F16" s="96">
        <v>1</v>
      </c>
      <c r="G16" s="96">
        <v>1</v>
      </c>
    </row>
    <row r="17" spans="1:7" ht="15.75" customHeight="1" x14ac:dyDescent="0.25">
      <c r="A17" s="5" t="s">
        <v>210</v>
      </c>
      <c r="B17" s="96">
        <v>0.50578611111111105</v>
      </c>
      <c r="C17" s="96">
        <v>0.95</v>
      </c>
      <c r="D17" s="56">
        <v>0.14000000000000001</v>
      </c>
      <c r="E17" s="56" t="s">
        <v>212</v>
      </c>
      <c r="F17" s="96">
        <v>1</v>
      </c>
      <c r="G17" s="96">
        <v>1</v>
      </c>
    </row>
    <row r="18" spans="1:7" ht="15.9" customHeight="1" x14ac:dyDescent="0.25">
      <c r="A18" s="5" t="s">
        <v>180</v>
      </c>
      <c r="B18" s="96">
        <v>0.36791390000000002</v>
      </c>
      <c r="C18" s="96">
        <v>0.95</v>
      </c>
      <c r="D18" s="56">
        <v>21.195</v>
      </c>
      <c r="E18" s="56" t="s">
        <v>212</v>
      </c>
      <c r="F18" s="96">
        <v>1</v>
      </c>
      <c r="G18" s="96">
        <v>1</v>
      </c>
    </row>
    <row r="19" spans="1:7" ht="15.75" customHeight="1" x14ac:dyDescent="0.25">
      <c r="A19" s="5" t="s">
        <v>181</v>
      </c>
      <c r="B19" s="96">
        <v>0.36791390000000002</v>
      </c>
      <c r="C19" s="96">
        <v>0.95</v>
      </c>
      <c r="D19" s="56">
        <v>18.465600261324941</v>
      </c>
      <c r="E19" s="56" t="s">
        <v>212</v>
      </c>
      <c r="F19" s="96">
        <v>1</v>
      </c>
      <c r="G19" s="96">
        <v>1</v>
      </c>
    </row>
    <row r="20" spans="1:7" ht="15.75" customHeight="1" x14ac:dyDescent="0.25">
      <c r="A20" s="5" t="s">
        <v>182</v>
      </c>
      <c r="B20" s="96">
        <v>0</v>
      </c>
      <c r="C20" s="96">
        <v>0.95</v>
      </c>
      <c r="D20" s="56">
        <v>99.99</v>
      </c>
      <c r="E20" s="56" t="s">
        <v>212</v>
      </c>
      <c r="F20" s="96">
        <v>1</v>
      </c>
      <c r="G20" s="96">
        <v>1</v>
      </c>
    </row>
    <row r="21" spans="1:7" ht="15.75" customHeight="1" x14ac:dyDescent="0.25">
      <c r="A21" s="5" t="s">
        <v>211</v>
      </c>
      <c r="B21" s="45">
        <v>0</v>
      </c>
      <c r="C21" s="96">
        <v>0.95</v>
      </c>
      <c r="D21" s="56">
        <v>7.48</v>
      </c>
      <c r="E21" s="56" t="s">
        <v>212</v>
      </c>
      <c r="F21" s="96">
        <v>1</v>
      </c>
      <c r="G21" s="96">
        <v>1</v>
      </c>
    </row>
    <row r="22" spans="1:7" ht="15.75" customHeight="1" x14ac:dyDescent="0.25">
      <c r="A22" s="5" t="s">
        <v>213</v>
      </c>
      <c r="B22" s="96">
        <v>0</v>
      </c>
      <c r="C22" s="96">
        <v>0.95</v>
      </c>
      <c r="D22" s="56">
        <v>21.195</v>
      </c>
      <c r="E22" s="56" t="s">
        <v>212</v>
      </c>
      <c r="F22" s="96">
        <v>1</v>
      </c>
      <c r="G22" s="96">
        <v>1</v>
      </c>
    </row>
    <row r="23" spans="1:7" ht="15.75" customHeight="1" x14ac:dyDescent="0.25">
      <c r="A23" s="5" t="s">
        <v>214</v>
      </c>
      <c r="B23" s="96">
        <v>0</v>
      </c>
      <c r="C23" s="96">
        <v>0.95</v>
      </c>
      <c r="D23" s="56">
        <v>4.6294916046252768</v>
      </c>
      <c r="E23" s="56" t="s">
        <v>212</v>
      </c>
      <c r="F23" s="96">
        <v>1</v>
      </c>
      <c r="G23" s="96">
        <v>1</v>
      </c>
    </row>
    <row r="24" spans="1:7" ht="15.75" customHeight="1" x14ac:dyDescent="0.25">
      <c r="A24" s="5" t="s">
        <v>217</v>
      </c>
      <c r="B24" s="45">
        <v>0.918145914718136</v>
      </c>
      <c r="C24" s="96">
        <v>0.95</v>
      </c>
      <c r="D24" s="56">
        <v>99.99</v>
      </c>
      <c r="E24" s="56" t="s">
        <v>212</v>
      </c>
      <c r="F24" s="96">
        <v>1</v>
      </c>
      <c r="G24" s="96">
        <v>1</v>
      </c>
    </row>
    <row r="25" spans="1:7" ht="15.75" customHeight="1" x14ac:dyDescent="0.25">
      <c r="A25" s="5" t="s">
        <v>218</v>
      </c>
      <c r="B25" s="96">
        <v>0</v>
      </c>
      <c r="C25" s="96">
        <v>0.95</v>
      </c>
      <c r="D25" s="56">
        <v>99.99</v>
      </c>
      <c r="E25" s="56" t="s">
        <v>212</v>
      </c>
      <c r="F25" s="96">
        <v>1</v>
      </c>
      <c r="G25" s="96">
        <v>1</v>
      </c>
    </row>
    <row r="26" spans="1:7" ht="15.75" customHeight="1" x14ac:dyDescent="0.25">
      <c r="A26" s="5" t="s">
        <v>219</v>
      </c>
      <c r="B26" s="45">
        <v>0</v>
      </c>
      <c r="C26" s="96">
        <v>0.95</v>
      </c>
      <c r="D26" s="56">
        <v>4.4421306161984946</v>
      </c>
      <c r="E26" s="56" t="s">
        <v>212</v>
      </c>
      <c r="F26" s="96">
        <v>1</v>
      </c>
      <c r="G26" s="96">
        <v>1</v>
      </c>
    </row>
    <row r="27" spans="1:7" ht="15.75" customHeight="1" x14ac:dyDescent="0.25">
      <c r="A27" s="5" t="s">
        <v>220</v>
      </c>
      <c r="B27" s="45">
        <v>0</v>
      </c>
      <c r="C27" s="96">
        <v>0.95</v>
      </c>
      <c r="D27" s="56">
        <v>9.2958524157825622</v>
      </c>
      <c r="E27" s="56" t="s">
        <v>212</v>
      </c>
      <c r="F27" s="96">
        <v>1</v>
      </c>
      <c r="G27" s="96">
        <v>1</v>
      </c>
    </row>
    <row r="28" spans="1:7" ht="15.75" customHeight="1" x14ac:dyDescent="0.25">
      <c r="A28" s="5" t="s">
        <v>221</v>
      </c>
      <c r="B28" s="45">
        <v>0.35173209999999999</v>
      </c>
      <c r="C28" s="96">
        <v>0.95</v>
      </c>
      <c r="D28" s="56">
        <v>99.99</v>
      </c>
      <c r="E28" s="56" t="s">
        <v>212</v>
      </c>
      <c r="F28" s="96">
        <v>1</v>
      </c>
      <c r="G28" s="96">
        <v>1</v>
      </c>
    </row>
    <row r="29" spans="1:7" ht="15.75" customHeight="1" x14ac:dyDescent="0.25">
      <c r="A29" s="5" t="s">
        <v>222</v>
      </c>
      <c r="B29" s="45">
        <v>0.47701749999999998</v>
      </c>
      <c r="C29" s="96">
        <v>0.95</v>
      </c>
      <c r="D29" s="56">
        <v>170.67126179613081</v>
      </c>
      <c r="E29" s="56" t="s">
        <v>212</v>
      </c>
      <c r="F29" s="96">
        <v>1</v>
      </c>
      <c r="G29" s="96">
        <v>1</v>
      </c>
    </row>
    <row r="30" spans="1:7" ht="15.75" customHeight="1" x14ac:dyDescent="0.25">
      <c r="A30" s="5" t="s">
        <v>233</v>
      </c>
      <c r="B30" s="96">
        <v>0</v>
      </c>
      <c r="C30" s="96">
        <v>0.95</v>
      </c>
      <c r="D30" s="56">
        <v>53.05</v>
      </c>
      <c r="E30" s="56" t="s">
        <v>212</v>
      </c>
      <c r="F30" s="96">
        <v>1</v>
      </c>
      <c r="G30" s="96">
        <v>1</v>
      </c>
    </row>
    <row r="31" spans="1:7" ht="15.75" customHeight="1" x14ac:dyDescent="0.25">
      <c r="A31" s="5" t="s">
        <v>193</v>
      </c>
      <c r="B31" s="45">
        <v>0</v>
      </c>
      <c r="C31" s="96">
        <v>0.95</v>
      </c>
      <c r="D31" s="56">
        <v>123.05968780269725</v>
      </c>
      <c r="E31" s="56" t="s">
        <v>212</v>
      </c>
      <c r="F31" s="96">
        <v>1</v>
      </c>
      <c r="G31" s="96">
        <v>1</v>
      </c>
    </row>
    <row r="32" spans="1:7" ht="15.75" customHeight="1" x14ac:dyDescent="0.25">
      <c r="A32" s="5" t="s">
        <v>225</v>
      </c>
      <c r="B32" s="45">
        <v>0</v>
      </c>
      <c r="C32" s="96">
        <v>0.95</v>
      </c>
      <c r="D32" s="56">
        <v>1.5917274986535743</v>
      </c>
      <c r="E32" s="56" t="s">
        <v>212</v>
      </c>
      <c r="F32" s="96">
        <v>1</v>
      </c>
      <c r="G32" s="96">
        <v>1</v>
      </c>
    </row>
    <row r="33" spans="1:7" ht="15.75" customHeight="1" x14ac:dyDescent="0.25">
      <c r="A33" s="5" t="s">
        <v>226</v>
      </c>
      <c r="B33" s="45">
        <v>0.93379220000000007</v>
      </c>
      <c r="C33" s="96">
        <v>0.95</v>
      </c>
      <c r="D33" s="56">
        <v>99.99</v>
      </c>
      <c r="E33" s="56" t="s">
        <v>212</v>
      </c>
      <c r="F33" s="96">
        <v>1</v>
      </c>
      <c r="G33" s="96">
        <v>1</v>
      </c>
    </row>
    <row r="34" spans="1:7" ht="15.75" customHeight="1" x14ac:dyDescent="0.25">
      <c r="A34" s="5" t="s">
        <v>227</v>
      </c>
      <c r="B34" s="45">
        <v>0.87967550000000005</v>
      </c>
      <c r="C34" s="96">
        <v>0.95</v>
      </c>
      <c r="D34" s="56">
        <v>99.99</v>
      </c>
      <c r="E34" s="56" t="s">
        <v>212</v>
      </c>
      <c r="F34" s="96">
        <v>1</v>
      </c>
      <c r="G34" s="96">
        <v>1</v>
      </c>
    </row>
    <row r="35" spans="1:7" ht="15.75" customHeight="1" x14ac:dyDescent="0.25">
      <c r="A35" s="5" t="s">
        <v>228</v>
      </c>
      <c r="B35" s="96">
        <v>0</v>
      </c>
      <c r="C35" s="96">
        <v>0.95</v>
      </c>
      <c r="D35" s="56">
        <v>99.99</v>
      </c>
      <c r="E35" s="56" t="s">
        <v>212</v>
      </c>
      <c r="F35" s="96">
        <v>1</v>
      </c>
      <c r="G35" s="96">
        <v>1</v>
      </c>
    </row>
    <row r="36" spans="1:7" ht="15.75" customHeight="1" x14ac:dyDescent="0.25">
      <c r="A36" s="5" t="s">
        <v>229</v>
      </c>
      <c r="B36" s="45">
        <v>8.3532200000000001E-2</v>
      </c>
      <c r="C36" s="96">
        <v>0.95</v>
      </c>
      <c r="D36" s="56">
        <v>99.99</v>
      </c>
      <c r="E36" s="56" t="s">
        <v>212</v>
      </c>
      <c r="F36" s="96">
        <v>1</v>
      </c>
      <c r="G36" s="96">
        <v>1</v>
      </c>
    </row>
    <row r="37" spans="1:7" ht="15.75" customHeight="1" x14ac:dyDescent="0.25">
      <c r="A37" s="5" t="s">
        <v>230</v>
      </c>
      <c r="B37" s="45">
        <v>0.79862369999999994</v>
      </c>
      <c r="C37" s="96">
        <v>0.95</v>
      </c>
      <c r="D37" s="56">
        <v>99.99</v>
      </c>
      <c r="E37" s="56" t="s">
        <v>212</v>
      </c>
      <c r="F37" s="96">
        <v>1</v>
      </c>
      <c r="G37" s="96">
        <v>1</v>
      </c>
    </row>
    <row r="38" spans="1:7" ht="15.75" customHeight="1" x14ac:dyDescent="0.25">
      <c r="A38" s="5" t="s">
        <v>231</v>
      </c>
      <c r="B38" s="45">
        <v>0.16102330000000001</v>
      </c>
      <c r="C38" s="96">
        <v>0.95</v>
      </c>
      <c r="D38" s="56">
        <v>2.4500000000000002</v>
      </c>
      <c r="E38" s="56" t="s">
        <v>212</v>
      </c>
      <c r="F38" s="96">
        <v>1</v>
      </c>
      <c r="G38" s="96">
        <v>1</v>
      </c>
    </row>
    <row r="39" spans="1:7" ht="15.75" customHeight="1" x14ac:dyDescent="0.25">
      <c r="A39" s="5" t="s">
        <v>232</v>
      </c>
      <c r="B39" s="45">
        <v>0</v>
      </c>
      <c r="C39" s="96">
        <v>0.95</v>
      </c>
      <c r="D39" s="56">
        <v>3.43</v>
      </c>
      <c r="E39" s="56" t="s">
        <v>212</v>
      </c>
      <c r="F39" s="96">
        <v>1</v>
      </c>
      <c r="G39" s="96">
        <v>1</v>
      </c>
    </row>
  </sheetData>
  <sheetProtection algorithmName="SHA-512" hashValue="DVxsC2xWKksuEAjg/ec2bi43KS6QiDF4g59c9GIhQbiWWzmtX9PkWEfiDrDl4s05q9kcZg4od0FxmSJuDPqv6w==" saltValue="rlcPX0Me/eojF9Y0WaI8b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7" tint="-0.249977111117893"/>
  </sheetPr>
  <dimension ref="A1:C20"/>
  <sheetViews>
    <sheetView workbookViewId="0">
      <selection activeCell="B9" sqref="B9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5" width="11.453125" style="8" customWidth="1"/>
    <col min="6" max="16384" width="11.453125" style="8"/>
  </cols>
  <sheetData>
    <row r="1" spans="1:3" ht="13" x14ac:dyDescent="0.3">
      <c r="A1" s="4" t="s">
        <v>192</v>
      </c>
      <c r="B1" s="4" t="s">
        <v>234</v>
      </c>
      <c r="C1" s="4" t="s">
        <v>235</v>
      </c>
    </row>
    <row r="2" spans="1:3" x14ac:dyDescent="0.25">
      <c r="A2" s="57" t="s">
        <v>207</v>
      </c>
      <c r="B2" s="47" t="s">
        <v>220</v>
      </c>
      <c r="C2" s="47"/>
    </row>
    <row r="3" spans="1:3" x14ac:dyDescent="0.25">
      <c r="A3" s="57" t="s">
        <v>208</v>
      </c>
      <c r="B3" s="47" t="s">
        <v>220</v>
      </c>
      <c r="C3" s="47"/>
    </row>
    <row r="4" spans="1:3" x14ac:dyDescent="0.25">
      <c r="A4" s="57" t="s">
        <v>222</v>
      </c>
      <c r="B4" s="47" t="s">
        <v>213</v>
      </c>
      <c r="C4" s="47"/>
    </row>
    <row r="5" spans="1:3" x14ac:dyDescent="0.25">
      <c r="A5" s="57" t="s">
        <v>222</v>
      </c>
      <c r="B5" s="47" t="s">
        <v>233</v>
      </c>
      <c r="C5" s="47"/>
    </row>
    <row r="6" spans="1:3" x14ac:dyDescent="0.25">
      <c r="A6" s="57" t="s">
        <v>219</v>
      </c>
      <c r="B6" s="58" t="s">
        <v>233</v>
      </c>
      <c r="C6" s="58"/>
    </row>
    <row r="7" spans="1:3" x14ac:dyDescent="0.25">
      <c r="A7" s="57" t="s">
        <v>232</v>
      </c>
      <c r="B7" s="58" t="s">
        <v>233</v>
      </c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QMZfo5xHFtX7wd2EkRGGZte2g7XFUCKM2sPyCzqsijoXMq7DOrL0AFQs32dax1K1RfU+iJKo9XEir1GsXwRpEg==" saltValue="qizdJT4K4EsC3zWbG3POuQ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theme="0" tint="-0.249977111117893"/>
  </sheetPr>
  <dimension ref="A1:A19"/>
  <sheetViews>
    <sheetView topLeftCell="B1" workbookViewId="0">
      <selection activeCell="B1" sqref="B1"/>
    </sheetView>
  </sheetViews>
  <sheetFormatPr defaultColWidth="11.453125" defaultRowHeight="12.5" x14ac:dyDescent="0.25"/>
  <cols>
    <col min="1" max="1" width="30.08984375" style="8" customWidth="1"/>
    <col min="2" max="3" width="11.453125" style="8" customWidth="1"/>
    <col min="4" max="16384" width="11.453125" style="8"/>
  </cols>
  <sheetData>
    <row r="1" spans="1:1" ht="13" x14ac:dyDescent="0.3">
      <c r="A1" s="4" t="s">
        <v>192</v>
      </c>
    </row>
    <row r="2" spans="1:1" x14ac:dyDescent="0.25">
      <c r="A2" s="33" t="s">
        <v>199</v>
      </c>
    </row>
    <row r="3" spans="1:1" x14ac:dyDescent="0.25">
      <c r="A3" s="33" t="s">
        <v>209</v>
      </c>
    </row>
    <row r="4" spans="1:1" x14ac:dyDescent="0.25">
      <c r="A4" s="33" t="s">
        <v>214</v>
      </c>
    </row>
    <row r="5" spans="1:1" x14ac:dyDescent="0.25">
      <c r="A5" s="33" t="s">
        <v>226</v>
      </c>
    </row>
    <row r="6" spans="1:1" x14ac:dyDescent="0.25">
      <c r="A6" s="33" t="s">
        <v>227</v>
      </c>
    </row>
    <row r="7" spans="1:1" x14ac:dyDescent="0.25">
      <c r="A7" s="33" t="s">
        <v>228</v>
      </c>
    </row>
    <row r="8" spans="1:1" x14ac:dyDescent="0.25">
      <c r="A8" s="33" t="s">
        <v>229</v>
      </c>
    </row>
    <row r="9" spans="1:1" x14ac:dyDescent="0.25">
      <c r="A9" s="33" t="s">
        <v>230</v>
      </c>
    </row>
    <row r="10" spans="1:1" x14ac:dyDescent="0.25">
      <c r="A10" s="33" t="s">
        <v>193</v>
      </c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sheetProtection algorithmName="SHA-512" hashValue="oGccvr1fMZINI8C37l8CjxAPLHrXNDaVrDtrxWy9Uyn8hv1YrNb0T+Ns/VpqnTU8UIK2Qa8nxVe8qVd23P04Mg==" saltValue="PTJXc1IGCR2w9453NDwfhQ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237</v>
      </c>
      <c r="B1" t="s">
        <v>97</v>
      </c>
      <c r="C1" t="s">
        <v>93</v>
      </c>
      <c r="D1" t="s">
        <v>96</v>
      </c>
      <c r="E1" t="s">
        <v>94</v>
      </c>
      <c r="F1" t="s">
        <v>95</v>
      </c>
    </row>
    <row r="2" spans="1:6" ht="15.75" customHeight="1" x14ac:dyDescent="0.25">
      <c r="A2" s="3" t="s">
        <v>103</v>
      </c>
      <c r="B2" s="21">
        <f>'Entradas de población-año base'!C51</f>
        <v>3.2</v>
      </c>
      <c r="C2" s="21">
        <f>'Entradas de población-año base'!C52</f>
        <v>3.2</v>
      </c>
      <c r="D2" s="21">
        <f>'Entradas de población-año base'!C53</f>
        <v>3.2</v>
      </c>
      <c r="E2" s="21">
        <f>'Entradas de población-año base'!C54</f>
        <v>3.2</v>
      </c>
      <c r="F2" s="21">
        <f>'Entradas de población-año base'!C55</f>
        <v>3.2</v>
      </c>
    </row>
    <row r="3" spans="1:6" ht="15.75" customHeight="1" x14ac:dyDescent="0.25">
      <c r="A3" s="3" t="s">
        <v>6</v>
      </c>
      <c r="B3" s="21">
        <f>frac_mam_1month * 2.6</f>
        <v>5.4489240000000001E-2</v>
      </c>
      <c r="C3" s="21">
        <f>frac_mam_1_5months * 2.6</f>
        <v>5.4489240000000001E-2</v>
      </c>
      <c r="D3" s="21">
        <f>frac_mam_6_11months * 2.6</f>
        <v>4.3045339999999994E-2</v>
      </c>
      <c r="E3" s="21">
        <f>frac_mam_12_23months * 2.6</f>
        <v>4.45172E-2</v>
      </c>
      <c r="F3" s="21">
        <f>frac_mam_24_59months * 2.6</f>
        <v>3.0661540000000001E-2</v>
      </c>
    </row>
    <row r="4" spans="1:6" ht="15.75" customHeight="1" x14ac:dyDescent="0.25">
      <c r="A4" s="3" t="s">
        <v>236</v>
      </c>
      <c r="B4" s="21">
        <f>frac_sam_1month * 2.6</f>
        <v>6.0656700000000001E-2</v>
      </c>
      <c r="C4" s="21">
        <f>frac_sam_1_5months * 2.6</f>
        <v>6.0656700000000001E-2</v>
      </c>
      <c r="D4" s="21">
        <f>frac_sam_6_11months * 2.6</f>
        <v>1.8111079999999998E-2</v>
      </c>
      <c r="E4" s="21">
        <f>frac_sam_12_23months * 2.6</f>
        <v>7.99916E-3</v>
      </c>
      <c r="F4" s="21">
        <f>frac_sam_24_59months * 2.6</f>
        <v>1.3030160000000002E-2</v>
      </c>
    </row>
  </sheetData>
  <sheetProtection algorithmName="SHA-512" hashValue="V4tcreZhLSQ/KkQz28Ht/46m10aj1Nc1ULXHF8bUzvVlTRe0ehb22HaV/TG1DiVfzBKJqHWPb5JJAuYJADlOzg==" saltValue="lpcv7lgOuPFxMEJo/ipJcg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theme="0" tint="-0.249977111117893"/>
  </sheetPr>
  <dimension ref="A1:O40"/>
  <sheetViews>
    <sheetView zoomScale="85" zoomScaleNormal="118" workbookViewId="0">
      <selection activeCell="H15" sqref="H15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238</v>
      </c>
      <c r="B1" s="1" t="s">
        <v>192</v>
      </c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  <c r="H1" s="4" t="s">
        <v>132</v>
      </c>
      <c r="I1" s="4" t="s">
        <v>133</v>
      </c>
      <c r="J1" s="4" t="s">
        <v>134</v>
      </c>
      <c r="K1" s="4" t="s">
        <v>135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">
      <c r="A2" s="4" t="s">
        <v>102</v>
      </c>
      <c r="B2" s="5" t="s">
        <v>196</v>
      </c>
      <c r="C2" s="60">
        <v>0</v>
      </c>
      <c r="D2" s="60">
        <v>0</v>
      </c>
      <c r="E2" s="60">
        <f>food_insecure</f>
        <v>1.4999999999999999E-2</v>
      </c>
      <c r="F2" s="60">
        <f>food_insecure</f>
        <v>1.4999999999999999E-2</v>
      </c>
      <c r="G2" s="60">
        <v>0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198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211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213</v>
      </c>
      <c r="C5" s="60">
        <v>0</v>
      </c>
      <c r="D5" s="60">
        <v>0</v>
      </c>
      <c r="E5" s="60">
        <f>food_insecure</f>
        <v>1.4999999999999999E-2</v>
      </c>
      <c r="F5" s="60">
        <f>food_insecure</f>
        <v>1.4999999999999999E-2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219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221</v>
      </c>
      <c r="C7" s="60">
        <f>diarrhoea_1mo*frac_diarrhea_severe</f>
        <v>6.2E-2</v>
      </c>
      <c r="D7" s="60">
        <f>diarrhoea_1_5mo*frac_diarrhea_severe</f>
        <v>6.2E-2</v>
      </c>
      <c r="E7" s="60">
        <f>diarrhoea_6_11mo*frac_diarrhea_severe</f>
        <v>6.2E-2</v>
      </c>
      <c r="F7" s="60">
        <f>diarrhoea_12_23mo*frac_diarrhea_severe</f>
        <v>6.2E-2</v>
      </c>
      <c r="G7" s="60">
        <f>diarrhoea_24_59mo*frac_diarrhea_severe</f>
        <v>6.2E-2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222</v>
      </c>
      <c r="C8" s="60">
        <v>0</v>
      </c>
      <c r="D8" s="60">
        <v>0</v>
      </c>
      <c r="E8" s="60">
        <f>food_insecure</f>
        <v>1.4999999999999999E-2</v>
      </c>
      <c r="F8" s="60">
        <f>food_insecure</f>
        <v>1.4999999999999999E-2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233</v>
      </c>
      <c r="C9" s="60">
        <v>0</v>
      </c>
      <c r="D9" s="60">
        <v>0</v>
      </c>
      <c r="E9" s="60">
        <f>food_insecure</f>
        <v>1.4999999999999999E-2</v>
      </c>
      <c r="F9" s="60">
        <f>food_insecure</f>
        <v>1.4999999999999999E-2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193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225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231</v>
      </c>
      <c r="C12" s="60">
        <f>diarrhoea_1mo*frac_diarrhea_severe</f>
        <v>6.2E-2</v>
      </c>
      <c r="D12" s="60">
        <f>diarrhoea_1_5mo*frac_diarrhea_severe</f>
        <v>6.2E-2</v>
      </c>
      <c r="E12" s="60">
        <f>diarrhoea_6_11mo*frac_diarrhea_severe</f>
        <v>6.2E-2</v>
      </c>
      <c r="F12" s="60">
        <f>diarrhoea_12_23mo*frac_diarrhea_severe</f>
        <v>6.2E-2</v>
      </c>
      <c r="G12" s="60">
        <f>diarrhoea_24_59mo*frac_diarrhea_severe</f>
        <v>6.2E-2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232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123</v>
      </c>
      <c r="B15" s="9" t="s">
        <v>194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 t="shared" ref="H15:K16" si="0">food_insecure</f>
        <v>1.4999999999999999E-2</v>
      </c>
      <c r="I15" s="60">
        <f t="shared" si="0"/>
        <v>1.4999999999999999E-2</v>
      </c>
      <c r="J15" s="60">
        <f t="shared" si="0"/>
        <v>1.4999999999999999E-2</v>
      </c>
      <c r="K15" s="60">
        <f t="shared" si="0"/>
        <v>1.4999999999999999E-2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195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f t="shared" si="0"/>
        <v>1.4999999999999999E-2</v>
      </c>
      <c r="I16" s="60">
        <f t="shared" si="0"/>
        <v>1.4999999999999999E-2</v>
      </c>
      <c r="J16" s="60">
        <f t="shared" si="0"/>
        <v>1.4999999999999999E-2</v>
      </c>
      <c r="K16" s="60">
        <f t="shared" si="0"/>
        <v>1.4999999999999999E-2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207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208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209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0.01</v>
      </c>
      <c r="I19" s="60">
        <f>frac_malaria_risk</f>
        <v>0.01</v>
      </c>
      <c r="J19" s="60">
        <f>frac_malaria_risk</f>
        <v>0.01</v>
      </c>
      <c r="K19" s="60">
        <f>frac_malaria_risk</f>
        <v>0.01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217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218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220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240</v>
      </c>
      <c r="B24" s="11" t="s">
        <v>199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0.11600000000000001</v>
      </c>
      <c r="M24" s="60">
        <f>famplan_unmet_need</f>
        <v>0.11600000000000001</v>
      </c>
      <c r="N24" s="60">
        <f>famplan_unmet_need</f>
        <v>0.11600000000000001</v>
      </c>
      <c r="O24" s="60">
        <f>famplan_unmet_need</f>
        <v>0.11600000000000001</v>
      </c>
    </row>
    <row r="25" spans="1:15" ht="15.75" customHeight="1" x14ac:dyDescent="0.25">
      <c r="B25" s="11" t="s">
        <v>203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5.2958994430541827E-2</v>
      </c>
      <c r="M25" s="60">
        <f>(1-food_insecure)*(0.49)+food_insecure*(0.7)</f>
        <v>0.49314999999999998</v>
      </c>
      <c r="N25" s="60">
        <f>(1-food_insecure)*(0.49)+food_insecure*(0.7)</f>
        <v>0.49314999999999998</v>
      </c>
      <c r="O25" s="60">
        <f>(1-food_insecure)*(0.49)+food_insecure*(0.7)</f>
        <v>0.49314999999999998</v>
      </c>
    </row>
    <row r="26" spans="1:15" ht="15.75" customHeight="1" x14ac:dyDescent="0.25">
      <c r="B26" s="11" t="s">
        <v>204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2.2696711898803641E-2</v>
      </c>
      <c r="M26" s="60">
        <f>(1-food_insecure)*(0.21)+food_insecure*(0.3)</f>
        <v>0.21134999999999998</v>
      </c>
      <c r="N26" s="60">
        <f>(1-food_insecure)*(0.21)+food_insecure*(0.3)</f>
        <v>0.21134999999999998</v>
      </c>
      <c r="O26" s="60">
        <f>(1-food_insecure)*(0.21)+food_insecure*(0.3)</f>
        <v>0.21134999999999998</v>
      </c>
    </row>
    <row r="27" spans="1:15" ht="15.75" customHeight="1" x14ac:dyDescent="0.25">
      <c r="B27" s="11" t="s">
        <v>205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3.1733514862060448E-2</v>
      </c>
      <c r="M27" s="60">
        <f>(1-food_insecure)*(0.3)</f>
        <v>0.29549999999999998</v>
      </c>
      <c r="N27" s="60">
        <f>(1-food_insecure)*(0.3)</f>
        <v>0.29549999999999998</v>
      </c>
      <c r="O27" s="60">
        <f>(1-food_insecure)*(0.3)</f>
        <v>0.29549999999999998</v>
      </c>
    </row>
    <row r="28" spans="1:15" ht="15.75" customHeight="1" x14ac:dyDescent="0.25">
      <c r="B28" s="11" t="s">
        <v>206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0.89261077880859407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239</v>
      </c>
      <c r="B30" s="5" t="s">
        <v>200</v>
      </c>
      <c r="C30" s="60">
        <v>0</v>
      </c>
      <c r="D30" s="60">
        <v>0</v>
      </c>
      <c r="E30" s="60">
        <f t="shared" ref="E30:O30" si="1">frac_maize</f>
        <v>0.01</v>
      </c>
      <c r="F30" s="60">
        <f t="shared" si="1"/>
        <v>0.01</v>
      </c>
      <c r="G30" s="60">
        <f t="shared" si="1"/>
        <v>0.01</v>
      </c>
      <c r="H30" s="60">
        <f t="shared" si="1"/>
        <v>0.01</v>
      </c>
      <c r="I30" s="60">
        <f t="shared" si="1"/>
        <v>0.01</v>
      </c>
      <c r="J30" s="60">
        <f t="shared" si="1"/>
        <v>0.01</v>
      </c>
      <c r="K30" s="60">
        <f t="shared" si="1"/>
        <v>0.01</v>
      </c>
      <c r="L30" s="60">
        <f t="shared" si="1"/>
        <v>0.01</v>
      </c>
      <c r="M30" s="60">
        <f t="shared" si="1"/>
        <v>0.01</v>
      </c>
      <c r="N30" s="60">
        <f t="shared" si="1"/>
        <v>0.01</v>
      </c>
      <c r="O30" s="60">
        <f t="shared" si="1"/>
        <v>0.01</v>
      </c>
    </row>
    <row r="31" spans="1:15" ht="15.75" customHeight="1" x14ac:dyDescent="0.25">
      <c r="B31" s="5" t="s">
        <v>201</v>
      </c>
      <c r="C31" s="60">
        <v>0</v>
      </c>
      <c r="D31" s="60">
        <v>0</v>
      </c>
      <c r="E31" s="60">
        <f t="shared" ref="E31:O31" si="2">frac_rice</f>
        <v>0.01</v>
      </c>
      <c r="F31" s="60">
        <f t="shared" si="2"/>
        <v>0.01</v>
      </c>
      <c r="G31" s="60">
        <f t="shared" si="2"/>
        <v>0.01</v>
      </c>
      <c r="H31" s="60">
        <f t="shared" si="2"/>
        <v>0.01</v>
      </c>
      <c r="I31" s="60">
        <f t="shared" si="2"/>
        <v>0.01</v>
      </c>
      <c r="J31" s="60">
        <f t="shared" si="2"/>
        <v>0.01</v>
      </c>
      <c r="K31" s="60">
        <f t="shared" si="2"/>
        <v>0.01</v>
      </c>
      <c r="L31" s="60">
        <f t="shared" si="2"/>
        <v>0.01</v>
      </c>
      <c r="M31" s="60">
        <f t="shared" si="2"/>
        <v>0.01</v>
      </c>
      <c r="N31" s="60">
        <f t="shared" si="2"/>
        <v>0.01</v>
      </c>
      <c r="O31" s="60">
        <f t="shared" si="2"/>
        <v>0.01</v>
      </c>
    </row>
    <row r="32" spans="1:15" ht="15.75" customHeight="1" x14ac:dyDescent="0.25">
      <c r="B32" s="5" t="s">
        <v>202</v>
      </c>
      <c r="C32" s="60">
        <v>0</v>
      </c>
      <c r="D32" s="60">
        <v>0</v>
      </c>
      <c r="E32" s="60">
        <f t="shared" ref="E32:O32" si="3">frac_wheat</f>
        <v>0.98</v>
      </c>
      <c r="F32" s="60">
        <f t="shared" si="3"/>
        <v>0.98</v>
      </c>
      <c r="G32" s="60">
        <f t="shared" si="3"/>
        <v>0.98</v>
      </c>
      <c r="H32" s="60">
        <f t="shared" si="3"/>
        <v>0.98</v>
      </c>
      <c r="I32" s="60">
        <f t="shared" si="3"/>
        <v>0.98</v>
      </c>
      <c r="J32" s="60">
        <f t="shared" si="3"/>
        <v>0.98</v>
      </c>
      <c r="K32" s="60">
        <f t="shared" si="3"/>
        <v>0.98</v>
      </c>
      <c r="L32" s="60">
        <f t="shared" si="3"/>
        <v>0.98</v>
      </c>
      <c r="M32" s="60">
        <f t="shared" si="3"/>
        <v>0.98</v>
      </c>
      <c r="N32" s="60">
        <f t="shared" si="3"/>
        <v>0.98</v>
      </c>
      <c r="O32" s="60">
        <f t="shared" si="3"/>
        <v>0.98</v>
      </c>
    </row>
    <row r="33" spans="2:15" ht="15.75" customHeight="1" x14ac:dyDescent="0.25">
      <c r="B33" s="5" t="s">
        <v>210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214</v>
      </c>
      <c r="C34" s="60">
        <f t="shared" ref="C34:O34" si="4">frac_malaria_risk</f>
        <v>0.01</v>
      </c>
      <c r="D34" s="60">
        <f t="shared" si="4"/>
        <v>0.01</v>
      </c>
      <c r="E34" s="60">
        <f t="shared" si="4"/>
        <v>0.01</v>
      </c>
      <c r="F34" s="60">
        <f t="shared" si="4"/>
        <v>0.01</v>
      </c>
      <c r="G34" s="60">
        <f t="shared" si="4"/>
        <v>0.01</v>
      </c>
      <c r="H34" s="60">
        <f t="shared" si="4"/>
        <v>0.01</v>
      </c>
      <c r="I34" s="60">
        <f t="shared" si="4"/>
        <v>0.01</v>
      </c>
      <c r="J34" s="60">
        <f t="shared" si="4"/>
        <v>0.01</v>
      </c>
      <c r="K34" s="60">
        <f t="shared" si="4"/>
        <v>0.01</v>
      </c>
      <c r="L34" s="60">
        <f t="shared" si="4"/>
        <v>0.01</v>
      </c>
      <c r="M34" s="60">
        <f t="shared" si="4"/>
        <v>0.01</v>
      </c>
      <c r="N34" s="60">
        <f t="shared" si="4"/>
        <v>0.01</v>
      </c>
      <c r="O34" s="60">
        <f t="shared" si="4"/>
        <v>0.01</v>
      </c>
    </row>
    <row r="35" spans="2:15" ht="15.75" customHeight="1" x14ac:dyDescent="0.25">
      <c r="B35" s="9" t="s">
        <v>226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227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228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229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230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JTjR3KIHe+g7PXT0yWMv59zMFPrB3VHYikic22zIHDOO9ArE20fSCW59VEQdSnB7RwaIJh9L08LZ5wY1AZ/upA==" saltValue="2kaO7rAUxplzBn2CvJpHJQ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212</v>
      </c>
    </row>
    <row r="2" spans="1:1" x14ac:dyDescent="0.25">
      <c r="A2" s="8" t="s">
        <v>242</v>
      </c>
    </row>
    <row r="3" spans="1:1" x14ac:dyDescent="0.25">
      <c r="A3" s="8" t="s">
        <v>241</v>
      </c>
    </row>
    <row r="4" spans="1:1" x14ac:dyDescent="0.25">
      <c r="A4" s="8" t="s">
        <v>243</v>
      </c>
    </row>
  </sheetData>
  <sheetProtection algorithmName="SHA-512" hashValue="8NGtrVx8eSvSI7k9g/jWxIv0RwvE46FcGB5eRo8i22oH186r2P3DVrXf163HERqXaCchWCKPmvdxjUcHWnoeNA==" saltValue="m6EySFhixdQW/75W2EhZ5w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7" width="11.453125" style="8" customWidth="1"/>
    <col min="8" max="16384" width="11.453125" style="8"/>
  </cols>
  <sheetData>
    <row r="1" spans="1:5" ht="13" x14ac:dyDescent="0.3">
      <c r="A1" s="4" t="s">
        <v>253</v>
      </c>
      <c r="B1" s="4" t="s">
        <v>246</v>
      </c>
      <c r="C1" s="4" t="s">
        <v>257</v>
      </c>
      <c r="D1" s="4" t="s">
        <v>245</v>
      </c>
      <c r="E1" s="4" t="s">
        <v>255</v>
      </c>
    </row>
    <row r="2" spans="1:5" ht="14" customHeight="1" x14ac:dyDescent="0.3">
      <c r="A2" s="28" t="s">
        <v>244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252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247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251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250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254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256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248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249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yXcUQoXIGvpJ7p4Q4gpv45q/yZXDZygUnvLnqMMqClgikxg0ErUbXsWJEvGBP20qfKxsj6aqg+i+X8v0ATMV7w==" saltValue="5sBk24YAC/Wus+CNhc2iWw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theme="0" tint="-0.249977111117893"/>
  </sheetPr>
  <dimension ref="A1:P42"/>
  <sheetViews>
    <sheetView topLeftCell="B1" workbookViewId="0">
      <selection activeCell="H15" sqref="H15"/>
    </sheetView>
  </sheetViews>
  <sheetFormatPr defaultColWidth="16.08984375" defaultRowHeight="15.75" customHeight="1" x14ac:dyDescent="0.35"/>
  <cols>
    <col min="1" max="1" width="22.3632812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7" width="16.08984375" style="37" customWidth="1"/>
    <col min="18" max="16384" width="16.08984375" style="37"/>
  </cols>
  <sheetData>
    <row r="1" spans="1:15" ht="15.75" customHeight="1" x14ac:dyDescent="0.35">
      <c r="A1" s="4" t="s">
        <v>238</v>
      </c>
      <c r="B1" s="1" t="s">
        <v>192</v>
      </c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  <c r="H1" s="4" t="s">
        <v>132</v>
      </c>
      <c r="I1" s="4" t="s">
        <v>133</v>
      </c>
      <c r="J1" s="4" t="s">
        <v>134</v>
      </c>
      <c r="K1" s="4" t="s">
        <v>135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5">
      <c r="A2" s="4" t="s">
        <v>102</v>
      </c>
      <c r="B2" s="5" t="s">
        <v>196</v>
      </c>
      <c r="C2" s="87">
        <v>0</v>
      </c>
      <c r="D2" s="87">
        <v>0</v>
      </c>
      <c r="E2" s="87">
        <v>1</v>
      </c>
      <c r="F2" s="87">
        <v>1</v>
      </c>
      <c r="G2" s="87">
        <v>0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198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180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181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182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211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213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219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221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222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233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193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225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231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232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123</v>
      </c>
      <c r="B18" s="5" t="s">
        <v>194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195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207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208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209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217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218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220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.25" customHeight="1" x14ac:dyDescent="0.35">
      <c r="A27" s="4" t="s">
        <v>240</v>
      </c>
      <c r="B27" s="5" t="s">
        <v>199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203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204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205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206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239</v>
      </c>
      <c r="B33" s="5" t="s">
        <v>200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201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202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210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214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226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227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228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229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230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cPbXOzXLAK53wYhW5AzCCsHeoaZKhlog4zK3DLOt7KXSQTWQh2e4O9buog0mq2jaZHmqGIXQJbfhV74EOSDmNw==" saltValue="GiaJ1Xx/t49Duh1ri+gGxQ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theme="0" tint="-0.249977111117893"/>
  </sheetPr>
  <dimension ref="A1:L39"/>
  <sheetViews>
    <sheetView topLeftCell="A12" workbookViewId="0">
      <selection activeCell="D2" sqref="D2"/>
    </sheetView>
  </sheetViews>
  <sheetFormatPr defaultColWidth="12.7265625" defaultRowHeight="12.5" x14ac:dyDescent="0.25"/>
  <cols>
    <col min="1" max="1" width="58.81640625" style="104" bestFit="1" customWidth="1"/>
    <col min="2" max="2" width="8.7265625" style="104" bestFit="1" customWidth="1"/>
    <col min="3" max="3" width="8.81640625" style="104" bestFit="1" customWidth="1"/>
    <col min="4" max="4" width="18.26953125" style="104" bestFit="1" customWidth="1"/>
    <col min="5" max="5" width="17.453125" style="104" bestFit="1" customWidth="1"/>
    <col min="6" max="6" width="13.54296875" style="104" bestFit="1" customWidth="1"/>
    <col min="7" max="7" width="9.7265625" style="104" bestFit="1" customWidth="1"/>
    <col min="8" max="8" width="8.81640625" style="104" bestFit="1" customWidth="1"/>
    <col min="9" max="9" width="14.7265625" style="104" bestFit="1" customWidth="1"/>
    <col min="10" max="10" width="15.26953125" style="104" bestFit="1" customWidth="1"/>
    <col min="11" max="16384" width="12.7265625" style="104"/>
  </cols>
  <sheetData>
    <row r="1" spans="1:12" ht="13" x14ac:dyDescent="0.3">
      <c r="A1" s="103" t="s">
        <v>192</v>
      </c>
      <c r="B1" s="106" t="s">
        <v>260</v>
      </c>
      <c r="C1" s="106" t="s">
        <v>124</v>
      </c>
      <c r="D1" s="106" t="s">
        <v>261</v>
      </c>
      <c r="E1" s="106" t="s">
        <v>262</v>
      </c>
      <c r="F1" s="106" t="s">
        <v>142</v>
      </c>
      <c r="G1" s="106" t="s">
        <v>103</v>
      </c>
      <c r="H1" s="106" t="s">
        <v>56</v>
      </c>
      <c r="I1" s="106" t="s">
        <v>259</v>
      </c>
      <c r="J1" s="106" t="s">
        <v>41</v>
      </c>
      <c r="K1" s="106" t="s">
        <v>258</v>
      </c>
      <c r="L1" s="106" t="s">
        <v>263</v>
      </c>
    </row>
    <row r="2" spans="1:12" x14ac:dyDescent="0.25">
      <c r="A2" s="113" t="s">
        <v>194</v>
      </c>
      <c r="B2" s="114"/>
      <c r="C2" s="114"/>
      <c r="D2" s="114"/>
      <c r="E2" s="114"/>
      <c r="F2" s="114"/>
      <c r="G2" s="114"/>
      <c r="H2" s="114"/>
      <c r="I2" s="114" t="s">
        <v>5</v>
      </c>
      <c r="J2" s="114"/>
      <c r="K2" s="114"/>
      <c r="L2" s="114"/>
    </row>
    <row r="3" spans="1:12" x14ac:dyDescent="0.25">
      <c r="A3" s="113" t="s">
        <v>195</v>
      </c>
      <c r="B3" s="114"/>
      <c r="C3" s="114"/>
      <c r="D3" s="114"/>
      <c r="E3" s="114"/>
      <c r="F3" s="114"/>
      <c r="G3" s="114"/>
      <c r="H3" s="114" t="s">
        <v>5</v>
      </c>
      <c r="I3" s="114" t="s">
        <v>5</v>
      </c>
      <c r="J3" s="114"/>
      <c r="K3" s="114"/>
      <c r="L3" s="114"/>
    </row>
    <row r="4" spans="1:12" x14ac:dyDescent="0.25">
      <c r="A4" s="113" t="s">
        <v>196</v>
      </c>
      <c r="B4" s="114" t="s">
        <v>5</v>
      </c>
      <c r="C4" s="114"/>
      <c r="D4" s="114" t="s">
        <v>5</v>
      </c>
      <c r="E4" s="114"/>
      <c r="F4" s="114"/>
      <c r="G4" s="114"/>
      <c r="H4" s="114"/>
      <c r="I4" s="114"/>
      <c r="J4" s="114"/>
      <c r="K4" s="114"/>
      <c r="L4" s="114"/>
    </row>
    <row r="5" spans="1:12" x14ac:dyDescent="0.25">
      <c r="A5" s="113" t="s">
        <v>198</v>
      </c>
      <c r="B5" s="114"/>
      <c r="C5" s="114" t="s">
        <v>5</v>
      </c>
      <c r="D5" s="114"/>
      <c r="E5" s="114"/>
      <c r="F5" s="114"/>
      <c r="G5" s="114"/>
      <c r="H5" s="114"/>
      <c r="I5" s="114"/>
      <c r="J5" s="114"/>
      <c r="K5" s="114"/>
      <c r="L5" s="114"/>
    </row>
    <row r="6" spans="1:12" x14ac:dyDescent="0.25">
      <c r="A6" s="113" t="s">
        <v>199</v>
      </c>
      <c r="B6" s="114"/>
      <c r="C6" s="114"/>
      <c r="D6" s="114"/>
      <c r="E6" s="114"/>
      <c r="F6" s="114"/>
      <c r="G6" s="114"/>
      <c r="H6" s="114"/>
      <c r="I6" s="114"/>
      <c r="J6" s="114" t="s">
        <v>5</v>
      </c>
      <c r="K6" s="114" t="s">
        <v>5</v>
      </c>
      <c r="L6" s="114"/>
    </row>
    <row r="7" spans="1:12" x14ac:dyDescent="0.25">
      <c r="A7" s="113" t="s">
        <v>200</v>
      </c>
      <c r="B7" s="114"/>
      <c r="C7" s="114" t="s">
        <v>5</v>
      </c>
      <c r="D7" s="114"/>
      <c r="E7" s="114"/>
      <c r="F7" s="114"/>
      <c r="G7" s="114"/>
      <c r="H7" s="114" t="s">
        <v>5</v>
      </c>
      <c r="I7" s="114"/>
      <c r="J7" s="114"/>
      <c r="K7" s="114"/>
      <c r="L7" s="114"/>
    </row>
    <row r="8" spans="1:12" x14ac:dyDescent="0.25">
      <c r="A8" s="113" t="s">
        <v>201</v>
      </c>
      <c r="B8" s="114"/>
      <c r="C8" s="114" t="s">
        <v>5</v>
      </c>
      <c r="D8" s="114"/>
      <c r="E8" s="114"/>
      <c r="F8" s="114"/>
      <c r="G8" s="114"/>
      <c r="H8" s="114" t="s">
        <v>5</v>
      </c>
      <c r="I8" s="114"/>
      <c r="J8" s="114"/>
      <c r="K8" s="114"/>
      <c r="L8" s="114"/>
    </row>
    <row r="9" spans="1:12" x14ac:dyDescent="0.25">
      <c r="A9" s="113" t="s">
        <v>202</v>
      </c>
      <c r="B9" s="114"/>
      <c r="C9" s="114" t="s">
        <v>5</v>
      </c>
      <c r="D9" s="114"/>
      <c r="E9" s="114"/>
      <c r="F9" s="114"/>
      <c r="G9" s="114"/>
      <c r="H9" s="114" t="s">
        <v>5</v>
      </c>
      <c r="I9" s="114"/>
      <c r="J9" s="114"/>
      <c r="K9" s="114"/>
      <c r="L9" s="114"/>
    </row>
    <row r="10" spans="1:12" x14ac:dyDescent="0.25">
      <c r="A10" s="113" t="s">
        <v>203</v>
      </c>
      <c r="B10" s="114"/>
      <c r="C10" s="114" t="s">
        <v>5</v>
      </c>
      <c r="D10" s="114"/>
      <c r="E10" s="114"/>
      <c r="F10" s="114"/>
      <c r="G10" s="114"/>
      <c r="H10" s="114"/>
      <c r="I10" s="114"/>
      <c r="J10" s="114"/>
      <c r="K10" s="114"/>
      <c r="L10" s="114"/>
    </row>
    <row r="11" spans="1:12" x14ac:dyDescent="0.25">
      <c r="A11" s="113" t="s">
        <v>204</v>
      </c>
      <c r="B11" s="114"/>
      <c r="C11" s="114" t="s">
        <v>5</v>
      </c>
      <c r="D11" s="114"/>
      <c r="E11" s="114"/>
      <c r="F11" s="114"/>
      <c r="G11" s="114"/>
      <c r="H11" s="114"/>
      <c r="I11" s="114"/>
      <c r="J11" s="114"/>
      <c r="K11" s="114"/>
      <c r="L11" s="114"/>
    </row>
    <row r="12" spans="1:12" x14ac:dyDescent="0.25">
      <c r="A12" s="113" t="s">
        <v>205</v>
      </c>
      <c r="B12" s="114"/>
      <c r="C12" s="114" t="s">
        <v>5</v>
      </c>
      <c r="D12" s="114"/>
      <c r="E12" s="114"/>
      <c r="F12" s="114"/>
      <c r="G12" s="114"/>
      <c r="H12" s="114"/>
      <c r="I12" s="114"/>
      <c r="J12" s="114"/>
      <c r="K12" s="114"/>
      <c r="L12" s="114"/>
    </row>
    <row r="13" spans="1:12" x14ac:dyDescent="0.25">
      <c r="A13" s="113" t="s">
        <v>206</v>
      </c>
      <c r="B13" s="114"/>
      <c r="C13" s="114" t="s">
        <v>5</v>
      </c>
      <c r="D13" s="114"/>
      <c r="E13" s="114"/>
      <c r="F13" s="114"/>
      <c r="G13" s="114"/>
      <c r="H13" s="114"/>
      <c r="I13" s="114"/>
      <c r="J13" s="114"/>
      <c r="K13" s="114"/>
      <c r="L13" s="114"/>
    </row>
    <row r="14" spans="1:12" x14ac:dyDescent="0.25">
      <c r="A14" s="115" t="s">
        <v>207</v>
      </c>
      <c r="B14" s="114"/>
      <c r="C14" s="114" t="s">
        <v>5</v>
      </c>
      <c r="D14" s="114"/>
      <c r="E14" s="114"/>
      <c r="F14" s="114"/>
      <c r="G14" s="114"/>
      <c r="H14" s="114"/>
      <c r="I14" s="114" t="s">
        <v>5</v>
      </c>
      <c r="J14" s="114"/>
      <c r="K14" s="114"/>
      <c r="L14" s="114"/>
    </row>
    <row r="15" spans="1:12" x14ac:dyDescent="0.25">
      <c r="A15" s="115" t="s">
        <v>208</v>
      </c>
      <c r="B15" s="114"/>
      <c r="C15" s="114" t="s">
        <v>5</v>
      </c>
      <c r="D15" s="114"/>
      <c r="E15" s="114"/>
      <c r="F15" s="114"/>
      <c r="G15" s="114"/>
      <c r="H15" s="114"/>
      <c r="I15" s="114" t="s">
        <v>5</v>
      </c>
      <c r="J15" s="114"/>
      <c r="K15" s="114"/>
      <c r="L15" s="114"/>
    </row>
    <row r="16" spans="1:12" x14ac:dyDescent="0.25">
      <c r="A16" s="113" t="s">
        <v>209</v>
      </c>
      <c r="B16" s="114"/>
      <c r="C16" s="114" t="s">
        <v>5</v>
      </c>
      <c r="D16" s="114"/>
      <c r="E16" s="114"/>
      <c r="F16" s="114"/>
      <c r="G16" s="114"/>
      <c r="H16" s="114" t="s">
        <v>5</v>
      </c>
      <c r="I16" s="114" t="s">
        <v>5</v>
      </c>
      <c r="J16" s="114"/>
      <c r="K16" s="114"/>
      <c r="L16" s="114"/>
    </row>
    <row r="17" spans="1:12" x14ac:dyDescent="0.25">
      <c r="A17" s="113" t="s">
        <v>210</v>
      </c>
      <c r="B17" s="114"/>
      <c r="C17" s="114" t="s">
        <v>5</v>
      </c>
      <c r="D17" s="114"/>
      <c r="E17" s="114"/>
      <c r="F17" s="114"/>
      <c r="G17" s="114"/>
      <c r="H17" s="114"/>
      <c r="I17" s="114"/>
      <c r="J17" s="114"/>
      <c r="K17" s="114"/>
      <c r="L17" s="114"/>
    </row>
    <row r="18" spans="1:12" x14ac:dyDescent="0.25">
      <c r="A18" s="113" t="s">
        <v>180</v>
      </c>
      <c r="B18" s="114" t="s">
        <v>5</v>
      </c>
      <c r="C18" s="114"/>
      <c r="D18" s="114"/>
      <c r="E18" s="114"/>
      <c r="F18" s="114" t="s">
        <v>5</v>
      </c>
      <c r="G18" s="114"/>
      <c r="H18" s="114"/>
      <c r="I18" s="114"/>
      <c r="J18" s="114"/>
      <c r="K18" s="114"/>
      <c r="L18" s="114"/>
    </row>
    <row r="19" spans="1:12" x14ac:dyDescent="0.25">
      <c r="A19" s="113" t="s">
        <v>181</v>
      </c>
      <c r="B19" s="114" t="s">
        <v>5</v>
      </c>
      <c r="C19" s="114"/>
      <c r="D19" s="114"/>
      <c r="E19" s="114"/>
      <c r="F19" s="114" t="s">
        <v>5</v>
      </c>
      <c r="G19" s="114"/>
      <c r="H19" s="114"/>
      <c r="I19" s="114"/>
      <c r="J19" s="114"/>
      <c r="K19" s="114"/>
      <c r="L19" s="114"/>
    </row>
    <row r="20" spans="1:12" x14ac:dyDescent="0.25">
      <c r="A20" s="113" t="s">
        <v>182</v>
      </c>
      <c r="B20" s="114" t="s">
        <v>5</v>
      </c>
      <c r="C20" s="114"/>
      <c r="D20" s="114"/>
      <c r="E20" s="114"/>
      <c r="F20" s="114" t="s">
        <v>5</v>
      </c>
      <c r="G20" s="114"/>
      <c r="H20" s="114"/>
      <c r="I20" s="114"/>
      <c r="J20" s="114"/>
      <c r="K20" s="114"/>
      <c r="L20" s="114"/>
    </row>
    <row r="21" spans="1:12" x14ac:dyDescent="0.25">
      <c r="A21" s="113" t="s">
        <v>211</v>
      </c>
      <c r="B21" s="114"/>
      <c r="C21" s="114"/>
      <c r="D21" s="114"/>
      <c r="E21" s="114"/>
      <c r="F21" s="114"/>
      <c r="G21" s="114"/>
      <c r="H21" s="114" t="s">
        <v>5</v>
      </c>
      <c r="I21" s="114" t="s">
        <v>5</v>
      </c>
      <c r="J21" s="114"/>
      <c r="K21" s="114"/>
      <c r="L21" s="114"/>
    </row>
    <row r="22" spans="1:12" x14ac:dyDescent="0.25">
      <c r="A22" s="113" t="s">
        <v>213</v>
      </c>
      <c r="B22" s="114" t="s">
        <v>5</v>
      </c>
      <c r="C22" s="114" t="s">
        <v>5</v>
      </c>
      <c r="D22" s="114" t="s">
        <v>5</v>
      </c>
      <c r="E22" s="114"/>
      <c r="F22" s="114"/>
      <c r="G22" s="114"/>
      <c r="H22" s="114"/>
      <c r="I22" s="114"/>
      <c r="J22" s="114"/>
      <c r="K22" s="114"/>
      <c r="L22" s="114"/>
    </row>
    <row r="23" spans="1:12" x14ac:dyDescent="0.25">
      <c r="A23" s="113" t="s">
        <v>214</v>
      </c>
      <c r="B23" s="114"/>
      <c r="C23" s="114" t="s">
        <v>5</v>
      </c>
      <c r="D23" s="114"/>
      <c r="E23" s="114"/>
      <c r="F23" s="114"/>
      <c r="G23" s="114"/>
      <c r="H23" s="114"/>
      <c r="I23" s="114" t="s">
        <v>5</v>
      </c>
      <c r="J23" s="114"/>
      <c r="K23" s="114"/>
      <c r="L23" s="114"/>
    </row>
    <row r="24" spans="1:12" x14ac:dyDescent="0.25">
      <c r="A24" s="113" t="s">
        <v>217</v>
      </c>
      <c r="B24" s="114"/>
      <c r="C24" s="114"/>
      <c r="D24" s="114"/>
      <c r="E24" s="114"/>
      <c r="F24" s="114"/>
      <c r="G24" s="114"/>
      <c r="H24" s="114" t="s">
        <v>5</v>
      </c>
      <c r="I24" s="114"/>
      <c r="J24" s="114"/>
      <c r="K24" s="114"/>
      <c r="L24" s="114"/>
    </row>
    <row r="25" spans="1:12" x14ac:dyDescent="0.25">
      <c r="A25" s="113" t="s">
        <v>218</v>
      </c>
      <c r="B25" s="114"/>
      <c r="C25" s="114"/>
      <c r="D25" s="114"/>
      <c r="E25" s="114"/>
      <c r="F25" s="114"/>
      <c r="G25" s="114"/>
      <c r="H25" s="114" t="s">
        <v>5</v>
      </c>
      <c r="I25" s="114"/>
      <c r="J25" s="114"/>
      <c r="K25" s="114"/>
      <c r="L25" s="114"/>
    </row>
    <row r="26" spans="1:12" x14ac:dyDescent="0.25">
      <c r="A26" s="113" t="s">
        <v>219</v>
      </c>
      <c r="B26" s="114"/>
      <c r="C26" s="114" t="s">
        <v>5</v>
      </c>
      <c r="D26" s="114"/>
      <c r="E26" s="114"/>
      <c r="F26" s="114"/>
      <c r="G26" s="114"/>
      <c r="H26" s="114"/>
      <c r="I26" s="114"/>
      <c r="J26" s="114"/>
      <c r="K26" s="114"/>
      <c r="L26" s="114"/>
    </row>
    <row r="27" spans="1:12" x14ac:dyDescent="0.25">
      <c r="A27" s="113" t="s">
        <v>220</v>
      </c>
      <c r="B27" s="114"/>
      <c r="C27" s="114" t="s">
        <v>5</v>
      </c>
      <c r="D27" s="114"/>
      <c r="E27" s="114"/>
      <c r="F27" s="114"/>
      <c r="G27" s="114"/>
      <c r="H27" s="114"/>
      <c r="I27" s="114" t="s">
        <v>5</v>
      </c>
      <c r="J27" s="114"/>
      <c r="K27" s="114"/>
      <c r="L27" s="114" t="s">
        <v>5</v>
      </c>
    </row>
    <row r="28" spans="1:12" x14ac:dyDescent="0.25">
      <c r="A28" s="113" t="s">
        <v>221</v>
      </c>
      <c r="B28" s="114"/>
      <c r="C28" s="114"/>
      <c r="D28" s="114"/>
      <c r="E28" s="114"/>
      <c r="F28" s="114"/>
      <c r="G28" s="114"/>
      <c r="H28" s="114" t="s">
        <v>5</v>
      </c>
      <c r="I28" s="114"/>
      <c r="J28" s="114"/>
      <c r="K28" s="114"/>
      <c r="L28" s="114"/>
    </row>
    <row r="29" spans="1:12" x14ac:dyDescent="0.25">
      <c r="A29" s="113" t="s">
        <v>222</v>
      </c>
      <c r="B29" s="114" t="s">
        <v>5</v>
      </c>
      <c r="C29" s="114"/>
      <c r="D29" s="114" t="s">
        <v>5</v>
      </c>
      <c r="E29" s="114"/>
      <c r="F29" s="114"/>
      <c r="G29" s="114"/>
      <c r="H29" s="114"/>
      <c r="I29" s="114"/>
      <c r="J29" s="114"/>
      <c r="K29" s="114"/>
      <c r="L29" s="114"/>
    </row>
    <row r="30" spans="1:12" x14ac:dyDescent="0.25">
      <c r="A30" s="113" t="s">
        <v>233</v>
      </c>
      <c r="B30" s="114" t="s">
        <v>5</v>
      </c>
      <c r="C30" s="114" t="s">
        <v>5</v>
      </c>
      <c r="D30" s="114" t="s">
        <v>5</v>
      </c>
      <c r="E30" s="114"/>
      <c r="F30" s="114"/>
      <c r="G30" s="114"/>
      <c r="H30" s="114" t="s">
        <v>5</v>
      </c>
      <c r="I30" s="114"/>
      <c r="J30" s="114"/>
      <c r="K30" s="114"/>
      <c r="L30" s="114"/>
    </row>
    <row r="31" spans="1:12" x14ac:dyDescent="0.25">
      <c r="A31" s="113" t="s">
        <v>193</v>
      </c>
      <c r="B31" s="114"/>
      <c r="C31" s="114"/>
      <c r="D31" s="114"/>
      <c r="E31" s="114" t="s">
        <v>5</v>
      </c>
      <c r="F31" s="114"/>
      <c r="G31" s="114"/>
      <c r="H31" s="114"/>
      <c r="I31" s="114"/>
      <c r="J31" s="114"/>
      <c r="K31" s="114"/>
      <c r="L31" s="114"/>
    </row>
    <row r="32" spans="1:12" x14ac:dyDescent="0.25">
      <c r="A32" s="113" t="s">
        <v>225</v>
      </c>
      <c r="B32" s="114"/>
      <c r="C32" s="114"/>
      <c r="D32" s="114"/>
      <c r="E32" s="114"/>
      <c r="F32" s="114"/>
      <c r="G32" s="114" t="s">
        <v>5</v>
      </c>
      <c r="H32" s="114" t="s">
        <v>5</v>
      </c>
      <c r="I32" s="114"/>
      <c r="J32" s="114"/>
      <c r="K32" s="114"/>
      <c r="L32" s="114"/>
    </row>
    <row r="33" spans="1:12" x14ac:dyDescent="0.25">
      <c r="A33" s="113" t="s">
        <v>226</v>
      </c>
      <c r="B33" s="114"/>
      <c r="C33" s="114"/>
      <c r="D33" s="114"/>
      <c r="E33" s="114"/>
      <c r="F33" s="114"/>
      <c r="G33" s="114" t="s">
        <v>5</v>
      </c>
      <c r="H33" s="114" t="s">
        <v>5</v>
      </c>
      <c r="I33" s="114"/>
      <c r="J33" s="114"/>
      <c r="K33" s="114"/>
      <c r="L33" s="114"/>
    </row>
    <row r="34" spans="1:12" x14ac:dyDescent="0.25">
      <c r="A34" s="113" t="s">
        <v>227</v>
      </c>
      <c r="B34" s="114"/>
      <c r="C34" s="114"/>
      <c r="D34" s="114"/>
      <c r="E34" s="114"/>
      <c r="F34" s="114"/>
      <c r="G34" s="114" t="s">
        <v>5</v>
      </c>
      <c r="H34" s="114" t="s">
        <v>5</v>
      </c>
      <c r="I34" s="114"/>
      <c r="J34" s="114"/>
      <c r="K34" s="114"/>
      <c r="L34" s="114"/>
    </row>
    <row r="35" spans="1:12" x14ac:dyDescent="0.25">
      <c r="A35" s="113" t="s">
        <v>228</v>
      </c>
      <c r="B35" s="114"/>
      <c r="C35" s="114"/>
      <c r="D35" s="114"/>
      <c r="E35" s="114"/>
      <c r="F35" s="114"/>
      <c r="G35" s="114" t="s">
        <v>5</v>
      </c>
      <c r="H35" s="114" t="s">
        <v>5</v>
      </c>
      <c r="I35" s="114"/>
      <c r="J35" s="114"/>
      <c r="K35" s="114"/>
      <c r="L35" s="114"/>
    </row>
    <row r="36" spans="1:12" x14ac:dyDescent="0.25">
      <c r="A36" s="113" t="s">
        <v>229</v>
      </c>
      <c r="B36" s="114"/>
      <c r="C36" s="114"/>
      <c r="D36" s="114"/>
      <c r="E36" s="114"/>
      <c r="F36" s="114"/>
      <c r="G36" s="114" t="s">
        <v>5</v>
      </c>
      <c r="H36" s="114" t="s">
        <v>5</v>
      </c>
      <c r="I36" s="114"/>
      <c r="J36" s="114"/>
      <c r="K36" s="114"/>
      <c r="L36" s="114"/>
    </row>
    <row r="37" spans="1:12" x14ac:dyDescent="0.25">
      <c r="A37" s="113" t="s">
        <v>230</v>
      </c>
      <c r="B37" s="114"/>
      <c r="C37" s="114"/>
      <c r="D37" s="114"/>
      <c r="E37" s="114"/>
      <c r="F37" s="114"/>
      <c r="G37" s="114" t="s">
        <v>5</v>
      </c>
      <c r="H37" s="114" t="s">
        <v>5</v>
      </c>
      <c r="I37" s="114"/>
      <c r="J37" s="114"/>
      <c r="K37" s="114"/>
      <c r="L37" s="114"/>
    </row>
    <row r="38" spans="1:12" x14ac:dyDescent="0.25">
      <c r="A38" s="113" t="s">
        <v>231</v>
      </c>
      <c r="B38" s="114"/>
      <c r="C38" s="114"/>
      <c r="D38" s="114"/>
      <c r="E38" s="114"/>
      <c r="F38" s="114"/>
      <c r="G38" s="114"/>
      <c r="H38" s="114" t="s">
        <v>5</v>
      </c>
      <c r="I38" s="114"/>
      <c r="J38" s="114"/>
      <c r="K38" s="114"/>
      <c r="L38" s="114"/>
    </row>
    <row r="39" spans="1:12" x14ac:dyDescent="0.25">
      <c r="A39" s="113" t="s">
        <v>232</v>
      </c>
      <c r="B39" s="114" t="s">
        <v>5</v>
      </c>
      <c r="C39" s="114"/>
      <c r="D39" s="114"/>
      <c r="E39" s="114"/>
      <c r="F39" s="114"/>
      <c r="G39" s="114" t="s">
        <v>5</v>
      </c>
      <c r="H39" s="114" t="s">
        <v>5</v>
      </c>
      <c r="I39" s="114"/>
      <c r="J39" s="114"/>
      <c r="K39" s="114"/>
      <c r="L39" s="114"/>
    </row>
  </sheetData>
  <sheetProtection algorithmName="SHA-512" hashValue="0lkDJUzl5LzIJAFBDsNe/W6qepHtwxU2dVZuZpb5r51Xx1adaxaA0U19h6xSSMGkM7TwnBJ0aCzvaqfxHLl2Fw==" saltValue="PhDCrLINbJNGO4hF+pfeKA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theme="0" tint="-0.249977111117893"/>
  </sheetPr>
  <dimension ref="A1:L14"/>
  <sheetViews>
    <sheetView workbookViewId="0">
      <selection activeCell="B2" sqref="B2"/>
    </sheetView>
  </sheetViews>
  <sheetFormatPr defaultColWidth="12.7265625" defaultRowHeight="12.5" x14ac:dyDescent="0.25"/>
  <cols>
    <col min="1" max="1" width="16.81640625" style="104" bestFit="1" customWidth="1"/>
    <col min="2" max="2" width="8.7265625" style="104" bestFit="1" customWidth="1"/>
    <col min="3" max="3" width="8.81640625" style="104" bestFit="1" customWidth="1"/>
    <col min="4" max="4" width="18.26953125" style="104" bestFit="1" customWidth="1"/>
    <col min="5" max="5" width="17.453125" style="104" bestFit="1" customWidth="1"/>
    <col min="6" max="6" width="13.54296875" style="104" bestFit="1" customWidth="1"/>
    <col min="7" max="7" width="9.7265625" style="104" bestFit="1" customWidth="1"/>
    <col min="8" max="8" width="8.81640625" style="104" bestFit="1" customWidth="1"/>
    <col min="9" max="9" width="14.7265625" style="104" bestFit="1" customWidth="1"/>
    <col min="10" max="10" width="15.26953125" style="104" bestFit="1" customWidth="1"/>
    <col min="11" max="16384" width="12.7265625" style="104"/>
  </cols>
  <sheetData>
    <row r="1" spans="1:12" ht="13" x14ac:dyDescent="0.3">
      <c r="A1" s="103" t="s">
        <v>264</v>
      </c>
      <c r="B1" s="106" t="s">
        <v>260</v>
      </c>
      <c r="C1" s="106" t="s">
        <v>124</v>
      </c>
      <c r="D1" s="106" t="s">
        <v>261</v>
      </c>
      <c r="E1" s="106" t="s">
        <v>262</v>
      </c>
      <c r="F1" s="106" t="s">
        <v>142</v>
      </c>
      <c r="G1" s="106" t="s">
        <v>103</v>
      </c>
      <c r="H1" s="106" t="s">
        <v>56</v>
      </c>
      <c r="I1" s="106" t="s">
        <v>259</v>
      </c>
      <c r="J1" s="106" t="s">
        <v>41</v>
      </c>
      <c r="K1" s="106" t="s">
        <v>258</v>
      </c>
      <c r="L1" s="106" t="s">
        <v>263</v>
      </c>
    </row>
    <row r="2" spans="1:12" x14ac:dyDescent="0.25">
      <c r="A2" s="106" t="s">
        <v>97</v>
      </c>
      <c r="B2" s="114" t="s">
        <v>5</v>
      </c>
      <c r="C2" s="114" t="s">
        <v>5</v>
      </c>
      <c r="D2" s="114" t="s">
        <v>5</v>
      </c>
      <c r="E2" s="114" t="s">
        <v>5</v>
      </c>
      <c r="F2" s="114" t="s">
        <v>5</v>
      </c>
      <c r="G2" s="114" t="s">
        <v>5</v>
      </c>
      <c r="H2" s="114" t="s">
        <v>5</v>
      </c>
      <c r="I2" s="114"/>
      <c r="J2" s="114"/>
      <c r="K2" s="114"/>
      <c r="L2" s="114"/>
    </row>
    <row r="3" spans="1:12" x14ac:dyDescent="0.25">
      <c r="A3" s="106" t="s">
        <v>93</v>
      </c>
      <c r="B3" s="114" t="s">
        <v>5</v>
      </c>
      <c r="C3" s="114" t="s">
        <v>5</v>
      </c>
      <c r="D3" s="114" t="s">
        <v>5</v>
      </c>
      <c r="E3" s="114" t="s">
        <v>5</v>
      </c>
      <c r="F3" s="114" t="s">
        <v>5</v>
      </c>
      <c r="G3" s="114" t="s">
        <v>5</v>
      </c>
      <c r="H3" s="114" t="s">
        <v>5</v>
      </c>
      <c r="I3" s="114"/>
      <c r="J3" s="114"/>
      <c r="K3" s="114"/>
      <c r="L3" s="114"/>
    </row>
    <row r="4" spans="1:12" x14ac:dyDescent="0.25">
      <c r="A4" s="106" t="s">
        <v>96</v>
      </c>
      <c r="B4" s="114" t="s">
        <v>5</v>
      </c>
      <c r="C4" s="114" t="s">
        <v>5</v>
      </c>
      <c r="D4" s="114" t="s">
        <v>5</v>
      </c>
      <c r="E4" s="114" t="s">
        <v>5</v>
      </c>
      <c r="F4" s="114" t="s">
        <v>5</v>
      </c>
      <c r="G4" s="114" t="s">
        <v>5</v>
      </c>
      <c r="H4" s="114" t="s">
        <v>5</v>
      </c>
      <c r="I4" s="114"/>
      <c r="J4" s="114"/>
      <c r="K4" s="114"/>
      <c r="L4" s="114"/>
    </row>
    <row r="5" spans="1:12" x14ac:dyDescent="0.25">
      <c r="A5" s="106" t="s">
        <v>94</v>
      </c>
      <c r="B5" s="114" t="s">
        <v>5</v>
      </c>
      <c r="C5" s="114" t="s">
        <v>5</v>
      </c>
      <c r="D5" s="114" t="s">
        <v>5</v>
      </c>
      <c r="E5" s="114" t="s">
        <v>5</v>
      </c>
      <c r="F5" s="114" t="s">
        <v>5</v>
      </c>
      <c r="G5" s="114" t="s">
        <v>5</v>
      </c>
      <c r="H5" s="114" t="s">
        <v>5</v>
      </c>
      <c r="I5" s="114"/>
      <c r="J5" s="114"/>
      <c r="K5" s="114"/>
      <c r="L5" s="114"/>
    </row>
    <row r="6" spans="1:12" x14ac:dyDescent="0.25">
      <c r="A6" s="106" t="s">
        <v>95</v>
      </c>
      <c r="B6" s="114" t="s">
        <v>5</v>
      </c>
      <c r="C6" s="114" t="s">
        <v>5</v>
      </c>
      <c r="D6" s="114" t="s">
        <v>5</v>
      </c>
      <c r="E6" s="114" t="s">
        <v>5</v>
      </c>
      <c r="F6" s="114" t="s">
        <v>5</v>
      </c>
      <c r="G6" s="114" t="s">
        <v>5</v>
      </c>
      <c r="H6" s="114" t="s">
        <v>5</v>
      </c>
      <c r="I6" s="114"/>
      <c r="J6" s="114"/>
      <c r="K6" s="114"/>
      <c r="L6" s="114"/>
    </row>
    <row r="7" spans="1:12" x14ac:dyDescent="0.25">
      <c r="A7" s="106" t="s">
        <v>132</v>
      </c>
      <c r="B7" s="114"/>
      <c r="C7" s="114" t="s">
        <v>5</v>
      </c>
      <c r="D7" s="114"/>
      <c r="E7" s="114"/>
      <c r="F7" s="114"/>
      <c r="G7" s="114"/>
      <c r="H7" s="114" t="s">
        <v>5</v>
      </c>
      <c r="I7" s="114" t="s">
        <v>5</v>
      </c>
      <c r="J7" s="114"/>
      <c r="K7" s="114"/>
      <c r="L7" s="114" t="s">
        <v>5</v>
      </c>
    </row>
    <row r="8" spans="1:12" x14ac:dyDescent="0.25">
      <c r="A8" s="106" t="s">
        <v>133</v>
      </c>
      <c r="B8" s="114"/>
      <c r="C8" s="114" t="s">
        <v>5</v>
      </c>
      <c r="D8" s="114"/>
      <c r="E8" s="114"/>
      <c r="F8" s="114"/>
      <c r="G8" s="114"/>
      <c r="H8" s="114" t="s">
        <v>5</v>
      </c>
      <c r="I8" s="114" t="s">
        <v>5</v>
      </c>
      <c r="J8" s="114"/>
      <c r="K8" s="114"/>
      <c r="L8" s="114" t="s">
        <v>5</v>
      </c>
    </row>
    <row r="9" spans="1:12" x14ac:dyDescent="0.25">
      <c r="A9" s="106" t="s">
        <v>134</v>
      </c>
      <c r="B9" s="114"/>
      <c r="C9" s="114" t="s">
        <v>5</v>
      </c>
      <c r="D9" s="114"/>
      <c r="E9" s="114"/>
      <c r="F9" s="114"/>
      <c r="G9" s="114"/>
      <c r="H9" s="114" t="s">
        <v>5</v>
      </c>
      <c r="I9" s="114" t="s">
        <v>5</v>
      </c>
      <c r="J9" s="114"/>
      <c r="K9" s="114"/>
      <c r="L9" s="114" t="s">
        <v>5</v>
      </c>
    </row>
    <row r="10" spans="1:12" x14ac:dyDescent="0.25">
      <c r="A10" s="106" t="s">
        <v>135</v>
      </c>
      <c r="B10" s="114"/>
      <c r="C10" s="114" t="s">
        <v>5</v>
      </c>
      <c r="D10" s="114"/>
      <c r="E10" s="114"/>
      <c r="F10" s="114"/>
      <c r="G10" s="114"/>
      <c r="H10" s="114" t="s">
        <v>5</v>
      </c>
      <c r="I10" s="114" t="s">
        <v>5</v>
      </c>
      <c r="J10" s="114"/>
      <c r="K10" s="114"/>
      <c r="L10" s="114" t="s">
        <v>5</v>
      </c>
    </row>
    <row r="11" spans="1:12" x14ac:dyDescent="0.25">
      <c r="A11" s="106" t="s">
        <v>87</v>
      </c>
      <c r="B11" s="114"/>
      <c r="C11" s="114" t="s">
        <v>5</v>
      </c>
      <c r="D11" s="114"/>
      <c r="E11" s="114"/>
      <c r="F11" s="114"/>
      <c r="G11" s="114"/>
      <c r="H11" s="114"/>
      <c r="I11" s="114"/>
      <c r="J11" s="114" t="s">
        <v>5</v>
      </c>
      <c r="K11" s="114" t="s">
        <v>5</v>
      </c>
      <c r="L11" s="114"/>
    </row>
    <row r="12" spans="1:12" x14ac:dyDescent="0.25">
      <c r="A12" s="106" t="s">
        <v>88</v>
      </c>
      <c r="B12" s="114"/>
      <c r="C12" s="114" t="s">
        <v>5</v>
      </c>
      <c r="D12" s="114"/>
      <c r="E12" s="114"/>
      <c r="F12" s="114"/>
      <c r="G12" s="114"/>
      <c r="H12" s="114"/>
      <c r="I12" s="114"/>
      <c r="J12" s="114"/>
      <c r="K12" s="114" t="s">
        <v>5</v>
      </c>
      <c r="L12" s="114"/>
    </row>
    <row r="13" spans="1:12" x14ac:dyDescent="0.25">
      <c r="A13" s="106" t="s">
        <v>89</v>
      </c>
      <c r="B13" s="114"/>
      <c r="C13" s="114" t="s">
        <v>5</v>
      </c>
      <c r="D13" s="114"/>
      <c r="E13" s="114"/>
      <c r="F13" s="114"/>
      <c r="G13" s="114"/>
      <c r="H13" s="114"/>
      <c r="I13" s="114"/>
      <c r="J13" s="114"/>
      <c r="K13" s="114" t="s">
        <v>5</v>
      </c>
      <c r="L13" s="114"/>
    </row>
    <row r="14" spans="1:12" x14ac:dyDescent="0.25">
      <c r="A14" s="106" t="s">
        <v>90</v>
      </c>
      <c r="B14" s="114"/>
      <c r="C14" s="114" t="s">
        <v>5</v>
      </c>
      <c r="D14" s="114"/>
      <c r="E14" s="114"/>
      <c r="F14" s="114"/>
      <c r="G14" s="114"/>
      <c r="H14" s="114"/>
      <c r="I14" s="114"/>
      <c r="J14" s="114"/>
      <c r="K14" s="114" t="s">
        <v>5</v>
      </c>
      <c r="L14" s="114"/>
    </row>
  </sheetData>
  <sheetProtection algorithmName="SHA-512" hashValue="W+Zv/9i0gVVQQaO+Y9iYCYrS2xYsuL97SJudwKyiMYfhR1KKpLmrWpf/U8RsdUmqi70Z0SvtbDvyaYeNJIhwIg==" saltValue="2GAxSIxvT196cn3R7YH+Fw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theme="0" tint="-0.249977111117893"/>
  </sheetPr>
  <dimension ref="A1:J157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5" width="12.6328125" style="8" customWidth="1"/>
    <col min="6" max="16384" width="12.6328125" style="8"/>
  </cols>
  <sheetData>
    <row r="1" spans="1:10" ht="13" x14ac:dyDescent="0.3">
      <c r="A1" s="4" t="s">
        <v>265</v>
      </c>
      <c r="B1" s="4" t="s">
        <v>185</v>
      </c>
      <c r="C1" s="4" t="s">
        <v>189</v>
      </c>
      <c r="D1" s="4" t="s">
        <v>97</v>
      </c>
      <c r="E1" s="4" t="s">
        <v>93</v>
      </c>
      <c r="F1" s="4" t="s">
        <v>96</v>
      </c>
      <c r="G1" s="4" t="s">
        <v>94</v>
      </c>
      <c r="H1" s="4" t="s">
        <v>95</v>
      </c>
    </row>
    <row r="2" spans="1:10" ht="13" x14ac:dyDescent="0.3">
      <c r="A2" s="4" t="s">
        <v>267</v>
      </c>
      <c r="B2" s="126" t="s">
        <v>123</v>
      </c>
      <c r="C2" s="8" t="s">
        <v>179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27"/>
      <c r="C3" s="8" t="s">
        <v>178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27"/>
      <c r="C4" s="8" t="s">
        <v>184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26" t="s">
        <v>97</v>
      </c>
      <c r="C5" s="8" t="s">
        <v>179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27"/>
      <c r="C6" s="8" t="s">
        <v>178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27"/>
      <c r="C7" s="8" t="s">
        <v>184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26" t="s">
        <v>93</v>
      </c>
      <c r="C8" s="8" t="s">
        <v>179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x14ac:dyDescent="0.25">
      <c r="B9" s="127"/>
      <c r="C9" s="8" t="s">
        <v>178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x14ac:dyDescent="0.25">
      <c r="B10" s="127"/>
      <c r="C10" s="8" t="s">
        <v>184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26" t="s">
        <v>96</v>
      </c>
      <c r="C11" s="8" t="s">
        <v>179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x14ac:dyDescent="0.25">
      <c r="B12" s="127"/>
      <c r="C12" s="8" t="s">
        <v>178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x14ac:dyDescent="0.25">
      <c r="B13" s="127"/>
      <c r="C13" s="8" t="s">
        <v>184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26" t="s">
        <v>94</v>
      </c>
      <c r="C14" s="8" t="s">
        <v>179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x14ac:dyDescent="0.25">
      <c r="B15" s="127"/>
      <c r="C15" s="8" t="s">
        <v>178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x14ac:dyDescent="0.25">
      <c r="B16" s="127"/>
      <c r="C16" s="8" t="s">
        <v>184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x14ac:dyDescent="0.25">
      <c r="B17" s="65" t="s">
        <v>177</v>
      </c>
      <c r="C17" s="8" t="s">
        <v>184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x14ac:dyDescent="0.3">
      <c r="A19" s="4" t="s">
        <v>273</v>
      </c>
      <c r="B19" s="126" t="s">
        <v>123</v>
      </c>
      <c r="C19" s="8" t="s">
        <v>179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27"/>
      <c r="C20" s="8" t="s">
        <v>178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27"/>
      <c r="C21" s="8" t="s">
        <v>184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26" t="s">
        <v>97</v>
      </c>
      <c r="C22" s="8" t="s">
        <v>179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27"/>
      <c r="C23" s="8" t="s">
        <v>178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27"/>
      <c r="C24" s="8" t="s">
        <v>184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26" t="s">
        <v>93</v>
      </c>
      <c r="C25" s="8" t="s">
        <v>179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27"/>
      <c r="C26" s="8" t="s">
        <v>178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27"/>
      <c r="C27" s="8" t="s">
        <v>184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26" t="s">
        <v>96</v>
      </c>
      <c r="C28" s="8" t="s">
        <v>179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27"/>
      <c r="C29" s="8" t="s">
        <v>178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27"/>
      <c r="C30" s="8" t="s">
        <v>184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26" t="s">
        <v>94</v>
      </c>
      <c r="C31" s="8" t="s">
        <v>179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27"/>
      <c r="C32" s="8" t="s">
        <v>178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27"/>
      <c r="C33" s="8" t="s">
        <v>184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x14ac:dyDescent="0.25">
      <c r="B34" s="65" t="s">
        <v>177</v>
      </c>
      <c r="C34" s="8" t="s">
        <v>184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x14ac:dyDescent="0.3">
      <c r="A36" s="66" t="s">
        <v>270</v>
      </c>
      <c r="B36" s="126" t="s">
        <v>123</v>
      </c>
      <c r="C36" s="8" t="s">
        <v>179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27"/>
      <c r="C37" s="8" t="s">
        <v>178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27"/>
      <c r="C38" s="8" t="s">
        <v>184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26" t="s">
        <v>97</v>
      </c>
      <c r="C39" s="8" t="s">
        <v>179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27"/>
      <c r="C40" s="8" t="s">
        <v>178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27"/>
      <c r="C41" s="8" t="s">
        <v>184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26" t="s">
        <v>93</v>
      </c>
      <c r="C42" s="8" t="s">
        <v>179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27"/>
      <c r="C43" s="8" t="s">
        <v>178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27"/>
      <c r="C44" s="8" t="s">
        <v>184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26" t="s">
        <v>96</v>
      </c>
      <c r="C45" s="8" t="s">
        <v>179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27"/>
      <c r="C46" s="8" t="s">
        <v>178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27"/>
      <c r="C47" s="8" t="s">
        <v>184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26" t="s">
        <v>94</v>
      </c>
      <c r="C48" s="8" t="s">
        <v>179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27"/>
      <c r="C49" s="8" t="s">
        <v>178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27"/>
      <c r="C50" s="8" t="s">
        <v>184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x14ac:dyDescent="0.25">
      <c r="B51" s="65" t="s">
        <v>177</v>
      </c>
      <c r="C51" s="8" t="s">
        <v>184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x14ac:dyDescent="0.3">
      <c r="A53" s="92" t="s">
        <v>266</v>
      </c>
      <c r="B53" s="92"/>
      <c r="C53" s="92"/>
      <c r="D53" s="92"/>
      <c r="E53" s="92"/>
      <c r="F53" s="92"/>
      <c r="G53" s="92"/>
      <c r="H53" s="92"/>
    </row>
    <row r="54" spans="1:8" ht="13" x14ac:dyDescent="0.3">
      <c r="A54" s="4" t="s">
        <v>265</v>
      </c>
      <c r="B54" s="4" t="s">
        <v>185</v>
      </c>
      <c r="C54" s="4" t="s">
        <v>189</v>
      </c>
      <c r="D54" s="4" t="s">
        <v>97</v>
      </c>
      <c r="E54" s="4" t="s">
        <v>93</v>
      </c>
      <c r="F54" s="4" t="s">
        <v>96</v>
      </c>
      <c r="G54" s="4" t="s">
        <v>94</v>
      </c>
      <c r="H54" s="4" t="s">
        <v>95</v>
      </c>
    </row>
    <row r="55" spans="1:8" ht="13" x14ac:dyDescent="0.3">
      <c r="A55" s="4" t="s">
        <v>268</v>
      </c>
      <c r="B55" s="126" t="s">
        <v>123</v>
      </c>
      <c r="C55" s="8" t="s">
        <v>179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27"/>
      <c r="C56" s="8" t="s">
        <v>178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27"/>
      <c r="C57" s="8" t="s">
        <v>184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26" t="s">
        <v>97</v>
      </c>
      <c r="C58" s="8" t="s">
        <v>179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27"/>
      <c r="C59" s="8" t="s">
        <v>178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27"/>
      <c r="C60" s="8" t="s">
        <v>184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26" t="s">
        <v>93</v>
      </c>
      <c r="C61" s="8" t="s">
        <v>179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27"/>
      <c r="C62" s="8" t="s">
        <v>178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27"/>
      <c r="C63" s="8" t="s">
        <v>184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26" t="s">
        <v>96</v>
      </c>
      <c r="C64" s="8" t="s">
        <v>179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27"/>
      <c r="C65" s="8" t="s">
        <v>178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x14ac:dyDescent="0.25">
      <c r="B66" s="127"/>
      <c r="C66" s="8" t="s">
        <v>184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26" t="s">
        <v>94</v>
      </c>
      <c r="C67" s="8" t="s">
        <v>179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x14ac:dyDescent="0.25">
      <c r="B68" s="127"/>
      <c r="C68" s="8" t="s">
        <v>178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x14ac:dyDescent="0.25">
      <c r="B69" s="127"/>
      <c r="C69" s="8" t="s">
        <v>184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x14ac:dyDescent="0.25">
      <c r="B70" s="65" t="s">
        <v>177</v>
      </c>
      <c r="C70" s="8" t="s">
        <v>184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x14ac:dyDescent="0.3">
      <c r="A72" s="4" t="s">
        <v>274</v>
      </c>
      <c r="B72" s="126" t="s">
        <v>123</v>
      </c>
      <c r="C72" s="8" t="s">
        <v>179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27"/>
      <c r="C73" s="8" t="s">
        <v>178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27"/>
      <c r="C74" s="8" t="s">
        <v>184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26" t="s">
        <v>97</v>
      </c>
      <c r="C75" s="8" t="s">
        <v>179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27"/>
      <c r="C76" s="8" t="s">
        <v>178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27"/>
      <c r="C77" s="8" t="s">
        <v>184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26" t="s">
        <v>93</v>
      </c>
      <c r="C78" s="8" t="s">
        <v>179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27"/>
      <c r="C79" s="8" t="s">
        <v>178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27"/>
      <c r="C80" s="8" t="s">
        <v>184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26" t="s">
        <v>96</v>
      </c>
      <c r="C81" s="8" t="s">
        <v>179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27"/>
      <c r="C82" s="8" t="s">
        <v>178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27"/>
      <c r="C83" s="8" t="s">
        <v>184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26" t="s">
        <v>94</v>
      </c>
      <c r="C84" s="8" t="s">
        <v>179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27"/>
      <c r="C85" s="8" t="s">
        <v>178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27"/>
      <c r="C86" s="8" t="s">
        <v>184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x14ac:dyDescent="0.25">
      <c r="B87" s="65" t="s">
        <v>177</v>
      </c>
      <c r="C87" s="8" t="s">
        <v>184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x14ac:dyDescent="0.3">
      <c r="A89" s="66" t="s">
        <v>271</v>
      </c>
      <c r="B89" s="126" t="s">
        <v>123</v>
      </c>
      <c r="C89" s="8" t="s">
        <v>179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27"/>
      <c r="C90" s="8" t="s">
        <v>178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27"/>
      <c r="C91" s="8" t="s">
        <v>184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26" t="s">
        <v>97</v>
      </c>
      <c r="C92" s="8" t="s">
        <v>179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27"/>
      <c r="C93" s="8" t="s">
        <v>178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27"/>
      <c r="C94" s="8" t="s">
        <v>184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26" t="s">
        <v>93</v>
      </c>
      <c r="C95" s="8" t="s">
        <v>179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27"/>
      <c r="C96" s="8" t="s">
        <v>178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27"/>
      <c r="C97" s="8" t="s">
        <v>184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26" t="s">
        <v>96</v>
      </c>
      <c r="C98" s="8" t="s">
        <v>179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27"/>
      <c r="C99" s="8" t="s">
        <v>178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27"/>
      <c r="C100" s="8" t="s">
        <v>184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26" t="s">
        <v>94</v>
      </c>
      <c r="C101" s="8" t="s">
        <v>179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27"/>
      <c r="C102" s="8" t="s">
        <v>178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27"/>
      <c r="C103" s="8" t="s">
        <v>184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x14ac:dyDescent="0.25">
      <c r="B104" s="65" t="s">
        <v>177</v>
      </c>
      <c r="C104" s="8" t="s">
        <v>184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x14ac:dyDescent="0.3">
      <c r="A106" s="92" t="s">
        <v>276</v>
      </c>
      <c r="B106" s="92"/>
      <c r="C106" s="92"/>
      <c r="D106" s="92"/>
      <c r="E106" s="92"/>
      <c r="F106" s="92"/>
      <c r="G106" s="92"/>
      <c r="H106" s="92"/>
    </row>
    <row r="107" spans="1:8" ht="13" x14ac:dyDescent="0.3">
      <c r="A107" s="4" t="s">
        <v>265</v>
      </c>
      <c r="B107" s="4" t="s">
        <v>185</v>
      </c>
      <c r="C107" s="4" t="s">
        <v>189</v>
      </c>
      <c r="D107" s="4" t="s">
        <v>97</v>
      </c>
      <c r="E107" s="4" t="s">
        <v>93</v>
      </c>
      <c r="F107" s="4" t="s">
        <v>96</v>
      </c>
      <c r="G107" s="4" t="s">
        <v>94</v>
      </c>
      <c r="H107" s="4" t="s">
        <v>95</v>
      </c>
    </row>
    <row r="108" spans="1:8" ht="13" x14ac:dyDescent="0.3">
      <c r="A108" s="4" t="s">
        <v>269</v>
      </c>
      <c r="B108" s="126" t="s">
        <v>123</v>
      </c>
      <c r="C108" s="8" t="s">
        <v>179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27"/>
      <c r="C109" s="8" t="s">
        <v>178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27"/>
      <c r="C110" s="8" t="s">
        <v>184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26" t="s">
        <v>97</v>
      </c>
      <c r="C111" s="8" t="s">
        <v>179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x14ac:dyDescent="0.25">
      <c r="B112" s="127"/>
      <c r="C112" s="8" t="s">
        <v>178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x14ac:dyDescent="0.25">
      <c r="B113" s="127"/>
      <c r="C113" s="8" t="s">
        <v>184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x14ac:dyDescent="0.25">
      <c r="B114" s="126" t="s">
        <v>93</v>
      </c>
      <c r="C114" s="8" t="s">
        <v>179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x14ac:dyDescent="0.25">
      <c r="B115" s="127"/>
      <c r="C115" s="8" t="s">
        <v>178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x14ac:dyDescent="0.25">
      <c r="B116" s="127"/>
      <c r="C116" s="8" t="s">
        <v>184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x14ac:dyDescent="0.25">
      <c r="B117" s="126" t="s">
        <v>96</v>
      </c>
      <c r="C117" s="8" t="s">
        <v>179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x14ac:dyDescent="0.25">
      <c r="B118" s="127"/>
      <c r="C118" s="8" t="s">
        <v>178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x14ac:dyDescent="0.25">
      <c r="B119" s="127"/>
      <c r="C119" s="8" t="s">
        <v>184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x14ac:dyDescent="0.25">
      <c r="B120" s="126" t="s">
        <v>94</v>
      </c>
      <c r="C120" s="8" t="s">
        <v>179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x14ac:dyDescent="0.25">
      <c r="B121" s="127"/>
      <c r="C121" s="8" t="s">
        <v>178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x14ac:dyDescent="0.25">
      <c r="B122" s="127"/>
      <c r="C122" s="8" t="s">
        <v>184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x14ac:dyDescent="0.25">
      <c r="B123" s="65" t="s">
        <v>177</v>
      </c>
      <c r="C123" s="8" t="s">
        <v>184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x14ac:dyDescent="0.25">
      <c r="D124" s="86"/>
      <c r="E124" s="86"/>
      <c r="F124" s="86"/>
      <c r="G124" s="86"/>
      <c r="H124" s="86"/>
    </row>
    <row r="125" spans="1:8" ht="13" x14ac:dyDescent="0.3">
      <c r="A125" s="4" t="s">
        <v>275</v>
      </c>
      <c r="B125" s="126" t="s">
        <v>123</v>
      </c>
      <c r="C125" s="8" t="s">
        <v>179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x14ac:dyDescent="0.25">
      <c r="B126" s="127"/>
      <c r="C126" s="8" t="s">
        <v>178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x14ac:dyDescent="0.25">
      <c r="B127" s="127"/>
      <c r="C127" s="8" t="s">
        <v>184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x14ac:dyDescent="0.25">
      <c r="B128" s="126" t="s">
        <v>97</v>
      </c>
      <c r="C128" s="8" t="s">
        <v>179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x14ac:dyDescent="0.25">
      <c r="B129" s="127"/>
      <c r="C129" s="8" t="s">
        <v>178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x14ac:dyDescent="0.25">
      <c r="B130" s="127"/>
      <c r="C130" s="8" t="s">
        <v>184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x14ac:dyDescent="0.25">
      <c r="B131" s="126" t="s">
        <v>93</v>
      </c>
      <c r="C131" s="8" t="s">
        <v>179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x14ac:dyDescent="0.25">
      <c r="B132" s="127"/>
      <c r="C132" s="8" t="s">
        <v>178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x14ac:dyDescent="0.25">
      <c r="B133" s="127"/>
      <c r="C133" s="8" t="s">
        <v>184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x14ac:dyDescent="0.25">
      <c r="B134" s="126" t="s">
        <v>96</v>
      </c>
      <c r="C134" s="8" t="s">
        <v>179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x14ac:dyDescent="0.25">
      <c r="B135" s="127"/>
      <c r="C135" s="8" t="s">
        <v>178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x14ac:dyDescent="0.25">
      <c r="B136" s="127"/>
      <c r="C136" s="8" t="s">
        <v>184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x14ac:dyDescent="0.25">
      <c r="B137" s="126" t="s">
        <v>94</v>
      </c>
      <c r="C137" s="8" t="s">
        <v>179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x14ac:dyDescent="0.25">
      <c r="B138" s="127"/>
      <c r="C138" s="8" t="s">
        <v>178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x14ac:dyDescent="0.25">
      <c r="B139" s="127"/>
      <c r="C139" s="8" t="s">
        <v>184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x14ac:dyDescent="0.25">
      <c r="B140" s="65" t="s">
        <v>177</v>
      </c>
      <c r="C140" s="8" t="s">
        <v>184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x14ac:dyDescent="0.25">
      <c r="D141" s="86"/>
      <c r="E141" s="86"/>
      <c r="F141" s="86"/>
      <c r="G141" s="86"/>
      <c r="H141" s="86"/>
    </row>
    <row r="142" spans="1:8" ht="13" x14ac:dyDescent="0.3">
      <c r="A142" s="66" t="s">
        <v>272</v>
      </c>
      <c r="B142" s="126" t="s">
        <v>123</v>
      </c>
      <c r="C142" s="8" t="s">
        <v>179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x14ac:dyDescent="0.25">
      <c r="B143" s="127"/>
      <c r="C143" s="8" t="s">
        <v>178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x14ac:dyDescent="0.25">
      <c r="B144" s="127"/>
      <c r="C144" s="8" t="s">
        <v>184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x14ac:dyDescent="0.25">
      <c r="B145" s="126" t="s">
        <v>97</v>
      </c>
      <c r="C145" s="8" t="s">
        <v>179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x14ac:dyDescent="0.25">
      <c r="B146" s="127"/>
      <c r="C146" s="8" t="s">
        <v>178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x14ac:dyDescent="0.25">
      <c r="B147" s="127"/>
      <c r="C147" s="8" t="s">
        <v>184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x14ac:dyDescent="0.25">
      <c r="B148" s="126" t="s">
        <v>93</v>
      </c>
      <c r="C148" s="8" t="s">
        <v>179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x14ac:dyDescent="0.25">
      <c r="B149" s="127"/>
      <c r="C149" s="8" t="s">
        <v>178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x14ac:dyDescent="0.25">
      <c r="B150" s="127"/>
      <c r="C150" s="8" t="s">
        <v>184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x14ac:dyDescent="0.25">
      <c r="B151" s="126" t="s">
        <v>96</v>
      </c>
      <c r="C151" s="8" t="s">
        <v>179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27"/>
      <c r="C152" s="8" t="s">
        <v>178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27"/>
      <c r="C153" s="8" t="s">
        <v>184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26" t="s">
        <v>94</v>
      </c>
      <c r="C154" s="8" t="s">
        <v>179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27"/>
      <c r="C155" s="8" t="s">
        <v>178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27"/>
      <c r="C156" s="8" t="s">
        <v>184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x14ac:dyDescent="0.25">
      <c r="B157" s="65" t="s">
        <v>177</v>
      </c>
      <c r="C157" s="8" t="s">
        <v>184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dVOgsXbYO1ARdzmqhNtvK6kJm2Braow8CwLjeOUBD2KUqnLEheeDzizJxqZGjYouos7qL1PgClsrrLZ7FJBQgQ==" saltValue="9HxMYPkSJzM6iCpXsOwjpg==" spinCount="100000" sheet="1" objects="1" scenarios="1" selectLockedCells="1"/>
  <mergeCells count="45">
    <mergeCell ref="B5:B7"/>
    <mergeCell ref="B36:B38"/>
    <mergeCell ref="B92:B94"/>
    <mergeCell ref="B114:B116"/>
    <mergeCell ref="B45:B47"/>
    <mergeCell ref="B22:B24"/>
    <mergeCell ref="B11:B13"/>
    <mergeCell ref="B8:B10"/>
    <mergeCell ref="B78:B80"/>
    <mergeCell ref="B108:B110"/>
    <mergeCell ref="B55:B57"/>
    <mergeCell ref="B84:B86"/>
    <mergeCell ref="B89:B91"/>
    <mergeCell ref="B154:B156"/>
    <mergeCell ref="B64:B66"/>
    <mergeCell ref="B95:B97"/>
    <mergeCell ref="B25:B27"/>
    <mergeCell ref="B125:B127"/>
    <mergeCell ref="B131:B133"/>
    <mergeCell ref="B31:B33"/>
    <mergeCell ref="B75:B77"/>
    <mergeCell ref="B81:B83"/>
    <mergeCell ref="B72:B74"/>
    <mergeCell ref="B134:B136"/>
    <mergeCell ref="B151:B153"/>
    <mergeCell ref="B148:B150"/>
    <mergeCell ref="B137:B139"/>
    <mergeCell ref="B128:B130"/>
    <mergeCell ref="B142:B144"/>
    <mergeCell ref="B2:B4"/>
    <mergeCell ref="B117:B119"/>
    <mergeCell ref="B111:B113"/>
    <mergeCell ref="B42:B44"/>
    <mergeCell ref="B145:B147"/>
    <mergeCell ref="B58:B60"/>
    <mergeCell ref="B101:B103"/>
    <mergeCell ref="B67:B69"/>
    <mergeCell ref="B61:B63"/>
    <mergeCell ref="B39:B41"/>
    <mergeCell ref="B48:B50"/>
    <mergeCell ref="B120:B122"/>
    <mergeCell ref="B14:B16"/>
    <mergeCell ref="B98:B100"/>
    <mergeCell ref="B19:B21"/>
    <mergeCell ref="B28:B30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>
    <tabColor theme="0" tint="-0.249977111117893"/>
  </sheetPr>
  <dimension ref="A1:G70"/>
  <sheetViews>
    <sheetView zoomScale="70" zoomScaleNormal="70" workbookViewId="0">
      <selection activeCell="C16" sqref="C16"/>
    </sheetView>
  </sheetViews>
  <sheetFormatPr defaultColWidth="12.7265625" defaultRowHeight="12.5" x14ac:dyDescent="0.25"/>
  <cols>
    <col min="1" max="1" width="44.81640625" style="104" customWidth="1"/>
    <col min="2" max="2" width="44.453125" style="104" customWidth="1"/>
    <col min="3" max="3" width="17.7265625" style="104" customWidth="1"/>
    <col min="4" max="4" width="17.54296875" style="104" customWidth="1"/>
    <col min="5" max="5" width="17.26953125" style="104" customWidth="1"/>
    <col min="6" max="6" width="15" style="104" customWidth="1"/>
    <col min="7" max="7" width="13.7265625" style="104" customWidth="1"/>
    <col min="8" max="16384" width="12.7265625" style="104"/>
  </cols>
  <sheetData>
    <row r="1" spans="1:7" s="119" customFormat="1" ht="14.25" customHeight="1" x14ac:dyDescent="0.3">
      <c r="A1" s="118" t="s">
        <v>307</v>
      </c>
    </row>
    <row r="2" spans="1:7" ht="14.25" customHeight="1" x14ac:dyDescent="0.3">
      <c r="A2" s="120" t="s">
        <v>237</v>
      </c>
      <c r="B2" s="105"/>
      <c r="C2" s="103" t="s">
        <v>97</v>
      </c>
      <c r="D2" s="103" t="s">
        <v>93</v>
      </c>
      <c r="E2" s="103" t="s">
        <v>96</v>
      </c>
      <c r="F2" s="103" t="s">
        <v>94</v>
      </c>
      <c r="G2" s="103" t="s">
        <v>95</v>
      </c>
    </row>
    <row r="3" spans="1:7" ht="14.25" customHeight="1" x14ac:dyDescent="0.25">
      <c r="B3" s="115" t="s">
        <v>294</v>
      </c>
      <c r="C3" s="116" t="s">
        <v>8</v>
      </c>
      <c r="D3" s="116">
        <v>45</v>
      </c>
      <c r="E3" s="116">
        <v>361.6</v>
      </c>
      <c r="F3" s="116">
        <v>174.7</v>
      </c>
      <c r="G3" s="116">
        <v>174.7</v>
      </c>
    </row>
    <row r="4" spans="1:7" ht="14.25" customHeight="1" x14ac:dyDescent="0.3">
      <c r="A4" s="103"/>
      <c r="B4" s="115" t="s">
        <v>280</v>
      </c>
      <c r="C4" s="116">
        <v>1.0249999999999999</v>
      </c>
      <c r="D4" s="116">
        <v>1.0249999999999999</v>
      </c>
      <c r="E4" s="116">
        <v>1.0249999999999999</v>
      </c>
      <c r="F4" s="116">
        <v>1.0249999999999999</v>
      </c>
      <c r="G4" s="116">
        <v>1.0249999999999999</v>
      </c>
    </row>
    <row r="5" spans="1:7" ht="14.25" customHeight="1" x14ac:dyDescent="0.3">
      <c r="A5" s="121" t="s">
        <v>277</v>
      </c>
    </row>
    <row r="6" spans="1:7" ht="14.25" customHeight="1" x14ac:dyDescent="0.25">
      <c r="B6" s="115" t="s">
        <v>222</v>
      </c>
      <c r="C6" s="116">
        <v>1</v>
      </c>
      <c r="D6" s="116">
        <v>1</v>
      </c>
      <c r="E6" s="116">
        <v>0.89</v>
      </c>
      <c r="F6" s="116">
        <v>0.89</v>
      </c>
      <c r="G6" s="116">
        <v>1</v>
      </c>
    </row>
    <row r="7" spans="1:7" ht="14.25" customHeight="1" x14ac:dyDescent="0.25">
      <c r="B7" s="115" t="s">
        <v>213</v>
      </c>
      <c r="C7" s="116">
        <v>1</v>
      </c>
      <c r="D7" s="116">
        <v>1</v>
      </c>
      <c r="E7" s="116">
        <v>0.88</v>
      </c>
      <c r="F7" s="116">
        <v>0.88</v>
      </c>
      <c r="G7" s="116">
        <v>1</v>
      </c>
    </row>
    <row r="8" spans="1:7" ht="14.25" customHeight="1" x14ac:dyDescent="0.25">
      <c r="B8" s="115" t="s">
        <v>196</v>
      </c>
      <c r="C8" s="116">
        <v>1</v>
      </c>
      <c r="D8" s="116">
        <v>1</v>
      </c>
      <c r="E8" s="116">
        <v>1</v>
      </c>
      <c r="F8" s="116">
        <v>0.80800000000000005</v>
      </c>
      <c r="G8" s="116">
        <v>0.80800000000000005</v>
      </c>
    </row>
    <row r="9" spans="1:7" ht="14.25" customHeight="1" x14ac:dyDescent="0.25">
      <c r="B9" s="115" t="s">
        <v>233</v>
      </c>
      <c r="C9" s="116">
        <v>1</v>
      </c>
      <c r="D9" s="116">
        <v>1</v>
      </c>
      <c r="E9" s="116">
        <v>0.88</v>
      </c>
      <c r="F9" s="116">
        <v>0.88</v>
      </c>
      <c r="G9" s="116">
        <v>1</v>
      </c>
    </row>
    <row r="10" spans="1:7" ht="14.25" customHeight="1" x14ac:dyDescent="0.25">
      <c r="B10" s="115" t="s">
        <v>232</v>
      </c>
      <c r="C10" s="116">
        <v>1</v>
      </c>
      <c r="D10" s="116">
        <v>1</v>
      </c>
      <c r="E10" s="116">
        <v>1</v>
      </c>
      <c r="F10" s="116">
        <v>1</v>
      </c>
      <c r="G10" s="116">
        <v>1</v>
      </c>
    </row>
    <row r="11" spans="1:7" ht="14.25" customHeight="1" x14ac:dyDescent="0.25">
      <c r="B11" s="115"/>
      <c r="C11" s="115"/>
      <c r="D11" s="115"/>
      <c r="E11" s="115"/>
      <c r="F11" s="115"/>
      <c r="G11" s="115"/>
    </row>
    <row r="12" spans="1:7" s="119" customFormat="1" ht="14.25" customHeight="1" x14ac:dyDescent="0.3">
      <c r="A12" s="118" t="s">
        <v>301</v>
      </c>
    </row>
    <row r="13" spans="1:7" ht="14.25" customHeight="1" x14ac:dyDescent="0.3">
      <c r="A13" s="121"/>
      <c r="B13" s="115" t="s">
        <v>211</v>
      </c>
      <c r="C13" s="116">
        <v>1</v>
      </c>
      <c r="D13" s="116">
        <v>1.39</v>
      </c>
      <c r="E13" s="116">
        <v>1</v>
      </c>
      <c r="F13" s="116">
        <v>1</v>
      </c>
      <c r="G13" s="116">
        <v>1</v>
      </c>
    </row>
    <row r="14" spans="1:7" ht="14.25" customHeight="1" x14ac:dyDescent="0.3">
      <c r="A14" s="121"/>
      <c r="B14" s="112"/>
    </row>
    <row r="15" spans="1:7" s="119" customFormat="1" ht="14.25" customHeight="1" x14ac:dyDescent="0.3">
      <c r="A15" s="118" t="s">
        <v>308</v>
      </c>
    </row>
    <row r="16" spans="1:7" ht="14.25" customHeight="1" x14ac:dyDescent="0.3">
      <c r="A16" s="120" t="s">
        <v>311</v>
      </c>
      <c r="B16" s="115" t="s">
        <v>288</v>
      </c>
      <c r="C16" s="116">
        <v>1.024</v>
      </c>
      <c r="D16" s="116">
        <v>1.024</v>
      </c>
      <c r="E16" s="116">
        <v>1.024</v>
      </c>
      <c r="F16" s="116">
        <v>1.024</v>
      </c>
      <c r="G16" s="116">
        <v>1.024</v>
      </c>
    </row>
    <row r="17" spans="1:7" ht="14.25" customHeight="1" x14ac:dyDescent="0.3">
      <c r="A17" s="103"/>
      <c r="B17" s="115" t="s">
        <v>285</v>
      </c>
      <c r="C17" s="116">
        <v>1.024</v>
      </c>
      <c r="D17" s="116">
        <v>1.024</v>
      </c>
      <c r="E17" s="116">
        <v>1.024</v>
      </c>
      <c r="F17" s="116">
        <v>1.024</v>
      </c>
      <c r="G17" s="116">
        <v>1.024</v>
      </c>
    </row>
    <row r="18" spans="1:7" ht="14.25" customHeight="1" x14ac:dyDescent="0.3">
      <c r="A18" s="120" t="s">
        <v>124</v>
      </c>
      <c r="B18" s="115" t="s">
        <v>291</v>
      </c>
      <c r="C18" s="116">
        <v>1</v>
      </c>
      <c r="D18" s="116">
        <v>1</v>
      </c>
      <c r="E18" s="116">
        <v>1</v>
      </c>
      <c r="F18" s="116">
        <v>1</v>
      </c>
      <c r="G18" s="116">
        <v>1</v>
      </c>
    </row>
    <row r="19" spans="1:7" ht="14.25" customHeight="1" x14ac:dyDescent="0.25"/>
    <row r="20" spans="1:7" s="119" customFormat="1" ht="14.25" customHeight="1" x14ac:dyDescent="0.3">
      <c r="A20" s="118" t="s">
        <v>304</v>
      </c>
    </row>
    <row r="21" spans="1:7" s="121" customFormat="1" ht="14.25" customHeight="1" x14ac:dyDescent="0.3">
      <c r="C21" s="122" t="s">
        <v>87</v>
      </c>
      <c r="D21" s="122" t="s">
        <v>88</v>
      </c>
      <c r="E21" s="122" t="s">
        <v>89</v>
      </c>
      <c r="F21" s="122" t="s">
        <v>90</v>
      </c>
    </row>
    <row r="22" spans="1:7" x14ac:dyDescent="0.25">
      <c r="B22" s="115" t="s">
        <v>199</v>
      </c>
      <c r="C22" s="116">
        <v>1.52</v>
      </c>
      <c r="D22" s="116">
        <v>1</v>
      </c>
      <c r="E22" s="116">
        <v>1</v>
      </c>
      <c r="F22" s="116">
        <v>1</v>
      </c>
    </row>
    <row r="24" spans="1:7" s="117" customFormat="1" ht="13" x14ac:dyDescent="0.3">
      <c r="A24" s="117" t="s">
        <v>266</v>
      </c>
    </row>
    <row r="25" spans="1:7" ht="13" x14ac:dyDescent="0.3">
      <c r="A25" s="118" t="s">
        <v>307</v>
      </c>
      <c r="B25" s="119"/>
      <c r="C25" s="119"/>
      <c r="D25" s="119"/>
      <c r="E25" s="119"/>
      <c r="F25" s="119"/>
      <c r="G25" s="119"/>
    </row>
    <row r="26" spans="1:7" ht="13" x14ac:dyDescent="0.3">
      <c r="A26" s="120" t="s">
        <v>237</v>
      </c>
      <c r="B26" s="105"/>
      <c r="C26" s="103" t="s">
        <v>97</v>
      </c>
      <c r="D26" s="103" t="s">
        <v>93</v>
      </c>
      <c r="E26" s="103" t="s">
        <v>96</v>
      </c>
      <c r="F26" s="103" t="s">
        <v>94</v>
      </c>
      <c r="G26" s="103" t="s">
        <v>95</v>
      </c>
    </row>
    <row r="27" spans="1:7" x14ac:dyDescent="0.25">
      <c r="B27" s="115" t="s">
        <v>295</v>
      </c>
      <c r="C27" s="116" t="s">
        <v>8</v>
      </c>
      <c r="D27" s="116">
        <f t="shared" ref="D27:G27" si="0">D3*0.9</f>
        <v>40.5</v>
      </c>
      <c r="E27" s="116">
        <f t="shared" si="0"/>
        <v>325.44000000000005</v>
      </c>
      <c r="F27" s="116">
        <f t="shared" si="0"/>
        <v>157.22999999999999</v>
      </c>
      <c r="G27" s="116">
        <f t="shared" si="0"/>
        <v>157.22999999999999</v>
      </c>
    </row>
    <row r="28" spans="1:7" ht="13" x14ac:dyDescent="0.3">
      <c r="A28" s="103"/>
      <c r="B28" s="115" t="s">
        <v>281</v>
      </c>
      <c r="C28" s="116">
        <v>1.014</v>
      </c>
      <c r="D28" s="116">
        <v>1.014</v>
      </c>
      <c r="E28" s="116">
        <v>1.014</v>
      </c>
      <c r="F28" s="116">
        <v>1.014</v>
      </c>
      <c r="G28" s="116">
        <v>1.014</v>
      </c>
    </row>
    <row r="29" spans="1:7" ht="13" x14ac:dyDescent="0.3">
      <c r="A29" s="121" t="s">
        <v>278</v>
      </c>
    </row>
    <row r="30" spans="1:7" x14ac:dyDescent="0.25">
      <c r="B30" s="115" t="s">
        <v>309</v>
      </c>
      <c r="C30" s="116">
        <f>IF(C6=1,1,C6*0.9)</f>
        <v>1</v>
      </c>
      <c r="D30" s="116">
        <f t="shared" ref="D30:G30" si="1">IF(D6=1,1,D6*0.9)</f>
        <v>1</v>
      </c>
      <c r="E30" s="116">
        <f>E6*0.9</f>
        <v>0.80100000000000005</v>
      </c>
      <c r="F30" s="116">
        <f>F6*0.9</f>
        <v>0.80100000000000005</v>
      </c>
      <c r="G30" s="116">
        <f t="shared" si="1"/>
        <v>1</v>
      </c>
    </row>
    <row r="31" spans="1:7" x14ac:dyDescent="0.25">
      <c r="B31" s="115" t="s">
        <v>299</v>
      </c>
      <c r="C31" s="116">
        <f>IF(C7=1,1,C7*0.9)</f>
        <v>1</v>
      </c>
      <c r="D31" s="116">
        <f>IF(D7=1,1,D7*0.9)</f>
        <v>1</v>
      </c>
      <c r="E31" s="116">
        <v>0.85</v>
      </c>
      <c r="F31" s="116">
        <v>0.85</v>
      </c>
      <c r="G31" s="116">
        <f>IF(G7=1,1,G7*0.9)</f>
        <v>1</v>
      </c>
    </row>
    <row r="32" spans="1:7" x14ac:dyDescent="0.25">
      <c r="B32" s="115" t="s">
        <v>27</v>
      </c>
      <c r="C32" s="116">
        <f>IF(C8=1,1,C8*0.9)</f>
        <v>1</v>
      </c>
      <c r="D32" s="116">
        <f>IF(D8=1,1,D8*0.9)</f>
        <v>1</v>
      </c>
      <c r="E32" s="116">
        <v>1</v>
      </c>
      <c r="F32" s="90">
        <v>0.39500000000000002</v>
      </c>
      <c r="G32" s="90">
        <v>0.39500000000000002</v>
      </c>
    </row>
    <row r="33" spans="1:7" x14ac:dyDescent="0.25">
      <c r="B33" s="115" t="s">
        <v>314</v>
      </c>
      <c r="C33" s="116">
        <f t="shared" ref="C33:G33" si="2">IF(C9=1,1,C9*0.9)</f>
        <v>1</v>
      </c>
      <c r="D33" s="116">
        <f t="shared" si="2"/>
        <v>1</v>
      </c>
      <c r="E33" s="116">
        <v>0.85</v>
      </c>
      <c r="F33" s="116">
        <v>0.85</v>
      </c>
      <c r="G33" s="116">
        <f t="shared" si="2"/>
        <v>1</v>
      </c>
    </row>
    <row r="34" spans="1:7" x14ac:dyDescent="0.25">
      <c r="B34" s="115" t="s">
        <v>312</v>
      </c>
      <c r="C34" s="116">
        <f>IF(C10=1,1,C10*0.9)</f>
        <v>1</v>
      </c>
      <c r="D34" s="116">
        <f>IF(D10=1,1,D10*0.9)</f>
        <v>1</v>
      </c>
      <c r="E34" s="116">
        <f>IF(E10=1,1,E10*0.9)</f>
        <v>1</v>
      </c>
      <c r="F34" s="116">
        <f>IF(F10=1,1,F10*0.9)</f>
        <v>1</v>
      </c>
      <c r="G34" s="116">
        <f>IF(G10=1,1,G10*0.9)</f>
        <v>1</v>
      </c>
    </row>
    <row r="35" spans="1:7" x14ac:dyDescent="0.25">
      <c r="B35" s="115"/>
      <c r="C35" s="115"/>
      <c r="D35" s="115"/>
      <c r="E35" s="115"/>
      <c r="F35" s="115"/>
      <c r="G35" s="115"/>
    </row>
    <row r="36" spans="1:7" ht="13" x14ac:dyDescent="0.3">
      <c r="A36" s="118" t="s">
        <v>302</v>
      </c>
      <c r="B36" s="119"/>
      <c r="C36" s="119"/>
      <c r="D36" s="119"/>
      <c r="E36" s="119"/>
      <c r="F36" s="119"/>
      <c r="G36" s="119"/>
    </row>
    <row r="37" spans="1:7" ht="13" x14ac:dyDescent="0.3">
      <c r="A37" s="121"/>
      <c r="B37" s="115" t="s">
        <v>297</v>
      </c>
      <c r="C37" s="116">
        <v>1</v>
      </c>
      <c r="D37" s="116">
        <v>1.1100000000000001</v>
      </c>
      <c r="E37" s="116">
        <v>1</v>
      </c>
      <c r="F37" s="116">
        <v>1</v>
      </c>
      <c r="G37" s="116">
        <v>1</v>
      </c>
    </row>
    <row r="38" spans="1:7" ht="13" x14ac:dyDescent="0.3">
      <c r="A38" s="121"/>
      <c r="B38" s="112"/>
    </row>
    <row r="39" spans="1:7" ht="13" x14ac:dyDescent="0.3">
      <c r="A39" s="118" t="s">
        <v>308</v>
      </c>
      <c r="B39" s="119"/>
      <c r="C39" s="119"/>
      <c r="D39" s="119"/>
      <c r="E39" s="119"/>
      <c r="F39" s="119"/>
      <c r="G39" s="119"/>
    </row>
    <row r="40" spans="1:7" ht="13" x14ac:dyDescent="0.3">
      <c r="A40" s="120" t="s">
        <v>311</v>
      </c>
      <c r="B40" s="115" t="s">
        <v>289</v>
      </c>
      <c r="C40" s="116">
        <v>1.016</v>
      </c>
      <c r="D40" s="116">
        <v>1.016</v>
      </c>
      <c r="E40" s="116">
        <v>1.016</v>
      </c>
      <c r="F40" s="116">
        <v>1.016</v>
      </c>
      <c r="G40" s="116">
        <v>1.016</v>
      </c>
    </row>
    <row r="41" spans="1:7" ht="13" x14ac:dyDescent="0.3">
      <c r="A41" s="103"/>
      <c r="B41" s="115" t="s">
        <v>286</v>
      </c>
      <c r="C41" s="116">
        <v>1.016</v>
      </c>
      <c r="D41" s="116">
        <v>1.016</v>
      </c>
      <c r="E41" s="116">
        <v>1.016</v>
      </c>
      <c r="F41" s="116">
        <v>1.016</v>
      </c>
      <c r="G41" s="116">
        <v>1.016</v>
      </c>
    </row>
    <row r="42" spans="1:7" ht="13" x14ac:dyDescent="0.3">
      <c r="A42" s="120" t="s">
        <v>124</v>
      </c>
      <c r="B42" s="115" t="s">
        <v>292</v>
      </c>
      <c r="C42" s="116">
        <f t="shared" ref="C42:G42" si="3">IF(C18=1,1,C18*0.9)</f>
        <v>1</v>
      </c>
      <c r="D42" s="116">
        <f t="shared" si="3"/>
        <v>1</v>
      </c>
      <c r="E42" s="116">
        <f t="shared" si="3"/>
        <v>1</v>
      </c>
      <c r="F42" s="116">
        <f t="shared" si="3"/>
        <v>1</v>
      </c>
      <c r="G42" s="116">
        <f t="shared" si="3"/>
        <v>1</v>
      </c>
    </row>
    <row r="44" spans="1:7" ht="13" x14ac:dyDescent="0.3">
      <c r="A44" s="118" t="s">
        <v>305</v>
      </c>
      <c r="B44" s="119"/>
      <c r="C44" s="119"/>
      <c r="D44" s="119"/>
      <c r="E44" s="119"/>
      <c r="F44" s="119"/>
      <c r="G44" s="119"/>
    </row>
    <row r="45" spans="1:7" ht="13" x14ac:dyDescent="0.3">
      <c r="A45" s="121"/>
      <c r="B45" s="121"/>
      <c r="C45" s="122" t="s">
        <v>87</v>
      </c>
      <c r="D45" s="122" t="s">
        <v>88</v>
      </c>
      <c r="E45" s="122" t="s">
        <v>89</v>
      </c>
      <c r="F45" s="122" t="s">
        <v>90</v>
      </c>
      <c r="G45" s="121"/>
    </row>
    <row r="46" spans="1:7" x14ac:dyDescent="0.25">
      <c r="B46" s="115" t="s">
        <v>283</v>
      </c>
      <c r="C46" s="116">
        <f>C22*0.9</f>
        <v>1.3680000000000001</v>
      </c>
      <c r="D46" s="116">
        <v>1</v>
      </c>
      <c r="E46" s="116">
        <v>1</v>
      </c>
      <c r="F46" s="116">
        <v>1</v>
      </c>
    </row>
    <row r="48" spans="1:7" s="117" customFormat="1" ht="13" x14ac:dyDescent="0.3">
      <c r="A48" s="117" t="s">
        <v>276</v>
      </c>
    </row>
    <row r="49" spans="1:7" ht="13" x14ac:dyDescent="0.3">
      <c r="A49" s="118" t="s">
        <v>307</v>
      </c>
      <c r="B49" s="119"/>
      <c r="C49" s="119"/>
      <c r="D49" s="119"/>
      <c r="E49" s="119"/>
      <c r="F49" s="119"/>
      <c r="G49" s="119"/>
    </row>
    <row r="50" spans="1:7" ht="13" x14ac:dyDescent="0.3">
      <c r="A50" s="120" t="s">
        <v>237</v>
      </c>
      <c r="B50" s="105"/>
      <c r="C50" s="103" t="s">
        <v>97</v>
      </c>
      <c r="D50" s="103" t="s">
        <v>93</v>
      </c>
      <c r="E50" s="103" t="s">
        <v>96</v>
      </c>
      <c r="F50" s="103" t="s">
        <v>94</v>
      </c>
      <c r="G50" s="103" t="s">
        <v>95</v>
      </c>
    </row>
    <row r="51" spans="1:7" x14ac:dyDescent="0.25">
      <c r="B51" s="115" t="s">
        <v>296</v>
      </c>
      <c r="C51" s="116" t="s">
        <v>8</v>
      </c>
      <c r="D51" s="116">
        <f t="shared" ref="D51:G51" si="4">D3*1.05</f>
        <v>47.25</v>
      </c>
      <c r="E51" s="116">
        <f t="shared" si="4"/>
        <v>379.68000000000006</v>
      </c>
      <c r="F51" s="116">
        <f t="shared" si="4"/>
        <v>183.435</v>
      </c>
      <c r="G51" s="116">
        <f t="shared" si="4"/>
        <v>183.435</v>
      </c>
    </row>
    <row r="52" spans="1:7" ht="13" x14ac:dyDescent="0.3">
      <c r="A52" s="103"/>
      <c r="B52" s="115" t="s">
        <v>282</v>
      </c>
      <c r="C52" s="116">
        <v>1.0349999999999999</v>
      </c>
      <c r="D52" s="116">
        <v>1.0349999999999999</v>
      </c>
      <c r="E52" s="116">
        <v>1.0349999999999999</v>
      </c>
      <c r="F52" s="116">
        <v>1.0349999999999999</v>
      </c>
      <c r="G52" s="116">
        <v>1.0349999999999999</v>
      </c>
    </row>
    <row r="53" spans="1:7" ht="13" x14ac:dyDescent="0.3">
      <c r="A53" s="121" t="s">
        <v>279</v>
      </c>
    </row>
    <row r="54" spans="1:7" x14ac:dyDescent="0.25">
      <c r="B54" s="115" t="s">
        <v>310</v>
      </c>
      <c r="C54" s="116">
        <f>IF(C6=1,1,C6*1.1)</f>
        <v>1</v>
      </c>
      <c r="D54" s="116">
        <f t="shared" ref="D54:G54" si="5">IF(D6=1,1,D6*1.1)</f>
        <v>1</v>
      </c>
      <c r="E54" s="116">
        <f>E6*1.05</f>
        <v>0.93450000000000011</v>
      </c>
      <c r="F54" s="116">
        <f>F6*1.05</f>
        <v>0.93450000000000011</v>
      </c>
      <c r="G54" s="116">
        <f t="shared" si="5"/>
        <v>1</v>
      </c>
    </row>
    <row r="55" spans="1:7" x14ac:dyDescent="0.25">
      <c r="B55" s="115" t="s">
        <v>300</v>
      </c>
      <c r="C55" s="116">
        <f>IF(C7=1,1,C7*1.1)</f>
        <v>1</v>
      </c>
      <c r="D55" s="116">
        <f>IF(D7=1,1,D7*1.1)</f>
        <v>1</v>
      </c>
      <c r="E55" s="116">
        <v>0.91</v>
      </c>
      <c r="F55" s="116">
        <v>0.91</v>
      </c>
      <c r="G55" s="116">
        <f>IF(G7=1,1,G7*1.1)</f>
        <v>1</v>
      </c>
    </row>
    <row r="56" spans="1:7" x14ac:dyDescent="0.25">
      <c r="B56" s="115" t="s">
        <v>28</v>
      </c>
      <c r="C56" s="116">
        <f>IF(C8=1,1,C8*1.1)</f>
        <v>1</v>
      </c>
      <c r="D56" s="116">
        <f>IF(D8=1,1,D8*1.1)</f>
        <v>1</v>
      </c>
      <c r="E56" s="90">
        <v>1</v>
      </c>
      <c r="F56" s="90">
        <v>0.95599999999999996</v>
      </c>
      <c r="G56" s="90">
        <v>0.95599999999999996</v>
      </c>
    </row>
    <row r="57" spans="1:7" x14ac:dyDescent="0.25">
      <c r="B57" s="115" t="s">
        <v>315</v>
      </c>
      <c r="C57" s="116">
        <f t="shared" ref="C57:G58" si="6">IF(C9=1,1,C9*1.1)</f>
        <v>1</v>
      </c>
      <c r="D57" s="116">
        <f t="shared" si="6"/>
        <v>1</v>
      </c>
      <c r="E57" s="116">
        <v>0.91</v>
      </c>
      <c r="F57" s="116">
        <v>0.91</v>
      </c>
      <c r="G57" s="116">
        <f t="shared" si="6"/>
        <v>1</v>
      </c>
    </row>
    <row r="58" spans="1:7" x14ac:dyDescent="0.25">
      <c r="B58" s="115" t="s">
        <v>313</v>
      </c>
      <c r="C58" s="116">
        <f t="shared" si="6"/>
        <v>1</v>
      </c>
      <c r="D58" s="116">
        <f t="shared" si="6"/>
        <v>1</v>
      </c>
      <c r="E58" s="116">
        <f t="shared" si="6"/>
        <v>1</v>
      </c>
      <c r="F58" s="116">
        <f t="shared" si="6"/>
        <v>1</v>
      </c>
      <c r="G58" s="116">
        <f t="shared" si="6"/>
        <v>1</v>
      </c>
    </row>
    <row r="59" spans="1:7" x14ac:dyDescent="0.25">
      <c r="B59" s="115"/>
      <c r="C59" s="115"/>
      <c r="D59" s="115"/>
      <c r="E59" s="115"/>
      <c r="F59" s="115"/>
      <c r="G59" s="115"/>
    </row>
    <row r="60" spans="1:7" ht="13" x14ac:dyDescent="0.3">
      <c r="A60" s="118" t="s">
        <v>303</v>
      </c>
      <c r="B60" s="119"/>
      <c r="C60" s="119"/>
      <c r="D60" s="119"/>
      <c r="E60" s="119"/>
      <c r="F60" s="119"/>
      <c r="G60" s="119"/>
    </row>
    <row r="61" spans="1:7" ht="13" x14ac:dyDescent="0.3">
      <c r="A61" s="121"/>
      <c r="B61" s="115" t="s">
        <v>298</v>
      </c>
      <c r="C61" s="116">
        <v>1</v>
      </c>
      <c r="D61" s="116">
        <v>1.74</v>
      </c>
      <c r="E61" s="116">
        <v>1</v>
      </c>
      <c r="F61" s="116">
        <v>1</v>
      </c>
      <c r="G61" s="116">
        <v>1</v>
      </c>
    </row>
    <row r="62" spans="1:7" ht="13" x14ac:dyDescent="0.3">
      <c r="A62" s="121"/>
      <c r="B62" s="112"/>
    </row>
    <row r="63" spans="1:7" ht="13" x14ac:dyDescent="0.3">
      <c r="A63" s="118" t="s">
        <v>308</v>
      </c>
      <c r="B63" s="119"/>
      <c r="C63" s="119"/>
      <c r="D63" s="119"/>
      <c r="E63" s="119"/>
      <c r="F63" s="119"/>
      <c r="G63" s="119"/>
    </row>
    <row r="64" spans="1:7" ht="13" x14ac:dyDescent="0.3">
      <c r="A64" s="120" t="s">
        <v>311</v>
      </c>
      <c r="B64" s="115" t="s">
        <v>290</v>
      </c>
      <c r="C64" s="116">
        <v>1.0309999999999999</v>
      </c>
      <c r="D64" s="116">
        <v>1.0309999999999999</v>
      </c>
      <c r="E64" s="116">
        <v>1.0309999999999999</v>
      </c>
      <c r="F64" s="116">
        <v>1.0309999999999999</v>
      </c>
      <c r="G64" s="116">
        <v>1.0309999999999999</v>
      </c>
    </row>
    <row r="65" spans="1:7" ht="13" x14ac:dyDescent="0.3">
      <c r="A65" s="103"/>
      <c r="B65" s="115" t="s">
        <v>287</v>
      </c>
      <c r="C65" s="116">
        <v>1.0309999999999999</v>
      </c>
      <c r="D65" s="116">
        <v>1.0309999999999999</v>
      </c>
      <c r="E65" s="116">
        <v>1.0309999999999999</v>
      </c>
      <c r="F65" s="116">
        <v>1.0309999999999999</v>
      </c>
      <c r="G65" s="116">
        <v>1.0309999999999999</v>
      </c>
    </row>
    <row r="66" spans="1:7" ht="13" x14ac:dyDescent="0.3">
      <c r="A66" s="120" t="s">
        <v>124</v>
      </c>
      <c r="B66" s="115" t="s">
        <v>293</v>
      </c>
      <c r="C66" s="116">
        <f t="shared" ref="C66:G66" si="7">IF(C18=1,1,C18*1.1)</f>
        <v>1</v>
      </c>
      <c r="D66" s="116">
        <f t="shared" si="7"/>
        <v>1</v>
      </c>
      <c r="E66" s="116">
        <f t="shared" si="7"/>
        <v>1</v>
      </c>
      <c r="F66" s="116">
        <f t="shared" si="7"/>
        <v>1</v>
      </c>
      <c r="G66" s="116">
        <f t="shared" si="7"/>
        <v>1</v>
      </c>
    </row>
    <row r="68" spans="1:7" ht="13" x14ac:dyDescent="0.3">
      <c r="A68" s="118" t="s">
        <v>306</v>
      </c>
      <c r="B68" s="119"/>
      <c r="C68" s="119"/>
      <c r="D68" s="119"/>
      <c r="E68" s="119"/>
      <c r="F68" s="119"/>
      <c r="G68" s="119"/>
    </row>
    <row r="69" spans="1:7" ht="13" x14ac:dyDescent="0.3">
      <c r="A69" s="121"/>
      <c r="B69" s="121"/>
      <c r="C69" s="122" t="s">
        <v>87</v>
      </c>
      <c r="D69" s="122" t="s">
        <v>88</v>
      </c>
      <c r="E69" s="122" t="s">
        <v>89</v>
      </c>
      <c r="F69" s="122" t="s">
        <v>90</v>
      </c>
      <c r="G69" s="121"/>
    </row>
    <row r="70" spans="1:7" x14ac:dyDescent="0.25">
      <c r="B70" s="115" t="s">
        <v>284</v>
      </c>
      <c r="C70" s="116">
        <f>C22*1.1</f>
        <v>1.6720000000000002</v>
      </c>
      <c r="D70" s="116">
        <v>1</v>
      </c>
      <c r="E70" s="116">
        <v>1</v>
      </c>
      <c r="F70" s="116">
        <v>1</v>
      </c>
    </row>
  </sheetData>
  <sheetProtection algorithmName="SHA-512" hashValue="O4+V4mJEKez4z1lBsHCLDGhpELTrexIHg2FrDeNPFcW3O/AccDRE5Sg0p7vFCdau3q940SsNzORv5wrnrxT3Aw==" saltValue="ECHeI+ZCkQM+fzAdptya2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1">
    <tabColor theme="0" tint="-0.249977111117893"/>
  </sheetPr>
  <dimension ref="A1:F49"/>
  <sheetViews>
    <sheetView topLeftCell="A31" zoomScale="70" zoomScaleNormal="70" workbookViewId="0">
      <selection activeCell="C19" sqref="C19"/>
    </sheetView>
  </sheetViews>
  <sheetFormatPr defaultColWidth="16.1796875" defaultRowHeight="15.75" customHeight="1" x14ac:dyDescent="0.25"/>
  <cols>
    <col min="1" max="1" width="52.26953125" style="104" customWidth="1"/>
    <col min="2" max="6" width="16.1796875" style="104"/>
    <col min="7" max="7" width="17.26953125" style="104" customWidth="1"/>
    <col min="8" max="8" width="16.1796875" style="104" customWidth="1"/>
    <col min="9" max="16384" width="16.1796875" style="104"/>
  </cols>
  <sheetData>
    <row r="1" spans="1:6" ht="15.75" customHeight="1" x14ac:dyDescent="0.3">
      <c r="A1" s="105" t="s">
        <v>192</v>
      </c>
      <c r="B1" s="103"/>
      <c r="C1" s="103" t="s">
        <v>71</v>
      </c>
      <c r="D1" s="103" t="s">
        <v>78</v>
      </c>
      <c r="E1" s="103" t="s">
        <v>70</v>
      </c>
      <c r="F1" s="105" t="s">
        <v>77</v>
      </c>
    </row>
    <row r="2" spans="1:6" ht="15.75" customHeight="1" x14ac:dyDescent="0.25">
      <c r="A2" s="115" t="s">
        <v>194</v>
      </c>
      <c r="B2" s="115" t="s">
        <v>317</v>
      </c>
      <c r="C2" s="116">
        <v>0.28999999999999998</v>
      </c>
      <c r="D2" s="116">
        <v>0.28999999999999998</v>
      </c>
      <c r="E2" s="116">
        <v>0</v>
      </c>
      <c r="F2" s="116">
        <v>0</v>
      </c>
    </row>
    <row r="3" spans="1:6" ht="15.75" customHeight="1" x14ac:dyDescent="0.25">
      <c r="A3" s="115"/>
      <c r="B3" s="115" t="s">
        <v>316</v>
      </c>
      <c r="C3" s="116">
        <v>1</v>
      </c>
      <c r="D3" s="116">
        <v>1</v>
      </c>
      <c r="E3" s="116">
        <v>1</v>
      </c>
      <c r="F3" s="116">
        <v>1</v>
      </c>
    </row>
    <row r="4" spans="1:6" ht="15.75" customHeight="1" x14ac:dyDescent="0.25">
      <c r="A4" s="115" t="s">
        <v>195</v>
      </c>
      <c r="B4" s="115" t="s">
        <v>317</v>
      </c>
      <c r="C4" s="116">
        <f>1-0.76</f>
        <v>0.24</v>
      </c>
      <c r="D4" s="116">
        <v>0</v>
      </c>
      <c r="E4" s="116">
        <f>1-0.76</f>
        <v>0.24</v>
      </c>
      <c r="F4" s="116">
        <v>0</v>
      </c>
    </row>
    <row r="5" spans="1:6" ht="15.75" customHeight="1" x14ac:dyDescent="0.25">
      <c r="A5" s="115"/>
      <c r="B5" s="115" t="s">
        <v>316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115" t="s">
        <v>207</v>
      </c>
      <c r="B6" s="115" t="s">
        <v>317</v>
      </c>
      <c r="C6" s="116">
        <v>0.61</v>
      </c>
      <c r="D6" s="116">
        <v>0.61</v>
      </c>
      <c r="E6" s="116">
        <v>0</v>
      </c>
      <c r="F6" s="116">
        <v>0</v>
      </c>
    </row>
    <row r="7" spans="1:6" ht="15.75" customHeight="1" x14ac:dyDescent="0.25">
      <c r="A7" s="115"/>
      <c r="B7" s="115" t="s">
        <v>316</v>
      </c>
      <c r="C7" s="116">
        <v>1</v>
      </c>
      <c r="D7" s="116">
        <v>1</v>
      </c>
      <c r="E7" s="116">
        <v>1</v>
      </c>
      <c r="F7" s="116">
        <v>1</v>
      </c>
    </row>
    <row r="8" spans="1:6" ht="15.75" customHeight="1" x14ac:dyDescent="0.25">
      <c r="A8" s="115" t="s">
        <v>208</v>
      </c>
      <c r="B8" s="115" t="s">
        <v>317</v>
      </c>
      <c r="C8" s="116">
        <v>0.61</v>
      </c>
      <c r="D8" s="116">
        <v>0.61</v>
      </c>
      <c r="E8" s="116">
        <v>0</v>
      </c>
      <c r="F8" s="116">
        <v>0</v>
      </c>
    </row>
    <row r="9" spans="1:6" ht="15.75" customHeight="1" x14ac:dyDescent="0.25">
      <c r="A9" s="115"/>
      <c r="B9" s="115" t="s">
        <v>316</v>
      </c>
      <c r="C9" s="116">
        <v>1</v>
      </c>
      <c r="D9" s="116">
        <v>1</v>
      </c>
      <c r="E9" s="116">
        <v>1</v>
      </c>
      <c r="F9" s="116">
        <v>1</v>
      </c>
    </row>
    <row r="10" spans="1:6" ht="15.75" customHeight="1" x14ac:dyDescent="0.25">
      <c r="A10" s="115" t="s">
        <v>209</v>
      </c>
      <c r="B10" s="115" t="s">
        <v>317</v>
      </c>
      <c r="C10" s="116">
        <v>0.35</v>
      </c>
      <c r="D10" s="116">
        <v>0.35</v>
      </c>
      <c r="E10" s="116">
        <v>0</v>
      </c>
      <c r="F10" s="116">
        <v>0</v>
      </c>
    </row>
    <row r="11" spans="1:6" ht="15.75" customHeight="1" x14ac:dyDescent="0.25">
      <c r="A11" s="115"/>
      <c r="B11" s="115" t="s">
        <v>316</v>
      </c>
      <c r="C11" s="116">
        <v>1</v>
      </c>
      <c r="D11" s="116">
        <v>1</v>
      </c>
      <c r="E11" s="116">
        <v>0</v>
      </c>
      <c r="F11" s="116">
        <v>0</v>
      </c>
    </row>
    <row r="12" spans="1:6" ht="15.75" customHeight="1" x14ac:dyDescent="0.25">
      <c r="A12" s="115" t="s">
        <v>214</v>
      </c>
      <c r="B12" s="115" t="s">
        <v>317</v>
      </c>
      <c r="C12" s="116">
        <v>0.35</v>
      </c>
      <c r="D12" s="116">
        <v>0.35</v>
      </c>
      <c r="E12" s="116">
        <v>0</v>
      </c>
      <c r="F12" s="116">
        <v>0</v>
      </c>
    </row>
    <row r="13" spans="1:6" ht="15.75" customHeight="1" x14ac:dyDescent="0.25">
      <c r="A13" s="115"/>
      <c r="B13" s="115" t="s">
        <v>316</v>
      </c>
      <c r="C13" s="116">
        <v>1</v>
      </c>
      <c r="D13" s="116">
        <v>1</v>
      </c>
      <c r="E13" s="116">
        <v>0</v>
      </c>
      <c r="F13" s="116">
        <v>0</v>
      </c>
    </row>
    <row r="14" spans="1:6" ht="15.75" customHeight="1" x14ac:dyDescent="0.25">
      <c r="A14" s="115" t="s">
        <v>220</v>
      </c>
      <c r="B14" s="115" t="s">
        <v>317</v>
      </c>
      <c r="C14" s="116">
        <f>1-0.9*0.39</f>
        <v>0.64900000000000002</v>
      </c>
      <c r="D14" s="116">
        <f>1-0.9*0.39</f>
        <v>0.64900000000000002</v>
      </c>
      <c r="E14" s="116">
        <v>0</v>
      </c>
      <c r="F14" s="116">
        <v>0</v>
      </c>
    </row>
    <row r="15" spans="1:6" ht="15.75" customHeight="1" x14ac:dyDescent="0.25">
      <c r="A15" s="115"/>
      <c r="B15" s="115" t="s">
        <v>316</v>
      </c>
      <c r="C15" s="116">
        <v>1</v>
      </c>
      <c r="D15" s="116">
        <v>1</v>
      </c>
      <c r="E15" s="116">
        <v>1</v>
      </c>
      <c r="F15" s="116">
        <v>1</v>
      </c>
    </row>
    <row r="17" spans="1:6" s="117" customFormat="1" ht="15.75" customHeight="1" x14ac:dyDescent="0.3">
      <c r="A17" s="117" t="s">
        <v>266</v>
      </c>
    </row>
    <row r="18" spans="1:6" ht="15.75" customHeight="1" x14ac:dyDescent="0.3">
      <c r="A18" s="105" t="s">
        <v>192</v>
      </c>
      <c r="B18" s="103"/>
      <c r="C18" s="103" t="s">
        <v>71</v>
      </c>
      <c r="D18" s="103" t="s">
        <v>78</v>
      </c>
      <c r="E18" s="103" t="s">
        <v>70</v>
      </c>
      <c r="F18" s="105" t="s">
        <v>77</v>
      </c>
    </row>
    <row r="19" spans="1:6" ht="15.75" customHeight="1" x14ac:dyDescent="0.25">
      <c r="A19" s="115" t="s">
        <v>194</v>
      </c>
      <c r="B19" s="115" t="s">
        <v>317</v>
      </c>
      <c r="C19" s="116">
        <f>1-0.94</f>
        <v>6.0000000000000053E-2</v>
      </c>
      <c r="D19" s="116">
        <f>1-0.94</f>
        <v>6.0000000000000053E-2</v>
      </c>
      <c r="E19" s="116">
        <f t="shared" ref="E19:F19" si="0">E2*0.9</f>
        <v>0</v>
      </c>
      <c r="F19" s="116">
        <f t="shared" si="0"/>
        <v>0</v>
      </c>
    </row>
    <row r="20" spans="1:6" ht="15.75" customHeight="1" x14ac:dyDescent="0.25">
      <c r="A20" s="115"/>
      <c r="B20" s="115" t="s">
        <v>316</v>
      </c>
      <c r="C20" s="116">
        <v>1</v>
      </c>
      <c r="D20" s="116">
        <v>1</v>
      </c>
      <c r="E20" s="116">
        <v>1</v>
      </c>
      <c r="F20" s="116">
        <v>1</v>
      </c>
    </row>
    <row r="21" spans="1:6" ht="15.75" customHeight="1" x14ac:dyDescent="0.25">
      <c r="A21" s="115" t="s">
        <v>195</v>
      </c>
      <c r="B21" s="115" t="s">
        <v>317</v>
      </c>
      <c r="C21" s="90">
        <f>1-0.97</f>
        <v>3.0000000000000027E-2</v>
      </c>
      <c r="D21" s="90">
        <v>0</v>
      </c>
      <c r="E21" s="90">
        <f>1-0.97</f>
        <v>3.0000000000000027E-2</v>
      </c>
      <c r="F21" s="90">
        <v>0</v>
      </c>
    </row>
    <row r="22" spans="1:6" ht="15.75" customHeight="1" x14ac:dyDescent="0.25">
      <c r="A22" s="115"/>
      <c r="B22" s="115" t="s">
        <v>316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115" t="s">
        <v>207</v>
      </c>
      <c r="B23" s="115" t="s">
        <v>317</v>
      </c>
      <c r="C23" s="116">
        <f>1-0.86</f>
        <v>0.14000000000000001</v>
      </c>
      <c r="D23" s="116">
        <f>1-0.86</f>
        <v>0.14000000000000001</v>
      </c>
      <c r="E23" s="116">
        <f t="shared" ref="E23:F23" si="1">E6*0.9</f>
        <v>0</v>
      </c>
      <c r="F23" s="116">
        <f t="shared" si="1"/>
        <v>0</v>
      </c>
    </row>
    <row r="24" spans="1:6" ht="15.75" customHeight="1" x14ac:dyDescent="0.25">
      <c r="A24" s="115"/>
      <c r="B24" s="115" t="s">
        <v>316</v>
      </c>
      <c r="C24" s="116">
        <v>1</v>
      </c>
      <c r="D24" s="116">
        <v>1</v>
      </c>
      <c r="E24" s="116">
        <v>1</v>
      </c>
      <c r="F24" s="116">
        <v>1</v>
      </c>
    </row>
    <row r="25" spans="1:6" ht="15.75" customHeight="1" x14ac:dyDescent="0.25">
      <c r="A25" s="115" t="s">
        <v>208</v>
      </c>
      <c r="B25" s="115" t="s">
        <v>317</v>
      </c>
      <c r="C25" s="116">
        <f>1-0.86</f>
        <v>0.14000000000000001</v>
      </c>
      <c r="D25" s="116">
        <f>1-0.86</f>
        <v>0.14000000000000001</v>
      </c>
      <c r="E25" s="116">
        <f t="shared" ref="E25:F25" si="2">E8*0.9</f>
        <v>0</v>
      </c>
      <c r="F25" s="116">
        <f t="shared" si="2"/>
        <v>0</v>
      </c>
    </row>
    <row r="26" spans="1:6" ht="15.75" customHeight="1" x14ac:dyDescent="0.25">
      <c r="A26" s="115"/>
      <c r="B26" s="115" t="s">
        <v>316</v>
      </c>
      <c r="C26" s="116">
        <v>1</v>
      </c>
      <c r="D26" s="116">
        <v>1</v>
      </c>
      <c r="E26" s="116">
        <v>1</v>
      </c>
      <c r="F26" s="116">
        <v>1</v>
      </c>
    </row>
    <row r="27" spans="1:6" ht="15.75" customHeight="1" x14ac:dyDescent="0.25">
      <c r="A27" s="115" t="s">
        <v>209</v>
      </c>
      <c r="B27" s="115" t="s">
        <v>317</v>
      </c>
      <c r="C27" s="116">
        <f>1-0.77</f>
        <v>0.22999999999999998</v>
      </c>
      <c r="D27" s="116">
        <f>1-0.77</f>
        <v>0.22999999999999998</v>
      </c>
      <c r="E27" s="116">
        <f t="shared" ref="E27:F27" si="3">E12*0.9</f>
        <v>0</v>
      </c>
      <c r="F27" s="116">
        <f t="shared" si="3"/>
        <v>0</v>
      </c>
    </row>
    <row r="28" spans="1:6" ht="15.75" customHeight="1" x14ac:dyDescent="0.25">
      <c r="A28" s="115"/>
      <c r="B28" s="115" t="s">
        <v>316</v>
      </c>
      <c r="C28" s="116">
        <v>1</v>
      </c>
      <c r="D28" s="116">
        <v>1</v>
      </c>
      <c r="E28" s="116">
        <v>1</v>
      </c>
      <c r="F28" s="116">
        <v>1</v>
      </c>
    </row>
    <row r="29" spans="1:6" ht="15.75" customHeight="1" x14ac:dyDescent="0.25">
      <c r="A29" s="115" t="s">
        <v>214</v>
      </c>
      <c r="B29" s="115" t="s">
        <v>317</v>
      </c>
      <c r="C29" s="116">
        <f>1-0.77</f>
        <v>0.22999999999999998</v>
      </c>
      <c r="D29" s="116">
        <f>1-0.77</f>
        <v>0.22999999999999998</v>
      </c>
      <c r="E29" s="116">
        <f t="shared" ref="E29:F29" si="4">E12*0.9</f>
        <v>0</v>
      </c>
      <c r="F29" s="116">
        <f t="shared" si="4"/>
        <v>0</v>
      </c>
    </row>
    <row r="30" spans="1:6" ht="15.75" customHeight="1" x14ac:dyDescent="0.25">
      <c r="A30" s="115"/>
      <c r="B30" s="115" t="s">
        <v>316</v>
      </c>
      <c r="C30" s="116">
        <v>1</v>
      </c>
      <c r="D30" s="116">
        <v>1</v>
      </c>
      <c r="E30" s="116">
        <v>1</v>
      </c>
      <c r="F30" s="116">
        <v>1</v>
      </c>
    </row>
    <row r="31" spans="1:6" ht="15.75" customHeight="1" x14ac:dyDescent="0.25">
      <c r="A31" s="115" t="s">
        <v>220</v>
      </c>
      <c r="B31" s="115" t="s">
        <v>317</v>
      </c>
      <c r="C31" s="116">
        <f>1-0.96*0.86</f>
        <v>0.1744</v>
      </c>
      <c r="D31" s="116">
        <f>1-0.96*0.86</f>
        <v>0.1744</v>
      </c>
      <c r="E31" s="116">
        <f t="shared" ref="E31:F31" si="5">E14*0.9</f>
        <v>0</v>
      </c>
      <c r="F31" s="116">
        <f t="shared" si="5"/>
        <v>0</v>
      </c>
    </row>
    <row r="32" spans="1:6" ht="15.75" customHeight="1" x14ac:dyDescent="0.25">
      <c r="A32" s="115"/>
      <c r="B32" s="115" t="s">
        <v>316</v>
      </c>
      <c r="C32" s="116">
        <v>1</v>
      </c>
      <c r="D32" s="116">
        <v>1</v>
      </c>
      <c r="E32" s="116">
        <v>1</v>
      </c>
      <c r="F32" s="116">
        <v>1</v>
      </c>
    </row>
    <row r="34" spans="1:6" s="117" customFormat="1" ht="15.75" customHeight="1" x14ac:dyDescent="0.3">
      <c r="A34" s="117" t="s">
        <v>276</v>
      </c>
    </row>
    <row r="35" spans="1:6" ht="15.75" customHeight="1" x14ac:dyDescent="0.3">
      <c r="A35" s="105" t="s">
        <v>192</v>
      </c>
      <c r="B35" s="103"/>
      <c r="C35" s="103" t="s">
        <v>71</v>
      </c>
      <c r="D35" s="103" t="s">
        <v>78</v>
      </c>
      <c r="E35" s="103" t="s">
        <v>70</v>
      </c>
      <c r="F35" s="105" t="s">
        <v>77</v>
      </c>
    </row>
    <row r="36" spans="1:6" ht="15.75" customHeight="1" x14ac:dyDescent="0.25">
      <c r="A36" s="115" t="s">
        <v>194</v>
      </c>
      <c r="B36" s="115" t="s">
        <v>317</v>
      </c>
      <c r="C36" s="116">
        <f>1-0.54</f>
        <v>0.45999999999999996</v>
      </c>
      <c r="D36" s="116">
        <f>1-0.54</f>
        <v>0.45999999999999996</v>
      </c>
      <c r="E36" s="116">
        <f t="shared" ref="E36:F36" si="6">E2*1.1</f>
        <v>0</v>
      </c>
      <c r="F36" s="116">
        <f t="shared" si="6"/>
        <v>0</v>
      </c>
    </row>
    <row r="37" spans="1:6" ht="15.75" customHeight="1" x14ac:dyDescent="0.25">
      <c r="A37" s="115"/>
      <c r="B37" s="115" t="s">
        <v>316</v>
      </c>
      <c r="C37" s="116">
        <v>1</v>
      </c>
      <c r="D37" s="116">
        <v>1</v>
      </c>
      <c r="E37" s="116">
        <v>1</v>
      </c>
      <c r="F37" s="116">
        <v>1</v>
      </c>
    </row>
    <row r="38" spans="1:6" ht="15.75" customHeight="1" x14ac:dyDescent="0.25">
      <c r="A38" s="115" t="s">
        <v>195</v>
      </c>
      <c r="B38" s="115" t="s">
        <v>317</v>
      </c>
      <c r="C38" s="90">
        <f>1-0.6</f>
        <v>0.4</v>
      </c>
      <c r="D38" s="90">
        <v>0</v>
      </c>
      <c r="E38" s="90">
        <f>1-0.6</f>
        <v>0.4</v>
      </c>
      <c r="F38" s="90">
        <v>0</v>
      </c>
    </row>
    <row r="39" spans="1:6" ht="15.75" customHeight="1" x14ac:dyDescent="0.25">
      <c r="A39" s="115"/>
      <c r="B39" s="115" t="s">
        <v>316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115" t="s">
        <v>207</v>
      </c>
      <c r="B40" s="115" t="s">
        <v>317</v>
      </c>
      <c r="C40" s="116">
        <f>1-0.17</f>
        <v>0.83</v>
      </c>
      <c r="D40" s="116">
        <f>1-0.17</f>
        <v>0.83</v>
      </c>
      <c r="E40" s="116">
        <f t="shared" ref="E40:F40" si="7">E6*1.1</f>
        <v>0</v>
      </c>
      <c r="F40" s="116">
        <f t="shared" si="7"/>
        <v>0</v>
      </c>
    </row>
    <row r="41" spans="1:6" ht="15.75" customHeight="1" x14ac:dyDescent="0.25">
      <c r="A41" s="115"/>
      <c r="B41" s="115" t="s">
        <v>316</v>
      </c>
      <c r="C41" s="116">
        <v>1</v>
      </c>
      <c r="D41" s="116">
        <v>1</v>
      </c>
      <c r="E41" s="116">
        <v>1</v>
      </c>
      <c r="F41" s="116">
        <v>1</v>
      </c>
    </row>
    <row r="42" spans="1:6" ht="15.75" customHeight="1" x14ac:dyDescent="0.25">
      <c r="A42" s="115" t="s">
        <v>208</v>
      </c>
      <c r="B42" s="115" t="s">
        <v>317</v>
      </c>
      <c r="C42" s="116">
        <f>1-0.17</f>
        <v>0.83</v>
      </c>
      <c r="D42" s="116">
        <f>1-0.17</f>
        <v>0.83</v>
      </c>
      <c r="E42" s="116">
        <f t="shared" ref="E42:F42" si="8">E8*1.1</f>
        <v>0</v>
      </c>
      <c r="F42" s="116">
        <f t="shared" si="8"/>
        <v>0</v>
      </c>
    </row>
    <row r="43" spans="1:6" ht="15.75" customHeight="1" x14ac:dyDescent="0.25">
      <c r="A43" s="115"/>
      <c r="B43" s="115" t="s">
        <v>316</v>
      </c>
      <c r="C43" s="116">
        <v>1</v>
      </c>
      <c r="D43" s="116">
        <v>1</v>
      </c>
      <c r="E43" s="116">
        <v>1</v>
      </c>
      <c r="F43" s="116">
        <v>1</v>
      </c>
    </row>
    <row r="44" spans="1:6" ht="15.75" customHeight="1" x14ac:dyDescent="0.25">
      <c r="A44" s="115" t="s">
        <v>209</v>
      </c>
      <c r="B44" s="115" t="s">
        <v>317</v>
      </c>
      <c r="C44" s="116">
        <f>1-0.55</f>
        <v>0.44999999999999996</v>
      </c>
      <c r="D44" s="116">
        <f>1-0.55</f>
        <v>0.44999999999999996</v>
      </c>
      <c r="E44" s="116">
        <f t="shared" ref="E44:F44" si="9">E10*1.1</f>
        <v>0</v>
      </c>
      <c r="F44" s="116">
        <f t="shared" si="9"/>
        <v>0</v>
      </c>
    </row>
    <row r="45" spans="1:6" ht="15.75" customHeight="1" x14ac:dyDescent="0.25">
      <c r="A45" s="115"/>
      <c r="B45" s="115" t="s">
        <v>316</v>
      </c>
      <c r="C45" s="116">
        <v>1</v>
      </c>
      <c r="D45" s="116">
        <v>1</v>
      </c>
      <c r="E45" s="116">
        <v>1</v>
      </c>
      <c r="F45" s="116">
        <v>1</v>
      </c>
    </row>
    <row r="46" spans="1:6" ht="15.75" customHeight="1" x14ac:dyDescent="0.25">
      <c r="A46" s="115" t="s">
        <v>214</v>
      </c>
      <c r="B46" s="115" t="s">
        <v>317</v>
      </c>
      <c r="C46" s="116">
        <f>1-0.55</f>
        <v>0.44999999999999996</v>
      </c>
      <c r="D46" s="116">
        <f>1-0.55</f>
        <v>0.44999999999999996</v>
      </c>
      <c r="E46" s="116">
        <f t="shared" ref="E46:F46" si="10">E12*1.1</f>
        <v>0</v>
      </c>
      <c r="F46" s="116">
        <f t="shared" si="10"/>
        <v>0</v>
      </c>
    </row>
    <row r="47" spans="1:6" ht="15.75" customHeight="1" x14ac:dyDescent="0.25">
      <c r="A47" s="115"/>
      <c r="B47" s="115" t="s">
        <v>316</v>
      </c>
      <c r="C47" s="116">
        <v>1</v>
      </c>
      <c r="D47" s="116">
        <v>1</v>
      </c>
      <c r="E47" s="116">
        <v>1</v>
      </c>
      <c r="F47" s="116">
        <v>1</v>
      </c>
    </row>
    <row r="48" spans="1:6" ht="15.75" customHeight="1" x14ac:dyDescent="0.25">
      <c r="A48" s="115" t="s">
        <v>220</v>
      </c>
      <c r="B48" s="115" t="s">
        <v>317</v>
      </c>
      <c r="C48" s="116">
        <f>1-0.84*0.17</f>
        <v>0.85719999999999996</v>
      </c>
      <c r="D48" s="116">
        <f>1-0.84*0.17</f>
        <v>0.85719999999999996</v>
      </c>
      <c r="E48" s="116">
        <f t="shared" ref="E48:F48" si="11">E14*1.1</f>
        <v>0</v>
      </c>
      <c r="F48" s="116">
        <f t="shared" si="11"/>
        <v>0</v>
      </c>
    </row>
    <row r="49" spans="1:6" ht="15.75" customHeight="1" x14ac:dyDescent="0.25">
      <c r="A49" s="115"/>
      <c r="B49" s="115" t="s">
        <v>316</v>
      </c>
      <c r="C49" s="116">
        <v>1</v>
      </c>
      <c r="D49" s="116">
        <v>1</v>
      </c>
      <c r="E49" s="116">
        <v>1</v>
      </c>
      <c r="F49" s="116">
        <v>1</v>
      </c>
    </row>
  </sheetData>
  <sheetProtection algorithmName="SHA-512" hashValue="wFRCLfPRRd1Diju9eGfiGwjcTqONrdub2n+vE4FEcQPF1I5xDGR6KbKir65T3mnd0whztbTrVBOtxQlOfTq3wQ==" saltValue="LLty+2LWNqUO0lgbpShSS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>
    <tabColor theme="0" tint="-0.249977111117893"/>
  </sheetPr>
  <dimension ref="A1:F79"/>
  <sheetViews>
    <sheetView zoomScale="85" zoomScaleNormal="85" workbookViewId="0">
      <selection activeCell="C31" sqref="C31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8" width="16.08984375" style="8" customWidth="1"/>
    <col min="9" max="16384" width="16.08984375" style="8"/>
  </cols>
  <sheetData>
    <row r="1" spans="1:6" s="68" customFormat="1" ht="18.75" customHeight="1" x14ac:dyDescent="0.3">
      <c r="A1" s="67" t="s">
        <v>320</v>
      </c>
    </row>
    <row r="2" spans="1:6" ht="15.75" customHeight="1" x14ac:dyDescent="0.3">
      <c r="B2" s="69"/>
      <c r="C2" s="26" t="s">
        <v>77</v>
      </c>
      <c r="D2" s="70" t="s">
        <v>78</v>
      </c>
      <c r="E2" s="70" t="s">
        <v>70</v>
      </c>
      <c r="F2" s="70" t="s">
        <v>71</v>
      </c>
    </row>
    <row r="3" spans="1:6" ht="15.75" customHeight="1" x14ac:dyDescent="0.3">
      <c r="A3" s="4" t="s">
        <v>327</v>
      </c>
      <c r="B3" s="14"/>
      <c r="C3" s="71"/>
      <c r="D3" s="72"/>
      <c r="E3" s="72"/>
      <c r="F3" s="72"/>
    </row>
    <row r="4" spans="1:6" ht="15.75" customHeight="1" x14ac:dyDescent="0.25">
      <c r="B4" s="5" t="s">
        <v>46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82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29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30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324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333</v>
      </c>
      <c r="C11" s="74"/>
      <c r="D11" s="75"/>
      <c r="E11" s="75"/>
      <c r="F11" s="75"/>
    </row>
    <row r="12" spans="1:6" ht="15.75" customHeight="1" x14ac:dyDescent="0.3">
      <c r="A12" s="4" t="s">
        <v>321</v>
      </c>
      <c r="C12" s="73"/>
      <c r="D12" s="64"/>
      <c r="E12" s="64"/>
      <c r="F12" s="64"/>
    </row>
    <row r="13" spans="1:6" ht="15.75" customHeight="1" x14ac:dyDescent="0.25">
      <c r="B13" s="11" t="s">
        <v>336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126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138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330</v>
      </c>
      <c r="B17" s="14"/>
      <c r="C17" s="77"/>
      <c r="D17" s="78"/>
      <c r="E17" s="78"/>
      <c r="F17" s="78"/>
    </row>
    <row r="18" spans="1:6" ht="15.75" customHeight="1" x14ac:dyDescent="0.25">
      <c r="B18" s="5" t="s">
        <v>112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116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114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110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115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117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111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113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266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320</v>
      </c>
    </row>
    <row r="29" spans="1:6" ht="15.75" customHeight="1" x14ac:dyDescent="0.3">
      <c r="B29" s="69"/>
      <c r="C29" s="26" t="s">
        <v>77</v>
      </c>
      <c r="D29" s="70" t="s">
        <v>78</v>
      </c>
      <c r="E29" s="70" t="s">
        <v>70</v>
      </c>
      <c r="F29" s="70" t="s">
        <v>71</v>
      </c>
    </row>
    <row r="30" spans="1:6" ht="15.75" customHeight="1" x14ac:dyDescent="0.3">
      <c r="A30" s="4" t="s">
        <v>328</v>
      </c>
      <c r="B30" s="14"/>
      <c r="C30" s="71"/>
      <c r="D30" s="72"/>
      <c r="E30" s="72"/>
      <c r="F30" s="72"/>
    </row>
    <row r="31" spans="1:6" ht="15.75" customHeight="1" x14ac:dyDescent="0.25">
      <c r="B31" s="5" t="s">
        <v>46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82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29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30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325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333</v>
      </c>
      <c r="B38" s="68"/>
      <c r="C38" s="74"/>
      <c r="D38" s="75"/>
      <c r="E38" s="75"/>
      <c r="F38" s="75"/>
    </row>
    <row r="39" spans="1:6" ht="15.75" customHeight="1" x14ac:dyDescent="0.3">
      <c r="A39" s="4" t="s">
        <v>322</v>
      </c>
      <c r="C39" s="73"/>
      <c r="D39" s="64"/>
      <c r="E39" s="64"/>
      <c r="F39" s="64"/>
    </row>
    <row r="40" spans="1:6" ht="15.75" customHeight="1" x14ac:dyDescent="0.25">
      <c r="B40" s="11" t="s">
        <v>337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318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334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331</v>
      </c>
      <c r="B44" s="14"/>
      <c r="C44" s="77"/>
      <c r="D44" s="78"/>
      <c r="E44" s="78"/>
      <c r="F44" s="78"/>
    </row>
    <row r="45" spans="1:6" ht="15.75" customHeight="1" x14ac:dyDescent="0.25">
      <c r="B45" s="5" t="s">
        <v>112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116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114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110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115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117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111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113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276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320</v>
      </c>
    </row>
    <row r="56" spans="1:6" ht="15.75" customHeight="1" x14ac:dyDescent="0.3">
      <c r="B56" s="69"/>
      <c r="C56" s="26" t="s">
        <v>77</v>
      </c>
      <c r="D56" s="70" t="s">
        <v>78</v>
      </c>
      <c r="E56" s="70" t="s">
        <v>70</v>
      </c>
      <c r="F56" s="70" t="s">
        <v>71</v>
      </c>
    </row>
    <row r="57" spans="1:6" ht="15.75" customHeight="1" x14ac:dyDescent="0.3">
      <c r="A57" s="4" t="s">
        <v>329</v>
      </c>
      <c r="B57" s="14"/>
      <c r="C57" s="71"/>
      <c r="D57" s="72"/>
      <c r="E57" s="72"/>
      <c r="F57" s="72"/>
    </row>
    <row r="58" spans="1:6" ht="15.75" customHeight="1" x14ac:dyDescent="0.25">
      <c r="B58" s="5" t="s">
        <v>46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82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29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30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326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333</v>
      </c>
      <c r="B65" s="68"/>
      <c r="C65" s="74"/>
      <c r="D65" s="75"/>
      <c r="E65" s="75"/>
      <c r="F65" s="75"/>
    </row>
    <row r="66" spans="1:6" ht="15.75" customHeight="1" x14ac:dyDescent="0.3">
      <c r="A66" s="4" t="s">
        <v>323</v>
      </c>
      <c r="C66" s="73"/>
      <c r="D66" s="64"/>
      <c r="E66" s="64"/>
      <c r="F66" s="64"/>
    </row>
    <row r="67" spans="1:6" ht="15.75" customHeight="1" x14ac:dyDescent="0.25">
      <c r="B67" s="11" t="s">
        <v>338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319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335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332</v>
      </c>
      <c r="B71" s="14"/>
      <c r="C71" s="77"/>
      <c r="D71" s="78"/>
      <c r="E71" s="78"/>
      <c r="F71" s="78"/>
    </row>
    <row r="72" spans="1:6" ht="15.75" customHeight="1" x14ac:dyDescent="0.25">
      <c r="B72" s="5" t="s">
        <v>112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116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114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110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115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117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111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113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4no8sCLdAa746suvPUn8h/oKqBAfbjGoQO0p0xeHJUnM8m8bgj6ZJiJdhqTYaQTXGRLRi0M6ihsSCn4/GX6ORQ==" saltValue="L4DM+HPrI9M3vOdhD0SYW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>
    <tabColor theme="0" tint="-0.249977111117893"/>
  </sheetPr>
  <dimension ref="A1:P328"/>
  <sheetViews>
    <sheetView topLeftCell="A19" zoomScaleNormal="100" workbookViewId="0">
      <selection activeCell="D30" sqref="D30"/>
    </sheetView>
  </sheetViews>
  <sheetFormatPr defaultColWidth="12.6328125" defaultRowHeight="12.5" x14ac:dyDescent="0.25"/>
  <cols>
    <col min="1" max="1" width="27.36328125" style="8" customWidth="1"/>
    <col min="2" max="2" width="26.90625" style="8" customWidth="1"/>
    <col min="3" max="3" width="18.36328125" style="8" customWidth="1"/>
    <col min="4" max="8" width="14.6328125" style="8" customWidth="1"/>
    <col min="9" max="12" width="15.36328125" style="8" bestFit="1" customWidth="1"/>
    <col min="13" max="16" width="16.90625" style="8" bestFit="1" customWidth="1"/>
    <col min="17" max="18" width="12.6328125" style="8" customWidth="1"/>
    <col min="19" max="16384" width="12.6328125" style="8"/>
  </cols>
  <sheetData>
    <row r="1" spans="1:16" s="68" customFormat="1" ht="13" x14ac:dyDescent="0.3">
      <c r="A1" s="67" t="s">
        <v>350</v>
      </c>
    </row>
    <row r="2" spans="1:16" ht="13" x14ac:dyDescent="0.3">
      <c r="A2" s="39" t="s">
        <v>260</v>
      </c>
      <c r="B2" s="1" t="s">
        <v>342</v>
      </c>
      <c r="C2" s="1" t="s">
        <v>343</v>
      </c>
      <c r="D2" s="70" t="s">
        <v>97</v>
      </c>
      <c r="E2" s="70" t="s">
        <v>93</v>
      </c>
      <c r="F2" s="70" t="s">
        <v>96</v>
      </c>
      <c r="G2" s="70" t="s">
        <v>94</v>
      </c>
      <c r="H2" s="70" t="s">
        <v>95</v>
      </c>
      <c r="I2" s="79"/>
      <c r="J2" s="79"/>
      <c r="K2" s="79"/>
      <c r="L2" s="79"/>
      <c r="M2" s="79"/>
      <c r="N2" s="79"/>
      <c r="O2" s="79"/>
      <c r="P2" s="79"/>
    </row>
    <row r="3" spans="1:16" ht="13" x14ac:dyDescent="0.3">
      <c r="A3" s="4"/>
      <c r="B3" s="8" t="s">
        <v>103</v>
      </c>
      <c r="C3" s="3" t="s">
        <v>7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345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346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344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121</v>
      </c>
      <c r="C7" s="3" t="s">
        <v>7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345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346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344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109</v>
      </c>
      <c r="C11" s="3" t="s">
        <v>7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345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346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344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3</v>
      </c>
      <c r="C15" s="3" t="s">
        <v>7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345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346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344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2</v>
      </c>
      <c r="C19" s="3" t="s">
        <v>7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345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346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344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118</v>
      </c>
      <c r="C23" s="3" t="s">
        <v>7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345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346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344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x14ac:dyDescent="0.3">
      <c r="A28" s="67" t="s">
        <v>351</v>
      </c>
    </row>
    <row r="29" spans="1:16" ht="13" x14ac:dyDescent="0.3">
      <c r="A29" s="39" t="s">
        <v>311</v>
      </c>
      <c r="B29" s="4" t="s">
        <v>342</v>
      </c>
      <c r="C29" s="4" t="s">
        <v>353</v>
      </c>
      <c r="D29" s="70" t="s">
        <v>97</v>
      </c>
      <c r="E29" s="70" t="s">
        <v>93</v>
      </c>
      <c r="F29" s="70" t="s">
        <v>96</v>
      </c>
      <c r="G29" s="70" t="s">
        <v>94</v>
      </c>
      <c r="H29" s="70" t="s">
        <v>95</v>
      </c>
      <c r="I29" s="79"/>
      <c r="J29" s="79"/>
      <c r="K29" s="79"/>
      <c r="L29" s="79"/>
      <c r="M29" s="79"/>
      <c r="N29" s="79"/>
      <c r="O29" s="79"/>
      <c r="P29" s="79"/>
    </row>
    <row r="30" spans="1:16" ht="13" x14ac:dyDescent="0.3">
      <c r="A30" s="4"/>
      <c r="B30" s="8" t="s">
        <v>103</v>
      </c>
      <c r="C30" s="3" t="s">
        <v>7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345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6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236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121</v>
      </c>
      <c r="C34" s="3" t="s">
        <v>7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345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6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236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109</v>
      </c>
      <c r="C38" s="3" t="s">
        <v>7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345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6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236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3</v>
      </c>
      <c r="C42" s="3" t="s">
        <v>7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345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6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236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2</v>
      </c>
      <c r="C46" s="3" t="s">
        <v>7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345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6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236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118</v>
      </c>
      <c r="C50" s="3" t="s">
        <v>7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345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6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236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x14ac:dyDescent="0.3">
      <c r="A55" s="67" t="s">
        <v>348</v>
      </c>
    </row>
    <row r="56" spans="1:16" ht="26.4" customHeight="1" x14ac:dyDescent="0.3">
      <c r="A56" s="39" t="s">
        <v>124</v>
      </c>
      <c r="B56" s="4" t="s">
        <v>342</v>
      </c>
      <c r="C56" s="69" t="s">
        <v>339</v>
      </c>
      <c r="D56" s="70" t="s">
        <v>132</v>
      </c>
      <c r="E56" s="70" t="s">
        <v>133</v>
      </c>
      <c r="F56" s="70" t="s">
        <v>134</v>
      </c>
      <c r="G56" s="70" t="s">
        <v>135</v>
      </c>
      <c r="H56" s="79"/>
      <c r="M56" s="79"/>
      <c r="N56" s="79"/>
      <c r="O56" s="79"/>
      <c r="P56" s="79"/>
    </row>
    <row r="57" spans="1:16" ht="13" x14ac:dyDescent="0.3">
      <c r="A57" s="4"/>
      <c r="B57" s="8" t="s">
        <v>100</v>
      </c>
      <c r="C57" s="3" t="s">
        <v>347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340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108</v>
      </c>
      <c r="C59" s="3" t="s">
        <v>347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340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122</v>
      </c>
      <c r="C61" s="3" t="s">
        <v>347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340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x14ac:dyDescent="0.3">
      <c r="A64" s="67" t="s">
        <v>349</v>
      </c>
    </row>
    <row r="65" spans="1:16" ht="26.4" customHeight="1" x14ac:dyDescent="0.3">
      <c r="A65" s="39" t="s">
        <v>142</v>
      </c>
      <c r="B65" s="4" t="s">
        <v>342</v>
      </c>
      <c r="C65" s="69" t="s">
        <v>341</v>
      </c>
      <c r="D65" s="70" t="s">
        <v>97</v>
      </c>
      <c r="E65" s="70" t="s">
        <v>93</v>
      </c>
      <c r="F65" s="70" t="s">
        <v>96</v>
      </c>
      <c r="G65" s="70" t="s">
        <v>94</v>
      </c>
      <c r="H65" s="81" t="s">
        <v>95</v>
      </c>
      <c r="I65" s="79"/>
      <c r="J65" s="79"/>
      <c r="K65" s="79"/>
      <c r="L65" s="79"/>
      <c r="M65" s="79"/>
      <c r="N65" s="79"/>
      <c r="O65" s="79"/>
      <c r="P65" s="79"/>
    </row>
    <row r="66" spans="1:16" ht="13" x14ac:dyDescent="0.3">
      <c r="A66" s="82"/>
      <c r="B66" s="8" t="s">
        <v>112</v>
      </c>
      <c r="C66" s="3" t="s">
        <v>143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146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145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144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116</v>
      </c>
      <c r="C70" s="3" t="s">
        <v>143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146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145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144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114</v>
      </c>
      <c r="C74" s="3" t="s">
        <v>143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146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145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144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115</v>
      </c>
      <c r="C78" s="3" t="s">
        <v>143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146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145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144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103</v>
      </c>
      <c r="C82" s="3" t="s">
        <v>143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146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145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144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121</v>
      </c>
      <c r="C86" s="3" t="s">
        <v>143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146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145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144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109</v>
      </c>
      <c r="C90" s="3" t="s">
        <v>143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146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145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144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2</v>
      </c>
      <c r="C94" s="3" t="s">
        <v>143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146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145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144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120</v>
      </c>
      <c r="C98" s="3" t="s">
        <v>143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146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145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144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x14ac:dyDescent="0.3">
      <c r="A103" s="67" t="s">
        <v>352</v>
      </c>
    </row>
    <row r="104" spans="1:16" ht="26.4" customHeight="1" x14ac:dyDescent="0.3">
      <c r="A104" s="39" t="s">
        <v>103</v>
      </c>
      <c r="B104" s="82" t="s">
        <v>144</v>
      </c>
      <c r="C104" s="69" t="s">
        <v>341</v>
      </c>
      <c r="D104" s="70" t="s">
        <v>97</v>
      </c>
      <c r="E104" s="70" t="s">
        <v>93</v>
      </c>
      <c r="F104" s="70" t="s">
        <v>96</v>
      </c>
      <c r="G104" s="70" t="s">
        <v>94</v>
      </c>
      <c r="H104" s="81" t="s">
        <v>95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x14ac:dyDescent="0.3">
      <c r="A105" s="4"/>
      <c r="C105" s="3" t="s">
        <v>143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146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145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144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x14ac:dyDescent="0.3">
      <c r="A110" s="92" t="s">
        <v>266</v>
      </c>
      <c r="H110" s="92"/>
    </row>
    <row r="111" spans="1:16" ht="13" x14ac:dyDescent="0.3">
      <c r="A111" s="67" t="s">
        <v>350</v>
      </c>
      <c r="B111" s="68"/>
      <c r="C111" s="68"/>
      <c r="D111" s="68"/>
      <c r="E111" s="68"/>
      <c r="F111" s="68"/>
      <c r="G111" s="68"/>
      <c r="H111" s="68"/>
    </row>
    <row r="112" spans="1:16" ht="13" x14ac:dyDescent="0.3">
      <c r="A112" s="39" t="s">
        <v>260</v>
      </c>
      <c r="B112" s="1" t="s">
        <v>342</v>
      </c>
      <c r="C112" s="1" t="s">
        <v>343</v>
      </c>
      <c r="D112" s="70" t="s">
        <v>97</v>
      </c>
      <c r="E112" s="70" t="s">
        <v>93</v>
      </c>
      <c r="F112" s="70" t="s">
        <v>96</v>
      </c>
      <c r="G112" s="70" t="s">
        <v>94</v>
      </c>
      <c r="H112" s="70" t="s">
        <v>95</v>
      </c>
    </row>
    <row r="113" spans="1:8" ht="13" x14ac:dyDescent="0.3">
      <c r="A113" s="4"/>
      <c r="B113" s="8" t="s">
        <v>103</v>
      </c>
      <c r="C113" s="3" t="s">
        <v>7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345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346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344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121</v>
      </c>
      <c r="C117" s="3" t="s">
        <v>7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345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346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344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109</v>
      </c>
      <c r="C121" s="3" t="s">
        <v>7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345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346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344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3</v>
      </c>
      <c r="C125" s="3" t="s">
        <v>7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345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346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344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2</v>
      </c>
      <c r="C129" s="3" t="s">
        <v>7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345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346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344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118</v>
      </c>
      <c r="C133" s="3" t="s">
        <v>7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345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346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344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x14ac:dyDescent="0.3">
      <c r="A138" s="67" t="s">
        <v>351</v>
      </c>
      <c r="B138" s="68"/>
      <c r="C138" s="68"/>
      <c r="D138" s="68"/>
      <c r="E138" s="68"/>
      <c r="F138" s="68"/>
      <c r="G138" s="68"/>
      <c r="H138" s="68"/>
    </row>
    <row r="139" spans="1:8" ht="13" x14ac:dyDescent="0.3">
      <c r="A139" s="39" t="s">
        <v>311</v>
      </c>
      <c r="B139" s="4" t="s">
        <v>342</v>
      </c>
      <c r="C139" s="4" t="s">
        <v>353</v>
      </c>
      <c r="D139" s="70" t="s">
        <v>97</v>
      </c>
      <c r="E139" s="70" t="s">
        <v>93</v>
      </c>
      <c r="F139" s="70" t="s">
        <v>96</v>
      </c>
      <c r="G139" s="70" t="s">
        <v>94</v>
      </c>
      <c r="H139" s="70" t="s">
        <v>95</v>
      </c>
    </row>
    <row r="140" spans="1:8" ht="13" x14ac:dyDescent="0.3">
      <c r="A140" s="4"/>
      <c r="B140" s="8" t="s">
        <v>103</v>
      </c>
      <c r="C140" s="3" t="s">
        <v>7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345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6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236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121</v>
      </c>
      <c r="C144" s="3" t="s">
        <v>7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345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6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236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109</v>
      </c>
      <c r="C148" s="3" t="s">
        <v>7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345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6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236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3</v>
      </c>
      <c r="C152" s="3" t="s">
        <v>7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345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6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236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2</v>
      </c>
      <c r="C156" s="3" t="s">
        <v>7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345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6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236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118</v>
      </c>
      <c r="C160" s="3" t="s">
        <v>7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345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6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236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x14ac:dyDescent="0.3">
      <c r="A165" s="67" t="s">
        <v>348</v>
      </c>
      <c r="B165" s="68"/>
      <c r="C165" s="68"/>
      <c r="D165" s="68"/>
      <c r="E165" s="68"/>
      <c r="F165" s="68"/>
      <c r="G165" s="68"/>
      <c r="H165" s="68"/>
    </row>
    <row r="166" spans="1:8" ht="26.4" customHeight="1" x14ac:dyDescent="0.3">
      <c r="A166" s="39" t="s">
        <v>124</v>
      </c>
      <c r="B166" s="4" t="s">
        <v>342</v>
      </c>
      <c r="C166" s="69" t="s">
        <v>339</v>
      </c>
      <c r="D166" s="70" t="s">
        <v>132</v>
      </c>
      <c r="E166" s="70" t="s">
        <v>133</v>
      </c>
      <c r="F166" s="70" t="s">
        <v>134</v>
      </c>
      <c r="G166" s="70" t="s">
        <v>135</v>
      </c>
      <c r="H166" s="79"/>
    </row>
    <row r="167" spans="1:8" ht="13" x14ac:dyDescent="0.3">
      <c r="A167" s="4"/>
      <c r="B167" s="8" t="s">
        <v>100</v>
      </c>
      <c r="C167" s="3" t="s">
        <v>347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340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108</v>
      </c>
      <c r="C169" s="3" t="s">
        <v>347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340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122</v>
      </c>
      <c r="C171" s="3" t="s">
        <v>347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340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x14ac:dyDescent="0.3">
      <c r="A174" s="67" t="s">
        <v>349</v>
      </c>
      <c r="B174" s="68"/>
      <c r="C174" s="68"/>
      <c r="D174" s="68"/>
      <c r="E174" s="68"/>
      <c r="F174" s="68"/>
      <c r="G174" s="68"/>
      <c r="H174" s="68"/>
    </row>
    <row r="175" spans="1:8" ht="26.4" customHeight="1" x14ac:dyDescent="0.3">
      <c r="A175" s="39" t="s">
        <v>142</v>
      </c>
      <c r="B175" s="4" t="s">
        <v>342</v>
      </c>
      <c r="C175" s="69" t="s">
        <v>341</v>
      </c>
      <c r="D175" s="70" t="s">
        <v>97</v>
      </c>
      <c r="E175" s="70" t="s">
        <v>93</v>
      </c>
      <c r="F175" s="70" t="s">
        <v>96</v>
      </c>
      <c r="G175" s="70" t="s">
        <v>94</v>
      </c>
      <c r="H175" s="81" t="s">
        <v>95</v>
      </c>
    </row>
    <row r="176" spans="1:8" ht="13" x14ac:dyDescent="0.3">
      <c r="A176" s="82"/>
      <c r="B176" s="8" t="s">
        <v>112</v>
      </c>
      <c r="C176" s="3" t="s">
        <v>143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146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145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144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116</v>
      </c>
      <c r="C180" s="3" t="s">
        <v>143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146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145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144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114</v>
      </c>
      <c r="C184" s="3" t="s">
        <v>143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146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145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144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115</v>
      </c>
      <c r="C188" s="3" t="s">
        <v>143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146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145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144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103</v>
      </c>
      <c r="C192" s="3" t="s">
        <v>143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146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145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144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121</v>
      </c>
      <c r="C196" s="3" t="s">
        <v>143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146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145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144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109</v>
      </c>
      <c r="C200" s="3" t="s">
        <v>143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146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145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144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2</v>
      </c>
      <c r="C204" s="3" t="s">
        <v>143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146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145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144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120</v>
      </c>
      <c r="C208" s="3" t="s">
        <v>143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146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145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144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x14ac:dyDescent="0.3">
      <c r="A213" s="67" t="s">
        <v>352</v>
      </c>
      <c r="B213" s="68"/>
      <c r="C213" s="68"/>
      <c r="D213" s="68"/>
      <c r="E213" s="68"/>
      <c r="F213" s="68"/>
      <c r="G213" s="68"/>
      <c r="H213" s="68"/>
    </row>
    <row r="214" spans="1:9" ht="26.4" customHeight="1" x14ac:dyDescent="0.3">
      <c r="A214" s="39" t="s">
        <v>103</v>
      </c>
      <c r="B214" s="82" t="s">
        <v>144</v>
      </c>
      <c r="C214" s="69" t="s">
        <v>341</v>
      </c>
      <c r="D214" s="70" t="s">
        <v>97</v>
      </c>
      <c r="E214" s="70" t="s">
        <v>93</v>
      </c>
      <c r="F214" s="70" t="s">
        <v>96</v>
      </c>
      <c r="G214" s="70" t="s">
        <v>94</v>
      </c>
      <c r="H214" s="81" t="s">
        <v>95</v>
      </c>
    </row>
    <row r="215" spans="1:9" ht="13" x14ac:dyDescent="0.3">
      <c r="A215" s="4"/>
      <c r="C215" s="3" t="s">
        <v>143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146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145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144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x14ac:dyDescent="0.3">
      <c r="A220" s="92" t="s">
        <v>276</v>
      </c>
      <c r="H220" s="92"/>
    </row>
    <row r="221" spans="1:9" ht="13" x14ac:dyDescent="0.3">
      <c r="A221" s="67" t="s">
        <v>350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x14ac:dyDescent="0.3">
      <c r="A222" s="39" t="s">
        <v>260</v>
      </c>
      <c r="B222" s="1" t="s">
        <v>342</v>
      </c>
      <c r="C222" s="1" t="s">
        <v>343</v>
      </c>
      <c r="D222" s="70" t="s">
        <v>97</v>
      </c>
      <c r="E222" s="70" t="s">
        <v>93</v>
      </c>
      <c r="F222" s="70" t="s">
        <v>96</v>
      </c>
      <c r="G222" s="70" t="s">
        <v>94</v>
      </c>
      <c r="H222" s="70" t="s">
        <v>95</v>
      </c>
      <c r="I222" s="79"/>
    </row>
    <row r="223" spans="1:9" ht="13" x14ac:dyDescent="0.3">
      <c r="A223" s="4"/>
      <c r="B223" s="8" t="s">
        <v>103</v>
      </c>
      <c r="C223" s="3" t="s">
        <v>7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345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346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344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121</v>
      </c>
      <c r="C227" s="3" t="s">
        <v>7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345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346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344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109</v>
      </c>
      <c r="C231" s="3" t="s">
        <v>7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345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346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344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3</v>
      </c>
      <c r="C235" s="3" t="s">
        <v>7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345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346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344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2</v>
      </c>
      <c r="C239" s="3" t="s">
        <v>7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345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346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344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118</v>
      </c>
      <c r="C243" s="3" t="s">
        <v>7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345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346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344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x14ac:dyDescent="0.3">
      <c r="A248" s="67" t="s">
        <v>351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x14ac:dyDescent="0.3">
      <c r="A249" s="39" t="s">
        <v>311</v>
      </c>
      <c r="B249" s="4" t="s">
        <v>342</v>
      </c>
      <c r="C249" s="4" t="s">
        <v>353</v>
      </c>
      <c r="D249" s="70" t="s">
        <v>97</v>
      </c>
      <c r="E249" s="70" t="s">
        <v>93</v>
      </c>
      <c r="F249" s="70" t="s">
        <v>96</v>
      </c>
      <c r="G249" s="70" t="s">
        <v>94</v>
      </c>
      <c r="H249" s="70" t="s">
        <v>95</v>
      </c>
      <c r="I249" s="79"/>
    </row>
    <row r="250" spans="1:9" ht="13" x14ac:dyDescent="0.3">
      <c r="A250" s="4"/>
      <c r="B250" s="8" t="s">
        <v>103</v>
      </c>
      <c r="C250" s="3" t="s">
        <v>7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345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6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236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121</v>
      </c>
      <c r="C254" s="3" t="s">
        <v>7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345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6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236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109</v>
      </c>
      <c r="C258" s="3" t="s">
        <v>7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345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6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236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3</v>
      </c>
      <c r="C262" s="3" t="s">
        <v>7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345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6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236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2</v>
      </c>
      <c r="C266" s="3" t="s">
        <v>7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345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6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236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118</v>
      </c>
      <c r="C270" s="3" t="s">
        <v>7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345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6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236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x14ac:dyDescent="0.3">
      <c r="A275" s="67" t="s">
        <v>348</v>
      </c>
      <c r="B275" s="68"/>
      <c r="C275" s="68"/>
      <c r="D275" s="68"/>
      <c r="E275" s="68"/>
      <c r="F275" s="68"/>
      <c r="G275" s="68"/>
      <c r="H275" s="68"/>
      <c r="I275" s="68"/>
    </row>
    <row r="276" spans="1:9" ht="26.4" customHeight="1" x14ac:dyDescent="0.3">
      <c r="A276" s="39" t="s">
        <v>124</v>
      </c>
      <c r="B276" s="4" t="s">
        <v>342</v>
      </c>
      <c r="C276" s="69" t="s">
        <v>339</v>
      </c>
      <c r="D276" s="70" t="s">
        <v>132</v>
      </c>
      <c r="E276" s="70" t="s">
        <v>133</v>
      </c>
      <c r="F276" s="70" t="s">
        <v>134</v>
      </c>
      <c r="G276" s="70" t="s">
        <v>135</v>
      </c>
      <c r="H276" s="79"/>
    </row>
    <row r="277" spans="1:9" ht="13" x14ac:dyDescent="0.3">
      <c r="A277" s="4"/>
      <c r="B277" s="8" t="s">
        <v>100</v>
      </c>
      <c r="C277" s="3" t="s">
        <v>347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340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108</v>
      </c>
      <c r="C279" s="3" t="s">
        <v>347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340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122</v>
      </c>
      <c r="C281" s="3" t="s">
        <v>347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340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x14ac:dyDescent="0.3">
      <c r="A284" s="67" t="s">
        <v>349</v>
      </c>
      <c r="B284" s="68"/>
      <c r="C284" s="68"/>
      <c r="D284" s="68"/>
      <c r="E284" s="68"/>
      <c r="F284" s="68"/>
      <c r="G284" s="68"/>
      <c r="H284" s="68"/>
      <c r="I284" s="68"/>
    </row>
    <row r="285" spans="1:9" ht="26.4" customHeight="1" x14ac:dyDescent="0.3">
      <c r="A285" s="39" t="s">
        <v>142</v>
      </c>
      <c r="B285" s="4" t="s">
        <v>342</v>
      </c>
      <c r="C285" s="69" t="s">
        <v>341</v>
      </c>
      <c r="D285" s="70" t="s">
        <v>97</v>
      </c>
      <c r="E285" s="70" t="s">
        <v>93</v>
      </c>
      <c r="F285" s="70" t="s">
        <v>96</v>
      </c>
      <c r="G285" s="70" t="s">
        <v>94</v>
      </c>
      <c r="H285" s="81" t="s">
        <v>95</v>
      </c>
      <c r="I285" s="79"/>
    </row>
    <row r="286" spans="1:9" ht="13" x14ac:dyDescent="0.3">
      <c r="A286" s="82"/>
      <c r="B286" s="8" t="s">
        <v>112</v>
      </c>
      <c r="C286" s="3" t="s">
        <v>143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146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145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144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116</v>
      </c>
      <c r="C290" s="3" t="s">
        <v>143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146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145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144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114</v>
      </c>
      <c r="C294" s="3" t="s">
        <v>143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146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145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144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115</v>
      </c>
      <c r="C298" s="3" t="s">
        <v>143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146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145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144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103</v>
      </c>
      <c r="C302" s="3" t="s">
        <v>143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146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145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144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121</v>
      </c>
      <c r="C306" s="3" t="s">
        <v>143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146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145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144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109</v>
      </c>
      <c r="C310" s="3" t="s">
        <v>143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146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145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144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2</v>
      </c>
      <c r="C314" s="3" t="s">
        <v>143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146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145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144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120</v>
      </c>
      <c r="C318" s="3" t="s">
        <v>143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146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145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144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x14ac:dyDescent="0.3">
      <c r="A323" s="67" t="s">
        <v>352</v>
      </c>
      <c r="B323" s="68"/>
      <c r="C323" s="68"/>
      <c r="D323" s="68"/>
      <c r="E323" s="68"/>
      <c r="F323" s="68"/>
      <c r="G323" s="68"/>
      <c r="H323" s="68"/>
      <c r="I323" s="68"/>
    </row>
    <row r="324" spans="1:9" ht="26.4" customHeight="1" x14ac:dyDescent="0.3">
      <c r="A324" s="39" t="s">
        <v>103</v>
      </c>
      <c r="B324" s="82" t="s">
        <v>144</v>
      </c>
      <c r="C324" s="69" t="s">
        <v>341</v>
      </c>
      <c r="D324" s="70" t="s">
        <v>97</v>
      </c>
      <c r="E324" s="70" t="s">
        <v>93</v>
      </c>
      <c r="F324" s="70" t="s">
        <v>96</v>
      </c>
      <c r="G324" s="70" t="s">
        <v>94</v>
      </c>
      <c r="H324" s="81" t="s">
        <v>95</v>
      </c>
      <c r="I324" s="79"/>
    </row>
    <row r="325" spans="1:9" ht="13" x14ac:dyDescent="0.3">
      <c r="A325" s="4"/>
      <c r="C325" s="3" t="s">
        <v>143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146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145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144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FTJXcBxyVu6SdL9cNAG0VdWubxTtbJhKZVADJq5Y7LvKRf2jKTfgWG2mPFIvqsju6NJKT7XsEnOIUWn/4jivKA==" saltValue="flEnNmihqttI9IvHLvb8u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tabColor theme="0" tint="-0.249977111117893"/>
  </sheetPr>
  <dimension ref="A1:O67"/>
  <sheetViews>
    <sheetView zoomScale="70" zoomScaleNormal="70" workbookViewId="0">
      <selection activeCell="H15" sqref="H15"/>
    </sheetView>
  </sheetViews>
  <sheetFormatPr defaultColWidth="12.63281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7" width="12.6328125" style="8" customWidth="1"/>
    <col min="18" max="16384" width="12.6328125" style="8"/>
  </cols>
  <sheetData>
    <row r="1" spans="1:15" ht="35.25" customHeight="1" x14ac:dyDescent="0.3">
      <c r="A1" s="4"/>
      <c r="B1" s="4"/>
      <c r="C1" s="70" t="s">
        <v>97</v>
      </c>
      <c r="D1" s="70" t="s">
        <v>93</v>
      </c>
      <c r="E1" s="70" t="s">
        <v>96</v>
      </c>
      <c r="F1" s="70" t="s">
        <v>94</v>
      </c>
      <c r="G1" s="70" t="s">
        <v>95</v>
      </c>
      <c r="H1" s="70" t="s">
        <v>87</v>
      </c>
      <c r="I1" s="70" t="s">
        <v>88</v>
      </c>
      <c r="J1" s="70" t="s">
        <v>89</v>
      </c>
      <c r="K1" s="70" t="s">
        <v>90</v>
      </c>
      <c r="L1" s="70" t="s">
        <v>132</v>
      </c>
      <c r="M1" s="70" t="s">
        <v>133</v>
      </c>
      <c r="N1" s="70" t="s">
        <v>134</v>
      </c>
      <c r="O1" s="70" t="s">
        <v>135</v>
      </c>
    </row>
    <row r="2" spans="1:15" ht="13" x14ac:dyDescent="0.3">
      <c r="A2" s="4" t="s">
        <v>357</v>
      </c>
    </row>
    <row r="3" spans="1:15" x14ac:dyDescent="0.25">
      <c r="B3" s="11" t="s">
        <v>198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203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204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205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206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207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208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209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101" t="s">
        <v>213</v>
      </c>
      <c r="C11" s="102">
        <v>1</v>
      </c>
      <c r="D11" s="102">
        <v>1</v>
      </c>
      <c r="E11" s="102">
        <v>1</v>
      </c>
      <c r="F11" s="102">
        <v>1</v>
      </c>
      <c r="G11" s="102">
        <v>1</v>
      </c>
      <c r="H11" s="102">
        <v>1</v>
      </c>
      <c r="I11" s="102">
        <v>1</v>
      </c>
      <c r="J11" s="102">
        <v>1</v>
      </c>
      <c r="K11" s="102">
        <v>1</v>
      </c>
      <c r="L11" s="102">
        <v>1</v>
      </c>
      <c r="M11" s="102">
        <v>1</v>
      </c>
      <c r="N11" s="102">
        <v>1</v>
      </c>
      <c r="O11" s="102">
        <v>1</v>
      </c>
    </row>
    <row r="12" spans="1:15" x14ac:dyDescent="0.25">
      <c r="B12" s="11" t="s">
        <v>214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.25" customHeight="1" x14ac:dyDescent="0.25">
      <c r="B13" s="11" t="s">
        <v>219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220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233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x14ac:dyDescent="0.3">
      <c r="A17" s="4" t="s">
        <v>354</v>
      </c>
      <c r="B17" s="11"/>
    </row>
    <row r="18" spans="1:15" x14ac:dyDescent="0.25">
      <c r="B18" s="5" t="s">
        <v>200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201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202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210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x14ac:dyDescent="0.3">
      <c r="A23" s="92" t="s">
        <v>266</v>
      </c>
    </row>
    <row r="24" spans="1:15" ht="26.4" customHeight="1" x14ac:dyDescent="0.3">
      <c r="A24" s="4"/>
      <c r="B24" s="4"/>
      <c r="C24" s="70" t="s">
        <v>97</v>
      </c>
      <c r="D24" s="70" t="s">
        <v>93</v>
      </c>
      <c r="E24" s="70" t="s">
        <v>96</v>
      </c>
      <c r="F24" s="70" t="s">
        <v>94</v>
      </c>
      <c r="G24" s="70" t="s">
        <v>95</v>
      </c>
      <c r="H24" s="70" t="s">
        <v>87</v>
      </c>
      <c r="I24" s="70" t="s">
        <v>88</v>
      </c>
      <c r="J24" s="70" t="s">
        <v>89</v>
      </c>
      <c r="K24" s="70" t="s">
        <v>90</v>
      </c>
      <c r="L24" s="70" t="s">
        <v>132</v>
      </c>
      <c r="M24" s="70" t="s">
        <v>133</v>
      </c>
      <c r="N24" s="70" t="s">
        <v>134</v>
      </c>
      <c r="O24" s="70" t="s">
        <v>135</v>
      </c>
    </row>
    <row r="25" spans="1:15" ht="13" x14ac:dyDescent="0.3">
      <c r="A25" s="4" t="s">
        <v>358</v>
      </c>
    </row>
    <row r="26" spans="1:15" x14ac:dyDescent="0.25">
      <c r="B26" s="11" t="s">
        <v>198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203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204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205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206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207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208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209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213</v>
      </c>
      <c r="C34" s="90">
        <f>IF(C11=1,1,C11*0.9)</f>
        <v>1</v>
      </c>
      <c r="D34" s="90">
        <f>IF(D11=1,1,D11*0.9)</f>
        <v>1</v>
      </c>
      <c r="E34" s="90">
        <f>IF(E11=1,1,E11*0.9)</f>
        <v>1</v>
      </c>
      <c r="F34" s="90">
        <f>IF(F11=1,1,F11*0.9)</f>
        <v>1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214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219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220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233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x14ac:dyDescent="0.3">
      <c r="A40" s="4" t="s">
        <v>355</v>
      </c>
      <c r="B40" s="11"/>
    </row>
    <row r="41" spans="1:15" x14ac:dyDescent="0.25">
      <c r="B41" s="5" t="s">
        <v>200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201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202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210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x14ac:dyDescent="0.3">
      <c r="A46" s="92" t="s">
        <v>276</v>
      </c>
    </row>
    <row r="47" spans="1:15" ht="26.4" customHeight="1" x14ac:dyDescent="0.3">
      <c r="A47" s="4"/>
      <c r="B47" s="4"/>
      <c r="C47" s="70" t="s">
        <v>97</v>
      </c>
      <c r="D47" s="70" t="s">
        <v>93</v>
      </c>
      <c r="E47" s="70" t="s">
        <v>96</v>
      </c>
      <c r="F47" s="70" t="s">
        <v>94</v>
      </c>
      <c r="G47" s="70" t="s">
        <v>95</v>
      </c>
      <c r="H47" s="70" t="s">
        <v>87</v>
      </c>
      <c r="I47" s="70" t="s">
        <v>88</v>
      </c>
      <c r="J47" s="70" t="s">
        <v>89</v>
      </c>
      <c r="K47" s="70" t="s">
        <v>90</v>
      </c>
      <c r="L47" s="70" t="s">
        <v>132</v>
      </c>
      <c r="M47" s="70" t="s">
        <v>133</v>
      </c>
      <c r="N47" s="70" t="s">
        <v>134</v>
      </c>
      <c r="O47" s="70" t="s">
        <v>135</v>
      </c>
    </row>
    <row r="48" spans="1:15" ht="13" x14ac:dyDescent="0.3">
      <c r="A48" s="4" t="s">
        <v>359</v>
      </c>
    </row>
    <row r="49" spans="1:15" x14ac:dyDescent="0.25">
      <c r="B49" s="11" t="s">
        <v>198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203</v>
      </c>
      <c r="C50" s="90">
        <f t="shared" ref="C50:G57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204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205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206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207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208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209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213</v>
      </c>
      <c r="C57" s="90">
        <f t="shared" si="10"/>
        <v>1</v>
      </c>
      <c r="D57" s="90">
        <f t="shared" si="10"/>
        <v>1</v>
      </c>
      <c r="E57" s="90">
        <f t="shared" si="10"/>
        <v>1</v>
      </c>
      <c r="F57" s="90">
        <f t="shared" si="10"/>
        <v>1</v>
      </c>
      <c r="G57" s="90">
        <f t="shared" si="10"/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214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219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220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233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6">IF(G15=1,1,G15*1.05)</f>
        <v>1</v>
      </c>
      <c r="H61" s="90">
        <f t="shared" si="16"/>
        <v>1</v>
      </c>
      <c r="I61" s="90">
        <f t="shared" si="16"/>
        <v>1</v>
      </c>
      <c r="J61" s="90">
        <f t="shared" si="16"/>
        <v>1</v>
      </c>
      <c r="K61" s="90">
        <f t="shared" si="16"/>
        <v>1</v>
      </c>
      <c r="L61" s="90">
        <f t="shared" si="16"/>
        <v>1</v>
      </c>
      <c r="M61" s="90">
        <f t="shared" si="16"/>
        <v>1</v>
      </c>
      <c r="N61" s="90">
        <f t="shared" si="16"/>
        <v>1</v>
      </c>
      <c r="O61" s="90">
        <f t="shared" si="16"/>
        <v>1</v>
      </c>
    </row>
    <row r="63" spans="1:15" ht="13" x14ac:dyDescent="0.3">
      <c r="A63" s="4" t="s">
        <v>356</v>
      </c>
      <c r="B63" s="11"/>
    </row>
    <row r="64" spans="1:15" x14ac:dyDescent="0.25">
      <c r="B64" s="5" t="s">
        <v>200</v>
      </c>
      <c r="C64" s="90">
        <f t="shared" ref="C64:D67" si="17">IF(C18=1,1,C18*1.05)</f>
        <v>1</v>
      </c>
      <c r="D64" s="90">
        <f t="shared" si="17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201</v>
      </c>
      <c r="C65" s="90">
        <f t="shared" si="17"/>
        <v>1</v>
      </c>
      <c r="D65" s="90">
        <f t="shared" si="17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202</v>
      </c>
      <c r="C66" s="90">
        <f t="shared" si="17"/>
        <v>1</v>
      </c>
      <c r="D66" s="90">
        <f t="shared" si="17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210</v>
      </c>
      <c r="C67" s="90">
        <f t="shared" si="17"/>
        <v>1</v>
      </c>
      <c r="D67" s="90">
        <f t="shared" si="17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7FihOckqKeZ3qKKN+KLOLIYIqe0/pgvXaSTREay4naTATJHbu+be2GTfVwdAJaGryiUp7b+XZAveTA9wZLa/dA==" saltValue="9w7I6zaq7szN4nLm84Ybi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tabColor theme="0" tint="-0.249977111117893"/>
  </sheetPr>
  <dimension ref="A1:G19"/>
  <sheetViews>
    <sheetView zoomScale="85" zoomScaleNormal="85" workbookViewId="0">
      <selection activeCell="C17" sqref="C17"/>
    </sheetView>
  </sheetViews>
  <sheetFormatPr defaultColWidth="12.6328125" defaultRowHeight="12.5" x14ac:dyDescent="0.25"/>
  <cols>
    <col min="1" max="1" width="21.36328125" style="8" customWidth="1"/>
    <col min="2" max="2" width="27.6328125" style="8" customWidth="1"/>
    <col min="3" max="7" width="15.54296875" style="8" customWidth="1"/>
    <col min="8" max="9" width="12.6328125" style="8" customWidth="1"/>
    <col min="10" max="16384" width="12.6328125" style="8"/>
  </cols>
  <sheetData>
    <row r="1" spans="1:7" ht="13" x14ac:dyDescent="0.3">
      <c r="A1" s="4"/>
      <c r="B1" s="1"/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</row>
    <row r="2" spans="1:7" ht="13" x14ac:dyDescent="0.3">
      <c r="A2" s="4" t="s">
        <v>364</v>
      </c>
    </row>
    <row r="3" spans="1:7" x14ac:dyDescent="0.25">
      <c r="B3" s="11" t="s">
        <v>193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x14ac:dyDescent="0.3">
      <c r="A4" s="4" t="s">
        <v>361</v>
      </c>
      <c r="B4" s="11"/>
      <c r="C4" s="83"/>
      <c r="D4" s="83"/>
      <c r="E4" s="83"/>
      <c r="F4" s="83"/>
      <c r="G4" s="83"/>
    </row>
    <row r="5" spans="1:7" x14ac:dyDescent="0.25">
      <c r="B5" s="5" t="s">
        <v>191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x14ac:dyDescent="0.3">
      <c r="A7" s="92" t="s">
        <v>360</v>
      </c>
    </row>
    <row r="8" spans="1:7" ht="13" x14ac:dyDescent="0.3">
      <c r="A8" s="4"/>
      <c r="B8" s="1"/>
      <c r="C8" s="4" t="s">
        <v>97</v>
      </c>
      <c r="D8" s="4" t="s">
        <v>93</v>
      </c>
      <c r="E8" s="4" t="s">
        <v>96</v>
      </c>
      <c r="F8" s="4" t="s">
        <v>94</v>
      </c>
      <c r="G8" s="4" t="s">
        <v>95</v>
      </c>
    </row>
    <row r="9" spans="1:7" ht="13" x14ac:dyDescent="0.3">
      <c r="A9" s="4" t="s">
        <v>365</v>
      </c>
    </row>
    <row r="10" spans="1:7" x14ac:dyDescent="0.25">
      <c r="B10" s="11" t="s">
        <v>193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x14ac:dyDescent="0.3">
      <c r="A11" s="4" t="s">
        <v>362</v>
      </c>
      <c r="B11" s="11"/>
      <c r="C11" s="83"/>
      <c r="D11" s="83"/>
      <c r="E11" s="83"/>
      <c r="F11" s="83"/>
      <c r="G11" s="83"/>
    </row>
    <row r="12" spans="1:7" x14ac:dyDescent="0.25">
      <c r="B12" s="5" t="s">
        <v>191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x14ac:dyDescent="0.3">
      <c r="A14" s="92" t="s">
        <v>367</v>
      </c>
    </row>
    <row r="15" spans="1:7" ht="13" x14ac:dyDescent="0.3">
      <c r="A15" s="4"/>
      <c r="B15" s="1"/>
      <c r="C15" s="4" t="s">
        <v>97</v>
      </c>
      <c r="D15" s="4" t="s">
        <v>93</v>
      </c>
      <c r="E15" s="4" t="s">
        <v>96</v>
      </c>
      <c r="F15" s="4" t="s">
        <v>94</v>
      </c>
      <c r="G15" s="4" t="s">
        <v>95</v>
      </c>
    </row>
    <row r="16" spans="1:7" ht="13" x14ac:dyDescent="0.3">
      <c r="A16" s="4" t="s">
        <v>366</v>
      </c>
    </row>
    <row r="17" spans="1:7" x14ac:dyDescent="0.25">
      <c r="B17" s="11" t="s">
        <v>193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x14ac:dyDescent="0.3">
      <c r="A18" s="4" t="s">
        <v>363</v>
      </c>
      <c r="B18" s="11"/>
      <c r="C18" s="83"/>
      <c r="D18" s="83"/>
      <c r="E18" s="83"/>
      <c r="F18" s="83"/>
      <c r="G18" s="83"/>
    </row>
    <row r="19" spans="1:7" x14ac:dyDescent="0.25">
      <c r="B19" s="5" t="s">
        <v>191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w2sgEVD/crIQxC+242TzurvoKJXj0pfFBVk+RlTM71t87pX/0htjVPFr00dZk7vIQAr3JkXl+k8GOSB9kAMAAg==" saltValue="TPHnWMoqOQ7yCQxgcAOIlg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tabColor theme="0" tint="-0.249977111117893"/>
  </sheetPr>
  <dimension ref="A1:H169"/>
  <sheetViews>
    <sheetView zoomScale="70" zoomScaleNormal="70" workbookViewId="0">
      <selection activeCell="D2" sqref="D2"/>
    </sheetView>
  </sheetViews>
  <sheetFormatPr defaultColWidth="12.7265625" defaultRowHeight="12.5" x14ac:dyDescent="0.25"/>
  <cols>
    <col min="1" max="1" width="53" style="113" customWidth="1"/>
    <col min="2" max="2" width="30.54296875" style="113" customWidth="1"/>
    <col min="3" max="3" width="24.7265625" style="113" customWidth="1"/>
    <col min="4" max="4" width="15" style="8" customWidth="1"/>
    <col min="5" max="5" width="13.6328125" style="8" customWidth="1"/>
    <col min="6" max="6" width="14.453125" style="8" customWidth="1"/>
    <col min="7" max="7" width="12.6328125" style="8" customWidth="1"/>
    <col min="8" max="8" width="17.54296875" style="8" customWidth="1"/>
    <col min="9" max="16384" width="12.7265625" style="104"/>
  </cols>
  <sheetData>
    <row r="1" spans="1:8" ht="13" x14ac:dyDescent="0.3">
      <c r="A1" s="103" t="s">
        <v>192</v>
      </c>
      <c r="B1" s="103" t="s">
        <v>371</v>
      </c>
      <c r="C1" s="120" t="s">
        <v>9</v>
      </c>
      <c r="D1" s="4" t="s">
        <v>97</v>
      </c>
      <c r="E1" s="4" t="s">
        <v>93</v>
      </c>
      <c r="F1" s="4" t="s">
        <v>96</v>
      </c>
      <c r="G1" s="4" t="s">
        <v>94</v>
      </c>
      <c r="H1" s="4" t="s">
        <v>95</v>
      </c>
    </row>
    <row r="2" spans="1:8" x14ac:dyDescent="0.25">
      <c r="A2" s="113" t="s">
        <v>225</v>
      </c>
      <c r="B2" s="113" t="s">
        <v>103</v>
      </c>
      <c r="C2" s="113" t="s">
        <v>368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113" t="s">
        <v>370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113" t="s">
        <v>369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113" t="s">
        <v>222</v>
      </c>
      <c r="B5" s="113" t="s">
        <v>236</v>
      </c>
      <c r="C5" s="113" t="s">
        <v>368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113" t="s">
        <v>369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113" t="s">
        <v>6</v>
      </c>
      <c r="C7" s="113" t="s">
        <v>368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113" t="s">
        <v>369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113" t="s">
        <v>213</v>
      </c>
      <c r="B9" s="113" t="s">
        <v>236</v>
      </c>
      <c r="C9" s="113" t="s">
        <v>368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113" t="s">
        <v>369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113" t="s">
        <v>6</v>
      </c>
      <c r="C11" s="113" t="s">
        <v>368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113" t="s">
        <v>369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113" t="s">
        <v>233</v>
      </c>
      <c r="B13" s="113" t="s">
        <v>236</v>
      </c>
      <c r="C13" s="113" t="s">
        <v>368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113" t="s">
        <v>369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113" t="s">
        <v>6</v>
      </c>
      <c r="C15" s="113" t="s">
        <v>368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113" t="s">
        <v>369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B17" s="113" t="s">
        <v>372</v>
      </c>
      <c r="C17" s="113" t="s">
        <v>368</v>
      </c>
      <c r="D17" s="90">
        <v>0</v>
      </c>
      <c r="E17" s="90">
        <v>0</v>
      </c>
      <c r="F17" s="90">
        <v>1</v>
      </c>
      <c r="G17" s="90">
        <v>1</v>
      </c>
      <c r="H17" s="90">
        <v>0</v>
      </c>
    </row>
    <row r="18" spans="1:8" x14ac:dyDescent="0.25">
      <c r="C18" s="113" t="s">
        <v>370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</row>
    <row r="19" spans="1:8" x14ac:dyDescent="0.25">
      <c r="A19" s="113" t="s">
        <v>196</v>
      </c>
      <c r="B19" s="113" t="s">
        <v>236</v>
      </c>
      <c r="C19" s="113" t="s">
        <v>368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113" t="s">
        <v>369</v>
      </c>
      <c r="D20" s="90">
        <v>0</v>
      </c>
      <c r="E20" s="90">
        <v>0</v>
      </c>
      <c r="F20" s="90">
        <v>0</v>
      </c>
      <c r="G20" s="90">
        <v>0</v>
      </c>
      <c r="H20" s="90">
        <v>0</v>
      </c>
    </row>
    <row r="21" spans="1:8" x14ac:dyDescent="0.25">
      <c r="B21" s="113" t="s">
        <v>6</v>
      </c>
      <c r="C21" s="113" t="s">
        <v>368</v>
      </c>
      <c r="D21" s="90">
        <v>0</v>
      </c>
      <c r="E21" s="90">
        <v>0</v>
      </c>
      <c r="F21" s="90">
        <v>1</v>
      </c>
      <c r="G21" s="90">
        <v>1</v>
      </c>
      <c r="H21" s="90">
        <v>1</v>
      </c>
    </row>
    <row r="22" spans="1:8" x14ac:dyDescent="0.25">
      <c r="C22" s="113" t="s">
        <v>369</v>
      </c>
      <c r="D22" s="90">
        <v>0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113" t="s">
        <v>202</v>
      </c>
      <c r="B23" s="113" t="s">
        <v>111</v>
      </c>
      <c r="C23" s="113" t="s">
        <v>368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113" t="s">
        <v>370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113" t="s">
        <v>200</v>
      </c>
      <c r="B25" s="113" t="s">
        <v>111</v>
      </c>
      <c r="C25" s="113" t="s">
        <v>368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113" t="s">
        <v>370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113" t="s">
        <v>201</v>
      </c>
      <c r="B27" s="113" t="s">
        <v>111</v>
      </c>
      <c r="C27" s="113" t="s">
        <v>368</v>
      </c>
      <c r="D27" s="90">
        <v>1</v>
      </c>
      <c r="E27" s="90">
        <v>0</v>
      </c>
      <c r="F27" s="90">
        <v>0</v>
      </c>
      <c r="G27" s="90">
        <v>0</v>
      </c>
      <c r="H27" s="90">
        <v>0</v>
      </c>
    </row>
    <row r="28" spans="1:8" x14ac:dyDescent="0.25">
      <c r="C28" s="113" t="s">
        <v>370</v>
      </c>
      <c r="D28" s="90">
        <v>0.13</v>
      </c>
      <c r="E28" s="90">
        <v>0</v>
      </c>
      <c r="F28" s="90">
        <v>0</v>
      </c>
      <c r="G28" s="90">
        <v>0</v>
      </c>
      <c r="H28" s="90">
        <v>0</v>
      </c>
    </row>
    <row r="29" spans="1:8" x14ac:dyDescent="0.25">
      <c r="A29" s="113" t="s">
        <v>229</v>
      </c>
      <c r="B29" s="113" t="s">
        <v>103</v>
      </c>
      <c r="C29" s="113" t="s">
        <v>368</v>
      </c>
      <c r="D29" s="90">
        <v>1</v>
      </c>
      <c r="E29" s="90">
        <v>1</v>
      </c>
      <c r="F29" s="90">
        <v>1</v>
      </c>
      <c r="G29" s="90">
        <v>1</v>
      </c>
      <c r="H29" s="90">
        <v>1</v>
      </c>
    </row>
    <row r="30" spans="1:8" x14ac:dyDescent="0.25">
      <c r="C30" s="113" t="s">
        <v>370</v>
      </c>
      <c r="D30" s="90">
        <v>0.3</v>
      </c>
      <c r="E30" s="90">
        <v>0.3</v>
      </c>
      <c r="F30" s="90">
        <v>0.3</v>
      </c>
      <c r="G30" s="90">
        <v>0.3</v>
      </c>
      <c r="H30" s="90">
        <v>0.3</v>
      </c>
    </row>
    <row r="31" spans="1:8" x14ac:dyDescent="0.25">
      <c r="C31" s="113" t="s">
        <v>369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A32" s="113" t="s">
        <v>230</v>
      </c>
      <c r="B32" s="113" t="s">
        <v>103</v>
      </c>
      <c r="C32" s="113" t="s">
        <v>368</v>
      </c>
      <c r="D32" s="90">
        <v>1</v>
      </c>
      <c r="E32" s="90">
        <v>1</v>
      </c>
      <c r="F32" s="90">
        <v>1</v>
      </c>
      <c r="G32" s="90">
        <v>1</v>
      </c>
      <c r="H32" s="90">
        <v>1</v>
      </c>
    </row>
    <row r="33" spans="1:8" x14ac:dyDescent="0.25">
      <c r="C33" s="113" t="s">
        <v>370</v>
      </c>
      <c r="D33" s="90">
        <v>0</v>
      </c>
      <c r="E33" s="90">
        <v>0</v>
      </c>
      <c r="F33" s="90">
        <v>0</v>
      </c>
      <c r="G33" s="90">
        <v>0</v>
      </c>
      <c r="H33" s="90">
        <v>0</v>
      </c>
    </row>
    <row r="34" spans="1:8" x14ac:dyDescent="0.25">
      <c r="C34" s="113" t="s">
        <v>369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A35" s="113" t="s">
        <v>228</v>
      </c>
      <c r="B35" s="113" t="s">
        <v>103</v>
      </c>
      <c r="C35" s="113" t="s">
        <v>368</v>
      </c>
      <c r="D35" s="90">
        <v>1</v>
      </c>
      <c r="E35" s="90">
        <v>1</v>
      </c>
      <c r="F35" s="90">
        <v>1</v>
      </c>
      <c r="G35" s="90">
        <v>1</v>
      </c>
      <c r="H35" s="90">
        <v>1</v>
      </c>
    </row>
    <row r="36" spans="1:8" x14ac:dyDescent="0.25">
      <c r="C36" s="113" t="s">
        <v>370</v>
      </c>
      <c r="D36" s="90">
        <v>0</v>
      </c>
      <c r="E36" s="90">
        <v>0</v>
      </c>
      <c r="F36" s="90">
        <v>0</v>
      </c>
      <c r="G36" s="90">
        <v>0</v>
      </c>
      <c r="H36" s="90">
        <v>0</v>
      </c>
    </row>
    <row r="37" spans="1:8" x14ac:dyDescent="0.25">
      <c r="C37" s="113" t="s">
        <v>369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A38" s="113" t="s">
        <v>227</v>
      </c>
      <c r="B38" s="113" t="s">
        <v>103</v>
      </c>
      <c r="C38" s="113" t="s">
        <v>368</v>
      </c>
      <c r="D38" s="90">
        <v>1</v>
      </c>
      <c r="E38" s="90">
        <v>1</v>
      </c>
      <c r="F38" s="90">
        <v>1</v>
      </c>
      <c r="G38" s="90">
        <v>1</v>
      </c>
      <c r="H38" s="90">
        <v>1</v>
      </c>
    </row>
    <row r="39" spans="1:8" x14ac:dyDescent="0.25">
      <c r="C39" s="113" t="s">
        <v>370</v>
      </c>
      <c r="D39" s="90">
        <v>0</v>
      </c>
      <c r="E39" s="90">
        <v>0</v>
      </c>
      <c r="F39" s="90">
        <v>0</v>
      </c>
      <c r="G39" s="90">
        <v>0</v>
      </c>
      <c r="H39" s="90">
        <v>0</v>
      </c>
    </row>
    <row r="40" spans="1:8" x14ac:dyDescent="0.25">
      <c r="C40" s="113" t="s">
        <v>369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A41" s="113" t="s">
        <v>226</v>
      </c>
      <c r="B41" s="113" t="s">
        <v>103</v>
      </c>
      <c r="C41" s="113" t="s">
        <v>368</v>
      </c>
      <c r="D41" s="90">
        <v>1</v>
      </c>
      <c r="E41" s="90">
        <v>1</v>
      </c>
      <c r="F41" s="90">
        <v>1</v>
      </c>
      <c r="G41" s="90">
        <v>1</v>
      </c>
      <c r="H41" s="90">
        <v>1</v>
      </c>
    </row>
    <row r="42" spans="1:8" x14ac:dyDescent="0.25">
      <c r="C42" s="113" t="s">
        <v>370</v>
      </c>
      <c r="D42" s="90">
        <v>0</v>
      </c>
      <c r="E42" s="90">
        <v>0</v>
      </c>
      <c r="F42" s="90">
        <v>0</v>
      </c>
      <c r="G42" s="90">
        <v>0</v>
      </c>
      <c r="H42" s="90">
        <v>0</v>
      </c>
    </row>
    <row r="43" spans="1:8" x14ac:dyDescent="0.25">
      <c r="C43" s="113" t="s">
        <v>369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A44" s="113" t="s">
        <v>232</v>
      </c>
      <c r="B44" s="113" t="s">
        <v>103</v>
      </c>
      <c r="C44" s="113" t="s">
        <v>368</v>
      </c>
      <c r="D44" s="90">
        <v>0</v>
      </c>
      <c r="E44" s="90">
        <v>1</v>
      </c>
      <c r="F44" s="90">
        <v>1</v>
      </c>
      <c r="G44" s="90">
        <v>1</v>
      </c>
      <c r="H44" s="90">
        <v>1</v>
      </c>
    </row>
    <row r="45" spans="1:8" x14ac:dyDescent="0.25">
      <c r="C45" s="113" t="s">
        <v>370</v>
      </c>
      <c r="D45" s="90">
        <v>0</v>
      </c>
      <c r="E45" s="90">
        <v>0</v>
      </c>
      <c r="F45" s="90">
        <v>0</v>
      </c>
      <c r="G45" s="90">
        <v>0</v>
      </c>
      <c r="H45" s="90">
        <v>0</v>
      </c>
    </row>
    <row r="46" spans="1:8" x14ac:dyDescent="0.25">
      <c r="C46" s="113" t="s">
        <v>369</v>
      </c>
      <c r="D46" s="90">
        <v>0.09</v>
      </c>
      <c r="E46" s="90">
        <v>0.09</v>
      </c>
      <c r="F46" s="90">
        <v>0.09</v>
      </c>
      <c r="G46" s="90">
        <v>0.09</v>
      </c>
      <c r="H46" s="90">
        <v>0.09</v>
      </c>
    </row>
    <row r="47" spans="1:8" x14ac:dyDescent="0.25">
      <c r="B47" s="113" t="s">
        <v>121</v>
      </c>
      <c r="C47" s="113" t="s">
        <v>368</v>
      </c>
      <c r="D47" s="90">
        <v>0</v>
      </c>
      <c r="E47" s="90">
        <v>1</v>
      </c>
      <c r="F47" s="90">
        <v>1</v>
      </c>
      <c r="G47" s="90">
        <v>1</v>
      </c>
      <c r="H47" s="90">
        <v>1</v>
      </c>
    </row>
    <row r="48" spans="1:8" x14ac:dyDescent="0.25">
      <c r="C48" s="113" t="s">
        <v>370</v>
      </c>
      <c r="D48" s="90">
        <v>0</v>
      </c>
      <c r="E48" s="90">
        <v>0</v>
      </c>
      <c r="F48" s="90">
        <v>0</v>
      </c>
      <c r="G48" s="90">
        <v>0</v>
      </c>
      <c r="H48" s="90">
        <v>0</v>
      </c>
    </row>
    <row r="49" spans="1:8" x14ac:dyDescent="0.25">
      <c r="C49" s="113" t="s">
        <v>369</v>
      </c>
      <c r="D49" s="90">
        <v>0</v>
      </c>
      <c r="E49" s="90">
        <v>0</v>
      </c>
      <c r="F49" s="90">
        <v>0</v>
      </c>
      <c r="G49" s="90">
        <v>0</v>
      </c>
      <c r="H49" s="90">
        <v>0</v>
      </c>
    </row>
    <row r="50" spans="1:8" x14ac:dyDescent="0.25">
      <c r="A50" s="113" t="s">
        <v>221</v>
      </c>
      <c r="B50" s="113" t="s">
        <v>103</v>
      </c>
      <c r="C50" s="113" t="s">
        <v>368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113" t="s">
        <v>370</v>
      </c>
      <c r="D51" s="90">
        <v>0.69</v>
      </c>
      <c r="E51" s="90">
        <v>0.69</v>
      </c>
      <c r="F51" s="90">
        <v>0.69</v>
      </c>
      <c r="G51" s="90">
        <v>0.69</v>
      </c>
      <c r="H51" s="90">
        <v>0.69</v>
      </c>
    </row>
    <row r="52" spans="1:8" x14ac:dyDescent="0.25">
      <c r="A52" s="113" t="s">
        <v>231</v>
      </c>
      <c r="B52" s="113" t="s">
        <v>103</v>
      </c>
      <c r="C52" s="113" t="s">
        <v>368</v>
      </c>
      <c r="D52" s="90">
        <v>1</v>
      </c>
      <c r="E52" s="90">
        <v>1</v>
      </c>
      <c r="F52" s="90">
        <v>1</v>
      </c>
      <c r="G52" s="90">
        <v>1</v>
      </c>
      <c r="H52" s="90">
        <v>1</v>
      </c>
    </row>
    <row r="53" spans="1:8" x14ac:dyDescent="0.25">
      <c r="C53" s="113" t="s">
        <v>370</v>
      </c>
      <c r="D53" s="90">
        <v>0.76</v>
      </c>
      <c r="E53" s="90">
        <v>0.76</v>
      </c>
      <c r="F53" s="90">
        <v>0.76</v>
      </c>
      <c r="G53" s="90">
        <v>0.76</v>
      </c>
      <c r="H53" s="90">
        <v>0.76</v>
      </c>
    </row>
    <row r="54" spans="1:8" x14ac:dyDescent="0.25">
      <c r="A54" s="113" t="s">
        <v>211</v>
      </c>
      <c r="B54" s="113" t="s">
        <v>115</v>
      </c>
      <c r="C54" s="113" t="s">
        <v>368</v>
      </c>
      <c r="D54" s="90">
        <v>1</v>
      </c>
      <c r="E54" s="90">
        <v>0</v>
      </c>
      <c r="F54" s="90">
        <v>0</v>
      </c>
      <c r="G54" s="90">
        <v>0</v>
      </c>
      <c r="H54" s="90">
        <v>0</v>
      </c>
    </row>
    <row r="55" spans="1:8" x14ac:dyDescent="0.25">
      <c r="C55" s="113" t="s">
        <v>370</v>
      </c>
      <c r="D55" s="90">
        <v>0.32</v>
      </c>
      <c r="E55" s="90">
        <v>0</v>
      </c>
      <c r="F55" s="90">
        <v>0</v>
      </c>
      <c r="G55" s="90">
        <v>0</v>
      </c>
      <c r="H55" s="90">
        <v>0</v>
      </c>
    </row>
    <row r="57" spans="1:8" s="125" customFormat="1" ht="13" x14ac:dyDescent="0.3">
      <c r="A57" s="123" t="s">
        <v>360</v>
      </c>
      <c r="B57" s="124"/>
      <c r="C57" s="124"/>
      <c r="D57" s="93"/>
      <c r="E57" s="93"/>
      <c r="F57" s="93"/>
      <c r="G57" s="93"/>
      <c r="H57" s="93"/>
    </row>
    <row r="58" spans="1:8" ht="13" x14ac:dyDescent="0.3">
      <c r="A58" s="103" t="s">
        <v>192</v>
      </c>
      <c r="B58" s="103" t="s">
        <v>371</v>
      </c>
      <c r="C58" s="120" t="s">
        <v>9</v>
      </c>
      <c r="D58" s="4" t="s">
        <v>97</v>
      </c>
      <c r="E58" s="4" t="s">
        <v>93</v>
      </c>
      <c r="F58" s="4" t="s">
        <v>96</v>
      </c>
      <c r="G58" s="4" t="s">
        <v>94</v>
      </c>
      <c r="H58" s="4" t="s">
        <v>95</v>
      </c>
    </row>
    <row r="59" spans="1:8" x14ac:dyDescent="0.25">
      <c r="A59" s="113" t="s">
        <v>225</v>
      </c>
      <c r="B59" s="113" t="s">
        <v>103</v>
      </c>
      <c r="C59" s="113" t="s">
        <v>368</v>
      </c>
      <c r="D59" s="90">
        <f>IF($C2="Affected fraction",D2,IF(D2=1,1,D2*0.9))</f>
        <v>0</v>
      </c>
      <c r="E59" s="90">
        <f>IF($C2="Affected fraction",E2,IF(E2=1,1,E2*0.9))</f>
        <v>0</v>
      </c>
      <c r="F59" s="90">
        <f>IF($C2="Affected fraction",F2,IF(F2=1,1,F2*0.9))</f>
        <v>1</v>
      </c>
      <c r="G59" s="90">
        <f>IF($C2="Affected fraction",G2,IF(G2=1,1,G2*0.9))</f>
        <v>1</v>
      </c>
      <c r="H59" s="90">
        <f>IF($C2="Affected fraction",H2,IF(H2=1,1,H2*0.9))</f>
        <v>1</v>
      </c>
    </row>
    <row r="60" spans="1:8" x14ac:dyDescent="0.25">
      <c r="C60" s="113" t="s">
        <v>370</v>
      </c>
      <c r="D60" s="90">
        <f>IF($C3="Affected fraction",D3,IF(D3=1,1,D3*0.9))</f>
        <v>0</v>
      </c>
      <c r="E60" s="90">
        <f>IF($C3="Affected fraction",E3,IF(E3=1,1,E3*0.9))</f>
        <v>0</v>
      </c>
      <c r="F60" s="90">
        <v>0.02</v>
      </c>
      <c r="G60" s="90">
        <v>0.02</v>
      </c>
      <c r="H60" s="90">
        <v>0.02</v>
      </c>
    </row>
    <row r="61" spans="1:8" x14ac:dyDescent="0.25">
      <c r="C61" s="113" t="s">
        <v>369</v>
      </c>
      <c r="D61" s="90">
        <f>IF($C4="Affected fraction",D4,IF(D4=1,1,D4*0.9))</f>
        <v>0</v>
      </c>
      <c r="E61" s="90">
        <f>IF($C4="Affected fraction",E4,IF(E4=1,1,E4*0.9))</f>
        <v>0</v>
      </c>
      <c r="F61" s="90">
        <v>0.13</v>
      </c>
      <c r="G61" s="90">
        <v>0.13</v>
      </c>
      <c r="H61" s="90">
        <v>0.13</v>
      </c>
    </row>
    <row r="62" spans="1:8" x14ac:dyDescent="0.25">
      <c r="A62" s="113" t="s">
        <v>222</v>
      </c>
      <c r="B62" s="113" t="s">
        <v>236</v>
      </c>
      <c r="C62" s="113" t="s">
        <v>368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113" t="s">
        <v>369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B64" s="113" t="s">
        <v>6</v>
      </c>
      <c r="C64" s="113" t="s">
        <v>368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113" t="s">
        <v>369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A66" s="113" t="s">
        <v>213</v>
      </c>
      <c r="B66" s="113" t="s">
        <v>236</v>
      </c>
      <c r="C66" s="113" t="s">
        <v>368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113" t="s">
        <v>369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B68" s="113" t="s">
        <v>6</v>
      </c>
      <c r="C68" s="113" t="s">
        <v>368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113" t="s">
        <v>369</v>
      </c>
      <c r="D69" s="90">
        <v>0</v>
      </c>
      <c r="E69" s="90">
        <v>0</v>
      </c>
      <c r="F69" s="90">
        <v>0</v>
      </c>
      <c r="G69" s="90">
        <v>0</v>
      </c>
      <c r="H69" s="90">
        <v>0</v>
      </c>
    </row>
    <row r="70" spans="1:8" x14ac:dyDescent="0.25">
      <c r="A70" s="113" t="s">
        <v>233</v>
      </c>
      <c r="B70" s="113" t="s">
        <v>236</v>
      </c>
      <c r="C70" s="113" t="s">
        <v>368</v>
      </c>
      <c r="D70" s="90">
        <v>0</v>
      </c>
      <c r="E70" s="90">
        <v>0</v>
      </c>
      <c r="F70" s="90">
        <v>1</v>
      </c>
      <c r="G70" s="90">
        <v>1</v>
      </c>
      <c r="H70" s="90">
        <v>0</v>
      </c>
    </row>
    <row r="71" spans="1:8" x14ac:dyDescent="0.25">
      <c r="C71" s="113" t="s">
        <v>369</v>
      </c>
      <c r="D71" s="90">
        <f t="shared" ref="D71:E73" si="0">IF($C14="Affected fraction",D14,IF(D14=1,1,D14*0.9))</f>
        <v>0</v>
      </c>
      <c r="E71" s="90">
        <f t="shared" si="0"/>
        <v>0</v>
      </c>
      <c r="F71" s="90">
        <v>0.14000000000000001</v>
      </c>
      <c r="G71" s="90">
        <v>0.14000000000000001</v>
      </c>
      <c r="H71" s="90">
        <f>IF($C14="Affected fraction",H14,IF(H14=1,1,H14*0.9))</f>
        <v>0</v>
      </c>
    </row>
    <row r="72" spans="1:8" x14ac:dyDescent="0.25">
      <c r="B72" s="113" t="s">
        <v>6</v>
      </c>
      <c r="C72" s="113" t="s">
        <v>368</v>
      </c>
      <c r="D72" s="90">
        <f t="shared" si="0"/>
        <v>0</v>
      </c>
      <c r="E72" s="90">
        <f t="shared" si="0"/>
        <v>0</v>
      </c>
      <c r="F72" s="90">
        <f>IF($C15="Affected fraction",F15,IF(F15=1,1,F15*0.9))</f>
        <v>1</v>
      </c>
      <c r="G72" s="90">
        <f>IF($C15="Affected fraction",G15,IF(G15=1,1,G15*0.9))</f>
        <v>1</v>
      </c>
      <c r="H72" s="90">
        <f>IF($C15="Affected fraction",H15,IF(H15=1,1,H15*0.9))</f>
        <v>0</v>
      </c>
    </row>
    <row r="73" spans="1:8" x14ac:dyDescent="0.25">
      <c r="C73" s="113" t="s">
        <v>369</v>
      </c>
      <c r="D73" s="90">
        <f t="shared" si="0"/>
        <v>0</v>
      </c>
      <c r="E73" s="90">
        <f t="shared" si="0"/>
        <v>0</v>
      </c>
      <c r="F73" s="90">
        <v>0</v>
      </c>
      <c r="G73" s="90">
        <v>0</v>
      </c>
      <c r="H73" s="90">
        <f>IF($C16="Affected fraction",H16,IF(H16=1,1,H16*0.9))</f>
        <v>0</v>
      </c>
    </row>
    <row r="74" spans="1:8" x14ac:dyDescent="0.25">
      <c r="B74" s="113" t="s">
        <v>372</v>
      </c>
      <c r="C74" s="113" t="s">
        <v>368</v>
      </c>
      <c r="D74" s="90">
        <v>0</v>
      </c>
      <c r="E74" s="90">
        <v>0</v>
      </c>
      <c r="F74" s="90">
        <v>1</v>
      </c>
      <c r="G74" s="90">
        <v>1</v>
      </c>
      <c r="H74" s="90">
        <v>0</v>
      </c>
    </row>
    <row r="75" spans="1:8" x14ac:dyDescent="0.25">
      <c r="C75" s="113" t="s">
        <v>370</v>
      </c>
      <c r="D75" s="90">
        <v>0</v>
      </c>
      <c r="E75" s="90">
        <v>0</v>
      </c>
      <c r="F75" s="90">
        <v>0</v>
      </c>
      <c r="G75" s="90">
        <v>0</v>
      </c>
      <c r="H75" s="90">
        <v>0</v>
      </c>
    </row>
    <row r="76" spans="1:8" x14ac:dyDescent="0.25">
      <c r="A76" s="113" t="s">
        <v>196</v>
      </c>
      <c r="B76" s="113" t="s">
        <v>236</v>
      </c>
      <c r="C76" s="113" t="s">
        <v>368</v>
      </c>
      <c r="D76" s="90">
        <f>IF($C19="Affected fraction",D19,IF(D19=1,1,D19*0.9))</f>
        <v>0</v>
      </c>
      <c r="E76" s="90">
        <f>IF($C19="Affected fraction",E19,IF(E19=1,1,E19*0.9))</f>
        <v>0</v>
      </c>
      <c r="F76" s="90">
        <f>IF($C19="Affected fraction",F19,IF(F19=1,1,F19*0.9))</f>
        <v>1</v>
      </c>
      <c r="G76" s="90">
        <f>IF($C19="Affected fraction",G19,IF(G19=1,1,G19*0.9))</f>
        <v>1</v>
      </c>
      <c r="H76" s="90">
        <f>IF($C19="Affected fraction",H19,IF(H19=1,1,H19*0.9))</f>
        <v>1</v>
      </c>
    </row>
    <row r="77" spans="1:8" x14ac:dyDescent="0.25">
      <c r="C77" s="113" t="s">
        <v>369</v>
      </c>
      <c r="D77" s="90">
        <f t="shared" ref="D77:H85" si="1">IF($C20="Affected fraction",D20,IF(D20=1,1,D20*0.9))</f>
        <v>0</v>
      </c>
      <c r="E77" s="90">
        <f t="shared" si="1"/>
        <v>0</v>
      </c>
      <c r="F77" s="90">
        <v>0</v>
      </c>
      <c r="G77" s="90">
        <v>0</v>
      </c>
      <c r="H77" s="90">
        <v>0</v>
      </c>
    </row>
    <row r="78" spans="1:8" x14ac:dyDescent="0.25">
      <c r="B78" s="113" t="s">
        <v>6</v>
      </c>
      <c r="C78" s="113" t="s">
        <v>368</v>
      </c>
      <c r="D78" s="90">
        <f t="shared" si="1"/>
        <v>0</v>
      </c>
      <c r="E78" s="90">
        <f t="shared" si="1"/>
        <v>0</v>
      </c>
      <c r="F78" s="90">
        <v>1</v>
      </c>
      <c r="G78" s="90">
        <v>1</v>
      </c>
      <c r="H78" s="90">
        <v>1</v>
      </c>
    </row>
    <row r="79" spans="1:8" x14ac:dyDescent="0.25">
      <c r="C79" s="113" t="s">
        <v>369</v>
      </c>
      <c r="D79" s="90">
        <f t="shared" si="1"/>
        <v>0</v>
      </c>
      <c r="E79" s="90">
        <f t="shared" si="1"/>
        <v>0</v>
      </c>
      <c r="F79" s="90">
        <v>0</v>
      </c>
      <c r="G79" s="90">
        <v>0</v>
      </c>
      <c r="H79" s="90">
        <v>0</v>
      </c>
    </row>
    <row r="80" spans="1:8" x14ac:dyDescent="0.25">
      <c r="A80" s="113" t="s">
        <v>202</v>
      </c>
      <c r="B80" s="113" t="s">
        <v>111</v>
      </c>
      <c r="C80" s="113" t="s">
        <v>368</v>
      </c>
      <c r="D80" s="90">
        <f t="shared" si="1"/>
        <v>1</v>
      </c>
      <c r="E80" s="90">
        <f t="shared" si="1"/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113" t="s">
        <v>370</v>
      </c>
      <c r="D81" s="90">
        <v>0.11</v>
      </c>
      <c r="E81" s="90">
        <f>IF($C24="Affected fraction",E24,IF(E24=1,1,E24*0.9))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113" t="s">
        <v>200</v>
      </c>
      <c r="B82" s="113" t="s">
        <v>111</v>
      </c>
      <c r="C82" s="113" t="s">
        <v>368</v>
      </c>
      <c r="D82" s="90">
        <f>IF($C25="Affected fraction",D25,IF(D25=1,1,D25*0.9))</f>
        <v>1</v>
      </c>
      <c r="E82" s="90">
        <f>IF($C25="Affected fraction",E25,IF(E25=1,1,E25*0.9))</f>
        <v>0</v>
      </c>
      <c r="F82" s="90">
        <f t="shared" si="1"/>
        <v>0</v>
      </c>
      <c r="G82" s="90">
        <f t="shared" si="1"/>
        <v>0</v>
      </c>
      <c r="H82" s="90">
        <f t="shared" si="1"/>
        <v>0</v>
      </c>
    </row>
    <row r="83" spans="1:8" x14ac:dyDescent="0.25">
      <c r="C83" s="113" t="s">
        <v>370</v>
      </c>
      <c r="D83" s="90">
        <v>0.11</v>
      </c>
      <c r="E83" s="90">
        <f>IF($C26="Affected fraction",E26,IF(E26=1,1,E26*0.9))</f>
        <v>0</v>
      </c>
      <c r="F83" s="90">
        <f t="shared" si="1"/>
        <v>0</v>
      </c>
      <c r="G83" s="90">
        <f t="shared" si="1"/>
        <v>0</v>
      </c>
      <c r="H83" s="90">
        <f t="shared" si="1"/>
        <v>0</v>
      </c>
    </row>
    <row r="84" spans="1:8" x14ac:dyDescent="0.25">
      <c r="A84" s="113" t="s">
        <v>201</v>
      </c>
      <c r="B84" s="113" t="s">
        <v>111</v>
      </c>
      <c r="C84" s="113" t="s">
        <v>368</v>
      </c>
      <c r="D84" s="90">
        <f>IF($C27="Affected fraction",D27,IF(D27=1,1,D27*0.9))</f>
        <v>1</v>
      </c>
      <c r="E84" s="90">
        <f>IF($C27="Affected fraction",E27,IF(E27=1,1,E27*0.9))</f>
        <v>0</v>
      </c>
      <c r="F84" s="90">
        <f t="shared" si="1"/>
        <v>0</v>
      </c>
      <c r="G84" s="90">
        <f t="shared" si="1"/>
        <v>0</v>
      </c>
      <c r="H84" s="90">
        <f t="shared" si="1"/>
        <v>0</v>
      </c>
    </row>
    <row r="85" spans="1:8" x14ac:dyDescent="0.25">
      <c r="C85" s="113" t="s">
        <v>370</v>
      </c>
      <c r="D85" s="90">
        <v>0.11</v>
      </c>
      <c r="E85" s="90">
        <f>IF($C28="Affected fraction",E28,IF(E28=1,1,E28*0.9))</f>
        <v>0</v>
      </c>
      <c r="F85" s="90">
        <f t="shared" si="1"/>
        <v>0</v>
      </c>
      <c r="G85" s="90">
        <f t="shared" si="1"/>
        <v>0</v>
      </c>
      <c r="H85" s="90">
        <f t="shared" si="1"/>
        <v>0</v>
      </c>
    </row>
    <row r="86" spans="1:8" x14ac:dyDescent="0.25">
      <c r="A86" s="113" t="s">
        <v>229</v>
      </c>
      <c r="B86" s="113" t="s">
        <v>103</v>
      </c>
      <c r="C86" s="113" t="s">
        <v>368</v>
      </c>
      <c r="D86" s="90">
        <v>1</v>
      </c>
      <c r="E86" s="90">
        <v>1</v>
      </c>
      <c r="F86" s="90">
        <v>1</v>
      </c>
      <c r="G86" s="90">
        <v>1</v>
      </c>
      <c r="H86" s="90">
        <v>1</v>
      </c>
    </row>
    <row r="87" spans="1:8" x14ac:dyDescent="0.25">
      <c r="C87" s="113" t="s">
        <v>370</v>
      </c>
      <c r="D87" s="90">
        <v>7.0000000000000007E-2</v>
      </c>
      <c r="E87" s="90">
        <v>7.0000000000000007E-2</v>
      </c>
      <c r="F87" s="90">
        <v>7.0000000000000007E-2</v>
      </c>
      <c r="G87" s="90">
        <v>7.0000000000000007E-2</v>
      </c>
      <c r="H87" s="90">
        <v>7.0000000000000007E-2</v>
      </c>
    </row>
    <row r="88" spans="1:8" x14ac:dyDescent="0.25">
      <c r="C88" s="113" t="s">
        <v>369</v>
      </c>
      <c r="D88" s="90">
        <v>0</v>
      </c>
      <c r="E88" s="90">
        <v>0</v>
      </c>
      <c r="F88" s="90">
        <v>0</v>
      </c>
      <c r="G88" s="90">
        <v>0</v>
      </c>
      <c r="H88" s="90">
        <v>0</v>
      </c>
    </row>
    <row r="89" spans="1:8" x14ac:dyDescent="0.25">
      <c r="A89" s="113" t="s">
        <v>230</v>
      </c>
      <c r="B89" s="113" t="s">
        <v>103</v>
      </c>
      <c r="C89" s="113" t="s">
        <v>368</v>
      </c>
      <c r="D89" s="90">
        <v>1</v>
      </c>
      <c r="E89" s="90">
        <v>1</v>
      </c>
      <c r="F89" s="90">
        <v>1</v>
      </c>
      <c r="G89" s="90">
        <v>1</v>
      </c>
      <c r="H89" s="90">
        <v>1</v>
      </c>
    </row>
    <row r="90" spans="1:8" x14ac:dyDescent="0.25">
      <c r="C90" s="113" t="s">
        <v>370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C91" s="113" t="s">
        <v>369</v>
      </c>
      <c r="D91" s="90">
        <v>0</v>
      </c>
      <c r="E91" s="90">
        <v>0</v>
      </c>
      <c r="F91" s="90">
        <v>0</v>
      </c>
      <c r="G91" s="90">
        <v>0</v>
      </c>
      <c r="H91" s="90">
        <v>0</v>
      </c>
    </row>
    <row r="92" spans="1:8" x14ac:dyDescent="0.25">
      <c r="A92" s="113" t="s">
        <v>228</v>
      </c>
      <c r="B92" s="113" t="s">
        <v>103</v>
      </c>
      <c r="C92" s="113" t="s">
        <v>368</v>
      </c>
      <c r="D92" s="90">
        <v>1</v>
      </c>
      <c r="E92" s="90">
        <v>1</v>
      </c>
      <c r="F92" s="90">
        <v>1</v>
      </c>
      <c r="G92" s="90">
        <v>1</v>
      </c>
      <c r="H92" s="90">
        <v>1</v>
      </c>
    </row>
    <row r="93" spans="1:8" x14ac:dyDescent="0.25">
      <c r="C93" s="113" t="s">
        <v>370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C94" s="113" t="s">
        <v>369</v>
      </c>
      <c r="D94" s="90">
        <v>0</v>
      </c>
      <c r="E94" s="90">
        <v>0</v>
      </c>
      <c r="F94" s="90">
        <v>0</v>
      </c>
      <c r="G94" s="90">
        <v>0</v>
      </c>
      <c r="H94" s="90">
        <v>0</v>
      </c>
    </row>
    <row r="95" spans="1:8" x14ac:dyDescent="0.25">
      <c r="A95" s="113" t="s">
        <v>227</v>
      </c>
      <c r="B95" s="113" t="s">
        <v>103</v>
      </c>
      <c r="C95" s="113" t="s">
        <v>368</v>
      </c>
      <c r="D95" s="90">
        <v>1</v>
      </c>
      <c r="E95" s="90">
        <v>1</v>
      </c>
      <c r="F95" s="90">
        <v>1</v>
      </c>
      <c r="G95" s="90">
        <v>1</v>
      </c>
      <c r="H95" s="90">
        <v>1</v>
      </c>
    </row>
    <row r="96" spans="1:8" x14ac:dyDescent="0.25">
      <c r="C96" s="113" t="s">
        <v>370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C97" s="113" t="s">
        <v>369</v>
      </c>
      <c r="D97" s="90">
        <v>0</v>
      </c>
      <c r="E97" s="90">
        <v>0</v>
      </c>
      <c r="F97" s="90">
        <v>0</v>
      </c>
      <c r="G97" s="90">
        <v>0</v>
      </c>
      <c r="H97" s="90">
        <v>0</v>
      </c>
    </row>
    <row r="98" spans="1:8" x14ac:dyDescent="0.25">
      <c r="A98" s="113" t="s">
        <v>226</v>
      </c>
      <c r="B98" s="113" t="s">
        <v>103</v>
      </c>
      <c r="C98" s="113" t="s">
        <v>368</v>
      </c>
      <c r="D98" s="90">
        <v>1</v>
      </c>
      <c r="E98" s="90">
        <v>1</v>
      </c>
      <c r="F98" s="90">
        <v>1</v>
      </c>
      <c r="G98" s="90">
        <v>1</v>
      </c>
      <c r="H98" s="90">
        <v>1</v>
      </c>
    </row>
    <row r="99" spans="1:8" x14ac:dyDescent="0.25">
      <c r="C99" s="113" t="s">
        <v>370</v>
      </c>
      <c r="D99" s="90">
        <v>0</v>
      </c>
      <c r="E99" s="90">
        <v>0</v>
      </c>
      <c r="F99" s="90">
        <v>0</v>
      </c>
      <c r="G99" s="90">
        <v>0</v>
      </c>
      <c r="H99" s="90">
        <v>0</v>
      </c>
    </row>
    <row r="100" spans="1:8" x14ac:dyDescent="0.25">
      <c r="C100" s="113" t="s">
        <v>369</v>
      </c>
      <c r="D100" s="90">
        <v>0</v>
      </c>
      <c r="E100" s="90">
        <v>0</v>
      </c>
      <c r="F100" s="90">
        <v>0</v>
      </c>
      <c r="G100" s="90">
        <v>0</v>
      </c>
      <c r="H100" s="90">
        <v>0</v>
      </c>
    </row>
    <row r="101" spans="1:8" x14ac:dyDescent="0.25">
      <c r="A101" s="113" t="s">
        <v>232</v>
      </c>
      <c r="B101" s="113" t="s">
        <v>103</v>
      </c>
      <c r="C101" s="113" t="s">
        <v>368</v>
      </c>
      <c r="D101" s="90">
        <f>IF($C44="Affected fraction",D44,IF(D44=1,1,D44*0.9))</f>
        <v>0</v>
      </c>
      <c r="E101" s="90">
        <f>IF($C44="Affected fraction",E44,IF(E44=1,1,E44*0.9))</f>
        <v>1</v>
      </c>
      <c r="F101" s="90">
        <f>IF($C44="Affected fraction",F44,IF(F44=1,1,F44*0.9))</f>
        <v>1</v>
      </c>
      <c r="G101" s="90">
        <f>IF($C44="Affected fraction",G44,IF(G44=1,1,G44*0.9))</f>
        <v>1</v>
      </c>
      <c r="H101" s="90">
        <f>IF($C44="Affected fraction",H44,IF(H44=1,1,H44*0.9))</f>
        <v>1</v>
      </c>
    </row>
    <row r="102" spans="1:8" x14ac:dyDescent="0.25">
      <c r="C102" s="113" t="s">
        <v>370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C103" s="113" t="s">
        <v>369</v>
      </c>
      <c r="D103" s="90">
        <v>7.0000000000000007E-2</v>
      </c>
      <c r="E103" s="90">
        <v>7.0000000000000007E-2</v>
      </c>
      <c r="F103" s="90">
        <v>7.0000000000000007E-2</v>
      </c>
      <c r="G103" s="90">
        <v>7.0000000000000007E-2</v>
      </c>
      <c r="H103" s="90">
        <v>7.0000000000000007E-2</v>
      </c>
    </row>
    <row r="104" spans="1:8" x14ac:dyDescent="0.25">
      <c r="B104" s="113" t="s">
        <v>121</v>
      </c>
      <c r="C104" s="113" t="s">
        <v>368</v>
      </c>
      <c r="D104" s="90">
        <v>0</v>
      </c>
      <c r="E104" s="90">
        <v>1</v>
      </c>
      <c r="F104" s="90">
        <v>1</v>
      </c>
      <c r="G104" s="90">
        <v>1</v>
      </c>
      <c r="H104" s="90">
        <v>1</v>
      </c>
    </row>
    <row r="105" spans="1:8" x14ac:dyDescent="0.25">
      <c r="C105" s="113" t="s">
        <v>370</v>
      </c>
      <c r="D105" s="90">
        <v>0</v>
      </c>
      <c r="E105" s="90">
        <v>0</v>
      </c>
      <c r="F105" s="90">
        <v>0</v>
      </c>
      <c r="G105" s="90">
        <v>0</v>
      </c>
      <c r="H105" s="90">
        <v>0</v>
      </c>
    </row>
    <row r="106" spans="1:8" x14ac:dyDescent="0.25">
      <c r="C106" s="113" t="s">
        <v>369</v>
      </c>
      <c r="D106" s="90">
        <v>0</v>
      </c>
      <c r="E106" s="90">
        <v>0</v>
      </c>
      <c r="F106" s="90">
        <v>0</v>
      </c>
      <c r="G106" s="90">
        <v>0</v>
      </c>
      <c r="H106" s="90">
        <v>0</v>
      </c>
    </row>
    <row r="107" spans="1:8" x14ac:dyDescent="0.25">
      <c r="A107" s="113" t="s">
        <v>221</v>
      </c>
      <c r="B107" s="113" t="s">
        <v>103</v>
      </c>
      <c r="C107" s="113" t="s">
        <v>368</v>
      </c>
      <c r="D107" s="90">
        <v>1</v>
      </c>
      <c r="E107" s="90">
        <v>1</v>
      </c>
      <c r="F107" s="90">
        <v>1</v>
      </c>
      <c r="G107" s="90">
        <v>1</v>
      </c>
      <c r="H107" s="90">
        <v>1</v>
      </c>
    </row>
    <row r="108" spans="1:8" x14ac:dyDescent="0.25">
      <c r="C108" s="113" t="s">
        <v>370</v>
      </c>
      <c r="D108" s="90">
        <v>0.51</v>
      </c>
      <c r="E108" s="90">
        <v>0.51</v>
      </c>
      <c r="F108" s="90">
        <v>0.51</v>
      </c>
      <c r="G108" s="90">
        <v>0.51</v>
      </c>
      <c r="H108" s="90">
        <v>0.51</v>
      </c>
    </row>
    <row r="109" spans="1:8" x14ac:dyDescent="0.25">
      <c r="A109" s="113" t="s">
        <v>231</v>
      </c>
      <c r="B109" s="113" t="s">
        <v>103</v>
      </c>
      <c r="C109" s="113" t="s">
        <v>368</v>
      </c>
      <c r="D109" s="90">
        <v>1</v>
      </c>
      <c r="E109" s="90">
        <v>1</v>
      </c>
      <c r="F109" s="90">
        <v>1</v>
      </c>
      <c r="G109" s="90">
        <v>1</v>
      </c>
      <c r="H109" s="90">
        <v>1</v>
      </c>
    </row>
    <row r="110" spans="1:8" x14ac:dyDescent="0.25">
      <c r="C110" s="113" t="s">
        <v>370</v>
      </c>
      <c r="D110" s="90">
        <v>0.62</v>
      </c>
      <c r="E110" s="90">
        <v>0.62</v>
      </c>
      <c r="F110" s="90">
        <v>0.62</v>
      </c>
      <c r="G110" s="90">
        <v>0.62</v>
      </c>
      <c r="H110" s="90">
        <v>0.62</v>
      </c>
    </row>
    <row r="111" spans="1:8" x14ac:dyDescent="0.25">
      <c r="A111" s="113" t="s">
        <v>211</v>
      </c>
      <c r="B111" s="113" t="s">
        <v>115</v>
      </c>
      <c r="C111" s="113" t="s">
        <v>368</v>
      </c>
      <c r="D111" s="90">
        <v>1</v>
      </c>
      <c r="E111" s="90">
        <v>0</v>
      </c>
      <c r="F111" s="90">
        <v>0</v>
      </c>
      <c r="G111" s="90">
        <v>0</v>
      </c>
      <c r="H111" s="90">
        <v>0</v>
      </c>
    </row>
    <row r="112" spans="1:8" x14ac:dyDescent="0.25">
      <c r="C112" s="113" t="s">
        <v>370</v>
      </c>
      <c r="D112" s="90">
        <v>0.14000000000000001</v>
      </c>
      <c r="E112" s="90">
        <v>0</v>
      </c>
      <c r="F112" s="90">
        <v>0</v>
      </c>
      <c r="G112" s="90">
        <v>0</v>
      </c>
      <c r="H112" s="90">
        <v>0</v>
      </c>
    </row>
    <row r="114" spans="1:8" s="125" customFormat="1" ht="13" x14ac:dyDescent="0.3">
      <c r="A114" s="123" t="s">
        <v>367</v>
      </c>
      <c r="B114" s="124"/>
      <c r="C114" s="124"/>
      <c r="D114" s="93"/>
      <c r="E114" s="93"/>
      <c r="F114" s="93"/>
      <c r="G114" s="93"/>
      <c r="H114" s="93"/>
    </row>
    <row r="115" spans="1:8" ht="13" x14ac:dyDescent="0.3">
      <c r="A115" s="103" t="s">
        <v>192</v>
      </c>
      <c r="B115" s="103" t="s">
        <v>371</v>
      </c>
      <c r="C115" s="120" t="s">
        <v>9</v>
      </c>
      <c r="D115" s="4" t="s">
        <v>97</v>
      </c>
      <c r="E115" s="4" t="s">
        <v>93</v>
      </c>
      <c r="F115" s="4" t="s">
        <v>96</v>
      </c>
      <c r="G115" s="4" t="s">
        <v>94</v>
      </c>
      <c r="H115" s="4" t="s">
        <v>95</v>
      </c>
    </row>
    <row r="116" spans="1:8" x14ac:dyDescent="0.25">
      <c r="A116" s="113" t="s">
        <v>225</v>
      </c>
      <c r="B116" s="113" t="s">
        <v>103</v>
      </c>
      <c r="C116" s="113" t="s">
        <v>368</v>
      </c>
      <c r="D116" s="90">
        <f t="shared" ref="D116:E118" si="2">IF($C2="Affected fraction",D2,IF(D2=1,1,D2*1.05))</f>
        <v>0</v>
      </c>
      <c r="E116" s="90">
        <f t="shared" si="2"/>
        <v>0</v>
      </c>
      <c r="F116" s="90">
        <f>IF($C59="Affected fraction",F59,IF(F59=1,1,F59*0.9))</f>
        <v>1</v>
      </c>
      <c r="G116" s="90">
        <f>IF($C59="Affected fraction",G59,IF(G59=1,1,G59*0.9))</f>
        <v>1</v>
      </c>
      <c r="H116" s="90">
        <f>IF($C59="Affected fraction",H59,IF(H59=1,1,H59*0.9))</f>
        <v>1</v>
      </c>
    </row>
    <row r="117" spans="1:8" x14ac:dyDescent="0.25">
      <c r="C117" s="113" t="s">
        <v>370</v>
      </c>
      <c r="D117" s="90">
        <f t="shared" si="2"/>
        <v>0</v>
      </c>
      <c r="E117" s="90">
        <f t="shared" si="2"/>
        <v>0</v>
      </c>
      <c r="F117" s="90">
        <v>0.21</v>
      </c>
      <c r="G117" s="90">
        <v>0.21</v>
      </c>
      <c r="H117" s="90">
        <v>0.21</v>
      </c>
    </row>
    <row r="118" spans="1:8" x14ac:dyDescent="0.25">
      <c r="C118" s="113" t="s">
        <v>369</v>
      </c>
      <c r="D118" s="90">
        <f t="shared" si="2"/>
        <v>0</v>
      </c>
      <c r="E118" s="90">
        <f t="shared" si="2"/>
        <v>0</v>
      </c>
      <c r="F118" s="90">
        <v>0.18</v>
      </c>
      <c r="G118" s="90">
        <v>0.18</v>
      </c>
      <c r="H118" s="90">
        <v>0.18</v>
      </c>
    </row>
    <row r="119" spans="1:8" x14ac:dyDescent="0.25">
      <c r="A119" s="113" t="s">
        <v>222</v>
      </c>
      <c r="B119" s="113" t="s">
        <v>236</v>
      </c>
      <c r="C119" s="113" t="s">
        <v>368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113" t="s">
        <v>369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113" t="s">
        <v>6</v>
      </c>
      <c r="C121" s="113" t="s">
        <v>368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113" t="s">
        <v>369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113" t="s">
        <v>213</v>
      </c>
      <c r="B123" s="113" t="s">
        <v>236</v>
      </c>
      <c r="C123" s="113" t="s">
        <v>368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113" t="s">
        <v>369</v>
      </c>
      <c r="D124" s="90">
        <v>0</v>
      </c>
      <c r="E124" s="90">
        <v>0</v>
      </c>
      <c r="F124" s="90">
        <v>0</v>
      </c>
      <c r="G124" s="90">
        <v>0</v>
      </c>
      <c r="H124" s="90">
        <v>0</v>
      </c>
    </row>
    <row r="125" spans="1:8" x14ac:dyDescent="0.25">
      <c r="B125" s="113" t="s">
        <v>6</v>
      </c>
      <c r="C125" s="113" t="s">
        <v>368</v>
      </c>
      <c r="D125" s="90">
        <v>0</v>
      </c>
      <c r="E125" s="90">
        <v>0</v>
      </c>
      <c r="F125" s="90">
        <v>1</v>
      </c>
      <c r="G125" s="90">
        <v>1</v>
      </c>
      <c r="H125" s="90">
        <v>0</v>
      </c>
    </row>
    <row r="126" spans="1:8" x14ac:dyDescent="0.25">
      <c r="C126" s="113" t="s">
        <v>369</v>
      </c>
      <c r="D126" s="90">
        <v>0</v>
      </c>
      <c r="E126" s="90">
        <v>0</v>
      </c>
      <c r="F126" s="90">
        <v>0</v>
      </c>
      <c r="G126" s="90">
        <v>0</v>
      </c>
      <c r="H126" s="90">
        <v>0</v>
      </c>
    </row>
    <row r="127" spans="1:8" x14ac:dyDescent="0.25">
      <c r="A127" s="113" t="s">
        <v>233</v>
      </c>
      <c r="B127" s="113" t="s">
        <v>236</v>
      </c>
      <c r="C127" s="113" t="s">
        <v>368</v>
      </c>
      <c r="D127" s="90">
        <v>0</v>
      </c>
      <c r="E127" s="90">
        <v>0</v>
      </c>
      <c r="F127" s="90">
        <v>1</v>
      </c>
      <c r="G127" s="90">
        <v>1</v>
      </c>
      <c r="H127" s="90">
        <v>0</v>
      </c>
    </row>
    <row r="128" spans="1:8" x14ac:dyDescent="0.25">
      <c r="C128" s="113" t="s">
        <v>369</v>
      </c>
      <c r="D128" s="90">
        <f t="shared" ref="D128:E130" si="3">IF($C14="Affected fraction",D14,IF(D14=1,1,D14*1.05))</f>
        <v>0</v>
      </c>
      <c r="E128" s="90">
        <f t="shared" si="3"/>
        <v>0</v>
      </c>
      <c r="F128" s="90">
        <v>0.45</v>
      </c>
      <c r="G128" s="90">
        <v>0.45</v>
      </c>
      <c r="H128" s="90">
        <f>IF($C14="Affected fraction",H14,IF(H14=1,1,H14*1.05))</f>
        <v>0</v>
      </c>
    </row>
    <row r="129" spans="1:8" x14ac:dyDescent="0.25">
      <c r="B129" s="113" t="s">
        <v>6</v>
      </c>
      <c r="C129" s="113" t="s">
        <v>368</v>
      </c>
      <c r="D129" s="90">
        <f t="shared" si="3"/>
        <v>0</v>
      </c>
      <c r="E129" s="90">
        <f t="shared" si="3"/>
        <v>0</v>
      </c>
      <c r="F129" s="90">
        <f>IF($C15="Affected fraction",F15,IF(F15=1,1,F15*1.05))</f>
        <v>1</v>
      </c>
      <c r="G129" s="90">
        <f>IF($C15="Affected fraction",G15,IF(G15=1,1,G15*1.05))</f>
        <v>1</v>
      </c>
      <c r="H129" s="90">
        <f>IF($C15="Affected fraction",H15,IF(H15=1,1,H15*1.05))</f>
        <v>0</v>
      </c>
    </row>
    <row r="130" spans="1:8" x14ac:dyDescent="0.25">
      <c r="C130" s="113" t="s">
        <v>369</v>
      </c>
      <c r="D130" s="90">
        <f t="shared" si="3"/>
        <v>0</v>
      </c>
      <c r="E130" s="90">
        <f t="shared" si="3"/>
        <v>0</v>
      </c>
      <c r="F130" s="90">
        <v>0.2</v>
      </c>
      <c r="G130" s="90">
        <v>0.2</v>
      </c>
      <c r="H130" s="90">
        <f>IF($C16="Affected fraction",H16,IF(H16=1,1,H16*1.05))</f>
        <v>0</v>
      </c>
    </row>
    <row r="131" spans="1:8" x14ac:dyDescent="0.25">
      <c r="B131" s="113" t="s">
        <v>372</v>
      </c>
      <c r="C131" s="113" t="s">
        <v>368</v>
      </c>
      <c r="D131" s="90">
        <v>0</v>
      </c>
      <c r="E131" s="90">
        <v>0</v>
      </c>
      <c r="F131" s="90">
        <v>1</v>
      </c>
      <c r="G131" s="90">
        <v>1</v>
      </c>
      <c r="H131" s="90">
        <v>0</v>
      </c>
    </row>
    <row r="132" spans="1:8" x14ac:dyDescent="0.25">
      <c r="C132" s="113" t="s">
        <v>370</v>
      </c>
      <c r="D132" s="90">
        <v>0</v>
      </c>
      <c r="E132" s="90">
        <v>0</v>
      </c>
      <c r="F132" s="90">
        <v>0</v>
      </c>
      <c r="G132" s="90">
        <v>0</v>
      </c>
      <c r="H132" s="90">
        <v>0</v>
      </c>
    </row>
    <row r="133" spans="1:8" x14ac:dyDescent="0.25">
      <c r="A133" s="113" t="s">
        <v>196</v>
      </c>
      <c r="B133" s="113" t="s">
        <v>236</v>
      </c>
      <c r="C133" s="113" t="s">
        <v>368</v>
      </c>
      <c r="D133" s="90">
        <f>IF($C19="Affected fraction",D19,IF(D19=1,1,D19*1.05))</f>
        <v>0</v>
      </c>
      <c r="E133" s="90">
        <f>IF($C19="Affected fraction",E19,IF(E19=1,1,E19*1.05))</f>
        <v>0</v>
      </c>
      <c r="F133" s="90">
        <f>IF($C19="Affected fraction",F19,IF(F19=1,1,F19*1.05))</f>
        <v>1</v>
      </c>
      <c r="G133" s="90">
        <f>IF($C19="Affected fraction",G19,IF(G19=1,1,G19*1.05))</f>
        <v>1</v>
      </c>
      <c r="H133" s="90">
        <f>IF($C19="Affected fraction",H19,IF(H19=1,1,H19*1.05))</f>
        <v>1</v>
      </c>
    </row>
    <row r="134" spans="1:8" x14ac:dyDescent="0.25">
      <c r="C134" s="113" t="s">
        <v>369</v>
      </c>
      <c r="D134" s="90">
        <f t="shared" ref="D134:H142" si="4">IF($C20="Affected fraction",D20,IF(D20=1,1,D20*1.05))</f>
        <v>0</v>
      </c>
      <c r="E134" s="90">
        <f t="shared" si="4"/>
        <v>0</v>
      </c>
      <c r="F134" s="90">
        <v>0</v>
      </c>
      <c r="G134" s="90">
        <v>0</v>
      </c>
      <c r="H134" s="90">
        <v>0</v>
      </c>
    </row>
    <row r="135" spans="1:8" x14ac:dyDescent="0.25">
      <c r="B135" s="113" t="s">
        <v>6</v>
      </c>
      <c r="C135" s="113" t="s">
        <v>368</v>
      </c>
      <c r="D135" s="90">
        <f t="shared" si="4"/>
        <v>0</v>
      </c>
      <c r="E135" s="90">
        <f t="shared" si="4"/>
        <v>0</v>
      </c>
      <c r="F135" s="90">
        <v>1</v>
      </c>
      <c r="G135" s="90">
        <v>1</v>
      </c>
      <c r="H135" s="90">
        <v>1</v>
      </c>
    </row>
    <row r="136" spans="1:8" x14ac:dyDescent="0.25">
      <c r="C136" s="113" t="s">
        <v>369</v>
      </c>
      <c r="D136" s="90">
        <f t="shared" si="4"/>
        <v>0</v>
      </c>
      <c r="E136" s="90">
        <f t="shared" si="4"/>
        <v>0</v>
      </c>
      <c r="F136" s="90">
        <v>0</v>
      </c>
      <c r="G136" s="90">
        <v>0</v>
      </c>
      <c r="H136" s="90">
        <v>0</v>
      </c>
    </row>
    <row r="137" spans="1:8" x14ac:dyDescent="0.25">
      <c r="A137" s="113" t="s">
        <v>202</v>
      </c>
      <c r="B137" s="113" t="s">
        <v>111</v>
      </c>
      <c r="C137" s="113" t="s">
        <v>368</v>
      </c>
      <c r="D137" s="90">
        <f>IF($C80="Affected fraction",D80,IF(D80=1,1,D80*0.9))</f>
        <v>1</v>
      </c>
      <c r="E137" s="90">
        <f t="shared" si="4"/>
        <v>0</v>
      </c>
      <c r="F137" s="90">
        <f t="shared" si="4"/>
        <v>0</v>
      </c>
      <c r="G137" s="90">
        <f t="shared" si="4"/>
        <v>0</v>
      </c>
      <c r="H137" s="90">
        <f t="shared" si="4"/>
        <v>0</v>
      </c>
    </row>
    <row r="138" spans="1:8" x14ac:dyDescent="0.25">
      <c r="C138" s="113" t="s">
        <v>370</v>
      </c>
      <c r="D138" s="90">
        <v>0.16</v>
      </c>
      <c r="E138" s="90">
        <f t="shared" si="4"/>
        <v>0</v>
      </c>
      <c r="F138" s="90">
        <f t="shared" si="4"/>
        <v>0</v>
      </c>
      <c r="G138" s="90">
        <f t="shared" si="4"/>
        <v>0</v>
      </c>
      <c r="H138" s="90">
        <f t="shared" si="4"/>
        <v>0</v>
      </c>
    </row>
    <row r="139" spans="1:8" x14ac:dyDescent="0.25">
      <c r="A139" s="113" t="s">
        <v>200</v>
      </c>
      <c r="B139" s="113" t="s">
        <v>111</v>
      </c>
      <c r="C139" s="113" t="s">
        <v>368</v>
      </c>
      <c r="D139" s="90">
        <f>IF($C82="Affected fraction",D82,IF(D82=1,1,D82*0.9))</f>
        <v>1</v>
      </c>
      <c r="E139" s="90">
        <f t="shared" si="4"/>
        <v>0</v>
      </c>
      <c r="F139" s="90">
        <f t="shared" si="4"/>
        <v>0</v>
      </c>
      <c r="G139" s="90">
        <f t="shared" si="4"/>
        <v>0</v>
      </c>
      <c r="H139" s="90">
        <f t="shared" si="4"/>
        <v>0</v>
      </c>
    </row>
    <row r="140" spans="1:8" x14ac:dyDescent="0.25">
      <c r="C140" s="113" t="s">
        <v>370</v>
      </c>
      <c r="D140" s="90">
        <v>0.16</v>
      </c>
      <c r="E140" s="90">
        <f t="shared" si="4"/>
        <v>0</v>
      </c>
      <c r="F140" s="90">
        <f t="shared" si="4"/>
        <v>0</v>
      </c>
      <c r="G140" s="90">
        <f t="shared" si="4"/>
        <v>0</v>
      </c>
      <c r="H140" s="90">
        <f t="shared" si="4"/>
        <v>0</v>
      </c>
    </row>
    <row r="141" spans="1:8" x14ac:dyDescent="0.25">
      <c r="A141" s="113" t="s">
        <v>201</v>
      </c>
      <c r="B141" s="113" t="s">
        <v>111</v>
      </c>
      <c r="C141" s="113" t="s">
        <v>368</v>
      </c>
      <c r="D141" s="90">
        <f>IF($C84="Affected fraction",D84,IF(D84=1,1,D84*0.9))</f>
        <v>1</v>
      </c>
      <c r="E141" s="90">
        <f t="shared" si="4"/>
        <v>0</v>
      </c>
      <c r="F141" s="90">
        <f t="shared" si="4"/>
        <v>0</v>
      </c>
      <c r="G141" s="90">
        <f t="shared" si="4"/>
        <v>0</v>
      </c>
      <c r="H141" s="90">
        <f t="shared" si="4"/>
        <v>0</v>
      </c>
    </row>
    <row r="142" spans="1:8" x14ac:dyDescent="0.25">
      <c r="C142" s="113" t="s">
        <v>370</v>
      </c>
      <c r="D142" s="90">
        <v>0.16</v>
      </c>
      <c r="E142" s="90">
        <f t="shared" si="4"/>
        <v>0</v>
      </c>
      <c r="F142" s="90">
        <f t="shared" si="4"/>
        <v>0</v>
      </c>
      <c r="G142" s="90">
        <f t="shared" si="4"/>
        <v>0</v>
      </c>
      <c r="H142" s="90">
        <f t="shared" si="4"/>
        <v>0</v>
      </c>
    </row>
    <row r="143" spans="1:8" x14ac:dyDescent="0.25">
      <c r="A143" s="113" t="s">
        <v>229</v>
      </c>
      <c r="B143" s="113" t="s">
        <v>103</v>
      </c>
      <c r="C143" s="113" t="s">
        <v>368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113" t="s">
        <v>370</v>
      </c>
      <c r="D144" s="90">
        <v>0.51</v>
      </c>
      <c r="E144" s="90">
        <v>0.51</v>
      </c>
      <c r="F144" s="90">
        <v>0.51</v>
      </c>
      <c r="G144" s="90">
        <v>0.51</v>
      </c>
      <c r="H144" s="90">
        <v>0.51</v>
      </c>
    </row>
    <row r="145" spans="1:8" x14ac:dyDescent="0.25">
      <c r="C145" s="113" t="s">
        <v>369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113" t="s">
        <v>230</v>
      </c>
      <c r="B146" s="113" t="s">
        <v>103</v>
      </c>
      <c r="C146" s="113" t="s">
        <v>368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113" t="s">
        <v>370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113" t="s">
        <v>369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113" t="s">
        <v>228</v>
      </c>
      <c r="B149" s="113" t="s">
        <v>103</v>
      </c>
      <c r="C149" s="113" t="s">
        <v>368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113" t="s">
        <v>370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113" t="s">
        <v>369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113" t="s">
        <v>227</v>
      </c>
      <c r="B152" s="113" t="s">
        <v>103</v>
      </c>
      <c r="C152" s="113" t="s">
        <v>368</v>
      </c>
      <c r="D152" s="90">
        <v>1</v>
      </c>
      <c r="E152" s="90">
        <v>1</v>
      </c>
      <c r="F152" s="90">
        <v>1</v>
      </c>
      <c r="G152" s="90">
        <v>1</v>
      </c>
      <c r="H152" s="90">
        <v>1</v>
      </c>
    </row>
    <row r="153" spans="1:8" x14ac:dyDescent="0.25">
      <c r="C153" s="113" t="s">
        <v>370</v>
      </c>
      <c r="D153" s="90">
        <v>0</v>
      </c>
      <c r="E153" s="90">
        <v>0</v>
      </c>
      <c r="F153" s="90">
        <v>0</v>
      </c>
      <c r="G153" s="90">
        <v>0</v>
      </c>
      <c r="H153" s="90">
        <v>0</v>
      </c>
    </row>
    <row r="154" spans="1:8" x14ac:dyDescent="0.25">
      <c r="C154" s="113" t="s">
        <v>369</v>
      </c>
      <c r="D154" s="90">
        <v>0</v>
      </c>
      <c r="E154" s="90">
        <v>0</v>
      </c>
      <c r="F154" s="90">
        <v>0</v>
      </c>
      <c r="G154" s="90">
        <v>0</v>
      </c>
      <c r="H154" s="90">
        <v>0</v>
      </c>
    </row>
    <row r="155" spans="1:8" x14ac:dyDescent="0.25">
      <c r="A155" s="113" t="s">
        <v>226</v>
      </c>
      <c r="B155" s="113" t="s">
        <v>103</v>
      </c>
      <c r="C155" s="113" t="s">
        <v>368</v>
      </c>
      <c r="D155" s="90">
        <v>1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113" t="s">
        <v>370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113" t="s">
        <v>369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113" t="s">
        <v>232</v>
      </c>
      <c r="B158" s="113" t="s">
        <v>103</v>
      </c>
      <c r="C158" s="113" t="s">
        <v>368</v>
      </c>
      <c r="D158" s="90">
        <f t="shared" ref="D158:H159" si="5">IF($C101="Affected fraction",D101,IF(D101=1,1,D101*0.9))</f>
        <v>0</v>
      </c>
      <c r="E158" s="90">
        <f t="shared" si="5"/>
        <v>1</v>
      </c>
      <c r="F158" s="90">
        <f t="shared" si="5"/>
        <v>1</v>
      </c>
      <c r="G158" s="90">
        <f t="shared" si="5"/>
        <v>1</v>
      </c>
      <c r="H158" s="90">
        <f t="shared" si="5"/>
        <v>1</v>
      </c>
    </row>
    <row r="159" spans="1:8" x14ac:dyDescent="0.25">
      <c r="C159" s="113" t="s">
        <v>370</v>
      </c>
      <c r="D159" s="90">
        <f t="shared" si="5"/>
        <v>0</v>
      </c>
      <c r="E159" s="90">
        <f t="shared" si="5"/>
        <v>0</v>
      </c>
      <c r="F159" s="90">
        <f t="shared" si="5"/>
        <v>0</v>
      </c>
      <c r="G159" s="90">
        <f t="shared" si="5"/>
        <v>0</v>
      </c>
      <c r="H159" s="90">
        <f t="shared" si="5"/>
        <v>0</v>
      </c>
    </row>
    <row r="160" spans="1:8" x14ac:dyDescent="0.25">
      <c r="C160" s="113" t="s">
        <v>369</v>
      </c>
      <c r="D160" s="90">
        <v>0.1</v>
      </c>
      <c r="E160" s="90">
        <v>0.1</v>
      </c>
      <c r="F160" s="90">
        <v>0.1</v>
      </c>
      <c r="G160" s="90">
        <v>0.1</v>
      </c>
      <c r="H160" s="90">
        <v>0.1</v>
      </c>
    </row>
    <row r="161" spans="1:8" x14ac:dyDescent="0.25">
      <c r="B161" s="113" t="s">
        <v>121</v>
      </c>
      <c r="C161" s="113" t="s">
        <v>368</v>
      </c>
      <c r="D161" s="90">
        <v>0</v>
      </c>
      <c r="E161" s="90">
        <v>1</v>
      </c>
      <c r="F161" s="90">
        <v>1</v>
      </c>
      <c r="G161" s="90">
        <v>1</v>
      </c>
      <c r="H161" s="90">
        <v>1</v>
      </c>
    </row>
    <row r="162" spans="1:8" x14ac:dyDescent="0.25">
      <c r="C162" s="113" t="s">
        <v>370</v>
      </c>
      <c r="D162" s="90">
        <v>0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113" t="s">
        <v>369</v>
      </c>
      <c r="D163" s="90">
        <v>0</v>
      </c>
      <c r="E163" s="90">
        <v>0</v>
      </c>
      <c r="F163" s="90">
        <v>0</v>
      </c>
      <c r="G163" s="90">
        <v>0</v>
      </c>
      <c r="H163" s="90">
        <v>0</v>
      </c>
    </row>
    <row r="164" spans="1:8" x14ac:dyDescent="0.25">
      <c r="A164" s="113" t="s">
        <v>221</v>
      </c>
      <c r="B164" s="113" t="s">
        <v>103</v>
      </c>
      <c r="C164" s="113" t="s">
        <v>368</v>
      </c>
      <c r="D164" s="90">
        <v>1</v>
      </c>
      <c r="E164" s="90">
        <v>1</v>
      </c>
      <c r="F164" s="90">
        <v>1</v>
      </c>
      <c r="G164" s="90">
        <v>1</v>
      </c>
      <c r="H164" s="90">
        <v>1</v>
      </c>
    </row>
    <row r="165" spans="1:8" x14ac:dyDescent="0.25">
      <c r="C165" s="113" t="s">
        <v>370</v>
      </c>
      <c r="D165" s="90">
        <v>0.8</v>
      </c>
      <c r="E165" s="90">
        <v>0.8</v>
      </c>
      <c r="F165" s="90">
        <v>0.8</v>
      </c>
      <c r="G165" s="90">
        <v>0.8</v>
      </c>
      <c r="H165" s="90">
        <v>0.8</v>
      </c>
    </row>
    <row r="166" spans="1:8" x14ac:dyDescent="0.25">
      <c r="A166" s="113" t="s">
        <v>231</v>
      </c>
      <c r="B166" s="113" t="s">
        <v>103</v>
      </c>
      <c r="C166" s="113" t="s">
        <v>368</v>
      </c>
      <c r="D166" s="90">
        <v>1</v>
      </c>
      <c r="E166" s="90">
        <v>1</v>
      </c>
      <c r="F166" s="90">
        <v>1</v>
      </c>
      <c r="G166" s="90">
        <v>1</v>
      </c>
      <c r="H166" s="90">
        <v>1</v>
      </c>
    </row>
    <row r="167" spans="1:8" x14ac:dyDescent="0.25">
      <c r="C167" s="113" t="s">
        <v>370</v>
      </c>
      <c r="D167" s="90">
        <v>0.85</v>
      </c>
      <c r="E167" s="90">
        <v>0.85</v>
      </c>
      <c r="F167" s="90">
        <v>0.85</v>
      </c>
      <c r="G167" s="90">
        <v>0.85</v>
      </c>
      <c r="H167" s="90">
        <v>0.85</v>
      </c>
    </row>
    <row r="168" spans="1:8" x14ac:dyDescent="0.25">
      <c r="A168" s="113" t="s">
        <v>211</v>
      </c>
      <c r="B168" s="113" t="s">
        <v>115</v>
      </c>
      <c r="C168" s="113" t="s">
        <v>368</v>
      </c>
      <c r="D168" s="90">
        <v>1</v>
      </c>
      <c r="E168" s="90">
        <v>0</v>
      </c>
      <c r="F168" s="90">
        <v>0</v>
      </c>
      <c r="G168" s="90">
        <v>0</v>
      </c>
      <c r="H168" s="90">
        <v>0</v>
      </c>
    </row>
    <row r="169" spans="1:8" x14ac:dyDescent="0.25">
      <c r="C169" s="113" t="s">
        <v>370</v>
      </c>
      <c r="D169" s="90">
        <v>0.47</v>
      </c>
      <c r="E169" s="90">
        <v>0</v>
      </c>
      <c r="F169" s="90">
        <v>0</v>
      </c>
      <c r="G169" s="90">
        <v>0</v>
      </c>
      <c r="H169" s="90">
        <v>0</v>
      </c>
    </row>
  </sheetData>
  <sheetProtection algorithmName="SHA-512" hashValue="sFKDE9Te1cR7A5tyvcZ1H8xEAJiz6wVV8A5zR2VfnclBApujFyyQSRNAVTi/g8KJetKwxCfZSiChKbRWWYSq8A==" saltValue="L0yCHyCtKPu4HC7gyjMqp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tabColor theme="0" tint="-0.249977111117893"/>
  </sheetPr>
  <dimension ref="A1:H31"/>
  <sheetViews>
    <sheetView zoomScale="85" zoomScaleNormal="85" workbookViewId="0">
      <selection activeCell="D16" sqref="D16"/>
    </sheetView>
  </sheetViews>
  <sheetFormatPr defaultColWidth="12.63281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36328125" style="8" customWidth="1"/>
    <col min="8" max="9" width="12.6328125" style="8" customWidth="1"/>
    <col min="10" max="16384" width="12.6328125" style="8"/>
  </cols>
  <sheetData>
    <row r="1" spans="1:8" ht="13" x14ac:dyDescent="0.3">
      <c r="A1" s="1" t="s">
        <v>192</v>
      </c>
      <c r="B1" s="1" t="s">
        <v>371</v>
      </c>
      <c r="C1" s="1"/>
      <c r="D1" s="4" t="s">
        <v>132</v>
      </c>
      <c r="E1" s="4" t="s">
        <v>133</v>
      </c>
      <c r="F1" s="4" t="s">
        <v>134</v>
      </c>
      <c r="G1" s="4" t="s">
        <v>135</v>
      </c>
      <c r="H1" s="4"/>
    </row>
    <row r="2" spans="1:8" x14ac:dyDescent="0.25">
      <c r="A2" s="3" t="s">
        <v>195</v>
      </c>
      <c r="B2" s="8" t="s">
        <v>105</v>
      </c>
      <c r="C2" s="3" t="s">
        <v>368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370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x14ac:dyDescent="0.25">
      <c r="A4" s="3" t="s">
        <v>218</v>
      </c>
      <c r="B4" s="8" t="s">
        <v>105</v>
      </c>
      <c r="C4" s="3" t="s">
        <v>368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370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217</v>
      </c>
      <c r="B6" s="8" t="s">
        <v>105</v>
      </c>
      <c r="C6" s="3" t="s">
        <v>368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370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8" spans="1:8" x14ac:dyDescent="0.25">
      <c r="A8" s="3" t="s">
        <v>220</v>
      </c>
      <c r="B8" s="3" t="s">
        <v>263</v>
      </c>
      <c r="C8" s="3" t="s">
        <v>368</v>
      </c>
      <c r="D8" s="116">
        <v>1</v>
      </c>
      <c r="E8" s="116">
        <v>1</v>
      </c>
      <c r="F8" s="116">
        <v>1</v>
      </c>
      <c r="G8" s="116">
        <v>1</v>
      </c>
      <c r="H8" s="3"/>
    </row>
    <row r="9" spans="1:8" x14ac:dyDescent="0.25">
      <c r="A9" s="3"/>
      <c r="B9" s="3"/>
      <c r="C9" s="3" t="s">
        <v>246</v>
      </c>
      <c r="D9" s="116">
        <v>0.09</v>
      </c>
      <c r="E9" s="116">
        <v>0.09</v>
      </c>
      <c r="F9" s="116">
        <v>0.09</v>
      </c>
      <c r="G9" s="116">
        <v>0.09</v>
      </c>
      <c r="H9" s="3"/>
    </row>
    <row r="11" spans="1:8" s="92" customFormat="1" ht="13" x14ac:dyDescent="0.3">
      <c r="A11" s="92" t="s">
        <v>360</v>
      </c>
    </row>
    <row r="12" spans="1:8" ht="13" x14ac:dyDescent="0.3">
      <c r="A12" s="1" t="s">
        <v>192</v>
      </c>
      <c r="B12" s="1" t="s">
        <v>371</v>
      </c>
      <c r="C12" s="1"/>
      <c r="D12" s="4" t="s">
        <v>132</v>
      </c>
      <c r="E12" s="4" t="s">
        <v>133</v>
      </c>
      <c r="F12" s="4" t="s">
        <v>134</v>
      </c>
      <c r="G12" s="4" t="s">
        <v>135</v>
      </c>
    </row>
    <row r="13" spans="1:8" x14ac:dyDescent="0.25">
      <c r="A13" s="3" t="s">
        <v>195</v>
      </c>
      <c r="B13" s="8" t="s">
        <v>105</v>
      </c>
      <c r="C13" s="3" t="s">
        <v>368</v>
      </c>
      <c r="D13" s="90">
        <f>IF($C2="Affected fraction",D2,IF(D2=1,1,D2*0.9))</f>
        <v>1</v>
      </c>
      <c r="E13" s="90">
        <f>IF($C2="Affected fraction",E2,IF(E2=1,1,E2*0.9))</f>
        <v>1</v>
      </c>
      <c r="F13" s="90">
        <f>IF($C2="Affected fraction",F2,IF(F2=1,1,F2*0.9))</f>
        <v>1</v>
      </c>
      <c r="G13" s="90">
        <f>IF($C2="Affected fraction",G2,IF(G2=1,1,G2*0.9))</f>
        <v>1</v>
      </c>
    </row>
    <row r="14" spans="1:8" x14ac:dyDescent="0.25">
      <c r="C14" s="8" t="s">
        <v>370</v>
      </c>
      <c r="D14" s="90">
        <v>0</v>
      </c>
      <c r="E14" s="90">
        <v>0</v>
      </c>
      <c r="F14" s="90">
        <v>0</v>
      </c>
      <c r="G14" s="90">
        <v>0</v>
      </c>
    </row>
    <row r="15" spans="1:8" x14ac:dyDescent="0.25">
      <c r="A15" s="3" t="s">
        <v>218</v>
      </c>
      <c r="B15" s="8" t="s">
        <v>105</v>
      </c>
      <c r="C15" s="3" t="s">
        <v>368</v>
      </c>
      <c r="D15" s="90">
        <f t="shared" ref="D15:G19" si="0">IF($C4="Affected fraction",D4,IF(D4=1,1,D4*0.9))</f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370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7" spans="1:7" x14ac:dyDescent="0.25">
      <c r="A17" s="3" t="s">
        <v>217</v>
      </c>
      <c r="B17" s="8" t="s">
        <v>105</v>
      </c>
      <c r="C17" s="3" t="s">
        <v>368</v>
      </c>
      <c r="D17" s="90">
        <f t="shared" si="0"/>
        <v>1</v>
      </c>
      <c r="E17" s="90">
        <f t="shared" si="0"/>
        <v>1</v>
      </c>
      <c r="F17" s="90">
        <f t="shared" si="0"/>
        <v>1</v>
      </c>
      <c r="G17" s="90">
        <f t="shared" si="0"/>
        <v>1</v>
      </c>
    </row>
    <row r="18" spans="1:7" x14ac:dyDescent="0.25">
      <c r="C18" s="8" t="s">
        <v>370</v>
      </c>
      <c r="D18" s="90">
        <f t="shared" si="0"/>
        <v>0.53100000000000003</v>
      </c>
      <c r="E18" s="90">
        <f t="shared" si="0"/>
        <v>0.53100000000000003</v>
      </c>
      <c r="F18" s="90">
        <f t="shared" si="0"/>
        <v>0.53100000000000003</v>
      </c>
      <c r="G18" s="90">
        <f t="shared" si="0"/>
        <v>0.53100000000000003</v>
      </c>
    </row>
    <row r="19" spans="1:7" x14ac:dyDescent="0.25">
      <c r="A19" s="3" t="s">
        <v>220</v>
      </c>
      <c r="B19" s="3" t="s">
        <v>263</v>
      </c>
      <c r="C19" s="3" t="s">
        <v>368</v>
      </c>
      <c r="D19" s="116">
        <f t="shared" si="0"/>
        <v>1</v>
      </c>
      <c r="E19" s="116">
        <f t="shared" si="0"/>
        <v>1</v>
      </c>
      <c r="F19" s="116">
        <f t="shared" si="0"/>
        <v>1</v>
      </c>
      <c r="G19" s="116">
        <f t="shared" si="0"/>
        <v>1</v>
      </c>
    </row>
    <row r="20" spans="1:7" x14ac:dyDescent="0.25">
      <c r="A20" s="3"/>
      <c r="B20" s="3"/>
      <c r="C20" s="3" t="s">
        <v>246</v>
      </c>
      <c r="D20" s="116">
        <v>0.02</v>
      </c>
      <c r="E20" s="116">
        <v>0.02</v>
      </c>
      <c r="F20" s="116">
        <v>0.02</v>
      </c>
      <c r="G20" s="116">
        <v>0.02</v>
      </c>
    </row>
    <row r="22" spans="1:7" s="92" customFormat="1" ht="13" x14ac:dyDescent="0.3">
      <c r="A22" s="92" t="s">
        <v>367</v>
      </c>
    </row>
    <row r="23" spans="1:7" ht="13" x14ac:dyDescent="0.3">
      <c r="A23" s="1" t="s">
        <v>192</v>
      </c>
      <c r="B23" s="1" t="s">
        <v>371</v>
      </c>
      <c r="C23" s="1"/>
      <c r="D23" s="4" t="s">
        <v>132</v>
      </c>
      <c r="E23" s="4" t="s">
        <v>133</v>
      </c>
      <c r="F23" s="4" t="s">
        <v>134</v>
      </c>
      <c r="G23" s="4" t="s">
        <v>135</v>
      </c>
    </row>
    <row r="24" spans="1:7" x14ac:dyDescent="0.25">
      <c r="A24" s="3" t="s">
        <v>195</v>
      </c>
      <c r="B24" s="8" t="s">
        <v>105</v>
      </c>
      <c r="C24" s="3" t="s">
        <v>368</v>
      </c>
      <c r="D24" s="90">
        <f>IF($C2="Affected fraction",D2,IF(D2=1,1,D2*1.05))</f>
        <v>1</v>
      </c>
      <c r="E24" s="90">
        <f>IF($C2="Affected fraction",E2,IF(E2=1,1,E2*1.05))</f>
        <v>1</v>
      </c>
      <c r="F24" s="90">
        <f>IF($C2="Affected fraction",F2,IF(F2=1,1,F2*1.05))</f>
        <v>1</v>
      </c>
      <c r="G24" s="90">
        <f>IF($C2="Affected fraction",G2,IF(G2=1,1,G2*1.05))</f>
        <v>1</v>
      </c>
    </row>
    <row r="25" spans="1:7" x14ac:dyDescent="0.25">
      <c r="C25" s="8" t="s">
        <v>370</v>
      </c>
      <c r="D25" s="90">
        <v>0</v>
      </c>
      <c r="E25" s="90">
        <v>0</v>
      </c>
      <c r="F25" s="90">
        <v>0</v>
      </c>
      <c r="G25" s="90">
        <v>0</v>
      </c>
    </row>
    <row r="26" spans="1:7" x14ac:dyDescent="0.25">
      <c r="A26" s="3" t="s">
        <v>218</v>
      </c>
      <c r="B26" s="8" t="s">
        <v>105</v>
      </c>
      <c r="C26" s="3" t="s">
        <v>368</v>
      </c>
      <c r="D26" s="90">
        <f>IF($C4="Affected fraction",D4,IF(D4=1,1,D4*1.05))</f>
        <v>1</v>
      </c>
      <c r="E26" s="90">
        <f>IF($C4="Affected fraction",E4,IF(E4=1,1,E4*1.05))</f>
        <v>1</v>
      </c>
      <c r="F26" s="90">
        <f>IF($C4="Affected fraction",F4,IF(F4=1,1,F4*1.05))</f>
        <v>1</v>
      </c>
      <c r="G26" s="90">
        <f>IF($C4="Affected fraction",G4,IF(G4=1,1,G4*1.05))</f>
        <v>1</v>
      </c>
    </row>
    <row r="27" spans="1:7" x14ac:dyDescent="0.25">
      <c r="C27" s="8" t="s">
        <v>370</v>
      </c>
      <c r="D27" s="90">
        <f>IF($C5="Affected fraction",D5,IF(D5=1,1,D5*1.1))</f>
        <v>0.64900000000000002</v>
      </c>
      <c r="E27" s="90">
        <f>IF($C5="Affected fraction",E5,IF(E5=1,1,E5*1.1))</f>
        <v>0.64900000000000002</v>
      </c>
      <c r="F27" s="90">
        <f>IF($C5="Affected fraction",F5,IF(F5=1,1,F5*1.1))</f>
        <v>0.64900000000000002</v>
      </c>
      <c r="G27" s="90">
        <f>IF($C5="Affected fraction",G5,IF(G5=1,1,G5*1.1))</f>
        <v>0.64900000000000002</v>
      </c>
    </row>
    <row r="28" spans="1:7" x14ac:dyDescent="0.25">
      <c r="A28" s="3" t="s">
        <v>217</v>
      </c>
      <c r="B28" s="8" t="s">
        <v>105</v>
      </c>
      <c r="C28" s="3" t="s">
        <v>368</v>
      </c>
      <c r="D28" s="90">
        <f>IF($C6="Affected fraction",D6,IF(D6=1,1,D6*1.05))</f>
        <v>1</v>
      </c>
      <c r="E28" s="90">
        <f>IF($C6="Affected fraction",E6,IF(E6=1,1,E6*1.05))</f>
        <v>1</v>
      </c>
      <c r="F28" s="90">
        <f>IF($C6="Affected fraction",F6,IF(F6=1,1,F6*1.05))</f>
        <v>1</v>
      </c>
      <c r="G28" s="90">
        <f>IF($C6="Affected fraction",G6,IF(G6=1,1,G6*1.05))</f>
        <v>1</v>
      </c>
    </row>
    <row r="29" spans="1:7" x14ac:dyDescent="0.25">
      <c r="C29" s="8" t="s">
        <v>370</v>
      </c>
      <c r="D29" s="90">
        <f>IF($C7="Affected fraction",D7,IF(D7=1,1,D7*1.1))</f>
        <v>0.64900000000000002</v>
      </c>
      <c r="E29" s="90">
        <f>IF($C7="Affected fraction",E7,IF(E7=1,1,E7*1.1))</f>
        <v>0.64900000000000002</v>
      </c>
      <c r="F29" s="90">
        <f>IF($C7="Affected fraction",F7,IF(F7=1,1,F7*1.1))</f>
        <v>0.64900000000000002</v>
      </c>
      <c r="G29" s="90">
        <f>IF($C7="Affected fraction",G7,IF(G7=1,1,G7*1.1))</f>
        <v>0.64900000000000002</v>
      </c>
    </row>
    <row r="30" spans="1:7" x14ac:dyDescent="0.25">
      <c r="A30" s="3" t="s">
        <v>220</v>
      </c>
      <c r="B30" s="3" t="s">
        <v>263</v>
      </c>
      <c r="C30" s="3" t="s">
        <v>368</v>
      </c>
      <c r="D30" s="116">
        <f t="shared" ref="D30:G30" si="1">IF($C8="Affected fraction",D8,IF(D8=1,1,D8*1.05))</f>
        <v>1</v>
      </c>
      <c r="E30" s="116">
        <f t="shared" si="1"/>
        <v>1</v>
      </c>
      <c r="F30" s="116">
        <f t="shared" si="1"/>
        <v>1</v>
      </c>
      <c r="G30" s="116">
        <f t="shared" si="1"/>
        <v>1</v>
      </c>
    </row>
    <row r="31" spans="1:7" x14ac:dyDescent="0.25">
      <c r="A31" s="3"/>
      <c r="B31" s="3"/>
      <c r="C31" s="3" t="s">
        <v>246</v>
      </c>
      <c r="D31" s="116">
        <v>0.14000000000000001</v>
      </c>
      <c r="E31" s="116">
        <v>0.14000000000000001</v>
      </c>
      <c r="F31" s="116">
        <v>0.14000000000000001</v>
      </c>
      <c r="G31" s="116">
        <v>0.14000000000000001</v>
      </c>
    </row>
  </sheetData>
  <sheetProtection algorithmName="SHA-512" hashValue="OaHvYJz5cZD0oSavnxVTl4xxMcC2sxeMH3rCkfB1zk9MnsV1KatUbjxNmZMIbyjy3FKTNmWNLoEmpDYN4vCrkg==" saltValue="4SV1JaNjlFKJ8Bx7qFJCGg==" spinCount="100000" sheet="1" objects="1" scenarios="1" selectLockedCells="1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e2aea6-bdc3-4e5f-b0ae-84d85b5764e4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11" ma:contentTypeDescription="Create a new document." ma:contentTypeScope="" ma:versionID="f77cb9dc30d15950233dec29875e7d3d">
  <xsd:schema xmlns:xsd="http://www.w3.org/2001/XMLSchema" xmlns:xs="http://www.w3.org/2001/XMLSchema" xmlns:p="http://schemas.microsoft.com/office/2006/metadata/properties" xmlns:ns2="5de2aea6-bdc3-4e5f-b0ae-84d85b5764e4" targetNamespace="http://schemas.microsoft.com/office/2006/metadata/properties" ma:root="true" ma:fieldsID="c7972fb108f377c3e0c6a81e726e76be" ns2:_="">
    <xsd:import namespace="5de2aea6-bdc3-4e5f-b0ae-84d85b5764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A1364B1-D0AC-4AFC-8837-019122E84913}">
  <ds:schemaRefs>
    <ds:schemaRef ds:uri="http://schemas.microsoft.com/office/2006/metadata/properties"/>
    <ds:schemaRef ds:uri="http://schemas.microsoft.com/office/infopath/2007/PartnerControls"/>
    <ds:schemaRef ds:uri="5de2aea6-bdc3-4e5f-b0ae-84d85b5764e4"/>
  </ds:schemaRefs>
</ds:datastoreItem>
</file>

<file path=customXml/itemProps2.xml><?xml version="1.0" encoding="utf-8"?>
<ds:datastoreItem xmlns:ds="http://schemas.openxmlformats.org/officeDocument/2006/customXml" ds:itemID="{BFA00B2B-FC7F-4ED6-BC3D-3DE83488E24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9AE9A51-FA73-431C-A4D5-36C1DFA1FE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e2aea6-bdc3-4e5f-b0ae-84d85b5764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Entradas de población-año base</vt:lpstr>
      <vt:lpstr>Proyecciones demográficas</vt:lpstr>
      <vt:lpstr>Causas de muerte</vt:lpstr>
      <vt:lpstr>Distribución estado nutricional</vt:lpstr>
      <vt:lpstr>Distribución de lactancia</vt:lpstr>
      <vt:lpstr>Tendencias temporales</vt:lpstr>
      <vt:lpstr>Variables económicas</vt:lpstr>
      <vt:lpstr>Paquetes de IYCF</vt:lpstr>
      <vt:lpstr>Tratamiento de la MAS</vt:lpstr>
      <vt:lpstr>Costo y cobertura del programa</vt:lpstr>
      <vt:lpstr>Dependencias del programa</vt:lpstr>
      <vt:lpstr>Programas de referencia</vt:lpstr>
      <vt:lpstr>Incidencia de las afecciones</vt:lpstr>
      <vt:lpstr>Población objetivo del programa</vt:lpstr>
      <vt:lpstr>Opciones de la curva de costos</vt:lpstr>
      <vt:lpstr>Prog. de planificación familiar</vt:lpstr>
      <vt:lpstr>Programas población afectada</vt:lpstr>
      <vt:lpstr>Riesgos que impacta programa</vt:lpstr>
      <vt:lpstr>Riegos para la población</vt:lpstr>
      <vt:lpstr>Razón de momios IYCF</vt:lpstr>
      <vt:lpstr>Razón de momios</vt:lpstr>
      <vt:lpstr>Resultados de nacimiento- prog</vt:lpstr>
      <vt:lpstr>Riesgos desenlace de nacimiento</vt:lpstr>
      <vt:lpstr>Riesgos relativos</vt:lpstr>
      <vt:lpstr>Programas de anemia</vt:lpstr>
      <vt:lpstr>Programas para emaciación</vt:lpstr>
      <vt:lpstr>Programas para niños</vt:lpstr>
      <vt:lpstr>Prog. para mujeres embarazadas</vt:lpstr>
      <vt:lpstr>'Paquetes de IYCF'!abortion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'Paquetes de IYCF'!stillbirth</vt:lpstr>
      <vt:lpstr>stillbirth</vt:lpstr>
      <vt:lpstr>term_AGA</vt:lpstr>
      <vt:lpstr>term_SGA</vt:lpstr>
      <vt:lpstr>U5_mortality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Tharindu Wickramaarachchi</dc:creator>
  <cp:keywords>lang=es</cp:keywords>
  <dc:description/>
  <cp:lastModifiedBy>Tharindu Wickramaarachchi</cp:lastModifiedBy>
  <cp:revision/>
  <dcterms:created xsi:type="dcterms:W3CDTF">2017-08-01T10:42:13Z</dcterms:created>
  <dcterms:modified xsi:type="dcterms:W3CDTF">2025-07-29T23:50:13Z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0x010100856A3DB4B0A5FF4A85E5854FA9B1BD84</vt:lpwstr>
  </property>
  <property fmtid="{D5CDD505-2E9C-101B-9397-08002B2CF9AE}" pid="3" name="MediaServiceImageTags">
    <vt:lpwstr/>
  </property>
</Properties>
</file>