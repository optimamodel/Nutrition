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171A9D43-1F8D-4923-8309-E665FBC5C84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6" i="2" l="1"/>
  <c r="A15" i="2"/>
  <c r="A17" i="2"/>
  <c r="A18" i="2"/>
  <c r="A34" i="2"/>
  <c r="I40" i="2"/>
  <c r="A39" i="2"/>
  <c r="A29" i="2"/>
  <c r="A28" i="2"/>
  <c r="A31" i="2"/>
  <c r="A21" i="2"/>
  <c r="A3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0" i="2"/>
  <c r="A36" i="2"/>
  <c r="A23" i="2"/>
  <c r="I38" i="2"/>
  <c r="A16" i="2"/>
  <c r="A24" i="2"/>
  <c r="A32" i="2"/>
  <c r="A25" i="2"/>
  <c r="A33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<sst xmlns="http://schemas.openxmlformats.org/spreadsheetml/2006/main" count="2101" uniqueCount="341">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</sst>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2530276.859375</v>
      </c>
    </row>
    <row r="8" spans="1:3" ht="15" customHeight="1" x14ac:dyDescent="0.25">
      <c r="B8" s="5" t="s">
        <v>44</v>
      </c>
      <c r="C8" s="44">
        <v>0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0.77999130249023396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3.3099999999999997E-2</v>
      </c>
    </row>
    <row r="24" spans="1:3" ht="15" customHeight="1" x14ac:dyDescent="0.25">
      <c r="B24" s="15" t="s">
        <v>46</v>
      </c>
      <c r="C24" s="45">
        <v>0.41270000000000001</v>
      </c>
    </row>
    <row r="25" spans="1:3" ht="15" customHeight="1" x14ac:dyDescent="0.25">
      <c r="B25" s="15" t="s">
        <v>47</v>
      </c>
      <c r="C25" s="45">
        <v>0.50419999999999998</v>
      </c>
    </row>
    <row r="26" spans="1:3" ht="15" customHeight="1" x14ac:dyDescent="0.25">
      <c r="B26" s="15" t="s">
        <v>48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0.29181610000000002</v>
      </c>
    </row>
    <row r="30" spans="1:3" ht="14.25" customHeight="1" x14ac:dyDescent="0.25">
      <c r="B30" s="25" t="s">
        <v>63</v>
      </c>
      <c r="C30" s="99">
        <v>5.8372300000000002E-2</v>
      </c>
    </row>
    <row r="31" spans="1:3" ht="14.25" customHeight="1" x14ac:dyDescent="0.25">
      <c r="B31" s="25" t="s">
        <v>10</v>
      </c>
      <c r="C31" s="99">
        <v>0.11982329999999999</v>
      </c>
    </row>
    <row r="32" spans="1:3" ht="14.25" customHeight="1" x14ac:dyDescent="0.25">
      <c r="B32" s="25" t="s">
        <v>11</v>
      </c>
      <c r="C32" s="99">
        <v>0.52998829999999997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4.2106300000000001</v>
      </c>
    </row>
    <row r="38" spans="1:5" ht="15" customHeight="1" x14ac:dyDescent="0.25">
      <c r="B38" s="11" t="s">
        <v>35</v>
      </c>
      <c r="C38" s="43">
        <v>6.4629700000000003</v>
      </c>
      <c r="D38" s="12"/>
      <c r="E38" s="13"/>
    </row>
    <row r="39" spans="1:5" ht="15" customHeight="1" x14ac:dyDescent="0.25">
      <c r="B39" s="11" t="s">
        <v>61</v>
      </c>
      <c r="C39" s="43">
        <v>7.5561299999999996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6.3741000000000006E-3</v>
      </c>
      <c r="D45" s="12"/>
    </row>
    <row r="46" spans="1:5" ht="15.75" customHeight="1" x14ac:dyDescent="0.25">
      <c r="B46" s="11" t="s">
        <v>51</v>
      </c>
      <c r="C46" s="45">
        <v>6.565E-2</v>
      </c>
      <c r="D46" s="12"/>
    </row>
    <row r="47" spans="1:5" ht="15.75" customHeight="1" x14ac:dyDescent="0.25">
      <c r="B47" s="11" t="s">
        <v>59</v>
      </c>
      <c r="C47" s="45">
        <v>0.1470931</v>
      </c>
      <c r="D47" s="12"/>
      <c r="E47" s="13"/>
    </row>
    <row r="48" spans="1:5" ht="15" customHeight="1" x14ac:dyDescent="0.25">
      <c r="B48" s="11" t="s">
        <v>58</v>
      </c>
      <c r="C48" s="46">
        <v>0.78088279999999999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0.59568500000000002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mi39R9SiJ6jXw4QXdg5jdSniKbicZ/7U5fNf0QGmWB/X7lT0MpS6V4Hpbn+ks9kxHaDVjRotuuVx7+nBKIe9Yg==" saltValue="FmY5WbdzOMSQONu0HcRw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504947</v>
      </c>
      <c r="C2" s="49">
        <v>1510474.5</v>
      </c>
      <c r="D2" s="49">
        <v>2772634.5</v>
      </c>
      <c r="E2" s="49">
        <v>2952031</v>
      </c>
      <c r="F2" s="49">
        <v>2030147.5</v>
      </c>
      <c r="G2" s="17">
        <f t="shared" ref="G2:G13" si="0">C2+D2+E2+F2</f>
        <v>9265287.5</v>
      </c>
      <c r="H2" s="17">
        <f t="shared" ref="H2:H13" si="1">(B2 + stillbirth*B2/(1000-stillbirth))/(1-abortion)</f>
        <v>576709.59870327055</v>
      </c>
      <c r="I2" s="17">
        <f t="shared" ref="I2:I13" si="2">G2-H2</f>
        <v>8688577.9012967292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502550</v>
      </c>
      <c r="C3" s="50">
        <v>1493289.5</v>
      </c>
      <c r="D3" s="50">
        <v>2749649.5</v>
      </c>
      <c r="E3" s="50">
        <v>2967256.5</v>
      </c>
      <c r="F3" s="50">
        <v>2107528</v>
      </c>
      <c r="G3" s="17">
        <f t="shared" si="0"/>
        <v>9317723.5</v>
      </c>
      <c r="H3" s="17">
        <f t="shared" si="1"/>
        <v>573971.93928932864</v>
      </c>
      <c r="I3" s="17">
        <f t="shared" si="2"/>
        <v>8743751.5607106723</v>
      </c>
    </row>
    <row r="4" spans="1:9" ht="15.75" customHeight="1" x14ac:dyDescent="0.25">
      <c r="A4" s="5">
        <f t="shared" si="3"/>
        <v>2026</v>
      </c>
      <c r="B4" s="49">
        <v>500475</v>
      </c>
      <c r="C4" s="50">
        <v>1481691</v>
      </c>
      <c r="D4" s="50">
        <v>2731665.5</v>
      </c>
      <c r="E4" s="50">
        <v>2971484.5</v>
      </c>
      <c r="F4" s="50">
        <v>2187893</v>
      </c>
      <c r="G4" s="17">
        <f t="shared" si="0"/>
        <v>9372734</v>
      </c>
      <c r="H4" s="17">
        <f t="shared" si="1"/>
        <v>571602.04221635009</v>
      </c>
      <c r="I4" s="17">
        <f t="shared" si="2"/>
        <v>8801131.9577836506</v>
      </c>
    </row>
    <row r="5" spans="1:9" ht="15.75" customHeight="1" x14ac:dyDescent="0.25">
      <c r="A5" s="5">
        <f t="shared" si="3"/>
        <v>2027</v>
      </c>
      <c r="B5" s="49">
        <v>497557</v>
      </c>
      <c r="C5" s="50">
        <v>1476245.5</v>
      </c>
      <c r="D5" s="50">
        <v>2715550</v>
      </c>
      <c r="E5" s="50">
        <v>2965997</v>
      </c>
      <c r="F5" s="50">
        <v>2268214</v>
      </c>
      <c r="G5" s="17">
        <f t="shared" si="0"/>
        <v>9426006.5</v>
      </c>
      <c r="H5" s="17">
        <f t="shared" si="1"/>
        <v>568269.33876625297</v>
      </c>
      <c r="I5" s="17">
        <f t="shared" si="2"/>
        <v>8857737.1612337474</v>
      </c>
    </row>
    <row r="6" spans="1:9" ht="15.75" customHeight="1" x14ac:dyDescent="0.25">
      <c r="A6" s="5">
        <f t="shared" si="3"/>
        <v>2028</v>
      </c>
      <c r="B6" s="49">
        <v>493770</v>
      </c>
      <c r="C6" s="50">
        <v>1481529</v>
      </c>
      <c r="D6" s="50">
        <v>2694652</v>
      </c>
      <c r="E6" s="50">
        <v>2954031</v>
      </c>
      <c r="F6" s="50">
        <v>2347103.5</v>
      </c>
      <c r="G6" s="17">
        <f t="shared" si="0"/>
        <v>9477315.5</v>
      </c>
      <c r="H6" s="17">
        <f t="shared" si="1"/>
        <v>563944.1338431834</v>
      </c>
      <c r="I6" s="17">
        <f t="shared" si="2"/>
        <v>8913371.3661568165</v>
      </c>
    </row>
    <row r="7" spans="1:9" ht="15.75" customHeight="1" x14ac:dyDescent="0.25">
      <c r="A7" s="5">
        <f t="shared" si="3"/>
        <v>2029</v>
      </c>
      <c r="B7" s="49">
        <v>489921</v>
      </c>
      <c r="C7" s="50">
        <v>1497510.5</v>
      </c>
      <c r="D7" s="50">
        <v>2665472.5</v>
      </c>
      <c r="E7" s="50">
        <v>2938753</v>
      </c>
      <c r="F7" s="50">
        <v>2423076</v>
      </c>
      <c r="G7" s="17">
        <f t="shared" si="0"/>
        <v>9524812</v>
      </c>
      <c r="H7" s="17">
        <f t="shared" si="1"/>
        <v>559548.11753769207</v>
      </c>
      <c r="I7" s="17">
        <f t="shared" si="2"/>
        <v>8965263.8824623078</v>
      </c>
    </row>
    <row r="8" spans="1:9" ht="15.75" customHeight="1" x14ac:dyDescent="0.25">
      <c r="A8" s="5">
        <f t="shared" si="3"/>
        <v>2030</v>
      </c>
      <c r="B8" s="49">
        <v>485987</v>
      </c>
      <c r="C8" s="50">
        <v>1515800</v>
      </c>
      <c r="D8" s="50">
        <v>2633645</v>
      </c>
      <c r="E8" s="50">
        <v>2921858</v>
      </c>
      <c r="F8" s="50">
        <v>2492635.5</v>
      </c>
      <c r="G8" s="17">
        <f t="shared" si="0"/>
        <v>9563938.5</v>
      </c>
      <c r="H8" s="17">
        <f t="shared" si="1"/>
        <v>555055.0211111391</v>
      </c>
      <c r="I8" s="17">
        <f t="shared" si="2"/>
        <v>9008883.4788888618</v>
      </c>
    </row>
    <row r="9" spans="1:9" ht="15.75" customHeight="1" x14ac:dyDescent="0.25">
      <c r="A9" s="5">
        <f t="shared" si="3"/>
        <v>2031</v>
      </c>
      <c r="B9" s="49">
        <v>483995</v>
      </c>
      <c r="C9" s="50">
        <v>1528021</v>
      </c>
      <c r="D9" s="50">
        <v>2607608.5</v>
      </c>
      <c r="E9" s="50">
        <v>2904175.5</v>
      </c>
      <c r="F9" s="50">
        <v>2551531.5</v>
      </c>
      <c r="G9" s="17">
        <f t="shared" si="0"/>
        <v>9591336.5</v>
      </c>
      <c r="H9" s="17">
        <f t="shared" si="1"/>
        <v>552779.91992107965</v>
      </c>
      <c r="I9" s="17">
        <f t="shared" si="2"/>
        <v>9038556.5800789203</v>
      </c>
    </row>
    <row r="10" spans="1:9" ht="15.75" customHeight="1" x14ac:dyDescent="0.25">
      <c r="A10" s="5">
        <f t="shared" si="3"/>
        <v>2032</v>
      </c>
      <c r="B10" s="49">
        <v>478771</v>
      </c>
      <c r="C10" s="50">
        <v>1533052</v>
      </c>
      <c r="D10" s="50">
        <v>2589179</v>
      </c>
      <c r="E10" s="50">
        <v>2885013.5</v>
      </c>
      <c r="F10" s="50">
        <v>2598110.5</v>
      </c>
      <c r="G10" s="17">
        <f t="shared" si="0"/>
        <v>9605355</v>
      </c>
      <c r="H10" s="17">
        <f t="shared" si="1"/>
        <v>546813.48989253037</v>
      </c>
      <c r="I10" s="17">
        <f t="shared" si="2"/>
        <v>9058541.5101074688</v>
      </c>
    </row>
    <row r="11" spans="1:9" ht="15.75" customHeight="1" x14ac:dyDescent="0.25">
      <c r="A11" s="5">
        <f t="shared" si="3"/>
        <v>2033</v>
      </c>
      <c r="B11" s="49">
        <v>473565</v>
      </c>
      <c r="C11" s="50">
        <v>1531799</v>
      </c>
      <c r="D11" s="50">
        <v>2578102.5</v>
      </c>
      <c r="E11" s="50">
        <v>2861800</v>
      </c>
      <c r="F11" s="50">
        <v>2633033.5</v>
      </c>
      <c r="G11" s="17">
        <f t="shared" si="0"/>
        <v>9604735</v>
      </c>
      <c r="H11" s="17">
        <f t="shared" si="1"/>
        <v>540867.61800726468</v>
      </c>
      <c r="I11" s="17">
        <f t="shared" si="2"/>
        <v>9063867.381992735</v>
      </c>
    </row>
    <row r="12" spans="1:9" ht="15.75" customHeight="1" x14ac:dyDescent="0.25">
      <c r="A12" s="5">
        <f t="shared" si="3"/>
        <v>2034</v>
      </c>
      <c r="B12" s="49">
        <v>467896</v>
      </c>
      <c r="C12" s="50">
        <v>1524737</v>
      </c>
      <c r="D12" s="50">
        <v>2573906.5</v>
      </c>
      <c r="E12" s="50">
        <v>2836089.5</v>
      </c>
      <c r="F12" s="50">
        <v>2658494.5</v>
      </c>
      <c r="G12" s="17">
        <f t="shared" si="0"/>
        <v>9593227.5</v>
      </c>
      <c r="H12" s="17">
        <f t="shared" si="1"/>
        <v>534392.94499198033</v>
      </c>
      <c r="I12" s="17">
        <f t="shared" si="2"/>
        <v>9058834.5550080203</v>
      </c>
    </row>
    <row r="13" spans="1:9" ht="15.75" customHeight="1" x14ac:dyDescent="0.25">
      <c r="A13" s="5">
        <f t="shared" si="3"/>
        <v>2035</v>
      </c>
      <c r="B13" s="49">
        <v>463805</v>
      </c>
      <c r="C13" s="50">
        <v>1515152</v>
      </c>
      <c r="D13" s="50">
        <v>2572379</v>
      </c>
      <c r="E13" s="50">
        <v>2813377.5</v>
      </c>
      <c r="F13" s="50">
        <v>2676792</v>
      </c>
      <c r="G13" s="17">
        <f t="shared" si="0"/>
        <v>9577700.5</v>
      </c>
      <c r="H13" s="17">
        <f t="shared" si="1"/>
        <v>529720.53587123076</v>
      </c>
      <c r="I13" s="17">
        <f t="shared" si="2"/>
        <v>9047979.9641287699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hN+tLXrnBt3/52Wi/4r0QwVfsBr9E06EGjFAaDelIEh9XMf4RdHsktycf/w8+PU2AofeM8jxFeCfCkm5aeqhw==" saltValue="t05PAs6RUnyoEnmpmjfEn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4.99320049932006E-2</v>
      </c>
    </row>
    <row r="5" spans="1:8" ht="15.75" customHeight="1" x14ac:dyDescent="0.25">
      <c r="B5" s="19" t="s">
        <v>95</v>
      </c>
      <c r="C5" s="101">
        <v>1.027610102761011E-2</v>
      </c>
    </row>
    <row r="6" spans="1:8" ht="15.75" customHeight="1" x14ac:dyDescent="0.25">
      <c r="B6" s="19" t="s">
        <v>91</v>
      </c>
      <c r="C6" s="101">
        <v>0.1337043133704314</v>
      </c>
    </row>
    <row r="7" spans="1:8" ht="15.75" customHeight="1" x14ac:dyDescent="0.25">
      <c r="B7" s="19" t="s">
        <v>96</v>
      </c>
      <c r="C7" s="101">
        <v>0.43351454335145478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0.26159222615922201</v>
      </c>
    </row>
    <row r="10" spans="1:8" ht="15.75" customHeight="1" x14ac:dyDescent="0.25">
      <c r="B10" s="19" t="s">
        <v>94</v>
      </c>
      <c r="C10" s="101">
        <v>0.11098081109808119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102</v>
      </c>
      <c r="C15" s="101">
        <v>0.20077711774403409</v>
      </c>
      <c r="D15" s="101">
        <v>0.20077711774403409</v>
      </c>
      <c r="E15" s="101">
        <v>0.20077711774403409</v>
      </c>
      <c r="F15" s="101">
        <v>0.20077711774403409</v>
      </c>
    </row>
    <row r="16" spans="1:8" ht="15.75" customHeight="1" x14ac:dyDescent="0.25">
      <c r="B16" s="19" t="s">
        <v>2</v>
      </c>
      <c r="C16" s="101">
        <v>2.5934051996959591E-2</v>
      </c>
      <c r="D16" s="101">
        <v>2.5934051996959591E-2</v>
      </c>
      <c r="E16" s="101">
        <v>2.5934051996959591E-2</v>
      </c>
      <c r="F16" s="101">
        <v>2.5934051996959591E-2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1.937420903731499E-3</v>
      </c>
      <c r="D18" s="101">
        <v>1.937420903731499E-3</v>
      </c>
      <c r="E18" s="101">
        <v>1.937420903731499E-3</v>
      </c>
      <c r="F18" s="101">
        <v>1.937420903731499E-3</v>
      </c>
    </row>
    <row r="19" spans="1:8" ht="15.75" customHeight="1" x14ac:dyDescent="0.25">
      <c r="B19" s="19" t="s">
        <v>101</v>
      </c>
      <c r="C19" s="101">
        <v>8.1870754878343929E-2</v>
      </c>
      <c r="D19" s="101">
        <v>8.1870754878343929E-2</v>
      </c>
      <c r="E19" s="101">
        <v>8.1870754878343929E-2</v>
      </c>
      <c r="F19" s="101">
        <v>8.1870754878343929E-2</v>
      </c>
    </row>
    <row r="20" spans="1:8" ht="15.75" customHeight="1" x14ac:dyDescent="0.25">
      <c r="B20" s="19" t="s">
        <v>79</v>
      </c>
      <c r="C20" s="101">
        <v>2.5916379957937968E-2</v>
      </c>
      <c r="D20" s="101">
        <v>2.5916379957937968E-2</v>
      </c>
      <c r="E20" s="101">
        <v>2.5916379957937968E-2</v>
      </c>
      <c r="F20" s="101">
        <v>2.5916379957937968E-2</v>
      </c>
    </row>
    <row r="21" spans="1:8" ht="15.75" customHeight="1" x14ac:dyDescent="0.25">
      <c r="B21" s="19" t="s">
        <v>88</v>
      </c>
      <c r="C21" s="101">
        <v>0.56612183919474668</v>
      </c>
      <c r="D21" s="101">
        <v>0.56612183919474668</v>
      </c>
      <c r="E21" s="101">
        <v>0.56612183919474668</v>
      </c>
      <c r="F21" s="101">
        <v>0.56612183919474668</v>
      </c>
    </row>
    <row r="22" spans="1:8" ht="15.75" customHeight="1" x14ac:dyDescent="0.25">
      <c r="B22" s="19" t="s">
        <v>99</v>
      </c>
      <c r="C22" s="101">
        <v>7.4914546675234487E-3</v>
      </c>
      <c r="D22" s="101">
        <v>7.4914546675234487E-3</v>
      </c>
      <c r="E22" s="101">
        <v>7.4914546675234487E-3</v>
      </c>
      <c r="F22" s="101">
        <v>7.4914546675234487E-3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2.386251E-2</v>
      </c>
    </row>
    <row r="27" spans="1:8" ht="15.75" customHeight="1" x14ac:dyDescent="0.25">
      <c r="B27" s="19" t="s">
        <v>89</v>
      </c>
      <c r="C27" s="101">
        <v>5.5546280000000007E-3</v>
      </c>
    </row>
    <row r="28" spans="1:8" ht="15.75" customHeight="1" x14ac:dyDescent="0.25">
      <c r="B28" s="19" t="s">
        <v>103</v>
      </c>
      <c r="C28" s="101">
        <v>0.152936821</v>
      </c>
    </row>
    <row r="29" spans="1:8" ht="15.75" customHeight="1" x14ac:dyDescent="0.25">
      <c r="B29" s="19" t="s">
        <v>86</v>
      </c>
      <c r="C29" s="101">
        <v>0.11069707199999999</v>
      </c>
    </row>
    <row r="30" spans="1:8" ht="15.75" customHeight="1" x14ac:dyDescent="0.25">
      <c r="B30" s="19" t="s">
        <v>4</v>
      </c>
      <c r="C30" s="101">
        <v>5.7770492999999999E-2</v>
      </c>
    </row>
    <row r="31" spans="1:8" ht="15.75" customHeight="1" x14ac:dyDescent="0.25">
      <c r="B31" s="19" t="s">
        <v>80</v>
      </c>
      <c r="C31" s="101">
        <v>9.4773582999999995E-2</v>
      </c>
    </row>
    <row r="32" spans="1:8" ht="15.75" customHeight="1" x14ac:dyDescent="0.25">
      <c r="B32" s="19" t="s">
        <v>85</v>
      </c>
      <c r="C32" s="101">
        <v>0.20791595299999999</v>
      </c>
    </row>
    <row r="33" spans="2:3" ht="15.75" customHeight="1" x14ac:dyDescent="0.25">
      <c r="B33" s="19" t="s">
        <v>100</v>
      </c>
      <c r="C33" s="101">
        <v>0.13742104999999999</v>
      </c>
    </row>
    <row r="34" spans="2:3" ht="15.75" customHeight="1" x14ac:dyDescent="0.25">
      <c r="B34" s="19" t="s">
        <v>87</v>
      </c>
      <c r="C34" s="101">
        <v>0.20906789100000001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g7gaBx8LI+IJZ753OD6gj3pO0kQ2NE2AAUSBmAgkrZrcpdTL3TC/XxLWQl6Slq+ydX4Ixk9aGQTVBwuWsjTOtQ==" saltValue="jSPBEwRikHrkswI2Wjxo1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110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106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119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EYHyhEvoGXZen6oHT68J0Tbk/aCnMte/q1TJ17xKrD2lm4uUEdxmNgga3jDWLPD5Z7zM1Se9dqhhbnU//FuAA==" saltValue="97CFhvVV/M1Zltzwjpyy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125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YsDkQGNz8mzl8GKz1LJS0sbqwGWSmW1jE8QYEslZ4XxMFxGqsVLxUz4yryNJ57GPt8vReY/aZWEhP3fJQ+JHtg==" saltValue="k0u9XXkjGcpY0K7OLcMjE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MVo+Wp7PAkc1NF3l/h3nUHzWw//LDYAKtJnoX+H/yoTVB8HnMvxTJLXvkhJb5O5fBbPkPZipSNujLUljjtzzA==" saltValue="gMUHEaqto68rWyBoquIRE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0zEPBiqW9m/wAUdVBWao8uJfW45C1kHAtISz3OecldU8w5snYTShheiKqCfkqSjNLj8A4/hZwdv+G1YqiC7G6Q==" saltValue="0mJQFur9S7dodRN/0B6iY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sUZllkmc43hqAetXsQcOiiL+uOQOXehVgwR5NXHUoNmw2KJyG9jMtXHGO1P+EhhbTVtT7FU+mVZgVshCsKq0IA==" saltValue="lW3U4gH0lq+8DMlMlOp9L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08iaWoC+ZxTxrvlHLU+G4S13bafttNe2Sr4FUmkBF03AjhVGuk/7/FnnXbGDRMbzQ9+pitRt0PJwjVhfea/IlA==" saltValue="8QPLfDomWmk+ILDjlYYJA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92.245047147143225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40.647032466246337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950.82377496430036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3.8723334833414911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13.77933191004225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13.77933191004225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13.77933191004225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13.77933191004225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13.77933191004225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13.77933191004225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1.4860977099376029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21.758442885912821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21.758442885912821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32.963044266470973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24.180959628055831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4.7588079536301482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0.70576165380000011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19.340697663417359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191.74008051799319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4.3398717631557826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3.2697777913707609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0.95509479999999991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5.2784465228258819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bv1BhSVQxADc25MhjUVJoTO/y8PXZKO2RaonEFJN48Orc5JmxyceBctjh9XCMAJh5xdEUqdJoxQh75+QqMS4VQ==" saltValue="crWL44X73LaamPv5IKYN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7cRREMHFZ+TEvxsSXmdrAIhO86ku4ThEK1YaOB5TkFGRE3CyRH6fTWsmLic4M6GcahXLRGxKdRvtU6tF37I5LA==" saltValue="oHARB9HdyykCPeHKw5X2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piqt7kx8TudfEfLuJPhK9J0Mu8MIfVhn1uVMAu9rcshBrQiXd1vZdTST/4rS3rfqmdDceCU3incCbIAd2L1Vkg==" saltValue="tJJ8WtHe/EL3b4mhU4TSo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+Ciq2LZOF4EpktQ267Nww1cux9QzilthIIifdxZtLw3N5qZxwgyuOMfrYPVBDgicb8ljYJ9udmlDuzzXgH7h6A==" saltValue="3FW+WxbOHnTtmxnOnNhFp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0.10780426177978536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4.6201826477050865E-2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6.6002609252929806E-2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czy+nGJWIzpTOUu8/qApXkxxN4DiwYJ8VAYoZA47jYSvFKBi5kQSERBV0Oid+wqLtCqgTullFT3iMrUmqVQKw==" saltValue="YTHlGDTl4d1LkwaGyKJ9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2RgI7Ny7JuuRkyBRgjjR27u1fpTiICdUMvprIjkmLHPfHkR7t4xdY0S9zcHLDPf2LTaDgO3XrIs0Zook9aQMRA==" saltValue="RdKIPIV4ktgsrJWNesCPR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tV5YeKCZdluK0do2BQUhknO7yggVUgdCsmY2nSwdJss27Mxx1fKJ0cQyDfDBYCsmj9AAtwF9+C7OUIjAxc8Pw==" saltValue="AqvOATzFMOa02H615U9pe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kPgZ0usVSg/cyRbJ0Vh4/Ji/mOmtDdE6KQhGw5R9nO+FMYdS/pEfS+Oi6HJUxYmZsfrbzKfYRm8+9kMzvVTew==" saltValue="QXhqEk3vNeRGRJcrAeoZF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3hoFzdFv/UmKskMY3XlDP99iX+rG47+r0WHFYhdtacPUmlazHXaqzp6Wph0iq1BCmE1khK0tnmMM29QaeLUTkQ==" saltValue="G2QDSC+lMk1OrqVF0Fist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mOj1iwQaObZJ2c3GsS+yp49TwCE/35cEOnmwX+I7yE23pRw72BRKKvvaai/c/7fg9WVDffU8XaeiH+cWDEaEyQ==" saltValue="md4AS6OtHK190JsjR+VE/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PQAqBNw0n42d49VTK5tbnSvferkjhcBEgVcyuMmj1Q1EJzTk0bAnMYKOl21mUrtvfWg2Oi/LlO9sVGQDvA0hg==" saltValue="52R9kVeKn1sIcRM0GZox1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e52cGbNNIQotdrkKqDRZBxVz4HWTMcnpKCH35vj1mJxa1CqvGeo00PclVxc9OyFYD6rZn2ZbFwF2upJO/aPEg==" saltValue="dKrM1xhlDYDlO0LSHFWj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rKRjCh8o3FPGbVnwT0BlaFgo3eq7jMPp4CFloEpYHrDehw6eY107XupVnT9Yj+es37DhKTYyQDkD+XaYbyt8A==" saltValue="/RF28QGNoZuQR0EkVYAw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233h/NiNuEAyBXGVBfczS5SS9qFK1Cy80g3dp1KlPHRNB93ULVt2AMO1SB0O9qIivqtIil4rM5D+FpL/ko7OYA==" saltValue="i6SAWh1KeZmp6DnOsTBs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YlVyRGYxxPOWwZsud04xCUhxL9PhbIlhI8UaIp7jWtVBUtr2hU8/BVhozf71RW/mn5J/I79OU6xuX+zZw6M+Q==" saltValue="yRCIehTqXr613Chw6jpo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cgWHy2w2xAB4+gzXpR6IFur+MGSpUiSTYYiyGssdi+9ONNrYIQK978SnyBh3tRsIqBG4lYt29XR/yIQnEkW8g==" saltValue="0q9EVhkRzRdFM5kfBpxv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DTm70jzujxj5zC/dpaKSRV5hb3ivX7UnDw0NoGrmWpNopIgHttxjHLSevpK5c3CTdP2sF83eBgFCiJfAElUqg==" saltValue="JEzUG14txPjg1rYi5v0N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2tm0pM/bfvYoUlS2xlN+/6Q6vSGE/auGcjHfGmf88vzeJ2VFOf5a+fU6WxhuJb+leHoMUzlthotzL8GoJAkZQ==" saltValue="3YPyreST9W5pBd7UL3Cc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cg10thJusPlm/89XpF5PvFjPSkDD3B1sUH9zastuvm1y39jBgQst8Cb3wIDWmN4cZHHcz1zP0qTVK/KrZMgwQ==" saltValue="DiD1wx89Etb6WmzGZwkh8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2024-08-06T08:04:57Z</dcterms:modified>
</cp:coreProperties>
</file>