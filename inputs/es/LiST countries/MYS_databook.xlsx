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885D4DE-B7F4-4301-AF48-C09A1DB31E3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2" i="2"/>
  <c r="I6" i="2"/>
  <c r="A19" i="2"/>
  <c r="A37" i="2"/>
  <c r="I4" i="2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<sst xmlns="http://schemas.openxmlformats.org/spreadsheetml/2006/main" count="2159" uniqueCount="372">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</sst>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2208542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0.77999130249023396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3.3099999999999997E-2</v>
      </c>
    </row>
    <row r="24" spans="1:3" ht="15" customHeight="1" x14ac:dyDescent="0.25">
      <c r="B24" s="15" t="s">
        <v>65</v>
      </c>
      <c r="C24" s="45">
        <v>0.41270000000000001</v>
      </c>
    </row>
    <row r="25" spans="1:3" ht="15" customHeight="1" x14ac:dyDescent="0.25">
      <c r="B25" s="15" t="s">
        <v>66</v>
      </c>
      <c r="C25" s="45">
        <v>0.50419999999999998</v>
      </c>
    </row>
    <row r="26" spans="1:3" ht="15" customHeight="1" x14ac:dyDescent="0.25">
      <c r="B26" s="15" t="s">
        <v>67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0.29181610000000002</v>
      </c>
    </row>
    <row r="30" spans="1:3" ht="14.25" customHeight="1" x14ac:dyDescent="0.25">
      <c r="B30" s="25" t="s">
        <v>82</v>
      </c>
      <c r="C30" s="99">
        <v>5.8372300000000002E-2</v>
      </c>
    </row>
    <row r="31" spans="1:3" ht="14.25" customHeight="1" x14ac:dyDescent="0.25">
      <c r="B31" s="25" t="s">
        <v>29</v>
      </c>
      <c r="C31" s="99">
        <v>0.11982329999999999</v>
      </c>
    </row>
    <row r="32" spans="1:3" ht="14.25" customHeight="1" x14ac:dyDescent="0.25">
      <c r="B32" s="25" t="s">
        <v>30</v>
      </c>
      <c r="C32" s="99">
        <v>0.52998829999999997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4.2106300000000001</v>
      </c>
    </row>
    <row r="38" spans="1:5" ht="15" customHeight="1" x14ac:dyDescent="0.25">
      <c r="B38" s="11" t="s">
        <v>54</v>
      </c>
      <c r="C38" s="43">
        <v>6.4629700000000003</v>
      </c>
      <c r="D38" s="12"/>
      <c r="E38" s="13"/>
    </row>
    <row r="39" spans="1:5" ht="15" customHeight="1" x14ac:dyDescent="0.25">
      <c r="B39" s="11" t="s">
        <v>80</v>
      </c>
      <c r="C39" s="43">
        <v>7.5561299999999996</v>
      </c>
      <c r="D39" s="12"/>
      <c r="E39" s="12"/>
    </row>
    <row r="40" spans="1:5" ht="15" customHeight="1" x14ac:dyDescent="0.25">
      <c r="B40" s="11" t="s">
        <v>55</v>
      </c>
      <c r="C40" s="100">
        <v>0.21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6.3741000000000006E-3</v>
      </c>
      <c r="D45" s="12"/>
    </row>
    <row r="46" spans="1:5" ht="15.75" customHeight="1" x14ac:dyDescent="0.25">
      <c r="B46" s="11" t="s">
        <v>70</v>
      </c>
      <c r="C46" s="45">
        <v>6.565E-2</v>
      </c>
      <c r="D46" s="12"/>
    </row>
    <row r="47" spans="1:5" ht="15.75" customHeight="1" x14ac:dyDescent="0.25">
      <c r="B47" s="11" t="s">
        <v>78</v>
      </c>
      <c r="C47" s="45">
        <v>0.1470931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0.59568500000000002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zKV24l6nkyADfuRdfQlKOEhYknD0yUS+H0uKtpbYWA+KUwngYoghudbOO/lxz2WgbEJ0epdPuVyaEnTILhqfng==" saltValue="rdKrV3Pt0mdCxpa9OOda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439568</v>
      </c>
      <c r="C2" s="49">
        <v>1347858</v>
      </c>
      <c r="D2" s="49">
        <v>2913647</v>
      </c>
      <c r="E2" s="49">
        <v>2851406</v>
      </c>
      <c r="F2" s="49">
        <v>2302955.5</v>
      </c>
      <c r="G2" s="17">
        <f t="shared" ref="G2:G13" si="0">C2+D2+E2+F2</f>
        <v>9415866.5</v>
      </c>
      <c r="H2" s="17">
        <f t="shared" ref="H2:H13" si="1">(B2 + stillbirth*B2/(1000-stillbirth))/(1-abortion)</f>
        <v>502038.99593977031</v>
      </c>
      <c r="I2" s="17">
        <f t="shared" ref="I2:I13" si="2">G2-H2</f>
        <v>8913827.5040602293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439747</v>
      </c>
      <c r="C3" s="50">
        <v>1339394.5</v>
      </c>
      <c r="D3" s="50">
        <v>2948467.4999999995</v>
      </c>
      <c r="E3" s="50">
        <v>2863488</v>
      </c>
      <c r="F3" s="50">
        <v>2386975.9999999995</v>
      </c>
      <c r="G3" s="17">
        <f t="shared" si="0"/>
        <v>9538326</v>
      </c>
      <c r="H3" s="17">
        <f t="shared" si="1"/>
        <v>502243.43525353575</v>
      </c>
      <c r="I3" s="17">
        <f t="shared" si="2"/>
        <v>9036082.5647464637</v>
      </c>
    </row>
    <row r="4" spans="1:9" ht="15.75" customHeight="1" x14ac:dyDescent="0.25">
      <c r="A4" s="5">
        <f t="shared" si="3"/>
        <v>2026</v>
      </c>
      <c r="B4" s="49">
        <v>440401</v>
      </c>
      <c r="C4" s="50">
        <v>1339707</v>
      </c>
      <c r="D4" s="50">
        <v>2970747.0000000005</v>
      </c>
      <c r="E4" s="50">
        <v>2872770</v>
      </c>
      <c r="F4" s="50">
        <v>2469263</v>
      </c>
      <c r="G4" s="17">
        <f t="shared" si="0"/>
        <v>9652487</v>
      </c>
      <c r="H4" s="17">
        <f t="shared" si="1"/>
        <v>502990.38112617569</v>
      </c>
      <c r="I4" s="17">
        <f t="shared" si="2"/>
        <v>9149496.6188738234</v>
      </c>
    </row>
    <row r="5" spans="1:9" ht="15.75" customHeight="1" x14ac:dyDescent="0.25">
      <c r="A5" s="5">
        <f t="shared" si="3"/>
        <v>2027</v>
      </c>
      <c r="B5" s="49">
        <v>441945</v>
      </c>
      <c r="C5" s="50">
        <v>1345950</v>
      </c>
      <c r="D5" s="50">
        <v>2985898</v>
      </c>
      <c r="E5" s="50">
        <v>2881961.0000000005</v>
      </c>
      <c r="F5" s="50">
        <v>2547587.9999999995</v>
      </c>
      <c r="G5" s="17">
        <f t="shared" si="0"/>
        <v>9761397</v>
      </c>
      <c r="H5" s="17">
        <f t="shared" si="1"/>
        <v>504753.81297228602</v>
      </c>
      <c r="I5" s="17">
        <f t="shared" si="2"/>
        <v>9256643.1870277133</v>
      </c>
    </row>
    <row r="6" spans="1:9" ht="15.75" customHeight="1" x14ac:dyDescent="0.25">
      <c r="A6" s="5">
        <f t="shared" si="3"/>
        <v>2028</v>
      </c>
      <c r="B6" s="49">
        <v>444015</v>
      </c>
      <c r="C6" s="50">
        <v>1357261.5</v>
      </c>
      <c r="D6" s="50">
        <v>2997408.0000000005</v>
      </c>
      <c r="E6" s="50">
        <v>2893319.5</v>
      </c>
      <c r="F6" s="50">
        <v>2619649.5</v>
      </c>
      <c r="G6" s="17">
        <f t="shared" si="0"/>
        <v>9867638.5</v>
      </c>
      <c r="H6" s="17">
        <f t="shared" si="1"/>
        <v>507117.99944990792</v>
      </c>
      <c r="I6" s="17">
        <f t="shared" si="2"/>
        <v>9360520.5005500913</v>
      </c>
    </row>
    <row r="7" spans="1:9" ht="15.75" customHeight="1" x14ac:dyDescent="0.25">
      <c r="A7" s="5">
        <f t="shared" si="3"/>
        <v>2029</v>
      </c>
      <c r="B7" s="49">
        <v>446274</v>
      </c>
      <c r="C7" s="50">
        <v>1370392</v>
      </c>
      <c r="D7" s="50">
        <v>3005497.5000000005</v>
      </c>
      <c r="E7" s="50">
        <v>2907468</v>
      </c>
      <c r="F7" s="50">
        <v>2683633.5</v>
      </c>
      <c r="G7" s="17">
        <f t="shared" si="0"/>
        <v>9966991</v>
      </c>
      <c r="H7" s="17">
        <f t="shared" si="1"/>
        <v>509698.04643200838</v>
      </c>
      <c r="I7" s="17">
        <f t="shared" si="2"/>
        <v>9457292.953567991</v>
      </c>
    </row>
    <row r="8" spans="1:9" ht="15.75" customHeight="1" x14ac:dyDescent="0.25">
      <c r="A8" s="5">
        <f t="shared" si="3"/>
        <v>2030</v>
      </c>
      <c r="B8" s="49">
        <v>448898</v>
      </c>
      <c r="C8" s="50">
        <v>1385946</v>
      </c>
      <c r="D8" s="50">
        <v>3012658.5</v>
      </c>
      <c r="E8" s="50">
        <v>2925171.5000000005</v>
      </c>
      <c r="F8" s="50">
        <v>2738820.5</v>
      </c>
      <c r="G8" s="17">
        <f t="shared" si="0"/>
        <v>10062596.5</v>
      </c>
      <c r="H8" s="17">
        <f t="shared" si="1"/>
        <v>512694.96687513887</v>
      </c>
      <c r="I8" s="17">
        <f t="shared" si="2"/>
        <v>9549901.5331248604</v>
      </c>
    </row>
    <row r="9" spans="1:9" ht="15.75" customHeight="1" x14ac:dyDescent="0.25">
      <c r="A9" s="5">
        <f t="shared" si="3"/>
        <v>2031</v>
      </c>
      <c r="B9" s="49">
        <v>450625</v>
      </c>
      <c r="C9" s="50">
        <v>1403164.5</v>
      </c>
      <c r="D9" s="50">
        <v>3015768.5</v>
      </c>
      <c r="E9" s="50">
        <v>2946481.5</v>
      </c>
      <c r="F9" s="50">
        <v>2783841.5</v>
      </c>
      <c r="G9" s="17">
        <f t="shared" si="0"/>
        <v>10149256</v>
      </c>
      <c r="H9" s="17">
        <f t="shared" si="1"/>
        <v>514667.40651129978</v>
      </c>
      <c r="I9" s="17">
        <f t="shared" si="2"/>
        <v>9634588.5934887007</v>
      </c>
    </row>
    <row r="10" spans="1:9" ht="15.75" customHeight="1" x14ac:dyDescent="0.25">
      <c r="A10" s="5">
        <f t="shared" si="3"/>
        <v>2032</v>
      </c>
      <c r="B10" s="49">
        <v>452440</v>
      </c>
      <c r="C10" s="50">
        <v>1411682</v>
      </c>
      <c r="D10" s="50">
        <v>3018312.5</v>
      </c>
      <c r="E10" s="50">
        <v>2970743.0000000005</v>
      </c>
      <c r="F10" s="50">
        <v>2817124</v>
      </c>
      <c r="G10" s="17">
        <f t="shared" si="0"/>
        <v>10217861.5</v>
      </c>
      <c r="H10" s="17">
        <f t="shared" si="1"/>
        <v>516740.35262573638</v>
      </c>
      <c r="I10" s="17">
        <f t="shared" si="2"/>
        <v>9701121.147374263</v>
      </c>
    </row>
    <row r="11" spans="1:9" ht="15.75" customHeight="1" x14ac:dyDescent="0.25">
      <c r="A11" s="5">
        <f t="shared" si="3"/>
        <v>2033</v>
      </c>
      <c r="B11" s="49">
        <v>454398</v>
      </c>
      <c r="C11" s="50">
        <v>1406388.5</v>
      </c>
      <c r="D11" s="50">
        <v>3019644.5000000005</v>
      </c>
      <c r="E11" s="50">
        <v>2999945.5</v>
      </c>
      <c r="F11" s="50">
        <v>2839767.5</v>
      </c>
      <c r="G11" s="17">
        <f t="shared" si="0"/>
        <v>10265746</v>
      </c>
      <c r="H11" s="17">
        <f t="shared" si="1"/>
        <v>518976.62176737108</v>
      </c>
      <c r="I11" s="17">
        <f t="shared" si="2"/>
        <v>9746769.3782326281</v>
      </c>
    </row>
    <row r="12" spans="1:9" ht="15.75" customHeight="1" x14ac:dyDescent="0.25">
      <c r="A12" s="5">
        <f t="shared" si="3"/>
        <v>2034</v>
      </c>
      <c r="B12" s="49">
        <v>455905</v>
      </c>
      <c r="C12" s="50">
        <v>1382820.5</v>
      </c>
      <c r="D12" s="50">
        <v>3017442.5</v>
      </c>
      <c r="E12" s="50">
        <v>3034362.5</v>
      </c>
      <c r="F12" s="50">
        <v>2854766.4999999995</v>
      </c>
      <c r="G12" s="17">
        <f t="shared" si="0"/>
        <v>10289392</v>
      </c>
      <c r="H12" s="17">
        <f t="shared" si="1"/>
        <v>520697.79520784272</v>
      </c>
      <c r="I12" s="17">
        <f t="shared" si="2"/>
        <v>9768694.2047921568</v>
      </c>
    </row>
    <row r="13" spans="1:9" ht="15.75" customHeight="1" x14ac:dyDescent="0.25">
      <c r="A13" s="5">
        <f t="shared" si="3"/>
        <v>2035</v>
      </c>
      <c r="B13" s="49">
        <v>457884</v>
      </c>
      <c r="C13" s="50">
        <v>1338683.5</v>
      </c>
      <c r="D13" s="50">
        <v>3024481</v>
      </c>
      <c r="E13" s="50">
        <v>3065491</v>
      </c>
      <c r="F13" s="50">
        <v>2864993</v>
      </c>
      <c r="G13" s="17">
        <f t="shared" si="0"/>
        <v>10293648.5</v>
      </c>
      <c r="H13" s="17">
        <f t="shared" si="1"/>
        <v>522958.04884997499</v>
      </c>
      <c r="I13" s="17">
        <f t="shared" si="2"/>
        <v>9770690.4511500243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c+Fufalrrh44o7lyhZjD0vrvGSx5gio/CH8gpQPIyeR/ioojdIzSaahJbQtiYmJc5tieYR05FoVmwvDBOKqwA==" saltValue="O2NrZh7xMdDUttWNO+cBZ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4.99320049932006E-2</v>
      </c>
    </row>
    <row r="5" spans="1:8" ht="15.75" customHeight="1" x14ac:dyDescent="0.25">
      <c r="B5" s="19" t="s">
        <v>114</v>
      </c>
      <c r="C5" s="101">
        <v>1.027610102761011E-2</v>
      </c>
    </row>
    <row r="6" spans="1:8" ht="15.75" customHeight="1" x14ac:dyDescent="0.25">
      <c r="B6" s="19" t="s">
        <v>110</v>
      </c>
      <c r="C6" s="101">
        <v>0.1337043133704314</v>
      </c>
    </row>
    <row r="7" spans="1:8" ht="15.75" customHeight="1" x14ac:dyDescent="0.25">
      <c r="B7" s="19" t="s">
        <v>115</v>
      </c>
      <c r="C7" s="101">
        <v>0.43351454335145478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0.26159222615922201</v>
      </c>
    </row>
    <row r="10" spans="1:8" ht="15.75" customHeight="1" x14ac:dyDescent="0.25">
      <c r="B10" s="19" t="s">
        <v>113</v>
      </c>
      <c r="C10" s="101">
        <v>0.11098081109808119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121</v>
      </c>
      <c r="C15" s="101">
        <v>0.20077711774403409</v>
      </c>
      <c r="D15" s="101">
        <v>0.20077711774403409</v>
      </c>
      <c r="E15" s="101">
        <v>0.20077711774403409</v>
      </c>
      <c r="F15" s="101">
        <v>0.20077711774403409</v>
      </c>
    </row>
    <row r="16" spans="1:8" ht="15.75" customHeight="1" x14ac:dyDescent="0.25">
      <c r="B16" s="19" t="s">
        <v>2</v>
      </c>
      <c r="C16" s="101">
        <v>2.5934051996959591E-2</v>
      </c>
      <c r="D16" s="101">
        <v>2.5934051996959591E-2</v>
      </c>
      <c r="E16" s="101">
        <v>2.5934051996959591E-2</v>
      </c>
      <c r="F16" s="101">
        <v>2.5934051996959591E-2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1.937420903731499E-3</v>
      </c>
      <c r="D18" s="101">
        <v>1.937420903731499E-3</v>
      </c>
      <c r="E18" s="101">
        <v>1.937420903731499E-3</v>
      </c>
      <c r="F18" s="101">
        <v>1.937420903731499E-3</v>
      </c>
    </row>
    <row r="19" spans="1:8" ht="15.75" customHeight="1" x14ac:dyDescent="0.25">
      <c r="B19" s="19" t="s">
        <v>120</v>
      </c>
      <c r="C19" s="101">
        <v>8.1870754878343929E-2</v>
      </c>
      <c r="D19" s="101">
        <v>8.1870754878343929E-2</v>
      </c>
      <c r="E19" s="101">
        <v>8.1870754878343929E-2</v>
      </c>
      <c r="F19" s="101">
        <v>8.1870754878343929E-2</v>
      </c>
    </row>
    <row r="20" spans="1:8" ht="15.75" customHeight="1" x14ac:dyDescent="0.25">
      <c r="B20" s="19" t="s">
        <v>98</v>
      </c>
      <c r="C20" s="101">
        <v>2.5916379957937968E-2</v>
      </c>
      <c r="D20" s="101">
        <v>2.5916379957937968E-2</v>
      </c>
      <c r="E20" s="101">
        <v>2.5916379957937968E-2</v>
      </c>
      <c r="F20" s="101">
        <v>2.5916379957937968E-2</v>
      </c>
    </row>
    <row r="21" spans="1:8" ht="15.75" customHeight="1" x14ac:dyDescent="0.25">
      <c r="B21" s="19" t="s">
        <v>107</v>
      </c>
      <c r="C21" s="101">
        <v>0.56612183919474668</v>
      </c>
      <c r="D21" s="101">
        <v>0.56612183919474668</v>
      </c>
      <c r="E21" s="101">
        <v>0.56612183919474668</v>
      </c>
      <c r="F21" s="101">
        <v>0.56612183919474668</v>
      </c>
    </row>
    <row r="22" spans="1:8" ht="15.75" customHeight="1" x14ac:dyDescent="0.25">
      <c r="B22" s="19" t="s">
        <v>118</v>
      </c>
      <c r="C22" s="101">
        <v>7.4914546675234487E-3</v>
      </c>
      <c r="D22" s="101">
        <v>7.4914546675234487E-3</v>
      </c>
      <c r="E22" s="101">
        <v>7.4914546675234487E-3</v>
      </c>
      <c r="F22" s="101">
        <v>7.4914546675234487E-3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2.386251E-2</v>
      </c>
    </row>
    <row r="27" spans="1:8" ht="15.75" customHeight="1" x14ac:dyDescent="0.25">
      <c r="B27" s="19" t="s">
        <v>108</v>
      </c>
      <c r="C27" s="101">
        <v>5.5546280000000007E-3</v>
      </c>
    </row>
    <row r="28" spans="1:8" ht="15.75" customHeight="1" x14ac:dyDescent="0.25">
      <c r="B28" s="19" t="s">
        <v>122</v>
      </c>
      <c r="C28" s="101">
        <v>0.152936821</v>
      </c>
    </row>
    <row r="29" spans="1:8" ht="15.75" customHeight="1" x14ac:dyDescent="0.25">
      <c r="B29" s="19" t="s">
        <v>105</v>
      </c>
      <c r="C29" s="101">
        <v>0.11069707199999999</v>
      </c>
    </row>
    <row r="30" spans="1:8" ht="15.75" customHeight="1" x14ac:dyDescent="0.25">
      <c r="B30" s="19" t="s">
        <v>4</v>
      </c>
      <c r="C30" s="101">
        <v>5.7770492999999999E-2</v>
      </c>
    </row>
    <row r="31" spans="1:8" ht="15.75" customHeight="1" x14ac:dyDescent="0.25">
      <c r="B31" s="19" t="s">
        <v>99</v>
      </c>
      <c r="C31" s="101">
        <v>9.4773582999999995E-2</v>
      </c>
    </row>
    <row r="32" spans="1:8" ht="15.75" customHeight="1" x14ac:dyDescent="0.25">
      <c r="B32" s="19" t="s">
        <v>104</v>
      </c>
      <c r="C32" s="101">
        <v>0.20791595299999999</v>
      </c>
    </row>
    <row r="33" spans="2:3" ht="15.75" customHeight="1" x14ac:dyDescent="0.25">
      <c r="B33" s="19" t="s">
        <v>119</v>
      </c>
      <c r="C33" s="101">
        <v>0.13742104999999999</v>
      </c>
    </row>
    <row r="34" spans="2:3" ht="15.75" customHeight="1" x14ac:dyDescent="0.25">
      <c r="B34" s="19" t="s">
        <v>106</v>
      </c>
      <c r="C34" s="101">
        <v>0.20906789100000001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V257LwUFWq8JZUdBvieII8v1V/GBErp0AXypjTqqSwvKnSsgRbVRiSvX8IDXviBM5sU96tshLQp39HEBfuxWxQ==" saltValue="0HjbpadA890TCLdvcHOHT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GF3wdgOpmNmT0oBH65QUOAZQdVMFqgebAu41ZPYi5MZXJdcYdzEZn/R6rxhykrgEBOx4R46nhHj2QtoS4J64g==" saltValue="xbKm8AxuNapEk90L1fqx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LV+5Nv4/TgHin0Et/sq7TKiDryA6QrOGjx1kW5W/trNeE8htG96A407l0brI3VCoRwzGm7zFifXQGXhf6H67oA==" saltValue="HnG2FjqNld9Kav/WvR/DM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RXCDAeLKBY3Ie5Z6kJXJ38VZzKTCr8IEMhQ6otH/Gy3BnTc4+CtpQJhjKlL8xm96WJmhNu9px3Jufg8no7ucg==" saltValue="r/o2FDZzdhVS0i75s+4nr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11993.1876132994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0.42581999999999998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0.56333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1.3266565061189728E-2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99157.239629999996</v>
      </c>
      <c r="C22" s="109">
        <v>99041.553899999999</v>
      </c>
      <c r="D22" s="109">
        <v>98897.579129999998</v>
      </c>
      <c r="E22" s="109">
        <v>98579.826260000002</v>
      </c>
      <c r="F22" s="109">
        <v>98153.878639999995</v>
      </c>
      <c r="G22" s="109">
        <v>97692.132329999993</v>
      </c>
      <c r="H22" s="109">
        <v>97083.592040000003</v>
      </c>
      <c r="I22" s="109">
        <v>96267.56611</v>
      </c>
      <c r="J22" s="109">
        <v>95124.250580000007</v>
      </c>
      <c r="K22" s="109">
        <v>93386.116460000005</v>
      </c>
      <c r="L22" s="109">
        <v>90706.755770000003</v>
      </c>
      <c r="M22" s="109">
        <v>86491.326620000007</v>
      </c>
      <c r="N22" s="109">
        <v>80236.675940000001</v>
      </c>
      <c r="O22" s="109">
        <v>71110.76281</v>
      </c>
    </row>
  </sheetData>
  <sheetProtection algorithmName="SHA-512" hashValue="fyjFfjdodWuxFOZwI9iDnc7qtSl9fbPQcOZ8crwQYADVaZt9eL9eiBuPUwiZOYlHRCaav79ZIOw8N9pQpxIvLA==" saltValue="a5sFUT1DTeNzq5dsxU0bf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hfy3XwcLlCjsforto4Kpi/bCnJCOCfBJ6YTkagaqU8o4Lqcicb2OSyyA6pvwstRiaNYhKlvZQFwBRQgHJzvTNA==" saltValue="1a4r9XJNnS8MR4uTOR+ud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2N5dBWx84fu1k9jprzOMRWo6S33Zg3iHltLKcs/xFiN6yXPwPDc4owPQu9skwupk5YYceubREh0C4GeNdjeRsQ==" saltValue="zPlZFTCUECH8IJ4q7umo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3.8723334833414911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13.77933191004225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13.77933191004225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13.77933191004225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13.77933191004225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13.77933191004225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13.77933191004225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21.758442885912821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4.7588079536301482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0.70576165380000011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191.74008051799319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0.95509479999999991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VZrP+yjSvp07PeUJvQQS/gyyuacKYWR+o8Zex4uV1quciuGCJCW5HJvm027DHXmrfOQ7VRLt++N+WXaHbwH2fA==" saltValue="FC19wiT0THrWoq7s/cTS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9ZMMgRcCvgRapr/FWI4ZiSuuBS1aRhmdPQ/6OkD+cbuNCElLYRa18/qnBvaGVf/cw57i8lMxTDSR+uEKnPzGQ==" saltValue="FnEnJ0WlO1DEUnMAjFXD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lFi/LwZGr3LkJ4bxtoozx28+3mM0w9e45AkChcRSQihelOwmLpU4FKhMRSmS24zkA0LwmL5k4t1+AiWE3a+gg==" saltValue="T1ZmhGjMHybi137+G/1P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3OuKPiXuVw+FhG2J4QpztlJ1zv7pcmkFSXJ5qU5B2uml1UZcYvLxDczJ1+RY5F830BZyFi9VmbYcnFvIdBxHkA==" saltValue="arcKRI8aV68dnm5Ac0To8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0.10826628004455587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4.6399834304809658E-2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6.5342583160400508E-2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88fqYUOBdo3vTnkbwgKgZCxsxVVn416+O0l33R/4QiKOmxhGtHbdCuUkAvX1JBCYNf/3OaJsGnpZa26KHTStw==" saltValue="V6RL7gA88+LizEzbUGB/y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LDy9SwNabygCxu/VAq/FOdo4qAmCHRjxoSI34HjT/fk678wYOj0C/JR+60UVJkgoJARWNbEFXVRm8ZorwyiWw==" saltValue="snjjCXDakwbmqTrYRwVP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35HFJyvXOpd7C5L0/lUwedQwnyZEjQGcjf5XIwL4yceW14PqduGyFNoNjHNjh+uJ9F5PTnQovDT4/QrEf034pA==" saltValue="dfGi4Nzu/4flm+oIkpQ6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JrLq6tgkLLv9wl9NPj9yqGUIo3nJbjk4Z58DrUyrMu7Wg89jXSeWZ79pIA5wq7/ciaIjA+bE5Tk0WjEEhZ8oA==" saltValue="idNyrSEF+i+GCnmUBOUK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JyO5ERhJkW/F4vqx0QCE7Avo9w2znJV0UbF6b44uWCdbi+T4MFtqBtfLc51fq34N/6yCXyI10jyB5i7g8+aUXQ==" saltValue="TRqSRttz/Qj98QCRKIbeF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DEJfOJyTewWCVeedmtMOM3UHlthZBUy1bRP2XQMPd8/crUGcTFma3KNogo1fTQ7FRtmI4ZrxGmTKSNIvN2jtg==" saltValue="f7NqiRwjxhnGuqko/d95D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4RXrxrl3jbH2OUckHAGcPAnX0K2tKo/oJZ1jKg9o/l6Wz9n+d08CsDLyMhwbvKP9s8eC/bir5xC+NV4DXZq/g==" saltValue="puV4niKuk8kXM/QIAPBDj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iRmFZY3C2Z54eB4eLBSf7bn2BkLH218u8knvqyoobkYZIcZ3QpnGdsJyKOjJPEJOTzu6ytJew6AIlpCk0ezgoA==" saltValue="DtaXHa0jGKeX+dnnuQxM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8dTh0hZd4GQ2eUHTaNL8piCJNi9LTg8vthkzo9Rrel4Jy6JbgXHrVsOLGGLsgApEnAY2dBcDj3IW8AGagmecKQ==" saltValue="9Rd1j0EQOd2m1TxwtVJr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oYhpzzxjlWw2XCWYESGrIRPRAaNnFZ9kTXaE+cwsbgbTt4lwLvruIUVXARoPtDux4W/toQmkql1lw2gsFY0jA==" saltValue="mASC0wFR5vfVof0nk8Mx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6TyKN9GiHeKPaUHJUsk2HOvwAVOBhsbP98EvGSc/Y1eUqgfTbVSS/05YlKPXsy0yBq7IWRIM/CkQVlZb1i1zg==" saltValue="4dhNYTSY/h7vlRoeYOfM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lClbPTKsDF9rJbUKA3LKJYtd96J9P47jZSd8szrCmRKN0IBpTMM9L7yDUbDPSJ1+CzrQKltEpKQL+FNIDo1Qg==" saltValue="yrLe4f5MBMpojscBugGc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jCnTOv3XOAE9Be23gxwPRcB1QQ/ybWIXA7ibCH+2WmK0t7WRL8o1X7be/vyDAsk5wLtndQE8+46BTJwDAtfFA==" saltValue="ooKO0Th/D6uTPzG6GTHo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kSwPIBi5Qr0ptkTRK6b/2mWG3xKoj+Dho/7MZCKaLocMXJjXEohs0P9x9rKMdpCK89ArnFqsnWOdYHGHkwAQw==" saltValue="oFLzOck/UMJS4qu80tEZ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cWenuOFrEFJDovSc0QY0E4xYElLLQqXS9iJMzsyvLhdnvAfcp4a3d4JOMyg/mOBi4JAIC0QwNAMVm7v39VIhw==" saltValue="wBQCN3clZYPQOIztCkNw9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