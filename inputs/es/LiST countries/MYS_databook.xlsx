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8F7DADDF-7A10-47C9-98DE-56A74D1484AC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<sst xmlns="http://schemas.openxmlformats.org/spreadsheetml/2006/main" count="2102" uniqueCount="341">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</sst>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2530276.859375</v>
      </c>
    </row>
    <row r="8" spans="1:3" ht="15" customHeight="1" x14ac:dyDescent="0.25">
      <c r="B8" s="5" t="s">
        <v>44</v>
      </c>
      <c r="C8" s="44">
        <v>0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0.77999130249023396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3.3099999999999997E-2</v>
      </c>
    </row>
    <row r="24" spans="1:3" ht="15" customHeight="1" x14ac:dyDescent="0.25">
      <c r="B24" s="15" t="s">
        <v>46</v>
      </c>
      <c r="C24" s="45">
        <v>0.41270000000000001</v>
      </c>
    </row>
    <row r="25" spans="1:3" ht="15" customHeight="1" x14ac:dyDescent="0.25">
      <c r="B25" s="15" t="s">
        <v>47</v>
      </c>
      <c r="C25" s="45">
        <v>0.50419999999999998</v>
      </c>
    </row>
    <row r="26" spans="1:3" ht="15" customHeight="1" x14ac:dyDescent="0.25">
      <c r="B26" s="15" t="s">
        <v>48</v>
      </c>
      <c r="C26" s="45">
        <v>0.05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0.29181610000000002</v>
      </c>
    </row>
    <row r="30" spans="1:3" ht="14.25" customHeight="1" x14ac:dyDescent="0.25">
      <c r="B30" s="25" t="s">
        <v>63</v>
      </c>
      <c r="C30" s="99">
        <v>5.8372300000000002E-2</v>
      </c>
    </row>
    <row r="31" spans="1:3" ht="14.25" customHeight="1" x14ac:dyDescent="0.25">
      <c r="B31" s="25" t="s">
        <v>10</v>
      </c>
      <c r="C31" s="99">
        <v>0.11982329999999999</v>
      </c>
    </row>
    <row r="32" spans="1:3" ht="14.25" customHeight="1" x14ac:dyDescent="0.25">
      <c r="B32" s="25" t="s">
        <v>11</v>
      </c>
      <c r="C32" s="99">
        <v>0.52998829999999997</v>
      </c>
    </row>
    <row r="33" spans="1:5" ht="13" customHeight="1" x14ac:dyDescent="0.25">
      <c r="B33" s="27" t="s">
        <v>60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4.2106300000000001</v>
      </c>
    </row>
    <row r="38" spans="1:5" ht="15" customHeight="1" x14ac:dyDescent="0.25">
      <c r="B38" s="11" t="s">
        <v>35</v>
      </c>
      <c r="C38" s="43">
        <v>6.4629700000000003</v>
      </c>
      <c r="D38" s="12"/>
      <c r="E38" s="13"/>
    </row>
    <row r="39" spans="1:5" ht="15" customHeight="1" x14ac:dyDescent="0.25">
      <c r="B39" s="11" t="s">
        <v>61</v>
      </c>
      <c r="C39" s="43">
        <v>7.5561299999999996</v>
      </c>
      <c r="D39" s="12"/>
      <c r="E39" s="12"/>
    </row>
    <row r="40" spans="1:5" ht="15" customHeight="1" x14ac:dyDescent="0.25">
      <c r="B40" s="11" t="s">
        <v>36</v>
      </c>
      <c r="C40" s="100">
        <v>0.21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5.0392599999999996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6.3741000000000006E-3</v>
      </c>
      <c r="D45" s="12"/>
    </row>
    <row r="46" spans="1:5" ht="15.75" customHeight="1" x14ac:dyDescent="0.25">
      <c r="B46" s="11" t="s">
        <v>51</v>
      </c>
      <c r="C46" s="45">
        <v>6.565E-2</v>
      </c>
      <c r="D46" s="12"/>
    </row>
    <row r="47" spans="1:5" ht="15.75" customHeight="1" x14ac:dyDescent="0.25">
      <c r="B47" s="11" t="s">
        <v>59</v>
      </c>
      <c r="C47" s="45">
        <v>0.1470931</v>
      </c>
      <c r="D47" s="12"/>
      <c r="E47" s="13"/>
    </row>
    <row r="48" spans="1:5" ht="15" customHeight="1" x14ac:dyDescent="0.25">
      <c r="B48" s="11" t="s">
        <v>58</v>
      </c>
      <c r="C48" s="46">
        <v>0.78088279999999999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2.2000000000000002</v>
      </c>
      <c r="D51" s="12"/>
    </row>
    <row r="52" spans="1:4" ht="15" customHeight="1" x14ac:dyDescent="0.25">
      <c r="B52" s="11" t="s">
        <v>13</v>
      </c>
      <c r="C52" s="100">
        <v>2.2000000000000002</v>
      </c>
    </row>
    <row r="53" spans="1:4" ht="15.75" customHeight="1" x14ac:dyDescent="0.25">
      <c r="B53" s="11" t="s">
        <v>16</v>
      </c>
      <c r="C53" s="100">
        <v>2.2000000000000002</v>
      </c>
    </row>
    <row r="54" spans="1:4" ht="15.75" customHeight="1" x14ac:dyDescent="0.25">
      <c r="B54" s="11" t="s">
        <v>14</v>
      </c>
      <c r="C54" s="100">
        <v>2.2000000000000002</v>
      </c>
    </row>
    <row r="55" spans="1:4" ht="15.75" customHeight="1" x14ac:dyDescent="0.25">
      <c r="B55" s="11" t="s">
        <v>15</v>
      </c>
      <c r="C55" s="100">
        <v>2.2000000000000002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2.1363636363636359E-2</v>
      </c>
    </row>
    <row r="59" spans="1:4" ht="15.75" customHeight="1" x14ac:dyDescent="0.25">
      <c r="B59" s="11" t="s">
        <v>40</v>
      </c>
      <c r="C59" s="45">
        <v>0.59568500000000002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0.11349301000000001</v>
      </c>
    </row>
    <row r="63" spans="1:4" ht="15.75" customHeight="1" x14ac:dyDescent="0.3">
      <c r="A63" s="4"/>
    </row>
  </sheetData>
  <sheetProtection algorithmName="SHA-512" hashValue="dpLKZfiVrfORXFx8jx3EIS4D0XgcA+nVhb9atTKxzr3II2P6cymbbRUPRxU/EnCCIBWuk9obPkb3cYWZW73uFw==" saltValue="FNWvMdwOkeBWKp/Sw/IG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504947</v>
      </c>
      <c r="C2" s="49">
        <v>1510474.5</v>
      </c>
      <c r="D2" s="49">
        <v>2772634.5</v>
      </c>
      <c r="E2" s="49">
        <v>2952031</v>
      </c>
      <c r="F2" s="49">
        <v>2030147.5</v>
      </c>
      <c r="G2" s="17">
        <f t="shared" ref="G2:G13" si="0">C2+D2+E2+F2</f>
        <v>9265287.5</v>
      </c>
      <c r="H2" s="17">
        <f t="shared" ref="H2:H13" si="1">(B2 + stillbirth*B2/(1000-stillbirth))/(1-abortion)</f>
        <v>576709.59870327055</v>
      </c>
      <c r="I2" s="17">
        <f t="shared" ref="I2:I13" si="2">G2-H2</f>
        <v>8688577.9012967292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502550</v>
      </c>
      <c r="C3" s="50">
        <v>1493289.5</v>
      </c>
      <c r="D3" s="50">
        <v>2749649.5</v>
      </c>
      <c r="E3" s="50">
        <v>2967256.5</v>
      </c>
      <c r="F3" s="50">
        <v>2107528</v>
      </c>
      <c r="G3" s="17">
        <f t="shared" si="0"/>
        <v>9317723.5</v>
      </c>
      <c r="H3" s="17">
        <f t="shared" si="1"/>
        <v>573971.93928932864</v>
      </c>
      <c r="I3" s="17">
        <f t="shared" si="2"/>
        <v>8743751.5607106723</v>
      </c>
    </row>
    <row r="4" spans="1:9" ht="15.75" customHeight="1" x14ac:dyDescent="0.25">
      <c r="A4" s="5">
        <f t="shared" si="3"/>
        <v>2026</v>
      </c>
      <c r="B4" s="49">
        <v>500475</v>
      </c>
      <c r="C4" s="50">
        <v>1481691</v>
      </c>
      <c r="D4" s="50">
        <v>2731665.5</v>
      </c>
      <c r="E4" s="50">
        <v>2971484.5</v>
      </c>
      <c r="F4" s="50">
        <v>2187893</v>
      </c>
      <c r="G4" s="17">
        <f t="shared" si="0"/>
        <v>9372734</v>
      </c>
      <c r="H4" s="17">
        <f t="shared" si="1"/>
        <v>571602.04221635009</v>
      </c>
      <c r="I4" s="17">
        <f t="shared" si="2"/>
        <v>8801131.9577836506</v>
      </c>
    </row>
    <row r="5" spans="1:9" ht="15.75" customHeight="1" x14ac:dyDescent="0.25">
      <c r="A5" s="5">
        <f t="shared" si="3"/>
        <v>2027</v>
      </c>
      <c r="B5" s="49">
        <v>497557</v>
      </c>
      <c r="C5" s="50">
        <v>1476245.5</v>
      </c>
      <c r="D5" s="50">
        <v>2715550</v>
      </c>
      <c r="E5" s="50">
        <v>2965997</v>
      </c>
      <c r="F5" s="50">
        <v>2268214</v>
      </c>
      <c r="G5" s="17">
        <f t="shared" si="0"/>
        <v>9426006.5</v>
      </c>
      <c r="H5" s="17">
        <f t="shared" si="1"/>
        <v>568269.33876625297</v>
      </c>
      <c r="I5" s="17">
        <f t="shared" si="2"/>
        <v>8857737.1612337474</v>
      </c>
    </row>
    <row r="6" spans="1:9" ht="15.75" customHeight="1" x14ac:dyDescent="0.25">
      <c r="A6" s="5">
        <f t="shared" si="3"/>
        <v>2028</v>
      </c>
      <c r="B6" s="49">
        <v>493770</v>
      </c>
      <c r="C6" s="50">
        <v>1481529</v>
      </c>
      <c r="D6" s="50">
        <v>2694652</v>
      </c>
      <c r="E6" s="50">
        <v>2954031</v>
      </c>
      <c r="F6" s="50">
        <v>2347103.5</v>
      </c>
      <c r="G6" s="17">
        <f t="shared" si="0"/>
        <v>9477315.5</v>
      </c>
      <c r="H6" s="17">
        <f t="shared" si="1"/>
        <v>563944.1338431834</v>
      </c>
      <c r="I6" s="17">
        <f t="shared" si="2"/>
        <v>8913371.3661568165</v>
      </c>
    </row>
    <row r="7" spans="1:9" ht="15.75" customHeight="1" x14ac:dyDescent="0.25">
      <c r="A7" s="5">
        <f t="shared" si="3"/>
        <v>2029</v>
      </c>
      <c r="B7" s="49">
        <v>489921</v>
      </c>
      <c r="C7" s="50">
        <v>1497510.5</v>
      </c>
      <c r="D7" s="50">
        <v>2665472.5</v>
      </c>
      <c r="E7" s="50">
        <v>2938753</v>
      </c>
      <c r="F7" s="50">
        <v>2423076</v>
      </c>
      <c r="G7" s="17">
        <f t="shared" si="0"/>
        <v>9524812</v>
      </c>
      <c r="H7" s="17">
        <f t="shared" si="1"/>
        <v>559548.11753769207</v>
      </c>
      <c r="I7" s="17">
        <f t="shared" si="2"/>
        <v>8965263.8824623078</v>
      </c>
    </row>
    <row r="8" spans="1:9" ht="15.75" customHeight="1" x14ac:dyDescent="0.25">
      <c r="A8" s="5">
        <f t="shared" si="3"/>
        <v>2030</v>
      </c>
      <c r="B8" s="49">
        <v>485987</v>
      </c>
      <c r="C8" s="50">
        <v>1515800</v>
      </c>
      <c r="D8" s="50">
        <v>2633645</v>
      </c>
      <c r="E8" s="50">
        <v>2921858</v>
      </c>
      <c r="F8" s="50">
        <v>2492635.5</v>
      </c>
      <c r="G8" s="17">
        <f t="shared" si="0"/>
        <v>9563938.5</v>
      </c>
      <c r="H8" s="17">
        <f t="shared" si="1"/>
        <v>555055.0211111391</v>
      </c>
      <c r="I8" s="17">
        <f t="shared" si="2"/>
        <v>9008883.4788888618</v>
      </c>
    </row>
    <row r="9" spans="1:9" ht="15.75" customHeight="1" x14ac:dyDescent="0.25">
      <c r="A9" s="5">
        <f t="shared" si="3"/>
        <v>2031</v>
      </c>
      <c r="B9" s="49">
        <v>483995</v>
      </c>
      <c r="C9" s="50">
        <v>1528021</v>
      </c>
      <c r="D9" s="50">
        <v>2607608.5</v>
      </c>
      <c r="E9" s="50">
        <v>2904175.5</v>
      </c>
      <c r="F9" s="50">
        <v>2551531.5</v>
      </c>
      <c r="G9" s="17">
        <f t="shared" si="0"/>
        <v>9591336.5</v>
      </c>
      <c r="H9" s="17">
        <f t="shared" si="1"/>
        <v>552779.91992107965</v>
      </c>
      <c r="I9" s="17">
        <f t="shared" si="2"/>
        <v>9038556.5800789203</v>
      </c>
    </row>
    <row r="10" spans="1:9" ht="15.75" customHeight="1" x14ac:dyDescent="0.25">
      <c r="A10" s="5">
        <f t="shared" si="3"/>
        <v>2032</v>
      </c>
      <c r="B10" s="49">
        <v>478771</v>
      </c>
      <c r="C10" s="50">
        <v>1533052</v>
      </c>
      <c r="D10" s="50">
        <v>2589179</v>
      </c>
      <c r="E10" s="50">
        <v>2885013.5</v>
      </c>
      <c r="F10" s="50">
        <v>2598110.5</v>
      </c>
      <c r="G10" s="17">
        <f t="shared" si="0"/>
        <v>9605355</v>
      </c>
      <c r="H10" s="17">
        <f t="shared" si="1"/>
        <v>546813.48989253037</v>
      </c>
      <c r="I10" s="17">
        <f t="shared" si="2"/>
        <v>9058541.5101074688</v>
      </c>
    </row>
    <row r="11" spans="1:9" ht="15.75" customHeight="1" x14ac:dyDescent="0.25">
      <c r="A11" s="5">
        <f t="shared" si="3"/>
        <v>2033</v>
      </c>
      <c r="B11" s="49">
        <v>473565</v>
      </c>
      <c r="C11" s="50">
        <v>1531799</v>
      </c>
      <c r="D11" s="50">
        <v>2578102.5</v>
      </c>
      <c r="E11" s="50">
        <v>2861800</v>
      </c>
      <c r="F11" s="50">
        <v>2633033.5</v>
      </c>
      <c r="G11" s="17">
        <f t="shared" si="0"/>
        <v>9604735</v>
      </c>
      <c r="H11" s="17">
        <f t="shared" si="1"/>
        <v>540867.61800726468</v>
      </c>
      <c r="I11" s="17">
        <f t="shared" si="2"/>
        <v>9063867.381992735</v>
      </c>
    </row>
    <row r="12" spans="1:9" ht="15.75" customHeight="1" x14ac:dyDescent="0.25">
      <c r="A12" s="5">
        <f t="shared" si="3"/>
        <v>2034</v>
      </c>
      <c r="B12" s="49">
        <v>467896</v>
      </c>
      <c r="C12" s="50">
        <v>1524737</v>
      </c>
      <c r="D12" s="50">
        <v>2573906.5</v>
      </c>
      <c r="E12" s="50">
        <v>2836089.5</v>
      </c>
      <c r="F12" s="50">
        <v>2658494.5</v>
      </c>
      <c r="G12" s="17">
        <f t="shared" si="0"/>
        <v>9593227.5</v>
      </c>
      <c r="H12" s="17">
        <f t="shared" si="1"/>
        <v>534392.94499198033</v>
      </c>
      <c r="I12" s="17">
        <f t="shared" si="2"/>
        <v>9058834.5550080203</v>
      </c>
    </row>
    <row r="13" spans="1:9" ht="15.75" customHeight="1" x14ac:dyDescent="0.25">
      <c r="A13" s="5">
        <f t="shared" si="3"/>
        <v>2035</v>
      </c>
      <c r="B13" s="49">
        <v>463805</v>
      </c>
      <c r="C13" s="50">
        <v>1515152</v>
      </c>
      <c r="D13" s="50">
        <v>2572379</v>
      </c>
      <c r="E13" s="50">
        <v>2813377.5</v>
      </c>
      <c r="F13" s="50">
        <v>2676792</v>
      </c>
      <c r="G13" s="17">
        <f t="shared" si="0"/>
        <v>9577700.5</v>
      </c>
      <c r="H13" s="17">
        <f t="shared" si="1"/>
        <v>529720.53587123076</v>
      </c>
      <c r="I13" s="17">
        <f t="shared" si="2"/>
        <v>9047979.9641287699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z/JuSsVa1qnXRw48rtWJ6tUDSE8G+iWFTjtSqQFbUyJ+Ey2L/RFOLmclG+iJPXrK3H2ig8F3M1jq7/VZUmbssw==" saltValue="4gzVZVsZTSmfk/+PUwGh1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4.99320049932006E-2</v>
      </c>
    </row>
    <row r="5" spans="1:8" ht="15.75" customHeight="1" x14ac:dyDescent="0.25">
      <c r="B5" s="19" t="s">
        <v>95</v>
      </c>
      <c r="C5" s="101">
        <v>1.027610102761011E-2</v>
      </c>
    </row>
    <row r="6" spans="1:8" ht="15.75" customHeight="1" x14ac:dyDescent="0.25">
      <c r="B6" s="19" t="s">
        <v>91</v>
      </c>
      <c r="C6" s="101">
        <v>0.1337043133704314</v>
      </c>
    </row>
    <row r="7" spans="1:8" ht="15.75" customHeight="1" x14ac:dyDescent="0.25">
      <c r="B7" s="19" t="s">
        <v>96</v>
      </c>
      <c r="C7" s="101">
        <v>0.43351454335145478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0.26159222615922201</v>
      </c>
    </row>
    <row r="10" spans="1:8" ht="15.75" customHeight="1" x14ac:dyDescent="0.25">
      <c r="B10" s="19" t="s">
        <v>94</v>
      </c>
      <c r="C10" s="101">
        <v>0.11098081109808119</v>
      </c>
    </row>
    <row r="11" spans="1:8" ht="15.75" customHeight="1" x14ac:dyDescent="0.25">
      <c r="B11" s="27" t="s">
        <v>60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8.995098065672287E-2</v>
      </c>
      <c r="D14" s="55">
        <v>8.995098065672287E-2</v>
      </c>
      <c r="E14" s="55">
        <v>8.995098065672287E-2</v>
      </c>
      <c r="F14" s="55">
        <v>8.995098065672287E-2</v>
      </c>
    </row>
    <row r="15" spans="1:8" ht="15.75" customHeight="1" x14ac:dyDescent="0.25">
      <c r="B15" s="19" t="s">
        <v>102</v>
      </c>
      <c r="C15" s="101">
        <v>0.20077711774403409</v>
      </c>
      <c r="D15" s="101">
        <v>0.20077711774403409</v>
      </c>
      <c r="E15" s="101">
        <v>0.20077711774403409</v>
      </c>
      <c r="F15" s="101">
        <v>0.20077711774403409</v>
      </c>
    </row>
    <row r="16" spans="1:8" ht="15.75" customHeight="1" x14ac:dyDescent="0.25">
      <c r="B16" s="19" t="s">
        <v>2</v>
      </c>
      <c r="C16" s="101">
        <v>2.5934051996959591E-2</v>
      </c>
      <c r="D16" s="101">
        <v>2.5934051996959591E-2</v>
      </c>
      <c r="E16" s="101">
        <v>2.5934051996959591E-2</v>
      </c>
      <c r="F16" s="101">
        <v>2.5934051996959591E-2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1.937420903731499E-3</v>
      </c>
      <c r="D18" s="101">
        <v>1.937420903731499E-3</v>
      </c>
      <c r="E18" s="101">
        <v>1.937420903731499E-3</v>
      </c>
      <c r="F18" s="101">
        <v>1.937420903731499E-3</v>
      </c>
    </row>
    <row r="19" spans="1:8" ht="15.75" customHeight="1" x14ac:dyDescent="0.25">
      <c r="B19" s="19" t="s">
        <v>101</v>
      </c>
      <c r="C19" s="101">
        <v>8.1870754878343929E-2</v>
      </c>
      <c r="D19" s="101">
        <v>8.1870754878343929E-2</v>
      </c>
      <c r="E19" s="101">
        <v>8.1870754878343929E-2</v>
      </c>
      <c r="F19" s="101">
        <v>8.1870754878343929E-2</v>
      </c>
    </row>
    <row r="20" spans="1:8" ht="15.75" customHeight="1" x14ac:dyDescent="0.25">
      <c r="B20" s="19" t="s">
        <v>79</v>
      </c>
      <c r="C20" s="101">
        <v>2.5916379957937968E-2</v>
      </c>
      <c r="D20" s="101">
        <v>2.5916379957937968E-2</v>
      </c>
      <c r="E20" s="101">
        <v>2.5916379957937968E-2</v>
      </c>
      <c r="F20" s="101">
        <v>2.5916379957937968E-2</v>
      </c>
    </row>
    <row r="21" spans="1:8" ht="15.75" customHeight="1" x14ac:dyDescent="0.25">
      <c r="B21" s="19" t="s">
        <v>88</v>
      </c>
      <c r="C21" s="101">
        <v>0.56612183919474668</v>
      </c>
      <c r="D21" s="101">
        <v>0.56612183919474668</v>
      </c>
      <c r="E21" s="101">
        <v>0.56612183919474668</v>
      </c>
      <c r="F21" s="101">
        <v>0.56612183919474668</v>
      </c>
    </row>
    <row r="22" spans="1:8" ht="15.75" customHeight="1" x14ac:dyDescent="0.25">
      <c r="B22" s="19" t="s">
        <v>99</v>
      </c>
      <c r="C22" s="101">
        <v>7.4914546675234487E-3</v>
      </c>
      <c r="D22" s="101">
        <v>7.4914546675234487E-3</v>
      </c>
      <c r="E22" s="101">
        <v>7.4914546675234487E-3</v>
      </c>
      <c r="F22" s="101">
        <v>7.4914546675234487E-3</v>
      </c>
    </row>
    <row r="23" spans="1:8" ht="15.75" customHeight="1" x14ac:dyDescent="0.25">
      <c r="B23" s="27" t="s">
        <v>60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2.386251E-2</v>
      </c>
    </row>
    <row r="27" spans="1:8" ht="15.75" customHeight="1" x14ac:dyDescent="0.25">
      <c r="B27" s="19" t="s">
        <v>89</v>
      </c>
      <c r="C27" s="101">
        <v>5.5546280000000007E-3</v>
      </c>
    </row>
    <row r="28" spans="1:8" ht="15.75" customHeight="1" x14ac:dyDescent="0.25">
      <c r="B28" s="19" t="s">
        <v>103</v>
      </c>
      <c r="C28" s="101">
        <v>0.152936821</v>
      </c>
    </row>
    <row r="29" spans="1:8" ht="15.75" customHeight="1" x14ac:dyDescent="0.25">
      <c r="B29" s="19" t="s">
        <v>86</v>
      </c>
      <c r="C29" s="101">
        <v>0.11069707199999999</v>
      </c>
    </row>
    <row r="30" spans="1:8" ht="15.75" customHeight="1" x14ac:dyDescent="0.25">
      <c r="B30" s="19" t="s">
        <v>4</v>
      </c>
      <c r="C30" s="101">
        <v>5.7770492999999999E-2</v>
      </c>
    </row>
    <row r="31" spans="1:8" ht="15.75" customHeight="1" x14ac:dyDescent="0.25">
      <c r="B31" s="19" t="s">
        <v>80</v>
      </c>
      <c r="C31" s="101">
        <v>9.4773582999999995E-2</v>
      </c>
    </row>
    <row r="32" spans="1:8" ht="15.75" customHeight="1" x14ac:dyDescent="0.25">
      <c r="B32" s="19" t="s">
        <v>85</v>
      </c>
      <c r="C32" s="101">
        <v>0.20791595299999999</v>
      </c>
    </row>
    <row r="33" spans="2:3" ht="15.75" customHeight="1" x14ac:dyDescent="0.25">
      <c r="B33" s="19" t="s">
        <v>100</v>
      </c>
      <c r="C33" s="101">
        <v>0.13742104999999999</v>
      </c>
    </row>
    <row r="34" spans="2:3" ht="15.75" customHeight="1" x14ac:dyDescent="0.25">
      <c r="B34" s="19" t="s">
        <v>87</v>
      </c>
      <c r="C34" s="101">
        <v>0.20906789100000001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H5nkRZbXu5x80nkb5wXJZ0e/e5H7xKfSLMympH7PrcSDLT5ultvMzt8hhCGn3ECU19X9Jrzry9Du7M2p+SADbw==" saltValue="OBlKSAXqmewY1V1erhPKu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110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106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119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0.20510380375000001</v>
      </c>
      <c r="D14" s="54">
        <v>0.18616108902699999</v>
      </c>
      <c r="E14" s="54">
        <v>0.18616108902699999</v>
      </c>
      <c r="F14" s="54">
        <v>0.111192412666</v>
      </c>
      <c r="G14" s="54">
        <v>0.111192412666</v>
      </c>
      <c r="H14" s="45">
        <v>0.371</v>
      </c>
      <c r="I14" s="55">
        <v>0.371</v>
      </c>
      <c r="J14" s="55">
        <v>0.371</v>
      </c>
      <c r="K14" s="55">
        <v>0.371</v>
      </c>
      <c r="L14" s="45">
        <v>0.24399999999999999</v>
      </c>
      <c r="M14" s="55">
        <v>0.24399999999999999</v>
      </c>
      <c r="N14" s="55">
        <v>0.24399999999999999</v>
      </c>
      <c r="O14" s="55">
        <v>0.24399999999999999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0.12217725933681876</v>
      </c>
      <c r="D15" s="52">
        <f t="shared" si="0"/>
        <v>0.11089336831704849</v>
      </c>
      <c r="E15" s="52">
        <f t="shared" si="0"/>
        <v>0.11089336831704849</v>
      </c>
      <c r="F15" s="52">
        <f t="shared" si="0"/>
        <v>6.623565233894621E-2</v>
      </c>
      <c r="G15" s="52">
        <f t="shared" si="0"/>
        <v>6.623565233894621E-2</v>
      </c>
      <c r="H15" s="52">
        <f t="shared" si="0"/>
        <v>0.22099913500000001</v>
      </c>
      <c r="I15" s="52">
        <f t="shared" si="0"/>
        <v>0.22099913500000001</v>
      </c>
      <c r="J15" s="52">
        <f t="shared" si="0"/>
        <v>0.22099913500000001</v>
      </c>
      <c r="K15" s="52">
        <f t="shared" si="0"/>
        <v>0.22099913500000001</v>
      </c>
      <c r="L15" s="52">
        <f t="shared" si="0"/>
        <v>0.14534714000000001</v>
      </c>
      <c r="M15" s="52">
        <f t="shared" si="0"/>
        <v>0.14534714000000001</v>
      </c>
      <c r="N15" s="52">
        <f t="shared" si="0"/>
        <v>0.14534714000000001</v>
      </c>
      <c r="O15" s="52">
        <f t="shared" si="0"/>
        <v>0.14534714000000001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22wgH5v7RnZCoRSUB3gY+HFmspVrygjfTVoMrD8PXds+OyDfsgjneJ+clWfUNrxA0P2j50E90OUaE3LraVTR5w==" saltValue="ajK1K7Xq1BLkZmu1Oalz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125</v>
      </c>
      <c r="C5" s="52">
        <v>4.2547995714285698E-2</v>
      </c>
      <c r="D5" s="52">
        <v>6.9181616901408394E-2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/Oxt5wM3KDX9jrdiGcOHnjAMHRLJdwNyCLlkdng5HDbPQ2P4QGxwjUKHKd4HBelYNdlpbOIVl0OEBmRZ5E/TAg==" saltValue="hlNef8e1gy36T8mxffjm7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V8FrPeB4Ll3vbiwc06Me/piSFoNecWuSXeaEpMhnC0Q7++pDfNtyDUGz/eLVclBVO23t7yDUN0KHL8d8nFjV1g==" saltValue="qTidNGDgRh2i/7V0rA2qs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+pP1YekNMWp4jJ3BgBSH0a3Ulst+a7sD6cLbKAh564JgFjoThrbrr+Juc9Q9AVSAF9W2RF3iICWbqMTEvd+0fA==" saltValue="tk9fbnK6drYx5KTF+iscc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UW7p5OPOnPaZgYi+Uinb0X5LsgFDlI2QEtEjyIOM0qitWWe/HtlPlvYQllRF8m3cGL0JNELd5tl0lDlwv1vZEw==" saltValue="TdsZnB9+Q1M0URJX52iaN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Ce+puzzfZkN89LCz9cpZdRixs1X/GIyVGJo66QRr/LaPro+LSBMPqJTmQdBbjrgjZl5V3d7s2UQYhohyIDRTvg==" saltValue="/QxZEdtiCXg6eatSJffTN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92.245047147143225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40.647032466246337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950.82377496430036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3.8723334833414911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13.77933191004225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13.77933191004225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13.77933191004225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13.77933191004225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13.77933191004225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13.77933191004225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0.95</v>
      </c>
      <c r="C16" s="98">
        <v>0.95</v>
      </c>
      <c r="D16" s="56">
        <v>1.4860977099376029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0.1242920217</v>
      </c>
      <c r="C18" s="98">
        <v>0.95</v>
      </c>
      <c r="D18" s="56">
        <v>21.758442885912821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0.95996129999999991</v>
      </c>
      <c r="C19" s="98">
        <v>0.95</v>
      </c>
      <c r="D19" s="56">
        <v>21.758442885912821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0.95509479999999991</v>
      </c>
      <c r="C21" s="98">
        <v>0.95</v>
      </c>
      <c r="D21" s="56">
        <v>32.963044266470973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24.180959628055831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4.7588079536301482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0.94184396039999996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19.340697663417359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0.73859193869999995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191.74008051799319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4.3398717631557826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3.2697777913707609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5.2784465228258819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9mzFpgHPspAiyhsj+WJIwCnobFPPZyIAyTtUjwb4s+kGXnfUQvIlwJJu2S9LC8pePWou86mv5hsfc0OPqic5RA==" saltValue="hrmEMpoG1yjl21JkRwwP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AaI5w8TOUjnXJ63XPNZBrMKFHk+6CqixkUPpT+d69weKlrBLoHztEUt80ggMxO4UR/Vq9QG9H8f2s7ojDPWiw==" saltValue="mLhA9KmGZRKGOyJGFpUdD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tYQ7sOchdz7jy2StXEU/Tvb2YRfAc365kAfe/QwVT2F/SGomr3E0Ab4hKvgtJ+T8lr2OmsstU14to293KkSHBA==" saltValue="34SjPGs5b0TWy1SyE/Ua4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207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Ofhv8sAQXe9W/XHBb6MOxL1Gdpsk0BKd3bMeSyFGr3mSCkRZFZVW+1fh3QbL01JJGTCFhVKkWxQYpFvlskpzQQ==" saltValue="rtf6tZQMVnAQuTGeW2kio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0.10780426177978536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4.6201826477050865E-2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6.6002609252929806E-2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0.77999130249023396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ziaEmMcAIt8Lle2AKNerkAKKry8we3WehxFRGYiqspaezqTDO+ZJS5XnJVajxtDNO1FNrRhhAjN6VmE1gKJvg==" saltValue="rvxmEKgjurfvoU5qyi3Kf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jVwcF/mOb3wtJTkaXqFceMO1xsSYl1RDdKaM6PC8cP6poag5V0SQl3ucuvyPaQapo2tacNNuJ1K6Cd5DpfNIhw==" saltValue="7Y33CJF5wr6+y/FsHHnnS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wIebunvvWUceJcFZFDR/umqOQ4+g4HMqjo7is0fyOGAxMfwdwkm78oGlIHRmxVc/lWg97Z01NJ4clbZqjLR5Q==" saltValue="eiuVKALwRsAUY6FZmPyk5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QIr5dWofQnMqbJXnXY3qeBzpy57vFz7KwdJAUuGW6QY1fVefBhWN0jr+a/LwqCvJeYIY08n9Yk1RqoldNaekQ==" saltValue="G+Mz/cCcFW6jaupqJ1B9+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UTen3ySVL1EVC+f9ywExs16SArYyeUnCEQJYIQOcCzE+7BwtOyyn2f41nTPSeWdroY96qv6T16Ex74ZmsM2XcQ==" saltValue="f/K7+GJO2jZfYCQl4C48o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aD70WRH1xFowG0xbappWPPsQFJkCq/Wu4kQhAtp5VgX72LRXH388nTo6ASOlG5rUkOxMHc7WYqP+MpUWD8ggkg==" saltValue="4WWt0DvUWLZj8DtSrG9uq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xj+jwSQmFdp9NslTFfkS1Tk937zpuZr/d3ZAM9p8C/4RQ4gu6/ntpAkEdarLSFqU/e07H19JecxhSqg0RdPW5A==" saltValue="USZm+0XnvzJRZgQySeuWW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BaraJaUVbv+G6bLMzYIcRg+5s9vMeMheto539SED4QY9SeEjJHyxqxx7QSB4YurjIbDJm5qZL44TM0MVS8TRQ==" saltValue="20wrb8pGTQnJ9ajBsIMW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5tvPV5KWdzNtkGpE9G3SxMN3A02++WWF7v2BAbD655WUaki+3xHyBvGUxUh1pK/lRGfZkFVryFeZBCFuC/Uq+w==" saltValue="/vs/Nyz/3wFyCr5DE1o7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N4hMiefmxVVua7jmedksdPoJgd4nvsX+D3Q5AnzIPksWTZAgnJekT1WZ/MOUKUP8Lydjw/PucwhCRsTjPokG5Q==" saltValue="KXXZriZcRzXOf67p2ftX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9rByWEpP9BvKDPt//syzZDgdrki5fTenZRVnchx+N2jQ7P13/cHs++13tOa/yecIZFUtN2kwC+4YvvHyC1Sl4w==" saltValue="U/C40UQgM09FvwpjhbwC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/BvdpoDAwwecoVV16NL3AQFjgoNO4cpIquuJpLesgKSK9wgsFC2AbbpP0Wj2hok0mgTT7Tmx3p+5ZON8NKaYg==" saltValue="dR7GWUZSKDrxFaQKvCe4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3DZ39ZTw+HR4yzsa7S+tRae8C9WfRJFxwamDsTOI1kUBm5PcfACdp8aDd3DEWaVBOz4mSPv3qkBgqv3up8hsow==" saltValue="FrU2G1o+fPy06gZTFoFS4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TulxRK7bmepwo7Yygq/QIIuHOrUxUE8gdFP5VnoQOM6Gx+zwSwuQTXxqyb+pb7Rt0HARwpFoYkOaso3nNNaSDA==" saltValue="K2PFlwWkDtuJ+HMALAKE2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hu0QaXoI+6mCOpmdLMSz5VTXXU+bHfdE7cujiTExGRp46MPa09miOdKXQPWfmSTvo9e4b2TH+pWlmBAY/fgZ9g==" saltValue="mT6Eio8RqlXesrtNBaeBL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2024-05-16T23:51:09Z</dcterms:modified>
</cp:coreProperties>
</file>