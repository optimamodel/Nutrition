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3B9F0F9-FA9F-48CF-BA81-A6D53A4718D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7" i="2"/>
  <c r="A29" i="2"/>
  <c r="A28" i="2"/>
  <c r="A20" i="2"/>
  <c r="A19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32" i="2" l="1"/>
  <c r="A24" i="2"/>
  <c r="A34" i="2"/>
  <c r="A39" i="2"/>
  <c r="A33" i="2"/>
  <c r="A21" i="2"/>
  <c r="A31" i="2"/>
  <c r="A23" i="2"/>
  <c r="A15" i="2"/>
  <c r="A3" i="2"/>
  <c r="A16" i="2"/>
  <c r="A25" i="2"/>
  <c r="A17" i="2"/>
  <c r="A26" i="2"/>
  <c r="A35" i="2"/>
  <c r="A18" i="2"/>
  <c r="A27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<sst xmlns="http://schemas.openxmlformats.org/spreadsheetml/2006/main" count="2101" uniqueCount="341">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</sst>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1164746.3046875</v>
      </c>
    </row>
    <row r="8" spans="1:3" ht="15" customHeight="1" x14ac:dyDescent="0.25">
      <c r="B8" s="5" t="s">
        <v>44</v>
      </c>
      <c r="C8" s="44">
        <v>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0.65108238220214798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3.9300000000000002E-2</v>
      </c>
    </row>
    <row r="24" spans="1:3" ht="15" customHeight="1" x14ac:dyDescent="0.25">
      <c r="B24" s="15" t="s">
        <v>46</v>
      </c>
      <c r="C24" s="45">
        <v>0.49590000000000001</v>
      </c>
    </row>
    <row r="25" spans="1:3" ht="15" customHeight="1" x14ac:dyDescent="0.25">
      <c r="B25" s="15" t="s">
        <v>47</v>
      </c>
      <c r="C25" s="45">
        <v>0.42020000000000002</v>
      </c>
    </row>
    <row r="26" spans="1:3" ht="15" customHeight="1" x14ac:dyDescent="0.25">
      <c r="B26" s="15" t="s">
        <v>48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0.259769272097435</v>
      </c>
    </row>
    <row r="30" spans="1:3" ht="14.25" customHeight="1" x14ac:dyDescent="0.25">
      <c r="B30" s="25" t="s">
        <v>63</v>
      </c>
      <c r="C30" s="99">
        <v>0.11570907979532</v>
      </c>
    </row>
    <row r="31" spans="1:3" ht="14.25" customHeight="1" x14ac:dyDescent="0.25">
      <c r="B31" s="25" t="s">
        <v>10</v>
      </c>
      <c r="C31" s="99">
        <v>9.89832068757453E-2</v>
      </c>
    </row>
    <row r="32" spans="1:3" ht="14.25" customHeight="1" x14ac:dyDescent="0.25">
      <c r="B32" s="25" t="s">
        <v>11</v>
      </c>
      <c r="C32" s="99">
        <v>0.52553844123149995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8.5367899999999999</v>
      </c>
    </row>
    <row r="38" spans="1:5" ht="15" customHeight="1" x14ac:dyDescent="0.25">
      <c r="B38" s="11" t="s">
        <v>35</v>
      </c>
      <c r="C38" s="43">
        <v>12.564450000000001</v>
      </c>
      <c r="D38" s="12"/>
      <c r="E38" s="13"/>
    </row>
    <row r="39" spans="1:5" ht="15" customHeight="1" x14ac:dyDescent="0.25">
      <c r="B39" s="11" t="s">
        <v>61</v>
      </c>
      <c r="C39" s="43">
        <v>14.59897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7.3870999999999997E-3</v>
      </c>
      <c r="D45" s="12"/>
    </row>
    <row r="46" spans="1:5" ht="15.75" customHeight="1" x14ac:dyDescent="0.25">
      <c r="B46" s="11" t="s">
        <v>51</v>
      </c>
      <c r="C46" s="45">
        <v>7.93735E-2</v>
      </c>
      <c r="D46" s="12"/>
    </row>
    <row r="47" spans="1:5" ht="15.75" customHeight="1" x14ac:dyDescent="0.25">
      <c r="B47" s="11" t="s">
        <v>59</v>
      </c>
      <c r="C47" s="45">
        <v>7.3975899999999997E-2</v>
      </c>
      <c r="D47" s="12"/>
      <c r="E47" s="13"/>
    </row>
    <row r="48" spans="1:5" ht="15" customHeight="1" x14ac:dyDescent="0.25">
      <c r="B48" s="11" t="s">
        <v>58</v>
      </c>
      <c r="C48" s="46">
        <v>0.83926349999999994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0.60336800000000002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0.13782713999999999</v>
      </c>
    </row>
    <row r="63" spans="1:4" ht="15.75" customHeight="1" x14ac:dyDescent="0.3">
      <c r="A63" s="4"/>
    </row>
  </sheetData>
  <sheetProtection algorithmName="SHA-512" hashValue="yVX7/fmPUhpTkeiP3fsqjWTHqIwuFdYP/eVUy+7/kTuriPbSk5NSFo83sjFLHGI+wZ9KqbZu8JM9uQrso5CDRA==" saltValue="+tBurWRPOyyruiF5KlaS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a4AIfJXiKLHCKP+W+9ep/jfMmi1/cmtg6J6fnf5eL0bTJXuynPhzeP4kjQLBsju4nLEDi0nL9Bpl6YviSdFug==" saltValue="4Xfq3Gw4fVqI/6chMLAWj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7.2734599999999927E-2</v>
      </c>
    </row>
    <row r="5" spans="1:8" ht="15.75" customHeight="1" x14ac:dyDescent="0.25">
      <c r="B5" s="19" t="s">
        <v>95</v>
      </c>
      <c r="C5" s="101">
        <v>2.9755600000000038E-2</v>
      </c>
    </row>
    <row r="6" spans="1:8" ht="15.75" customHeight="1" x14ac:dyDescent="0.25">
      <c r="B6" s="19" t="s">
        <v>91</v>
      </c>
      <c r="C6" s="101">
        <v>0.1467636999999998</v>
      </c>
    </row>
    <row r="7" spans="1:8" ht="15.75" customHeight="1" x14ac:dyDescent="0.25">
      <c r="B7" s="19" t="s">
        <v>96</v>
      </c>
      <c r="C7" s="101">
        <v>0.41250100000000051</v>
      </c>
    </row>
    <row r="8" spans="1:8" ht="15.75" customHeight="1" x14ac:dyDescent="0.25">
      <c r="B8" s="19" t="s">
        <v>98</v>
      </c>
      <c r="C8" s="101">
        <v>6.1284000000000009E-3</v>
      </c>
    </row>
    <row r="9" spans="1:8" ht="15.75" customHeight="1" x14ac:dyDescent="0.25">
      <c r="B9" s="19" t="s">
        <v>92</v>
      </c>
      <c r="C9" s="101">
        <v>0.2188106999999998</v>
      </c>
    </row>
    <row r="10" spans="1:8" ht="15.75" customHeight="1" x14ac:dyDescent="0.25">
      <c r="B10" s="19" t="s">
        <v>94</v>
      </c>
      <c r="C10" s="101">
        <v>0.113306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102</v>
      </c>
      <c r="C15" s="101">
        <v>0.61124027546512405</v>
      </c>
      <c r="D15" s="101">
        <v>0.61124027546512405</v>
      </c>
      <c r="E15" s="101">
        <v>0.61124027546512405</v>
      </c>
      <c r="F15" s="101">
        <v>0.61124027546512405</v>
      </c>
    </row>
    <row r="16" spans="1:8" ht="15.75" customHeight="1" x14ac:dyDescent="0.25">
      <c r="B16" s="19" t="s">
        <v>2</v>
      </c>
      <c r="C16" s="101">
        <v>1.6022347070029211E-2</v>
      </c>
      <c r="D16" s="101">
        <v>1.6022347070029211E-2</v>
      </c>
      <c r="E16" s="101">
        <v>1.6022347070029211E-2</v>
      </c>
      <c r="F16" s="101">
        <v>1.6022347070029211E-2</v>
      </c>
    </row>
    <row r="17" spans="1:8" ht="15.75" customHeight="1" x14ac:dyDescent="0.25">
      <c r="B17" s="19" t="s">
        <v>90</v>
      </c>
      <c r="C17" s="101">
        <v>5.8457813749759656E-3</v>
      </c>
      <c r="D17" s="101">
        <v>5.8457813749759656E-3</v>
      </c>
      <c r="E17" s="101">
        <v>5.8457813749759656E-3</v>
      </c>
      <c r="F17" s="101">
        <v>5.8457813749759656E-3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2.2229239875370121E-2</v>
      </c>
      <c r="D19" s="101">
        <v>2.2229239875370121E-2</v>
      </c>
      <c r="E19" s="101">
        <v>2.2229239875370121E-2</v>
      </c>
      <c r="F19" s="101">
        <v>2.2229239875370121E-2</v>
      </c>
    </row>
    <row r="20" spans="1:8" ht="15.75" customHeight="1" x14ac:dyDescent="0.25">
      <c r="B20" s="19" t="s">
        <v>79</v>
      </c>
      <c r="C20" s="101">
        <v>4.9781084605670864E-3</v>
      </c>
      <c r="D20" s="101">
        <v>4.9781084605670864E-3</v>
      </c>
      <c r="E20" s="101">
        <v>4.9781084605670864E-3</v>
      </c>
      <c r="F20" s="101">
        <v>4.9781084605670864E-3</v>
      </c>
    </row>
    <row r="21" spans="1:8" ht="15.75" customHeight="1" x14ac:dyDescent="0.25">
      <c r="B21" s="19" t="s">
        <v>88</v>
      </c>
      <c r="C21" s="101">
        <v>0.26469792753207122</v>
      </c>
      <c r="D21" s="101">
        <v>0.26469792753207122</v>
      </c>
      <c r="E21" s="101">
        <v>0.26469792753207122</v>
      </c>
      <c r="F21" s="101">
        <v>0.26469792753207122</v>
      </c>
    </row>
    <row r="22" spans="1:8" ht="15.75" customHeight="1" x14ac:dyDescent="0.25">
      <c r="B22" s="19" t="s">
        <v>99</v>
      </c>
      <c r="C22" s="101">
        <v>5.7234305098806143E-2</v>
      </c>
      <c r="D22" s="101">
        <v>5.7234305098806143E-2</v>
      </c>
      <c r="E22" s="101">
        <v>5.7234305098806143E-2</v>
      </c>
      <c r="F22" s="101">
        <v>5.7234305098806143E-2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0.109226406</v>
      </c>
    </row>
    <row r="27" spans="1:8" ht="15.75" customHeight="1" x14ac:dyDescent="0.25">
      <c r="B27" s="19" t="s">
        <v>89</v>
      </c>
      <c r="C27" s="101">
        <v>1.7615203999999999E-2</v>
      </c>
    </row>
    <row r="28" spans="1:8" ht="15.75" customHeight="1" x14ac:dyDescent="0.25">
      <c r="B28" s="19" t="s">
        <v>103</v>
      </c>
      <c r="C28" s="101">
        <v>3.5403469E-2</v>
      </c>
    </row>
    <row r="29" spans="1:8" ht="15.75" customHeight="1" x14ac:dyDescent="0.25">
      <c r="B29" s="19" t="s">
        <v>86</v>
      </c>
      <c r="C29" s="101">
        <v>8.1855017000000002E-2</v>
      </c>
    </row>
    <row r="30" spans="1:8" ht="15.75" customHeight="1" x14ac:dyDescent="0.25">
      <c r="B30" s="19" t="s">
        <v>4</v>
      </c>
      <c r="C30" s="101">
        <v>6.7261675000000007E-2</v>
      </c>
    </row>
    <row r="31" spans="1:8" ht="15.75" customHeight="1" x14ac:dyDescent="0.25">
      <c r="B31" s="19" t="s">
        <v>80</v>
      </c>
      <c r="C31" s="101">
        <v>2.8928879000000001E-2</v>
      </c>
    </row>
    <row r="32" spans="1:8" ht="15.75" customHeight="1" x14ac:dyDescent="0.25">
      <c r="B32" s="19" t="s">
        <v>85</v>
      </c>
      <c r="C32" s="101">
        <v>0.23338838200000001</v>
      </c>
    </row>
    <row r="33" spans="2:3" ht="15.75" customHeight="1" x14ac:dyDescent="0.25">
      <c r="B33" s="19" t="s">
        <v>100</v>
      </c>
      <c r="C33" s="101">
        <v>0.13208631300000001</v>
      </c>
    </row>
    <row r="34" spans="2:3" ht="15.75" customHeight="1" x14ac:dyDescent="0.25">
      <c r="B34" s="19" t="s">
        <v>87</v>
      </c>
      <c r="C34" s="101">
        <v>0.29423465599999998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ahQ8Cj9Y9r6m7TBoMpJabdvsXoE8oPyIiWefW8NirrNWVB0F/UenKEFJIP5gUq6YRfwDrKp13+rRpx9dQWk1YA==" saltValue="E7Dx49LSXOXCW9+sSVrLL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110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106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107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119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XDeWfKCG3tQpghcEIs+f1YEai4kIgLclGSx4wEuuCCtXo85X/tk+6HT+BzYmDqekqQ1O2By93h5LbreJAm0gQ==" saltValue="xqWTn4yK/QxIHmDooHyR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125</v>
      </c>
      <c r="C5" s="52">
        <v>0.1021999</v>
      </c>
      <c r="D5" s="52">
        <v>0.21722369999999999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YeUvqCDO0ud3yTn548NWwCsSTPel8d8E3eK4MvvYo5uVN8Rsz7k3+jt/aoQdD/d/2orXxfToBuwMtCgyMtS7mw==" saltValue="XMs+DH5jNnv4X0RCAtp79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sc/H1irgMYEGarPFjTMkES0ePwRmEZoQFcewpvaL3EJpSyfR+o1vuUe+Wadl+UPOcQfHzreLqXpcxwUZ2dTEA==" saltValue="rh1okX8UcV8BJq47+s79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vy3Yg+CCmpuDbfAmFflSGu1El3jIbs/ZCtQ9uplCHuglyc43C6bq6L9tHaVqT2Wqa16O8YspvkuTYNpp89ZVWQ==" saltValue="Lz2xGQOPP2yshBvFOdMuu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ctK2fh5JGioxtGvKTgGPmXvEYWs6TLdLnuWLjmW2vy+itYRhFGzZ1O0EOUt+bT/Xm5w9cmxh5Fq5KaUjDpw8Vg==" saltValue="rQyaq8Mes7oMyO7t4ICX7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lI/OXhYXhengElXuz2L2/zy1Pz7nMHdWqxbMN5wdpL+dqKL5iBR6TIuEVMvycQudqmD9yoDpGAnz2mn5AIATzQ==" saltValue="+i0WyROzxJ7ZC6Gl9rL99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144.3361538195548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16.029464016122279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1.897161777238622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0.21140459373206369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0.48911409999999989</v>
      </c>
      <c r="C10" s="98">
        <v>0.95</v>
      </c>
      <c r="D10" s="56">
        <v>13.00441189507751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13.00441189507751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13.00441189507751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13.00441189507751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0.48911409999999989</v>
      </c>
      <c r="C14" s="98">
        <v>0.95</v>
      </c>
      <c r="D14" s="56">
        <v>13.00441189507751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13.00441189507751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5.5080133892626542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0.54287457000000006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0.73</v>
      </c>
      <c r="C18" s="98">
        <v>0.95</v>
      </c>
      <c r="D18" s="56">
        <v>16.029464016122279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0.2062329</v>
      </c>
      <c r="C19" s="98">
        <v>0.95</v>
      </c>
      <c r="D19" s="56">
        <v>16.029464016122279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16.46619599914094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22.437389594385149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4.2744829442771808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0.94011724592245105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0.48911409999999989</v>
      </c>
      <c r="C26" s="98">
        <v>0.95</v>
      </c>
      <c r="D26" s="56">
        <v>7.6264796156856711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30.36727751762248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0.44430960000000003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0.34953200000000001</v>
      </c>
      <c r="C29" s="98">
        <v>0.95</v>
      </c>
      <c r="D29" s="56">
        <v>193.6128732031849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398.07273654067848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0.17</v>
      </c>
      <c r="C32" s="98">
        <v>0.95</v>
      </c>
      <c r="D32" s="56">
        <v>1.4358697255793671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0.30520770000000003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0.86144760000000009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2.2872799999999999E-2</v>
      </c>
      <c r="C38" s="98">
        <v>0.95</v>
      </c>
      <c r="D38" s="56">
        <v>5.3874863984233787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7.541139000710408</v>
      </c>
      <c r="E39" s="56" t="s">
        <v>183</v>
      </c>
      <c r="F39" s="98">
        <v>1</v>
      </c>
      <c r="G39" s="98">
        <v>1</v>
      </c>
    </row>
  </sheetData>
  <sheetProtection algorithmName="SHA-512" hashValue="coe8BbzWs+urMtn+Sszp7DybRCpKOO8BbHS5km5DArslDpqdQy8XL0cDfyVjhyf/+Yrr9Xzwg/21iCmNVeY/wg==" saltValue="xAJwQaNdN9ahebSsFZ5p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OP5Rq/dXn+j3oFHfiN0ws21lDbq3CMFqM3FNXxlDEWHrXQXcFs+jk8ZmTD4bv7eVxopuNvkuov+KR6zojsTePw==" saltValue="HKgrNnIaiXXH9oto4tD4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LGlSwMcgEYX7u2lbt2Qgm7cu18icWL+Z1lSDqRLOW31K07KX5h1MKa2+YAyw9A6DbLPYXyYXwwCufcNstArutw==" saltValue="YnQX/UT2rFrvQB4gZWITW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207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sheetProtection algorithmName="SHA-512" hashValue="O5oPXQ50R3RCRCCjkCK5sefFAgDgHAGaCVldba3c8E5h6ts9OoIXUJzlyf7UOPtmCqYOttLcv+Py8f/YZK/oyw==" saltValue="gOu4YC28Kj1AdCnyf2RHc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0.42</v>
      </c>
      <c r="M24" s="60">
        <f>famplan_unmet_need</f>
        <v>0.42</v>
      </c>
      <c r="N24" s="60">
        <f>famplan_unmet_need</f>
        <v>0.42</v>
      </c>
      <c r="O24" s="60">
        <f>famplan_unmet_need</f>
        <v>0.42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0.17104290542068504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7.3304102323150738E-2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0.10457061005401624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0.65108238220214798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K56m9ojvRh5HB+xDrUZHVpYE6q3pWeAcCbs6rtgnC1M7NVcOuwTKp4CpW4IhiACkYbFAWxP5V7zZEI7dUqAzA==" saltValue="+h7CzBT3/FA4L6LAv+ej4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D8MSCKMhNffGuADSF3mz47ZTzpon56B3pU38rX43/rnH6rLW656kYCEzAK0avE75t0WzrnfqvRseuSiGFByXnQ==" saltValue="RFkDHxLII/gtOAw1bzkce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EqcxbePLvwIgTJhVwK5NDbbr38c8qzql4vSaj26iZq0j2jVUfinPL80nGIDxcM7V/k2Ow4uEw/xKIqdVrRR3w==" saltValue="fzJqHdN70fh3/KsiiZO+7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NQVtXwgm3WblIREB1sEQyF5iYMns8q/lp7c7uOS/j0o8m/IsWtvlOw8oVt7/rm9QSp8AbG8SLRS+ItATJJPUQ==" saltValue="qZ88xCG7JABRiF24++4m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IBma/1oZwA7+5zrdwGJguQgl+Qvg4Oonq28IrPXY1u/3gVyw3ALf0Lsgo4GHGdHBLvdDAqB2yaIfiQrL0vDaA==" saltValue="smaV/mBMJKe7+BiDFqDL1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6Ke5bgOihRKtBIz65gMyafP/fGHPZVQ1QHMDmQFDFwvU6dkI2xDK58UlD8S7UXN6c7fYAs6V2HtUVBN1c52zOQ==" saltValue="pioW2SebiiauACvveKxAZ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4lUG1p7O/XWVsLLWcUrKquERxC1p0yTWB0pcGZ5gNBprb/4N7UXL8Ve4Z7YbPe65+SVr/b5A8RnGR8Kj2VweQ==" saltValue="x+ZZyNT+pYlzUTerY43tu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2oaaYj0sn2QytxCpBP5FiNaxyrBILpwELcn6q/+TqcPrtqrfUVNZ1zs9b8sdw/RnrYsOPKVdvHdEHG2dhf07kg==" saltValue="bZ6D9FB4jYGigZB9VJPH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YCHDIqN+NeOvze/ixxXM1euHhOziVNMlKl6T8HaEQ4Zq8b6PhBXkJhCeNwzBOWAgZn6BZHO/dud8T5HtzgbyQ==" saltValue="GczKNQrSBLohK+KpR+3K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qTxWHZVMMhd73RCwOEbJD1nZ561JmmF41b0cetUeZiZ/vdSHDw/zI537NVejN577vL+wEwUYE0xLjN01iRAdQ==" saltValue="TJ6/10zyHh7gc+zFFbSc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ETyZppcgLgLPcXZJo7FfspEuRJTMVLbrgrPU/fXKebVkWf5xHZKIj/O6d+ZC1k7GYHydDFB/8QC0aIxqV951Tg==" saltValue="tGQ0D4T5ye1ZJ3xv93IB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qjtnFYQo8NuJcQ25mdGhXwQ82Jk2CJbIXNELkvDASwHb5FRej72KzKCRuqXc/bSdZyG+Qjayc45F6Ga6Bx46g==" saltValue="J46ksFbEFyK7xdjNAZ2H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7RFrRSpKutHr8LcdJzxz0+MOnZGFKx3hrAbcBdP46EWP4o0L3IMyFwKNvGqUihr7rS7dUjp+8CJnVqZ1n8lXw==" saltValue="En+zLhLf6TBPN2xdwYCe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0.10904397924295917</v>
      </c>
      <c r="G18" s="90">
        <f>MIN(MAX(1-0.89/(1-frac_sam_12_23months+(frac_sam_12_23months*0.89)),0),1)</f>
        <v>0.10941454515252147</v>
      </c>
      <c r="H18" s="90">
        <f>MIN(MAX(1-0.89/(1-frac_sam_24_59months+(frac_sam_24_59months*0.89)),0),1)</f>
        <v>0.10961200007321192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0.10896150978731145</v>
      </c>
      <c r="G20" s="90">
        <f>MIN(MAX(1-0.89/(1-frac_mam_12_23months+(frac_mam_12_23months*0.89)),0),1)</f>
        <v>0.10880328857915011</v>
      </c>
      <c r="H20" s="90">
        <f>MIN(MAX(1-0.89/(1-frac_mam_24_59months+(frac_mam_24_59months*0.89)),0),1)</f>
        <v>0.10810846662521179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9.9034180586248244E-3</v>
      </c>
      <c r="G73" s="90">
        <f>MIN(MAX(1-0.99/(1-frac_sam_12_23months+(frac_sam_12_23months*0.99)),0),1)</f>
        <v>9.9408320840069786E-3</v>
      </c>
      <c r="H73" s="90">
        <f>MIN(MAX(1-0.99/(1-frac_sam_24_59months+(frac_sam_24_59months*0.99)),0),1)</f>
        <v>9.9607795962838308E-3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9.8950954150446302E-3</v>
      </c>
      <c r="G75" s="90">
        <f>MIN(MAX(1-0.99/(1-frac_mam_12_23months+(frac_mam_12_23months*0.99)),0),1)</f>
        <v>9.8791319851579962E-3</v>
      </c>
      <c r="H75" s="90">
        <f>MIN(MAX(1-0.99/(1-frac_mam_24_59months+(frac_mam_24_59months*0.99)),0),1)</f>
        <v>9.8090902024000615E-3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0.19843618105178484</v>
      </c>
      <c r="G128" s="90">
        <f>MIN(MAX(1-0.8/(1-frac_sam_12_23months+(frac_sam_12_23months*0.8)),0),1)</f>
        <v>0.19904266375342461</v>
      </c>
      <c r="H128" s="90">
        <f>MIN(MAX(1-0.8/(1-frac_sam_24_59months+(frac_sam_24_59months*0.8)),0),1)</f>
        <v>0.19936565741036616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0.19830115203924026</v>
      </c>
      <c r="G130" s="90">
        <f>MIN(MAX(1-0.8/(1-frac_mam_12_23months+(frac_mam_12_23months*0.8)),0),1)</f>
        <v>0.19804203566924572</v>
      </c>
      <c r="H130" s="90">
        <f>MIN(MAX(1-0.8/(1-frac_mam_24_59months+(frac_mam_24_59months*0.8)),0),1)</f>
        <v>0.1969032428424653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rSAW50HrV20t59Rj6noGW731zcsg6DKCSTucY5ssHvH6r2S0DK1QyCSjEz4WVduX1MIY7hvSJDyYK9Axg+9Ag==" saltValue="kTPlANblQpbhex+lOtJO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WZaeFb8F3hkdRxogHetZFmQeeuCv9txhTOKQYigy9pS6VnxAP3cwdO73nn9IfTh/52PYGwlYgIPmylaJYt39Tw==" saltValue="Tf/J55xpxxgfRp7IjbNeA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2024-08-06T07:46:19Z</dcterms:modified>
</cp:coreProperties>
</file>