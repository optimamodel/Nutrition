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harindu.wickram\Desktop\Modeling\2025 studies\Nutrition\inputs\es\LiST countries\"/>
    </mc:Choice>
  </mc:AlternateContent>
  <xr:revisionPtr revIDLastSave="0" documentId="13_ncr:1_{18AF8360-B461-422C-9FA4-4BDCE77F8A2B}" xr6:coauthVersionLast="47" xr6:coauthVersionMax="47" xr10:uidLastSave="{00000000-0000-0000-0000-000000000000}"/>
  <bookViews>
    <workbookView xWindow="-110" yWindow="-110" windowWidth="19420" windowHeight="10420" tabRatio="961" firstSheet="3" activeTab="6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Variables económicas 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azón de momios" sheetId="23" state="hidden" r:id="rId21"/>
    <sheet name="Resultados de nacimiento- prog" sheetId="24" state="hidden" r:id="rId22"/>
    <sheet name="Riesgos desenlace de nacimiento" sheetId="21" state="hidden" r:id="rId23"/>
    <sheet name="Riesgos relativos" sheetId="22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H16" i="14"/>
  <c r="I16" i="14"/>
  <c r="J16" i="14"/>
  <c r="K16" i="14"/>
  <c r="D48" i="24"/>
  <c r="C48" i="24"/>
  <c r="D31" i="24"/>
  <c r="C31" i="24"/>
  <c r="D14" i="24"/>
  <c r="C14" i="24"/>
  <c r="G30" i="28" l="1"/>
  <c r="F30" i="28"/>
  <c r="E30" i="28"/>
  <c r="D30" i="28"/>
  <c r="G19" i="28"/>
  <c r="F19" i="28"/>
  <c r="E19" i="28"/>
  <c r="D19" i="28"/>
  <c r="C70" i="23"/>
  <c r="G66" i="23"/>
  <c r="F66" i="23"/>
  <c r="E66" i="23"/>
  <c r="D66" i="23"/>
  <c r="C66" i="23"/>
  <c r="G58" i="23"/>
  <c r="F58" i="23"/>
  <c r="E58" i="23"/>
  <c r="D58" i="23"/>
  <c r="C58" i="23"/>
  <c r="G57" i="23"/>
  <c r="D57" i="23"/>
  <c r="C57" i="23"/>
  <c r="D56" i="23"/>
  <c r="C56" i="23"/>
  <c r="G55" i="23"/>
  <c r="D55" i="23"/>
  <c r="C55" i="23"/>
  <c r="G54" i="23"/>
  <c r="F54" i="23"/>
  <c r="E54" i="23"/>
  <c r="D54" i="23"/>
  <c r="C54" i="23"/>
  <c r="G51" i="23"/>
  <c r="F51" i="23"/>
  <c r="E51" i="23"/>
  <c r="D51" i="23"/>
  <c r="C46" i="23"/>
  <c r="G42" i="23"/>
  <c r="F42" i="23"/>
  <c r="E42" i="23"/>
  <c r="D42" i="23"/>
  <c r="C42" i="23"/>
  <c r="G34" i="23"/>
  <c r="F34" i="23"/>
  <c r="E34" i="23"/>
  <c r="D34" i="23"/>
  <c r="C34" i="23"/>
  <c r="G33" i="23"/>
  <c r="D33" i="23"/>
  <c r="C33" i="23"/>
  <c r="D32" i="23"/>
  <c r="C32" i="23"/>
  <c r="G31" i="23"/>
  <c r="D31" i="23"/>
  <c r="C31" i="23"/>
  <c r="G30" i="23"/>
  <c r="F30" i="23"/>
  <c r="E30" i="23"/>
  <c r="D30" i="23"/>
  <c r="C30" i="23"/>
  <c r="G27" i="23"/>
  <c r="F27" i="23"/>
  <c r="E27" i="23"/>
  <c r="D27" i="23"/>
  <c r="F48" i="24"/>
  <c r="E48" i="24"/>
  <c r="F46" i="24"/>
  <c r="E46" i="24"/>
  <c r="D46" i="24"/>
  <c r="C46" i="24"/>
  <c r="F44" i="24"/>
  <c r="E44" i="24"/>
  <c r="D44" i="24"/>
  <c r="C44" i="24"/>
  <c r="F42" i="24"/>
  <c r="E42" i="24"/>
  <c r="D42" i="24"/>
  <c r="C42" i="24"/>
  <c r="F40" i="24"/>
  <c r="E40" i="24"/>
  <c r="D40" i="24"/>
  <c r="C40" i="24"/>
  <c r="E38" i="24"/>
  <c r="C38" i="24"/>
  <c r="F36" i="24"/>
  <c r="E36" i="24"/>
  <c r="D36" i="24"/>
  <c r="C36" i="24"/>
  <c r="F31" i="24"/>
  <c r="E31" i="24"/>
  <c r="F29" i="24"/>
  <c r="E29" i="24"/>
  <c r="D29" i="24"/>
  <c r="C29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E21" i="24"/>
  <c r="C21" i="24"/>
  <c r="F19" i="24"/>
  <c r="E19" i="24"/>
  <c r="D19" i="24"/>
  <c r="C19" i="24"/>
  <c r="E4" i="24"/>
  <c r="C4" i="24"/>
  <c r="K15" i="14"/>
  <c r="J15" i="14"/>
  <c r="I15" i="14"/>
  <c r="H15" i="14"/>
  <c r="E2" i="14"/>
  <c r="F2" i="14"/>
  <c r="E5" i="14"/>
  <c r="F5" i="14"/>
  <c r="E6" i="14"/>
  <c r="F6" i="14"/>
  <c r="G6" i="14"/>
  <c r="C7" i="14"/>
  <c r="D7" i="14"/>
  <c r="E7" i="14"/>
  <c r="F7" i="14"/>
  <c r="G7" i="14"/>
  <c r="E8" i="14"/>
  <c r="F8" i="14"/>
  <c r="E9" i="14"/>
  <c r="F9" i="14"/>
  <c r="D10" i="14"/>
  <c r="E10" i="14"/>
  <c r="F10" i="14"/>
  <c r="G10" i="14"/>
  <c r="C12" i="14"/>
  <c r="D12" i="14"/>
  <c r="E12" i="14"/>
  <c r="F12" i="14"/>
  <c r="G12" i="14"/>
  <c r="H17" i="14"/>
  <c r="I17" i="14"/>
  <c r="J17" i="14"/>
  <c r="K17" i="14"/>
  <c r="H18" i="14"/>
  <c r="I18" i="14"/>
  <c r="J18" i="14"/>
  <c r="K18" i="14"/>
  <c r="H19" i="14"/>
  <c r="I19" i="14"/>
  <c r="J19" i="14"/>
  <c r="K19" i="14"/>
  <c r="H22" i="14"/>
  <c r="I22" i="14"/>
  <c r="J22" i="14"/>
  <c r="K22" i="14"/>
  <c r="L24" i="14"/>
  <c r="M24" i="14"/>
  <c r="N24" i="14"/>
  <c r="O24" i="14"/>
  <c r="L25" i="14"/>
  <c r="M25" i="14"/>
  <c r="N25" i="14"/>
  <c r="O25" i="14"/>
  <c r="L26" i="14"/>
  <c r="M26" i="14"/>
  <c r="N26" i="14"/>
  <c r="O26" i="14"/>
  <c r="L27" i="14"/>
  <c r="M27" i="14"/>
  <c r="N27" i="14"/>
  <c r="O27" i="14"/>
  <c r="L28" i="14"/>
  <c r="E30" i="14"/>
  <c r="F30" i="14"/>
  <c r="G30" i="14"/>
  <c r="H30" i="14"/>
  <c r="I30" i="14"/>
  <c r="J30" i="14"/>
  <c r="K30" i="14"/>
  <c r="L30" i="14"/>
  <c r="M30" i="14"/>
  <c r="N30" i="14"/>
  <c r="O30" i="14"/>
  <c r="E31" i="14"/>
  <c r="F31" i="14"/>
  <c r="G31" i="14"/>
  <c r="H31" i="14"/>
  <c r="I31" i="14"/>
  <c r="J31" i="14"/>
  <c r="K31" i="14"/>
  <c r="L31" i="14"/>
  <c r="M31" i="14"/>
  <c r="N31" i="14"/>
  <c r="O31" i="14"/>
  <c r="E32" i="14"/>
  <c r="F32" i="14"/>
  <c r="G32" i="14"/>
  <c r="H32" i="14"/>
  <c r="I32" i="14"/>
  <c r="J32" i="14"/>
  <c r="K32" i="14"/>
  <c r="L32" i="14"/>
  <c r="M32" i="14"/>
  <c r="N32" i="14"/>
  <c r="O32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D5" i="5" l="1"/>
  <c r="C5" i="5"/>
  <c r="G29" i="28"/>
  <c r="F29" i="28"/>
  <c r="E29" i="28"/>
  <c r="D29" i="28"/>
  <c r="G28" i="28"/>
  <c r="F28" i="28"/>
  <c r="E28" i="28"/>
  <c r="D28" i="28"/>
  <c r="G27" i="28"/>
  <c r="F27" i="28"/>
  <c r="E27" i="28"/>
  <c r="D27" i="28"/>
  <c r="G26" i="28"/>
  <c r="F26" i="28"/>
  <c r="E26" i="28"/>
  <c r="D26" i="28"/>
  <c r="G24" i="28"/>
  <c r="F24" i="28"/>
  <c r="E24" i="28"/>
  <c r="D24" i="28"/>
  <c r="G18" i="28"/>
  <c r="F18" i="28"/>
  <c r="E18" i="28"/>
  <c r="D18" i="28"/>
  <c r="G17" i="28"/>
  <c r="F17" i="28"/>
  <c r="E17" i="28"/>
  <c r="D17" i="28"/>
  <c r="G16" i="28"/>
  <c r="F16" i="28"/>
  <c r="E16" i="28"/>
  <c r="D16" i="28"/>
  <c r="G15" i="28"/>
  <c r="F15" i="28"/>
  <c r="E15" i="28"/>
  <c r="D15" i="28"/>
  <c r="G13" i="28"/>
  <c r="F13" i="28"/>
  <c r="E13" i="28"/>
  <c r="D13" i="28"/>
  <c r="H153" i="27"/>
  <c r="G153" i="27"/>
  <c r="F153" i="27"/>
  <c r="E153" i="27"/>
  <c r="D153" i="27"/>
  <c r="H152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E130" i="27"/>
  <c r="D130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112" i="27"/>
  <c r="G112" i="27"/>
  <c r="E112" i="27"/>
  <c r="D112" i="27"/>
  <c r="H97" i="27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G57" i="27"/>
  <c r="F57" i="27"/>
  <c r="F112" i="27" s="1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F57" i="25"/>
  <c r="E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F34" i="25"/>
  <c r="E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F120" i="20"/>
  <c r="E120" i="20"/>
  <c r="D120" i="20"/>
  <c r="H119" i="20"/>
  <c r="G119" i="20"/>
  <c r="F119" i="20"/>
  <c r="E119" i="20"/>
  <c r="H118" i="20"/>
  <c r="H117" i="20"/>
  <c r="G117" i="20"/>
  <c r="E117" i="20"/>
  <c r="D117" i="20"/>
  <c r="H116" i="20"/>
  <c r="G116" i="20"/>
  <c r="F116" i="20"/>
  <c r="H115" i="20"/>
  <c r="D115" i="20"/>
  <c r="H114" i="20"/>
  <c r="G114" i="20"/>
  <c r="F114" i="20"/>
  <c r="D114" i="20"/>
  <c r="H113" i="20"/>
  <c r="G113" i="20"/>
  <c r="H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E67" i="20"/>
  <c r="D67" i="20"/>
  <c r="H66" i="20"/>
  <c r="G66" i="20"/>
  <c r="F66" i="20"/>
  <c r="E66" i="20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E64" i="20"/>
  <c r="D64" i="20"/>
  <c r="H63" i="20"/>
  <c r="G63" i="20"/>
  <c r="F63" i="20"/>
  <c r="E63" i="20"/>
  <c r="E116" i="20" s="1"/>
  <c r="D63" i="20"/>
  <c r="D116" i="20" s="1"/>
  <c r="H62" i="20"/>
  <c r="G62" i="20"/>
  <c r="G115" i="20" s="1"/>
  <c r="F62" i="20"/>
  <c r="F115" i="20" s="1"/>
  <c r="D62" i="20"/>
  <c r="H61" i="20"/>
  <c r="G61" i="20"/>
  <c r="F61" i="20"/>
  <c r="D61" i="20"/>
  <c r="H60" i="20"/>
  <c r="G60" i="20"/>
  <c r="F60" i="20"/>
  <c r="F113" i="20" s="1"/>
  <c r="E60" i="20"/>
  <c r="E113" i="20" s="1"/>
  <c r="D60" i="20"/>
  <c r="D113" i="20" s="1"/>
  <c r="H59" i="20"/>
  <c r="G59" i="20"/>
  <c r="G112" i="20" s="1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H39" i="2"/>
  <c r="G39" i="2"/>
  <c r="H38" i="2"/>
  <c r="G38" i="2"/>
  <c r="I38" i="2" s="1"/>
  <c r="H13" i="2"/>
  <c r="G13" i="2"/>
  <c r="H12" i="2"/>
  <c r="G12" i="2"/>
  <c r="I12" i="2" s="1"/>
  <c r="H11" i="2"/>
  <c r="G11" i="2"/>
  <c r="H10" i="2"/>
  <c r="G10" i="2"/>
  <c r="H9" i="2"/>
  <c r="G9" i="2"/>
  <c r="H8" i="2"/>
  <c r="G8" i="2"/>
  <c r="I8" i="2" s="1"/>
  <c r="H7" i="2"/>
  <c r="G7" i="2"/>
  <c r="H6" i="2"/>
  <c r="G6" i="2"/>
  <c r="H5" i="2"/>
  <c r="G5" i="2"/>
  <c r="H4" i="2"/>
  <c r="G4" i="2"/>
  <c r="H3" i="2"/>
  <c r="G3" i="2"/>
  <c r="H2" i="2"/>
  <c r="G2" i="2"/>
  <c r="A2" i="2"/>
  <c r="A39" i="2" s="1"/>
  <c r="C33" i="1"/>
  <c r="C20" i="1"/>
  <c r="I9" i="2" l="1"/>
  <c r="I13" i="2"/>
  <c r="I4" i="2"/>
  <c r="A25" i="2"/>
  <c r="A26" i="2"/>
  <c r="I39" i="2"/>
  <c r="A31" i="2"/>
  <c r="A34" i="2"/>
  <c r="A40" i="2"/>
  <c r="I2" i="2"/>
  <c r="I6" i="2"/>
  <c r="A19" i="2"/>
  <c r="A35" i="2"/>
  <c r="A22" i="2"/>
  <c r="A36" i="2"/>
  <c r="I3" i="2"/>
  <c r="I7" i="2"/>
  <c r="I11" i="2"/>
  <c r="A23" i="2"/>
  <c r="A37" i="2"/>
  <c r="A24" i="2"/>
  <c r="I5" i="2"/>
  <c r="I10" i="2"/>
  <c r="I40" i="2"/>
  <c r="A20" i="2"/>
  <c r="A32" i="2"/>
  <c r="A21" i="2"/>
  <c r="A33" i="2"/>
  <c r="A38" i="2"/>
  <c r="A27" i="2"/>
  <c r="A16" i="2"/>
  <c r="A28" i="2"/>
  <c r="A14" i="2"/>
  <c r="A15" i="2"/>
  <c r="A17" i="2"/>
  <c r="A29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8" i="2"/>
  <c r="A3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  <family val="2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  <family val="2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  <family val="2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  <family val="2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  <family val="2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  <family val="2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  <family val="2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  <family val="2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  <family val="2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14" authorId="0" shapeId="0" xr:uid="{DF0264FA-B6D6-4BB9-B9CD-50F2BBAA88BE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This is estimated by using:
Wage Share in GDP for manual occupations
[Gains productivity in light labour (Horton and Ross, 2003) *
Blue-Collar Share employment in total employment +
Wage Share of Heavy manual labor (Age share * manual labor) *
Gains in productivity in heavy labor (Horton and Ross, 2003)]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  <family val="2"/>
          </rPr>
          <t>Nick Scott:
Cost per person per year, or per pregnancy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  <family val="2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  <family val="2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  <family val="2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  <family val="2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  <family val="2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  <family val="2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  <family val="2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  <family val="2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  <family val="2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6" authorId="0" shapeId="0" xr:uid="{81F4589C-1780-4EBA-B575-E552071AC881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7" authorId="0" shapeId="0" xr:uid="{FACF8BD7-8798-4CCE-8AAB-38235262605E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8" authorId="0" shapeId="0" xr:uid="{7FEA9C4B-72BF-4181-A79A-89353DBEFA54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8" authorId="0" shapeId="0" xr:uid="{08D96EBA-0117-4AB6-8F79-0E390B80228B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30" authorId="0" shapeId="0" xr:uid="{6C9EB23A-B848-4734-BF89-A6A3A471075C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31" authorId="0" shapeId="0" xr:uid="{5155DBF5-8175-48E5-82C9-CBC6031315A2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32" authorId="0" shapeId="0" xr:uid="{44AC148F-E3A6-4AB2-95D7-98E6D700E1E8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32" authorId="0" shapeId="0" xr:uid="{7B044F71-7F62-45EA-9806-F20C239F10ED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B54" authorId="0" shapeId="0" xr:uid="{48C3C9E4-F093-472A-9A5F-63E58DAD5C75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This assumes PPCF is delivered with education to the fraction below the poverty line</t>
        </r>
      </text>
    </comment>
    <comment ref="B55" authorId="0" shapeId="0" xr:uid="{995E37B5-966C-41D4-A3DF-5D1DB89F2BE0}">
      <text>
        <r>
          <rPr>
            <b/>
            <sz val="9"/>
            <color indexed="81"/>
            <rFont val="Tahoma"/>
            <family val="2"/>
          </rPr>
          <t>Nick Scott:</t>
        </r>
        <r>
          <rPr>
            <sz val="9"/>
            <color indexed="81"/>
            <rFont val="Tahoma"/>
            <family val="2"/>
          </rPr>
          <t xml:space="preserve">
Nick Scott:
This assumes PPCF is delivered with education to the fraction below the poverty line</t>
        </r>
      </text>
    </comment>
    <comment ref="F56" authorId="0" shapeId="0" xr:uid="{F4DFC4CA-FF99-4637-826C-26601B0E5997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  <comment ref="G56" authorId="0" shapeId="0" xr:uid="{38C7434E-90D6-4C8B-A108-09EFA6B5660C}">
      <text>
        <r>
          <rPr>
            <sz val="10"/>
            <color rgb="FF000000"/>
            <rFont val="Arial"/>
            <family val="2"/>
          </rPr>
          <t>Nick Scott:
Using as a proxy for cash transfers, to model an impact on stunting
Reduction in stunting (baseline 34%) of 4.6 percentage points (S.D.=2.1 pc pts) for cash transfer + SBCC. https://www.nber.org/system/files/working_papers/w28443/w28443.pdf
Converted to OR = 0.808 (0.395-0.956)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D62CD89F-BD2F-4478-8F3E-0EA4D2085B3B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4" authorId="1" shapeId="0" xr:uid="{D11A7C1F-57C7-45FF-AF35-46BFB6CDF672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4" authorId="0" shapeId="0" xr:uid="{686D10A3-A5B1-434C-A4D1-BD62E37259A7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21" authorId="0" shapeId="0" xr:uid="{91E40E3C-FF4C-43CD-81EF-0E1BC1EA54E2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21" authorId="1" shapeId="0" xr:uid="{26FB7C01-8BFC-4CDE-B944-09A78509DFB6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21" authorId="0" shapeId="0" xr:uid="{CE8D769D-B0CE-403D-B0F9-93DC64D00AEE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C38" authorId="0" shapeId="0" xr:uid="{47FC79F1-D2EC-41F0-9C61-50A3B649EE53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  <comment ref="D38" authorId="1" shapeId="0" xr:uid="{F08797EF-8D01-4FCB-9A0D-7F4D5E4BADD7}">
      <text>
        <r>
          <rPr>
            <sz val="10"/>
            <color rgb="FF000000"/>
            <rFont val="Arial"/>
            <family val="2"/>
          </rPr>
          <t>Tharindu Wickramaarachchi:
Lassi et al 2021, RR 0.71 (0.54-0.94)
So effectiveness = 1-0.71=0.29</t>
        </r>
      </text>
    </comment>
    <comment ref="E38" authorId="0" shapeId="0" xr:uid="{460E7559-A270-49FB-B37B-B927DDEE0A7F}">
      <text>
        <r>
          <rPr>
            <sz val="10"/>
            <color rgb="FF000000"/>
            <rFont val="Arial"/>
            <family val="2"/>
          </rPr>
          <t>Nick Scott:
Ca supplementation on preterm birth Hofmeyr et al 2023, RR 0.76 (0.60-0.97), all women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  <family val="2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  <family val="2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  <family val="2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  <family val="2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  <family val="2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  <family val="2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  <family val="2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  <family val="2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  <family val="2"/>
          </rPr>
          <t>Tharindu Wickramaarachchi:
All the values should be greater than 1 and above the point estimate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  <family val="2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B11" authorId="1" shapeId="0" xr:uid="{00000000-0006-0000-1800-000014000000}">
      <text>
        <r>
          <rPr>
            <sz val="10"/>
            <color rgb="FF000000"/>
            <rFont val="Arial"/>
            <family val="2"/>
          </rPr>
          <t>Nick Scott:
Using as a proxy for cash transfers in this databook</t>
        </r>
      </text>
    </comment>
    <comment ref="C12" authorId="0" shapeId="0" xr:uid="{00000000-0006-0000-1800-00001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2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13" authorId="0" shapeId="0" xr:uid="{00000000-0006-0000-1800-000023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13" authorId="0" shapeId="0" xr:uid="{00000000-0006-0000-1800-00002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L14" authorId="1" shapeId="0" xr:uid="{00000000-0006-0000-1800-000025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6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7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8000000}">
      <text>
        <r>
          <rPr>
            <sz val="10"/>
            <color rgb="FF000000"/>
            <rFont val="Arial"/>
            <family val="2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9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A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18" authorId="0" shapeId="0" xr:uid="{00000000-0006-0000-1800-00002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18" authorId="0" shapeId="0" xr:uid="{00000000-0006-0000-1800-00002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18" authorId="0" shapeId="0" xr:uid="{00000000-0006-0000-1800-00002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18" authorId="0" shapeId="0" xr:uid="{00000000-0006-0000-1800-00002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18" authorId="0" shapeId="0" xr:uid="{00000000-0006-0000-1800-00003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18" authorId="0" shapeId="0" xr:uid="{00000000-0006-0000-1800-00003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18" authorId="0" shapeId="0" xr:uid="{00000000-0006-0000-1800-00003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18" authorId="0" shapeId="0" xr:uid="{00000000-0006-0000-1800-000033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18" authorId="0" shapeId="0" xr:uid="{00000000-0006-0000-1800-000034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18" authorId="0" shapeId="0" xr:uid="{00000000-0006-0000-1800-000035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19" authorId="0" shapeId="0" xr:uid="{00000000-0006-0000-1800-000036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0" authorId="0" shapeId="0" xr:uid="{00000000-0006-0000-1800-000037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F20" authorId="0" shapeId="0" xr:uid="{00000000-0006-0000-1800-000038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G20" authorId="0" shapeId="0" xr:uid="{00000000-0006-0000-1800-00003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H20" authorId="0" shapeId="0" xr:uid="{00000000-0006-0000-1800-00003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I20" authorId="0" shapeId="0" xr:uid="{00000000-0006-0000-1800-00003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J20" authorId="0" shapeId="0" xr:uid="{00000000-0006-0000-1800-00003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K20" authorId="0" shapeId="0" xr:uid="{00000000-0006-0000-1800-00003D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L20" authorId="0" shapeId="0" xr:uid="{00000000-0006-0000-1800-00003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M20" authorId="0" shapeId="0" xr:uid="{00000000-0006-0000-1800-00003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N20" authorId="0" shapeId="0" xr:uid="{00000000-0006-0000-1800-00004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O20" authorId="0" shapeId="0" xr:uid="{00000000-0006-0000-1800-00004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21" authorId="0" shapeId="0" xr:uid="{00000000-0006-0000-1800-000042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A25" authorId="0" shapeId="0" xr:uid="{00000000-0006-0000-1800-000043000000}">
      <text>
        <r>
          <rPr>
            <sz val="10"/>
            <color rgb="FF000000"/>
            <rFont val="Arial"/>
            <family val="2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4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5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6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27" authorId="0" shapeId="0" xr:uid="{00000000-0006-0000-1800-00004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B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1" authorId="0" shapeId="0" xr:uid="{00000000-0006-0000-1800-00004C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1" authorId="0" shapeId="0" xr:uid="{00000000-0006-0000-1800-00004D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1" authorId="0" shapeId="0" xr:uid="{00000000-0006-0000-1800-00004E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2" authorId="0" shapeId="0" xr:uid="{00000000-0006-0000-1800-00004F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32" authorId="0" shapeId="0" xr:uid="{00000000-0006-0000-1800-00005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32" authorId="0" shapeId="0" xr:uid="{00000000-0006-0000-1800-00005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32" authorId="0" shapeId="0" xr:uid="{00000000-0006-0000-1800-00005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33" authorId="0" shapeId="0" xr:uid="{00000000-0006-0000-1800-000053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33" authorId="0" shapeId="0" xr:uid="{00000000-0006-0000-1800-000054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33" authorId="0" shapeId="0" xr:uid="{00000000-0006-0000-1800-000055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33" authorId="0" shapeId="0" xr:uid="{00000000-0006-0000-1800-000056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35" authorId="0" shapeId="0" xr:uid="{00000000-0006-0000-1800-00005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9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A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B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5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4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36" authorId="0" shapeId="0" xr:uid="{00000000-0006-0000-1800-000065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36" authorId="0" shapeId="0" xr:uid="{00000000-0006-0000-1800-000066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38" authorId="0" shapeId="0" xr:uid="{00000000-0006-0000-1800-000067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8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9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2" authorId="0" shapeId="0" xr:uid="{00000000-0006-0000-1800-00006A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3" authorId="0" shapeId="0" xr:uid="{00000000-0006-0000-1800-00006B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44" authorId="0" shapeId="0" xr:uid="{00000000-0006-0000-1800-00006C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C49" authorId="0" shapeId="0" xr:uid="{00000000-0006-0000-1800-00006D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E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6F000000}">
      <text>
        <r>
          <rPr>
            <sz val="10"/>
            <color rgb="FF000000"/>
            <rFont val="Arial"/>
            <family val="2"/>
          </rPr>
          <t>Tharindu Wickramaarachchi:
Zhao et al 2019, 6-12 months, RR 0.92 (0.87-0.99 )</t>
        </r>
      </text>
    </comment>
    <comment ref="H50" authorId="0" shapeId="0" xr:uid="{00000000-0006-0000-1800-000070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1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2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3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4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5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6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7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8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9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A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B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C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D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E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7F000000}">
      <text>
        <r>
          <rPr>
            <sz val="10"/>
            <color rgb="FF000000"/>
            <rFont val="Arial"/>
            <family val="2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0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4" authorId="0" shapeId="0" xr:uid="{00000000-0006-0000-1800-000081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4" authorId="0" shapeId="0" xr:uid="{00000000-0006-0000-1800-000082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4" authorId="0" shapeId="0" xr:uid="{00000000-0006-0000-1800-000083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5" authorId="0" shapeId="0" xr:uid="{00000000-0006-0000-1800-000084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M55" authorId="0" shapeId="0" xr:uid="{00000000-0006-0000-1800-000085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N55" authorId="0" shapeId="0" xr:uid="{00000000-0006-0000-1800-000086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O55" authorId="0" shapeId="0" xr:uid="{00000000-0006-0000-1800-000087000000}">
      <text>
        <r>
          <rPr>
            <sz val="10"/>
            <color rgb="FF000000"/>
            <rFont val="Arial"/>
            <family val="2"/>
          </rPr>
          <t>Tharindu Wickramaarachchi:
Hansen et al, 2023, RR 0.51 (0.38-0.70 )</t>
        </r>
      </text>
    </comment>
    <comment ref="L56" authorId="0" shapeId="0" xr:uid="{00000000-0006-0000-1800-000088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M56" authorId="0" shapeId="0" xr:uid="{00000000-0006-0000-1800-000089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N56" authorId="0" shapeId="0" xr:uid="{00000000-0006-0000-1800-00008A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O56" authorId="0" shapeId="0" xr:uid="{00000000-0006-0000-1800-00008B000000}">
      <text>
        <r>
          <rPr>
            <sz val="10"/>
            <color rgb="FF000000"/>
            <rFont val="Arial"/>
            <family val="2"/>
          </rPr>
          <t>Tharindu Wickramaarachchi:
Moorthy et al 2020, anemia RR 0.90 (0.84-0.95 )</t>
        </r>
      </text>
    </comment>
    <comment ref="C58" authorId="0" shapeId="0" xr:uid="{00000000-0006-0000-1800-00008C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D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E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8F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0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1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2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3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4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5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6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7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8000000}">
      <text>
        <r>
          <rPr>
            <sz val="10"/>
            <color rgb="FF000000"/>
            <rFont val="Arial"/>
            <family val="2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9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F59" authorId="0" shapeId="0" xr:uid="{00000000-0006-0000-1800-00009A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G59" authorId="0" shapeId="0" xr:uid="{00000000-0006-0000-1800-00009B000000}">
      <text>
        <r>
          <rPr>
            <sz val="10"/>
            <color rgb="FF000000"/>
            <rFont val="Arial"/>
            <family val="2"/>
          </rPr>
          <t xml:space="preserve">Tharindu Wickramaarachchi:
Moorthy et al 2020, RR 0.69 (0.62-0.77) </t>
        </r>
      </text>
    </comment>
    <comment ref="E61" authorId="0" shapeId="0" xr:uid="{00000000-0006-0000-1800-00009C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D000000}">
      <text>
        <r>
          <rPr>
            <sz val="10"/>
            <color rgb="FF000000"/>
            <rFont val="Arial"/>
            <family val="2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E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5" authorId="0" shapeId="0" xr:uid="{00000000-0006-0000-1800-00009F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6" authorId="0" shapeId="0" xr:uid="{00000000-0006-0000-1800-0000A0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  <comment ref="E67" authorId="0" shapeId="0" xr:uid="{00000000-0006-0000-1800-0000A1000000}">
      <text>
        <r>
          <rPr>
            <sz val="10"/>
            <color rgb="FF000000"/>
            <rFont val="Arial"/>
            <family val="2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  <family val="2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0" authorId="1" shapeId="0" xr:uid="{00000000-0006-0000-1A00-00000C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0" authorId="1" shapeId="0" xr:uid="{00000000-0006-0000-1A00-00000D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" authorId="1" shapeId="0" xr:uid="{00000000-0006-0000-1A00-00000E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" authorId="1" shapeId="0" xr:uid="{00000000-0006-0000-1A00-00000F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4" authorId="0" shapeId="0" xr:uid="{00000000-0006-0000-1A00-000010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4" authorId="0" shapeId="0" xr:uid="{00000000-0006-0000-1A00-000011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6" authorId="0" shapeId="0" xr:uid="{00000000-0006-0000-1A00-000012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6" authorId="0" shapeId="0" xr:uid="{00000000-0006-0000-1A00-000013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8" authorId="1" shapeId="0" xr:uid="{00000000-0006-0000-1A00-000015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F20" authorId="1" shapeId="0" xr:uid="{00000000-0006-0000-1A00-000016000000}">
      <text>
        <r>
          <rPr>
            <sz val="10"/>
            <color rgb="FF000000"/>
            <rFont val="Arial"/>
            <family val="2"/>
          </rPr>
          <t>Nick Scott:
TAG agreement to use no impact based on the WHO recommendations</t>
        </r>
      </text>
    </comment>
    <comment ref="D22" authorId="0" shapeId="0" xr:uid="{00000000-0006-0000-1A00-000017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8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9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A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B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C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D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E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F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E43" authorId="0" shapeId="0" xr:uid="{00000000-0006-0000-1A00-000020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F43" authorId="0" shapeId="0" xr:uid="{00000000-0006-0000-1A00-000021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G43" authorId="0" shapeId="0" xr:uid="{00000000-0006-0000-1A00-000022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H43" authorId="0" shapeId="0" xr:uid="{00000000-0006-0000-1A00-000023000000}">
      <text>
        <r>
          <rPr>
            <sz val="10"/>
            <color rgb="FF000000"/>
            <rFont val="Arial"/>
            <family val="2"/>
          </rPr>
          <t xml:space="preserve">Tharindu Wickramaarachchi: RR are not significant
Imdad et al 2023, RR 0.95 (0.69-1.31 ) </t>
        </r>
      </text>
    </comment>
    <comment ref="D44" authorId="0" shapeId="0" xr:uid="{00000000-0006-0000-1A00-000024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44" authorId="0" shapeId="0" xr:uid="{00000000-0006-0000-1A00-00002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44" authorId="0" shapeId="0" xr:uid="{00000000-0006-0000-1A00-00002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44" authorId="0" shapeId="0" xr:uid="{00000000-0006-0000-1A00-00002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44" authorId="0" shapeId="0" xr:uid="{00000000-0006-0000-1A00-00002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47" authorId="0" shapeId="0" xr:uid="{00000000-0006-0000-1A00-000029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E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3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3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3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51" authorId="0" shapeId="0" xr:uid="{00000000-0006-0000-1A00-00003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51" authorId="0" shapeId="0" xr:uid="{00000000-0006-0000-1A00-00003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51" authorId="0" shapeId="0" xr:uid="{00000000-0006-0000-1A00-00003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51" authorId="0" shapeId="0" xr:uid="{00000000-0006-0000-1A00-00003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53" authorId="1" shapeId="0" xr:uid="{00000000-0006-0000-1A00-000038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58" authorId="0" shapeId="0" xr:uid="{00000000-0006-0000-1A00-000039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58" authorId="0" shapeId="0" xr:uid="{00000000-0006-0000-1A00-00003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58" authorId="0" shapeId="0" xr:uid="{00000000-0006-0000-1A00-00003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59" authorId="0" shapeId="0" xr:uid="{00000000-0006-0000-1A00-00003C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59" authorId="0" shapeId="0" xr:uid="{00000000-0006-0000-1A00-00003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59" authorId="0" shapeId="0" xr:uid="{00000000-0006-0000-1A00-00003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61" authorId="1" shapeId="0" xr:uid="{00000000-0006-0000-1A00-00003F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1" authorId="1" shapeId="0" xr:uid="{00000000-0006-0000-1A00-00004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3" authorId="1" shapeId="0" xr:uid="{00000000-0006-0000-1A00-00004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63" authorId="1" shapeId="0" xr:uid="{00000000-0006-0000-1A00-00004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65" authorId="1" shapeId="0" xr:uid="{00000000-0006-0000-1A00-000043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5" authorId="1" shapeId="0" xr:uid="{00000000-0006-0000-1A00-00004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7" authorId="1" shapeId="0" xr:uid="{00000000-0006-0000-1A00-00004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67" authorId="1" shapeId="0" xr:uid="{00000000-0006-0000-1A00-00004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69" authorId="0" shapeId="0" xr:uid="{00000000-0006-0000-1A00-000047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69" authorId="0" shapeId="0" xr:uid="{00000000-0006-0000-1A00-00004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71" authorId="0" shapeId="0" xr:uid="{00000000-0006-0000-1A00-000049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71" authorId="0" shapeId="0" xr:uid="{00000000-0006-0000-1A00-00004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73" authorId="1" shapeId="0" xr:uid="{00000000-0006-0000-1A00-00004B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D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50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5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5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99" authorId="0" shapeId="0" xr:uid="{00000000-0006-0000-1A00-00005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99" authorId="0" shapeId="0" xr:uid="{00000000-0006-0000-1A00-00005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99" authorId="0" shapeId="0" xr:uid="{00000000-0006-0000-1A00-00005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99" authorId="0" shapeId="0" xr:uid="{00000000-0006-0000-1A00-00005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02" authorId="0" shapeId="0" xr:uid="{00000000-0006-0000-1A00-00005A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F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6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6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4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06" authorId="0" shapeId="0" xr:uid="{00000000-0006-0000-1A00-00006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06" authorId="0" shapeId="0" xr:uid="{00000000-0006-0000-1A00-00006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06" authorId="0" shapeId="0" xr:uid="{00000000-0006-0000-1A00-00006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06" authorId="0" shapeId="0" xr:uid="{00000000-0006-0000-1A00-00006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08" authorId="1" shapeId="0" xr:uid="{00000000-0006-0000-1A00-000069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  <comment ref="F113" authorId="0" shapeId="0" xr:uid="{00000000-0006-0000-1A00-00006A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G113" authorId="0" shapeId="0" xr:uid="{00000000-0006-0000-1A00-00006B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H113" authorId="0" shapeId="0" xr:uid="{00000000-0006-0000-1A00-00006C000000}">
      <text>
        <r>
          <rPr>
            <sz val="10"/>
            <color rgb="FF000000"/>
            <rFont val="Arial"/>
            <family val="2"/>
          </rPr>
          <t>Tharindu Wickramaarachchi:
Imdad et al 2022, RR 0.88 (0.79-0.98) </t>
        </r>
      </text>
    </comment>
    <comment ref="F114" authorId="0" shapeId="0" xr:uid="{00000000-0006-0000-1A00-00006D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G114" authorId="0" shapeId="0" xr:uid="{00000000-0006-0000-1A00-00006E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H114" authorId="0" shapeId="0" xr:uid="{00000000-0006-0000-1A00-00006F000000}">
      <text>
        <r>
          <rPr>
            <sz val="10"/>
            <color rgb="FF000000"/>
            <rFont val="Arial"/>
            <family val="2"/>
          </rPr>
          <t>Tharindu Wickramaarachchi:
Imdad et al 2022, RR 0.85 (0.82-0.87) </t>
        </r>
      </text>
    </comment>
    <comment ref="F116" authorId="1" shapeId="0" xr:uid="{00000000-0006-0000-1A00-000070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6" authorId="1" shapeId="0" xr:uid="{00000000-0006-0000-1A00-000071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18" authorId="1" shapeId="0" xr:uid="{00000000-0006-0000-1A00-000072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G118" authorId="1" shapeId="0" xr:uid="{00000000-0006-0000-1A00-000073000000}">
      <text>
        <r>
          <rPr>
            <sz val="10"/>
            <color rgb="FF000000"/>
            <rFont val="Arial"/>
            <family val="2"/>
          </rPr>
          <t>Nick Scott:
No statistically significant effect Lassi et al 2020, RR 0.87 (0.74-1.01)</t>
        </r>
      </text>
    </comment>
    <comment ref="F120" authorId="1" shapeId="0" xr:uid="{00000000-0006-0000-1A00-000074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0" authorId="1" shapeId="0" xr:uid="{00000000-0006-0000-1A00-000075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2" authorId="1" shapeId="0" xr:uid="{00000000-0006-0000-1A00-000076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G122" authorId="1" shapeId="0" xr:uid="{00000000-0006-0000-1A00-000077000000}">
      <text>
        <r>
          <rPr>
            <sz val="10"/>
            <color rgb="FF000000"/>
            <rFont val="Arial"/>
            <family val="2"/>
          </rPr>
          <t>Nick Scott:
Same as PPCF; no statistically significant effect; Lassi et al 2020, RR 0.87 (0.74-1.01)</t>
        </r>
      </text>
    </comment>
    <comment ref="F124" authorId="0" shapeId="0" xr:uid="{00000000-0006-0000-1A00-000078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G124" authorId="0" shapeId="0" xr:uid="{00000000-0006-0000-1A00-000079000000}">
      <text>
        <r>
          <rPr>
            <sz val="10"/>
            <color rgb="FF000000"/>
            <rFont val="Arial"/>
            <family val="2"/>
          </rPr>
          <t xml:space="preserve">Tharindu Wickramaarachchi:
Dewey et al 2022, severe wasting, PR 0.69 (0.55-0.86) </t>
        </r>
      </text>
    </comment>
    <comment ref="F126" authorId="0" shapeId="0" xr:uid="{00000000-0006-0000-1A00-00007A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G126" authorId="0" shapeId="0" xr:uid="{00000000-0006-0000-1A00-00007B000000}">
      <text>
        <r>
          <rPr>
            <sz val="10"/>
            <color rgb="FF000000"/>
            <rFont val="Arial"/>
            <family val="2"/>
          </rPr>
          <t xml:space="preserve">Tharindu Wickramaarachchi:
Dewey et al 2021, wasting, PR 0.86 (0.80-0.93) </t>
        </r>
      </text>
    </comment>
    <comment ref="F128" authorId="1" shapeId="0" xr:uid="{00000000-0006-0000-1A00-00007C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D000000}">
      <text>
        <r>
          <rPr>
            <sz val="10"/>
            <color rgb="FF000000"/>
            <rFont val="Arial"/>
            <family val="2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  <family val="2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81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2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3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4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5000000}">
      <text>
        <r>
          <rPr>
            <sz val="10"/>
            <color rgb="FF000000"/>
            <rFont val="Arial"/>
            <family val="2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6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E154" authorId="0" shapeId="0" xr:uid="{00000000-0006-0000-1A00-000087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F154" authorId="0" shapeId="0" xr:uid="{00000000-0006-0000-1A00-000088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G154" authorId="0" shapeId="0" xr:uid="{00000000-0006-0000-1A00-000089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H154" authorId="0" shapeId="0" xr:uid="{00000000-0006-0000-1A00-00008A000000}">
      <text>
        <r>
          <rPr>
            <sz val="10"/>
            <color rgb="FF000000"/>
            <rFont val="Arial"/>
            <family val="2"/>
          </rPr>
          <t>Tharindu Wickramaarachchi:
Imdad et al 2023, RR 0.91 (0.90-0.93) </t>
        </r>
      </text>
    </comment>
    <comment ref="D157" authorId="0" shapeId="0" xr:uid="{00000000-0006-0000-1A00-00008B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C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D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E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F000000}">
      <text>
        <r>
          <rPr>
            <sz val="10"/>
            <color rgb="FF000000"/>
            <rFont val="Arial"/>
            <family val="2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90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91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2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3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4000000}">
      <text>
        <r>
          <rPr>
            <sz val="10"/>
            <color rgb="FF000000"/>
            <rFont val="Arial"/>
            <family val="2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5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E161" authorId="0" shapeId="0" xr:uid="{00000000-0006-0000-1A00-000096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F161" authorId="0" shapeId="0" xr:uid="{00000000-0006-0000-1A00-000097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G161" authorId="0" shapeId="0" xr:uid="{00000000-0006-0000-1A00-000098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H161" authorId="0" shapeId="0" xr:uid="{00000000-0006-0000-1A00-000099000000}">
      <text>
        <r>
          <rPr>
            <sz val="10"/>
            <color rgb="FF000000"/>
            <rFont val="Arial"/>
            <family val="2"/>
          </rPr>
          <t>Tharindu Wickramaarachchi:
RRR = 0.24 (0.15-0.38) for diarrhoea mortality
1-RRR was used for the total effect</t>
        </r>
      </text>
    </comment>
    <comment ref="D163" authorId="1" shapeId="0" xr:uid="{00000000-0006-0000-1A00-00009A000000}">
      <text>
        <r>
          <rPr>
            <sz val="10"/>
            <color rgb="FF000000"/>
            <rFont val="Arial"/>
            <family val="2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  <family val="2"/>
          </rPr>
          <t>Tharindu Wickramaarachchi:
Not statistically significant from 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  <family val="2"/>
          </rPr>
          <t>Tharindu Wickramaarachchi:
RR = 0.41 for mortlaity from hypertensive disorders [Ronsmans et al. 2011, BMC Public Health] 
1-RR was used</t>
        </r>
      </text>
    </comment>
    <comment ref="D9" authorId="0" shapeId="0" xr:uid="{32FA61A0-1B1D-4640-80AE-AA60652E0238}">
      <text>
        <r>
          <rPr>
            <b/>
            <sz val="9"/>
            <color indexed="81"/>
            <rFont val="Tahoma"/>
            <family val="2"/>
          </rPr>
          <t>Tharindu Wickramaarachchi:</t>
        </r>
        <r>
          <rPr>
            <sz val="9"/>
            <color indexed="81"/>
            <rFont val="Tahoma"/>
            <family val="2"/>
          </rPr>
          <t xml:space="preserve">
RR = 0.91 (0.86-0.98)
Hofmeyr et al 2023 </t>
        </r>
      </text>
    </comment>
    <comment ref="D14" authorId="0" shapeId="0" xr:uid="{00000000-0006-0000-1B00-00000D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14" authorId="0" shapeId="0" xr:uid="{00000000-0006-0000-1B00-00000E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14" authorId="0" shapeId="0" xr:uid="{00000000-0006-0000-1B00-00000F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14" authorId="0" shapeId="0" xr:uid="{00000000-0006-0000-1B00-000010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D25" authorId="0" shapeId="0" xr:uid="{00000000-0006-0000-1B00-000011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E25" authorId="0" shapeId="0" xr:uid="{00000000-0006-0000-1B00-000012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F25" authorId="0" shapeId="0" xr:uid="{00000000-0006-0000-1B00-000013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  <comment ref="G25" authorId="0" shapeId="0" xr:uid="{00000000-0006-0000-1B00-000014000000}">
      <text>
        <r>
          <rPr>
            <sz val="10"/>
            <color rgb="FF000000"/>
            <rFont val="Arial"/>
            <family val="2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<sst xmlns="http://schemas.openxmlformats.org/spreadsheetml/2006/main" count="2159" uniqueCount="372">
  <si>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</si>
  <si>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</si>
  <si>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</si>
  <si>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</si>
  <si>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</si>
  <si>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</si>
  <si>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</si>
  <si>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</si>
  <si>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</si>
  <si>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</si>
  <si>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Parameter</t>
  </si>
  <si>
    <t>Value</t>
  </si>
  <si>
    <t>Life tables</t>
  </si>
  <si>
    <t>Age 5</t>
  </si>
  <si>
    <t>Age  10</t>
  </si>
  <si>
    <t>Age 15</t>
  </si>
  <si>
    <t>Age 20</t>
  </si>
  <si>
    <t>Age 25</t>
  </si>
  <si>
    <t>Age 30</t>
  </si>
  <si>
    <t>Age 35</t>
  </si>
  <si>
    <t>Age 40</t>
  </si>
  <si>
    <t>Age 45</t>
  </si>
  <si>
    <t>Age 50</t>
  </si>
  <si>
    <t>Age 55</t>
  </si>
  <si>
    <t>Age 60</t>
  </si>
  <si>
    <t>Age 65</t>
  </si>
  <si>
    <t>Age 70</t>
  </si>
  <si>
    <t>Cash transfers - lower</t>
  </si>
  <si>
    <t>Cash transfers - upper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</si>
  <si>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</si>
  <si>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</si>
  <si>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</si>
  <si>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</si>
  <si>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</si>
  <si>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</si>
  <si>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</si>
  <si>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</si>
  <si>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</si>
  <si>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</si>
  <si>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</si>
  <si>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</si>
  <si>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</si>
  <si>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</si>
  <si>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</si>
  <si>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</si>
  <si>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</si>
  <si>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</si>
  <si>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</si>
  <si>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</si>
  <si>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</si>
  <si>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</si>
  <si>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</si>
  <si>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</si>
  <si>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</si>
  <si>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</si>
  <si>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</si>
  <si>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</si>
  <si>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</si>
  <si>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</si>
  <si>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</si>
  <si>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</si>
  <si>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</si>
  <si>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</si>
  <si>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</si>
  <si>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</si>
  <si>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</si>
  <si>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</si>
  <si>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</si>
  <si>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</si>
  <si>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</si>
  <si>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</si>
  <si>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</si>
  <si>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</si>
  <si>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</si>
  <si>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</si>
  <si>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</si>
  <si>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</si>
  <si>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</si>
  <si>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</si>
  <si>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</si>
  <si>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</si>
  <si>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</si>
  <si>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</si>
  <si>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</si>
  <si>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</si>
  <si>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</si>
  <si>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</si>
  <si>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</si>
  <si>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</si>
  <si>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</si>
  <si>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</si>
  <si>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</si>
  <si>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</si>
  <si>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</si>
  <si>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</si>
  <si>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</si>
  <si>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</si>
  <si>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</si>
  <si>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</si>
  <si>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</si>
  <si>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</si>
  <si>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</si>
  <si>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</si>
  <si>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</si>
  <si>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</si>
  <si>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</si>
  <si>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</si>
  <si>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</si>
  <si>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</si>
  <si>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</si>
  <si>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</si>
  <si>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</si>
  <si>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</si>
  <si>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</si>
  <si>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</si>
  <si>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</si>
  <si>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</si>
  <si>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</si>
  <si>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</si>
  <si>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</si>
  <si>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</si>
  <si>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</si>
  <si>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</si>
  <si>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</si>
  <si>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</si>
  <si>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</si>
  <si>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</si>
  <si>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</si>
  <si>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</si>
  <si>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</si>
  <si>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</si>
  <si>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</si>
  <si>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</si>
  <si>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</si>
  <si>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</si>
  <si>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</si>
  <si>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</si>
  <si>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</si>
  <si>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</si>
  <si>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</si>
  <si>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</si>
  <si>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</si>
  <si>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</si>
  <si>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</si>
  <si>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</si>
  <si>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</si>
  <si>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</si>
  <si>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</si>
  <si>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</si>
  <si>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</si>
  <si>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</si>
  <si>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</si>
  <si>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</si>
  <si>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</si>
  <si>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</si>
  <si>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</si>
  <si>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</si>
  <si>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</si>
  <si>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</si>
  <si>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Crecimiento anual del PIB</t>
  </si>
  <si>
    <t>PIB per cápita</t>
  </si>
  <si>
    <t>Descuento temporal (costos)</t>
  </si>
  <si>
    <t>Descuento temporal (beneficios)</t>
  </si>
  <si>
    <t>Porcentaje de ingresos vitales que realmente se han ganado</t>
  </si>
  <si>
    <t>Edad a la que se acaba la productividad laboral</t>
  </si>
  <si>
    <t>Edad de inicio de la productividad laboral</t>
  </si>
  <si>
    <t>Participación laboral femenina</t>
  </si>
  <si>
    <t>Porcentaje de embarazos a los cuales se les puede atribuir una pérdida de productividad por anemia materna</t>
  </si>
  <si>
    <t>Aumento de puntuación de CI gracias a la lactancia temprana</t>
  </si>
  <si>
    <t xml:space="preserve">Aumento de ingresos por punto de CI </t>
  </si>
  <si>
    <t>Participación del trabajo en el PIB</t>
  </si>
  <si>
    <t>Reducción total de ingresos vitales en individuos con retraso del crecimiento</t>
  </si>
  <si>
    <t>Disminución de productividad debido a la anemia infantil (%)</t>
  </si>
  <si>
    <t>Disminución de productividad debido al bajo peso al nacer (%)</t>
  </si>
  <si>
    <t>Disminución de productividad debido a la anemia materna (%)</t>
  </si>
  <si>
    <t>Porcentaje de mortinatos a incluir en la pérdida de productividad</t>
  </si>
  <si>
    <t>Número de personas vivas restantes (empezando con 100.000 nacimientos)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</si>
  <si>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</si>
  <si>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</si>
  <si>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</si>
  <si>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</si>
  <si>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</si>
  <si>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</si>
  <si>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</si>
  <si>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</si>
  <si>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</si>
  <si>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</si>
  <si>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</si>
  <si>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</si>
  <si>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</si>
  <si>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</si>
  <si>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</si>
  <si>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</si>
  <si>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</si>
  <si>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</si>
  <si>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</si>
  <si>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</si>
  <si>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</si>
  <si>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</si>
  <si>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</si>
  <si>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</si>
  <si>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</si>
  <si>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</si>
  <si>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</si>
  <si>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</si>
  <si>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</si>
  <si>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</si>
  <si>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</si>
  <si>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</si>
  <si>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</si>
  <si>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</si>
  <si>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</si>
  <si>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</si>
  <si>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</si>
  <si>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</si>
  <si>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</si>
  <si>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</si>
  <si>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</si>
  <si>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</si>
  <si>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</si>
  <si>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</si>
  <si>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</si>
  <si>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</si>
  <si>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</si>
  <si>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</si>
  <si>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</si>
  <si>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</si>
  <si>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</si>
  <si>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</si>
  <si>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</si>
  <si>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</si>
  <si>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</si>
  <si>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</si>
  <si>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</si>
  <si>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</si>
  <si>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</si>
  <si>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</si>
  <si>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</si>
  <si>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</si>
  <si>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</si>
  <si>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</si>
  <si>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</si>
  <si>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</si>
  <si>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</si>
  <si>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</si>
  <si>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Costo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</si>
  <si>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</si>
  <si>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</si>
  <si>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</si>
  <si>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</si>
  <si>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</si>
  <si>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</si>
  <si>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</si>
  <si>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</si>
  <si>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</si>
  <si>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</si>
  <si>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</si>
  <si>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</si>
  <si>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</si>
  <si>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</si>
  <si>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</si>
  <si>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</si>
  <si>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</si>
  <si>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Mortinatos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</si>
  <si>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</si>
  <si>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</si>
  <si>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</si>
  <si>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</si>
  <si>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</si>
  <si>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</si>
  <si>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</si>
  <si>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</si>
  <si>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</si>
  <si>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</si>
  <si>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</si>
  <si>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</si>
  <si>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</si>
  <si>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</si>
  <si>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</si>
  <si>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</si>
  <si>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</si>
  <si>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</si>
  <si>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</si>
  <si>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</si>
  <si>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</si>
  <si>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</si>
  <si>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</si>
  <si>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</si>
  <si>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</si>
  <si>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</si>
  <si>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</si>
  <si>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</si>
  <si>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</si>
  <si>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</si>
  <si>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</si>
  <si>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</si>
  <si>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</si>
  <si>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</si>
  <si>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</si>
  <si>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</si>
  <si>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</si>
  <si>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</si>
  <si>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</si>
  <si>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</si>
  <si>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</si>
  <si>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</si>
  <si>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</si>
  <si>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</si>
  <si>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</si>
  <si>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</si>
  <si>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</si>
  <si>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Emaciación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</si>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</sst>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_);_(* \(#,##0\);_(* &quot;-&quot;??_);_(@_)"/>
    <numFmt numFmtId="166" formatCode="0.000"/>
    <numFmt numFmtId="167" formatCode="0.0%"/>
    <numFmt numFmtId="168" formatCode="0.0"/>
    <numFmt numFmtId="169" formatCode="#,##0.0"/>
    <numFmt numFmtId="170" formatCode="0.0000"/>
  </numFmts>
  <fonts count="22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  <font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7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  <xf numFmtId="9" fontId="19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164" fontId="4" fillId="0" borderId="0" xfId="0" applyNumberFormat="1" applyFont="1"/>
    <xf numFmtId="165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5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6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7" fontId="4" fillId="2" borderId="1" xfId="0" applyNumberFormat="1" applyFont="1" applyFill="1" applyBorder="1" applyAlignment="1">
      <alignment horizontal="right"/>
    </xf>
    <xf numFmtId="167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7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7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7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5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167" fontId="4" fillId="2" borderId="1" xfId="0" applyNumberFormat="1" applyFont="1" applyFill="1" applyBorder="1" applyAlignment="1" applyProtection="1">
      <alignment horizontal="right"/>
      <protection locked="0"/>
    </xf>
    <xf numFmtId="167" fontId="0" fillId="2" borderId="1" xfId="0" applyNumberFormat="1" applyFill="1" applyBorder="1" applyProtection="1">
      <protection locked="0"/>
    </xf>
    <xf numFmtId="167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6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8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9" fontId="4" fillId="2" borderId="1" xfId="0" applyNumberFormat="1" applyFont="1" applyFill="1" applyBorder="1" applyProtection="1">
      <protection locked="0"/>
    </xf>
    <xf numFmtId="167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3" fillId="7" borderId="0" xfId="0" applyFont="1" applyFill="1" applyAlignment="1">
      <alignment horizontal="right"/>
    </xf>
    <xf numFmtId="2" fontId="8" fillId="7" borderId="1" xfId="0" applyNumberFormat="1" applyFont="1" applyFill="1" applyBorder="1" applyAlignment="1" applyProtection="1">
      <alignment horizontal="right"/>
      <protection locked="0"/>
    </xf>
    <xf numFmtId="0" fontId="7" fillId="0" borderId="0" xfId="3" applyFont="1"/>
    <xf numFmtId="0" fontId="5" fillId="0" borderId="0" xfId="3"/>
    <xf numFmtId="0" fontId="2" fillId="0" borderId="0" xfId="3" applyFont="1"/>
    <xf numFmtId="0" fontId="3" fillId="0" borderId="0" xfId="3" applyFont="1"/>
    <xf numFmtId="3" fontId="3" fillId="2" borderId="1" xfId="3" applyNumberFormat="1" applyFont="1" applyFill="1" applyBorder="1" applyAlignment="1" applyProtection="1">
      <alignment horizontal="right"/>
      <protection locked="0"/>
    </xf>
    <xf numFmtId="167" fontId="3" fillId="2" borderId="1" xfId="6" applyNumberFormat="1" applyFont="1" applyFill="1" applyBorder="1" applyAlignment="1" applyProtection="1">
      <alignment horizontal="right"/>
      <protection locked="0"/>
    </xf>
    <xf numFmtId="0" fontId="3" fillId="2" borderId="1" xfId="3" applyFont="1" applyFill="1" applyBorder="1" applyAlignment="1" applyProtection="1">
      <alignment horizontal="right"/>
      <protection locked="0"/>
    </xf>
    <xf numFmtId="10" fontId="3" fillId="2" borderId="1" xfId="6" applyNumberFormat="1" applyFont="1" applyFill="1" applyBorder="1" applyAlignment="1" applyProtection="1">
      <alignment horizontal="right"/>
      <protection locked="0"/>
    </xf>
    <xf numFmtId="170" fontId="3" fillId="2" borderId="1" xfId="3" applyNumberFormat="1" applyFont="1" applyFill="1" applyBorder="1" applyAlignment="1" applyProtection="1">
      <alignment horizontal="right"/>
      <protection locked="0"/>
    </xf>
    <xf numFmtId="0" fontId="5" fillId="0" borderId="0" xfId="3" applyAlignment="1">
      <alignment horizontal="right"/>
    </xf>
    <xf numFmtId="0" fontId="3" fillId="0" borderId="0" xfId="4" applyFont="1" applyAlignment="1">
      <alignment horizontal="right"/>
    </xf>
    <xf numFmtId="1" fontId="8" fillId="3" borderId="1" xfId="3" applyNumberFormat="1" applyFont="1" applyFill="1" applyBorder="1" applyProtection="1">
      <protection locked="0"/>
    </xf>
    <xf numFmtId="0" fontId="3" fillId="0" borderId="0" xfId="3" applyFont="1" applyAlignment="1">
      <alignment horizontal="right"/>
    </xf>
    <xf numFmtId="2" fontId="8" fillId="3" borderId="1" xfId="5" applyNumberFormat="1" applyFont="1" applyFill="1" applyBorder="1" applyAlignment="1" applyProtection="1">
      <alignment horizontal="right"/>
      <protection locked="0"/>
    </xf>
    <xf numFmtId="0" fontId="7" fillId="6" borderId="0" xfId="3" applyFont="1" applyFill="1"/>
    <xf numFmtId="0" fontId="7" fillId="5" borderId="0" xfId="3" applyFont="1" applyFill="1"/>
    <xf numFmtId="0" fontId="5" fillId="5" borderId="0" xfId="3" applyFill="1"/>
    <xf numFmtId="0" fontId="13" fillId="0" borderId="0" xfId="3" applyFont="1"/>
    <xf numFmtId="0" fontId="7" fillId="0" borderId="0" xfId="3" applyFont="1" applyAlignment="1">
      <alignment horizontal="right"/>
    </xf>
    <xf numFmtId="0" fontId="7" fillId="0" borderId="0" xfId="4" applyFont="1"/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7">
    <cellStyle name="Comma 2" xfId="5" xr:uid="{00000000-0005-0000-0000-000005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3000000}"/>
    <cellStyle name="Normal 3" xfId="4" xr:uid="{00000000-0005-0000-0000-000004000000}"/>
    <cellStyle name="Percent" xfId="6" builtinId="5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35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7600"/>
  </sheetPr>
  <dimension ref="A1:E63"/>
  <sheetViews>
    <sheetView topLeftCell="A22" zoomScaleNormal="100" workbookViewId="0">
      <selection activeCell="C29" sqref="C29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4" width="14.453125" style="8" customWidth="1"/>
    <col min="5" max="16384" width="14.453125" style="8"/>
  </cols>
  <sheetData>
    <row r="1" spans="1:3" ht="15.9" customHeight="1" x14ac:dyDescent="0.3">
      <c r="A1" s="1" t="s">
        <v>38</v>
      </c>
      <c r="B1" s="29" t="s">
        <v>0</v>
      </c>
      <c r="C1" s="29" t="s">
        <v>43</v>
      </c>
    </row>
    <row r="2" spans="1:3" ht="15.9" customHeight="1" x14ac:dyDescent="0.3">
      <c r="A2" s="8" t="s">
        <v>74</v>
      </c>
      <c r="B2" s="29"/>
      <c r="C2" s="29"/>
    </row>
    <row r="3" spans="1:3" ht="15.9" customHeight="1" x14ac:dyDescent="0.3">
      <c r="A3" s="1"/>
      <c r="B3" s="5" t="s">
        <v>37</v>
      </c>
      <c r="C3" s="41">
        <v>2024</v>
      </c>
    </row>
    <row r="4" spans="1:3" ht="15.9" customHeight="1" x14ac:dyDescent="0.3">
      <c r="A4" s="1"/>
      <c r="B4" s="5" t="s">
        <v>45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69</v>
      </c>
    </row>
    <row r="7" spans="1:3" ht="15" customHeight="1" x14ac:dyDescent="0.25">
      <c r="B7" s="11" t="s">
        <v>42</v>
      </c>
      <c r="C7" s="43">
        <v>1169548.5</v>
      </c>
    </row>
    <row r="8" spans="1:3" ht="15" customHeight="1" x14ac:dyDescent="0.25">
      <c r="B8" s="5" t="s">
        <v>63</v>
      </c>
      <c r="C8" s="44">
        <v>0.157</v>
      </c>
    </row>
    <row r="9" spans="1:3" ht="15" customHeight="1" x14ac:dyDescent="0.25">
      <c r="B9" s="5" t="s">
        <v>62</v>
      </c>
      <c r="C9" s="45">
        <v>0.01</v>
      </c>
    </row>
    <row r="10" spans="1:3" ht="15" customHeight="1" x14ac:dyDescent="0.25">
      <c r="B10" s="5" t="s">
        <v>75</v>
      </c>
      <c r="C10" s="45">
        <v>0.63523980000000002</v>
      </c>
    </row>
    <row r="11" spans="1:3" ht="15" customHeight="1" x14ac:dyDescent="0.25">
      <c r="B11" s="5" t="s">
        <v>68</v>
      </c>
      <c r="C11" s="45">
        <v>1</v>
      </c>
    </row>
    <row r="12" spans="1:3" ht="15" customHeight="1" x14ac:dyDescent="0.25">
      <c r="B12" s="5" t="s">
        <v>60</v>
      </c>
      <c r="C12" s="45">
        <v>1</v>
      </c>
    </row>
    <row r="13" spans="1:3" ht="15" customHeight="1" x14ac:dyDescent="0.25">
      <c r="B13" s="5" t="s">
        <v>81</v>
      </c>
      <c r="C13" s="45">
        <v>0.14199999999999999</v>
      </c>
    </row>
    <row r="14" spans="1:3" ht="15" customHeight="1" x14ac:dyDescent="0.25">
      <c r="B14" s="8"/>
    </row>
    <row r="15" spans="1:3" ht="15" customHeight="1" x14ac:dyDescent="0.3">
      <c r="A15" s="8" t="s">
        <v>47</v>
      </c>
      <c r="B15" s="14"/>
      <c r="C15" s="3"/>
    </row>
    <row r="16" spans="1:3" ht="15" customHeight="1" x14ac:dyDescent="0.25">
      <c r="B16" s="5" t="s">
        <v>52</v>
      </c>
      <c r="C16" s="45">
        <v>0.1</v>
      </c>
    </row>
    <row r="17" spans="1:3" ht="15" customHeight="1" x14ac:dyDescent="0.25">
      <c r="B17" s="5" t="s">
        <v>49</v>
      </c>
      <c r="C17" s="45">
        <v>0.01</v>
      </c>
    </row>
    <row r="18" spans="1:3" ht="15" customHeight="1" x14ac:dyDescent="0.25">
      <c r="B18" s="5" t="s">
        <v>50</v>
      </c>
      <c r="C18" s="45">
        <v>0.98</v>
      </c>
    </row>
    <row r="19" spans="1:3" ht="15" customHeight="1" x14ac:dyDescent="0.25">
      <c r="B19" s="5" t="s">
        <v>48</v>
      </c>
      <c r="C19" s="45">
        <v>0.01</v>
      </c>
    </row>
    <row r="20" spans="1:3" ht="15" customHeight="1" x14ac:dyDescent="0.25">
      <c r="B20" s="5" t="s">
        <v>53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64</v>
      </c>
      <c r="C23" s="45">
        <v>3.9300000000000002E-2</v>
      </c>
    </row>
    <row r="24" spans="1:3" ht="15" customHeight="1" x14ac:dyDescent="0.25">
      <c r="B24" s="15" t="s">
        <v>65</v>
      </c>
      <c r="C24" s="45">
        <v>0.49590000000000001</v>
      </c>
    </row>
    <row r="25" spans="1:3" ht="15" customHeight="1" x14ac:dyDescent="0.25">
      <c r="B25" s="15" t="s">
        <v>66</v>
      </c>
      <c r="C25" s="45">
        <v>0.42020000000000002</v>
      </c>
    </row>
    <row r="26" spans="1:3" ht="15" customHeight="1" x14ac:dyDescent="0.25">
      <c r="B26" s="15" t="s">
        <v>67</v>
      </c>
      <c r="C26" s="45">
        <v>4.4600000000000001E-2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41</v>
      </c>
      <c r="B28" s="15"/>
      <c r="C28" s="15"/>
    </row>
    <row r="29" spans="1:3" ht="14.25" customHeight="1" x14ac:dyDescent="0.25">
      <c r="B29" s="25" t="s">
        <v>46</v>
      </c>
      <c r="C29" s="45">
        <v>0.259769272097435</v>
      </c>
    </row>
    <row r="30" spans="1:3" ht="14.25" customHeight="1" x14ac:dyDescent="0.25">
      <c r="B30" s="25" t="s">
        <v>82</v>
      </c>
      <c r="C30" s="99">
        <v>0.11570907979532</v>
      </c>
    </row>
    <row r="31" spans="1:3" ht="14.25" customHeight="1" x14ac:dyDescent="0.25">
      <c r="B31" s="25" t="s">
        <v>29</v>
      </c>
      <c r="C31" s="99">
        <v>9.89832068757453E-2</v>
      </c>
    </row>
    <row r="32" spans="1:3" ht="14.25" customHeight="1" x14ac:dyDescent="0.25">
      <c r="B32" s="25" t="s">
        <v>30</v>
      </c>
      <c r="C32" s="99">
        <v>0.52553844123149995</v>
      </c>
    </row>
    <row r="33" spans="1:5" ht="13.25" customHeight="1" x14ac:dyDescent="0.25">
      <c r="B33" s="27" t="s">
        <v>79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39</v>
      </c>
    </row>
    <row r="36" spans="1:5" ht="15" customHeight="1" x14ac:dyDescent="0.25">
      <c r="A36" s="8" t="s">
        <v>56</v>
      </c>
      <c r="B36" s="5"/>
    </row>
    <row r="37" spans="1:5" ht="15" customHeight="1" x14ac:dyDescent="0.25">
      <c r="B37" s="11" t="s">
        <v>57</v>
      </c>
      <c r="C37" s="43">
        <v>8.5367899999999999</v>
      </c>
    </row>
    <row r="38" spans="1:5" ht="15" customHeight="1" x14ac:dyDescent="0.25">
      <c r="B38" s="11" t="s">
        <v>54</v>
      </c>
      <c r="C38" s="43">
        <v>12.564450000000001</v>
      </c>
      <c r="D38" s="12"/>
      <c r="E38" s="13"/>
    </row>
    <row r="39" spans="1:5" ht="15" customHeight="1" x14ac:dyDescent="0.25">
      <c r="B39" s="11" t="s">
        <v>80</v>
      </c>
      <c r="C39" s="43">
        <v>14.59897</v>
      </c>
      <c r="D39" s="12"/>
      <c r="E39" s="12"/>
    </row>
    <row r="40" spans="1:5" ht="15" customHeight="1" x14ac:dyDescent="0.25">
      <c r="B40" s="11" t="s">
        <v>55</v>
      </c>
      <c r="C40" s="100">
        <v>0.41</v>
      </c>
    </row>
    <row r="41" spans="1:5" ht="15" customHeight="1" x14ac:dyDescent="0.25">
      <c r="B41" s="11" t="s">
        <v>51</v>
      </c>
      <c r="C41" s="45">
        <v>0.12</v>
      </c>
    </row>
    <row r="42" spans="1:5" ht="15" customHeight="1" x14ac:dyDescent="0.25">
      <c r="B42" s="11" t="s">
        <v>76</v>
      </c>
      <c r="C42" s="43">
        <v>8.9987999999999992</v>
      </c>
    </row>
    <row r="43" spans="1:5" ht="15.75" customHeight="1" x14ac:dyDescent="0.25">
      <c r="D43" s="12"/>
    </row>
    <row r="44" spans="1:5" ht="15.75" customHeight="1" x14ac:dyDescent="0.25">
      <c r="A44" s="8" t="s">
        <v>40</v>
      </c>
      <c r="D44" s="12"/>
    </row>
    <row r="45" spans="1:5" ht="15.75" customHeight="1" x14ac:dyDescent="0.25">
      <c r="B45" s="11" t="s">
        <v>71</v>
      </c>
      <c r="C45" s="45">
        <v>7.3870999999999997E-3</v>
      </c>
      <c r="D45" s="12"/>
    </row>
    <row r="46" spans="1:5" ht="15.75" customHeight="1" x14ac:dyDescent="0.25">
      <c r="B46" s="11" t="s">
        <v>70</v>
      </c>
      <c r="C46" s="45">
        <v>7.93735E-2</v>
      </c>
      <c r="D46" s="12"/>
    </row>
    <row r="47" spans="1:5" ht="15.75" customHeight="1" x14ac:dyDescent="0.25">
      <c r="B47" s="11" t="s">
        <v>78</v>
      </c>
      <c r="C47" s="45">
        <v>7.3975899999999997E-2</v>
      </c>
      <c r="D47" s="12"/>
      <c r="E47" s="13"/>
    </row>
    <row r="48" spans="1:5" ht="15" customHeight="1" x14ac:dyDescent="0.25">
      <c r="B48" s="11" t="s">
        <v>77</v>
      </c>
      <c r="C48" s="46">
        <v>0.46841549999999998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44</v>
      </c>
      <c r="D50" s="12"/>
    </row>
    <row r="51" spans="1:4" ht="15.75" customHeight="1" x14ac:dyDescent="0.25">
      <c r="B51" s="11" t="s">
        <v>36</v>
      </c>
      <c r="C51" s="100">
        <v>3.6920000000000002</v>
      </c>
      <c r="D51" s="12"/>
    </row>
    <row r="52" spans="1:4" ht="15" customHeight="1" x14ac:dyDescent="0.25">
      <c r="B52" s="11" t="s">
        <v>32</v>
      </c>
      <c r="C52" s="100">
        <v>3.6920000000000002</v>
      </c>
    </row>
    <row r="53" spans="1:4" ht="15.75" customHeight="1" x14ac:dyDescent="0.25">
      <c r="B53" s="11" t="s">
        <v>35</v>
      </c>
      <c r="C53" s="100">
        <v>5.1480000000000006</v>
      </c>
    </row>
    <row r="54" spans="1:4" ht="15.75" customHeight="1" x14ac:dyDescent="0.25">
      <c r="B54" s="11" t="s">
        <v>33</v>
      </c>
      <c r="C54" s="100">
        <v>3.38</v>
      </c>
    </row>
    <row r="55" spans="1:4" ht="15.75" customHeight="1" x14ac:dyDescent="0.25">
      <c r="B55" s="11" t="s">
        <v>34</v>
      </c>
      <c r="C55" s="100">
        <v>1.6033333333333331</v>
      </c>
    </row>
    <row r="57" spans="1:4" ht="15.75" customHeight="1" x14ac:dyDescent="0.25">
      <c r="A57" s="8" t="s">
        <v>58</v>
      </c>
    </row>
    <row r="58" spans="1:4" ht="15.75" customHeight="1" x14ac:dyDescent="0.25">
      <c r="B58" s="5" t="s">
        <v>61</v>
      </c>
      <c r="C58" s="45">
        <v>2.0689655172413789E-2</v>
      </c>
    </row>
    <row r="59" spans="1:4" ht="15.75" customHeight="1" x14ac:dyDescent="0.25">
      <c r="B59" s="11" t="s">
        <v>59</v>
      </c>
      <c r="C59" s="45">
        <v>0.60336800000000002</v>
      </c>
    </row>
    <row r="60" spans="1:4" ht="15.75" customHeight="1" x14ac:dyDescent="0.25">
      <c r="B60" s="11" t="s">
        <v>73</v>
      </c>
      <c r="C60" s="45">
        <v>4.5999999999999999E-2</v>
      </c>
    </row>
    <row r="61" spans="1:4" ht="15.75" customHeight="1" x14ac:dyDescent="0.25">
      <c r="B61" s="11" t="s">
        <v>72</v>
      </c>
      <c r="C61" s="45">
        <v>1.4E-2</v>
      </c>
    </row>
    <row r="62" spans="1:4" ht="15.75" customHeight="1" x14ac:dyDescent="0.25">
      <c r="B62" s="11" t="s">
        <v>83</v>
      </c>
      <c r="C62" s="44">
        <v>0.1893666383</v>
      </c>
    </row>
    <row r="63" spans="1:4" ht="15.75" customHeight="1" x14ac:dyDescent="0.3">
      <c r="A63" s="4"/>
    </row>
  </sheetData>
  <sheetProtection algorithmName="SHA-512" hashValue="FCwq7KZEjuB3pRX9ZmNmuStvNX/hLH3ewplZY/Jolp4tLZs9j2gm5DpSAHLLdBSIivRjkvHVHnCqni4LUc3gNA==" saltValue="TKAN04Mx882O7iI/gIxbR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7600"/>
  </sheetPr>
  <dimension ref="A1:I40"/>
  <sheetViews>
    <sheetView zoomScale="85" zoomScaleNormal="85" workbookViewId="0">
      <selection activeCell="E28" sqref="E28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1" width="14.453125" style="8" customWidth="1"/>
    <col min="12" max="16384" width="14.453125" style="8"/>
  </cols>
  <sheetData>
    <row r="1" spans="1:9" s="16" customFormat="1" ht="30" customHeight="1" x14ac:dyDescent="0.3">
      <c r="A1" s="26" t="s">
        <v>92</v>
      </c>
      <c r="B1" s="20" t="s">
        <v>85</v>
      </c>
      <c r="C1" s="18" t="s">
        <v>87</v>
      </c>
      <c r="D1" s="18" t="s">
        <v>88</v>
      </c>
      <c r="E1" s="18" t="s">
        <v>89</v>
      </c>
      <c r="F1" s="18" t="s">
        <v>90</v>
      </c>
      <c r="G1" s="18" t="s">
        <v>86</v>
      </c>
      <c r="H1" s="18" t="s">
        <v>84</v>
      </c>
      <c r="I1" s="18" t="s">
        <v>91</v>
      </c>
    </row>
    <row r="2" spans="1:9" ht="15.75" customHeight="1" x14ac:dyDescent="0.25">
      <c r="A2" s="5">
        <f>start_year</f>
        <v>2024</v>
      </c>
      <c r="B2" s="49">
        <v>240649</v>
      </c>
      <c r="C2" s="49">
        <v>679306.49999999988</v>
      </c>
      <c r="D2" s="49">
        <v>951608.5</v>
      </c>
      <c r="E2" s="49">
        <v>797901</v>
      </c>
      <c r="F2" s="49">
        <v>547213.5</v>
      </c>
      <c r="G2" s="17">
        <f t="shared" ref="G2:G13" si="0">C2+D2+E2+F2</f>
        <v>2976029.5</v>
      </c>
      <c r="H2" s="17">
        <f t="shared" ref="H2:H13" si="1">(B2 + stillbirth*B2/(1000-stillbirth))/(1-abortion)</f>
        <v>275947.97334985336</v>
      </c>
      <c r="I2" s="17">
        <f t="shared" ref="I2:I13" si="2">G2-H2</f>
        <v>2700081.5266501466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238928</v>
      </c>
      <c r="C3" s="50">
        <v>686095.00000000012</v>
      </c>
      <c r="D3" s="50">
        <v>950437</v>
      </c>
      <c r="E3" s="50">
        <v>808551.5</v>
      </c>
      <c r="F3" s="50">
        <v>555412</v>
      </c>
      <c r="G3" s="17">
        <f t="shared" si="0"/>
        <v>3000495.5</v>
      </c>
      <c r="H3" s="17">
        <f t="shared" si="1"/>
        <v>273974.53293607605</v>
      </c>
      <c r="I3" s="17">
        <f t="shared" si="2"/>
        <v>2726520.9670639238</v>
      </c>
    </row>
    <row r="4" spans="1:9" ht="15.75" customHeight="1" x14ac:dyDescent="0.25">
      <c r="A4" s="5">
        <f t="shared" si="3"/>
        <v>2026</v>
      </c>
      <c r="B4" s="49">
        <v>237233</v>
      </c>
      <c r="C4" s="50">
        <v>688055.49999999988</v>
      </c>
      <c r="D4" s="50">
        <v>952215</v>
      </c>
      <c r="E4" s="50">
        <v>819695.5</v>
      </c>
      <c r="F4" s="50">
        <v>564534</v>
      </c>
      <c r="G4" s="17">
        <f t="shared" si="0"/>
        <v>3024500</v>
      </c>
      <c r="H4" s="17">
        <f t="shared" si="1"/>
        <v>272030.90626474976</v>
      </c>
      <c r="I4" s="17">
        <f t="shared" si="2"/>
        <v>2752469.0937352502</v>
      </c>
    </row>
    <row r="5" spans="1:9" ht="15.75" customHeight="1" x14ac:dyDescent="0.25">
      <c r="A5" s="5">
        <f t="shared" si="3"/>
        <v>2027</v>
      </c>
      <c r="B5" s="49">
        <v>236558</v>
      </c>
      <c r="C5" s="50">
        <v>683644</v>
      </c>
      <c r="D5" s="50">
        <v>961047.00000000012</v>
      </c>
      <c r="E5" s="50">
        <v>830106</v>
      </c>
      <c r="F5" s="50">
        <v>574448</v>
      </c>
      <c r="G5" s="17">
        <f t="shared" si="0"/>
        <v>3049245</v>
      </c>
      <c r="H5" s="17">
        <f t="shared" si="1"/>
        <v>271256.89564342512</v>
      </c>
      <c r="I5" s="17">
        <f t="shared" si="2"/>
        <v>2777988.1043565748</v>
      </c>
    </row>
    <row r="6" spans="1:9" ht="15.75" customHeight="1" x14ac:dyDescent="0.25">
      <c r="A6" s="5">
        <f t="shared" si="3"/>
        <v>2028</v>
      </c>
      <c r="B6" s="49">
        <v>235368</v>
      </c>
      <c r="C6" s="50">
        <v>675667</v>
      </c>
      <c r="D6" s="50">
        <v>976894.5</v>
      </c>
      <c r="E6" s="50">
        <v>838610</v>
      </c>
      <c r="F6" s="50">
        <v>584665.5</v>
      </c>
      <c r="G6" s="17">
        <f t="shared" si="0"/>
        <v>3075837</v>
      </c>
      <c r="H6" s="17">
        <f t="shared" si="1"/>
        <v>269892.3435850899</v>
      </c>
      <c r="I6" s="17">
        <f t="shared" si="2"/>
        <v>2805944.6564149102</v>
      </c>
    </row>
    <row r="7" spans="1:9" ht="15.75" customHeight="1" x14ac:dyDescent="0.25">
      <c r="A7" s="5">
        <f t="shared" si="3"/>
        <v>2029</v>
      </c>
      <c r="B7" s="49">
        <v>234379</v>
      </c>
      <c r="C7" s="50">
        <v>666779</v>
      </c>
      <c r="D7" s="50">
        <v>995451</v>
      </c>
      <c r="E7" s="50">
        <v>845529</v>
      </c>
      <c r="F7" s="50">
        <v>595286.5</v>
      </c>
      <c r="G7" s="17">
        <f t="shared" si="0"/>
        <v>3103045.5</v>
      </c>
      <c r="H7" s="17">
        <f t="shared" si="1"/>
        <v>268758.27468954906</v>
      </c>
      <c r="I7" s="17">
        <f t="shared" si="2"/>
        <v>2834287.2253104509</v>
      </c>
    </row>
    <row r="8" spans="1:9" ht="15.75" customHeight="1" x14ac:dyDescent="0.25">
      <c r="A8" s="5">
        <f t="shared" si="3"/>
        <v>2030</v>
      </c>
      <c r="B8" s="49">
        <v>233757</v>
      </c>
      <c r="C8" s="50">
        <v>654020.50000000012</v>
      </c>
      <c r="D8" s="50">
        <v>1014542.5</v>
      </c>
      <c r="E8" s="50">
        <v>853667</v>
      </c>
      <c r="F8" s="50">
        <v>605926.5</v>
      </c>
      <c r="G8" s="17">
        <f t="shared" si="0"/>
        <v>3128156.5</v>
      </c>
      <c r="H8" s="17">
        <f t="shared" si="1"/>
        <v>268045.03823552839</v>
      </c>
      <c r="I8" s="17">
        <f t="shared" si="2"/>
        <v>2860111.4617644716</v>
      </c>
    </row>
    <row r="9" spans="1:9" ht="15.75" customHeight="1" x14ac:dyDescent="0.25">
      <c r="A9" s="5">
        <f t="shared" si="3"/>
        <v>2031</v>
      </c>
      <c r="B9" s="49">
        <v>234204</v>
      </c>
      <c r="C9" s="50">
        <v>642186.99999999988</v>
      </c>
      <c r="D9" s="50">
        <v>1032232.5</v>
      </c>
      <c r="E9" s="50">
        <v>862297</v>
      </c>
      <c r="F9" s="50">
        <v>616712.5</v>
      </c>
      <c r="G9" s="17">
        <f t="shared" si="0"/>
        <v>3153429</v>
      </c>
      <c r="H9" s="17">
        <f t="shared" si="1"/>
        <v>268557.60526920558</v>
      </c>
      <c r="I9" s="17">
        <f t="shared" si="2"/>
        <v>2884871.3947307942</v>
      </c>
    </row>
    <row r="10" spans="1:9" ht="15.75" customHeight="1" x14ac:dyDescent="0.25">
      <c r="A10" s="5">
        <f t="shared" si="3"/>
        <v>2032</v>
      </c>
      <c r="B10" s="49">
        <v>234312</v>
      </c>
      <c r="C10" s="50">
        <v>634732</v>
      </c>
      <c r="D10" s="50">
        <v>1047673.5</v>
      </c>
      <c r="E10" s="50">
        <v>868908.00000000012</v>
      </c>
      <c r="F10" s="50">
        <v>628340.5</v>
      </c>
      <c r="G10" s="17">
        <f t="shared" si="0"/>
        <v>3179654</v>
      </c>
      <c r="H10" s="17">
        <f t="shared" si="1"/>
        <v>268681.44696861756</v>
      </c>
      <c r="I10" s="17">
        <f t="shared" si="2"/>
        <v>2910972.5530313826</v>
      </c>
    </row>
    <row r="11" spans="1:9" ht="15.75" customHeight="1" x14ac:dyDescent="0.25">
      <c r="A11" s="5">
        <f t="shared" si="3"/>
        <v>2033</v>
      </c>
      <c r="B11" s="49">
        <v>233299</v>
      </c>
      <c r="C11" s="50">
        <v>630192</v>
      </c>
      <c r="D11" s="50">
        <v>1058977</v>
      </c>
      <c r="E11" s="50">
        <v>876107</v>
      </c>
      <c r="F11" s="50">
        <v>641512.5</v>
      </c>
      <c r="G11" s="17">
        <f t="shared" si="0"/>
        <v>3206788.5</v>
      </c>
      <c r="H11" s="17">
        <f t="shared" si="1"/>
        <v>267519.85769542964</v>
      </c>
      <c r="I11" s="17">
        <f t="shared" si="2"/>
        <v>2939268.6423045704</v>
      </c>
    </row>
    <row r="12" spans="1:9" ht="15.75" customHeight="1" x14ac:dyDescent="0.25">
      <c r="A12" s="5">
        <f t="shared" si="3"/>
        <v>2034</v>
      </c>
      <c r="B12" s="49">
        <v>233866</v>
      </c>
      <c r="C12" s="50">
        <v>625752</v>
      </c>
      <c r="D12" s="50">
        <v>1068994.5</v>
      </c>
      <c r="E12" s="50">
        <v>884124</v>
      </c>
      <c r="F12" s="50">
        <v>656681.5</v>
      </c>
      <c r="G12" s="17">
        <f t="shared" si="0"/>
        <v>3235552</v>
      </c>
      <c r="H12" s="17">
        <f t="shared" si="1"/>
        <v>268170.02661734232</v>
      </c>
      <c r="I12" s="17">
        <f t="shared" si="2"/>
        <v>2967381.9733826579</v>
      </c>
    </row>
    <row r="13" spans="1:9" ht="15.75" customHeight="1" x14ac:dyDescent="0.25">
      <c r="A13" s="5">
        <f t="shared" si="3"/>
        <v>2035</v>
      </c>
      <c r="B13" s="49">
        <v>234573</v>
      </c>
      <c r="C13" s="50">
        <v>623224.49999999988</v>
      </c>
      <c r="D13" s="50">
        <v>1076718.5</v>
      </c>
      <c r="E13" s="50">
        <v>892856</v>
      </c>
      <c r="F13" s="50">
        <v>673273</v>
      </c>
      <c r="G13" s="17">
        <f t="shared" si="0"/>
        <v>3266072</v>
      </c>
      <c r="H13" s="17">
        <f t="shared" si="1"/>
        <v>268980.73107552977</v>
      </c>
      <c r="I13" s="17">
        <f t="shared" si="2"/>
        <v>2997091.2689244701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b4PoJ3NsuAy16R3MIZKtrQLkYux4WlHzDOTS0QApH/Fhy1hL7StSFu6ZYh/3NE1wGtD79VC2XwiY2fONGoFLkw==" saltValue="y0rc3HTN+MO7xqcN+sln2w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007600"/>
  </sheetPr>
  <dimension ref="A1:H35"/>
  <sheetViews>
    <sheetView topLeftCell="A16" zoomScale="115" zoomScaleNormal="115" workbookViewId="0">
      <selection activeCell="C29" sqref="C29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101</v>
      </c>
      <c r="C2" s="29" t="s">
        <v>97</v>
      </c>
      <c r="D2" s="29"/>
      <c r="E2" s="29"/>
      <c r="F2" s="29"/>
      <c r="G2" s="29"/>
    </row>
    <row r="3" spans="1:8" ht="15.75" customHeight="1" x14ac:dyDescent="0.25">
      <c r="B3" s="19" t="s">
        <v>112</v>
      </c>
      <c r="C3" s="55">
        <v>0</v>
      </c>
    </row>
    <row r="4" spans="1:8" ht="15.75" customHeight="1" x14ac:dyDescent="0.25">
      <c r="B4" s="19" t="s">
        <v>116</v>
      </c>
      <c r="C4" s="101">
        <v>7.2734599999999927E-2</v>
      </c>
    </row>
    <row r="5" spans="1:8" ht="15.75" customHeight="1" x14ac:dyDescent="0.25">
      <c r="B5" s="19" t="s">
        <v>114</v>
      </c>
      <c r="C5" s="101">
        <v>2.9755600000000038E-2</v>
      </c>
    </row>
    <row r="6" spans="1:8" ht="15.75" customHeight="1" x14ac:dyDescent="0.25">
      <c r="B6" s="19" t="s">
        <v>110</v>
      </c>
      <c r="C6" s="101">
        <v>0.1467636999999998</v>
      </c>
    </row>
    <row r="7" spans="1:8" ht="15.75" customHeight="1" x14ac:dyDescent="0.25">
      <c r="B7" s="19" t="s">
        <v>115</v>
      </c>
      <c r="C7" s="101">
        <v>0.41250100000000051</v>
      </c>
    </row>
    <row r="8" spans="1:8" ht="15.75" customHeight="1" x14ac:dyDescent="0.25">
      <c r="B8" s="19" t="s">
        <v>117</v>
      </c>
      <c r="C8" s="101">
        <v>6.1284000000000009E-3</v>
      </c>
    </row>
    <row r="9" spans="1:8" ht="15.75" customHeight="1" x14ac:dyDescent="0.25">
      <c r="B9" s="19" t="s">
        <v>111</v>
      </c>
      <c r="C9" s="101">
        <v>0.2188106999999998</v>
      </c>
    </row>
    <row r="10" spans="1:8" ht="15.75" customHeight="1" x14ac:dyDescent="0.25">
      <c r="B10" s="19" t="s">
        <v>113</v>
      </c>
      <c r="C10" s="101">
        <v>0.113306</v>
      </c>
    </row>
    <row r="11" spans="1:8" ht="15.75" customHeight="1" x14ac:dyDescent="0.25">
      <c r="B11" s="27" t="s">
        <v>79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102</v>
      </c>
      <c r="B13" s="29" t="s">
        <v>101</v>
      </c>
      <c r="C13" s="102" t="s">
        <v>93</v>
      </c>
      <c r="D13" s="102" t="s">
        <v>96</v>
      </c>
      <c r="E13" s="102" t="s">
        <v>94</v>
      </c>
      <c r="F13" s="102" t="s">
        <v>95</v>
      </c>
      <c r="G13" s="19"/>
    </row>
    <row r="14" spans="1:8" ht="15.75" customHeight="1" x14ac:dyDescent="0.25">
      <c r="B14" s="19" t="s">
        <v>103</v>
      </c>
      <c r="C14" s="55">
        <v>1.7752015123056169E-2</v>
      </c>
      <c r="D14" s="55">
        <v>1.7752015123056169E-2</v>
      </c>
      <c r="E14" s="55">
        <v>1.7752015123056169E-2</v>
      </c>
      <c r="F14" s="55">
        <v>1.7752015123056169E-2</v>
      </c>
    </row>
    <row r="15" spans="1:8" ht="15.75" customHeight="1" x14ac:dyDescent="0.25">
      <c r="B15" s="19" t="s">
        <v>121</v>
      </c>
      <c r="C15" s="101">
        <v>0.61124027546512405</v>
      </c>
      <c r="D15" s="101">
        <v>0.61124027546512405</v>
      </c>
      <c r="E15" s="101">
        <v>0.61124027546512405</v>
      </c>
      <c r="F15" s="101">
        <v>0.61124027546512405</v>
      </c>
    </row>
    <row r="16" spans="1:8" ht="15.75" customHeight="1" x14ac:dyDescent="0.25">
      <c r="B16" s="19" t="s">
        <v>2</v>
      </c>
      <c r="C16" s="101">
        <v>1.6022347070029211E-2</v>
      </c>
      <c r="D16" s="101">
        <v>1.6022347070029211E-2</v>
      </c>
      <c r="E16" s="101">
        <v>1.6022347070029211E-2</v>
      </c>
      <c r="F16" s="101">
        <v>1.6022347070029211E-2</v>
      </c>
    </row>
    <row r="17" spans="1:8" ht="15.75" customHeight="1" x14ac:dyDescent="0.25">
      <c r="B17" s="19" t="s">
        <v>109</v>
      </c>
      <c r="C17" s="101">
        <v>5.8457813749759656E-3</v>
      </c>
      <c r="D17" s="101">
        <v>5.8457813749759656E-3</v>
      </c>
      <c r="E17" s="101">
        <v>5.8457813749759656E-3</v>
      </c>
      <c r="F17" s="101">
        <v>5.8457813749759656E-3</v>
      </c>
    </row>
    <row r="18" spans="1:8" ht="15.75" customHeight="1" x14ac:dyDescent="0.25">
      <c r="B18" s="19" t="s">
        <v>3</v>
      </c>
      <c r="C18" s="101">
        <v>0</v>
      </c>
      <c r="D18" s="101">
        <v>0</v>
      </c>
      <c r="E18" s="101">
        <v>0</v>
      </c>
      <c r="F18" s="101">
        <v>0</v>
      </c>
    </row>
    <row r="19" spans="1:8" ht="15.75" customHeight="1" x14ac:dyDescent="0.25">
      <c r="B19" s="19" t="s">
        <v>120</v>
      </c>
      <c r="C19" s="101">
        <v>2.2229239875370121E-2</v>
      </c>
      <c r="D19" s="101">
        <v>2.2229239875370121E-2</v>
      </c>
      <c r="E19" s="101">
        <v>2.2229239875370121E-2</v>
      </c>
      <c r="F19" s="101">
        <v>2.2229239875370121E-2</v>
      </c>
    </row>
    <row r="20" spans="1:8" ht="15.75" customHeight="1" x14ac:dyDescent="0.25">
      <c r="B20" s="19" t="s">
        <v>98</v>
      </c>
      <c r="C20" s="101">
        <v>4.9781084605670864E-3</v>
      </c>
      <c r="D20" s="101">
        <v>4.9781084605670864E-3</v>
      </c>
      <c r="E20" s="101">
        <v>4.9781084605670864E-3</v>
      </c>
      <c r="F20" s="101">
        <v>4.9781084605670864E-3</v>
      </c>
    </row>
    <row r="21" spans="1:8" ht="15.75" customHeight="1" x14ac:dyDescent="0.25">
      <c r="B21" s="19" t="s">
        <v>107</v>
      </c>
      <c r="C21" s="101">
        <v>0.26469792753207122</v>
      </c>
      <c r="D21" s="101">
        <v>0.26469792753207122</v>
      </c>
      <c r="E21" s="101">
        <v>0.26469792753207122</v>
      </c>
      <c r="F21" s="101">
        <v>0.26469792753207122</v>
      </c>
    </row>
    <row r="22" spans="1:8" ht="15.75" customHeight="1" x14ac:dyDescent="0.25">
      <c r="B22" s="19" t="s">
        <v>118</v>
      </c>
      <c r="C22" s="101">
        <v>5.7234305098806143E-2</v>
      </c>
      <c r="D22" s="101">
        <v>5.7234305098806143E-2</v>
      </c>
      <c r="E22" s="101">
        <v>5.7234305098806143E-2</v>
      </c>
      <c r="F22" s="101">
        <v>5.7234305098806143E-2</v>
      </c>
    </row>
    <row r="23" spans="1:8" ht="15.75" customHeight="1" x14ac:dyDescent="0.25">
      <c r="B23" s="27" t="s">
        <v>79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123</v>
      </c>
      <c r="B25" s="29" t="s">
        <v>101</v>
      </c>
      <c r="C25" s="29" t="s">
        <v>123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100</v>
      </c>
      <c r="C26" s="55">
        <v>0.109226406</v>
      </c>
    </row>
    <row r="27" spans="1:8" ht="15.75" customHeight="1" x14ac:dyDescent="0.25">
      <c r="B27" s="19" t="s">
        <v>108</v>
      </c>
      <c r="C27" s="101">
        <v>1.7615203999999999E-2</v>
      </c>
    </row>
    <row r="28" spans="1:8" ht="15.75" customHeight="1" x14ac:dyDescent="0.25">
      <c r="B28" s="19" t="s">
        <v>122</v>
      </c>
      <c r="C28" s="101">
        <v>3.5403469E-2</v>
      </c>
    </row>
    <row r="29" spans="1:8" ht="15.75" customHeight="1" x14ac:dyDescent="0.25">
      <c r="B29" s="19" t="s">
        <v>105</v>
      </c>
      <c r="C29" s="101">
        <v>8.1855017000000002E-2</v>
      </c>
    </row>
    <row r="30" spans="1:8" ht="15.75" customHeight="1" x14ac:dyDescent="0.25">
      <c r="B30" s="19" t="s">
        <v>4</v>
      </c>
      <c r="C30" s="101">
        <v>6.7261675000000007E-2</v>
      </c>
    </row>
    <row r="31" spans="1:8" ht="15.75" customHeight="1" x14ac:dyDescent="0.25">
      <c r="B31" s="19" t="s">
        <v>99</v>
      </c>
      <c r="C31" s="101">
        <v>2.8928879000000001E-2</v>
      </c>
    </row>
    <row r="32" spans="1:8" ht="15.75" customHeight="1" x14ac:dyDescent="0.25">
      <c r="B32" s="19" t="s">
        <v>104</v>
      </c>
      <c r="C32" s="101">
        <v>0.23338838200000001</v>
      </c>
    </row>
    <row r="33" spans="2:3" ht="15.75" customHeight="1" x14ac:dyDescent="0.25">
      <c r="B33" s="19" t="s">
        <v>119</v>
      </c>
      <c r="C33" s="101">
        <v>0.13208631300000001</v>
      </c>
    </row>
    <row r="34" spans="2:3" ht="15.75" customHeight="1" x14ac:dyDescent="0.25">
      <c r="B34" s="19" t="s">
        <v>106</v>
      </c>
      <c r="C34" s="101">
        <v>0.29423465599999998</v>
      </c>
    </row>
    <row r="35" spans="2:3" ht="15.75" customHeight="1" x14ac:dyDescent="0.25">
      <c r="B35" s="27" t="s">
        <v>79</v>
      </c>
      <c r="C35" s="48">
        <f>SUM(C26:C34)</f>
        <v>1.0000000010000001</v>
      </c>
    </row>
  </sheetData>
  <sheetProtection algorithmName="SHA-512" hashValue="iMHufpTJkzF9s+KzKqPTlMxD0m0RKL9/m8q5zSpVJyD09qyb5vOQvrLs5tjiRMF8fjpKWWQtUpVihoulDNmduw==" saltValue="BV113f/bh70c4bNcLbn3O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139</v>
      </c>
      <c r="C1" s="11" t="s">
        <v>97</v>
      </c>
      <c r="D1" s="11" t="s">
        <v>93</v>
      </c>
      <c r="E1" s="11" t="s">
        <v>96</v>
      </c>
      <c r="F1" s="11" t="s">
        <v>94</v>
      </c>
      <c r="G1" s="11" t="s">
        <v>95</v>
      </c>
    </row>
    <row r="2" spans="1:15" ht="15.75" customHeight="1" x14ac:dyDescent="0.25">
      <c r="A2" s="3" t="s">
        <v>140</v>
      </c>
      <c r="B2" s="5" t="s">
        <v>130</v>
      </c>
      <c r="C2" s="52">
        <f>IFERROR(1-_xlfn.NORM.DIST(_xlfn.NORM.INV(SUM(C4:C5), 0, 1) + 1, 0, 1, TRUE), "")</f>
        <v>0.63376884885074625</v>
      </c>
      <c r="D2" s="52">
        <f>IFERROR(1-_xlfn.NORM.DIST(_xlfn.NORM.INV(SUM(D4:D5), 0, 1) + 1, 0, 1, TRUE), "")</f>
        <v>0.63376884885074625</v>
      </c>
      <c r="E2" s="52">
        <f>IFERROR(1-_xlfn.NORM.DIST(_xlfn.NORM.INV(SUM(E4:E5), 0, 1) + 1, 0, 1, TRUE), "")</f>
        <v>0.66632414906339676</v>
      </c>
      <c r="F2" s="52">
        <f>IFERROR(1-_xlfn.NORM.DIST(_xlfn.NORM.INV(SUM(F4:F5), 0, 1) + 1, 0, 1, TRUE), "")</f>
        <v>0.59653398771122568</v>
      </c>
      <c r="G2" s="52">
        <f>IFERROR(1-_xlfn.NORM.DIST(_xlfn.NORM.INV(SUM(G4:G5), 0, 1) + 1, 0, 1, TRUE), "")</f>
        <v>0.69260681738211394</v>
      </c>
    </row>
    <row r="3" spans="1:15" ht="15.75" customHeight="1" x14ac:dyDescent="0.25">
      <c r="B3" s="5" t="s">
        <v>127</v>
      </c>
      <c r="C3" s="52">
        <f>IFERROR(_xlfn.NORM.DIST(_xlfn.NORM.INV(SUM(C4:C5), 0, 1) + 1, 0, 1, TRUE) - SUM(C4:C5), "")</f>
        <v>0.2764091511492538</v>
      </c>
      <c r="D3" s="52">
        <f>IFERROR(_xlfn.NORM.DIST(_xlfn.NORM.INV(SUM(D4:D5), 0, 1) + 1, 0, 1, TRUE) - SUM(D4:D5), "")</f>
        <v>0.2764091511492538</v>
      </c>
      <c r="E3" s="52">
        <f>IFERROR(_xlfn.NORM.DIST(_xlfn.NORM.INV(SUM(E4:E5), 0, 1) + 1, 0, 1, TRUE) - SUM(E4:E5), "")</f>
        <v>0.25728655093660324</v>
      </c>
      <c r="F3" s="52">
        <f>IFERROR(_xlfn.NORM.DIST(_xlfn.NORM.INV(SUM(F4:F5), 0, 1) + 1, 0, 1, TRUE) - SUM(F4:F5), "")</f>
        <v>0.29678721228877436</v>
      </c>
      <c r="G3" s="52">
        <f>IFERROR(_xlfn.NORM.DIST(_xlfn.NORM.INV(SUM(G4:G5), 0, 1) + 1, 0, 1, TRUE) - SUM(G4:G5), "")</f>
        <v>0.24100628261788606</v>
      </c>
    </row>
    <row r="4" spans="1:15" ht="15.75" customHeight="1" x14ac:dyDescent="0.25">
      <c r="B4" s="5" t="s">
        <v>129</v>
      </c>
      <c r="C4" s="45">
        <v>7.1541599999999997E-2</v>
      </c>
      <c r="D4" s="53">
        <v>7.1541599999999997E-2</v>
      </c>
      <c r="E4" s="53">
        <v>7.2694900000000007E-2</v>
      </c>
      <c r="F4" s="53">
        <v>8.1473900000000002E-2</v>
      </c>
      <c r="G4" s="53">
        <v>5.2827300000000001E-2</v>
      </c>
    </row>
    <row r="5" spans="1:15" ht="15.75" customHeight="1" x14ac:dyDescent="0.25">
      <c r="B5" s="5" t="s">
        <v>125</v>
      </c>
      <c r="C5" s="45">
        <v>1.8280399999999999E-2</v>
      </c>
      <c r="D5" s="53">
        <v>1.8280399999999999E-2</v>
      </c>
      <c r="E5" s="53">
        <v>3.6944E-3</v>
      </c>
      <c r="F5" s="53">
        <v>2.5204899999999999E-2</v>
      </c>
      <c r="G5" s="53">
        <v>1.35596E-2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141</v>
      </c>
      <c r="B8" s="5" t="s">
        <v>131</v>
      </c>
      <c r="C8" s="52">
        <f>IFERROR(1-_xlfn.NORM.DIST(_xlfn.NORM.INV(SUM(C10:C11), 0, 1) + 1, 0, 1, TRUE), "")</f>
        <v>0.73769680046160047</v>
      </c>
      <c r="D8" s="52">
        <f>IFERROR(1-_xlfn.NORM.DIST(_xlfn.NORM.INV(SUM(D10:D11), 0, 1) + 1, 0, 1, TRUE), "")</f>
        <v>0.73769680046160047</v>
      </c>
      <c r="E8" s="52">
        <f>IFERROR(1-_xlfn.NORM.DIST(_xlfn.NORM.INV(SUM(E10:E11), 0, 1) + 1, 0, 1, TRUE), "")</f>
        <v>0.85235131644155149</v>
      </c>
      <c r="F8" s="52">
        <f>IFERROR(1-_xlfn.NORM.DIST(_xlfn.NORM.INV(SUM(F10:F11), 0, 1) + 1, 0, 1, TRUE), "")</f>
        <v>0.86275872651129459</v>
      </c>
      <c r="G8" s="52">
        <f>IFERROR(1-_xlfn.NORM.DIST(_xlfn.NORM.INV(SUM(G10:G11), 0, 1) + 1, 0, 1, TRUE), "")</f>
        <v>0.83915207383659318</v>
      </c>
    </row>
    <row r="9" spans="1:15" ht="15.75" customHeight="1" x14ac:dyDescent="0.25">
      <c r="B9" s="5" t="s">
        <v>128</v>
      </c>
      <c r="C9" s="52">
        <f>IFERROR(_xlfn.NORM.DIST(_xlfn.NORM.INV(SUM(C10:C11), 0, 1) + 1, 0, 1, TRUE) - SUM(C10:C11), "")</f>
        <v>0.21141069953839953</v>
      </c>
      <c r="D9" s="52">
        <f>IFERROR(_xlfn.NORM.DIST(_xlfn.NORM.INV(SUM(D10:D11), 0, 1) + 1, 0, 1, TRUE) - SUM(D10:D11), "")</f>
        <v>0.21141069953839953</v>
      </c>
      <c r="E9" s="52">
        <f>IFERROR(_xlfn.NORM.DIST(_xlfn.NORM.INV(SUM(E10:E11), 0, 1) + 1, 0, 1, TRUE) - SUM(E10:E11), "")</f>
        <v>0.12729858355844853</v>
      </c>
      <c r="F9" s="52">
        <f>IFERROR(_xlfn.NORM.DIST(_xlfn.NORM.INV(SUM(F10:F11), 0, 1) + 1, 0, 1, TRUE) - SUM(F10:F11), "")</f>
        <v>0.11905767348870541</v>
      </c>
      <c r="G9" s="52">
        <f>IFERROR(_xlfn.NORM.DIST(_xlfn.NORM.INV(SUM(G10:G11), 0, 1) + 1, 0, 1, TRUE) - SUM(G10:G11), "")</f>
        <v>0.13760632616340679</v>
      </c>
    </row>
    <row r="10" spans="1:15" ht="15.75" customHeight="1" x14ac:dyDescent="0.25">
      <c r="B10" s="5" t="s">
        <v>126</v>
      </c>
      <c r="C10" s="45">
        <v>2.6980299999999999E-2</v>
      </c>
      <c r="D10" s="53">
        <v>2.6980299999999999E-2</v>
      </c>
      <c r="E10" s="53">
        <v>1.05953E-2</v>
      </c>
      <c r="F10" s="53">
        <v>1.22074E-2</v>
      </c>
      <c r="G10" s="53">
        <v>1.9280100000000001E-2</v>
      </c>
    </row>
    <row r="11" spans="1:15" ht="15.75" customHeight="1" x14ac:dyDescent="0.25">
      <c r="B11" s="5" t="s">
        <v>138</v>
      </c>
      <c r="C11" s="45">
        <v>2.3912200000000002E-2</v>
      </c>
      <c r="D11" s="53">
        <v>2.3912200000000002E-2</v>
      </c>
      <c r="E11" s="53">
        <v>9.754800000000001E-3</v>
      </c>
      <c r="F11" s="53">
        <v>5.9762000000000001E-3</v>
      </c>
      <c r="G11" s="53">
        <v>3.9614999999999997E-3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124</v>
      </c>
      <c r="C13" s="11" t="s">
        <v>97</v>
      </c>
      <c r="D13" s="11" t="s">
        <v>93</v>
      </c>
      <c r="E13" s="11" t="s">
        <v>96</v>
      </c>
      <c r="F13" s="11" t="s">
        <v>94</v>
      </c>
      <c r="G13" s="11" t="s">
        <v>95</v>
      </c>
      <c r="H13" s="18" t="s">
        <v>132</v>
      </c>
      <c r="I13" s="18" t="s">
        <v>133</v>
      </c>
      <c r="J13" s="18" t="s">
        <v>134</v>
      </c>
      <c r="K13" s="18" t="s">
        <v>135</v>
      </c>
      <c r="L13" s="18" t="s">
        <v>87</v>
      </c>
      <c r="M13" s="18" t="s">
        <v>88</v>
      </c>
      <c r="N13" s="18" t="s">
        <v>89</v>
      </c>
      <c r="O13" s="18" t="s">
        <v>90</v>
      </c>
    </row>
    <row r="14" spans="1:15" ht="15.75" customHeight="1" x14ac:dyDescent="0.25">
      <c r="B14" s="11" t="s">
        <v>136</v>
      </c>
      <c r="C14" s="51">
        <v>0.58996669749999997</v>
      </c>
      <c r="D14" s="54">
        <v>0.58808578352899998</v>
      </c>
      <c r="E14" s="54">
        <v>0.58808578352899998</v>
      </c>
      <c r="F14" s="54">
        <v>0.294560960915</v>
      </c>
      <c r="G14" s="54">
        <v>0.294560960915</v>
      </c>
      <c r="H14" s="45">
        <v>0.371</v>
      </c>
      <c r="I14" s="55">
        <v>0.371</v>
      </c>
      <c r="J14" s="55">
        <v>0.371</v>
      </c>
      <c r="K14" s="55">
        <v>0.371</v>
      </c>
      <c r="L14" s="45">
        <v>0.34499999999999997</v>
      </c>
      <c r="M14" s="55">
        <v>0.34499999999999997</v>
      </c>
      <c r="N14" s="55">
        <v>0.34499999999999997</v>
      </c>
      <c r="O14" s="55">
        <v>0.34499999999999997</v>
      </c>
    </row>
    <row r="15" spans="1:15" ht="15.75" customHeight="1" x14ac:dyDescent="0.25">
      <c r="B15" s="11" t="s">
        <v>137</v>
      </c>
      <c r="C15" s="52">
        <f t="shared" ref="C15:O15" si="0">iron_deficiency_anaemia*C14</f>
        <v>0.35596702633717997</v>
      </c>
      <c r="D15" s="52">
        <f t="shared" si="0"/>
        <v>0.35483214303632565</v>
      </c>
      <c r="E15" s="52">
        <f t="shared" si="0"/>
        <v>0.35483214303632565</v>
      </c>
      <c r="F15" s="52">
        <f t="shared" si="0"/>
        <v>0.17772865786536174</v>
      </c>
      <c r="G15" s="52">
        <f t="shared" si="0"/>
        <v>0.17772865786536174</v>
      </c>
      <c r="H15" s="52">
        <f t="shared" si="0"/>
        <v>0.22384952799999999</v>
      </c>
      <c r="I15" s="52">
        <f t="shared" si="0"/>
        <v>0.22384952799999999</v>
      </c>
      <c r="J15" s="52">
        <f t="shared" si="0"/>
        <v>0.22384952799999999</v>
      </c>
      <c r="K15" s="52">
        <f t="shared" si="0"/>
        <v>0.22384952799999999</v>
      </c>
      <c r="L15" s="52">
        <f t="shared" si="0"/>
        <v>0.20816195999999998</v>
      </c>
      <c r="M15" s="52">
        <f t="shared" si="0"/>
        <v>0.20816195999999998</v>
      </c>
      <c r="N15" s="52">
        <f t="shared" si="0"/>
        <v>0.20816195999999998</v>
      </c>
      <c r="O15" s="52">
        <f t="shared" si="0"/>
        <v>0.20816195999999998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RGF3EGgxJS3NmEotqTlEGHHEpLpJvWrvJE+vUdTVi8AtfQQjVk1I7711BXRBM7YUREElU/CTRm2yAZGKEcPWug==" saltValue="jwnglV9mUWm6YUL4C8FdI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007600"/>
  </sheetPr>
  <dimension ref="A1:G5"/>
  <sheetViews>
    <sheetView zoomScaleNormal="100" workbookViewId="0">
      <selection activeCell="C2" sqref="C2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139</v>
      </c>
      <c r="C1" s="8" t="s">
        <v>97</v>
      </c>
      <c r="D1" s="8" t="s">
        <v>93</v>
      </c>
      <c r="E1" s="8" t="s">
        <v>96</v>
      </c>
      <c r="F1" s="8" t="s">
        <v>94</v>
      </c>
      <c r="G1" s="8" t="s">
        <v>95</v>
      </c>
    </row>
    <row r="2" spans="1:7" x14ac:dyDescent="0.25">
      <c r="A2" s="3" t="s">
        <v>142</v>
      </c>
      <c r="B2" s="3" t="s">
        <v>143</v>
      </c>
      <c r="C2" s="45">
        <v>0.4275603</v>
      </c>
      <c r="D2" s="53">
        <v>0.2062329</v>
      </c>
      <c r="E2" s="53">
        <v>0</v>
      </c>
      <c r="F2" s="53">
        <v>0</v>
      </c>
      <c r="G2" s="53">
        <v>0</v>
      </c>
    </row>
    <row r="3" spans="1:7" x14ac:dyDescent="0.25">
      <c r="B3" s="3" t="s">
        <v>146</v>
      </c>
      <c r="C3" s="53">
        <v>0.1007744</v>
      </c>
      <c r="D3" s="53">
        <v>0.1128769</v>
      </c>
      <c r="E3" s="53">
        <v>0</v>
      </c>
      <c r="F3" s="53">
        <v>0</v>
      </c>
      <c r="G3" s="53">
        <v>0</v>
      </c>
    </row>
    <row r="4" spans="1:7" x14ac:dyDescent="0.25">
      <c r="B4" s="3" t="s">
        <v>145</v>
      </c>
      <c r="C4" s="53">
        <v>0.36946530000000011</v>
      </c>
      <c r="D4" s="53">
        <v>0.46366649999999998</v>
      </c>
      <c r="E4" s="53">
        <v>0.54610039999999993</v>
      </c>
      <c r="F4" s="53">
        <v>0.26147619999999999</v>
      </c>
      <c r="G4" s="53">
        <v>0</v>
      </c>
    </row>
    <row r="5" spans="1:7" x14ac:dyDescent="0.25">
      <c r="B5" s="3" t="s">
        <v>144</v>
      </c>
      <c r="C5" s="52">
        <f t="shared" ref="C5:D5" si="0">1-SUM(C2:C4)</f>
        <v>0.10219999999999985</v>
      </c>
      <c r="D5" s="52">
        <f t="shared" si="0"/>
        <v>0.21722370000000002</v>
      </c>
      <c r="E5" s="52">
        <f>1-SUM(E2:E4)</f>
        <v>0.45389960000000007</v>
      </c>
      <c r="F5" s="52">
        <f>1-SUM(F2:F4)</f>
        <v>0.73852380000000006</v>
      </c>
      <c r="G5" s="52">
        <f>1-SUM(G2:G4)</f>
        <v>1</v>
      </c>
    </row>
  </sheetData>
  <sheetProtection algorithmName="SHA-512" hashValue="MPTE1NZ0E+OrA7noc2W+K85OZCpeZ4Fd/S+9/uFuG6c44g+h/M0aGeYmR3uTDH0O0ZYhFoE7I1/J5IF6lCK96w==" saltValue="jC3pvic6HQT6VKGIH9KNyQ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007600"/>
  </sheetPr>
  <dimension ref="A1:K14"/>
  <sheetViews>
    <sheetView zoomScale="115" zoomScaleNormal="115" workbookViewId="0">
      <selection activeCell="C14" sqref="C14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x14ac:dyDescent="0.3">
      <c r="A1" s="4" t="s">
        <v>154</v>
      </c>
      <c r="B1" s="4" t="s">
        <v>152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155</v>
      </c>
      <c r="B2" s="9" t="s">
        <v>149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157</v>
      </c>
      <c r="B4" s="9" t="s">
        <v>149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147</v>
      </c>
      <c r="B6" s="9" t="s">
        <v>149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123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158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153</v>
      </c>
      <c r="B10" s="11" t="s">
        <v>148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150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56</v>
      </c>
      <c r="B13" s="11" t="s">
        <v>156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151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GlKx0aNxCdYVXrkHPwiRAewXF0UjDqjjzDzraXCPAbnSJdKd3bQkqfvV5jFkoLEa+r8DQjkbVxe0asi01d3HkQ==" saltValue="tJkalWRjUzre6AlEXoSMe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rgb="FF007600"/>
  </sheetPr>
  <dimension ref="A1:O22"/>
  <sheetViews>
    <sheetView tabSelected="1" topLeftCell="B9" workbookViewId="0">
      <selection activeCell="B22" sqref="B22"/>
    </sheetView>
  </sheetViews>
  <sheetFormatPr defaultRowHeight="12.5" x14ac:dyDescent="0.25"/>
  <cols>
    <col min="1" max="1" width="57.1796875" customWidth="1"/>
    <col min="2" max="2" width="15.36328125" customWidth="1"/>
  </cols>
  <sheetData>
    <row r="1" spans="1:15" ht="13" x14ac:dyDescent="0.3">
      <c r="A1" s="105" t="s">
        <v>10</v>
      </c>
      <c r="B1" s="105" t="s">
        <v>11</v>
      </c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</row>
    <row r="2" spans="1:15" x14ac:dyDescent="0.25">
      <c r="A2" t="s">
        <v>160</v>
      </c>
      <c r="B2" s="109">
        <v>4311.0000462206099</v>
      </c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</row>
    <row r="3" spans="1:15" x14ac:dyDescent="0.25">
      <c r="A3" t="s">
        <v>159</v>
      </c>
      <c r="B3" s="110">
        <v>0.03</v>
      </c>
      <c r="C3" s="106"/>
      <c r="D3" s="106"/>
      <c r="E3" s="106"/>
      <c r="F3" s="106"/>
      <c r="G3" s="106"/>
      <c r="H3" s="106"/>
      <c r="I3" s="106"/>
      <c r="J3" s="106"/>
      <c r="K3" s="106"/>
      <c r="L3" s="106"/>
      <c r="M3" s="106"/>
      <c r="N3" s="106"/>
      <c r="O3" s="106"/>
    </row>
    <row r="4" spans="1:15" x14ac:dyDescent="0.25">
      <c r="A4" t="s">
        <v>170</v>
      </c>
      <c r="B4" s="110">
        <v>0.43898999999999999</v>
      </c>
      <c r="C4" s="106"/>
      <c r="D4" s="106"/>
      <c r="E4" s="106"/>
      <c r="F4" s="106"/>
      <c r="G4" s="106"/>
      <c r="H4" s="106"/>
      <c r="I4" s="106"/>
      <c r="J4" s="106"/>
      <c r="K4" s="106"/>
      <c r="L4" s="106"/>
      <c r="M4" s="106"/>
      <c r="N4" s="106"/>
      <c r="O4" s="106"/>
    </row>
    <row r="5" spans="1:15" x14ac:dyDescent="0.25">
      <c r="A5" t="s">
        <v>161</v>
      </c>
      <c r="B5" s="110">
        <v>0.03</v>
      </c>
      <c r="C5" s="106"/>
      <c r="D5" s="106"/>
      <c r="E5" s="106"/>
      <c r="F5" s="106"/>
      <c r="G5" s="106"/>
      <c r="H5" s="106"/>
      <c r="I5" s="106"/>
      <c r="J5" s="106"/>
      <c r="K5" s="106"/>
      <c r="L5" s="106"/>
      <c r="M5" s="106"/>
      <c r="N5" s="106"/>
      <c r="O5" s="106"/>
    </row>
    <row r="6" spans="1:15" x14ac:dyDescent="0.25">
      <c r="A6" t="s">
        <v>162</v>
      </c>
      <c r="B6" s="110">
        <v>0.03</v>
      </c>
      <c r="C6" s="106"/>
      <c r="D6" s="106"/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</row>
    <row r="7" spans="1:15" x14ac:dyDescent="0.25">
      <c r="A7" t="s">
        <v>165</v>
      </c>
      <c r="B7" s="111">
        <v>18</v>
      </c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</row>
    <row r="8" spans="1:15" x14ac:dyDescent="0.25">
      <c r="A8" t="s">
        <v>164</v>
      </c>
      <c r="B8" s="111">
        <v>65</v>
      </c>
      <c r="C8" s="106"/>
      <c r="D8" s="106"/>
      <c r="E8" s="106"/>
      <c r="F8" s="106"/>
      <c r="G8" s="106"/>
      <c r="H8" s="106"/>
      <c r="I8" s="106"/>
      <c r="J8" s="106"/>
      <c r="K8" s="106"/>
      <c r="L8" s="106"/>
      <c r="M8" s="106"/>
      <c r="N8" s="106"/>
      <c r="O8" s="106"/>
    </row>
    <row r="9" spans="1:15" x14ac:dyDescent="0.25">
      <c r="A9" t="s">
        <v>166</v>
      </c>
      <c r="B9" s="110">
        <v>0.14510999999999999</v>
      </c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</row>
    <row r="10" spans="1:15" x14ac:dyDescent="0.25">
      <c r="A10" t="s">
        <v>163</v>
      </c>
      <c r="B10" s="110">
        <v>0.9</v>
      </c>
      <c r="C10" s="106"/>
      <c r="D10" s="106"/>
      <c r="E10" s="106"/>
      <c r="F10" s="106"/>
      <c r="G10" s="106"/>
      <c r="H10" s="106"/>
      <c r="I10" s="106"/>
      <c r="J10" s="106"/>
      <c r="K10" s="106"/>
      <c r="L10" s="106"/>
      <c r="M10" s="106"/>
      <c r="N10" s="106"/>
      <c r="O10" s="106"/>
    </row>
    <row r="11" spans="1:15" x14ac:dyDescent="0.25">
      <c r="A11" t="s">
        <v>171</v>
      </c>
      <c r="B11" s="110">
        <v>0.66</v>
      </c>
      <c r="C11" s="106"/>
      <c r="D11" s="106"/>
      <c r="E11" s="106"/>
      <c r="F11" s="106"/>
      <c r="G11" s="106"/>
      <c r="H11" s="106"/>
      <c r="I11" s="106"/>
      <c r="J11" s="106"/>
      <c r="K11" s="106"/>
      <c r="L11" s="106"/>
      <c r="M11" s="106"/>
      <c r="N11" s="106"/>
      <c r="O11" s="106"/>
    </row>
    <row r="12" spans="1:15" x14ac:dyDescent="0.25">
      <c r="A12" t="s">
        <v>172</v>
      </c>
      <c r="B12" s="110">
        <v>2.5000000000000001E-2</v>
      </c>
      <c r="C12" s="106"/>
      <c r="D12" s="106"/>
      <c r="E12" s="106"/>
      <c r="F12" s="106"/>
      <c r="G12" s="106"/>
      <c r="H12" s="106"/>
      <c r="I12" s="106"/>
      <c r="J12" s="106"/>
      <c r="K12" s="106"/>
      <c r="L12" s="106"/>
      <c r="M12" s="106"/>
      <c r="N12" s="106"/>
      <c r="O12" s="106"/>
    </row>
    <row r="13" spans="1:15" x14ac:dyDescent="0.25">
      <c r="A13" t="s">
        <v>173</v>
      </c>
      <c r="B13" s="110">
        <v>7.4999999999999997E-2</v>
      </c>
      <c r="C13" s="106"/>
      <c r="D13" s="106"/>
      <c r="E13" s="106"/>
      <c r="F13" s="106"/>
      <c r="G13" s="106"/>
      <c r="H13" s="106"/>
      <c r="I13" s="106"/>
      <c r="J13" s="106"/>
      <c r="K13" s="106"/>
      <c r="L13" s="106"/>
      <c r="M13" s="106"/>
      <c r="N13" s="106"/>
      <c r="O13" s="106"/>
    </row>
    <row r="14" spans="1:15" x14ac:dyDescent="0.25">
      <c r="A14" t="s">
        <v>174</v>
      </c>
      <c r="B14" s="112">
        <v>1.4627555916700341E-2</v>
      </c>
      <c r="C14" s="106"/>
      <c r="D14" s="106"/>
      <c r="E14" s="106"/>
      <c r="F14" s="106"/>
      <c r="G14" s="106"/>
      <c r="H14" s="106"/>
      <c r="I14" s="106"/>
      <c r="J14" s="106"/>
      <c r="K14" s="106"/>
      <c r="L14" s="106"/>
      <c r="M14" s="106"/>
      <c r="N14" s="106"/>
      <c r="O14" s="106"/>
    </row>
    <row r="15" spans="1:15" x14ac:dyDescent="0.25">
      <c r="A15" t="s">
        <v>167</v>
      </c>
      <c r="B15" s="111">
        <v>0.5</v>
      </c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</row>
    <row r="16" spans="1:15" x14ac:dyDescent="0.25">
      <c r="A16" t="s">
        <v>168</v>
      </c>
      <c r="B16" s="111">
        <v>0.8</v>
      </c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</row>
    <row r="17" spans="1:15" x14ac:dyDescent="0.25">
      <c r="A17" t="s">
        <v>169</v>
      </c>
      <c r="B17" s="113">
        <v>1.0666666666666666E-2</v>
      </c>
      <c r="C17" s="106"/>
      <c r="D17" s="106"/>
      <c r="E17" s="106"/>
      <c r="F17" s="106"/>
      <c r="G17" s="106"/>
      <c r="H17" s="106"/>
      <c r="I17" s="106"/>
      <c r="J17" s="106"/>
      <c r="K17" s="106"/>
      <c r="L17" s="106"/>
      <c r="M17" s="106"/>
      <c r="N17" s="106"/>
      <c r="O17" s="106"/>
    </row>
    <row r="18" spans="1:15" x14ac:dyDescent="0.25">
      <c r="A18" t="s">
        <v>175</v>
      </c>
      <c r="B18" s="110">
        <v>0</v>
      </c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</row>
    <row r="19" spans="1:15" x14ac:dyDescent="0.25">
      <c r="A19" s="106"/>
      <c r="B19" s="106"/>
      <c r="C19" s="106"/>
      <c r="D19" s="106"/>
      <c r="E19" s="106"/>
      <c r="F19" s="106"/>
      <c r="G19" s="106"/>
      <c r="H19" s="106"/>
      <c r="I19" s="106"/>
      <c r="J19" s="106"/>
      <c r="K19" s="106"/>
      <c r="L19" s="106"/>
      <c r="M19" s="106"/>
      <c r="N19" s="106"/>
      <c r="O19" s="106"/>
    </row>
    <row r="20" spans="1:1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</row>
    <row r="21" spans="1:15" ht="13" x14ac:dyDescent="0.3">
      <c r="A21" s="107" t="s">
        <v>12</v>
      </c>
      <c r="B21" s="108" t="s">
        <v>13</v>
      </c>
      <c r="C21" s="108" t="s">
        <v>14</v>
      </c>
      <c r="D21" s="108" t="s">
        <v>15</v>
      </c>
      <c r="E21" s="108" t="s">
        <v>16</v>
      </c>
      <c r="F21" s="108" t="s">
        <v>17</v>
      </c>
      <c r="G21" s="108" t="s">
        <v>18</v>
      </c>
      <c r="H21" s="108" t="s">
        <v>19</v>
      </c>
      <c r="I21" s="108" t="s">
        <v>20</v>
      </c>
      <c r="J21" s="108" t="s">
        <v>21</v>
      </c>
      <c r="K21" s="108" t="s">
        <v>22</v>
      </c>
      <c r="L21" s="108" t="s">
        <v>23</v>
      </c>
      <c r="M21" s="108" t="s">
        <v>24</v>
      </c>
      <c r="N21" s="108" t="s">
        <v>25</v>
      </c>
      <c r="O21" s="108" t="s">
        <v>26</v>
      </c>
    </row>
    <row r="22" spans="1:15" x14ac:dyDescent="0.25">
      <c r="A22" s="108" t="s">
        <v>176</v>
      </c>
      <c r="B22" s="109">
        <v>98375.218500000003</v>
      </c>
      <c r="C22" s="109">
        <v>98201.370869999999</v>
      </c>
      <c r="D22" s="109">
        <v>98038.988530000002</v>
      </c>
      <c r="E22" s="109">
        <v>97865.113920000003</v>
      </c>
      <c r="F22" s="109">
        <v>97649.534109999993</v>
      </c>
      <c r="G22" s="109">
        <v>97408.891860000003</v>
      </c>
      <c r="H22" s="109">
        <v>97107.768819999998</v>
      </c>
      <c r="I22" s="109">
        <v>96710.643060000002</v>
      </c>
      <c r="J22" s="109">
        <v>96111.342900000003</v>
      </c>
      <c r="K22" s="109">
        <v>95137.663050000003</v>
      </c>
      <c r="L22" s="109">
        <v>93522.521410000001</v>
      </c>
      <c r="M22" s="109">
        <v>90922.550220000005</v>
      </c>
      <c r="N22" s="109">
        <v>86532.69412</v>
      </c>
      <c r="O22" s="109">
        <v>79309.164820000005</v>
      </c>
    </row>
  </sheetData>
  <sheetProtection algorithmName="SHA-512" hashValue="dVmEKcJKfzP9iAZRp8wc2bwnYmws1KVoez3UzGPIImaAjM9xYjVNY46HVVongduFBzWj0AyuzYp5grgskRs/Ag==" saltValue="TkeEjnKNPJCCurgfBOHOM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tabColor theme="7" tint="-0.249977111117893"/>
  </sheetPr>
  <dimension ref="A1:E21"/>
  <sheetViews>
    <sheetView zoomScale="115" zoomScaleNormal="115" workbookViewId="0">
      <selection activeCell="C2" sqref="C2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5" width="11.453125" style="8" customWidth="1"/>
    <col min="6" max="16384" width="11.453125" style="8"/>
  </cols>
  <sheetData>
    <row r="1" spans="1:5" ht="13" x14ac:dyDescent="0.3">
      <c r="A1" s="35" t="s">
        <v>183</v>
      </c>
      <c r="B1" s="36" t="s">
        <v>185</v>
      </c>
      <c r="C1" s="36" t="s">
        <v>179</v>
      </c>
      <c r="D1" s="36" t="s">
        <v>178</v>
      </c>
      <c r="E1" s="36" t="s">
        <v>184</v>
      </c>
    </row>
    <row r="2" spans="1:5" ht="13" x14ac:dyDescent="0.3">
      <c r="A2" s="34" t="s">
        <v>180</v>
      </c>
      <c r="B2" s="32" t="s">
        <v>123</v>
      </c>
      <c r="C2" s="47"/>
      <c r="D2" s="47"/>
      <c r="E2" s="38" t="str">
        <f>IF(E$7="","",E$7)</f>
        <v/>
      </c>
    </row>
    <row r="3" spans="1:5" x14ac:dyDescent="0.25">
      <c r="B3" s="32" t="s">
        <v>97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93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96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94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177</v>
      </c>
      <c r="C7" s="31"/>
      <c r="D7" s="30"/>
      <c r="E7" s="47"/>
    </row>
    <row r="9" spans="1:5" ht="13" x14ac:dyDescent="0.3">
      <c r="A9" s="34" t="s">
        <v>181</v>
      </c>
      <c r="B9" s="32" t="s">
        <v>123</v>
      </c>
      <c r="C9" s="47"/>
      <c r="D9" s="47"/>
      <c r="E9" s="38" t="str">
        <f>IF(E$7="","",E$7)</f>
        <v/>
      </c>
    </row>
    <row r="10" spans="1:5" x14ac:dyDescent="0.25">
      <c r="B10" s="32" t="s">
        <v>97</v>
      </c>
      <c r="C10" s="47"/>
      <c r="D10" s="47"/>
      <c r="E10" s="38" t="str">
        <f>IF(E$7="","",E$7)</f>
        <v/>
      </c>
    </row>
    <row r="11" spans="1:5" x14ac:dyDescent="0.25">
      <c r="B11" s="32" t="s">
        <v>93</v>
      </c>
      <c r="C11" s="47"/>
      <c r="D11" s="47"/>
      <c r="E11" s="38" t="str">
        <f>IF(E$7="","",E$7)</f>
        <v/>
      </c>
    </row>
    <row r="12" spans="1:5" x14ac:dyDescent="0.25">
      <c r="B12" s="32" t="s">
        <v>96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94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177</v>
      </c>
      <c r="C14" s="31"/>
      <c r="D14" s="30"/>
      <c r="E14" s="47"/>
    </row>
    <row r="16" spans="1:5" ht="13" x14ac:dyDescent="0.3">
      <c r="A16" s="34" t="s">
        <v>182</v>
      </c>
      <c r="B16" s="32" t="s">
        <v>123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97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93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96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94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177</v>
      </c>
      <c r="C21" s="31"/>
      <c r="D21" s="30"/>
      <c r="E21" s="47"/>
    </row>
  </sheetData>
  <sheetProtection algorithmName="SHA-512" hashValue="yzS6eCi8jjtKopzongI/aQ2t7BY2eX71KKCMbZJFpsEd6u1vDh+NKB6qNZ9Pxdxjy8ohvl2GeKM6qo3JIyrNdw==" saltValue="2yXpcjfq2Lgs1IG8NXfrIg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theme="7" tint="-0.249977111117893"/>
  </sheetPr>
  <dimension ref="A1:D3"/>
  <sheetViews>
    <sheetView zoomScale="145" zoomScaleNormal="145" workbookViewId="0">
      <selection activeCell="D2" sqref="D2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x14ac:dyDescent="0.3">
      <c r="A1" s="39" t="s">
        <v>0</v>
      </c>
      <c r="B1" s="36" t="s">
        <v>188</v>
      </c>
      <c r="C1" s="40" t="s">
        <v>190</v>
      </c>
      <c r="D1" s="40" t="s">
        <v>186</v>
      </c>
    </row>
    <row r="2" spans="1:4" ht="13" x14ac:dyDescent="0.3">
      <c r="A2" s="40" t="s">
        <v>192</v>
      </c>
      <c r="B2" s="32" t="s">
        <v>193</v>
      </c>
      <c r="C2" s="32" t="s">
        <v>191</v>
      </c>
      <c r="D2" s="47"/>
    </row>
    <row r="3" spans="1:4" ht="13" x14ac:dyDescent="0.3">
      <c r="A3" s="40" t="s">
        <v>189</v>
      </c>
      <c r="B3" s="32" t="s">
        <v>179</v>
      </c>
      <c r="C3" s="32" t="s">
        <v>187</v>
      </c>
      <c r="D3" s="47"/>
    </row>
  </sheetData>
  <sheetProtection algorithmName="SHA-512" hashValue="PyNm8RDuAC91ESfBv+gKIp4jrHCP14wub8onYKoCAOCrfj1IZxFWfSfKMfAYhf2BJuyEbqqbi7bie1Spwg6hyA==" saltValue="AA+qdi5IGfIxnmnTyl/wZw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theme="7" tint="-0.249977111117893"/>
  </sheetPr>
  <dimension ref="A1:G39"/>
  <sheetViews>
    <sheetView zoomScale="70" zoomScaleNormal="70" workbookViewId="0">
      <selection activeCell="B28" sqref="B28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9" width="14.453125" style="8" customWidth="1"/>
    <col min="10" max="16384" width="14.453125" style="8"/>
  </cols>
  <sheetData>
    <row r="1" spans="1:7" ht="26.4" customHeight="1" x14ac:dyDescent="0.3">
      <c r="A1" s="1" t="s">
        <v>192</v>
      </c>
      <c r="B1" s="22" t="str">
        <f>"Cobertura de referencia ("&amp;start_year&amp;")"</f>
        <v>Cobertura de referencia (2024)</v>
      </c>
      <c r="C1" s="22" t="s">
        <v>223</v>
      </c>
      <c r="D1" s="22" t="s">
        <v>224</v>
      </c>
      <c r="E1" s="22" t="s">
        <v>197</v>
      </c>
      <c r="F1" s="22" t="s">
        <v>216</v>
      </c>
      <c r="G1" s="22" t="s">
        <v>215</v>
      </c>
    </row>
    <row r="2" spans="1:7" ht="15.75" customHeight="1" x14ac:dyDescent="0.25">
      <c r="A2" s="5" t="s">
        <v>194</v>
      </c>
      <c r="B2" s="45">
        <v>0</v>
      </c>
      <c r="C2" s="98">
        <v>0.95</v>
      </c>
      <c r="D2" s="56">
        <v>19.75</v>
      </c>
      <c r="E2" s="56" t="s">
        <v>212</v>
      </c>
      <c r="F2" s="98">
        <v>1</v>
      </c>
      <c r="G2" s="98">
        <v>1</v>
      </c>
    </row>
    <row r="3" spans="1:7" ht="15.75" customHeight="1" x14ac:dyDescent="0.25">
      <c r="A3" s="5" t="s">
        <v>195</v>
      </c>
      <c r="B3" s="45">
        <v>0</v>
      </c>
      <c r="C3" s="98">
        <v>0.95</v>
      </c>
      <c r="D3" s="56">
        <v>19.75</v>
      </c>
      <c r="E3" s="56" t="s">
        <v>212</v>
      </c>
      <c r="F3" s="98">
        <v>1</v>
      </c>
      <c r="G3" s="98">
        <v>1</v>
      </c>
    </row>
    <row r="4" spans="1:7" ht="15.75" customHeight="1" x14ac:dyDescent="0.25">
      <c r="A4" s="5" t="s">
        <v>196</v>
      </c>
      <c r="B4" s="98">
        <v>0</v>
      </c>
      <c r="C4" s="98">
        <v>0.95</v>
      </c>
      <c r="D4" s="56">
        <v>7.4289688625382997</v>
      </c>
      <c r="E4" s="56" t="s">
        <v>212</v>
      </c>
      <c r="F4" s="98">
        <v>1</v>
      </c>
      <c r="G4" s="98">
        <v>1</v>
      </c>
    </row>
    <row r="5" spans="1:7" ht="15.75" customHeight="1" x14ac:dyDescent="0.25">
      <c r="A5" s="5" t="s">
        <v>198</v>
      </c>
      <c r="B5" s="98">
        <v>0</v>
      </c>
      <c r="C5" s="98">
        <v>0.95</v>
      </c>
      <c r="D5" s="56">
        <v>0.48</v>
      </c>
      <c r="E5" s="56" t="s">
        <v>212</v>
      </c>
      <c r="F5" s="98">
        <v>1</v>
      </c>
      <c r="G5" s="98">
        <v>1</v>
      </c>
    </row>
    <row r="6" spans="1:7" ht="15.75" customHeight="1" x14ac:dyDescent="0.25">
      <c r="A6" s="5" t="s">
        <v>199</v>
      </c>
      <c r="B6" s="98">
        <v>0</v>
      </c>
      <c r="C6" s="98">
        <v>0.95</v>
      </c>
      <c r="D6" s="56">
        <v>99.99</v>
      </c>
      <c r="E6" s="56" t="s">
        <v>212</v>
      </c>
      <c r="F6" s="98">
        <v>1</v>
      </c>
      <c r="G6" s="98">
        <v>1</v>
      </c>
    </row>
    <row r="7" spans="1:7" ht="15.75" customHeight="1" x14ac:dyDescent="0.25">
      <c r="A7" s="5" t="s">
        <v>200</v>
      </c>
      <c r="B7" s="98">
        <v>0</v>
      </c>
      <c r="C7" s="98">
        <v>0.95</v>
      </c>
      <c r="D7" s="56">
        <v>0.19283527130965261</v>
      </c>
      <c r="E7" s="56" t="s">
        <v>212</v>
      </c>
      <c r="F7" s="98">
        <v>1</v>
      </c>
      <c r="G7" s="98">
        <v>1</v>
      </c>
    </row>
    <row r="8" spans="1:7" ht="15.75" customHeight="1" x14ac:dyDescent="0.25">
      <c r="A8" s="5" t="s">
        <v>201</v>
      </c>
      <c r="B8" s="98">
        <v>0</v>
      </c>
      <c r="C8" s="98">
        <v>0.95</v>
      </c>
      <c r="D8" s="56">
        <v>0.10284547803181469</v>
      </c>
      <c r="E8" s="56" t="s">
        <v>212</v>
      </c>
      <c r="F8" s="98">
        <v>1</v>
      </c>
      <c r="G8" s="98">
        <v>1</v>
      </c>
    </row>
    <row r="9" spans="1:7" ht="15.75" customHeight="1" x14ac:dyDescent="0.25">
      <c r="A9" s="5" t="s">
        <v>202</v>
      </c>
      <c r="B9" s="98">
        <v>0.5</v>
      </c>
      <c r="C9" s="98">
        <v>0.95</v>
      </c>
      <c r="D9" s="56">
        <v>0.4</v>
      </c>
      <c r="E9" s="56" t="s">
        <v>212</v>
      </c>
      <c r="F9" s="98">
        <v>1</v>
      </c>
      <c r="G9" s="98">
        <v>1</v>
      </c>
    </row>
    <row r="10" spans="1:7" ht="15.75" customHeight="1" x14ac:dyDescent="0.25">
      <c r="A10" s="11" t="s">
        <v>203</v>
      </c>
      <c r="B10" s="45">
        <v>0.48911409999999989</v>
      </c>
      <c r="C10" s="98">
        <v>0.95</v>
      </c>
      <c r="D10" s="56">
        <v>13.00441189507751</v>
      </c>
      <c r="E10" s="56" t="s">
        <v>212</v>
      </c>
      <c r="F10" s="98">
        <v>1</v>
      </c>
      <c r="G10" s="98">
        <v>1</v>
      </c>
    </row>
    <row r="11" spans="1:7" ht="15.75" customHeight="1" x14ac:dyDescent="0.25">
      <c r="A11" s="11" t="s">
        <v>204</v>
      </c>
      <c r="B11" s="98">
        <v>0</v>
      </c>
      <c r="C11" s="98">
        <v>0.95</v>
      </c>
      <c r="D11" s="56">
        <v>13.00441189507751</v>
      </c>
      <c r="E11" s="56" t="s">
        <v>212</v>
      </c>
      <c r="F11" s="98">
        <v>1</v>
      </c>
      <c r="G11" s="98">
        <v>1</v>
      </c>
    </row>
    <row r="12" spans="1:7" ht="15.75" customHeight="1" x14ac:dyDescent="0.25">
      <c r="A12" s="11" t="s">
        <v>205</v>
      </c>
      <c r="B12" s="98">
        <v>0</v>
      </c>
      <c r="C12" s="98">
        <v>0.95</v>
      </c>
      <c r="D12" s="56">
        <v>13.00441189507751</v>
      </c>
      <c r="E12" s="56" t="s">
        <v>212</v>
      </c>
      <c r="F12" s="98">
        <v>1</v>
      </c>
      <c r="G12" s="98">
        <v>1</v>
      </c>
    </row>
    <row r="13" spans="1:7" ht="15.75" customHeight="1" x14ac:dyDescent="0.25">
      <c r="A13" s="11" t="s">
        <v>206</v>
      </c>
      <c r="B13" s="98">
        <v>0</v>
      </c>
      <c r="C13" s="98">
        <v>0.95</v>
      </c>
      <c r="D13" s="56">
        <v>13.00441189507751</v>
      </c>
      <c r="E13" s="56" t="s">
        <v>212</v>
      </c>
      <c r="F13" s="98">
        <v>1</v>
      </c>
      <c r="G13" s="98">
        <v>1</v>
      </c>
    </row>
    <row r="14" spans="1:7" ht="15.75" customHeight="1" x14ac:dyDescent="0.25">
      <c r="A14" s="5" t="s">
        <v>207</v>
      </c>
      <c r="B14" s="45">
        <v>0.48911409999999989</v>
      </c>
      <c r="C14" s="98">
        <v>0.95</v>
      </c>
      <c r="D14" s="56">
        <v>13.00441189507751</v>
      </c>
      <c r="E14" s="56" t="s">
        <v>212</v>
      </c>
      <c r="F14" s="98">
        <v>1</v>
      </c>
      <c r="G14" s="98">
        <v>1</v>
      </c>
    </row>
    <row r="15" spans="1:7" ht="15.75" customHeight="1" x14ac:dyDescent="0.25">
      <c r="A15" s="5" t="s">
        <v>208</v>
      </c>
      <c r="B15" s="98">
        <v>0</v>
      </c>
      <c r="C15" s="98">
        <v>0.95</v>
      </c>
      <c r="D15" s="56">
        <v>13.00441189507751</v>
      </c>
      <c r="E15" s="56" t="s">
        <v>212</v>
      </c>
      <c r="F15" s="98">
        <v>1</v>
      </c>
      <c r="G15" s="98">
        <v>1</v>
      </c>
    </row>
    <row r="16" spans="1:7" ht="15.75" customHeight="1" x14ac:dyDescent="0.25">
      <c r="A16" s="5" t="s">
        <v>209</v>
      </c>
      <c r="B16" s="45">
        <v>0</v>
      </c>
      <c r="C16" s="98">
        <v>0.95</v>
      </c>
      <c r="D16" s="56">
        <v>2.5</v>
      </c>
      <c r="E16" s="56" t="s">
        <v>212</v>
      </c>
      <c r="F16" s="98">
        <v>1</v>
      </c>
      <c r="G16" s="98">
        <v>1</v>
      </c>
    </row>
    <row r="17" spans="1:7" ht="15.75" customHeight="1" x14ac:dyDescent="0.25">
      <c r="A17" s="5" t="s">
        <v>210</v>
      </c>
      <c r="B17" s="98">
        <v>0.54287457000000006</v>
      </c>
      <c r="C17" s="98">
        <v>0.95</v>
      </c>
      <c r="D17" s="56">
        <v>7.992352075384429E-2</v>
      </c>
      <c r="E17" s="56" t="s">
        <v>212</v>
      </c>
      <c r="F17" s="98">
        <v>1</v>
      </c>
      <c r="G17" s="98">
        <v>1</v>
      </c>
    </row>
    <row r="18" spans="1:7" ht="15.9" customHeight="1" x14ac:dyDescent="0.25">
      <c r="A18" s="5" t="s">
        <v>180</v>
      </c>
      <c r="B18" s="98">
        <v>0.73</v>
      </c>
      <c r="C18" s="98">
        <v>0.95</v>
      </c>
      <c r="D18" s="56">
        <v>7.4289688625382997</v>
      </c>
      <c r="E18" s="56" t="s">
        <v>212</v>
      </c>
      <c r="F18" s="98">
        <v>1</v>
      </c>
      <c r="G18" s="98">
        <v>1</v>
      </c>
    </row>
    <row r="19" spans="1:7" ht="15.75" customHeight="1" x14ac:dyDescent="0.25">
      <c r="A19" s="5" t="s">
        <v>181</v>
      </c>
      <c r="B19" s="98">
        <v>0.2062329</v>
      </c>
      <c r="C19" s="98">
        <v>0.95</v>
      </c>
      <c r="D19" s="56">
        <v>9.4258488463818431</v>
      </c>
      <c r="E19" s="56" t="s">
        <v>212</v>
      </c>
      <c r="F19" s="98">
        <v>1</v>
      </c>
      <c r="G19" s="98">
        <v>1</v>
      </c>
    </row>
    <row r="20" spans="1:7" ht="15.75" customHeight="1" x14ac:dyDescent="0.25">
      <c r="A20" s="5" t="s">
        <v>182</v>
      </c>
      <c r="B20" s="98">
        <v>0</v>
      </c>
      <c r="C20" s="98">
        <v>0.95</v>
      </c>
      <c r="D20" s="56">
        <v>99.99</v>
      </c>
      <c r="E20" s="56" t="s">
        <v>212</v>
      </c>
      <c r="F20" s="98">
        <v>1</v>
      </c>
      <c r="G20" s="98">
        <v>1</v>
      </c>
    </row>
    <row r="21" spans="1:7" ht="15.75" customHeight="1" x14ac:dyDescent="0.25">
      <c r="A21" s="5" t="s">
        <v>211</v>
      </c>
      <c r="B21" s="45">
        <v>0</v>
      </c>
      <c r="C21" s="98">
        <v>0.95</v>
      </c>
      <c r="D21" s="56">
        <v>7.48</v>
      </c>
      <c r="E21" s="56" t="s">
        <v>212</v>
      </c>
      <c r="F21" s="98">
        <v>1</v>
      </c>
      <c r="G21" s="98">
        <v>1</v>
      </c>
    </row>
    <row r="22" spans="1:7" ht="15.75" customHeight="1" x14ac:dyDescent="0.25">
      <c r="A22" s="5" t="s">
        <v>213</v>
      </c>
      <c r="B22" s="98">
        <v>0</v>
      </c>
      <c r="C22" s="98">
        <v>0.95</v>
      </c>
      <c r="D22" s="56">
        <v>7.4289688625382997</v>
      </c>
      <c r="E22" s="56" t="s">
        <v>212</v>
      </c>
      <c r="F22" s="98">
        <v>1</v>
      </c>
      <c r="G22" s="98">
        <v>1</v>
      </c>
    </row>
    <row r="23" spans="1:7" ht="15.75" customHeight="1" x14ac:dyDescent="0.25">
      <c r="A23" s="5" t="s">
        <v>214</v>
      </c>
      <c r="B23" s="98">
        <v>0</v>
      </c>
      <c r="C23" s="98">
        <v>0.95</v>
      </c>
      <c r="D23" s="56">
        <v>4.2744829442771808</v>
      </c>
      <c r="E23" s="56" t="s">
        <v>212</v>
      </c>
      <c r="F23" s="98">
        <v>1</v>
      </c>
      <c r="G23" s="98">
        <v>1</v>
      </c>
    </row>
    <row r="24" spans="1:7" ht="15.75" customHeight="1" x14ac:dyDescent="0.25">
      <c r="A24" s="5" t="s">
        <v>217</v>
      </c>
      <c r="B24" s="45">
        <v>0.94011724592245105</v>
      </c>
      <c r="C24" s="98">
        <v>0.95</v>
      </c>
      <c r="D24" s="56">
        <v>99.99</v>
      </c>
      <c r="E24" s="56" t="s">
        <v>212</v>
      </c>
      <c r="F24" s="98">
        <v>1</v>
      </c>
      <c r="G24" s="98">
        <v>1</v>
      </c>
    </row>
    <row r="25" spans="1:7" ht="15.75" customHeight="1" x14ac:dyDescent="0.25">
      <c r="A25" s="5" t="s">
        <v>218</v>
      </c>
      <c r="B25" s="98">
        <v>0</v>
      </c>
      <c r="C25" s="98">
        <v>0.95</v>
      </c>
      <c r="D25" s="56">
        <v>99.99</v>
      </c>
      <c r="E25" s="56" t="s">
        <v>212</v>
      </c>
      <c r="F25" s="98">
        <v>1</v>
      </c>
      <c r="G25" s="98">
        <v>1</v>
      </c>
    </row>
    <row r="26" spans="1:7" ht="15.75" customHeight="1" x14ac:dyDescent="0.25">
      <c r="A26" s="5" t="s">
        <v>219</v>
      </c>
      <c r="B26" s="45">
        <v>0</v>
      </c>
      <c r="C26" s="98">
        <v>0.95</v>
      </c>
      <c r="D26" s="56">
        <v>2.9567118730808599</v>
      </c>
      <c r="E26" s="56" t="s">
        <v>212</v>
      </c>
      <c r="F26" s="98">
        <v>1</v>
      </c>
      <c r="G26" s="98">
        <v>1</v>
      </c>
    </row>
    <row r="27" spans="1:7" ht="15.75" customHeight="1" x14ac:dyDescent="0.25">
      <c r="A27" s="5" t="s">
        <v>220</v>
      </c>
      <c r="B27" s="45">
        <v>0</v>
      </c>
      <c r="C27" s="98">
        <v>0.95</v>
      </c>
      <c r="D27" s="56">
        <v>17.846880984952122</v>
      </c>
      <c r="E27" s="56" t="s">
        <v>212</v>
      </c>
      <c r="F27" s="98">
        <v>1</v>
      </c>
      <c r="G27" s="98">
        <v>1</v>
      </c>
    </row>
    <row r="28" spans="1:7" ht="15.75" customHeight="1" x14ac:dyDescent="0.25">
      <c r="A28" s="5" t="s">
        <v>221</v>
      </c>
      <c r="B28" s="45">
        <v>0.44430960000000003</v>
      </c>
      <c r="C28" s="98">
        <v>0.95</v>
      </c>
      <c r="D28" s="56">
        <v>99.99</v>
      </c>
      <c r="E28" s="56" t="s">
        <v>212</v>
      </c>
      <c r="F28" s="98">
        <v>1</v>
      </c>
      <c r="G28" s="98">
        <v>1</v>
      </c>
    </row>
    <row r="29" spans="1:7" ht="15.75" customHeight="1" x14ac:dyDescent="0.25">
      <c r="A29" s="5" t="s">
        <v>222</v>
      </c>
      <c r="B29" s="45">
        <v>0.34953200000000001</v>
      </c>
      <c r="C29" s="98">
        <v>0.95</v>
      </c>
      <c r="D29" s="56">
        <v>193.6128732031849</v>
      </c>
      <c r="E29" s="56" t="s">
        <v>212</v>
      </c>
      <c r="F29" s="98">
        <v>1</v>
      </c>
      <c r="G29" s="98">
        <v>1</v>
      </c>
    </row>
    <row r="30" spans="1:7" ht="15.75" customHeight="1" x14ac:dyDescent="0.25">
      <c r="A30" s="5" t="s">
        <v>233</v>
      </c>
      <c r="B30" s="98">
        <v>0</v>
      </c>
      <c r="C30" s="98">
        <v>0.95</v>
      </c>
      <c r="D30" s="56">
        <v>53.05</v>
      </c>
      <c r="E30" s="56" t="s">
        <v>212</v>
      </c>
      <c r="F30" s="98">
        <v>1</v>
      </c>
      <c r="G30" s="98">
        <v>1</v>
      </c>
    </row>
    <row r="31" spans="1:7" ht="15.75" customHeight="1" x14ac:dyDescent="0.25">
      <c r="A31" s="5" t="s">
        <v>193</v>
      </c>
      <c r="B31" s="45">
        <v>0</v>
      </c>
      <c r="C31" s="98">
        <v>0.95</v>
      </c>
      <c r="D31" s="56">
        <v>173.50469037871034</v>
      </c>
      <c r="E31" s="56" t="s">
        <v>212</v>
      </c>
      <c r="F31" s="98">
        <v>1</v>
      </c>
      <c r="G31" s="98">
        <v>1</v>
      </c>
    </row>
    <row r="32" spans="1:7" ht="15.75" customHeight="1" x14ac:dyDescent="0.25">
      <c r="A32" s="5" t="s">
        <v>225</v>
      </c>
      <c r="B32" s="45">
        <v>0.17</v>
      </c>
      <c r="C32" s="98">
        <v>0.95</v>
      </c>
      <c r="D32" s="56">
        <v>0.53033228587019021</v>
      </c>
      <c r="E32" s="56" t="s">
        <v>212</v>
      </c>
      <c r="F32" s="98">
        <v>1</v>
      </c>
      <c r="G32" s="98">
        <v>1</v>
      </c>
    </row>
    <row r="33" spans="1:7" ht="15.75" customHeight="1" x14ac:dyDescent="0.25">
      <c r="A33" s="5" t="s">
        <v>226</v>
      </c>
      <c r="B33" s="45">
        <v>0</v>
      </c>
      <c r="C33" s="98">
        <v>0.95</v>
      </c>
      <c r="D33" s="56">
        <v>99.99</v>
      </c>
      <c r="E33" s="56" t="s">
        <v>212</v>
      </c>
      <c r="F33" s="98">
        <v>1</v>
      </c>
      <c r="G33" s="98">
        <v>1</v>
      </c>
    </row>
    <row r="34" spans="1:7" ht="15.75" customHeight="1" x14ac:dyDescent="0.25">
      <c r="A34" s="5" t="s">
        <v>227</v>
      </c>
      <c r="B34" s="45">
        <v>0</v>
      </c>
      <c r="C34" s="98">
        <v>0.95</v>
      </c>
      <c r="D34" s="56">
        <v>99.99</v>
      </c>
      <c r="E34" s="56" t="s">
        <v>212</v>
      </c>
      <c r="F34" s="98">
        <v>1</v>
      </c>
      <c r="G34" s="98">
        <v>1</v>
      </c>
    </row>
    <row r="35" spans="1:7" ht="15.75" customHeight="1" x14ac:dyDescent="0.25">
      <c r="A35" s="5" t="s">
        <v>228</v>
      </c>
      <c r="B35" s="98">
        <v>0</v>
      </c>
      <c r="C35" s="98">
        <v>0.95</v>
      </c>
      <c r="D35" s="56">
        <v>99.99</v>
      </c>
      <c r="E35" s="56" t="s">
        <v>212</v>
      </c>
      <c r="F35" s="98">
        <v>1</v>
      </c>
      <c r="G35" s="98">
        <v>1</v>
      </c>
    </row>
    <row r="36" spans="1:7" ht="15.75" customHeight="1" x14ac:dyDescent="0.25">
      <c r="A36" s="5" t="s">
        <v>229</v>
      </c>
      <c r="B36" s="45">
        <v>0.30520770000000003</v>
      </c>
      <c r="C36" s="98">
        <v>0.95</v>
      </c>
      <c r="D36" s="56">
        <v>99.99</v>
      </c>
      <c r="E36" s="56" t="s">
        <v>212</v>
      </c>
      <c r="F36" s="98">
        <v>1</v>
      </c>
      <c r="G36" s="98">
        <v>1</v>
      </c>
    </row>
    <row r="37" spans="1:7" ht="15.75" customHeight="1" x14ac:dyDescent="0.25">
      <c r="A37" s="5" t="s">
        <v>230</v>
      </c>
      <c r="B37" s="45">
        <v>0.86144760000000009</v>
      </c>
      <c r="C37" s="98">
        <v>0.95</v>
      </c>
      <c r="D37" s="56">
        <v>99.99</v>
      </c>
      <c r="E37" s="56" t="s">
        <v>212</v>
      </c>
      <c r="F37" s="98">
        <v>1</v>
      </c>
      <c r="G37" s="98">
        <v>1</v>
      </c>
    </row>
    <row r="38" spans="1:7" ht="15.75" customHeight="1" x14ac:dyDescent="0.25">
      <c r="A38" s="5" t="s">
        <v>231</v>
      </c>
      <c r="B38" s="45">
        <v>2.2872799999999999E-2</v>
      </c>
      <c r="C38" s="98">
        <v>0.95</v>
      </c>
      <c r="D38" s="56">
        <v>2.6612563971340846</v>
      </c>
      <c r="E38" s="56" t="s">
        <v>212</v>
      </c>
      <c r="F38" s="98">
        <v>1</v>
      </c>
      <c r="G38" s="98">
        <v>1</v>
      </c>
    </row>
    <row r="39" spans="1:7" ht="15.75" customHeight="1" x14ac:dyDescent="0.25">
      <c r="A39" s="5" t="s">
        <v>232</v>
      </c>
      <c r="B39" s="45">
        <v>0</v>
      </c>
      <c r="C39" s="98">
        <v>0.95</v>
      </c>
      <c r="D39" s="56">
        <v>3.43</v>
      </c>
      <c r="E39" s="56" t="s">
        <v>212</v>
      </c>
      <c r="F39" s="98">
        <v>1</v>
      </c>
      <c r="G39" s="98">
        <v>1</v>
      </c>
    </row>
  </sheetData>
  <sheetProtection algorithmName="SHA-512" hashValue="6t37v0LZpkr77rMdZ/rjjfySz/uOaQhH9NDM1nzpP921DLyul9T7tfORMtUsi6b/jd5lzvYCq4fk/j8pkZFojg==" saltValue="BzSb8RLhBRalHnuBMr/Kk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tabColor theme="7" tint="-0.249977111117893"/>
  </sheetPr>
  <dimension ref="A1:C20"/>
  <sheetViews>
    <sheetView workbookViewId="0">
      <selection activeCell="B9" sqref="B9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5" width="11.453125" style="8" customWidth="1"/>
    <col min="6" max="16384" width="11.453125" style="8"/>
  </cols>
  <sheetData>
    <row r="1" spans="1:3" ht="13" x14ac:dyDescent="0.3">
      <c r="A1" s="4" t="s">
        <v>192</v>
      </c>
      <c r="B1" s="4" t="s">
        <v>234</v>
      </c>
      <c r="C1" s="4" t="s">
        <v>235</v>
      </c>
    </row>
    <row r="2" spans="1:3" x14ac:dyDescent="0.25">
      <c r="A2" s="57" t="s">
        <v>207</v>
      </c>
      <c r="B2" s="47" t="s">
        <v>220</v>
      </c>
      <c r="C2" s="47"/>
    </row>
    <row r="3" spans="1:3" x14ac:dyDescent="0.25">
      <c r="A3" s="57" t="s">
        <v>208</v>
      </c>
      <c r="B3" s="47" t="s">
        <v>220</v>
      </c>
      <c r="C3" s="47"/>
    </row>
    <row r="4" spans="1:3" x14ac:dyDescent="0.25">
      <c r="A4" s="57" t="s">
        <v>222</v>
      </c>
      <c r="B4" s="47" t="s">
        <v>213</v>
      </c>
      <c r="C4" s="47"/>
    </row>
    <row r="5" spans="1:3" x14ac:dyDescent="0.25">
      <c r="A5" s="57" t="s">
        <v>222</v>
      </c>
      <c r="B5" s="47" t="s">
        <v>233</v>
      </c>
      <c r="C5" s="47"/>
    </row>
    <row r="6" spans="1:3" x14ac:dyDescent="0.25">
      <c r="A6" s="57" t="s">
        <v>219</v>
      </c>
      <c r="B6" s="58" t="s">
        <v>233</v>
      </c>
      <c r="C6" s="58"/>
    </row>
    <row r="7" spans="1:3" x14ac:dyDescent="0.25">
      <c r="A7" s="57" t="s">
        <v>232</v>
      </c>
      <c r="B7" s="58" t="s">
        <v>233</v>
      </c>
      <c r="C7" s="58"/>
    </row>
    <row r="8" spans="1:3" x14ac:dyDescent="0.25">
      <c r="A8" s="57"/>
      <c r="B8" s="58"/>
      <c r="C8" s="58"/>
    </row>
    <row r="9" spans="1:3" x14ac:dyDescent="0.25">
      <c r="A9" s="57"/>
      <c r="B9" s="58"/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e9uyEflJcwlUCw+XafYz1WwBZsznxR0Peggt3skaC81I+X2K5bIFt1fQAKd23RLKJfpdRXywLBOxVshUK3Az1g==" saltValue="fauE6kLKcqZANxwzutGCQ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tabColor theme="0" tint="-0.249977111117893"/>
  </sheetPr>
  <dimension ref="A1:A19"/>
  <sheetViews>
    <sheetView topLeftCell="B1" workbookViewId="0">
      <selection activeCell="B1" sqref="B1"/>
    </sheetView>
  </sheetViews>
  <sheetFormatPr defaultColWidth="11.453125" defaultRowHeight="12.5" x14ac:dyDescent="0.25"/>
  <cols>
    <col min="1" max="1" width="30.08984375" style="8" customWidth="1"/>
    <col min="2" max="3" width="11.453125" style="8" customWidth="1"/>
    <col min="4" max="16384" width="11.453125" style="8"/>
  </cols>
  <sheetData>
    <row r="1" spans="1:1" ht="13" x14ac:dyDescent="0.3">
      <c r="A1" s="4" t="s">
        <v>192</v>
      </c>
    </row>
    <row r="2" spans="1:1" x14ac:dyDescent="0.25">
      <c r="A2" s="33" t="s">
        <v>199</v>
      </c>
    </row>
    <row r="3" spans="1:1" x14ac:dyDescent="0.25">
      <c r="A3" s="33" t="s">
        <v>209</v>
      </c>
    </row>
    <row r="4" spans="1:1" x14ac:dyDescent="0.25">
      <c r="A4" s="33" t="s">
        <v>214</v>
      </c>
    </row>
    <row r="5" spans="1:1" x14ac:dyDescent="0.25">
      <c r="A5" s="33" t="s">
        <v>226</v>
      </c>
    </row>
    <row r="6" spans="1:1" x14ac:dyDescent="0.25">
      <c r="A6" s="33" t="s">
        <v>227</v>
      </c>
    </row>
    <row r="7" spans="1:1" x14ac:dyDescent="0.25">
      <c r="A7" s="33" t="s">
        <v>228</v>
      </c>
    </row>
    <row r="8" spans="1:1" x14ac:dyDescent="0.25">
      <c r="A8" s="33" t="s">
        <v>229</v>
      </c>
    </row>
    <row r="9" spans="1:1" x14ac:dyDescent="0.25">
      <c r="A9" s="33" t="s">
        <v>230</v>
      </c>
    </row>
    <row r="10" spans="1:1" x14ac:dyDescent="0.25">
      <c r="A10" s="33" t="s">
        <v>193</v>
      </c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sunCLOC8cCjn19O9704yYLtheY0hqQhYStFtpIw9QqnjGZXnlpMazfdOv5R3PTFP5admtMJTJrWGMYlazkzroQ==" saltValue="zqvQWHJytMtVxdVxLt5/r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237</v>
      </c>
      <c r="B1" t="s">
        <v>97</v>
      </c>
      <c r="C1" t="s">
        <v>93</v>
      </c>
      <c r="D1" t="s">
        <v>96</v>
      </c>
      <c r="E1" t="s">
        <v>94</v>
      </c>
      <c r="F1" t="s">
        <v>95</v>
      </c>
    </row>
    <row r="2" spans="1:6" ht="15.75" customHeight="1" x14ac:dyDescent="0.25">
      <c r="A2" s="3" t="s">
        <v>103</v>
      </c>
      <c r="B2" s="21">
        <f>'Entradas de población-año base'!C51</f>
        <v>3.6920000000000002</v>
      </c>
      <c r="C2" s="21">
        <f>'Entradas de población-año base'!C52</f>
        <v>3.6920000000000002</v>
      </c>
      <c r="D2" s="21">
        <f>'Entradas de población-año base'!C53</f>
        <v>5.1480000000000006</v>
      </c>
      <c r="E2" s="21">
        <f>'Entradas de población-año base'!C54</f>
        <v>3.38</v>
      </c>
      <c r="F2" s="21">
        <f>'Entradas de población-año base'!C55</f>
        <v>1.6033333333333331</v>
      </c>
    </row>
    <row r="3" spans="1:6" ht="15.75" customHeight="1" x14ac:dyDescent="0.25">
      <c r="A3" s="3" t="s">
        <v>6</v>
      </c>
      <c r="B3" s="21">
        <f>frac_mam_1month * 2.6</f>
        <v>7.0148779999999994E-2</v>
      </c>
      <c r="C3" s="21">
        <f>frac_mam_1_5months * 2.6</f>
        <v>7.0148779999999994E-2</v>
      </c>
      <c r="D3" s="21">
        <f>frac_mam_6_11months * 2.6</f>
        <v>2.7547780000000001E-2</v>
      </c>
      <c r="E3" s="21">
        <f>frac_mam_12_23months * 2.6</f>
        <v>3.1739240000000002E-2</v>
      </c>
      <c r="F3" s="21">
        <f>frac_mam_24_59months * 2.6</f>
        <v>5.0128260000000008E-2</v>
      </c>
    </row>
    <row r="4" spans="1:6" ht="15.75" customHeight="1" x14ac:dyDescent="0.25">
      <c r="A4" s="3" t="s">
        <v>236</v>
      </c>
      <c r="B4" s="21">
        <f>frac_sam_1month * 2.6</f>
        <v>6.2171720000000007E-2</v>
      </c>
      <c r="C4" s="21">
        <f>frac_sam_1_5months * 2.6</f>
        <v>6.2171720000000007E-2</v>
      </c>
      <c r="D4" s="21">
        <f>frac_sam_6_11months * 2.6</f>
        <v>2.5362480000000003E-2</v>
      </c>
      <c r="E4" s="21">
        <f>frac_sam_12_23months * 2.6</f>
        <v>1.5538120000000001E-2</v>
      </c>
      <c r="F4" s="21">
        <f>frac_sam_24_59months * 2.6</f>
        <v>1.0299899999999999E-2</v>
      </c>
    </row>
  </sheetData>
  <sheetProtection algorithmName="SHA-512" hashValue="QA96U7E7kyhXy0XimOcfi80+e51sdGdNu1cD6Cv0icwkQ8L0rjZnKnSVbFu8OPd+BZoRKSE4hCYFFGrrf4ontA==" saltValue="cLdPBirPQKl4vajfj7V6O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tabColor theme="0" tint="-0.249977111117893"/>
  </sheetPr>
  <dimension ref="A1:O40"/>
  <sheetViews>
    <sheetView zoomScale="85" zoomScaleNormal="118" workbookViewId="0">
      <selection activeCell="H15" sqref="H15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">
      <c r="A2" s="4" t="s">
        <v>102</v>
      </c>
      <c r="B2" s="5" t="s">
        <v>196</v>
      </c>
      <c r="C2" s="60">
        <v>0</v>
      </c>
      <c r="D2" s="60">
        <v>0</v>
      </c>
      <c r="E2" s="60">
        <f>food_insecure</f>
        <v>0.157</v>
      </c>
      <c r="F2" s="60">
        <f>food_insecure</f>
        <v>0.157</v>
      </c>
      <c r="G2" s="60">
        <v>0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198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211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213</v>
      </c>
      <c r="C5" s="60">
        <v>0</v>
      </c>
      <c r="D5" s="60">
        <v>0</v>
      </c>
      <c r="E5" s="60">
        <f>food_insecure</f>
        <v>0.157</v>
      </c>
      <c r="F5" s="60">
        <f>food_insecure</f>
        <v>0.157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219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221</v>
      </c>
      <c r="C7" s="60">
        <f>diarrhoea_1mo*frac_diarrhea_severe</f>
        <v>7.638620689655172E-2</v>
      </c>
      <c r="D7" s="60">
        <f>diarrhoea_1_5mo*frac_diarrhea_severe</f>
        <v>7.638620689655172E-2</v>
      </c>
      <c r="E7" s="60">
        <f>diarrhoea_6_11mo*frac_diarrhea_severe</f>
        <v>0.1065103448275862</v>
      </c>
      <c r="F7" s="60">
        <f>diarrhoea_12_23mo*frac_diarrhea_severe</f>
        <v>6.99310344827586E-2</v>
      </c>
      <c r="G7" s="60">
        <f>diarrhoea_24_59mo*frac_diarrhea_severe</f>
        <v>3.3172413793103435E-2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222</v>
      </c>
      <c r="C8" s="60">
        <v>0</v>
      </c>
      <c r="D8" s="60">
        <v>0</v>
      </c>
      <c r="E8" s="60">
        <f>food_insecure</f>
        <v>0.157</v>
      </c>
      <c r="F8" s="60">
        <f>food_insecure</f>
        <v>0.157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233</v>
      </c>
      <c r="C9" s="60">
        <v>0</v>
      </c>
      <c r="D9" s="60">
        <v>0</v>
      </c>
      <c r="E9" s="60">
        <f>food_insecure</f>
        <v>0.157</v>
      </c>
      <c r="F9" s="60">
        <f>food_insecure</f>
        <v>0.157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193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225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231</v>
      </c>
      <c r="C12" s="60">
        <f>diarrhoea_1mo*frac_diarrhea_severe</f>
        <v>7.638620689655172E-2</v>
      </c>
      <c r="D12" s="60">
        <f>diarrhoea_1_5mo*frac_diarrhea_severe</f>
        <v>7.638620689655172E-2</v>
      </c>
      <c r="E12" s="60">
        <f>diarrhoea_6_11mo*frac_diarrhea_severe</f>
        <v>0.1065103448275862</v>
      </c>
      <c r="F12" s="60">
        <f>diarrhoea_12_23mo*frac_diarrhea_severe</f>
        <v>6.99310344827586E-2</v>
      </c>
      <c r="G12" s="60">
        <f>diarrhoea_24_59mo*frac_diarrhea_severe</f>
        <v>3.3172413793103435E-2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232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123</v>
      </c>
      <c r="B15" s="9" t="s">
        <v>194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 t="shared" ref="H15:K16" si="0">food_insecure</f>
        <v>0.157</v>
      </c>
      <c r="I15" s="60">
        <f t="shared" si="0"/>
        <v>0.157</v>
      </c>
      <c r="J15" s="60">
        <f t="shared" si="0"/>
        <v>0.157</v>
      </c>
      <c r="K15" s="60">
        <f t="shared" si="0"/>
        <v>0.157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195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f t="shared" si="0"/>
        <v>0.157</v>
      </c>
      <c r="I16" s="60">
        <f t="shared" si="0"/>
        <v>0.157</v>
      </c>
      <c r="J16" s="60">
        <f t="shared" si="0"/>
        <v>0.157</v>
      </c>
      <c r="K16" s="60">
        <f t="shared" si="0"/>
        <v>0.157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207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208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209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217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218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220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240</v>
      </c>
      <c r="B24" s="11" t="s">
        <v>199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0.14199999999999999</v>
      </c>
      <c r="M24" s="60">
        <f>famplan_unmet_need</f>
        <v>0.14199999999999999</v>
      </c>
      <c r="N24" s="60">
        <f>famplan_unmet_need</f>
        <v>0.14199999999999999</v>
      </c>
      <c r="O24" s="60">
        <f>famplan_unmet_need</f>
        <v>0.14199999999999999</v>
      </c>
    </row>
    <row r="25" spans="1:15" ht="15.75" customHeight="1" x14ac:dyDescent="0.25">
      <c r="B25" s="11" t="s">
        <v>203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0.19075864179399998</v>
      </c>
      <c r="M25" s="60">
        <f>(1-food_insecure)*(0.49)+food_insecure*(0.7)</f>
        <v>0.52296999999999993</v>
      </c>
      <c r="N25" s="60">
        <f>(1-food_insecure)*(0.49)+food_insecure*(0.7)</f>
        <v>0.52296999999999993</v>
      </c>
      <c r="O25" s="60">
        <f>(1-food_insecure)*(0.49)+food_insecure*(0.7)</f>
        <v>0.52296999999999993</v>
      </c>
    </row>
    <row r="26" spans="1:15" ht="15.75" customHeight="1" x14ac:dyDescent="0.25">
      <c r="B26" s="11" t="s">
        <v>204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8.1753703625999985E-2</v>
      </c>
      <c r="M26" s="60">
        <f>(1-food_insecure)*(0.21)+food_insecure*(0.3)</f>
        <v>0.22413</v>
      </c>
      <c r="N26" s="60">
        <f>(1-food_insecure)*(0.21)+food_insecure*(0.3)</f>
        <v>0.22413</v>
      </c>
      <c r="O26" s="60">
        <f>(1-food_insecure)*(0.21)+food_insecure*(0.3)</f>
        <v>0.22413</v>
      </c>
    </row>
    <row r="27" spans="1:15" ht="15.75" customHeight="1" x14ac:dyDescent="0.25">
      <c r="B27" s="11" t="s">
        <v>205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9.2247854579999983E-2</v>
      </c>
      <c r="M27" s="60">
        <f>(1-food_insecure)*(0.3)</f>
        <v>0.25289999999999996</v>
      </c>
      <c r="N27" s="60">
        <f>(1-food_insecure)*(0.3)</f>
        <v>0.25289999999999996</v>
      </c>
      <c r="O27" s="60">
        <f>(1-food_insecure)*(0.3)</f>
        <v>0.25289999999999996</v>
      </c>
    </row>
    <row r="28" spans="1:15" ht="15.75" customHeight="1" x14ac:dyDescent="0.25">
      <c r="B28" s="11" t="s">
        <v>206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0.63523980000000002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239</v>
      </c>
      <c r="B30" s="5" t="s">
        <v>200</v>
      </c>
      <c r="C30" s="60">
        <v>0</v>
      </c>
      <c r="D30" s="60">
        <v>0</v>
      </c>
      <c r="E30" s="60">
        <f t="shared" ref="E30:O30" si="1">frac_maize</f>
        <v>0.01</v>
      </c>
      <c r="F30" s="60">
        <f t="shared" si="1"/>
        <v>0.01</v>
      </c>
      <c r="G30" s="60">
        <f t="shared" si="1"/>
        <v>0.01</v>
      </c>
      <c r="H30" s="60">
        <f t="shared" si="1"/>
        <v>0.01</v>
      </c>
      <c r="I30" s="60">
        <f t="shared" si="1"/>
        <v>0.01</v>
      </c>
      <c r="J30" s="60">
        <f t="shared" si="1"/>
        <v>0.01</v>
      </c>
      <c r="K30" s="60">
        <f t="shared" si="1"/>
        <v>0.01</v>
      </c>
      <c r="L30" s="60">
        <f t="shared" si="1"/>
        <v>0.01</v>
      </c>
      <c r="M30" s="60">
        <f t="shared" si="1"/>
        <v>0.01</v>
      </c>
      <c r="N30" s="60">
        <f t="shared" si="1"/>
        <v>0.01</v>
      </c>
      <c r="O30" s="60">
        <f t="shared" si="1"/>
        <v>0.01</v>
      </c>
    </row>
    <row r="31" spans="1:15" ht="15.75" customHeight="1" x14ac:dyDescent="0.25">
      <c r="B31" s="5" t="s">
        <v>201</v>
      </c>
      <c r="C31" s="60">
        <v>0</v>
      </c>
      <c r="D31" s="60">
        <v>0</v>
      </c>
      <c r="E31" s="60">
        <f t="shared" ref="E31:O31" si="2">frac_rice</f>
        <v>0.01</v>
      </c>
      <c r="F31" s="60">
        <f t="shared" si="2"/>
        <v>0.01</v>
      </c>
      <c r="G31" s="60">
        <f t="shared" si="2"/>
        <v>0.01</v>
      </c>
      <c r="H31" s="60">
        <f t="shared" si="2"/>
        <v>0.01</v>
      </c>
      <c r="I31" s="60">
        <f t="shared" si="2"/>
        <v>0.01</v>
      </c>
      <c r="J31" s="60">
        <f t="shared" si="2"/>
        <v>0.01</v>
      </c>
      <c r="K31" s="60">
        <f t="shared" si="2"/>
        <v>0.01</v>
      </c>
      <c r="L31" s="60">
        <f t="shared" si="2"/>
        <v>0.01</v>
      </c>
      <c r="M31" s="60">
        <f t="shared" si="2"/>
        <v>0.01</v>
      </c>
      <c r="N31" s="60">
        <f t="shared" si="2"/>
        <v>0.01</v>
      </c>
      <c r="O31" s="60">
        <f t="shared" si="2"/>
        <v>0.01</v>
      </c>
    </row>
    <row r="32" spans="1:15" ht="15.75" customHeight="1" x14ac:dyDescent="0.25">
      <c r="B32" s="5" t="s">
        <v>202</v>
      </c>
      <c r="C32" s="60">
        <v>0</v>
      </c>
      <c r="D32" s="60">
        <v>0</v>
      </c>
      <c r="E32" s="60">
        <f t="shared" ref="E32:O32" si="3">frac_wheat</f>
        <v>0.98</v>
      </c>
      <c r="F32" s="60">
        <f t="shared" si="3"/>
        <v>0.98</v>
      </c>
      <c r="G32" s="60">
        <f t="shared" si="3"/>
        <v>0.98</v>
      </c>
      <c r="H32" s="60">
        <f t="shared" si="3"/>
        <v>0.98</v>
      </c>
      <c r="I32" s="60">
        <f t="shared" si="3"/>
        <v>0.98</v>
      </c>
      <c r="J32" s="60">
        <f t="shared" si="3"/>
        <v>0.98</v>
      </c>
      <c r="K32" s="60">
        <f t="shared" si="3"/>
        <v>0.98</v>
      </c>
      <c r="L32" s="60">
        <f t="shared" si="3"/>
        <v>0.98</v>
      </c>
      <c r="M32" s="60">
        <f t="shared" si="3"/>
        <v>0.98</v>
      </c>
      <c r="N32" s="60">
        <f t="shared" si="3"/>
        <v>0.98</v>
      </c>
      <c r="O32" s="60">
        <f t="shared" si="3"/>
        <v>0.98</v>
      </c>
    </row>
    <row r="33" spans="2:15" ht="15.75" customHeight="1" x14ac:dyDescent="0.25">
      <c r="B33" s="5" t="s">
        <v>210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214</v>
      </c>
      <c r="C34" s="60">
        <f t="shared" ref="C34:O34" si="4">frac_malaria_risk</f>
        <v>0.01</v>
      </c>
      <c r="D34" s="60">
        <f t="shared" si="4"/>
        <v>0.01</v>
      </c>
      <c r="E34" s="60">
        <f t="shared" si="4"/>
        <v>0.01</v>
      </c>
      <c r="F34" s="60">
        <f t="shared" si="4"/>
        <v>0.01</v>
      </c>
      <c r="G34" s="60">
        <f t="shared" si="4"/>
        <v>0.01</v>
      </c>
      <c r="H34" s="60">
        <f t="shared" si="4"/>
        <v>0.01</v>
      </c>
      <c r="I34" s="60">
        <f t="shared" si="4"/>
        <v>0.01</v>
      </c>
      <c r="J34" s="60">
        <f t="shared" si="4"/>
        <v>0.01</v>
      </c>
      <c r="K34" s="60">
        <f t="shared" si="4"/>
        <v>0.01</v>
      </c>
      <c r="L34" s="60">
        <f t="shared" si="4"/>
        <v>0.01</v>
      </c>
      <c r="M34" s="60">
        <f t="shared" si="4"/>
        <v>0.01</v>
      </c>
      <c r="N34" s="60">
        <f t="shared" si="4"/>
        <v>0.01</v>
      </c>
      <c r="O34" s="60">
        <f t="shared" si="4"/>
        <v>0.01</v>
      </c>
    </row>
    <row r="35" spans="2:15" ht="15.75" customHeight="1" x14ac:dyDescent="0.25">
      <c r="B35" s="9" t="s">
        <v>226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227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228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229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230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F/zaA1AcQh0Hss1c1iTaOlclmSzb3uLJJlnHKkJuS9qnvFM1JZjbZLMJW3MDh+Hp38oM5roSjchlV1uJRRcQeQ==" saltValue="0R+pDd6AKDdq7VzoYQiLB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212</v>
      </c>
    </row>
    <row r="2" spans="1:1" x14ac:dyDescent="0.25">
      <c r="A2" s="8" t="s">
        <v>242</v>
      </c>
    </row>
    <row r="3" spans="1:1" x14ac:dyDescent="0.25">
      <c r="A3" s="8" t="s">
        <v>241</v>
      </c>
    </row>
    <row r="4" spans="1:1" x14ac:dyDescent="0.25">
      <c r="A4" s="8" t="s">
        <v>243</v>
      </c>
    </row>
  </sheetData>
  <sheetProtection algorithmName="SHA-512" hashValue="DFFkNP7Nv8RJL676c/m8QGPY3UT2H+RzOA9gv+JVm0UmNEafsM3MdNX7/w0UVjPo2nuBYuTcT4iwNihzNNXnqA==" saltValue="LlUjZV9kDKBhaoVYq68ATQ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7" width="11.453125" style="8" customWidth="1"/>
    <col min="8" max="16384" width="11.453125" style="8"/>
  </cols>
  <sheetData>
    <row r="1" spans="1:5" ht="13" x14ac:dyDescent="0.3">
      <c r="A1" s="4" t="s">
        <v>253</v>
      </c>
      <c r="B1" s="4" t="s">
        <v>246</v>
      </c>
      <c r="C1" s="4" t="s">
        <v>257</v>
      </c>
      <c r="D1" s="4" t="s">
        <v>245</v>
      </c>
      <c r="E1" s="4" t="s">
        <v>255</v>
      </c>
    </row>
    <row r="2" spans="1:5" ht="14" customHeight="1" x14ac:dyDescent="0.3">
      <c r="A2" s="28" t="s">
        <v>244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252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247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251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250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254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256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248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249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8Jlg5TZ+OVph52kZ590egNP/Kn9dokTKQhsBSx+hZMM7bRZRf1YjCdFP1twhZPD50fgfxqTi2PIvu+YIwcfHWQ==" saltValue="OesZvsZ/xejVAQ7LuoF/eA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tabColor theme="0" tint="-0.249977111117893"/>
  </sheetPr>
  <dimension ref="A1:P42"/>
  <sheetViews>
    <sheetView topLeftCell="B1" workbookViewId="0">
      <selection activeCell="H15" sqref="H15"/>
    </sheetView>
  </sheetViews>
  <sheetFormatPr defaultColWidth="16.08984375" defaultRowHeight="15.75" customHeight="1" x14ac:dyDescent="0.35"/>
  <cols>
    <col min="1" max="1" width="22.3632812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7" width="16.08984375" style="37" customWidth="1"/>
    <col min="18" max="16384" width="16.08984375" style="37"/>
  </cols>
  <sheetData>
    <row r="1" spans="1:15" ht="15.75" customHeight="1" x14ac:dyDescent="0.35">
      <c r="A1" s="4" t="s">
        <v>238</v>
      </c>
      <c r="B1" s="1" t="s">
        <v>192</v>
      </c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  <c r="H1" s="4" t="s">
        <v>132</v>
      </c>
      <c r="I1" s="4" t="s">
        <v>133</v>
      </c>
      <c r="J1" s="4" t="s">
        <v>134</v>
      </c>
      <c r="K1" s="4" t="s">
        <v>135</v>
      </c>
      <c r="L1" s="4" t="s">
        <v>87</v>
      </c>
      <c r="M1" s="4" t="s">
        <v>88</v>
      </c>
      <c r="N1" s="4" t="s">
        <v>89</v>
      </c>
      <c r="O1" s="4" t="s">
        <v>90</v>
      </c>
    </row>
    <row r="2" spans="1:15" ht="15.75" customHeight="1" x14ac:dyDescent="0.35">
      <c r="A2" s="4" t="s">
        <v>102</v>
      </c>
      <c r="B2" s="5" t="s">
        <v>196</v>
      </c>
      <c r="C2" s="87">
        <v>0</v>
      </c>
      <c r="D2" s="87">
        <v>0</v>
      </c>
      <c r="E2" s="87">
        <v>1</v>
      </c>
      <c r="F2" s="87">
        <v>1</v>
      </c>
      <c r="G2" s="87">
        <v>0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198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180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181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182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211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213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219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221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222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233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193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225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231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232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123</v>
      </c>
      <c r="B18" s="5" t="s">
        <v>194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195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207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208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209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217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218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220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.25" customHeight="1" x14ac:dyDescent="0.35">
      <c r="A27" s="4" t="s">
        <v>240</v>
      </c>
      <c r="B27" s="5" t="s">
        <v>199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203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204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205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206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239</v>
      </c>
      <c r="B33" s="5" t="s">
        <v>200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201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202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210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214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226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227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228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229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230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gyfN0Iy3lfaOk7rN7MRu143qXG1UBGl8WWKMxjuXdZRka/GduTi3QXERb+Dn8LM2Z3gggKq5hQgtF26mPdCi/A==" saltValue="5oi444yDro/uItvzN7bil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tabColor theme="0" tint="-0.249977111117893"/>
  </sheetPr>
  <dimension ref="A1:L39"/>
  <sheetViews>
    <sheetView workbookViewId="0">
      <selection activeCell="H15" sqref="H15"/>
    </sheetView>
  </sheetViews>
  <sheetFormatPr defaultColWidth="12.7265625" defaultRowHeight="12.5" x14ac:dyDescent="0.25"/>
  <cols>
    <col min="1" max="1" width="58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192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15" t="s">
        <v>194</v>
      </c>
      <c r="B2" s="116"/>
      <c r="C2" s="116"/>
      <c r="D2" s="116"/>
      <c r="E2" s="116"/>
      <c r="F2" s="116"/>
      <c r="G2" s="116"/>
      <c r="H2" s="116"/>
      <c r="I2" s="116" t="s">
        <v>5</v>
      </c>
      <c r="J2" s="116"/>
      <c r="K2" s="116"/>
      <c r="L2" s="116"/>
    </row>
    <row r="3" spans="1:12" x14ac:dyDescent="0.25">
      <c r="A3" s="115" t="s">
        <v>195</v>
      </c>
      <c r="B3" s="116"/>
      <c r="C3" s="116"/>
      <c r="D3" s="116"/>
      <c r="E3" s="116"/>
      <c r="F3" s="116"/>
      <c r="G3" s="116"/>
      <c r="H3" s="116" t="s">
        <v>5</v>
      </c>
      <c r="I3" s="116" t="s">
        <v>5</v>
      </c>
      <c r="J3" s="116"/>
      <c r="K3" s="116"/>
      <c r="L3" s="116"/>
    </row>
    <row r="4" spans="1:12" x14ac:dyDescent="0.25">
      <c r="A4" s="115" t="s">
        <v>196</v>
      </c>
      <c r="B4" s="116" t="s">
        <v>5</v>
      </c>
      <c r="C4" s="116"/>
      <c r="D4" s="116" t="s">
        <v>5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5" t="s">
        <v>198</v>
      </c>
      <c r="B5" s="116"/>
      <c r="C5" s="116" t="s">
        <v>5</v>
      </c>
      <c r="D5" s="116"/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5" t="s">
        <v>199</v>
      </c>
      <c r="B6" s="116"/>
      <c r="C6" s="116"/>
      <c r="D6" s="116"/>
      <c r="E6" s="116"/>
      <c r="F6" s="116"/>
      <c r="G6" s="116"/>
      <c r="H6" s="116"/>
      <c r="I6" s="116"/>
      <c r="J6" s="116" t="s">
        <v>5</v>
      </c>
      <c r="K6" s="116" t="s">
        <v>5</v>
      </c>
      <c r="L6" s="116"/>
    </row>
    <row r="7" spans="1:12" x14ac:dyDescent="0.25">
      <c r="A7" s="115" t="s">
        <v>200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/>
      <c r="J7" s="116"/>
      <c r="K7" s="116"/>
      <c r="L7" s="116"/>
    </row>
    <row r="8" spans="1:12" x14ac:dyDescent="0.25">
      <c r="A8" s="115" t="s">
        <v>201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/>
      <c r="J8" s="116"/>
      <c r="K8" s="116"/>
      <c r="L8" s="116"/>
    </row>
    <row r="9" spans="1:12" x14ac:dyDescent="0.25">
      <c r="A9" s="115" t="s">
        <v>202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/>
      <c r="J9" s="116"/>
      <c r="K9" s="116"/>
      <c r="L9" s="116"/>
    </row>
    <row r="10" spans="1:12" x14ac:dyDescent="0.25">
      <c r="A10" s="115" t="s">
        <v>203</v>
      </c>
      <c r="B10" s="116"/>
      <c r="C10" s="116" t="s">
        <v>5</v>
      </c>
      <c r="D10" s="116"/>
      <c r="E10" s="116"/>
      <c r="F10" s="116"/>
      <c r="G10" s="116"/>
      <c r="H10" s="116"/>
      <c r="I10" s="116"/>
      <c r="J10" s="116"/>
      <c r="K10" s="116"/>
      <c r="L10" s="116"/>
    </row>
    <row r="11" spans="1:12" x14ac:dyDescent="0.25">
      <c r="A11" s="115" t="s">
        <v>204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/>
      <c r="K11" s="116"/>
      <c r="L11" s="116"/>
    </row>
    <row r="12" spans="1:12" x14ac:dyDescent="0.25">
      <c r="A12" s="115" t="s">
        <v>205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/>
      <c r="L12" s="116"/>
    </row>
    <row r="13" spans="1:12" x14ac:dyDescent="0.25">
      <c r="A13" s="115" t="s">
        <v>206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/>
      <c r="L13" s="116"/>
    </row>
    <row r="14" spans="1:12" x14ac:dyDescent="0.25">
      <c r="A14" s="117" t="s">
        <v>207</v>
      </c>
      <c r="B14" s="116"/>
      <c r="C14" s="116" t="s">
        <v>5</v>
      </c>
      <c r="D14" s="116"/>
      <c r="E14" s="116"/>
      <c r="F14" s="116"/>
      <c r="G14" s="116"/>
      <c r="H14" s="116"/>
      <c r="I14" s="116" t="s">
        <v>5</v>
      </c>
      <c r="J14" s="116"/>
      <c r="K14" s="116"/>
      <c r="L14" s="116"/>
    </row>
    <row r="15" spans="1:12" x14ac:dyDescent="0.25">
      <c r="A15" s="117" t="s">
        <v>208</v>
      </c>
      <c r="B15" s="116"/>
      <c r="C15" s="116" t="s">
        <v>5</v>
      </c>
      <c r="D15" s="116"/>
      <c r="E15" s="116"/>
      <c r="F15" s="116"/>
      <c r="G15" s="116"/>
      <c r="H15" s="116"/>
      <c r="I15" s="116" t="s">
        <v>5</v>
      </c>
      <c r="J15" s="116"/>
      <c r="K15" s="116"/>
      <c r="L15" s="116"/>
    </row>
    <row r="16" spans="1:12" x14ac:dyDescent="0.25">
      <c r="A16" s="115" t="s">
        <v>209</v>
      </c>
      <c r="B16" s="116"/>
      <c r="C16" s="116" t="s">
        <v>5</v>
      </c>
      <c r="D16" s="116"/>
      <c r="E16" s="116"/>
      <c r="F16" s="116"/>
      <c r="G16" s="116"/>
      <c r="H16" s="116" t="s">
        <v>5</v>
      </c>
      <c r="I16" s="116" t="s">
        <v>5</v>
      </c>
      <c r="J16" s="116"/>
      <c r="K16" s="116"/>
      <c r="L16" s="116"/>
    </row>
    <row r="17" spans="1:12" x14ac:dyDescent="0.25">
      <c r="A17" s="115" t="s">
        <v>210</v>
      </c>
      <c r="B17" s="116"/>
      <c r="C17" s="116" t="s">
        <v>5</v>
      </c>
      <c r="D17" s="116"/>
      <c r="E17" s="116"/>
      <c r="F17" s="116"/>
      <c r="G17" s="116"/>
      <c r="H17" s="116"/>
      <c r="I17" s="116"/>
      <c r="J17" s="116"/>
      <c r="K17" s="116"/>
      <c r="L17" s="116"/>
    </row>
    <row r="18" spans="1:12" x14ac:dyDescent="0.25">
      <c r="A18" s="115" t="s">
        <v>180</v>
      </c>
      <c r="B18" s="116" t="s">
        <v>5</v>
      </c>
      <c r="C18" s="116"/>
      <c r="D18" s="116"/>
      <c r="E18" s="116"/>
      <c r="F18" s="116" t="s">
        <v>5</v>
      </c>
      <c r="G18" s="116"/>
      <c r="H18" s="116"/>
      <c r="I18" s="116"/>
      <c r="J18" s="116"/>
      <c r="K18" s="116"/>
      <c r="L18" s="116"/>
    </row>
    <row r="19" spans="1:12" x14ac:dyDescent="0.25">
      <c r="A19" s="115" t="s">
        <v>181</v>
      </c>
      <c r="B19" s="116" t="s">
        <v>5</v>
      </c>
      <c r="C19" s="116"/>
      <c r="D19" s="116"/>
      <c r="E19" s="116"/>
      <c r="F19" s="116" t="s">
        <v>5</v>
      </c>
      <c r="G19" s="116"/>
      <c r="H19" s="116"/>
      <c r="I19" s="116"/>
      <c r="J19" s="116"/>
      <c r="K19" s="116"/>
      <c r="L19" s="116"/>
    </row>
    <row r="20" spans="1:12" x14ac:dyDescent="0.25">
      <c r="A20" s="115" t="s">
        <v>182</v>
      </c>
      <c r="B20" s="116" t="s">
        <v>5</v>
      </c>
      <c r="C20" s="116"/>
      <c r="D20" s="116"/>
      <c r="E20" s="116"/>
      <c r="F20" s="116" t="s">
        <v>5</v>
      </c>
      <c r="G20" s="116"/>
      <c r="H20" s="116"/>
      <c r="I20" s="116"/>
      <c r="J20" s="116"/>
      <c r="K20" s="116"/>
      <c r="L20" s="116"/>
    </row>
    <row r="21" spans="1:12" x14ac:dyDescent="0.25">
      <c r="A21" s="115" t="s">
        <v>211</v>
      </c>
      <c r="B21" s="116"/>
      <c r="C21" s="116"/>
      <c r="D21" s="116"/>
      <c r="E21" s="116"/>
      <c r="F21" s="116"/>
      <c r="G21" s="116"/>
      <c r="H21" s="116" t="s">
        <v>5</v>
      </c>
      <c r="I21" s="116" t="s">
        <v>5</v>
      </c>
      <c r="J21" s="116"/>
      <c r="K21" s="116"/>
      <c r="L21" s="116"/>
    </row>
    <row r="22" spans="1:12" x14ac:dyDescent="0.25">
      <c r="A22" s="115" t="s">
        <v>213</v>
      </c>
      <c r="B22" s="116" t="s">
        <v>5</v>
      </c>
      <c r="C22" s="116" t="s">
        <v>5</v>
      </c>
      <c r="D22" s="116" t="s">
        <v>5</v>
      </c>
      <c r="E22" s="116"/>
      <c r="F22" s="116"/>
      <c r="G22" s="116"/>
      <c r="H22" s="116"/>
      <c r="I22" s="116"/>
      <c r="J22" s="116"/>
      <c r="K22" s="116"/>
      <c r="L22" s="116"/>
    </row>
    <row r="23" spans="1:12" x14ac:dyDescent="0.25">
      <c r="A23" s="115" t="s">
        <v>214</v>
      </c>
      <c r="B23" s="116"/>
      <c r="C23" s="116" t="s">
        <v>5</v>
      </c>
      <c r="D23" s="116"/>
      <c r="E23" s="116"/>
      <c r="F23" s="116"/>
      <c r="G23" s="116"/>
      <c r="H23" s="116"/>
      <c r="I23" s="116" t="s">
        <v>5</v>
      </c>
      <c r="J23" s="116"/>
      <c r="K23" s="116"/>
      <c r="L23" s="116"/>
    </row>
    <row r="24" spans="1:12" x14ac:dyDescent="0.25">
      <c r="A24" s="115" t="s">
        <v>217</v>
      </c>
      <c r="B24" s="116"/>
      <c r="C24" s="116"/>
      <c r="D24" s="116"/>
      <c r="E24" s="116"/>
      <c r="F24" s="116"/>
      <c r="G24" s="116"/>
      <c r="H24" s="116" t="s">
        <v>5</v>
      </c>
      <c r="I24" s="116"/>
      <c r="J24" s="116"/>
      <c r="K24" s="116"/>
      <c r="L24" s="116"/>
    </row>
    <row r="25" spans="1:12" x14ac:dyDescent="0.25">
      <c r="A25" s="115" t="s">
        <v>218</v>
      </c>
      <c r="B25" s="116"/>
      <c r="C25" s="116"/>
      <c r="D25" s="116"/>
      <c r="E25" s="116"/>
      <c r="F25" s="116"/>
      <c r="G25" s="116"/>
      <c r="H25" s="116" t="s">
        <v>5</v>
      </c>
      <c r="I25" s="116"/>
      <c r="J25" s="116"/>
      <c r="K25" s="116"/>
      <c r="L25" s="116"/>
    </row>
    <row r="26" spans="1:12" x14ac:dyDescent="0.25">
      <c r="A26" s="115" t="s">
        <v>219</v>
      </c>
      <c r="B26" s="116"/>
      <c r="C26" s="116" t="s">
        <v>5</v>
      </c>
      <c r="D26" s="116"/>
      <c r="E26" s="116"/>
      <c r="F26" s="116"/>
      <c r="G26" s="116"/>
      <c r="H26" s="116"/>
      <c r="I26" s="116"/>
      <c r="J26" s="116"/>
      <c r="K26" s="116"/>
      <c r="L26" s="116"/>
    </row>
    <row r="27" spans="1:12" x14ac:dyDescent="0.25">
      <c r="A27" s="115" t="s">
        <v>220</v>
      </c>
      <c r="B27" s="116"/>
      <c r="C27" s="116" t="s">
        <v>5</v>
      </c>
      <c r="D27" s="116"/>
      <c r="E27" s="116"/>
      <c r="F27" s="116"/>
      <c r="G27" s="116"/>
      <c r="H27" s="116"/>
      <c r="I27" s="116" t="s">
        <v>5</v>
      </c>
      <c r="J27" s="116"/>
      <c r="K27" s="116"/>
      <c r="L27" s="116" t="s">
        <v>5</v>
      </c>
    </row>
    <row r="28" spans="1:12" x14ac:dyDescent="0.25">
      <c r="A28" s="115" t="s">
        <v>221</v>
      </c>
      <c r="B28" s="116"/>
      <c r="C28" s="116"/>
      <c r="D28" s="116"/>
      <c r="E28" s="116"/>
      <c r="F28" s="116"/>
      <c r="G28" s="116"/>
      <c r="H28" s="116" t="s">
        <v>5</v>
      </c>
      <c r="I28" s="116"/>
      <c r="J28" s="116"/>
      <c r="K28" s="116"/>
      <c r="L28" s="116"/>
    </row>
    <row r="29" spans="1:12" x14ac:dyDescent="0.25">
      <c r="A29" s="115" t="s">
        <v>222</v>
      </c>
      <c r="B29" s="116" t="s">
        <v>5</v>
      </c>
      <c r="C29" s="116"/>
      <c r="D29" s="116" t="s">
        <v>5</v>
      </c>
      <c r="E29" s="116"/>
      <c r="F29" s="116"/>
      <c r="G29" s="116"/>
      <c r="H29" s="116"/>
      <c r="I29" s="116"/>
      <c r="J29" s="116"/>
      <c r="K29" s="116"/>
      <c r="L29" s="116"/>
    </row>
    <row r="30" spans="1:12" x14ac:dyDescent="0.25">
      <c r="A30" s="115" t="s">
        <v>233</v>
      </c>
      <c r="B30" s="116" t="s">
        <v>5</v>
      </c>
      <c r="C30" s="116" t="s">
        <v>5</v>
      </c>
      <c r="D30" s="116" t="s">
        <v>5</v>
      </c>
      <c r="E30" s="116"/>
      <c r="F30" s="116"/>
      <c r="G30" s="116"/>
      <c r="H30" s="116"/>
      <c r="I30" s="116"/>
      <c r="J30" s="116"/>
      <c r="K30" s="116"/>
      <c r="L30" s="116"/>
    </row>
    <row r="31" spans="1:12" x14ac:dyDescent="0.25">
      <c r="A31" s="115" t="s">
        <v>193</v>
      </c>
      <c r="B31" s="116"/>
      <c r="C31" s="116"/>
      <c r="D31" s="116"/>
      <c r="E31" s="116" t="s">
        <v>5</v>
      </c>
      <c r="F31" s="116"/>
      <c r="G31" s="116"/>
      <c r="H31" s="116"/>
      <c r="I31" s="116"/>
      <c r="J31" s="116"/>
      <c r="K31" s="116"/>
      <c r="L31" s="116"/>
    </row>
    <row r="32" spans="1:12" x14ac:dyDescent="0.25">
      <c r="A32" s="115" t="s">
        <v>225</v>
      </c>
      <c r="B32" s="116"/>
      <c r="C32" s="116"/>
      <c r="D32" s="116"/>
      <c r="E32" s="116"/>
      <c r="F32" s="116"/>
      <c r="G32" s="116" t="s">
        <v>5</v>
      </c>
      <c r="H32" s="116" t="s">
        <v>5</v>
      </c>
      <c r="I32" s="116"/>
      <c r="J32" s="116"/>
      <c r="K32" s="116"/>
      <c r="L32" s="116"/>
    </row>
    <row r="33" spans="1:12" x14ac:dyDescent="0.25">
      <c r="A33" s="115" t="s">
        <v>226</v>
      </c>
      <c r="B33" s="116"/>
      <c r="C33" s="116"/>
      <c r="D33" s="116"/>
      <c r="E33" s="116"/>
      <c r="F33" s="116"/>
      <c r="G33" s="116" t="s">
        <v>5</v>
      </c>
      <c r="H33" s="116" t="s">
        <v>5</v>
      </c>
      <c r="I33" s="116"/>
      <c r="J33" s="116"/>
      <c r="K33" s="116"/>
      <c r="L33" s="116"/>
    </row>
    <row r="34" spans="1:12" x14ac:dyDescent="0.25">
      <c r="A34" s="115" t="s">
        <v>227</v>
      </c>
      <c r="B34" s="116"/>
      <c r="C34" s="116"/>
      <c r="D34" s="116"/>
      <c r="E34" s="116"/>
      <c r="F34" s="116"/>
      <c r="G34" s="116" t="s">
        <v>5</v>
      </c>
      <c r="H34" s="116" t="s">
        <v>5</v>
      </c>
      <c r="I34" s="116"/>
      <c r="J34" s="116"/>
      <c r="K34" s="116"/>
      <c r="L34" s="116"/>
    </row>
    <row r="35" spans="1:12" x14ac:dyDescent="0.25">
      <c r="A35" s="115" t="s">
        <v>228</v>
      </c>
      <c r="B35" s="116"/>
      <c r="C35" s="116"/>
      <c r="D35" s="116"/>
      <c r="E35" s="116"/>
      <c r="F35" s="116"/>
      <c r="G35" s="116" t="s">
        <v>5</v>
      </c>
      <c r="H35" s="116" t="s">
        <v>5</v>
      </c>
      <c r="I35" s="116"/>
      <c r="J35" s="116"/>
      <c r="K35" s="116"/>
      <c r="L35" s="116"/>
    </row>
    <row r="36" spans="1:12" x14ac:dyDescent="0.25">
      <c r="A36" s="115" t="s">
        <v>229</v>
      </c>
      <c r="B36" s="116"/>
      <c r="C36" s="116"/>
      <c r="D36" s="116"/>
      <c r="E36" s="116"/>
      <c r="F36" s="116"/>
      <c r="G36" s="116" t="s">
        <v>5</v>
      </c>
      <c r="H36" s="116" t="s">
        <v>5</v>
      </c>
      <c r="I36" s="116"/>
      <c r="J36" s="116"/>
      <c r="K36" s="116"/>
      <c r="L36" s="116"/>
    </row>
    <row r="37" spans="1:12" x14ac:dyDescent="0.25">
      <c r="A37" s="115" t="s">
        <v>230</v>
      </c>
      <c r="B37" s="116"/>
      <c r="C37" s="116"/>
      <c r="D37" s="116"/>
      <c r="E37" s="116"/>
      <c r="F37" s="116"/>
      <c r="G37" s="116" t="s">
        <v>5</v>
      </c>
      <c r="H37" s="116" t="s">
        <v>5</v>
      </c>
      <c r="I37" s="116"/>
      <c r="J37" s="116"/>
      <c r="K37" s="116"/>
      <c r="L37" s="116"/>
    </row>
    <row r="38" spans="1:12" x14ac:dyDescent="0.25">
      <c r="A38" s="115" t="s">
        <v>231</v>
      </c>
      <c r="B38" s="116"/>
      <c r="C38" s="116"/>
      <c r="D38" s="116"/>
      <c r="E38" s="116"/>
      <c r="F38" s="116"/>
      <c r="G38" s="116"/>
      <c r="H38" s="116" t="s">
        <v>5</v>
      </c>
      <c r="I38" s="116"/>
      <c r="J38" s="116"/>
      <c r="K38" s="116"/>
      <c r="L38" s="116"/>
    </row>
    <row r="39" spans="1:12" x14ac:dyDescent="0.25">
      <c r="A39" s="115" t="s">
        <v>232</v>
      </c>
      <c r="B39" s="116" t="s">
        <v>5</v>
      </c>
      <c r="C39" s="116"/>
      <c r="D39" s="116"/>
      <c r="E39" s="116"/>
      <c r="F39" s="116"/>
      <c r="G39" s="116" t="s">
        <v>5</v>
      </c>
      <c r="H39" s="116" t="s">
        <v>5</v>
      </c>
      <c r="I39" s="116"/>
      <c r="J39" s="116"/>
      <c r="K39" s="116"/>
      <c r="L39" s="116"/>
    </row>
  </sheetData>
  <sheetProtection algorithmName="SHA-512" hashValue="3V6iF9jqLOgiswhG/fBtW1BqrzLpoD2UCB/Hc3d6qBlkSQFysFMqvLwj4z/a/1oupJwumbZvFbYrBTOtbc/M1Q==" saltValue="0Yln7ZlG6Hhv+ReQK6U91g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tabColor theme="0" tint="-0.249977111117893"/>
  </sheetPr>
  <dimension ref="A1:L14"/>
  <sheetViews>
    <sheetView workbookViewId="0">
      <selection activeCell="B2" sqref="B2"/>
    </sheetView>
  </sheetViews>
  <sheetFormatPr defaultColWidth="12.7265625" defaultRowHeight="12.5" x14ac:dyDescent="0.25"/>
  <cols>
    <col min="1" max="1" width="16.81640625" style="106" bestFit="1" customWidth="1"/>
    <col min="2" max="2" width="8.7265625" style="106" bestFit="1" customWidth="1"/>
    <col min="3" max="3" width="8.81640625" style="106" bestFit="1" customWidth="1"/>
    <col min="4" max="4" width="18.26953125" style="106" bestFit="1" customWidth="1"/>
    <col min="5" max="5" width="17.453125" style="106" bestFit="1" customWidth="1"/>
    <col min="6" max="6" width="13.54296875" style="106" bestFit="1" customWidth="1"/>
    <col min="7" max="7" width="9.7265625" style="106" bestFit="1" customWidth="1"/>
    <col min="8" max="8" width="8.81640625" style="106" bestFit="1" customWidth="1"/>
    <col min="9" max="9" width="14.7265625" style="106" bestFit="1" customWidth="1"/>
    <col min="10" max="10" width="15.26953125" style="106" bestFit="1" customWidth="1"/>
    <col min="11" max="16384" width="12.7265625" style="106"/>
  </cols>
  <sheetData>
    <row r="1" spans="1:12" ht="13" x14ac:dyDescent="0.3">
      <c r="A1" s="105" t="s">
        <v>264</v>
      </c>
      <c r="B1" s="108" t="s">
        <v>260</v>
      </c>
      <c r="C1" s="108" t="s">
        <v>124</v>
      </c>
      <c r="D1" s="108" t="s">
        <v>261</v>
      </c>
      <c r="E1" s="108" t="s">
        <v>262</v>
      </c>
      <c r="F1" s="108" t="s">
        <v>142</v>
      </c>
      <c r="G1" s="108" t="s">
        <v>103</v>
      </c>
      <c r="H1" s="108" t="s">
        <v>56</v>
      </c>
      <c r="I1" s="108" t="s">
        <v>259</v>
      </c>
      <c r="J1" s="108" t="s">
        <v>41</v>
      </c>
      <c r="K1" s="108" t="s">
        <v>258</v>
      </c>
      <c r="L1" s="108" t="s">
        <v>263</v>
      </c>
    </row>
    <row r="2" spans="1:12" x14ac:dyDescent="0.25">
      <c r="A2" s="108" t="s">
        <v>97</v>
      </c>
      <c r="B2" s="116" t="s">
        <v>5</v>
      </c>
      <c r="C2" s="116" t="s">
        <v>5</v>
      </c>
      <c r="D2" s="116" t="s">
        <v>5</v>
      </c>
      <c r="E2" s="116" t="s">
        <v>5</v>
      </c>
      <c r="F2" s="116" t="s">
        <v>5</v>
      </c>
      <c r="G2" s="116" t="s">
        <v>5</v>
      </c>
      <c r="H2" s="116" t="s">
        <v>5</v>
      </c>
      <c r="I2" s="116"/>
      <c r="J2" s="116"/>
      <c r="K2" s="116"/>
      <c r="L2" s="116"/>
    </row>
    <row r="3" spans="1:12" x14ac:dyDescent="0.25">
      <c r="A3" s="108" t="s">
        <v>93</v>
      </c>
      <c r="B3" s="116" t="s">
        <v>5</v>
      </c>
      <c r="C3" s="116" t="s">
        <v>5</v>
      </c>
      <c r="D3" s="116" t="s">
        <v>5</v>
      </c>
      <c r="E3" s="116" t="s">
        <v>5</v>
      </c>
      <c r="F3" s="116" t="s">
        <v>5</v>
      </c>
      <c r="G3" s="116" t="s">
        <v>5</v>
      </c>
      <c r="H3" s="116" t="s">
        <v>5</v>
      </c>
      <c r="I3" s="116"/>
      <c r="J3" s="116"/>
      <c r="K3" s="116"/>
      <c r="L3" s="116"/>
    </row>
    <row r="4" spans="1:12" x14ac:dyDescent="0.25">
      <c r="A4" s="108" t="s">
        <v>96</v>
      </c>
      <c r="B4" s="116" t="s">
        <v>5</v>
      </c>
      <c r="C4" s="116" t="s">
        <v>5</v>
      </c>
      <c r="D4" s="116" t="s">
        <v>5</v>
      </c>
      <c r="E4" s="116" t="s">
        <v>5</v>
      </c>
      <c r="F4" s="116" t="s">
        <v>5</v>
      </c>
      <c r="G4" s="116" t="s">
        <v>5</v>
      </c>
      <c r="H4" s="116" t="s">
        <v>5</v>
      </c>
      <c r="I4" s="116"/>
      <c r="J4" s="116"/>
      <c r="K4" s="116"/>
      <c r="L4" s="116"/>
    </row>
    <row r="5" spans="1:12" x14ac:dyDescent="0.25">
      <c r="A5" s="108" t="s">
        <v>94</v>
      </c>
      <c r="B5" s="116" t="s">
        <v>5</v>
      </c>
      <c r="C5" s="116" t="s">
        <v>5</v>
      </c>
      <c r="D5" s="116" t="s">
        <v>5</v>
      </c>
      <c r="E5" s="116" t="s">
        <v>5</v>
      </c>
      <c r="F5" s="116" t="s">
        <v>5</v>
      </c>
      <c r="G5" s="116" t="s">
        <v>5</v>
      </c>
      <c r="H5" s="116" t="s">
        <v>5</v>
      </c>
      <c r="I5" s="116"/>
      <c r="J5" s="116"/>
      <c r="K5" s="116"/>
      <c r="L5" s="116"/>
    </row>
    <row r="6" spans="1:12" x14ac:dyDescent="0.25">
      <c r="A6" s="108" t="s">
        <v>95</v>
      </c>
      <c r="B6" s="116" t="s">
        <v>5</v>
      </c>
      <c r="C6" s="116" t="s">
        <v>5</v>
      </c>
      <c r="D6" s="116" t="s">
        <v>5</v>
      </c>
      <c r="E6" s="116" t="s">
        <v>5</v>
      </c>
      <c r="F6" s="116" t="s">
        <v>5</v>
      </c>
      <c r="G6" s="116" t="s">
        <v>5</v>
      </c>
      <c r="H6" s="116" t="s">
        <v>5</v>
      </c>
      <c r="I6" s="116"/>
      <c r="J6" s="116"/>
      <c r="K6" s="116"/>
      <c r="L6" s="116"/>
    </row>
    <row r="7" spans="1:12" x14ac:dyDescent="0.25">
      <c r="A7" s="108" t="s">
        <v>132</v>
      </c>
      <c r="B7" s="116"/>
      <c r="C7" s="116" t="s">
        <v>5</v>
      </c>
      <c r="D7" s="116"/>
      <c r="E7" s="116"/>
      <c r="F7" s="116"/>
      <c r="G7" s="116"/>
      <c r="H7" s="116" t="s">
        <v>5</v>
      </c>
      <c r="I7" s="116" t="s">
        <v>5</v>
      </c>
      <c r="J7" s="116"/>
      <c r="K7" s="116"/>
      <c r="L7" s="116" t="s">
        <v>5</v>
      </c>
    </row>
    <row r="8" spans="1:12" x14ac:dyDescent="0.25">
      <c r="A8" s="108" t="s">
        <v>133</v>
      </c>
      <c r="B8" s="116"/>
      <c r="C8" s="116" t="s">
        <v>5</v>
      </c>
      <c r="D8" s="116"/>
      <c r="E8" s="116"/>
      <c r="F8" s="116"/>
      <c r="G8" s="116"/>
      <c r="H8" s="116" t="s">
        <v>5</v>
      </c>
      <c r="I8" s="116" t="s">
        <v>5</v>
      </c>
      <c r="J8" s="116"/>
      <c r="K8" s="116"/>
      <c r="L8" s="116" t="s">
        <v>5</v>
      </c>
    </row>
    <row r="9" spans="1:12" x14ac:dyDescent="0.25">
      <c r="A9" s="108" t="s">
        <v>134</v>
      </c>
      <c r="B9" s="116"/>
      <c r="C9" s="116" t="s">
        <v>5</v>
      </c>
      <c r="D9" s="116"/>
      <c r="E9" s="116"/>
      <c r="F9" s="116"/>
      <c r="G9" s="116"/>
      <c r="H9" s="116" t="s">
        <v>5</v>
      </c>
      <c r="I9" s="116" t="s">
        <v>5</v>
      </c>
      <c r="J9" s="116"/>
      <c r="K9" s="116"/>
      <c r="L9" s="116" t="s">
        <v>5</v>
      </c>
    </row>
    <row r="10" spans="1:12" x14ac:dyDescent="0.25">
      <c r="A10" s="108" t="s">
        <v>135</v>
      </c>
      <c r="B10" s="116"/>
      <c r="C10" s="116" t="s">
        <v>5</v>
      </c>
      <c r="D10" s="116"/>
      <c r="E10" s="116"/>
      <c r="F10" s="116"/>
      <c r="G10" s="116"/>
      <c r="H10" s="116" t="s">
        <v>5</v>
      </c>
      <c r="I10" s="116" t="s">
        <v>5</v>
      </c>
      <c r="J10" s="116"/>
      <c r="K10" s="116"/>
      <c r="L10" s="116" t="s">
        <v>5</v>
      </c>
    </row>
    <row r="11" spans="1:12" x14ac:dyDescent="0.25">
      <c r="A11" s="108" t="s">
        <v>87</v>
      </c>
      <c r="B11" s="116"/>
      <c r="C11" s="116" t="s">
        <v>5</v>
      </c>
      <c r="D11" s="116"/>
      <c r="E11" s="116"/>
      <c r="F11" s="116"/>
      <c r="G11" s="116"/>
      <c r="H11" s="116"/>
      <c r="I11" s="116"/>
      <c r="J11" s="116" t="s">
        <v>5</v>
      </c>
      <c r="K11" s="116" t="s">
        <v>5</v>
      </c>
      <c r="L11" s="116"/>
    </row>
    <row r="12" spans="1:12" x14ac:dyDescent="0.25">
      <c r="A12" s="108" t="s">
        <v>88</v>
      </c>
      <c r="B12" s="116"/>
      <c r="C12" s="116" t="s">
        <v>5</v>
      </c>
      <c r="D12" s="116"/>
      <c r="E12" s="116"/>
      <c r="F12" s="116"/>
      <c r="G12" s="116"/>
      <c r="H12" s="116"/>
      <c r="I12" s="116"/>
      <c r="J12" s="116"/>
      <c r="K12" s="116" t="s">
        <v>5</v>
      </c>
      <c r="L12" s="116"/>
    </row>
    <row r="13" spans="1:12" x14ac:dyDescent="0.25">
      <c r="A13" s="108" t="s">
        <v>89</v>
      </c>
      <c r="B13" s="116"/>
      <c r="C13" s="116" t="s">
        <v>5</v>
      </c>
      <c r="D13" s="116"/>
      <c r="E13" s="116"/>
      <c r="F13" s="116"/>
      <c r="G13" s="116"/>
      <c r="H13" s="116"/>
      <c r="I13" s="116"/>
      <c r="J13" s="116"/>
      <c r="K13" s="116" t="s">
        <v>5</v>
      </c>
      <c r="L13" s="116"/>
    </row>
    <row r="14" spans="1:12" x14ac:dyDescent="0.25">
      <c r="A14" s="108" t="s">
        <v>90</v>
      </c>
      <c r="B14" s="116"/>
      <c r="C14" s="116" t="s">
        <v>5</v>
      </c>
      <c r="D14" s="116"/>
      <c r="E14" s="116"/>
      <c r="F14" s="116"/>
      <c r="G14" s="116"/>
      <c r="H14" s="116"/>
      <c r="I14" s="116"/>
      <c r="J14" s="116"/>
      <c r="K14" s="116" t="s">
        <v>5</v>
      </c>
      <c r="L14" s="116"/>
    </row>
  </sheetData>
  <sheetProtection algorithmName="SHA-512" hashValue="KYzrDzrP+62Q5/Ab8sBrEgPwsKFnfrU2nUWpUlRqgwmN7VcPGrfftBusgKYfMHgUKWvj/qf/25aHpF/EqhnZzA==" saltValue="oHK9ITjGaQ3FIm4bZ9PIy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tabColor theme="0" tint="-0.249977111117893"/>
  </sheetPr>
  <dimension ref="A1:J157"/>
  <sheetViews>
    <sheetView zoomScale="85" zoomScaleNormal="85" workbookViewId="0">
      <selection activeCell="H15" sqref="H15"/>
    </sheetView>
  </sheetViews>
  <sheetFormatPr defaultColWidth="12.63281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5" width="12.6328125" style="8" customWidth="1"/>
    <col min="6" max="16384" width="12.6328125" style="8"/>
  </cols>
  <sheetData>
    <row r="1" spans="1:10" ht="13" x14ac:dyDescent="0.3">
      <c r="A1" s="4" t="s">
        <v>265</v>
      </c>
      <c r="B1" s="4" t="s">
        <v>185</v>
      </c>
      <c r="C1" s="4" t="s">
        <v>189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10" ht="13" x14ac:dyDescent="0.3">
      <c r="A2" s="4" t="s">
        <v>267</v>
      </c>
      <c r="B2" s="125" t="s">
        <v>123</v>
      </c>
      <c r="C2" s="8" t="s">
        <v>179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26"/>
      <c r="C3" s="8" t="s">
        <v>178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26"/>
      <c r="C4" s="8" t="s">
        <v>184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25" t="s">
        <v>97</v>
      </c>
      <c r="C5" s="8" t="s">
        <v>179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26"/>
      <c r="C6" s="8" t="s">
        <v>178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26"/>
      <c r="C7" s="8" t="s">
        <v>184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25" t="s">
        <v>93</v>
      </c>
      <c r="C8" s="8" t="s">
        <v>179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x14ac:dyDescent="0.25">
      <c r="B9" s="126"/>
      <c r="C9" s="8" t="s">
        <v>178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x14ac:dyDescent="0.25">
      <c r="B10" s="126"/>
      <c r="C10" s="8" t="s">
        <v>184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25" t="s">
        <v>96</v>
      </c>
      <c r="C11" s="8" t="s">
        <v>179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x14ac:dyDescent="0.25">
      <c r="B12" s="126"/>
      <c r="C12" s="8" t="s">
        <v>178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x14ac:dyDescent="0.25">
      <c r="B13" s="126"/>
      <c r="C13" s="8" t="s">
        <v>184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25" t="s">
        <v>94</v>
      </c>
      <c r="C14" s="8" t="s">
        <v>179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x14ac:dyDescent="0.25">
      <c r="B15" s="126"/>
      <c r="C15" s="8" t="s">
        <v>178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x14ac:dyDescent="0.25">
      <c r="B16" s="126"/>
      <c r="C16" s="8" t="s">
        <v>184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x14ac:dyDescent="0.25">
      <c r="B17" s="65" t="s">
        <v>177</v>
      </c>
      <c r="C17" s="8" t="s">
        <v>184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x14ac:dyDescent="0.3">
      <c r="A19" s="4" t="s">
        <v>273</v>
      </c>
      <c r="B19" s="125" t="s">
        <v>123</v>
      </c>
      <c r="C19" s="8" t="s">
        <v>179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26"/>
      <c r="C20" s="8" t="s">
        <v>178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26"/>
      <c r="C21" s="8" t="s">
        <v>184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25" t="s">
        <v>97</v>
      </c>
      <c r="C22" s="8" t="s">
        <v>179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26"/>
      <c r="C23" s="8" t="s">
        <v>178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26"/>
      <c r="C24" s="8" t="s">
        <v>184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25" t="s">
        <v>93</v>
      </c>
      <c r="C25" s="8" t="s">
        <v>179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26"/>
      <c r="C26" s="8" t="s">
        <v>178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26"/>
      <c r="C27" s="8" t="s">
        <v>184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25" t="s">
        <v>96</v>
      </c>
      <c r="C28" s="8" t="s">
        <v>179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26"/>
      <c r="C29" s="8" t="s">
        <v>178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26"/>
      <c r="C30" s="8" t="s">
        <v>184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25" t="s">
        <v>94</v>
      </c>
      <c r="C31" s="8" t="s">
        <v>179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26"/>
      <c r="C32" s="8" t="s">
        <v>178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26"/>
      <c r="C33" s="8" t="s">
        <v>184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x14ac:dyDescent="0.25">
      <c r="B34" s="65" t="s">
        <v>177</v>
      </c>
      <c r="C34" s="8" t="s">
        <v>184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x14ac:dyDescent="0.3">
      <c r="A36" s="66" t="s">
        <v>270</v>
      </c>
      <c r="B36" s="125" t="s">
        <v>123</v>
      </c>
      <c r="C36" s="8" t="s">
        <v>179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26"/>
      <c r="C37" s="8" t="s">
        <v>178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26"/>
      <c r="C38" s="8" t="s">
        <v>184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25" t="s">
        <v>97</v>
      </c>
      <c r="C39" s="8" t="s">
        <v>179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26"/>
      <c r="C40" s="8" t="s">
        <v>178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26"/>
      <c r="C41" s="8" t="s">
        <v>184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25" t="s">
        <v>93</v>
      </c>
      <c r="C42" s="8" t="s">
        <v>179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26"/>
      <c r="C43" s="8" t="s">
        <v>178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26"/>
      <c r="C44" s="8" t="s">
        <v>184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25" t="s">
        <v>96</v>
      </c>
      <c r="C45" s="8" t="s">
        <v>179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26"/>
      <c r="C46" s="8" t="s">
        <v>178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26"/>
      <c r="C47" s="8" t="s">
        <v>184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25" t="s">
        <v>94</v>
      </c>
      <c r="C48" s="8" t="s">
        <v>179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26"/>
      <c r="C49" s="8" t="s">
        <v>178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26"/>
      <c r="C50" s="8" t="s">
        <v>184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x14ac:dyDescent="0.25">
      <c r="B51" s="65" t="s">
        <v>177</v>
      </c>
      <c r="C51" s="8" t="s">
        <v>184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x14ac:dyDescent="0.3">
      <c r="A53" s="92" t="s">
        <v>266</v>
      </c>
      <c r="B53" s="92"/>
      <c r="C53" s="92"/>
      <c r="D53" s="92"/>
      <c r="E53" s="92"/>
      <c r="F53" s="92"/>
      <c r="G53" s="92"/>
      <c r="H53" s="92"/>
    </row>
    <row r="54" spans="1:8" ht="13" x14ac:dyDescent="0.3">
      <c r="A54" s="4" t="s">
        <v>265</v>
      </c>
      <c r="B54" s="4" t="s">
        <v>185</v>
      </c>
      <c r="C54" s="4" t="s">
        <v>189</v>
      </c>
      <c r="D54" s="4" t="s">
        <v>97</v>
      </c>
      <c r="E54" s="4" t="s">
        <v>93</v>
      </c>
      <c r="F54" s="4" t="s">
        <v>96</v>
      </c>
      <c r="G54" s="4" t="s">
        <v>94</v>
      </c>
      <c r="H54" s="4" t="s">
        <v>95</v>
      </c>
    </row>
    <row r="55" spans="1:8" ht="13" x14ac:dyDescent="0.3">
      <c r="A55" s="4" t="s">
        <v>268</v>
      </c>
      <c r="B55" s="125" t="s">
        <v>123</v>
      </c>
      <c r="C55" s="8" t="s">
        <v>179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26"/>
      <c r="C56" s="8" t="s">
        <v>178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26"/>
      <c r="C57" s="8" t="s">
        <v>184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25" t="s">
        <v>97</v>
      </c>
      <c r="C58" s="8" t="s">
        <v>179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26"/>
      <c r="C59" s="8" t="s">
        <v>178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26"/>
      <c r="C60" s="8" t="s">
        <v>184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25" t="s">
        <v>93</v>
      </c>
      <c r="C61" s="8" t="s">
        <v>179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26"/>
      <c r="C62" s="8" t="s">
        <v>178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26"/>
      <c r="C63" s="8" t="s">
        <v>184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25" t="s">
        <v>96</v>
      </c>
      <c r="C64" s="8" t="s">
        <v>179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26"/>
      <c r="C65" s="8" t="s">
        <v>178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x14ac:dyDescent="0.25">
      <c r="B66" s="126"/>
      <c r="C66" s="8" t="s">
        <v>184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25" t="s">
        <v>94</v>
      </c>
      <c r="C67" s="8" t="s">
        <v>179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x14ac:dyDescent="0.25">
      <c r="B68" s="126"/>
      <c r="C68" s="8" t="s">
        <v>178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x14ac:dyDescent="0.25">
      <c r="B69" s="126"/>
      <c r="C69" s="8" t="s">
        <v>184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x14ac:dyDescent="0.25">
      <c r="B70" s="65" t="s">
        <v>177</v>
      </c>
      <c r="C70" s="8" t="s">
        <v>184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x14ac:dyDescent="0.3">
      <c r="A72" s="4" t="s">
        <v>274</v>
      </c>
      <c r="B72" s="125" t="s">
        <v>123</v>
      </c>
      <c r="C72" s="8" t="s">
        <v>179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26"/>
      <c r="C73" s="8" t="s">
        <v>178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26"/>
      <c r="C74" s="8" t="s">
        <v>184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25" t="s">
        <v>97</v>
      </c>
      <c r="C75" s="8" t="s">
        <v>179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26"/>
      <c r="C76" s="8" t="s">
        <v>178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26"/>
      <c r="C77" s="8" t="s">
        <v>184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25" t="s">
        <v>93</v>
      </c>
      <c r="C78" s="8" t="s">
        <v>179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26"/>
      <c r="C79" s="8" t="s">
        <v>178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26"/>
      <c r="C80" s="8" t="s">
        <v>184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25" t="s">
        <v>96</v>
      </c>
      <c r="C81" s="8" t="s">
        <v>179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26"/>
      <c r="C82" s="8" t="s">
        <v>178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26"/>
      <c r="C83" s="8" t="s">
        <v>184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25" t="s">
        <v>94</v>
      </c>
      <c r="C84" s="8" t="s">
        <v>179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26"/>
      <c r="C85" s="8" t="s">
        <v>178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26"/>
      <c r="C86" s="8" t="s">
        <v>184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x14ac:dyDescent="0.25">
      <c r="B87" s="65" t="s">
        <v>177</v>
      </c>
      <c r="C87" s="8" t="s">
        <v>184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x14ac:dyDescent="0.3">
      <c r="A89" s="66" t="s">
        <v>271</v>
      </c>
      <c r="B89" s="125" t="s">
        <v>123</v>
      </c>
      <c r="C89" s="8" t="s">
        <v>179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26"/>
      <c r="C90" s="8" t="s">
        <v>178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26"/>
      <c r="C91" s="8" t="s">
        <v>184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25" t="s">
        <v>97</v>
      </c>
      <c r="C92" s="8" t="s">
        <v>179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26"/>
      <c r="C93" s="8" t="s">
        <v>178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26"/>
      <c r="C94" s="8" t="s">
        <v>184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25" t="s">
        <v>93</v>
      </c>
      <c r="C95" s="8" t="s">
        <v>179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26"/>
      <c r="C96" s="8" t="s">
        <v>178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26"/>
      <c r="C97" s="8" t="s">
        <v>184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25" t="s">
        <v>96</v>
      </c>
      <c r="C98" s="8" t="s">
        <v>179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26"/>
      <c r="C99" s="8" t="s">
        <v>178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26"/>
      <c r="C100" s="8" t="s">
        <v>184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25" t="s">
        <v>94</v>
      </c>
      <c r="C101" s="8" t="s">
        <v>179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26"/>
      <c r="C102" s="8" t="s">
        <v>178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26"/>
      <c r="C103" s="8" t="s">
        <v>184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x14ac:dyDescent="0.25">
      <c r="B104" s="65" t="s">
        <v>177</v>
      </c>
      <c r="C104" s="8" t="s">
        <v>184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x14ac:dyDescent="0.3">
      <c r="A106" s="92" t="s">
        <v>276</v>
      </c>
      <c r="B106" s="92"/>
      <c r="C106" s="92"/>
      <c r="D106" s="92"/>
      <c r="E106" s="92"/>
      <c r="F106" s="92"/>
      <c r="G106" s="92"/>
      <c r="H106" s="92"/>
    </row>
    <row r="107" spans="1:8" ht="13" x14ac:dyDescent="0.3">
      <c r="A107" s="4" t="s">
        <v>265</v>
      </c>
      <c r="B107" s="4" t="s">
        <v>185</v>
      </c>
      <c r="C107" s="4" t="s">
        <v>189</v>
      </c>
      <c r="D107" s="4" t="s">
        <v>97</v>
      </c>
      <c r="E107" s="4" t="s">
        <v>93</v>
      </c>
      <c r="F107" s="4" t="s">
        <v>96</v>
      </c>
      <c r="G107" s="4" t="s">
        <v>94</v>
      </c>
      <c r="H107" s="4" t="s">
        <v>95</v>
      </c>
    </row>
    <row r="108" spans="1:8" ht="13" x14ac:dyDescent="0.3">
      <c r="A108" s="4" t="s">
        <v>269</v>
      </c>
      <c r="B108" s="125" t="s">
        <v>123</v>
      </c>
      <c r="C108" s="8" t="s">
        <v>179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26"/>
      <c r="C109" s="8" t="s">
        <v>178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26"/>
      <c r="C110" s="8" t="s">
        <v>184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25" t="s">
        <v>97</v>
      </c>
      <c r="C111" s="8" t="s">
        <v>179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x14ac:dyDescent="0.25">
      <c r="B112" s="126"/>
      <c r="C112" s="8" t="s">
        <v>178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x14ac:dyDescent="0.25">
      <c r="B113" s="126"/>
      <c r="C113" s="8" t="s">
        <v>184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x14ac:dyDescent="0.25">
      <c r="B114" s="125" t="s">
        <v>93</v>
      </c>
      <c r="C114" s="8" t="s">
        <v>179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x14ac:dyDescent="0.25">
      <c r="B115" s="126"/>
      <c r="C115" s="8" t="s">
        <v>178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x14ac:dyDescent="0.25">
      <c r="B116" s="126"/>
      <c r="C116" s="8" t="s">
        <v>184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x14ac:dyDescent="0.25">
      <c r="B117" s="125" t="s">
        <v>96</v>
      </c>
      <c r="C117" s="8" t="s">
        <v>179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x14ac:dyDescent="0.25">
      <c r="B118" s="126"/>
      <c r="C118" s="8" t="s">
        <v>178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x14ac:dyDescent="0.25">
      <c r="B119" s="126"/>
      <c r="C119" s="8" t="s">
        <v>184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x14ac:dyDescent="0.25">
      <c r="B120" s="125" t="s">
        <v>94</v>
      </c>
      <c r="C120" s="8" t="s">
        <v>179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x14ac:dyDescent="0.25">
      <c r="B121" s="126"/>
      <c r="C121" s="8" t="s">
        <v>178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x14ac:dyDescent="0.25">
      <c r="B122" s="126"/>
      <c r="C122" s="8" t="s">
        <v>184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x14ac:dyDescent="0.25">
      <c r="B123" s="65" t="s">
        <v>177</v>
      </c>
      <c r="C123" s="8" t="s">
        <v>184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x14ac:dyDescent="0.25">
      <c r="D124" s="86"/>
      <c r="E124" s="86"/>
      <c r="F124" s="86"/>
      <c r="G124" s="86"/>
      <c r="H124" s="86"/>
    </row>
    <row r="125" spans="1:8" ht="13" x14ac:dyDescent="0.3">
      <c r="A125" s="4" t="s">
        <v>275</v>
      </c>
      <c r="B125" s="125" t="s">
        <v>123</v>
      </c>
      <c r="C125" s="8" t="s">
        <v>179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x14ac:dyDescent="0.25">
      <c r="B126" s="126"/>
      <c r="C126" s="8" t="s">
        <v>178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x14ac:dyDescent="0.25">
      <c r="B127" s="126"/>
      <c r="C127" s="8" t="s">
        <v>184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x14ac:dyDescent="0.25">
      <c r="B128" s="125" t="s">
        <v>97</v>
      </c>
      <c r="C128" s="8" t="s">
        <v>179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x14ac:dyDescent="0.25">
      <c r="B129" s="126"/>
      <c r="C129" s="8" t="s">
        <v>178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x14ac:dyDescent="0.25">
      <c r="B130" s="126"/>
      <c r="C130" s="8" t="s">
        <v>184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x14ac:dyDescent="0.25">
      <c r="B131" s="125" t="s">
        <v>93</v>
      </c>
      <c r="C131" s="8" t="s">
        <v>179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x14ac:dyDescent="0.25">
      <c r="B132" s="126"/>
      <c r="C132" s="8" t="s">
        <v>178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x14ac:dyDescent="0.25">
      <c r="B133" s="126"/>
      <c r="C133" s="8" t="s">
        <v>184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x14ac:dyDescent="0.25">
      <c r="B134" s="125" t="s">
        <v>96</v>
      </c>
      <c r="C134" s="8" t="s">
        <v>179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x14ac:dyDescent="0.25">
      <c r="B135" s="126"/>
      <c r="C135" s="8" t="s">
        <v>178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x14ac:dyDescent="0.25">
      <c r="B136" s="126"/>
      <c r="C136" s="8" t="s">
        <v>184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x14ac:dyDescent="0.25">
      <c r="B137" s="125" t="s">
        <v>94</v>
      </c>
      <c r="C137" s="8" t="s">
        <v>179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x14ac:dyDescent="0.25">
      <c r="B138" s="126"/>
      <c r="C138" s="8" t="s">
        <v>178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x14ac:dyDescent="0.25">
      <c r="B139" s="126"/>
      <c r="C139" s="8" t="s">
        <v>184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x14ac:dyDescent="0.25">
      <c r="B140" s="65" t="s">
        <v>177</v>
      </c>
      <c r="C140" s="8" t="s">
        <v>184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x14ac:dyDescent="0.25">
      <c r="D141" s="86"/>
      <c r="E141" s="86"/>
      <c r="F141" s="86"/>
      <c r="G141" s="86"/>
      <c r="H141" s="86"/>
    </row>
    <row r="142" spans="1:8" ht="13" x14ac:dyDescent="0.3">
      <c r="A142" s="66" t="s">
        <v>272</v>
      </c>
      <c r="B142" s="125" t="s">
        <v>123</v>
      </c>
      <c r="C142" s="8" t="s">
        <v>179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x14ac:dyDescent="0.25">
      <c r="B143" s="126"/>
      <c r="C143" s="8" t="s">
        <v>178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x14ac:dyDescent="0.25">
      <c r="B144" s="126"/>
      <c r="C144" s="8" t="s">
        <v>184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x14ac:dyDescent="0.25">
      <c r="B145" s="125" t="s">
        <v>97</v>
      </c>
      <c r="C145" s="8" t="s">
        <v>179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x14ac:dyDescent="0.25">
      <c r="B146" s="126"/>
      <c r="C146" s="8" t="s">
        <v>178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x14ac:dyDescent="0.25">
      <c r="B147" s="126"/>
      <c r="C147" s="8" t="s">
        <v>184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x14ac:dyDescent="0.25">
      <c r="B148" s="125" t="s">
        <v>93</v>
      </c>
      <c r="C148" s="8" t="s">
        <v>179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x14ac:dyDescent="0.25">
      <c r="B149" s="126"/>
      <c r="C149" s="8" t="s">
        <v>178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x14ac:dyDescent="0.25">
      <c r="B150" s="126"/>
      <c r="C150" s="8" t="s">
        <v>184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x14ac:dyDescent="0.25">
      <c r="B151" s="125" t="s">
        <v>96</v>
      </c>
      <c r="C151" s="8" t="s">
        <v>179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26"/>
      <c r="C152" s="8" t="s">
        <v>178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26"/>
      <c r="C153" s="8" t="s">
        <v>184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25" t="s">
        <v>94</v>
      </c>
      <c r="C154" s="8" t="s">
        <v>179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26"/>
      <c r="C155" s="8" t="s">
        <v>178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26"/>
      <c r="C156" s="8" t="s">
        <v>184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x14ac:dyDescent="0.25">
      <c r="B157" s="65" t="s">
        <v>177</v>
      </c>
      <c r="C157" s="8" t="s">
        <v>184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NXJSu7eA2fEeWLLO5COLJlnnEBobSYK7aHaqDBsK7wp7l8pf7NT6hXvYShlyrxPZoLg+fufuZTn0RILvkJAkOw==" saltValue="LcxNF+LCGPtma21Keewzxg==" spinCount="100000" sheet="1" objects="1" scenarios="1" selectLockedCells="1"/>
  <mergeCells count="45">
    <mergeCell ref="B5:B7"/>
    <mergeCell ref="B36:B38"/>
    <mergeCell ref="B92:B94"/>
    <mergeCell ref="B114:B116"/>
    <mergeCell ref="B45:B47"/>
    <mergeCell ref="B22:B24"/>
    <mergeCell ref="B11:B13"/>
    <mergeCell ref="B8:B10"/>
    <mergeCell ref="B78:B80"/>
    <mergeCell ref="B108:B110"/>
    <mergeCell ref="B55:B57"/>
    <mergeCell ref="B84:B86"/>
    <mergeCell ref="B89:B91"/>
    <mergeCell ref="B154:B156"/>
    <mergeCell ref="B64:B66"/>
    <mergeCell ref="B95:B97"/>
    <mergeCell ref="B25:B27"/>
    <mergeCell ref="B125:B127"/>
    <mergeCell ref="B131:B133"/>
    <mergeCell ref="B31:B33"/>
    <mergeCell ref="B75:B77"/>
    <mergeCell ref="B81:B83"/>
    <mergeCell ref="B72:B74"/>
    <mergeCell ref="B134:B136"/>
    <mergeCell ref="B151:B153"/>
    <mergeCell ref="B148:B150"/>
    <mergeCell ref="B137:B139"/>
    <mergeCell ref="B128:B130"/>
    <mergeCell ref="B142:B144"/>
    <mergeCell ref="B2:B4"/>
    <mergeCell ref="B117:B119"/>
    <mergeCell ref="B111:B113"/>
    <mergeCell ref="B42:B44"/>
    <mergeCell ref="B145:B147"/>
    <mergeCell ref="B58:B60"/>
    <mergeCell ref="B101:B103"/>
    <mergeCell ref="B67:B69"/>
    <mergeCell ref="B61:B63"/>
    <mergeCell ref="B39:B41"/>
    <mergeCell ref="B48:B50"/>
    <mergeCell ref="B120:B122"/>
    <mergeCell ref="B14:B16"/>
    <mergeCell ref="B98:B100"/>
    <mergeCell ref="B19:B21"/>
    <mergeCell ref="B28:B30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4">
    <tabColor theme="0" tint="-0.249977111117893"/>
  </sheetPr>
  <dimension ref="A1:G70"/>
  <sheetViews>
    <sheetView zoomScale="70" zoomScaleNormal="70" workbookViewId="0">
      <selection activeCell="C16" sqref="C16"/>
    </sheetView>
  </sheetViews>
  <sheetFormatPr defaultColWidth="12.7265625" defaultRowHeight="12.5" x14ac:dyDescent="0.25"/>
  <cols>
    <col min="1" max="1" width="44.81640625" style="106" customWidth="1"/>
    <col min="2" max="2" width="44.453125" style="106" customWidth="1"/>
    <col min="3" max="3" width="17.7265625" style="106" customWidth="1"/>
    <col min="4" max="4" width="17.54296875" style="106" customWidth="1"/>
    <col min="5" max="5" width="17.26953125" style="106" customWidth="1"/>
    <col min="6" max="6" width="15" style="106" customWidth="1"/>
    <col min="7" max="7" width="13.7265625" style="106" customWidth="1"/>
    <col min="8" max="16384" width="12.7265625" style="106"/>
  </cols>
  <sheetData>
    <row r="1" spans="1:7" s="121" customFormat="1" ht="14.25" customHeight="1" x14ac:dyDescent="0.3">
      <c r="A1" s="120" t="s">
        <v>307</v>
      </c>
    </row>
    <row r="2" spans="1:7" ht="14.25" customHeight="1" x14ac:dyDescent="0.3">
      <c r="A2" s="122" t="s">
        <v>237</v>
      </c>
      <c r="B2" s="107"/>
      <c r="C2" s="105" t="s">
        <v>97</v>
      </c>
      <c r="D2" s="105" t="s">
        <v>93</v>
      </c>
      <c r="E2" s="105" t="s">
        <v>96</v>
      </c>
      <c r="F2" s="105" t="s">
        <v>94</v>
      </c>
      <c r="G2" s="105" t="s">
        <v>95</v>
      </c>
    </row>
    <row r="3" spans="1:7" ht="14.25" customHeight="1" x14ac:dyDescent="0.25">
      <c r="B3" s="117" t="s">
        <v>294</v>
      </c>
      <c r="C3" s="118" t="s">
        <v>8</v>
      </c>
      <c r="D3" s="118">
        <v>45</v>
      </c>
      <c r="E3" s="118">
        <v>361.6</v>
      </c>
      <c r="F3" s="118">
        <v>174.7</v>
      </c>
      <c r="G3" s="118">
        <v>174.7</v>
      </c>
    </row>
    <row r="4" spans="1:7" ht="14.25" customHeight="1" x14ac:dyDescent="0.3">
      <c r="A4" s="105"/>
      <c r="B4" s="117" t="s">
        <v>280</v>
      </c>
      <c r="C4" s="118">
        <v>1.0249999999999999</v>
      </c>
      <c r="D4" s="118">
        <v>1.0249999999999999</v>
      </c>
      <c r="E4" s="118">
        <v>1.0249999999999999</v>
      </c>
      <c r="F4" s="118">
        <v>1.0249999999999999</v>
      </c>
      <c r="G4" s="118">
        <v>1.0249999999999999</v>
      </c>
    </row>
    <row r="5" spans="1:7" ht="14.25" customHeight="1" x14ac:dyDescent="0.3">
      <c r="A5" s="123" t="s">
        <v>277</v>
      </c>
    </row>
    <row r="6" spans="1:7" ht="14.25" customHeight="1" x14ac:dyDescent="0.25">
      <c r="B6" s="117" t="s">
        <v>222</v>
      </c>
      <c r="C6" s="118">
        <v>1</v>
      </c>
      <c r="D6" s="118">
        <v>1</v>
      </c>
      <c r="E6" s="118">
        <v>0.89</v>
      </c>
      <c r="F6" s="118">
        <v>0.89</v>
      </c>
      <c r="G6" s="118">
        <v>1</v>
      </c>
    </row>
    <row r="7" spans="1:7" ht="14.25" customHeight="1" x14ac:dyDescent="0.25">
      <c r="B7" s="117" t="s">
        <v>213</v>
      </c>
      <c r="C7" s="118">
        <v>1</v>
      </c>
      <c r="D7" s="118">
        <v>1</v>
      </c>
      <c r="E7" s="118">
        <v>0.88</v>
      </c>
      <c r="F7" s="118">
        <v>0.88</v>
      </c>
      <c r="G7" s="118">
        <v>1</v>
      </c>
    </row>
    <row r="8" spans="1:7" ht="14.25" customHeight="1" x14ac:dyDescent="0.25">
      <c r="B8" s="117" t="s">
        <v>196</v>
      </c>
      <c r="C8" s="118">
        <v>1</v>
      </c>
      <c r="D8" s="118">
        <v>1</v>
      </c>
      <c r="E8" s="118">
        <v>1</v>
      </c>
      <c r="F8" s="118">
        <v>0.80800000000000005</v>
      </c>
      <c r="G8" s="118">
        <v>0.80800000000000005</v>
      </c>
    </row>
    <row r="9" spans="1:7" ht="14.25" customHeight="1" x14ac:dyDescent="0.25">
      <c r="B9" s="117" t="s">
        <v>233</v>
      </c>
      <c r="C9" s="118">
        <v>1</v>
      </c>
      <c r="D9" s="118">
        <v>1</v>
      </c>
      <c r="E9" s="118">
        <v>0.88</v>
      </c>
      <c r="F9" s="118">
        <v>0.88</v>
      </c>
      <c r="G9" s="118">
        <v>1</v>
      </c>
    </row>
    <row r="10" spans="1:7" ht="14.25" customHeight="1" x14ac:dyDescent="0.25">
      <c r="B10" s="117" t="s">
        <v>232</v>
      </c>
      <c r="C10" s="118">
        <v>1</v>
      </c>
      <c r="D10" s="118">
        <v>1</v>
      </c>
      <c r="E10" s="118">
        <v>1</v>
      </c>
      <c r="F10" s="118">
        <v>1</v>
      </c>
      <c r="G10" s="118">
        <v>1</v>
      </c>
    </row>
    <row r="11" spans="1:7" ht="14.25" customHeight="1" x14ac:dyDescent="0.25">
      <c r="B11" s="117"/>
      <c r="C11" s="117"/>
      <c r="D11" s="117"/>
      <c r="E11" s="117"/>
      <c r="F11" s="117"/>
      <c r="G11" s="117"/>
    </row>
    <row r="12" spans="1:7" s="121" customFormat="1" ht="14.25" customHeight="1" x14ac:dyDescent="0.3">
      <c r="A12" s="120" t="s">
        <v>301</v>
      </c>
    </row>
    <row r="13" spans="1:7" ht="14.25" customHeight="1" x14ac:dyDescent="0.3">
      <c r="A13" s="123"/>
      <c r="B13" s="117" t="s">
        <v>211</v>
      </c>
      <c r="C13" s="118">
        <v>1</v>
      </c>
      <c r="D13" s="118">
        <v>1.39</v>
      </c>
      <c r="E13" s="118">
        <v>1</v>
      </c>
      <c r="F13" s="118">
        <v>1</v>
      </c>
      <c r="G13" s="118">
        <v>1</v>
      </c>
    </row>
    <row r="14" spans="1:7" ht="14.25" customHeight="1" x14ac:dyDescent="0.3">
      <c r="A14" s="123"/>
      <c r="B14" s="114"/>
    </row>
    <row r="15" spans="1:7" s="121" customFormat="1" ht="14.25" customHeight="1" x14ac:dyDescent="0.3">
      <c r="A15" s="120" t="s">
        <v>308</v>
      </c>
    </row>
    <row r="16" spans="1:7" ht="14.25" customHeight="1" x14ac:dyDescent="0.3">
      <c r="A16" s="122" t="s">
        <v>311</v>
      </c>
      <c r="B16" s="117" t="s">
        <v>288</v>
      </c>
      <c r="C16" s="118">
        <v>1.024</v>
      </c>
      <c r="D16" s="118">
        <v>1.024</v>
      </c>
      <c r="E16" s="118">
        <v>1.024</v>
      </c>
      <c r="F16" s="118">
        <v>1.024</v>
      </c>
      <c r="G16" s="118">
        <v>1.024</v>
      </c>
    </row>
    <row r="17" spans="1:7" ht="14.25" customHeight="1" x14ac:dyDescent="0.3">
      <c r="A17" s="105"/>
      <c r="B17" s="117" t="s">
        <v>285</v>
      </c>
      <c r="C17" s="118">
        <v>1.024</v>
      </c>
      <c r="D17" s="118">
        <v>1.024</v>
      </c>
      <c r="E17" s="118">
        <v>1.024</v>
      </c>
      <c r="F17" s="118">
        <v>1.024</v>
      </c>
      <c r="G17" s="118">
        <v>1.024</v>
      </c>
    </row>
    <row r="18" spans="1:7" ht="14.25" customHeight="1" x14ac:dyDescent="0.3">
      <c r="A18" s="122" t="s">
        <v>124</v>
      </c>
      <c r="B18" s="117" t="s">
        <v>291</v>
      </c>
      <c r="C18" s="118">
        <v>1</v>
      </c>
      <c r="D18" s="118">
        <v>1</v>
      </c>
      <c r="E18" s="118">
        <v>1</v>
      </c>
      <c r="F18" s="118">
        <v>1</v>
      </c>
      <c r="G18" s="118">
        <v>1</v>
      </c>
    </row>
    <row r="19" spans="1:7" ht="14.25" customHeight="1" x14ac:dyDescent="0.25"/>
    <row r="20" spans="1:7" s="121" customFormat="1" ht="14.25" customHeight="1" x14ac:dyDescent="0.3">
      <c r="A20" s="120" t="s">
        <v>304</v>
      </c>
    </row>
    <row r="21" spans="1:7" s="123" customFormat="1" ht="14.25" customHeight="1" x14ac:dyDescent="0.3">
      <c r="C21" s="124" t="s">
        <v>87</v>
      </c>
      <c r="D21" s="124" t="s">
        <v>88</v>
      </c>
      <c r="E21" s="124" t="s">
        <v>89</v>
      </c>
      <c r="F21" s="124" t="s">
        <v>90</v>
      </c>
    </row>
    <row r="22" spans="1:7" x14ac:dyDescent="0.25">
      <c r="B22" s="117" t="s">
        <v>199</v>
      </c>
      <c r="C22" s="118">
        <v>1.52</v>
      </c>
      <c r="D22" s="118">
        <v>1</v>
      </c>
      <c r="E22" s="118">
        <v>1</v>
      </c>
      <c r="F22" s="118">
        <v>1</v>
      </c>
    </row>
    <row r="24" spans="1:7" s="119" customFormat="1" ht="13" x14ac:dyDescent="0.3">
      <c r="A24" s="119" t="s">
        <v>266</v>
      </c>
    </row>
    <row r="25" spans="1:7" ht="13" x14ac:dyDescent="0.3">
      <c r="A25" s="120" t="s">
        <v>307</v>
      </c>
      <c r="B25" s="121"/>
      <c r="C25" s="121"/>
      <c r="D25" s="121"/>
      <c r="E25" s="121"/>
      <c r="F25" s="121"/>
      <c r="G25" s="121"/>
    </row>
    <row r="26" spans="1:7" ht="13" x14ac:dyDescent="0.3">
      <c r="A26" s="122" t="s">
        <v>237</v>
      </c>
      <c r="B26" s="107"/>
      <c r="C26" s="105" t="s">
        <v>97</v>
      </c>
      <c r="D26" s="105" t="s">
        <v>93</v>
      </c>
      <c r="E26" s="105" t="s">
        <v>96</v>
      </c>
      <c r="F26" s="105" t="s">
        <v>94</v>
      </c>
      <c r="G26" s="105" t="s">
        <v>95</v>
      </c>
    </row>
    <row r="27" spans="1:7" x14ac:dyDescent="0.25">
      <c r="B27" s="117" t="s">
        <v>295</v>
      </c>
      <c r="C27" s="118" t="s">
        <v>8</v>
      </c>
      <c r="D27" s="118">
        <f t="shared" ref="D27:G27" si="0">D3*0.9</f>
        <v>40.5</v>
      </c>
      <c r="E27" s="118">
        <f t="shared" si="0"/>
        <v>325.44000000000005</v>
      </c>
      <c r="F27" s="118">
        <f t="shared" si="0"/>
        <v>157.22999999999999</v>
      </c>
      <c r="G27" s="118">
        <f t="shared" si="0"/>
        <v>157.22999999999999</v>
      </c>
    </row>
    <row r="28" spans="1:7" ht="13" x14ac:dyDescent="0.3">
      <c r="A28" s="105"/>
      <c r="B28" s="117" t="s">
        <v>281</v>
      </c>
      <c r="C28" s="118">
        <v>1.014</v>
      </c>
      <c r="D28" s="118">
        <v>1.014</v>
      </c>
      <c r="E28" s="118">
        <v>1.014</v>
      </c>
      <c r="F28" s="118">
        <v>1.014</v>
      </c>
      <c r="G28" s="118">
        <v>1.014</v>
      </c>
    </row>
    <row r="29" spans="1:7" ht="13" x14ac:dyDescent="0.3">
      <c r="A29" s="123" t="s">
        <v>278</v>
      </c>
    </row>
    <row r="30" spans="1:7" x14ac:dyDescent="0.25">
      <c r="B30" s="117" t="s">
        <v>309</v>
      </c>
      <c r="C30" s="118">
        <f>IF(C6=1,1,C6*0.9)</f>
        <v>1</v>
      </c>
      <c r="D30" s="118">
        <f t="shared" ref="D30:G30" si="1">IF(D6=1,1,D6*0.9)</f>
        <v>1</v>
      </c>
      <c r="E30" s="118">
        <f>E6*0.9</f>
        <v>0.80100000000000005</v>
      </c>
      <c r="F30" s="118">
        <f>F6*0.9</f>
        <v>0.80100000000000005</v>
      </c>
      <c r="G30" s="118">
        <f t="shared" si="1"/>
        <v>1</v>
      </c>
    </row>
    <row r="31" spans="1:7" x14ac:dyDescent="0.25">
      <c r="B31" s="117" t="s">
        <v>299</v>
      </c>
      <c r="C31" s="118">
        <f>IF(C7=1,1,C7*0.9)</f>
        <v>1</v>
      </c>
      <c r="D31" s="118">
        <f>IF(D7=1,1,D7*0.9)</f>
        <v>1</v>
      </c>
      <c r="E31" s="118">
        <v>0.85</v>
      </c>
      <c r="F31" s="118">
        <v>0.85</v>
      </c>
      <c r="G31" s="118">
        <f>IF(G7=1,1,G7*0.9)</f>
        <v>1</v>
      </c>
    </row>
    <row r="32" spans="1:7" x14ac:dyDescent="0.25">
      <c r="B32" s="117" t="s">
        <v>27</v>
      </c>
      <c r="C32" s="118">
        <f>IF(C8=1,1,C8*0.9)</f>
        <v>1</v>
      </c>
      <c r="D32" s="118">
        <f>IF(D8=1,1,D8*0.9)</f>
        <v>1</v>
      </c>
      <c r="E32" s="118">
        <v>1</v>
      </c>
      <c r="F32" s="90">
        <v>0.39500000000000002</v>
      </c>
      <c r="G32" s="90">
        <v>0.39500000000000002</v>
      </c>
    </row>
    <row r="33" spans="1:7" x14ac:dyDescent="0.25">
      <c r="B33" s="117" t="s">
        <v>314</v>
      </c>
      <c r="C33" s="118">
        <f t="shared" ref="C33:G33" si="2">IF(C9=1,1,C9*0.9)</f>
        <v>1</v>
      </c>
      <c r="D33" s="118">
        <f t="shared" si="2"/>
        <v>1</v>
      </c>
      <c r="E33" s="118">
        <v>0.85</v>
      </c>
      <c r="F33" s="118">
        <v>0.85</v>
      </c>
      <c r="G33" s="118">
        <f t="shared" si="2"/>
        <v>1</v>
      </c>
    </row>
    <row r="34" spans="1:7" x14ac:dyDescent="0.25">
      <c r="B34" s="117" t="s">
        <v>312</v>
      </c>
      <c r="C34" s="118">
        <f>IF(C10=1,1,C10*0.9)</f>
        <v>1</v>
      </c>
      <c r="D34" s="118">
        <f>IF(D10=1,1,D10*0.9)</f>
        <v>1</v>
      </c>
      <c r="E34" s="118">
        <f>IF(E10=1,1,E10*0.9)</f>
        <v>1</v>
      </c>
      <c r="F34" s="118">
        <f>IF(F10=1,1,F10*0.9)</f>
        <v>1</v>
      </c>
      <c r="G34" s="118">
        <f>IF(G10=1,1,G10*0.9)</f>
        <v>1</v>
      </c>
    </row>
    <row r="35" spans="1:7" x14ac:dyDescent="0.25">
      <c r="B35" s="117"/>
      <c r="C35" s="117"/>
      <c r="D35" s="117"/>
      <c r="E35" s="117"/>
      <c r="F35" s="117"/>
      <c r="G35" s="117"/>
    </row>
    <row r="36" spans="1:7" ht="13" x14ac:dyDescent="0.3">
      <c r="A36" s="120" t="s">
        <v>302</v>
      </c>
      <c r="B36" s="121"/>
      <c r="C36" s="121"/>
      <c r="D36" s="121"/>
      <c r="E36" s="121"/>
      <c r="F36" s="121"/>
      <c r="G36" s="121"/>
    </row>
    <row r="37" spans="1:7" ht="13" x14ac:dyDescent="0.3">
      <c r="A37" s="123"/>
      <c r="B37" s="117" t="s">
        <v>297</v>
      </c>
      <c r="C37" s="118">
        <v>1</v>
      </c>
      <c r="D37" s="118">
        <v>1.1100000000000001</v>
      </c>
      <c r="E37" s="118">
        <v>1</v>
      </c>
      <c r="F37" s="118">
        <v>1</v>
      </c>
      <c r="G37" s="118">
        <v>1</v>
      </c>
    </row>
    <row r="38" spans="1:7" ht="13" x14ac:dyDescent="0.3">
      <c r="A38" s="123"/>
      <c r="B38" s="114"/>
    </row>
    <row r="39" spans="1:7" ht="13" x14ac:dyDescent="0.3">
      <c r="A39" s="120" t="s">
        <v>308</v>
      </c>
      <c r="B39" s="121"/>
      <c r="C39" s="121"/>
      <c r="D39" s="121"/>
      <c r="E39" s="121"/>
      <c r="F39" s="121"/>
      <c r="G39" s="121"/>
    </row>
    <row r="40" spans="1:7" ht="13" x14ac:dyDescent="0.3">
      <c r="A40" s="122" t="s">
        <v>311</v>
      </c>
      <c r="B40" s="117" t="s">
        <v>289</v>
      </c>
      <c r="C40" s="118">
        <v>1.016</v>
      </c>
      <c r="D40" s="118">
        <v>1.016</v>
      </c>
      <c r="E40" s="118">
        <v>1.016</v>
      </c>
      <c r="F40" s="118">
        <v>1.016</v>
      </c>
      <c r="G40" s="118">
        <v>1.016</v>
      </c>
    </row>
    <row r="41" spans="1:7" ht="13" x14ac:dyDescent="0.3">
      <c r="A41" s="105"/>
      <c r="B41" s="117" t="s">
        <v>286</v>
      </c>
      <c r="C41" s="118">
        <v>1.016</v>
      </c>
      <c r="D41" s="118">
        <v>1.016</v>
      </c>
      <c r="E41" s="118">
        <v>1.016</v>
      </c>
      <c r="F41" s="118">
        <v>1.016</v>
      </c>
      <c r="G41" s="118">
        <v>1.016</v>
      </c>
    </row>
    <row r="42" spans="1:7" ht="13" x14ac:dyDescent="0.3">
      <c r="A42" s="122" t="s">
        <v>124</v>
      </c>
      <c r="B42" s="117" t="s">
        <v>292</v>
      </c>
      <c r="C42" s="118">
        <f t="shared" ref="C42:G42" si="3">IF(C18=1,1,C18*0.9)</f>
        <v>1</v>
      </c>
      <c r="D42" s="118">
        <f t="shared" si="3"/>
        <v>1</v>
      </c>
      <c r="E42" s="118">
        <f t="shared" si="3"/>
        <v>1</v>
      </c>
      <c r="F42" s="118">
        <f t="shared" si="3"/>
        <v>1</v>
      </c>
      <c r="G42" s="118">
        <f t="shared" si="3"/>
        <v>1</v>
      </c>
    </row>
    <row r="44" spans="1:7" ht="13" x14ac:dyDescent="0.3">
      <c r="A44" s="120" t="s">
        <v>305</v>
      </c>
      <c r="B44" s="121"/>
      <c r="C44" s="121"/>
      <c r="D44" s="121"/>
      <c r="E44" s="121"/>
      <c r="F44" s="121"/>
      <c r="G44" s="121"/>
    </row>
    <row r="45" spans="1:7" ht="13" x14ac:dyDescent="0.3">
      <c r="A45" s="123"/>
      <c r="B45" s="123"/>
      <c r="C45" s="124" t="s">
        <v>87</v>
      </c>
      <c r="D45" s="124" t="s">
        <v>88</v>
      </c>
      <c r="E45" s="124" t="s">
        <v>89</v>
      </c>
      <c r="F45" s="124" t="s">
        <v>90</v>
      </c>
      <c r="G45" s="123"/>
    </row>
    <row r="46" spans="1:7" x14ac:dyDescent="0.25">
      <c r="B46" s="117" t="s">
        <v>283</v>
      </c>
      <c r="C46" s="118">
        <f>C22*0.9</f>
        <v>1.3680000000000001</v>
      </c>
      <c r="D46" s="118">
        <v>1</v>
      </c>
      <c r="E46" s="118">
        <v>1</v>
      </c>
      <c r="F46" s="118">
        <v>1</v>
      </c>
    </row>
    <row r="48" spans="1:7" s="119" customFormat="1" ht="13" x14ac:dyDescent="0.3">
      <c r="A48" s="119" t="s">
        <v>276</v>
      </c>
    </row>
    <row r="49" spans="1:7" ht="13" x14ac:dyDescent="0.3">
      <c r="A49" s="120" t="s">
        <v>307</v>
      </c>
      <c r="B49" s="121"/>
      <c r="C49" s="121"/>
      <c r="D49" s="121"/>
      <c r="E49" s="121"/>
      <c r="F49" s="121"/>
      <c r="G49" s="121"/>
    </row>
    <row r="50" spans="1:7" ht="13" x14ac:dyDescent="0.3">
      <c r="A50" s="122" t="s">
        <v>237</v>
      </c>
      <c r="B50" s="107"/>
      <c r="C50" s="105" t="s">
        <v>97</v>
      </c>
      <c r="D50" s="105" t="s">
        <v>93</v>
      </c>
      <c r="E50" s="105" t="s">
        <v>96</v>
      </c>
      <c r="F50" s="105" t="s">
        <v>94</v>
      </c>
      <c r="G50" s="105" t="s">
        <v>95</v>
      </c>
    </row>
    <row r="51" spans="1:7" x14ac:dyDescent="0.25">
      <c r="B51" s="117" t="s">
        <v>296</v>
      </c>
      <c r="C51" s="118" t="s">
        <v>8</v>
      </c>
      <c r="D51" s="118">
        <f t="shared" ref="D51:G51" si="4">D3*1.05</f>
        <v>47.25</v>
      </c>
      <c r="E51" s="118">
        <f t="shared" si="4"/>
        <v>379.68000000000006</v>
      </c>
      <c r="F51" s="118">
        <f t="shared" si="4"/>
        <v>183.435</v>
      </c>
      <c r="G51" s="118">
        <f t="shared" si="4"/>
        <v>183.435</v>
      </c>
    </row>
    <row r="52" spans="1:7" ht="13" x14ac:dyDescent="0.3">
      <c r="A52" s="105"/>
      <c r="B52" s="117" t="s">
        <v>282</v>
      </c>
      <c r="C52" s="118">
        <v>1.0349999999999999</v>
      </c>
      <c r="D52" s="118">
        <v>1.0349999999999999</v>
      </c>
      <c r="E52" s="118">
        <v>1.0349999999999999</v>
      </c>
      <c r="F52" s="118">
        <v>1.0349999999999999</v>
      </c>
      <c r="G52" s="118">
        <v>1.0349999999999999</v>
      </c>
    </row>
    <row r="53" spans="1:7" ht="13" x14ac:dyDescent="0.3">
      <c r="A53" s="123" t="s">
        <v>279</v>
      </c>
    </row>
    <row r="54" spans="1:7" x14ac:dyDescent="0.25">
      <c r="B54" s="117" t="s">
        <v>310</v>
      </c>
      <c r="C54" s="118">
        <f>IF(C6=1,1,C6*1.1)</f>
        <v>1</v>
      </c>
      <c r="D54" s="118">
        <f t="shared" ref="D54:G54" si="5">IF(D6=1,1,D6*1.1)</f>
        <v>1</v>
      </c>
      <c r="E54" s="118">
        <f>E6*1.05</f>
        <v>0.93450000000000011</v>
      </c>
      <c r="F54" s="118">
        <f>F6*1.05</f>
        <v>0.93450000000000011</v>
      </c>
      <c r="G54" s="118">
        <f t="shared" si="5"/>
        <v>1</v>
      </c>
    </row>
    <row r="55" spans="1:7" x14ac:dyDescent="0.25">
      <c r="B55" s="117" t="s">
        <v>300</v>
      </c>
      <c r="C55" s="118">
        <f>IF(C7=1,1,C7*1.1)</f>
        <v>1</v>
      </c>
      <c r="D55" s="118">
        <f>IF(D7=1,1,D7*1.1)</f>
        <v>1</v>
      </c>
      <c r="E55" s="118">
        <v>0.91</v>
      </c>
      <c r="F55" s="118">
        <v>0.91</v>
      </c>
      <c r="G55" s="118">
        <f>IF(G7=1,1,G7*1.1)</f>
        <v>1</v>
      </c>
    </row>
    <row r="56" spans="1:7" x14ac:dyDescent="0.25">
      <c r="B56" s="117" t="s">
        <v>28</v>
      </c>
      <c r="C56" s="118">
        <f>IF(C8=1,1,C8*1.1)</f>
        <v>1</v>
      </c>
      <c r="D56" s="118">
        <f>IF(D8=1,1,D8*1.1)</f>
        <v>1</v>
      </c>
      <c r="E56" s="90">
        <v>1</v>
      </c>
      <c r="F56" s="90">
        <v>0.95599999999999996</v>
      </c>
      <c r="G56" s="90">
        <v>0.95599999999999996</v>
      </c>
    </row>
    <row r="57" spans="1:7" x14ac:dyDescent="0.25">
      <c r="B57" s="117" t="s">
        <v>315</v>
      </c>
      <c r="C57" s="118">
        <f t="shared" ref="C57:G58" si="6">IF(C9=1,1,C9*1.1)</f>
        <v>1</v>
      </c>
      <c r="D57" s="118">
        <f t="shared" si="6"/>
        <v>1</v>
      </c>
      <c r="E57" s="118">
        <v>0.91</v>
      </c>
      <c r="F57" s="118">
        <v>0.91</v>
      </c>
      <c r="G57" s="118">
        <f t="shared" si="6"/>
        <v>1</v>
      </c>
    </row>
    <row r="58" spans="1:7" x14ac:dyDescent="0.25">
      <c r="B58" s="117" t="s">
        <v>313</v>
      </c>
      <c r="C58" s="118">
        <f t="shared" si="6"/>
        <v>1</v>
      </c>
      <c r="D58" s="118">
        <f t="shared" si="6"/>
        <v>1</v>
      </c>
      <c r="E58" s="118">
        <f t="shared" si="6"/>
        <v>1</v>
      </c>
      <c r="F58" s="118">
        <f t="shared" si="6"/>
        <v>1</v>
      </c>
      <c r="G58" s="118">
        <f t="shared" si="6"/>
        <v>1</v>
      </c>
    </row>
    <row r="59" spans="1:7" x14ac:dyDescent="0.25">
      <c r="B59" s="117"/>
      <c r="C59" s="117"/>
      <c r="D59" s="117"/>
      <c r="E59" s="117"/>
      <c r="F59" s="117"/>
      <c r="G59" s="117"/>
    </row>
    <row r="60" spans="1:7" ht="13" x14ac:dyDescent="0.3">
      <c r="A60" s="120" t="s">
        <v>303</v>
      </c>
      <c r="B60" s="121"/>
      <c r="C60" s="121"/>
      <c r="D60" s="121"/>
      <c r="E60" s="121"/>
      <c r="F60" s="121"/>
      <c r="G60" s="121"/>
    </row>
    <row r="61" spans="1:7" ht="13" x14ac:dyDescent="0.3">
      <c r="A61" s="123"/>
      <c r="B61" s="117" t="s">
        <v>298</v>
      </c>
      <c r="C61" s="118">
        <v>1</v>
      </c>
      <c r="D61" s="118">
        <v>1.74</v>
      </c>
      <c r="E61" s="118">
        <v>1</v>
      </c>
      <c r="F61" s="118">
        <v>1</v>
      </c>
      <c r="G61" s="118">
        <v>1</v>
      </c>
    </row>
    <row r="62" spans="1:7" ht="13" x14ac:dyDescent="0.3">
      <c r="A62" s="123"/>
      <c r="B62" s="114"/>
    </row>
    <row r="63" spans="1:7" ht="13" x14ac:dyDescent="0.3">
      <c r="A63" s="120" t="s">
        <v>308</v>
      </c>
      <c r="B63" s="121"/>
      <c r="C63" s="121"/>
      <c r="D63" s="121"/>
      <c r="E63" s="121"/>
      <c r="F63" s="121"/>
      <c r="G63" s="121"/>
    </row>
    <row r="64" spans="1:7" ht="13" x14ac:dyDescent="0.3">
      <c r="A64" s="122" t="s">
        <v>311</v>
      </c>
      <c r="B64" s="117" t="s">
        <v>290</v>
      </c>
      <c r="C64" s="118">
        <v>1.0309999999999999</v>
      </c>
      <c r="D64" s="118">
        <v>1.0309999999999999</v>
      </c>
      <c r="E64" s="118">
        <v>1.0309999999999999</v>
      </c>
      <c r="F64" s="118">
        <v>1.0309999999999999</v>
      </c>
      <c r="G64" s="118">
        <v>1.0309999999999999</v>
      </c>
    </row>
    <row r="65" spans="1:7" ht="13" x14ac:dyDescent="0.3">
      <c r="A65" s="105"/>
      <c r="B65" s="117" t="s">
        <v>287</v>
      </c>
      <c r="C65" s="118">
        <v>1.0309999999999999</v>
      </c>
      <c r="D65" s="118">
        <v>1.0309999999999999</v>
      </c>
      <c r="E65" s="118">
        <v>1.0309999999999999</v>
      </c>
      <c r="F65" s="118">
        <v>1.0309999999999999</v>
      </c>
      <c r="G65" s="118">
        <v>1.0309999999999999</v>
      </c>
    </row>
    <row r="66" spans="1:7" ht="13" x14ac:dyDescent="0.3">
      <c r="A66" s="122" t="s">
        <v>124</v>
      </c>
      <c r="B66" s="117" t="s">
        <v>293</v>
      </c>
      <c r="C66" s="118">
        <f t="shared" ref="C66:G66" si="7">IF(C18=1,1,C18*1.1)</f>
        <v>1</v>
      </c>
      <c r="D66" s="118">
        <f t="shared" si="7"/>
        <v>1</v>
      </c>
      <c r="E66" s="118">
        <f t="shared" si="7"/>
        <v>1</v>
      </c>
      <c r="F66" s="118">
        <f t="shared" si="7"/>
        <v>1</v>
      </c>
      <c r="G66" s="118">
        <f t="shared" si="7"/>
        <v>1</v>
      </c>
    </row>
    <row r="68" spans="1:7" ht="13" x14ac:dyDescent="0.3">
      <c r="A68" s="120" t="s">
        <v>306</v>
      </c>
      <c r="B68" s="121"/>
      <c r="C68" s="121"/>
      <c r="D68" s="121"/>
      <c r="E68" s="121"/>
      <c r="F68" s="121"/>
      <c r="G68" s="121"/>
    </row>
    <row r="69" spans="1:7" ht="13" x14ac:dyDescent="0.3">
      <c r="A69" s="123"/>
      <c r="B69" s="123"/>
      <c r="C69" s="124" t="s">
        <v>87</v>
      </c>
      <c r="D69" s="124" t="s">
        <v>88</v>
      </c>
      <c r="E69" s="124" t="s">
        <v>89</v>
      </c>
      <c r="F69" s="124" t="s">
        <v>90</v>
      </c>
      <c r="G69" s="123"/>
    </row>
    <row r="70" spans="1:7" x14ac:dyDescent="0.25">
      <c r="B70" s="117" t="s">
        <v>284</v>
      </c>
      <c r="C70" s="118">
        <f>C22*1.1</f>
        <v>1.6720000000000002</v>
      </c>
      <c r="D70" s="118">
        <v>1</v>
      </c>
      <c r="E70" s="118">
        <v>1</v>
      </c>
      <c r="F70" s="118">
        <v>1</v>
      </c>
    </row>
  </sheetData>
  <sheetProtection algorithmName="SHA-512" hashValue="dffTjmqGyVjZXiddH5vRlz4f01xrZXNxkxsG/QsmUwaTTLviXKHXmqB8+FSdI1WGFI8D5RFmMDNLc+23qhleCQ==" saltValue="lpSPE6jBEeR6b4uy80cRv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1">
    <tabColor theme="0" tint="-0.249977111117893"/>
  </sheetPr>
  <dimension ref="A1:F49"/>
  <sheetViews>
    <sheetView topLeftCell="A31" zoomScale="70" zoomScaleNormal="70" workbookViewId="0">
      <selection activeCell="C19" sqref="C19"/>
    </sheetView>
  </sheetViews>
  <sheetFormatPr defaultColWidth="16.1796875" defaultRowHeight="15.75" customHeight="1" x14ac:dyDescent="0.25"/>
  <cols>
    <col min="1" max="1" width="52.26953125" style="106" customWidth="1"/>
    <col min="2" max="6" width="16.1796875" style="106"/>
    <col min="7" max="7" width="17.26953125" style="106" customWidth="1"/>
    <col min="8" max="8" width="16.1796875" style="106" customWidth="1"/>
    <col min="9" max="16384" width="16.1796875" style="106"/>
  </cols>
  <sheetData>
    <row r="1" spans="1:6" ht="15.75" customHeight="1" x14ac:dyDescent="0.3">
      <c r="A1" s="107" t="s">
        <v>192</v>
      </c>
      <c r="B1" s="105"/>
      <c r="C1" s="105" t="s">
        <v>71</v>
      </c>
      <c r="D1" s="105" t="s">
        <v>78</v>
      </c>
      <c r="E1" s="105" t="s">
        <v>70</v>
      </c>
      <c r="F1" s="107" t="s">
        <v>77</v>
      </c>
    </row>
    <row r="2" spans="1:6" ht="15.75" customHeight="1" x14ac:dyDescent="0.25">
      <c r="A2" s="117" t="s">
        <v>194</v>
      </c>
      <c r="B2" s="117" t="s">
        <v>317</v>
      </c>
      <c r="C2" s="118">
        <v>0.28999999999999998</v>
      </c>
      <c r="D2" s="118">
        <v>0.28999999999999998</v>
      </c>
      <c r="E2" s="118">
        <v>0</v>
      </c>
      <c r="F2" s="118">
        <v>0</v>
      </c>
    </row>
    <row r="3" spans="1:6" ht="15.75" customHeight="1" x14ac:dyDescent="0.25">
      <c r="A3" s="117"/>
      <c r="B3" s="117" t="s">
        <v>316</v>
      </c>
      <c r="C3" s="118">
        <v>1</v>
      </c>
      <c r="D3" s="118">
        <v>1</v>
      </c>
      <c r="E3" s="118">
        <v>1</v>
      </c>
      <c r="F3" s="118">
        <v>1</v>
      </c>
    </row>
    <row r="4" spans="1:6" ht="15.75" customHeight="1" x14ac:dyDescent="0.25">
      <c r="A4" s="117" t="s">
        <v>195</v>
      </c>
      <c r="B4" s="117" t="s">
        <v>317</v>
      </c>
      <c r="C4" s="118">
        <f>1-0.76</f>
        <v>0.24</v>
      </c>
      <c r="D4" s="118">
        <v>0</v>
      </c>
      <c r="E4" s="118">
        <f>1-0.76</f>
        <v>0.24</v>
      </c>
      <c r="F4" s="118">
        <v>0</v>
      </c>
    </row>
    <row r="5" spans="1:6" ht="15.75" customHeight="1" x14ac:dyDescent="0.25">
      <c r="A5" s="117"/>
      <c r="B5" s="117" t="s">
        <v>316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117" t="s">
        <v>207</v>
      </c>
      <c r="B6" s="117" t="s">
        <v>317</v>
      </c>
      <c r="C6" s="118">
        <v>0.61</v>
      </c>
      <c r="D6" s="118">
        <v>0.61</v>
      </c>
      <c r="E6" s="118">
        <v>0</v>
      </c>
      <c r="F6" s="118">
        <v>0</v>
      </c>
    </row>
    <row r="7" spans="1:6" ht="15.75" customHeight="1" x14ac:dyDescent="0.25">
      <c r="A7" s="117"/>
      <c r="B7" s="117" t="s">
        <v>316</v>
      </c>
      <c r="C7" s="118">
        <v>1</v>
      </c>
      <c r="D7" s="118">
        <v>1</v>
      </c>
      <c r="E7" s="118">
        <v>1</v>
      </c>
      <c r="F7" s="118">
        <v>1</v>
      </c>
    </row>
    <row r="8" spans="1:6" ht="15.75" customHeight="1" x14ac:dyDescent="0.25">
      <c r="A8" s="117" t="s">
        <v>208</v>
      </c>
      <c r="B8" s="117" t="s">
        <v>317</v>
      </c>
      <c r="C8" s="118">
        <v>0.61</v>
      </c>
      <c r="D8" s="118">
        <v>0.61</v>
      </c>
      <c r="E8" s="118">
        <v>0</v>
      </c>
      <c r="F8" s="118">
        <v>0</v>
      </c>
    </row>
    <row r="9" spans="1:6" ht="15.75" customHeight="1" x14ac:dyDescent="0.25">
      <c r="A9" s="117"/>
      <c r="B9" s="117" t="s">
        <v>316</v>
      </c>
      <c r="C9" s="118">
        <v>1</v>
      </c>
      <c r="D9" s="118">
        <v>1</v>
      </c>
      <c r="E9" s="118">
        <v>1</v>
      </c>
      <c r="F9" s="118">
        <v>1</v>
      </c>
    </row>
    <row r="10" spans="1:6" ht="15.75" customHeight="1" x14ac:dyDescent="0.25">
      <c r="A10" s="117" t="s">
        <v>209</v>
      </c>
      <c r="B10" s="117" t="s">
        <v>317</v>
      </c>
      <c r="C10" s="118">
        <v>0.35</v>
      </c>
      <c r="D10" s="118">
        <v>0.35</v>
      </c>
      <c r="E10" s="118">
        <v>0</v>
      </c>
      <c r="F10" s="118">
        <v>0</v>
      </c>
    </row>
    <row r="11" spans="1:6" ht="15.75" customHeight="1" x14ac:dyDescent="0.25">
      <c r="A11" s="117"/>
      <c r="B11" s="117" t="s">
        <v>316</v>
      </c>
      <c r="C11" s="118">
        <v>1</v>
      </c>
      <c r="D11" s="118">
        <v>1</v>
      </c>
      <c r="E11" s="118">
        <v>0</v>
      </c>
      <c r="F11" s="118">
        <v>0</v>
      </c>
    </row>
    <row r="12" spans="1:6" ht="15.75" customHeight="1" x14ac:dyDescent="0.25">
      <c r="A12" s="117" t="s">
        <v>214</v>
      </c>
      <c r="B12" s="117" t="s">
        <v>317</v>
      </c>
      <c r="C12" s="118">
        <v>0.35</v>
      </c>
      <c r="D12" s="118">
        <v>0.35</v>
      </c>
      <c r="E12" s="118">
        <v>0</v>
      </c>
      <c r="F12" s="118">
        <v>0</v>
      </c>
    </row>
    <row r="13" spans="1:6" ht="15.75" customHeight="1" x14ac:dyDescent="0.25">
      <c r="A13" s="117"/>
      <c r="B13" s="117" t="s">
        <v>316</v>
      </c>
      <c r="C13" s="118">
        <v>1</v>
      </c>
      <c r="D13" s="118">
        <v>1</v>
      </c>
      <c r="E13" s="118">
        <v>0</v>
      </c>
      <c r="F13" s="118">
        <v>0</v>
      </c>
    </row>
    <row r="14" spans="1:6" ht="15.75" customHeight="1" x14ac:dyDescent="0.25">
      <c r="A14" s="117" t="s">
        <v>220</v>
      </c>
      <c r="B14" s="117" t="s">
        <v>317</v>
      </c>
      <c r="C14" s="118">
        <f>1-0.9*0.39</f>
        <v>0.64900000000000002</v>
      </c>
      <c r="D14" s="118">
        <f>1-0.9*0.39</f>
        <v>0.64900000000000002</v>
      </c>
      <c r="E14" s="118">
        <v>0</v>
      </c>
      <c r="F14" s="118">
        <v>0</v>
      </c>
    </row>
    <row r="15" spans="1:6" ht="15.75" customHeight="1" x14ac:dyDescent="0.25">
      <c r="A15" s="117"/>
      <c r="B15" s="117" t="s">
        <v>316</v>
      </c>
      <c r="C15" s="118">
        <v>1</v>
      </c>
      <c r="D15" s="118">
        <v>1</v>
      </c>
      <c r="E15" s="118">
        <v>1</v>
      </c>
      <c r="F15" s="118">
        <v>1</v>
      </c>
    </row>
    <row r="17" spans="1:6" s="119" customFormat="1" ht="15.75" customHeight="1" x14ac:dyDescent="0.3">
      <c r="A17" s="119" t="s">
        <v>266</v>
      </c>
    </row>
    <row r="18" spans="1:6" ht="15.75" customHeight="1" x14ac:dyDescent="0.3">
      <c r="A18" s="107" t="s">
        <v>192</v>
      </c>
      <c r="B18" s="105"/>
      <c r="C18" s="105" t="s">
        <v>71</v>
      </c>
      <c r="D18" s="105" t="s">
        <v>78</v>
      </c>
      <c r="E18" s="105" t="s">
        <v>70</v>
      </c>
      <c r="F18" s="107" t="s">
        <v>77</v>
      </c>
    </row>
    <row r="19" spans="1:6" ht="15.75" customHeight="1" x14ac:dyDescent="0.25">
      <c r="A19" s="117" t="s">
        <v>194</v>
      </c>
      <c r="B19" s="117" t="s">
        <v>317</v>
      </c>
      <c r="C19" s="118">
        <f>1-0.94</f>
        <v>6.0000000000000053E-2</v>
      </c>
      <c r="D19" s="118">
        <f>1-0.94</f>
        <v>6.0000000000000053E-2</v>
      </c>
      <c r="E19" s="118">
        <f t="shared" ref="E19:F19" si="0">E2*0.9</f>
        <v>0</v>
      </c>
      <c r="F19" s="118">
        <f t="shared" si="0"/>
        <v>0</v>
      </c>
    </row>
    <row r="20" spans="1:6" ht="15.75" customHeight="1" x14ac:dyDescent="0.25">
      <c r="A20" s="117"/>
      <c r="B20" s="117" t="s">
        <v>316</v>
      </c>
      <c r="C20" s="118">
        <v>1</v>
      </c>
      <c r="D20" s="118">
        <v>1</v>
      </c>
      <c r="E20" s="118">
        <v>1</v>
      </c>
      <c r="F20" s="118">
        <v>1</v>
      </c>
    </row>
    <row r="21" spans="1:6" ht="15.75" customHeight="1" x14ac:dyDescent="0.25">
      <c r="A21" s="117" t="s">
        <v>195</v>
      </c>
      <c r="B21" s="117" t="s">
        <v>317</v>
      </c>
      <c r="C21" s="90">
        <f>1-0.97</f>
        <v>3.0000000000000027E-2</v>
      </c>
      <c r="D21" s="90">
        <v>0</v>
      </c>
      <c r="E21" s="90">
        <f>1-0.97</f>
        <v>3.0000000000000027E-2</v>
      </c>
      <c r="F21" s="90">
        <v>0</v>
      </c>
    </row>
    <row r="22" spans="1:6" ht="15.75" customHeight="1" x14ac:dyDescent="0.25">
      <c r="A22" s="117"/>
      <c r="B22" s="117" t="s">
        <v>316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117" t="s">
        <v>207</v>
      </c>
      <c r="B23" s="117" t="s">
        <v>317</v>
      </c>
      <c r="C23" s="118">
        <f>1-0.86</f>
        <v>0.14000000000000001</v>
      </c>
      <c r="D23" s="118">
        <f>1-0.86</f>
        <v>0.14000000000000001</v>
      </c>
      <c r="E23" s="118">
        <f t="shared" ref="E23:F23" si="1">E6*0.9</f>
        <v>0</v>
      </c>
      <c r="F23" s="118">
        <f t="shared" si="1"/>
        <v>0</v>
      </c>
    </row>
    <row r="24" spans="1:6" ht="15.75" customHeight="1" x14ac:dyDescent="0.25">
      <c r="A24" s="117"/>
      <c r="B24" s="117" t="s">
        <v>316</v>
      </c>
      <c r="C24" s="118">
        <v>1</v>
      </c>
      <c r="D24" s="118">
        <v>1</v>
      </c>
      <c r="E24" s="118">
        <v>1</v>
      </c>
      <c r="F24" s="118">
        <v>1</v>
      </c>
    </row>
    <row r="25" spans="1:6" ht="15.75" customHeight="1" x14ac:dyDescent="0.25">
      <c r="A25" s="117" t="s">
        <v>208</v>
      </c>
      <c r="B25" s="117" t="s">
        <v>317</v>
      </c>
      <c r="C25" s="118">
        <f>1-0.86</f>
        <v>0.14000000000000001</v>
      </c>
      <c r="D25" s="118">
        <f>1-0.86</f>
        <v>0.14000000000000001</v>
      </c>
      <c r="E25" s="118">
        <f t="shared" ref="E25:F25" si="2">E8*0.9</f>
        <v>0</v>
      </c>
      <c r="F25" s="118">
        <f t="shared" si="2"/>
        <v>0</v>
      </c>
    </row>
    <row r="26" spans="1:6" ht="15.75" customHeight="1" x14ac:dyDescent="0.25">
      <c r="A26" s="117"/>
      <c r="B26" s="117" t="s">
        <v>316</v>
      </c>
      <c r="C26" s="118">
        <v>1</v>
      </c>
      <c r="D26" s="118">
        <v>1</v>
      </c>
      <c r="E26" s="118">
        <v>1</v>
      </c>
      <c r="F26" s="118">
        <v>1</v>
      </c>
    </row>
    <row r="27" spans="1:6" ht="15.75" customHeight="1" x14ac:dyDescent="0.25">
      <c r="A27" s="117" t="s">
        <v>209</v>
      </c>
      <c r="B27" s="117" t="s">
        <v>317</v>
      </c>
      <c r="C27" s="118">
        <f>1-0.77</f>
        <v>0.22999999999999998</v>
      </c>
      <c r="D27" s="118">
        <f>1-0.77</f>
        <v>0.22999999999999998</v>
      </c>
      <c r="E27" s="118">
        <f t="shared" ref="E27:F27" si="3">E12*0.9</f>
        <v>0</v>
      </c>
      <c r="F27" s="118">
        <f t="shared" si="3"/>
        <v>0</v>
      </c>
    </row>
    <row r="28" spans="1:6" ht="15.75" customHeight="1" x14ac:dyDescent="0.25">
      <c r="A28" s="117"/>
      <c r="B28" s="117" t="s">
        <v>316</v>
      </c>
      <c r="C28" s="118">
        <v>1</v>
      </c>
      <c r="D28" s="118">
        <v>1</v>
      </c>
      <c r="E28" s="118">
        <v>1</v>
      </c>
      <c r="F28" s="118">
        <v>1</v>
      </c>
    </row>
    <row r="29" spans="1:6" ht="15.75" customHeight="1" x14ac:dyDescent="0.25">
      <c r="A29" s="117" t="s">
        <v>214</v>
      </c>
      <c r="B29" s="117" t="s">
        <v>317</v>
      </c>
      <c r="C29" s="118">
        <f>1-0.77</f>
        <v>0.22999999999999998</v>
      </c>
      <c r="D29" s="118">
        <f>1-0.77</f>
        <v>0.22999999999999998</v>
      </c>
      <c r="E29" s="118">
        <f t="shared" ref="E29:F29" si="4">E12*0.9</f>
        <v>0</v>
      </c>
      <c r="F29" s="118">
        <f t="shared" si="4"/>
        <v>0</v>
      </c>
    </row>
    <row r="30" spans="1:6" ht="15.75" customHeight="1" x14ac:dyDescent="0.25">
      <c r="A30" s="117"/>
      <c r="B30" s="117" t="s">
        <v>316</v>
      </c>
      <c r="C30" s="118">
        <v>1</v>
      </c>
      <c r="D30" s="118">
        <v>1</v>
      </c>
      <c r="E30" s="118">
        <v>1</v>
      </c>
      <c r="F30" s="118">
        <v>1</v>
      </c>
    </row>
    <row r="31" spans="1:6" ht="15.75" customHeight="1" x14ac:dyDescent="0.25">
      <c r="A31" s="117" t="s">
        <v>220</v>
      </c>
      <c r="B31" s="117" t="s">
        <v>317</v>
      </c>
      <c r="C31" s="118">
        <f>1-0.96*0.86</f>
        <v>0.1744</v>
      </c>
      <c r="D31" s="118">
        <f>1-0.96*0.86</f>
        <v>0.1744</v>
      </c>
      <c r="E31" s="118">
        <f t="shared" ref="E31:F31" si="5">E14*0.9</f>
        <v>0</v>
      </c>
      <c r="F31" s="118">
        <f t="shared" si="5"/>
        <v>0</v>
      </c>
    </row>
    <row r="32" spans="1:6" ht="15.75" customHeight="1" x14ac:dyDescent="0.25">
      <c r="A32" s="117"/>
      <c r="B32" s="117" t="s">
        <v>316</v>
      </c>
      <c r="C32" s="118">
        <v>1</v>
      </c>
      <c r="D32" s="118">
        <v>1</v>
      </c>
      <c r="E32" s="118">
        <v>1</v>
      </c>
      <c r="F32" s="118">
        <v>1</v>
      </c>
    </row>
    <row r="34" spans="1:6" s="119" customFormat="1" ht="15.75" customHeight="1" x14ac:dyDescent="0.3">
      <c r="A34" s="119" t="s">
        <v>276</v>
      </c>
    </row>
    <row r="35" spans="1:6" ht="15.75" customHeight="1" x14ac:dyDescent="0.3">
      <c r="A35" s="107" t="s">
        <v>192</v>
      </c>
      <c r="B35" s="105"/>
      <c r="C35" s="105" t="s">
        <v>71</v>
      </c>
      <c r="D35" s="105" t="s">
        <v>78</v>
      </c>
      <c r="E35" s="105" t="s">
        <v>70</v>
      </c>
      <c r="F35" s="107" t="s">
        <v>77</v>
      </c>
    </row>
    <row r="36" spans="1:6" ht="15.75" customHeight="1" x14ac:dyDescent="0.25">
      <c r="A36" s="117" t="s">
        <v>194</v>
      </c>
      <c r="B36" s="117" t="s">
        <v>317</v>
      </c>
      <c r="C36" s="118">
        <f>1-0.54</f>
        <v>0.45999999999999996</v>
      </c>
      <c r="D36" s="118">
        <f>1-0.54</f>
        <v>0.45999999999999996</v>
      </c>
      <c r="E36" s="118">
        <f t="shared" ref="E36:F36" si="6">E2*1.1</f>
        <v>0</v>
      </c>
      <c r="F36" s="118">
        <f t="shared" si="6"/>
        <v>0</v>
      </c>
    </row>
    <row r="37" spans="1:6" ht="15.75" customHeight="1" x14ac:dyDescent="0.25">
      <c r="A37" s="117"/>
      <c r="B37" s="117" t="s">
        <v>316</v>
      </c>
      <c r="C37" s="118">
        <v>1</v>
      </c>
      <c r="D37" s="118">
        <v>1</v>
      </c>
      <c r="E37" s="118">
        <v>1</v>
      </c>
      <c r="F37" s="118">
        <v>1</v>
      </c>
    </row>
    <row r="38" spans="1:6" ht="15.75" customHeight="1" x14ac:dyDescent="0.25">
      <c r="A38" s="117" t="s">
        <v>195</v>
      </c>
      <c r="B38" s="117" t="s">
        <v>317</v>
      </c>
      <c r="C38" s="90">
        <f>1-0.6</f>
        <v>0.4</v>
      </c>
      <c r="D38" s="90">
        <v>0</v>
      </c>
      <c r="E38" s="90">
        <f>1-0.6</f>
        <v>0.4</v>
      </c>
      <c r="F38" s="90">
        <v>0</v>
      </c>
    </row>
    <row r="39" spans="1:6" ht="15.75" customHeight="1" x14ac:dyDescent="0.25">
      <c r="A39" s="117"/>
      <c r="B39" s="117" t="s">
        <v>316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117" t="s">
        <v>207</v>
      </c>
      <c r="B40" s="117" t="s">
        <v>317</v>
      </c>
      <c r="C40" s="118">
        <f>1-0.17</f>
        <v>0.83</v>
      </c>
      <c r="D40" s="118">
        <f>1-0.17</f>
        <v>0.83</v>
      </c>
      <c r="E40" s="118">
        <f t="shared" ref="E40:F40" si="7">E6*1.1</f>
        <v>0</v>
      </c>
      <c r="F40" s="118">
        <f t="shared" si="7"/>
        <v>0</v>
      </c>
    </row>
    <row r="41" spans="1:6" ht="15.75" customHeight="1" x14ac:dyDescent="0.25">
      <c r="A41" s="117"/>
      <c r="B41" s="117" t="s">
        <v>316</v>
      </c>
      <c r="C41" s="118">
        <v>1</v>
      </c>
      <c r="D41" s="118">
        <v>1</v>
      </c>
      <c r="E41" s="118">
        <v>1</v>
      </c>
      <c r="F41" s="118">
        <v>1</v>
      </c>
    </row>
    <row r="42" spans="1:6" ht="15.75" customHeight="1" x14ac:dyDescent="0.25">
      <c r="A42" s="117" t="s">
        <v>208</v>
      </c>
      <c r="B42" s="117" t="s">
        <v>317</v>
      </c>
      <c r="C42" s="118">
        <f>1-0.17</f>
        <v>0.83</v>
      </c>
      <c r="D42" s="118">
        <f>1-0.17</f>
        <v>0.83</v>
      </c>
      <c r="E42" s="118">
        <f t="shared" ref="E42:F42" si="8">E8*1.1</f>
        <v>0</v>
      </c>
      <c r="F42" s="118">
        <f t="shared" si="8"/>
        <v>0</v>
      </c>
    </row>
    <row r="43" spans="1:6" ht="15.75" customHeight="1" x14ac:dyDescent="0.25">
      <c r="A43" s="117"/>
      <c r="B43" s="117" t="s">
        <v>316</v>
      </c>
      <c r="C43" s="118">
        <v>1</v>
      </c>
      <c r="D43" s="118">
        <v>1</v>
      </c>
      <c r="E43" s="118">
        <v>1</v>
      </c>
      <c r="F43" s="118">
        <v>1</v>
      </c>
    </row>
    <row r="44" spans="1:6" ht="15.75" customHeight="1" x14ac:dyDescent="0.25">
      <c r="A44" s="117" t="s">
        <v>209</v>
      </c>
      <c r="B44" s="117" t="s">
        <v>317</v>
      </c>
      <c r="C44" s="118">
        <f>1-0.55</f>
        <v>0.44999999999999996</v>
      </c>
      <c r="D44" s="118">
        <f>1-0.55</f>
        <v>0.44999999999999996</v>
      </c>
      <c r="E44" s="118">
        <f t="shared" ref="E44:F44" si="9">E10*1.1</f>
        <v>0</v>
      </c>
      <c r="F44" s="118">
        <f t="shared" si="9"/>
        <v>0</v>
      </c>
    </row>
    <row r="45" spans="1:6" ht="15.75" customHeight="1" x14ac:dyDescent="0.25">
      <c r="A45" s="117"/>
      <c r="B45" s="117" t="s">
        <v>316</v>
      </c>
      <c r="C45" s="118">
        <v>1</v>
      </c>
      <c r="D45" s="118">
        <v>1</v>
      </c>
      <c r="E45" s="118">
        <v>1</v>
      </c>
      <c r="F45" s="118">
        <v>1</v>
      </c>
    </row>
    <row r="46" spans="1:6" ht="15.75" customHeight="1" x14ac:dyDescent="0.25">
      <c r="A46" s="117" t="s">
        <v>214</v>
      </c>
      <c r="B46" s="117" t="s">
        <v>317</v>
      </c>
      <c r="C46" s="118">
        <f>1-0.55</f>
        <v>0.44999999999999996</v>
      </c>
      <c r="D46" s="118">
        <f>1-0.55</f>
        <v>0.44999999999999996</v>
      </c>
      <c r="E46" s="118">
        <f t="shared" ref="E46:F46" si="10">E12*1.1</f>
        <v>0</v>
      </c>
      <c r="F46" s="118">
        <f t="shared" si="10"/>
        <v>0</v>
      </c>
    </row>
    <row r="47" spans="1:6" ht="15.75" customHeight="1" x14ac:dyDescent="0.25">
      <c r="A47" s="117"/>
      <c r="B47" s="117" t="s">
        <v>316</v>
      </c>
      <c r="C47" s="118">
        <v>1</v>
      </c>
      <c r="D47" s="118">
        <v>1</v>
      </c>
      <c r="E47" s="118">
        <v>1</v>
      </c>
      <c r="F47" s="118">
        <v>1</v>
      </c>
    </row>
    <row r="48" spans="1:6" ht="15.75" customHeight="1" x14ac:dyDescent="0.25">
      <c r="A48" s="117" t="s">
        <v>220</v>
      </c>
      <c r="B48" s="117" t="s">
        <v>317</v>
      </c>
      <c r="C48" s="118">
        <f>1-0.84*0.17</f>
        <v>0.85719999999999996</v>
      </c>
      <c r="D48" s="118">
        <f>1-0.84*0.17</f>
        <v>0.85719999999999996</v>
      </c>
      <c r="E48" s="118">
        <f t="shared" ref="E48:F48" si="11">E14*1.1</f>
        <v>0</v>
      </c>
      <c r="F48" s="118">
        <f t="shared" si="11"/>
        <v>0</v>
      </c>
    </row>
    <row r="49" spans="1:6" ht="15.75" customHeight="1" x14ac:dyDescent="0.25">
      <c r="A49" s="117"/>
      <c r="B49" s="117" t="s">
        <v>316</v>
      </c>
      <c r="C49" s="118">
        <v>1</v>
      </c>
      <c r="D49" s="118">
        <v>1</v>
      </c>
      <c r="E49" s="118">
        <v>1</v>
      </c>
      <c r="F49" s="118">
        <v>1</v>
      </c>
    </row>
  </sheetData>
  <sheetProtection algorithmName="SHA-512" hashValue="hKZiRNjWyCOTASz6RCq1JtQn/tUQsUElWiPyuZP6OVOzTzfYomg4qyDcrtVZq6zyt2aovPrdM6UjUrvWphETlw==" saltValue="Q7fMG0/vFFf3qpWt7806x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2">
    <tabColor theme="0" tint="-0.249977111117893"/>
  </sheetPr>
  <dimension ref="A1:F79"/>
  <sheetViews>
    <sheetView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8" width="16.08984375" style="8" customWidth="1"/>
    <col min="9" max="16384" width="16.08984375" style="8"/>
  </cols>
  <sheetData>
    <row r="1" spans="1:6" s="68" customFormat="1" ht="18.75" customHeight="1" x14ac:dyDescent="0.3">
      <c r="A1" s="67" t="s">
        <v>320</v>
      </c>
    </row>
    <row r="2" spans="1:6" ht="15.75" customHeight="1" x14ac:dyDescent="0.3">
      <c r="B2" s="69"/>
      <c r="C2" s="26" t="s">
        <v>77</v>
      </c>
      <c r="D2" s="70" t="s">
        <v>78</v>
      </c>
      <c r="E2" s="70" t="s">
        <v>70</v>
      </c>
      <c r="F2" s="70" t="s">
        <v>71</v>
      </c>
    </row>
    <row r="3" spans="1:6" ht="15.75" customHeight="1" x14ac:dyDescent="0.3">
      <c r="A3" s="4" t="s">
        <v>327</v>
      </c>
      <c r="B3" s="14"/>
      <c r="C3" s="71"/>
      <c r="D3" s="72"/>
      <c r="E3" s="72"/>
      <c r="F3" s="72"/>
    </row>
    <row r="4" spans="1:6" ht="15.75" customHeight="1" x14ac:dyDescent="0.25">
      <c r="B4" s="5" t="s">
        <v>46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82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29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30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324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333</v>
      </c>
      <c r="C11" s="74"/>
      <c r="D11" s="75"/>
      <c r="E11" s="75"/>
      <c r="F11" s="75"/>
    </row>
    <row r="12" spans="1:6" ht="15.75" customHeight="1" x14ac:dyDescent="0.3">
      <c r="A12" s="4" t="s">
        <v>321</v>
      </c>
      <c r="C12" s="73"/>
      <c r="D12" s="64"/>
      <c r="E12" s="64"/>
      <c r="F12" s="64"/>
    </row>
    <row r="13" spans="1:6" ht="15.75" customHeight="1" x14ac:dyDescent="0.25">
      <c r="B13" s="11" t="s">
        <v>336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126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138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330</v>
      </c>
      <c r="B17" s="14"/>
      <c r="C17" s="77"/>
      <c r="D17" s="78"/>
      <c r="E17" s="78"/>
      <c r="F17" s="78"/>
    </row>
    <row r="18" spans="1:6" ht="15.75" customHeight="1" x14ac:dyDescent="0.25">
      <c r="B18" s="5" t="s">
        <v>112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116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114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110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115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117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111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113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266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320</v>
      </c>
    </row>
    <row r="29" spans="1:6" ht="15.75" customHeight="1" x14ac:dyDescent="0.3">
      <c r="B29" s="69"/>
      <c r="C29" s="26" t="s">
        <v>77</v>
      </c>
      <c r="D29" s="70" t="s">
        <v>78</v>
      </c>
      <c r="E29" s="70" t="s">
        <v>70</v>
      </c>
      <c r="F29" s="70" t="s">
        <v>71</v>
      </c>
    </row>
    <row r="30" spans="1:6" ht="15.75" customHeight="1" x14ac:dyDescent="0.3">
      <c r="A30" s="4" t="s">
        <v>328</v>
      </c>
      <c r="B30" s="14"/>
      <c r="C30" s="71"/>
      <c r="D30" s="72"/>
      <c r="E30" s="72"/>
      <c r="F30" s="72"/>
    </row>
    <row r="31" spans="1:6" ht="15.75" customHeight="1" x14ac:dyDescent="0.25">
      <c r="B31" s="5" t="s">
        <v>46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82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29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30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325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333</v>
      </c>
      <c r="B38" s="68"/>
      <c r="C38" s="74"/>
      <c r="D38" s="75"/>
      <c r="E38" s="75"/>
      <c r="F38" s="75"/>
    </row>
    <row r="39" spans="1:6" ht="15.75" customHeight="1" x14ac:dyDescent="0.3">
      <c r="A39" s="4" t="s">
        <v>322</v>
      </c>
      <c r="C39" s="73"/>
      <c r="D39" s="64"/>
      <c r="E39" s="64"/>
      <c r="F39" s="64"/>
    </row>
    <row r="40" spans="1:6" ht="15.75" customHeight="1" x14ac:dyDescent="0.25">
      <c r="B40" s="11" t="s">
        <v>337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318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334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331</v>
      </c>
      <c r="B44" s="14"/>
      <c r="C44" s="77"/>
      <c r="D44" s="78"/>
      <c r="E44" s="78"/>
      <c r="F44" s="78"/>
    </row>
    <row r="45" spans="1:6" ht="15.75" customHeight="1" x14ac:dyDescent="0.25">
      <c r="B45" s="5" t="s">
        <v>112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116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114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110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115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117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111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113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276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320</v>
      </c>
    </row>
    <row r="56" spans="1:6" ht="15.75" customHeight="1" x14ac:dyDescent="0.3">
      <c r="B56" s="69"/>
      <c r="C56" s="26" t="s">
        <v>77</v>
      </c>
      <c r="D56" s="70" t="s">
        <v>78</v>
      </c>
      <c r="E56" s="70" t="s">
        <v>70</v>
      </c>
      <c r="F56" s="70" t="s">
        <v>71</v>
      </c>
    </row>
    <row r="57" spans="1:6" ht="15.75" customHeight="1" x14ac:dyDescent="0.3">
      <c r="A57" s="4" t="s">
        <v>329</v>
      </c>
      <c r="B57" s="14"/>
      <c r="C57" s="71"/>
      <c r="D57" s="72"/>
      <c r="E57" s="72"/>
      <c r="F57" s="72"/>
    </row>
    <row r="58" spans="1:6" ht="15.75" customHeight="1" x14ac:dyDescent="0.25">
      <c r="B58" s="5" t="s">
        <v>46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82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29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30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326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333</v>
      </c>
      <c r="B65" s="68"/>
      <c r="C65" s="74"/>
      <c r="D65" s="75"/>
      <c r="E65" s="75"/>
      <c r="F65" s="75"/>
    </row>
    <row r="66" spans="1:6" ht="15.75" customHeight="1" x14ac:dyDescent="0.3">
      <c r="A66" s="4" t="s">
        <v>323</v>
      </c>
      <c r="C66" s="73"/>
      <c r="D66" s="64"/>
      <c r="E66" s="64"/>
      <c r="F66" s="64"/>
    </row>
    <row r="67" spans="1:6" ht="15.75" customHeight="1" x14ac:dyDescent="0.25">
      <c r="B67" s="11" t="s">
        <v>338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319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335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332</v>
      </c>
      <c r="B71" s="14"/>
      <c r="C71" s="77"/>
      <c r="D71" s="78"/>
      <c r="E71" s="78"/>
      <c r="F71" s="78"/>
    </row>
    <row r="72" spans="1:6" ht="15.75" customHeight="1" x14ac:dyDescent="0.25">
      <c r="B72" s="5" t="s">
        <v>112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116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114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110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115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117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111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113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fDuMxDecBSlMiGdkCWFpyX2e3WE8RLXmr6D/bWSx2E2++yKclb7V6YNd+B2ZVygfKCP94KP7RAmrsJD7Ad8Aww==" saltValue="/PYBNizqro+ovEcyGgiq1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3">
    <tabColor theme="0" tint="-0.249977111117893"/>
  </sheetPr>
  <dimension ref="A1:P328"/>
  <sheetViews>
    <sheetView topLeftCell="A19" zoomScaleNormal="100" workbookViewId="0">
      <selection activeCell="D30" sqref="D30"/>
    </sheetView>
  </sheetViews>
  <sheetFormatPr defaultColWidth="12.6328125" defaultRowHeight="12.5" x14ac:dyDescent="0.25"/>
  <cols>
    <col min="1" max="1" width="27.36328125" style="8" customWidth="1"/>
    <col min="2" max="2" width="26.90625" style="8" customWidth="1"/>
    <col min="3" max="3" width="18.36328125" style="8" customWidth="1"/>
    <col min="4" max="8" width="14.6328125" style="8" customWidth="1"/>
    <col min="9" max="12" width="15.36328125" style="8" bestFit="1" customWidth="1"/>
    <col min="13" max="16" width="16.90625" style="8" bestFit="1" customWidth="1"/>
    <col min="17" max="18" width="12.6328125" style="8" customWidth="1"/>
    <col min="19" max="16384" width="12.6328125" style="8"/>
  </cols>
  <sheetData>
    <row r="1" spans="1:16" s="68" customFormat="1" ht="13" x14ac:dyDescent="0.3">
      <c r="A1" s="67" t="s">
        <v>350</v>
      </c>
    </row>
    <row r="2" spans="1:16" ht="13" x14ac:dyDescent="0.3">
      <c r="A2" s="39" t="s">
        <v>260</v>
      </c>
      <c r="B2" s="1" t="s">
        <v>342</v>
      </c>
      <c r="C2" s="1" t="s">
        <v>343</v>
      </c>
      <c r="D2" s="70" t="s">
        <v>97</v>
      </c>
      <c r="E2" s="70" t="s">
        <v>93</v>
      </c>
      <c r="F2" s="70" t="s">
        <v>96</v>
      </c>
      <c r="G2" s="70" t="s">
        <v>94</v>
      </c>
      <c r="H2" s="70" t="s">
        <v>95</v>
      </c>
      <c r="I2" s="79"/>
      <c r="J2" s="79"/>
      <c r="K2" s="79"/>
      <c r="L2" s="79"/>
      <c r="M2" s="79"/>
      <c r="N2" s="79"/>
      <c r="O2" s="79"/>
      <c r="P2" s="79"/>
    </row>
    <row r="3" spans="1:16" ht="13" x14ac:dyDescent="0.3">
      <c r="A3" s="4"/>
      <c r="B3" s="8" t="s">
        <v>103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345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346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344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121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345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346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344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109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345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346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344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345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346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344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345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346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344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118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345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346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344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x14ac:dyDescent="0.3">
      <c r="A28" s="67" t="s">
        <v>351</v>
      </c>
    </row>
    <row r="29" spans="1:16" ht="13" x14ac:dyDescent="0.3">
      <c r="A29" s="39" t="s">
        <v>311</v>
      </c>
      <c r="B29" s="4" t="s">
        <v>342</v>
      </c>
      <c r="C29" s="4" t="s">
        <v>353</v>
      </c>
      <c r="D29" s="70" t="s">
        <v>97</v>
      </c>
      <c r="E29" s="70" t="s">
        <v>93</v>
      </c>
      <c r="F29" s="70" t="s">
        <v>96</v>
      </c>
      <c r="G29" s="70" t="s">
        <v>94</v>
      </c>
      <c r="H29" s="70" t="s">
        <v>95</v>
      </c>
      <c r="I29" s="79"/>
      <c r="J29" s="79"/>
      <c r="K29" s="79"/>
      <c r="L29" s="79"/>
      <c r="M29" s="79"/>
      <c r="N29" s="79"/>
      <c r="O29" s="79"/>
      <c r="P29" s="79"/>
    </row>
    <row r="30" spans="1:16" ht="13" x14ac:dyDescent="0.3">
      <c r="A30" s="4"/>
      <c r="B30" s="8" t="s">
        <v>103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345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236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121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345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236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109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345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236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345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236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345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236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118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345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236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x14ac:dyDescent="0.3">
      <c r="A55" s="67" t="s">
        <v>348</v>
      </c>
    </row>
    <row r="56" spans="1:16" ht="26.4" customHeight="1" x14ac:dyDescent="0.3">
      <c r="A56" s="39" t="s">
        <v>124</v>
      </c>
      <c r="B56" s="4" t="s">
        <v>342</v>
      </c>
      <c r="C56" s="69" t="s">
        <v>339</v>
      </c>
      <c r="D56" s="70" t="s">
        <v>132</v>
      </c>
      <c r="E56" s="70" t="s">
        <v>133</v>
      </c>
      <c r="F56" s="70" t="s">
        <v>134</v>
      </c>
      <c r="G56" s="70" t="s">
        <v>135</v>
      </c>
      <c r="H56" s="79"/>
      <c r="M56" s="79"/>
      <c r="N56" s="79"/>
      <c r="O56" s="79"/>
      <c r="P56" s="79"/>
    </row>
    <row r="57" spans="1:16" ht="13" x14ac:dyDescent="0.3">
      <c r="A57" s="4"/>
      <c r="B57" s="8" t="s">
        <v>100</v>
      </c>
      <c r="C57" s="3" t="s">
        <v>347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340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108</v>
      </c>
      <c r="C59" s="3" t="s">
        <v>347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340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122</v>
      </c>
      <c r="C61" s="3" t="s">
        <v>347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340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x14ac:dyDescent="0.3">
      <c r="A64" s="67" t="s">
        <v>349</v>
      </c>
    </row>
    <row r="65" spans="1:16" ht="26.4" customHeight="1" x14ac:dyDescent="0.3">
      <c r="A65" s="39" t="s">
        <v>142</v>
      </c>
      <c r="B65" s="4" t="s">
        <v>342</v>
      </c>
      <c r="C65" s="69" t="s">
        <v>341</v>
      </c>
      <c r="D65" s="70" t="s">
        <v>97</v>
      </c>
      <c r="E65" s="70" t="s">
        <v>93</v>
      </c>
      <c r="F65" s="70" t="s">
        <v>96</v>
      </c>
      <c r="G65" s="70" t="s">
        <v>94</v>
      </c>
      <c r="H65" s="81" t="s">
        <v>95</v>
      </c>
      <c r="I65" s="79"/>
      <c r="J65" s="79"/>
      <c r="K65" s="79"/>
      <c r="L65" s="79"/>
      <c r="M65" s="79"/>
      <c r="N65" s="79"/>
      <c r="O65" s="79"/>
      <c r="P65" s="79"/>
    </row>
    <row r="66" spans="1:16" ht="13" x14ac:dyDescent="0.3">
      <c r="A66" s="82"/>
      <c r="B66" s="8" t="s">
        <v>112</v>
      </c>
      <c r="C66" s="3" t="s">
        <v>143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146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145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144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116</v>
      </c>
      <c r="C70" s="3" t="s">
        <v>143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146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145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144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114</v>
      </c>
      <c r="C74" s="3" t="s">
        <v>143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146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145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144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115</v>
      </c>
      <c r="C78" s="3" t="s">
        <v>143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146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145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144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103</v>
      </c>
      <c r="C82" s="3" t="s">
        <v>143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146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145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144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121</v>
      </c>
      <c r="C86" s="3" t="s">
        <v>143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146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145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144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109</v>
      </c>
      <c r="C90" s="3" t="s">
        <v>143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146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145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144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143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146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145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144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120</v>
      </c>
      <c r="C98" s="3" t="s">
        <v>143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146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145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144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x14ac:dyDescent="0.3">
      <c r="A103" s="67" t="s">
        <v>352</v>
      </c>
    </row>
    <row r="104" spans="1:16" ht="26.4" customHeight="1" x14ac:dyDescent="0.3">
      <c r="A104" s="39" t="s">
        <v>103</v>
      </c>
      <c r="B104" s="82" t="s">
        <v>144</v>
      </c>
      <c r="C104" s="69" t="s">
        <v>341</v>
      </c>
      <c r="D104" s="70" t="s">
        <v>97</v>
      </c>
      <c r="E104" s="70" t="s">
        <v>93</v>
      </c>
      <c r="F104" s="70" t="s">
        <v>96</v>
      </c>
      <c r="G104" s="70" t="s">
        <v>94</v>
      </c>
      <c r="H104" s="81" t="s">
        <v>95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x14ac:dyDescent="0.3">
      <c r="A105" s="4"/>
      <c r="C105" s="3" t="s">
        <v>143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146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145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144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x14ac:dyDescent="0.3">
      <c r="A110" s="92" t="s">
        <v>266</v>
      </c>
      <c r="H110" s="92"/>
    </row>
    <row r="111" spans="1:16" ht="13" x14ac:dyDescent="0.3">
      <c r="A111" s="67" t="s">
        <v>350</v>
      </c>
      <c r="B111" s="68"/>
      <c r="C111" s="68"/>
      <c r="D111" s="68"/>
      <c r="E111" s="68"/>
      <c r="F111" s="68"/>
      <c r="G111" s="68"/>
      <c r="H111" s="68"/>
    </row>
    <row r="112" spans="1:16" ht="13" x14ac:dyDescent="0.3">
      <c r="A112" s="39" t="s">
        <v>260</v>
      </c>
      <c r="B112" s="1" t="s">
        <v>342</v>
      </c>
      <c r="C112" s="1" t="s">
        <v>343</v>
      </c>
      <c r="D112" s="70" t="s">
        <v>97</v>
      </c>
      <c r="E112" s="70" t="s">
        <v>93</v>
      </c>
      <c r="F112" s="70" t="s">
        <v>96</v>
      </c>
      <c r="G112" s="70" t="s">
        <v>94</v>
      </c>
      <c r="H112" s="70" t="s">
        <v>95</v>
      </c>
    </row>
    <row r="113" spans="1:8" ht="13" x14ac:dyDescent="0.3">
      <c r="A113" s="4"/>
      <c r="B113" s="8" t="s">
        <v>103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345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346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344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121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345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346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344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109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345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346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344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345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346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344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345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346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344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118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345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346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344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x14ac:dyDescent="0.3">
      <c r="A138" s="67" t="s">
        <v>351</v>
      </c>
      <c r="B138" s="68"/>
      <c r="C138" s="68"/>
      <c r="D138" s="68"/>
      <c r="E138" s="68"/>
      <c r="F138" s="68"/>
      <c r="G138" s="68"/>
      <c r="H138" s="68"/>
    </row>
    <row r="139" spans="1:8" ht="13" x14ac:dyDescent="0.3">
      <c r="A139" s="39" t="s">
        <v>311</v>
      </c>
      <c r="B139" s="4" t="s">
        <v>342</v>
      </c>
      <c r="C139" s="4" t="s">
        <v>353</v>
      </c>
      <c r="D139" s="70" t="s">
        <v>97</v>
      </c>
      <c r="E139" s="70" t="s">
        <v>93</v>
      </c>
      <c r="F139" s="70" t="s">
        <v>96</v>
      </c>
      <c r="G139" s="70" t="s">
        <v>94</v>
      </c>
      <c r="H139" s="70" t="s">
        <v>95</v>
      </c>
    </row>
    <row r="140" spans="1:8" ht="13" x14ac:dyDescent="0.3">
      <c r="A140" s="4"/>
      <c r="B140" s="8" t="s">
        <v>103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345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236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121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345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236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109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345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236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345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236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345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236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118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345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236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x14ac:dyDescent="0.3">
      <c r="A165" s="67" t="s">
        <v>348</v>
      </c>
      <c r="B165" s="68"/>
      <c r="C165" s="68"/>
      <c r="D165" s="68"/>
      <c r="E165" s="68"/>
      <c r="F165" s="68"/>
      <c r="G165" s="68"/>
      <c r="H165" s="68"/>
    </row>
    <row r="166" spans="1:8" ht="26.4" customHeight="1" x14ac:dyDescent="0.3">
      <c r="A166" s="39" t="s">
        <v>124</v>
      </c>
      <c r="B166" s="4" t="s">
        <v>342</v>
      </c>
      <c r="C166" s="69" t="s">
        <v>339</v>
      </c>
      <c r="D166" s="70" t="s">
        <v>132</v>
      </c>
      <c r="E166" s="70" t="s">
        <v>133</v>
      </c>
      <c r="F166" s="70" t="s">
        <v>134</v>
      </c>
      <c r="G166" s="70" t="s">
        <v>135</v>
      </c>
      <c r="H166" s="79"/>
    </row>
    <row r="167" spans="1:8" ht="13" x14ac:dyDescent="0.3">
      <c r="A167" s="4"/>
      <c r="B167" s="8" t="s">
        <v>100</v>
      </c>
      <c r="C167" s="3" t="s">
        <v>347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340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108</v>
      </c>
      <c r="C169" s="3" t="s">
        <v>347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340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122</v>
      </c>
      <c r="C171" s="3" t="s">
        <v>347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340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x14ac:dyDescent="0.3">
      <c r="A174" s="67" t="s">
        <v>349</v>
      </c>
      <c r="B174" s="68"/>
      <c r="C174" s="68"/>
      <c r="D174" s="68"/>
      <c r="E174" s="68"/>
      <c r="F174" s="68"/>
      <c r="G174" s="68"/>
      <c r="H174" s="68"/>
    </row>
    <row r="175" spans="1:8" ht="26.4" customHeight="1" x14ac:dyDescent="0.3">
      <c r="A175" s="39" t="s">
        <v>142</v>
      </c>
      <c r="B175" s="4" t="s">
        <v>342</v>
      </c>
      <c r="C175" s="69" t="s">
        <v>341</v>
      </c>
      <c r="D175" s="70" t="s">
        <v>97</v>
      </c>
      <c r="E175" s="70" t="s">
        <v>93</v>
      </c>
      <c r="F175" s="70" t="s">
        <v>96</v>
      </c>
      <c r="G175" s="70" t="s">
        <v>94</v>
      </c>
      <c r="H175" s="81" t="s">
        <v>95</v>
      </c>
    </row>
    <row r="176" spans="1:8" ht="13" x14ac:dyDescent="0.3">
      <c r="A176" s="82"/>
      <c r="B176" s="8" t="s">
        <v>112</v>
      </c>
      <c r="C176" s="3" t="s">
        <v>143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146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145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144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116</v>
      </c>
      <c r="C180" s="3" t="s">
        <v>143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146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145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144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114</v>
      </c>
      <c r="C184" s="3" t="s">
        <v>143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146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145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144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115</v>
      </c>
      <c r="C188" s="3" t="s">
        <v>143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146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145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144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103</v>
      </c>
      <c r="C192" s="3" t="s">
        <v>143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146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145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144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121</v>
      </c>
      <c r="C196" s="3" t="s">
        <v>143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146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145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144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109</v>
      </c>
      <c r="C200" s="3" t="s">
        <v>143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146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145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144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143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146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145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144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120</v>
      </c>
      <c r="C208" s="3" t="s">
        <v>143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146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145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144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x14ac:dyDescent="0.3">
      <c r="A213" s="67" t="s">
        <v>352</v>
      </c>
      <c r="B213" s="68"/>
      <c r="C213" s="68"/>
      <c r="D213" s="68"/>
      <c r="E213" s="68"/>
      <c r="F213" s="68"/>
      <c r="G213" s="68"/>
      <c r="H213" s="68"/>
    </row>
    <row r="214" spans="1:9" ht="26.4" customHeight="1" x14ac:dyDescent="0.3">
      <c r="A214" s="39" t="s">
        <v>103</v>
      </c>
      <c r="B214" s="82" t="s">
        <v>144</v>
      </c>
      <c r="C214" s="69" t="s">
        <v>341</v>
      </c>
      <c r="D214" s="70" t="s">
        <v>97</v>
      </c>
      <c r="E214" s="70" t="s">
        <v>93</v>
      </c>
      <c r="F214" s="70" t="s">
        <v>96</v>
      </c>
      <c r="G214" s="70" t="s">
        <v>94</v>
      </c>
      <c r="H214" s="81" t="s">
        <v>95</v>
      </c>
    </row>
    <row r="215" spans="1:9" ht="13" x14ac:dyDescent="0.3">
      <c r="A215" s="4"/>
      <c r="C215" s="3" t="s">
        <v>143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146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145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144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x14ac:dyDescent="0.3">
      <c r="A220" s="92" t="s">
        <v>276</v>
      </c>
      <c r="H220" s="92"/>
    </row>
    <row r="221" spans="1:9" ht="13" x14ac:dyDescent="0.3">
      <c r="A221" s="67" t="s">
        <v>350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x14ac:dyDescent="0.3">
      <c r="A222" s="39" t="s">
        <v>260</v>
      </c>
      <c r="B222" s="1" t="s">
        <v>342</v>
      </c>
      <c r="C222" s="1" t="s">
        <v>343</v>
      </c>
      <c r="D222" s="70" t="s">
        <v>97</v>
      </c>
      <c r="E222" s="70" t="s">
        <v>93</v>
      </c>
      <c r="F222" s="70" t="s">
        <v>96</v>
      </c>
      <c r="G222" s="70" t="s">
        <v>94</v>
      </c>
      <c r="H222" s="70" t="s">
        <v>95</v>
      </c>
      <c r="I222" s="79"/>
    </row>
    <row r="223" spans="1:9" ht="13" x14ac:dyDescent="0.3">
      <c r="A223" s="4"/>
      <c r="B223" s="8" t="s">
        <v>103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345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346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344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121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345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346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344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109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345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346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344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345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346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344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345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346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344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118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345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346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344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x14ac:dyDescent="0.3">
      <c r="A248" s="67" t="s">
        <v>351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x14ac:dyDescent="0.3">
      <c r="A249" s="39" t="s">
        <v>311</v>
      </c>
      <c r="B249" s="4" t="s">
        <v>342</v>
      </c>
      <c r="C249" s="4" t="s">
        <v>353</v>
      </c>
      <c r="D249" s="70" t="s">
        <v>97</v>
      </c>
      <c r="E249" s="70" t="s">
        <v>93</v>
      </c>
      <c r="F249" s="70" t="s">
        <v>96</v>
      </c>
      <c r="G249" s="70" t="s">
        <v>94</v>
      </c>
      <c r="H249" s="70" t="s">
        <v>95</v>
      </c>
      <c r="I249" s="79"/>
    </row>
    <row r="250" spans="1:9" ht="13" x14ac:dyDescent="0.3">
      <c r="A250" s="4"/>
      <c r="B250" s="8" t="s">
        <v>103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345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236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121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345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236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109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345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236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345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236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345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236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118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345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236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x14ac:dyDescent="0.3">
      <c r="A275" s="67" t="s">
        <v>348</v>
      </c>
      <c r="B275" s="68"/>
      <c r="C275" s="68"/>
      <c r="D275" s="68"/>
      <c r="E275" s="68"/>
      <c r="F275" s="68"/>
      <c r="G275" s="68"/>
      <c r="H275" s="68"/>
      <c r="I275" s="68"/>
    </row>
    <row r="276" spans="1:9" ht="26.4" customHeight="1" x14ac:dyDescent="0.3">
      <c r="A276" s="39" t="s">
        <v>124</v>
      </c>
      <c r="B276" s="4" t="s">
        <v>342</v>
      </c>
      <c r="C276" s="69" t="s">
        <v>339</v>
      </c>
      <c r="D276" s="70" t="s">
        <v>132</v>
      </c>
      <c r="E276" s="70" t="s">
        <v>133</v>
      </c>
      <c r="F276" s="70" t="s">
        <v>134</v>
      </c>
      <c r="G276" s="70" t="s">
        <v>135</v>
      </c>
      <c r="H276" s="79"/>
    </row>
    <row r="277" spans="1:9" ht="13" x14ac:dyDescent="0.3">
      <c r="A277" s="4"/>
      <c r="B277" s="8" t="s">
        <v>100</v>
      </c>
      <c r="C277" s="3" t="s">
        <v>347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340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108</v>
      </c>
      <c r="C279" s="3" t="s">
        <v>347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340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122</v>
      </c>
      <c r="C281" s="3" t="s">
        <v>347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340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x14ac:dyDescent="0.3">
      <c r="A284" s="67" t="s">
        <v>349</v>
      </c>
      <c r="B284" s="68"/>
      <c r="C284" s="68"/>
      <c r="D284" s="68"/>
      <c r="E284" s="68"/>
      <c r="F284" s="68"/>
      <c r="G284" s="68"/>
      <c r="H284" s="68"/>
      <c r="I284" s="68"/>
    </row>
    <row r="285" spans="1:9" ht="26.4" customHeight="1" x14ac:dyDescent="0.3">
      <c r="A285" s="39" t="s">
        <v>142</v>
      </c>
      <c r="B285" s="4" t="s">
        <v>342</v>
      </c>
      <c r="C285" s="69" t="s">
        <v>341</v>
      </c>
      <c r="D285" s="70" t="s">
        <v>97</v>
      </c>
      <c r="E285" s="70" t="s">
        <v>93</v>
      </c>
      <c r="F285" s="70" t="s">
        <v>96</v>
      </c>
      <c r="G285" s="70" t="s">
        <v>94</v>
      </c>
      <c r="H285" s="81" t="s">
        <v>95</v>
      </c>
      <c r="I285" s="79"/>
    </row>
    <row r="286" spans="1:9" ht="13" x14ac:dyDescent="0.3">
      <c r="A286" s="82"/>
      <c r="B286" s="8" t="s">
        <v>112</v>
      </c>
      <c r="C286" s="3" t="s">
        <v>143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146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145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144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116</v>
      </c>
      <c r="C290" s="3" t="s">
        <v>143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146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145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144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114</v>
      </c>
      <c r="C294" s="3" t="s">
        <v>143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146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145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144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115</v>
      </c>
      <c r="C298" s="3" t="s">
        <v>143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146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145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144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103</v>
      </c>
      <c r="C302" s="3" t="s">
        <v>143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146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145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144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121</v>
      </c>
      <c r="C306" s="3" t="s">
        <v>143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146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145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144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109</v>
      </c>
      <c r="C310" s="3" t="s">
        <v>143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146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145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144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143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146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145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144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120</v>
      </c>
      <c r="C318" s="3" t="s">
        <v>143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146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145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144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x14ac:dyDescent="0.3">
      <c r="A323" s="67" t="s">
        <v>352</v>
      </c>
      <c r="B323" s="68"/>
      <c r="C323" s="68"/>
      <c r="D323" s="68"/>
      <c r="E323" s="68"/>
      <c r="F323" s="68"/>
      <c r="G323" s="68"/>
      <c r="H323" s="68"/>
      <c r="I323" s="68"/>
    </row>
    <row r="324" spans="1:9" ht="26.4" customHeight="1" x14ac:dyDescent="0.3">
      <c r="A324" s="39" t="s">
        <v>103</v>
      </c>
      <c r="B324" s="82" t="s">
        <v>144</v>
      </c>
      <c r="C324" s="69" t="s">
        <v>341</v>
      </c>
      <c r="D324" s="70" t="s">
        <v>97</v>
      </c>
      <c r="E324" s="70" t="s">
        <v>93</v>
      </c>
      <c r="F324" s="70" t="s">
        <v>96</v>
      </c>
      <c r="G324" s="70" t="s">
        <v>94</v>
      </c>
      <c r="H324" s="81" t="s">
        <v>95</v>
      </c>
      <c r="I324" s="79"/>
    </row>
    <row r="325" spans="1:9" ht="13" x14ac:dyDescent="0.3">
      <c r="A325" s="4"/>
      <c r="C325" s="3" t="s">
        <v>143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146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145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144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94X8GdyjVH6gtRrkgjzM3p9Jgt9XsPe49DCRr/4Jx7NvFUTgLJKCaoicY/5eBHHszi4bGeSGhRZZyMrfv10oOw==" saltValue="sSbg/MnSTNXkefeuEmr8d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>
    <tabColor theme="0" tint="-0.249977111117893"/>
  </sheetPr>
  <dimension ref="A1:O67"/>
  <sheetViews>
    <sheetView zoomScale="70" zoomScaleNormal="70" workbookViewId="0">
      <selection activeCell="H15" sqref="H15"/>
    </sheetView>
  </sheetViews>
  <sheetFormatPr defaultColWidth="12.63281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7" width="12.6328125" style="8" customWidth="1"/>
    <col min="18" max="16384" width="12.6328125" style="8"/>
  </cols>
  <sheetData>
    <row r="1" spans="1:15" ht="35.25" customHeight="1" x14ac:dyDescent="0.3">
      <c r="A1" s="4"/>
      <c r="B1" s="4"/>
      <c r="C1" s="70" t="s">
        <v>97</v>
      </c>
      <c r="D1" s="70" t="s">
        <v>93</v>
      </c>
      <c r="E1" s="70" t="s">
        <v>96</v>
      </c>
      <c r="F1" s="70" t="s">
        <v>94</v>
      </c>
      <c r="G1" s="70" t="s">
        <v>95</v>
      </c>
      <c r="H1" s="70" t="s">
        <v>87</v>
      </c>
      <c r="I1" s="70" t="s">
        <v>88</v>
      </c>
      <c r="J1" s="70" t="s">
        <v>89</v>
      </c>
      <c r="K1" s="70" t="s">
        <v>90</v>
      </c>
      <c r="L1" s="70" t="s">
        <v>132</v>
      </c>
      <c r="M1" s="70" t="s">
        <v>133</v>
      </c>
      <c r="N1" s="70" t="s">
        <v>134</v>
      </c>
      <c r="O1" s="70" t="s">
        <v>135</v>
      </c>
    </row>
    <row r="2" spans="1:15" ht="13" x14ac:dyDescent="0.3">
      <c r="A2" s="4" t="s">
        <v>357</v>
      </c>
    </row>
    <row r="3" spans="1:15" x14ac:dyDescent="0.25">
      <c r="B3" s="11" t="s">
        <v>198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203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204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205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206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207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208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209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103" t="s">
        <v>213</v>
      </c>
      <c r="C11" s="104">
        <v>1</v>
      </c>
      <c r="D11" s="104">
        <v>1</v>
      </c>
      <c r="E11" s="104">
        <v>1</v>
      </c>
      <c r="F11" s="104">
        <v>1</v>
      </c>
      <c r="G11" s="104">
        <v>1</v>
      </c>
      <c r="H11" s="104">
        <v>1</v>
      </c>
      <c r="I11" s="104">
        <v>1</v>
      </c>
      <c r="J11" s="104">
        <v>1</v>
      </c>
      <c r="K11" s="104">
        <v>1</v>
      </c>
      <c r="L11" s="104">
        <v>1</v>
      </c>
      <c r="M11" s="104">
        <v>1</v>
      </c>
      <c r="N11" s="104">
        <v>1</v>
      </c>
      <c r="O11" s="104">
        <v>1</v>
      </c>
    </row>
    <row r="12" spans="1:15" x14ac:dyDescent="0.25">
      <c r="B12" s="11" t="s">
        <v>214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.25" customHeight="1" x14ac:dyDescent="0.25">
      <c r="B13" s="11" t="s">
        <v>219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220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233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x14ac:dyDescent="0.3">
      <c r="A17" s="4" t="s">
        <v>354</v>
      </c>
      <c r="B17" s="11"/>
    </row>
    <row r="18" spans="1:15" x14ac:dyDescent="0.25">
      <c r="B18" s="5" t="s">
        <v>200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201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202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210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x14ac:dyDescent="0.3">
      <c r="A23" s="92" t="s">
        <v>266</v>
      </c>
    </row>
    <row r="24" spans="1:15" ht="26.4" customHeight="1" x14ac:dyDescent="0.3">
      <c r="A24" s="4"/>
      <c r="B24" s="4"/>
      <c r="C24" s="70" t="s">
        <v>97</v>
      </c>
      <c r="D24" s="70" t="s">
        <v>93</v>
      </c>
      <c r="E24" s="70" t="s">
        <v>96</v>
      </c>
      <c r="F24" s="70" t="s">
        <v>94</v>
      </c>
      <c r="G24" s="70" t="s">
        <v>95</v>
      </c>
      <c r="H24" s="70" t="s">
        <v>87</v>
      </c>
      <c r="I24" s="70" t="s">
        <v>88</v>
      </c>
      <c r="J24" s="70" t="s">
        <v>89</v>
      </c>
      <c r="K24" s="70" t="s">
        <v>90</v>
      </c>
      <c r="L24" s="70" t="s">
        <v>132</v>
      </c>
      <c r="M24" s="70" t="s">
        <v>133</v>
      </c>
      <c r="N24" s="70" t="s">
        <v>134</v>
      </c>
      <c r="O24" s="70" t="s">
        <v>135</v>
      </c>
    </row>
    <row r="25" spans="1:15" ht="13" x14ac:dyDescent="0.3">
      <c r="A25" s="4" t="s">
        <v>358</v>
      </c>
    </row>
    <row r="26" spans="1:15" x14ac:dyDescent="0.25">
      <c r="B26" s="11" t="s">
        <v>198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203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204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205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206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207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208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209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213</v>
      </c>
      <c r="C34" s="90">
        <f>IF(C11=1,1,C11*0.9)</f>
        <v>1</v>
      </c>
      <c r="D34" s="90">
        <f>IF(D11=1,1,D11*0.9)</f>
        <v>1</v>
      </c>
      <c r="E34" s="90">
        <f>IF(E11=1,1,E11*0.9)</f>
        <v>1</v>
      </c>
      <c r="F34" s="90">
        <f>IF(F11=1,1,F11*0.9)</f>
        <v>1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214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219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220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233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x14ac:dyDescent="0.3">
      <c r="A40" s="4" t="s">
        <v>355</v>
      </c>
      <c r="B40" s="11"/>
    </row>
    <row r="41" spans="1:15" x14ac:dyDescent="0.25">
      <c r="B41" s="5" t="s">
        <v>200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201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202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210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x14ac:dyDescent="0.3">
      <c r="A46" s="92" t="s">
        <v>276</v>
      </c>
    </row>
    <row r="47" spans="1:15" ht="26.4" customHeight="1" x14ac:dyDescent="0.3">
      <c r="A47" s="4"/>
      <c r="B47" s="4"/>
      <c r="C47" s="70" t="s">
        <v>97</v>
      </c>
      <c r="D47" s="70" t="s">
        <v>93</v>
      </c>
      <c r="E47" s="70" t="s">
        <v>96</v>
      </c>
      <c r="F47" s="70" t="s">
        <v>94</v>
      </c>
      <c r="G47" s="70" t="s">
        <v>95</v>
      </c>
      <c r="H47" s="70" t="s">
        <v>87</v>
      </c>
      <c r="I47" s="70" t="s">
        <v>88</v>
      </c>
      <c r="J47" s="70" t="s">
        <v>89</v>
      </c>
      <c r="K47" s="70" t="s">
        <v>90</v>
      </c>
      <c r="L47" s="70" t="s">
        <v>132</v>
      </c>
      <c r="M47" s="70" t="s">
        <v>133</v>
      </c>
      <c r="N47" s="70" t="s">
        <v>134</v>
      </c>
      <c r="O47" s="70" t="s">
        <v>135</v>
      </c>
    </row>
    <row r="48" spans="1:15" ht="13" x14ac:dyDescent="0.3">
      <c r="A48" s="4" t="s">
        <v>359</v>
      </c>
    </row>
    <row r="49" spans="1:15" x14ac:dyDescent="0.25">
      <c r="B49" s="11" t="s">
        <v>198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203</v>
      </c>
      <c r="C50" s="90">
        <f t="shared" ref="C50:G57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204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205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206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207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208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209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213</v>
      </c>
      <c r="C57" s="90">
        <f t="shared" si="10"/>
        <v>1</v>
      </c>
      <c r="D57" s="90">
        <f t="shared" si="10"/>
        <v>1</v>
      </c>
      <c r="E57" s="90">
        <f t="shared" si="10"/>
        <v>1</v>
      </c>
      <c r="F57" s="90">
        <f t="shared" si="10"/>
        <v>1</v>
      </c>
      <c r="G57" s="90">
        <f t="shared" si="10"/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214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219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220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233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x14ac:dyDescent="0.3">
      <c r="A63" s="4" t="s">
        <v>356</v>
      </c>
      <c r="B63" s="11"/>
    </row>
    <row r="64" spans="1:15" x14ac:dyDescent="0.25">
      <c r="B64" s="5" t="s">
        <v>200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201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202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210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7qMkjq7TRXXrgvFs34BbCfBDBQuxmvFyAA8UjGL8eE1VHSceKTdwqclTq1YSKy9Qbr9YIqdAU0eCkrhgrC/yTg==" saltValue="/vwhf/xYabF4J7P5QF0Yn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>
    <tabColor theme="0" tint="-0.249977111117893"/>
  </sheetPr>
  <dimension ref="A1:G19"/>
  <sheetViews>
    <sheetView zoomScale="85" zoomScaleNormal="85" workbookViewId="0">
      <selection activeCell="C17" sqref="C17"/>
    </sheetView>
  </sheetViews>
  <sheetFormatPr defaultColWidth="12.6328125" defaultRowHeight="12.5" x14ac:dyDescent="0.25"/>
  <cols>
    <col min="1" max="1" width="21.36328125" style="8" customWidth="1"/>
    <col min="2" max="2" width="27.6328125" style="8" customWidth="1"/>
    <col min="3" max="7" width="15.54296875" style="8" customWidth="1"/>
    <col min="8" max="9" width="12.6328125" style="8" customWidth="1"/>
    <col min="10" max="16384" width="12.6328125" style="8"/>
  </cols>
  <sheetData>
    <row r="1" spans="1:7" ht="13" x14ac:dyDescent="0.3">
      <c r="A1" s="4"/>
      <c r="B1" s="1"/>
      <c r="C1" s="4" t="s">
        <v>97</v>
      </c>
      <c r="D1" s="4" t="s">
        <v>93</v>
      </c>
      <c r="E1" s="4" t="s">
        <v>96</v>
      </c>
      <c r="F1" s="4" t="s">
        <v>94</v>
      </c>
      <c r="G1" s="4" t="s">
        <v>95</v>
      </c>
    </row>
    <row r="2" spans="1:7" ht="13" x14ac:dyDescent="0.3">
      <c r="A2" s="4" t="s">
        <v>364</v>
      </c>
    </row>
    <row r="3" spans="1:7" x14ac:dyDescent="0.25">
      <c r="B3" s="11" t="s">
        <v>193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x14ac:dyDescent="0.3">
      <c r="A4" s="4" t="s">
        <v>361</v>
      </c>
      <c r="B4" s="11"/>
      <c r="C4" s="83"/>
      <c r="D4" s="83"/>
      <c r="E4" s="83"/>
      <c r="F4" s="83"/>
      <c r="G4" s="83"/>
    </row>
    <row r="5" spans="1:7" x14ac:dyDescent="0.25">
      <c r="B5" s="5" t="s">
        <v>191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x14ac:dyDescent="0.3">
      <c r="A7" s="92" t="s">
        <v>360</v>
      </c>
    </row>
    <row r="8" spans="1:7" ht="13" x14ac:dyDescent="0.3">
      <c r="A8" s="4"/>
      <c r="B8" s="1"/>
      <c r="C8" s="4" t="s">
        <v>97</v>
      </c>
      <c r="D8" s="4" t="s">
        <v>93</v>
      </c>
      <c r="E8" s="4" t="s">
        <v>96</v>
      </c>
      <c r="F8" s="4" t="s">
        <v>94</v>
      </c>
      <c r="G8" s="4" t="s">
        <v>95</v>
      </c>
    </row>
    <row r="9" spans="1:7" ht="13" x14ac:dyDescent="0.3">
      <c r="A9" s="4" t="s">
        <v>365</v>
      </c>
    </row>
    <row r="10" spans="1:7" x14ac:dyDescent="0.25">
      <c r="B10" s="11" t="s">
        <v>193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x14ac:dyDescent="0.3">
      <c r="A11" s="4" t="s">
        <v>362</v>
      </c>
      <c r="B11" s="11"/>
      <c r="C11" s="83"/>
      <c r="D11" s="83"/>
      <c r="E11" s="83"/>
      <c r="F11" s="83"/>
      <c r="G11" s="83"/>
    </row>
    <row r="12" spans="1:7" x14ac:dyDescent="0.25">
      <c r="B12" s="5" t="s">
        <v>191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x14ac:dyDescent="0.3">
      <c r="A14" s="92" t="s">
        <v>367</v>
      </c>
    </row>
    <row r="15" spans="1:7" ht="13" x14ac:dyDescent="0.3">
      <c r="A15" s="4"/>
      <c r="B15" s="1"/>
      <c r="C15" s="4" t="s">
        <v>97</v>
      </c>
      <c r="D15" s="4" t="s">
        <v>93</v>
      </c>
      <c r="E15" s="4" t="s">
        <v>96</v>
      </c>
      <c r="F15" s="4" t="s">
        <v>94</v>
      </c>
      <c r="G15" s="4" t="s">
        <v>95</v>
      </c>
    </row>
    <row r="16" spans="1:7" ht="13" x14ac:dyDescent="0.3">
      <c r="A16" s="4" t="s">
        <v>366</v>
      </c>
    </row>
    <row r="17" spans="1:7" x14ac:dyDescent="0.25">
      <c r="B17" s="11" t="s">
        <v>193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x14ac:dyDescent="0.3">
      <c r="A18" s="4" t="s">
        <v>363</v>
      </c>
      <c r="B18" s="11"/>
      <c r="C18" s="83"/>
      <c r="D18" s="83"/>
      <c r="E18" s="83"/>
      <c r="F18" s="83"/>
      <c r="G18" s="83"/>
    </row>
    <row r="19" spans="1:7" x14ac:dyDescent="0.25">
      <c r="B19" s="5" t="s">
        <v>191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mOWHPMo/BuTfbghp4LsWFtx416fXJFQWS7/idqSWhPT5R0JfIuwEqY1M3aSUgQQirOV2tONIz8tGutuu7Ss3Mg==" saltValue="L/TD/MjzxiNXLMMrVME85w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>
    <tabColor theme="0" tint="-0.249977111117893"/>
  </sheetPr>
  <dimension ref="A1:H163"/>
  <sheetViews>
    <sheetView topLeftCell="A124" zoomScale="70" zoomScaleNormal="70" workbookViewId="0">
      <selection activeCell="H75" sqref="H75"/>
    </sheetView>
  </sheetViews>
  <sheetFormatPr defaultColWidth="12.6328125" defaultRowHeight="12.5" x14ac:dyDescent="0.25"/>
  <cols>
    <col min="1" max="1" width="53" style="5" customWidth="1"/>
    <col min="2" max="2" width="30.54296875" style="5" customWidth="1"/>
    <col min="3" max="3" width="24.6328125" style="5" customWidth="1"/>
    <col min="4" max="4" width="15" style="8" customWidth="1"/>
    <col min="5" max="5" width="13.6328125" style="8" customWidth="1"/>
    <col min="6" max="6" width="14.453125" style="8" customWidth="1"/>
    <col min="7" max="7" width="12.6328125" style="8" customWidth="1"/>
    <col min="8" max="8" width="17.54296875" style="8" customWidth="1"/>
    <col min="9" max="10" width="12.6328125" style="8" customWidth="1"/>
    <col min="11" max="16384" width="12.6328125" style="8"/>
  </cols>
  <sheetData>
    <row r="1" spans="1:8" ht="13" x14ac:dyDescent="0.3">
      <c r="A1" s="4" t="s">
        <v>192</v>
      </c>
      <c r="B1" s="4" t="s">
        <v>371</v>
      </c>
      <c r="C1" s="82" t="s">
        <v>9</v>
      </c>
      <c r="D1" s="4" t="s">
        <v>97</v>
      </c>
      <c r="E1" s="4" t="s">
        <v>93</v>
      </c>
      <c r="F1" s="4" t="s">
        <v>96</v>
      </c>
      <c r="G1" s="4" t="s">
        <v>94</v>
      </c>
      <c r="H1" s="4" t="s">
        <v>95</v>
      </c>
    </row>
    <row r="2" spans="1:8" x14ac:dyDescent="0.25">
      <c r="A2" s="5" t="s">
        <v>225</v>
      </c>
      <c r="B2" s="5" t="s">
        <v>103</v>
      </c>
      <c r="C2" s="5" t="s">
        <v>368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370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369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222</v>
      </c>
      <c r="B5" s="5" t="s">
        <v>236</v>
      </c>
      <c r="C5" s="5" t="s">
        <v>368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369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368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369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213</v>
      </c>
      <c r="B9" s="5" t="s">
        <v>236</v>
      </c>
      <c r="C9" s="5" t="s">
        <v>368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369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368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369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233</v>
      </c>
      <c r="B13" s="5" t="s">
        <v>236</v>
      </c>
      <c r="C13" s="5" t="s">
        <v>368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369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368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369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196</v>
      </c>
      <c r="B17" s="5" t="s">
        <v>236</v>
      </c>
      <c r="C17" s="5" t="s">
        <v>368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369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</row>
    <row r="19" spans="1:8" x14ac:dyDescent="0.25">
      <c r="B19" s="5" t="s">
        <v>6</v>
      </c>
      <c r="C19" s="5" t="s">
        <v>368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369</v>
      </c>
      <c r="D20" s="90">
        <v>0</v>
      </c>
      <c r="E20" s="90">
        <v>0</v>
      </c>
      <c r="F20" s="90">
        <v>0</v>
      </c>
      <c r="G20" s="90">
        <v>0</v>
      </c>
      <c r="H20" s="90">
        <v>0</v>
      </c>
    </row>
    <row r="21" spans="1:8" x14ac:dyDescent="0.25">
      <c r="A21" s="5" t="s">
        <v>202</v>
      </c>
      <c r="B21" s="5" t="s">
        <v>111</v>
      </c>
      <c r="C21" s="5" t="s">
        <v>368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370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200</v>
      </c>
      <c r="B23" s="5" t="s">
        <v>111</v>
      </c>
      <c r="C23" s="5" t="s">
        <v>368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370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201</v>
      </c>
      <c r="B25" s="5" t="s">
        <v>111</v>
      </c>
      <c r="C25" s="5" t="s">
        <v>368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370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229</v>
      </c>
      <c r="B27" s="5" t="s">
        <v>103</v>
      </c>
      <c r="C27" s="5" t="s">
        <v>368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370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x14ac:dyDescent="0.25">
      <c r="C29" s="5" t="s">
        <v>369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230</v>
      </c>
      <c r="B30" s="5" t="s">
        <v>103</v>
      </c>
      <c r="C30" s="5" t="s">
        <v>368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370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369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228</v>
      </c>
      <c r="B33" s="5" t="s">
        <v>103</v>
      </c>
      <c r="C33" s="5" t="s">
        <v>368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370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369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227</v>
      </c>
      <c r="B36" s="5" t="s">
        <v>103</v>
      </c>
      <c r="C36" s="5" t="s">
        <v>368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370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369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226</v>
      </c>
      <c r="B39" s="5" t="s">
        <v>103</v>
      </c>
      <c r="C39" s="5" t="s">
        <v>368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370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369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232</v>
      </c>
      <c r="B42" s="5" t="s">
        <v>103</v>
      </c>
      <c r="C42" s="5" t="s">
        <v>368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370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369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121</v>
      </c>
      <c r="C45" s="5" t="s">
        <v>368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370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369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221</v>
      </c>
      <c r="B48" s="5" t="s">
        <v>103</v>
      </c>
      <c r="C48" s="5" t="s">
        <v>368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370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231</v>
      </c>
      <c r="B50" s="5" t="s">
        <v>103</v>
      </c>
      <c r="C50" s="5" t="s">
        <v>368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370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211</v>
      </c>
      <c r="B52" s="5" t="s">
        <v>115</v>
      </c>
      <c r="C52" s="5" t="s">
        <v>368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370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x14ac:dyDescent="0.3">
      <c r="A55" s="96" t="s">
        <v>360</v>
      </c>
      <c r="B55" s="97"/>
      <c r="C55" s="97"/>
    </row>
    <row r="56" spans="1:8" ht="13" x14ac:dyDescent="0.3">
      <c r="A56" s="4" t="s">
        <v>192</v>
      </c>
      <c r="B56" s="4" t="s">
        <v>371</v>
      </c>
      <c r="C56" s="82" t="s">
        <v>9</v>
      </c>
      <c r="D56" s="4" t="s">
        <v>97</v>
      </c>
      <c r="E56" s="4" t="s">
        <v>93</v>
      </c>
      <c r="F56" s="4" t="s">
        <v>96</v>
      </c>
      <c r="G56" s="4" t="s">
        <v>94</v>
      </c>
      <c r="H56" s="4" t="s">
        <v>95</v>
      </c>
    </row>
    <row r="57" spans="1:8" x14ac:dyDescent="0.25">
      <c r="A57" s="5" t="s">
        <v>225</v>
      </c>
      <c r="B57" s="5" t="s">
        <v>103</v>
      </c>
      <c r="C57" s="5" t="s">
        <v>368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370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369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222</v>
      </c>
      <c r="B60" s="5" t="s">
        <v>236</v>
      </c>
      <c r="C60" s="5" t="s">
        <v>368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369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368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369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213</v>
      </c>
      <c r="B64" s="5" t="s">
        <v>236</v>
      </c>
      <c r="C64" s="5" t="s">
        <v>368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369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368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369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233</v>
      </c>
      <c r="B68" s="5" t="s">
        <v>236</v>
      </c>
      <c r="C68" s="5" t="s">
        <v>368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369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368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369</v>
      </c>
      <c r="D71" s="90">
        <f t="shared" si="0"/>
        <v>0</v>
      </c>
      <c r="E71" s="90">
        <f t="shared" si="0"/>
        <v>0</v>
      </c>
      <c r="F71" s="90">
        <v>0</v>
      </c>
      <c r="G71" s="90">
        <v>0</v>
      </c>
      <c r="H71" s="90">
        <f>IF($C16="Affected fraction",H16,IF(H16=1,1,H16*0.9))</f>
        <v>0</v>
      </c>
    </row>
    <row r="72" spans="1:8" x14ac:dyDescent="0.25">
      <c r="A72" s="5" t="s">
        <v>196</v>
      </c>
      <c r="B72" s="5" t="s">
        <v>236</v>
      </c>
      <c r="C72" s="5" t="s">
        <v>368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369</v>
      </c>
      <c r="D73" s="90">
        <f t="shared" si="0"/>
        <v>0</v>
      </c>
      <c r="E73" s="90">
        <f t="shared" si="0"/>
        <v>0</v>
      </c>
      <c r="F73" s="90">
        <v>0</v>
      </c>
      <c r="G73" s="90">
        <v>0</v>
      </c>
      <c r="H73" s="90">
        <v>0</v>
      </c>
    </row>
    <row r="74" spans="1:8" x14ac:dyDescent="0.25">
      <c r="B74" s="5" t="s">
        <v>6</v>
      </c>
      <c r="C74" s="5" t="s">
        <v>368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369</v>
      </c>
      <c r="D75" s="90">
        <f t="shared" si="0"/>
        <v>0</v>
      </c>
      <c r="E75" s="90">
        <f t="shared" si="0"/>
        <v>0</v>
      </c>
      <c r="F75" s="90">
        <v>0</v>
      </c>
      <c r="G75" s="90">
        <v>0</v>
      </c>
      <c r="H75" s="90">
        <v>0</v>
      </c>
    </row>
    <row r="76" spans="1:8" x14ac:dyDescent="0.25">
      <c r="A76" s="5" t="s">
        <v>202</v>
      </c>
      <c r="B76" s="5" t="s">
        <v>111</v>
      </c>
      <c r="C76" s="5" t="s">
        <v>368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370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200</v>
      </c>
      <c r="B78" s="5" t="s">
        <v>111</v>
      </c>
      <c r="C78" s="5" t="s">
        <v>368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370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201</v>
      </c>
      <c r="B80" s="5" t="s">
        <v>111</v>
      </c>
      <c r="C80" s="5" t="s">
        <v>368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370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229</v>
      </c>
      <c r="B82" s="5" t="s">
        <v>103</v>
      </c>
      <c r="C82" s="5" t="s">
        <v>368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370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369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230</v>
      </c>
      <c r="B85" s="5" t="s">
        <v>103</v>
      </c>
      <c r="C85" s="5" t="s">
        <v>368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370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369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228</v>
      </c>
      <c r="B88" s="5" t="s">
        <v>103</v>
      </c>
      <c r="C88" s="5" t="s">
        <v>368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370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369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227</v>
      </c>
      <c r="B91" s="5" t="s">
        <v>103</v>
      </c>
      <c r="C91" s="5" t="s">
        <v>368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370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369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226</v>
      </c>
      <c r="B94" s="5" t="s">
        <v>103</v>
      </c>
      <c r="C94" s="5" t="s">
        <v>368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370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369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232</v>
      </c>
      <c r="B97" s="5" t="s">
        <v>103</v>
      </c>
      <c r="C97" s="5" t="s">
        <v>368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370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369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121</v>
      </c>
      <c r="C100" s="5" t="s">
        <v>368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370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369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221</v>
      </c>
      <c r="B103" s="5" t="s">
        <v>103</v>
      </c>
      <c r="C103" s="5" t="s">
        <v>368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370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231</v>
      </c>
      <c r="B105" s="5" t="s">
        <v>103</v>
      </c>
      <c r="C105" s="5" t="s">
        <v>368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370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211</v>
      </c>
      <c r="B107" s="5" t="s">
        <v>115</v>
      </c>
      <c r="C107" s="5" t="s">
        <v>368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370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x14ac:dyDescent="0.3">
      <c r="A110" s="96" t="s">
        <v>367</v>
      </c>
      <c r="B110" s="97"/>
      <c r="C110" s="97"/>
    </row>
    <row r="111" spans="1:8" ht="13" x14ac:dyDescent="0.3">
      <c r="A111" s="4" t="s">
        <v>192</v>
      </c>
      <c r="B111" s="4" t="s">
        <v>371</v>
      </c>
      <c r="C111" s="82" t="s">
        <v>9</v>
      </c>
      <c r="D111" s="4" t="s">
        <v>97</v>
      </c>
      <c r="E111" s="4" t="s">
        <v>93</v>
      </c>
      <c r="F111" s="4" t="s">
        <v>96</v>
      </c>
      <c r="G111" s="4" t="s">
        <v>94</v>
      </c>
      <c r="H111" s="4" t="s">
        <v>95</v>
      </c>
    </row>
    <row r="112" spans="1:8" x14ac:dyDescent="0.25">
      <c r="A112" s="5" t="s">
        <v>225</v>
      </c>
      <c r="B112" s="5" t="s">
        <v>103</v>
      </c>
      <c r="C112" s="5" t="s">
        <v>368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370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369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222</v>
      </c>
      <c r="B115" s="5" t="s">
        <v>236</v>
      </c>
      <c r="C115" s="5" t="s">
        <v>368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369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368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369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213</v>
      </c>
      <c r="B119" s="5" t="s">
        <v>236</v>
      </c>
      <c r="C119" s="5" t="s">
        <v>368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369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368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369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233</v>
      </c>
      <c r="B123" s="5" t="s">
        <v>236</v>
      </c>
      <c r="C123" s="5" t="s">
        <v>368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369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368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369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196</v>
      </c>
      <c r="B127" s="5" t="s">
        <v>236</v>
      </c>
      <c r="C127" s="5" t="s">
        <v>368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369</v>
      </c>
      <c r="D128" s="90">
        <f t="shared" si="3"/>
        <v>0</v>
      </c>
      <c r="E128" s="90">
        <f t="shared" si="3"/>
        <v>0</v>
      </c>
      <c r="F128" s="90">
        <v>0</v>
      </c>
      <c r="G128" s="90">
        <v>0</v>
      </c>
      <c r="H128" s="90">
        <v>0</v>
      </c>
    </row>
    <row r="129" spans="1:8" x14ac:dyDescent="0.25">
      <c r="B129" s="5" t="s">
        <v>6</v>
      </c>
      <c r="C129" s="5" t="s">
        <v>368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369</v>
      </c>
      <c r="D130" s="90">
        <f t="shared" si="3"/>
        <v>0</v>
      </c>
      <c r="E130" s="90">
        <f t="shared" si="3"/>
        <v>0</v>
      </c>
      <c r="F130" s="90">
        <v>0</v>
      </c>
      <c r="G130" s="90">
        <v>0</v>
      </c>
      <c r="H130" s="90">
        <v>0</v>
      </c>
    </row>
    <row r="131" spans="1:8" x14ac:dyDescent="0.25">
      <c r="A131" s="5" t="s">
        <v>202</v>
      </c>
      <c r="B131" s="5" t="s">
        <v>111</v>
      </c>
      <c r="C131" s="5" t="s">
        <v>368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370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200</v>
      </c>
      <c r="B133" s="5" t="s">
        <v>111</v>
      </c>
      <c r="C133" s="5" t="s">
        <v>368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370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201</v>
      </c>
      <c r="B135" s="5" t="s">
        <v>111</v>
      </c>
      <c r="C135" s="5" t="s">
        <v>368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370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229</v>
      </c>
      <c r="B137" s="5" t="s">
        <v>103</v>
      </c>
      <c r="C137" s="5" t="s">
        <v>368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370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369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230</v>
      </c>
      <c r="B140" s="5" t="s">
        <v>103</v>
      </c>
      <c r="C140" s="5" t="s">
        <v>368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370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369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228</v>
      </c>
      <c r="B143" s="5" t="s">
        <v>103</v>
      </c>
      <c r="C143" s="5" t="s">
        <v>368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370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369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227</v>
      </c>
      <c r="B146" s="5" t="s">
        <v>103</v>
      </c>
      <c r="C146" s="5" t="s">
        <v>368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370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369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226</v>
      </c>
      <c r="B149" s="5" t="s">
        <v>103</v>
      </c>
      <c r="C149" s="5" t="s">
        <v>368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370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369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232</v>
      </c>
      <c r="B152" s="5" t="s">
        <v>103</v>
      </c>
      <c r="C152" s="5" t="s">
        <v>368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370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369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121</v>
      </c>
      <c r="C155" s="5" t="s">
        <v>368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370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369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221</v>
      </c>
      <c r="B158" s="5" t="s">
        <v>103</v>
      </c>
      <c r="C158" s="5" t="s">
        <v>368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370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231</v>
      </c>
      <c r="B160" s="5" t="s">
        <v>103</v>
      </c>
      <c r="C160" s="5" t="s">
        <v>368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370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211</v>
      </c>
      <c r="B162" s="5" t="s">
        <v>115</v>
      </c>
      <c r="C162" s="5" t="s">
        <v>368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370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/agzqUyCaVqsmhdi3RaC20tFaBaPXf9ah5P5+0Aa2/yJQWdu27VlPN+GuDkO1wkbQswe/GRpddCjetAZqNk5Ng==" saltValue="JIPFFWVBy8WFLD2eSSEyP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>
    <tabColor theme="0" tint="-0.249977111117893"/>
  </sheetPr>
  <dimension ref="A1:H31"/>
  <sheetViews>
    <sheetView zoomScale="85" zoomScaleNormal="85" workbookViewId="0">
      <selection activeCell="D16" sqref="D16"/>
    </sheetView>
  </sheetViews>
  <sheetFormatPr defaultColWidth="12.63281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36328125" style="8" customWidth="1"/>
    <col min="8" max="9" width="12.6328125" style="8" customWidth="1"/>
    <col min="10" max="16384" width="12.6328125" style="8"/>
  </cols>
  <sheetData>
    <row r="1" spans="1:8" ht="13" x14ac:dyDescent="0.3">
      <c r="A1" s="1" t="s">
        <v>192</v>
      </c>
      <c r="B1" s="1" t="s">
        <v>371</v>
      </c>
      <c r="C1" s="1"/>
      <c r="D1" s="4" t="s">
        <v>132</v>
      </c>
      <c r="E1" s="4" t="s">
        <v>133</v>
      </c>
      <c r="F1" s="4" t="s">
        <v>134</v>
      </c>
      <c r="G1" s="4" t="s">
        <v>135</v>
      </c>
      <c r="H1" s="4"/>
    </row>
    <row r="2" spans="1:8" x14ac:dyDescent="0.25">
      <c r="A2" s="3" t="s">
        <v>195</v>
      </c>
      <c r="B2" s="8" t="s">
        <v>105</v>
      </c>
      <c r="C2" s="3" t="s">
        <v>368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370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x14ac:dyDescent="0.25">
      <c r="A4" s="3" t="s">
        <v>218</v>
      </c>
      <c r="B4" s="8" t="s">
        <v>105</v>
      </c>
      <c r="C4" s="3" t="s">
        <v>368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370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217</v>
      </c>
      <c r="B6" s="8" t="s">
        <v>105</v>
      </c>
      <c r="C6" s="3" t="s">
        <v>368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370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8" spans="1:8" x14ac:dyDescent="0.25">
      <c r="A8" s="3" t="s">
        <v>220</v>
      </c>
      <c r="B8" s="3" t="s">
        <v>263</v>
      </c>
      <c r="C8" s="3" t="s">
        <v>368</v>
      </c>
      <c r="D8" s="118">
        <v>1</v>
      </c>
      <c r="E8" s="118">
        <v>1</v>
      </c>
      <c r="F8" s="118">
        <v>1</v>
      </c>
      <c r="G8" s="118">
        <v>1</v>
      </c>
      <c r="H8" s="3"/>
    </row>
    <row r="9" spans="1:8" x14ac:dyDescent="0.25">
      <c r="A9" s="3"/>
      <c r="B9" s="3"/>
      <c r="C9" s="3" t="s">
        <v>246</v>
      </c>
      <c r="D9" s="118">
        <v>0.09</v>
      </c>
      <c r="E9" s="118">
        <v>0.09</v>
      </c>
      <c r="F9" s="118">
        <v>0.09</v>
      </c>
      <c r="G9" s="118">
        <v>0.09</v>
      </c>
      <c r="H9" s="3"/>
    </row>
    <row r="11" spans="1:8" s="92" customFormat="1" ht="13" x14ac:dyDescent="0.3">
      <c r="A11" s="92" t="s">
        <v>360</v>
      </c>
    </row>
    <row r="12" spans="1:8" ht="13" x14ac:dyDescent="0.3">
      <c r="A12" s="1" t="s">
        <v>192</v>
      </c>
      <c r="B12" s="1" t="s">
        <v>371</v>
      </c>
      <c r="C12" s="1"/>
      <c r="D12" s="4" t="s">
        <v>132</v>
      </c>
      <c r="E12" s="4" t="s">
        <v>133</v>
      </c>
      <c r="F12" s="4" t="s">
        <v>134</v>
      </c>
      <c r="G12" s="4" t="s">
        <v>135</v>
      </c>
    </row>
    <row r="13" spans="1:8" x14ac:dyDescent="0.25">
      <c r="A13" s="3" t="s">
        <v>195</v>
      </c>
      <c r="B13" s="8" t="s">
        <v>105</v>
      </c>
      <c r="C13" s="3" t="s">
        <v>368</v>
      </c>
      <c r="D13" s="90">
        <f>IF($C2="Affected fraction",D2,IF(D2=1,1,D2*0.9))</f>
        <v>1</v>
      </c>
      <c r="E13" s="90">
        <f>IF($C2="Affected fraction",E2,IF(E2=1,1,E2*0.9))</f>
        <v>1</v>
      </c>
      <c r="F13" s="90">
        <f>IF($C2="Affected fraction",F2,IF(F2=1,1,F2*0.9))</f>
        <v>1</v>
      </c>
      <c r="G13" s="90">
        <f>IF($C2="Affected fraction",G2,IF(G2=1,1,G2*0.9))</f>
        <v>1</v>
      </c>
    </row>
    <row r="14" spans="1:8" x14ac:dyDescent="0.25">
      <c r="C14" s="8" t="s">
        <v>370</v>
      </c>
      <c r="D14" s="90">
        <v>0</v>
      </c>
      <c r="E14" s="90">
        <v>0</v>
      </c>
      <c r="F14" s="90">
        <v>0</v>
      </c>
      <c r="G14" s="90">
        <v>0</v>
      </c>
    </row>
    <row r="15" spans="1:8" x14ac:dyDescent="0.25">
      <c r="A15" s="3" t="s">
        <v>218</v>
      </c>
      <c r="B15" s="8" t="s">
        <v>105</v>
      </c>
      <c r="C15" s="3" t="s">
        <v>368</v>
      </c>
      <c r="D15" s="90">
        <f t="shared" ref="D15:G19" si="0">IF($C4="Affected fraction",D4,IF(D4=1,1,D4*0.9))</f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370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7" spans="1:7" x14ac:dyDescent="0.25">
      <c r="A17" s="3" t="s">
        <v>217</v>
      </c>
      <c r="B17" s="8" t="s">
        <v>105</v>
      </c>
      <c r="C17" s="3" t="s">
        <v>368</v>
      </c>
      <c r="D17" s="90">
        <f t="shared" si="0"/>
        <v>1</v>
      </c>
      <c r="E17" s="90">
        <f t="shared" si="0"/>
        <v>1</v>
      </c>
      <c r="F17" s="90">
        <f t="shared" si="0"/>
        <v>1</v>
      </c>
      <c r="G17" s="90">
        <f t="shared" si="0"/>
        <v>1</v>
      </c>
    </row>
    <row r="18" spans="1:7" x14ac:dyDescent="0.25">
      <c r="C18" s="8" t="s">
        <v>370</v>
      </c>
      <c r="D18" s="90">
        <f t="shared" si="0"/>
        <v>0.53100000000000003</v>
      </c>
      <c r="E18" s="90">
        <f t="shared" si="0"/>
        <v>0.53100000000000003</v>
      </c>
      <c r="F18" s="90">
        <f t="shared" si="0"/>
        <v>0.53100000000000003</v>
      </c>
      <c r="G18" s="90">
        <f t="shared" si="0"/>
        <v>0.53100000000000003</v>
      </c>
    </row>
    <row r="19" spans="1:7" x14ac:dyDescent="0.25">
      <c r="A19" s="3" t="s">
        <v>220</v>
      </c>
      <c r="B19" s="3" t="s">
        <v>263</v>
      </c>
      <c r="C19" s="3" t="s">
        <v>368</v>
      </c>
      <c r="D19" s="118">
        <f t="shared" si="0"/>
        <v>1</v>
      </c>
      <c r="E19" s="118">
        <f t="shared" si="0"/>
        <v>1</v>
      </c>
      <c r="F19" s="118">
        <f t="shared" si="0"/>
        <v>1</v>
      </c>
      <c r="G19" s="118">
        <f t="shared" si="0"/>
        <v>1</v>
      </c>
    </row>
    <row r="20" spans="1:7" x14ac:dyDescent="0.25">
      <c r="A20" s="3"/>
      <c r="B20" s="3"/>
      <c r="C20" s="3" t="s">
        <v>246</v>
      </c>
      <c r="D20" s="118">
        <v>0.02</v>
      </c>
      <c r="E20" s="118">
        <v>0.02</v>
      </c>
      <c r="F20" s="118">
        <v>0.02</v>
      </c>
      <c r="G20" s="118">
        <v>0.02</v>
      </c>
    </row>
    <row r="22" spans="1:7" s="92" customFormat="1" ht="13" x14ac:dyDescent="0.3">
      <c r="A22" s="92" t="s">
        <v>367</v>
      </c>
    </row>
    <row r="23" spans="1:7" ht="13" x14ac:dyDescent="0.3">
      <c r="A23" s="1" t="s">
        <v>192</v>
      </c>
      <c r="B23" s="1" t="s">
        <v>371</v>
      </c>
      <c r="C23" s="1"/>
      <c r="D23" s="4" t="s">
        <v>132</v>
      </c>
      <c r="E23" s="4" t="s">
        <v>133</v>
      </c>
      <c r="F23" s="4" t="s">
        <v>134</v>
      </c>
      <c r="G23" s="4" t="s">
        <v>135</v>
      </c>
    </row>
    <row r="24" spans="1:7" x14ac:dyDescent="0.25">
      <c r="A24" s="3" t="s">
        <v>195</v>
      </c>
      <c r="B24" s="8" t="s">
        <v>105</v>
      </c>
      <c r="C24" s="3" t="s">
        <v>368</v>
      </c>
      <c r="D24" s="90">
        <f>IF($C2="Affected fraction",D2,IF(D2=1,1,D2*1.05))</f>
        <v>1</v>
      </c>
      <c r="E24" s="90">
        <f>IF($C2="Affected fraction",E2,IF(E2=1,1,E2*1.05))</f>
        <v>1</v>
      </c>
      <c r="F24" s="90">
        <f>IF($C2="Affected fraction",F2,IF(F2=1,1,F2*1.05))</f>
        <v>1</v>
      </c>
      <c r="G24" s="90">
        <f>IF($C2="Affected fraction",G2,IF(G2=1,1,G2*1.05))</f>
        <v>1</v>
      </c>
    </row>
    <row r="25" spans="1:7" x14ac:dyDescent="0.25">
      <c r="C25" s="8" t="s">
        <v>370</v>
      </c>
      <c r="D25" s="90">
        <v>0</v>
      </c>
      <c r="E25" s="90">
        <v>0</v>
      </c>
      <c r="F25" s="90">
        <v>0</v>
      </c>
      <c r="G25" s="90">
        <v>0</v>
      </c>
    </row>
    <row r="26" spans="1:7" x14ac:dyDescent="0.25">
      <c r="A26" s="3" t="s">
        <v>218</v>
      </c>
      <c r="B26" s="8" t="s">
        <v>105</v>
      </c>
      <c r="C26" s="3" t="s">
        <v>368</v>
      </c>
      <c r="D26" s="90">
        <f>IF($C4="Affected fraction",D4,IF(D4=1,1,D4*1.05))</f>
        <v>1</v>
      </c>
      <c r="E26" s="90">
        <f>IF($C4="Affected fraction",E4,IF(E4=1,1,E4*1.05))</f>
        <v>1</v>
      </c>
      <c r="F26" s="90">
        <f>IF($C4="Affected fraction",F4,IF(F4=1,1,F4*1.05))</f>
        <v>1</v>
      </c>
      <c r="G26" s="90">
        <f>IF($C4="Affected fraction",G4,IF(G4=1,1,G4*1.05))</f>
        <v>1</v>
      </c>
    </row>
    <row r="27" spans="1:7" x14ac:dyDescent="0.25">
      <c r="C27" s="8" t="s">
        <v>370</v>
      </c>
      <c r="D27" s="90">
        <f>IF($C5="Affected fraction",D5,IF(D5=1,1,D5*1.1))</f>
        <v>0.64900000000000002</v>
      </c>
      <c r="E27" s="90">
        <f>IF($C5="Affected fraction",E5,IF(E5=1,1,E5*1.1))</f>
        <v>0.64900000000000002</v>
      </c>
      <c r="F27" s="90">
        <f>IF($C5="Affected fraction",F5,IF(F5=1,1,F5*1.1))</f>
        <v>0.64900000000000002</v>
      </c>
      <c r="G27" s="90">
        <f>IF($C5="Affected fraction",G5,IF(G5=1,1,G5*1.1))</f>
        <v>0.64900000000000002</v>
      </c>
    </row>
    <row r="28" spans="1:7" x14ac:dyDescent="0.25">
      <c r="A28" s="3" t="s">
        <v>217</v>
      </c>
      <c r="B28" s="8" t="s">
        <v>105</v>
      </c>
      <c r="C28" s="3" t="s">
        <v>368</v>
      </c>
      <c r="D28" s="90">
        <f>IF($C6="Affected fraction",D6,IF(D6=1,1,D6*1.05))</f>
        <v>1</v>
      </c>
      <c r="E28" s="90">
        <f>IF($C6="Affected fraction",E6,IF(E6=1,1,E6*1.05))</f>
        <v>1</v>
      </c>
      <c r="F28" s="90">
        <f>IF($C6="Affected fraction",F6,IF(F6=1,1,F6*1.05))</f>
        <v>1</v>
      </c>
      <c r="G28" s="90">
        <f>IF($C6="Affected fraction",G6,IF(G6=1,1,G6*1.05))</f>
        <v>1</v>
      </c>
    </row>
    <row r="29" spans="1:7" x14ac:dyDescent="0.25">
      <c r="C29" s="8" t="s">
        <v>370</v>
      </c>
      <c r="D29" s="90">
        <f>IF($C7="Affected fraction",D7,IF(D7=1,1,D7*1.1))</f>
        <v>0.64900000000000002</v>
      </c>
      <c r="E29" s="90">
        <f>IF($C7="Affected fraction",E7,IF(E7=1,1,E7*1.1))</f>
        <v>0.64900000000000002</v>
      </c>
      <c r="F29" s="90">
        <f>IF($C7="Affected fraction",F7,IF(F7=1,1,F7*1.1))</f>
        <v>0.64900000000000002</v>
      </c>
      <c r="G29" s="90">
        <f>IF($C7="Affected fraction",G7,IF(G7=1,1,G7*1.1))</f>
        <v>0.64900000000000002</v>
      </c>
    </row>
    <row r="30" spans="1:7" x14ac:dyDescent="0.25">
      <c r="A30" s="3" t="s">
        <v>220</v>
      </c>
      <c r="B30" s="3" t="s">
        <v>263</v>
      </c>
      <c r="C30" s="3" t="s">
        <v>368</v>
      </c>
      <c r="D30" s="118">
        <f t="shared" ref="D30:G30" si="1">IF($C8="Affected fraction",D8,IF(D8=1,1,D8*1.05))</f>
        <v>1</v>
      </c>
      <c r="E30" s="118">
        <f t="shared" si="1"/>
        <v>1</v>
      </c>
      <c r="F30" s="118">
        <f t="shared" si="1"/>
        <v>1</v>
      </c>
      <c r="G30" s="118">
        <f t="shared" si="1"/>
        <v>1</v>
      </c>
    </row>
    <row r="31" spans="1:7" x14ac:dyDescent="0.25">
      <c r="A31" s="3"/>
      <c r="B31" s="3"/>
      <c r="C31" s="3" t="s">
        <v>246</v>
      </c>
      <c r="D31" s="118">
        <v>0.14000000000000001</v>
      </c>
      <c r="E31" s="118">
        <v>0.14000000000000001</v>
      </c>
      <c r="F31" s="118">
        <v>0.14000000000000001</v>
      </c>
      <c r="G31" s="118">
        <v>0.14000000000000001</v>
      </c>
    </row>
  </sheetData>
  <sheetProtection algorithmName="SHA-512" hashValue="kx1CsjBg/ctx3bR/nhrj3nwiM/3jvb55b4YcS4d4X7f/+/f9812Iz4ye++XnpkAH9DtPPHmn9AjkB4op0gKUdg==" saltValue="RBjJBt+Bu/Y4AgmJ/v2i8Q==" spinCount="100000" sheet="1" objects="1" scenarios="1" selectLockedCells="1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11" ma:contentTypeDescription="Create a new document." ma:contentTypeScope="" ma:versionID="f77cb9dc30d15950233dec29875e7d3d">
  <xsd:schema xmlns:xsd="http://www.w3.org/2001/XMLSchema" xmlns:xs="http://www.w3.org/2001/XMLSchema" xmlns:p="http://schemas.microsoft.com/office/2006/metadata/properties" xmlns:ns2="5de2aea6-bdc3-4e5f-b0ae-84d85b5764e4" targetNamespace="http://schemas.microsoft.com/office/2006/metadata/properties" ma:root="true" ma:fieldsID="c7972fb108f377c3e0c6a81e726e76be" ns2:_="">
    <xsd:import namespace="5de2aea6-bdc3-4e5f-b0ae-84d85b5764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e2aea6-bdc3-4e5f-b0ae-84d85b5764e4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9AE9A51-FA73-431C-A4D5-36C1DFA1FE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e2aea6-bdc3-4e5f-b0ae-84d85b5764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A1364B1-D0AC-4AFC-8837-019122E84913}">
  <ds:schemaRefs>
    <ds:schemaRef ds:uri="http://schemas.microsoft.com/office/2006/metadata/properties"/>
    <ds:schemaRef ds:uri="http://schemas.microsoft.com/office/infopath/2007/PartnerControls"/>
    <ds:schemaRef ds:uri="5de2aea6-bdc3-4e5f-b0ae-84d85b5764e4"/>
  </ds:schemaRefs>
</ds:datastoreItem>
</file>

<file path=customXml/itemProps3.xml><?xml version="1.0" encoding="utf-8"?>
<ds:datastoreItem xmlns:ds="http://schemas.openxmlformats.org/officeDocument/2006/customXml" ds:itemID="{BFA00B2B-FC7F-4ED6-BC3D-3DE83488E24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Variables económicas 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Razón de momios</vt:lpstr>
      <vt:lpstr>Resultados de nacimiento- prog</vt:lpstr>
      <vt:lpstr>Riesgos desenlace de nacimiento</vt:lpstr>
      <vt:lpstr>Riesgos relativos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Tharindu Wickramaarachchi</dc:creator>
  <cp:keywords>lang=es</cp:keywords>
  <dc:description/>
  <cp:lastModifiedBy>Tharindu Wickramaarachchi</cp:lastModifiedBy>
  <cp:revision/>
  <dcterms:created xsi:type="dcterms:W3CDTF">2017-08-01T10:42:13Z</dcterms:created>
  <dcterms:modified xsi:type="dcterms:W3CDTF">2025-07-08T03:22:54Z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0x010100856A3DB4B0A5FF4A85E5854FA9B1BD84</vt:lpwstr>
  </property>
  <property fmtid="{D5CDD505-2E9C-101B-9397-08002B2CF9AE}" pid="3" name="MediaServiceImageTags">
    <vt:lpwstr/>
  </property>
</Properties>
</file>