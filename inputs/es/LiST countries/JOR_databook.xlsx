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C58A98A-3E68-4608-801E-1FBE88AAE3C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A2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6" i="2"/>
  <c r="I39" i="2"/>
  <c r="A34" i="2"/>
  <c r="A40" i="2"/>
  <c r="I2" i="2"/>
  <c r="I6" i="2"/>
  <c r="A19" i="2"/>
  <c r="A35" i="2"/>
  <c r="A22" i="2"/>
  <c r="A36" i="2"/>
  <c r="I3" i="2"/>
  <c r="A37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<sst xmlns="http://schemas.openxmlformats.org/spreadsheetml/2006/main" count="2169" uniqueCount="373">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</sst>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1169548.5</v>
      </c>
    </row>
    <row r="8" spans="1:3" ht="15" customHeight="1" x14ac:dyDescent="0.25">
      <c r="B8" s="5" t="s">
        <v>63</v>
      </c>
      <c r="C8" s="44">
        <v>0.157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0.63523980000000002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0.14199999999999999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3.9300000000000002E-2</v>
      </c>
    </row>
    <row r="24" spans="1:3" ht="15" customHeight="1" x14ac:dyDescent="0.25">
      <c r="B24" s="15" t="s">
        <v>65</v>
      </c>
      <c r="C24" s="45">
        <v>0.49590000000000001</v>
      </c>
    </row>
    <row r="25" spans="1:3" ht="15" customHeight="1" x14ac:dyDescent="0.25">
      <c r="B25" s="15" t="s">
        <v>66</v>
      </c>
      <c r="C25" s="45">
        <v>0.42020000000000002</v>
      </c>
    </row>
    <row r="26" spans="1:3" ht="15" customHeight="1" x14ac:dyDescent="0.25">
      <c r="B26" s="15" t="s">
        <v>67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0.259769272097435</v>
      </c>
    </row>
    <row r="30" spans="1:3" ht="14.25" customHeight="1" x14ac:dyDescent="0.25">
      <c r="B30" s="25" t="s">
        <v>82</v>
      </c>
      <c r="C30" s="97">
        <v>0.11570907979532</v>
      </c>
    </row>
    <row r="31" spans="1:3" ht="14.25" customHeight="1" x14ac:dyDescent="0.25">
      <c r="B31" s="25" t="s">
        <v>29</v>
      </c>
      <c r="C31" s="97">
        <v>9.89832068757453E-2</v>
      </c>
    </row>
    <row r="32" spans="1:3" ht="14.25" customHeight="1" x14ac:dyDescent="0.25">
      <c r="B32" s="25" t="s">
        <v>30</v>
      </c>
      <c r="C32" s="97">
        <v>0.52553844123149995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8.5367899999999999</v>
      </c>
    </row>
    <row r="38" spans="1:5" ht="15" customHeight="1" x14ac:dyDescent="0.25">
      <c r="B38" s="11" t="s">
        <v>54</v>
      </c>
      <c r="C38" s="43">
        <v>12.564450000000001</v>
      </c>
      <c r="D38" s="12"/>
      <c r="E38" s="13"/>
    </row>
    <row r="39" spans="1:5" ht="15" customHeight="1" x14ac:dyDescent="0.25">
      <c r="B39" s="11" t="s">
        <v>80</v>
      </c>
      <c r="C39" s="43">
        <v>14.59897</v>
      </c>
      <c r="D39" s="12"/>
      <c r="E39" s="12"/>
    </row>
    <row r="40" spans="1:5" ht="15" customHeight="1" x14ac:dyDescent="0.25">
      <c r="B40" s="11" t="s">
        <v>55</v>
      </c>
      <c r="C40" s="98">
        <v>0.41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7.3870999999999997E-3</v>
      </c>
      <c r="D45" s="12"/>
    </row>
    <row r="46" spans="1:5" ht="15.75" customHeight="1" x14ac:dyDescent="0.25">
      <c r="B46" s="11" t="s">
        <v>70</v>
      </c>
      <c r="C46" s="45">
        <v>7.93735E-2</v>
      </c>
      <c r="D46" s="12"/>
    </row>
    <row r="47" spans="1:5" ht="15.75" customHeight="1" x14ac:dyDescent="0.25">
      <c r="B47" s="11" t="s">
        <v>78</v>
      </c>
      <c r="C47" s="45">
        <v>7.3975899999999997E-2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3.6920000000000002</v>
      </c>
      <c r="D51" s="12"/>
    </row>
    <row r="52" spans="1:4" ht="15" customHeight="1" x14ac:dyDescent="0.25">
      <c r="B52" s="11" t="s">
        <v>32</v>
      </c>
      <c r="C52" s="98">
        <v>3.6920000000000002</v>
      </c>
    </row>
    <row r="53" spans="1:4" ht="15.75" customHeight="1" x14ac:dyDescent="0.25">
      <c r="B53" s="11" t="s">
        <v>35</v>
      </c>
      <c r="C53" s="98">
        <v>5.1480000000000006</v>
      </c>
    </row>
    <row r="54" spans="1:4" ht="15.75" customHeight="1" x14ac:dyDescent="0.25">
      <c r="B54" s="11" t="s">
        <v>33</v>
      </c>
      <c r="C54" s="98">
        <v>3.38</v>
      </c>
    </row>
    <row r="55" spans="1:4" ht="15.75" customHeight="1" x14ac:dyDescent="0.25">
      <c r="B55" s="11" t="s">
        <v>34</v>
      </c>
      <c r="C55" s="98">
        <v>1.6033333333333331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0.60336800000000002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0.1893666383</v>
      </c>
    </row>
    <row r="63" spans="1:4" ht="15.75" customHeight="1" x14ac:dyDescent="0.3">
      <c r="A63" s="4"/>
    </row>
  </sheetData>
  <sheetProtection algorithmName="SHA-512" hashValue="luujISrj8Os4nD870FhbJLKC3HsPPS+xBaSYphLG+75g3ZRSVxZjGvhRfoQtnRyKYKA7iIW6HcpYvwAki6bOeA==" saltValue="bsR31TedVxhbXgfm0zPt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vDZzWnJcBrL8Pc4YEA9HBYDVN+TIEEIG/4H9FOhy7TqXmES+Kg0g0RKNuJMvBpwJpbh82Cv9u5SkGBVxg5+tA==" saltValue="A7ISM7P3LJYGqTzwBnyYJ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7.2734599999999927E-2</v>
      </c>
    </row>
    <row r="5" spans="1:8" ht="15.75" customHeight="1" x14ac:dyDescent="0.25">
      <c r="B5" s="19" t="s">
        <v>114</v>
      </c>
      <c r="C5" s="99">
        <v>2.9755600000000038E-2</v>
      </c>
    </row>
    <row r="6" spans="1:8" ht="15.75" customHeight="1" x14ac:dyDescent="0.25">
      <c r="B6" s="19" t="s">
        <v>110</v>
      </c>
      <c r="C6" s="99">
        <v>0.1467636999999998</v>
      </c>
    </row>
    <row r="7" spans="1:8" ht="15.75" customHeight="1" x14ac:dyDescent="0.25">
      <c r="B7" s="19" t="s">
        <v>115</v>
      </c>
      <c r="C7" s="99">
        <v>0.41250100000000051</v>
      </c>
    </row>
    <row r="8" spans="1:8" ht="15.75" customHeight="1" x14ac:dyDescent="0.25">
      <c r="B8" s="19" t="s">
        <v>117</v>
      </c>
      <c r="C8" s="99">
        <v>6.1284000000000009E-3</v>
      </c>
    </row>
    <row r="9" spans="1:8" ht="15.75" customHeight="1" x14ac:dyDescent="0.25">
      <c r="B9" s="19" t="s">
        <v>111</v>
      </c>
      <c r="C9" s="99">
        <v>0.2188106999999998</v>
      </c>
    </row>
    <row r="10" spans="1:8" ht="15.75" customHeight="1" x14ac:dyDescent="0.25">
      <c r="B10" s="19" t="s">
        <v>113</v>
      </c>
      <c r="C10" s="99">
        <v>0.113306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121</v>
      </c>
      <c r="C15" s="99">
        <v>0.61124027546512405</v>
      </c>
      <c r="D15" s="99">
        <v>0.61124027546512405</v>
      </c>
      <c r="E15" s="99">
        <v>0.61124027546512405</v>
      </c>
      <c r="F15" s="99">
        <v>0.61124027546512405</v>
      </c>
    </row>
    <row r="16" spans="1:8" ht="15.75" customHeight="1" x14ac:dyDescent="0.25">
      <c r="B16" s="19" t="s">
        <v>2</v>
      </c>
      <c r="C16" s="99">
        <v>1.6022347070029211E-2</v>
      </c>
      <c r="D16" s="99">
        <v>1.6022347070029211E-2</v>
      </c>
      <c r="E16" s="99">
        <v>1.6022347070029211E-2</v>
      </c>
      <c r="F16" s="99">
        <v>1.6022347070029211E-2</v>
      </c>
    </row>
    <row r="17" spans="1:8" ht="15.75" customHeight="1" x14ac:dyDescent="0.25">
      <c r="B17" s="19" t="s">
        <v>109</v>
      </c>
      <c r="C17" s="99">
        <v>5.8457813749759656E-3</v>
      </c>
      <c r="D17" s="99">
        <v>5.8457813749759656E-3</v>
      </c>
      <c r="E17" s="99">
        <v>5.8457813749759656E-3</v>
      </c>
      <c r="F17" s="99">
        <v>5.8457813749759656E-3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2.2229239875370121E-2</v>
      </c>
      <c r="D19" s="99">
        <v>2.2229239875370121E-2</v>
      </c>
      <c r="E19" s="99">
        <v>2.2229239875370121E-2</v>
      </c>
      <c r="F19" s="99">
        <v>2.2229239875370121E-2</v>
      </c>
    </row>
    <row r="20" spans="1:8" ht="15.75" customHeight="1" x14ac:dyDescent="0.25">
      <c r="B20" s="19" t="s">
        <v>98</v>
      </c>
      <c r="C20" s="99">
        <v>4.9781084605670864E-3</v>
      </c>
      <c r="D20" s="99">
        <v>4.9781084605670864E-3</v>
      </c>
      <c r="E20" s="99">
        <v>4.9781084605670864E-3</v>
      </c>
      <c r="F20" s="99">
        <v>4.9781084605670864E-3</v>
      </c>
    </row>
    <row r="21" spans="1:8" ht="15.75" customHeight="1" x14ac:dyDescent="0.25">
      <c r="B21" s="19" t="s">
        <v>107</v>
      </c>
      <c r="C21" s="99">
        <v>0.26469792753207122</v>
      </c>
      <c r="D21" s="99">
        <v>0.26469792753207122</v>
      </c>
      <c r="E21" s="99">
        <v>0.26469792753207122</v>
      </c>
      <c r="F21" s="99">
        <v>0.26469792753207122</v>
      </c>
    </row>
    <row r="22" spans="1:8" ht="15.75" customHeight="1" x14ac:dyDescent="0.25">
      <c r="B22" s="19" t="s">
        <v>118</v>
      </c>
      <c r="C22" s="99">
        <v>5.7234305098806143E-2</v>
      </c>
      <c r="D22" s="99">
        <v>5.7234305098806143E-2</v>
      </c>
      <c r="E22" s="99">
        <v>5.7234305098806143E-2</v>
      </c>
      <c r="F22" s="99">
        <v>5.7234305098806143E-2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0.109226406</v>
      </c>
    </row>
    <row r="27" spans="1:8" ht="15.75" customHeight="1" x14ac:dyDescent="0.25">
      <c r="B27" s="19" t="s">
        <v>108</v>
      </c>
      <c r="C27" s="99">
        <v>1.7615203999999999E-2</v>
      </c>
    </row>
    <row r="28" spans="1:8" ht="15.75" customHeight="1" x14ac:dyDescent="0.25">
      <c r="B28" s="19" t="s">
        <v>122</v>
      </c>
      <c r="C28" s="99">
        <v>3.5403469E-2</v>
      </c>
    </row>
    <row r="29" spans="1:8" ht="15.75" customHeight="1" x14ac:dyDescent="0.25">
      <c r="B29" s="19" t="s">
        <v>105</v>
      </c>
      <c r="C29" s="99">
        <v>8.1855017000000002E-2</v>
      </c>
    </row>
    <row r="30" spans="1:8" ht="15.75" customHeight="1" x14ac:dyDescent="0.25">
      <c r="B30" s="19" t="s">
        <v>4</v>
      </c>
      <c r="C30" s="99">
        <v>6.7261675000000007E-2</v>
      </c>
    </row>
    <row r="31" spans="1:8" ht="15.75" customHeight="1" x14ac:dyDescent="0.25">
      <c r="B31" s="19" t="s">
        <v>99</v>
      </c>
      <c r="C31" s="99">
        <v>2.8928879000000001E-2</v>
      </c>
    </row>
    <row r="32" spans="1:8" ht="15.75" customHeight="1" x14ac:dyDescent="0.25">
      <c r="B32" s="19" t="s">
        <v>104</v>
      </c>
      <c r="C32" s="99">
        <v>0.23338838200000001</v>
      </c>
    </row>
    <row r="33" spans="2:3" ht="15.75" customHeight="1" x14ac:dyDescent="0.25">
      <c r="B33" s="19" t="s">
        <v>119</v>
      </c>
      <c r="C33" s="99">
        <v>0.13208631300000001</v>
      </c>
    </row>
    <row r="34" spans="2:3" ht="15.75" customHeight="1" x14ac:dyDescent="0.25">
      <c r="B34" s="19" t="s">
        <v>106</v>
      </c>
      <c r="C34" s="99">
        <v>0.29423465599999998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4OAAwR47B5zsw55shvrLpIR/BWp4IJLGIOYbMmLxukmHYLVZBOa7lra88a4mutK0DOpxILZzXOrsEZDRrC3FbA==" saltValue="Z+gG6mQAfmcKnflghhE05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129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125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126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138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34I/4zjDx9NNwtG8IvuS8AYf/5IPLyEiDDVvDojkl5+rOi+CavWong2aPHyHctynn3dFLVucjUc0BjV8ws5nQ==" saltValue="iy4yEFhyZpL4n0CSQbov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0.10219999999999985</v>
      </c>
      <c r="D5" s="52">
        <f t="shared" si="0"/>
        <v>0.21722370000000002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lXyhWkn/D6AnpJkItZo2g3V8iSSJBuw35Mzgea3IfNLDT6oXxNMQCKwEVAtiT5HRkkR/G5Q+leck4LFvNnCflQ==" saltValue="Y5WeqptXMFW3ATnL3rYRi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lUUqQJbDEeilGrwm+ouVXnt+XYZ7cm+oZ8ETc1GkYTWTkbZV8Xq2WXhZNp+Ivmbuxf1Vq1bfLifTtw9l+ngbw==" saltValue="6xIJfi1Q7NVmi5akYVa1b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4311.0000462206099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0.43898999999999999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0.14510999999999999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1.4627555916700341E-2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98375.218500000003</v>
      </c>
      <c r="C22" s="107">
        <v>98201.370869999999</v>
      </c>
      <c r="D22" s="107">
        <v>98038.988530000002</v>
      </c>
      <c r="E22" s="107">
        <v>97865.113920000003</v>
      </c>
      <c r="F22" s="107">
        <v>97649.534109999993</v>
      </c>
      <c r="G22" s="107">
        <v>97408.891860000003</v>
      </c>
      <c r="H22" s="107">
        <v>97107.768819999998</v>
      </c>
      <c r="I22" s="107">
        <v>96710.643060000002</v>
      </c>
      <c r="J22" s="107">
        <v>96111.342900000003</v>
      </c>
      <c r="K22" s="107">
        <v>95137.663050000003</v>
      </c>
      <c r="L22" s="107">
        <v>93522.521410000001</v>
      </c>
      <c r="M22" s="107">
        <v>90922.550220000005</v>
      </c>
      <c r="N22" s="107">
        <v>86532.69412</v>
      </c>
      <c r="O22" s="107">
        <v>79309.164820000005</v>
      </c>
    </row>
  </sheetData>
  <sheetProtection algorithmName="SHA-512" hashValue="dTja0cnvqxJVS+LmcsbKp6HR6M1sbVqYnIot7GXM/VTO9TnDnJ/0Hm82ypYDLDQrltzgohmBxlG757jy8avtUA==" saltValue="LvYzX2IuPnlyVW79M9o6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e3UUmlvYox8evqGdIY8bh2C0aOIJdO6lfz+GmXvYfJDARVfHlBNcIEdxLder5V1Bz3WRFfW5eSxzqfQhDzW6A==" saltValue="c9EQKpzCvi6lcOepjyir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GwHHOK+0BmqLdVFGXbyvmsGhBtirNIcqffrQNWXB31BY30mXQwWCMJOrSJZNk6F/hh8c5rvLicNxp4chh2RBA==" saltValue="O1NYb74LZW7q7TrOUKDD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0.48911409999999989</v>
      </c>
      <c r="C10" s="96">
        <v>0.95</v>
      </c>
      <c r="D10" s="56">
        <v>13.00441189507751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13.00441189507751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13.00441189507751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13.00441189507751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0.48911409999999989</v>
      </c>
      <c r="C14" s="96">
        <v>0.95</v>
      </c>
      <c r="D14" s="56">
        <v>13.00441189507751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13.00441189507751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0.54287457000000006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0.73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0.2062329</v>
      </c>
      <c r="C19" s="96">
        <v>0.95</v>
      </c>
      <c r="D19" s="56">
        <v>9.4258488463818431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4.2744829442771808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0.94011724592245105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0.44430960000000003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0.34953200000000001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0.17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0.30520770000000003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0.86144760000000009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2.2872799999999999E-2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HlN13D1wXhQCIsBy2JQ0+CInV2N9D25pnYdTHmuo/LKkKpNO9I16iM+9rhbrBMjU6gW478zDJLGd2n11o/xahA==" saltValue="1uvUoXBMFWvDR74t8UpX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UNUbrgq3GyLzLdOXUhmDIdr4wAAK24epTsZJfOIDV+rO0ml0ItH+p1aniYMJEVo7AqqJXl21zSLbn56VsNl+g==" saltValue="JyQEqT47gMeieVdDU5R7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IRTLKOW7+F274OPJVbZ+6CtFsFODK344qulhCL8hOta/V5qoV4NqMheWkI4RcR4phChu/2D0SXiZFw7dzO7Lg==" saltValue="zwrdCTeOnpTJWQpX0pXk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3.6920000000000002</v>
      </c>
      <c r="C2" s="21">
        <f>'Entradas de población-año base'!C52</f>
        <v>3.6920000000000002</v>
      </c>
      <c r="D2" s="21">
        <f>'Entradas de población-año base'!C53</f>
        <v>5.1480000000000006</v>
      </c>
      <c r="E2" s="21">
        <f>'Entradas de población-año base'!C54</f>
        <v>3.38</v>
      </c>
      <c r="F2" s="21">
        <f>'Entradas de población-año base'!C55</f>
        <v>1.6033333333333331</v>
      </c>
    </row>
    <row r="3" spans="1:6" ht="15.75" customHeight="1" x14ac:dyDescent="0.25">
      <c r="A3" s="3" t="s">
        <v>6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236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sheetProtection algorithmName="SHA-512" hashValue="XfzlG7qgnz3W8XvGDc5XYqGpWpddJf2ex1PcY0lCN2lfRdUtWn7k999H53mtViBmjkekIiJNYtJvdc9fV09cyQ==" saltValue="mFYl8S4RIu/HNOvAFePUn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0.157</v>
      </c>
      <c r="F2" s="60">
        <f>food_insecure</f>
        <v>0.157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0.157</v>
      </c>
      <c r="F5" s="60">
        <f>food_insecure</f>
        <v>0.157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7.638620689655172E-2</v>
      </c>
      <c r="D7" s="60">
        <f>diarrhoea_1_5mo*frac_diarrhea_severe</f>
        <v>7.638620689655172E-2</v>
      </c>
      <c r="E7" s="60">
        <f>diarrhoea_6_11mo*frac_diarrhea_severe</f>
        <v>0.1065103448275862</v>
      </c>
      <c r="F7" s="60">
        <f>diarrhoea_12_23mo*frac_diarrhea_severe</f>
        <v>6.99310344827586E-2</v>
      </c>
      <c r="G7" s="60">
        <f>diarrhoea_24_59mo*frac_diarrhea_severe</f>
        <v>3.3172413793103435E-2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0.157</v>
      </c>
      <c r="F8" s="60">
        <f>food_insecure</f>
        <v>0.157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0.157</v>
      </c>
      <c r="F9" s="60">
        <f>food_insecure</f>
        <v>0.157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7.638620689655172E-2</v>
      </c>
      <c r="D12" s="60">
        <f>diarrhoea_1_5mo*frac_diarrhea_severe</f>
        <v>7.638620689655172E-2</v>
      </c>
      <c r="E12" s="60">
        <f>diarrhoea_6_11mo*frac_diarrhea_severe</f>
        <v>0.1065103448275862</v>
      </c>
      <c r="F12" s="60">
        <f>diarrhoea_12_23mo*frac_diarrhea_severe</f>
        <v>6.99310344827586E-2</v>
      </c>
      <c r="G12" s="60">
        <f>diarrhoea_24_59mo*frac_diarrhea_severe</f>
        <v>3.3172413793103435E-2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0.157</v>
      </c>
      <c r="I15" s="60">
        <f t="shared" si="0"/>
        <v>0.157</v>
      </c>
      <c r="J15" s="60">
        <f t="shared" si="0"/>
        <v>0.157</v>
      </c>
      <c r="K15" s="60">
        <f t="shared" si="0"/>
        <v>0.157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0.157</v>
      </c>
      <c r="I16" s="60">
        <f t="shared" si="0"/>
        <v>0.157</v>
      </c>
      <c r="J16" s="60">
        <f t="shared" si="0"/>
        <v>0.157</v>
      </c>
      <c r="K16" s="60">
        <f t="shared" si="0"/>
        <v>0.157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0.14199999999999999</v>
      </c>
      <c r="M24" s="60">
        <f>famplan_unmet_need</f>
        <v>0.14199999999999999</v>
      </c>
      <c r="N24" s="60">
        <f>famplan_unmet_need</f>
        <v>0.14199999999999999</v>
      </c>
      <c r="O24" s="60">
        <f>famplan_unmet_need</f>
        <v>0.14199999999999999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0.19075864179399998</v>
      </c>
      <c r="M25" s="60">
        <f>(1-food_insecure)*(0.49)+food_insecure*(0.7)</f>
        <v>0.52296999999999993</v>
      </c>
      <c r="N25" s="60">
        <f>(1-food_insecure)*(0.49)+food_insecure*(0.7)</f>
        <v>0.52296999999999993</v>
      </c>
      <c r="O25" s="60">
        <f>(1-food_insecure)*(0.49)+food_insecure*(0.7)</f>
        <v>0.52296999999999993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8.1753703625999985E-2</v>
      </c>
      <c r="M26" s="60">
        <f>(1-food_insecure)*(0.21)+food_insecure*(0.3)</f>
        <v>0.22413</v>
      </c>
      <c r="N26" s="60">
        <f>(1-food_insecure)*(0.21)+food_insecure*(0.3)</f>
        <v>0.22413</v>
      </c>
      <c r="O26" s="60">
        <f>(1-food_insecure)*(0.21)+food_insecure*(0.3)</f>
        <v>0.22413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9.2247854579999983E-2</v>
      </c>
      <c r="M27" s="60">
        <f>(1-food_insecure)*(0.3)</f>
        <v>0.25289999999999996</v>
      </c>
      <c r="N27" s="60">
        <f>(1-food_insecure)*(0.3)</f>
        <v>0.25289999999999996</v>
      </c>
      <c r="O27" s="60">
        <f>(1-food_insecure)*(0.3)</f>
        <v>0.25289999999999996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0.63523980000000002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ck6TaDutr5NNoQ0UYG4G8fQH8vUNisTVbFkISyGvPsriUTaZheGyySbD3BqGttC6hqXJQHKHzISmj4j89uIRA==" saltValue="ZyLH04EyXrNuWFdcFgxsa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dT+Y74biuZ4XM8zlY4cVnMSa8h3D5JE5P9zVAG41Mfiv4TifvYkOAu+2dzXolgbYQ/wAPrn7dCPCQfXPHH2Bg==" saltValue="lgpAfkL5XI/KD6JPIqdyO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n0tiRczz8awtwpCBnhLi+ShdSli9OTqFfqqvdmsfDwmeOHyFrUGJ6P14modmCazG4Cro1pKQl3N4Iqyw0Vvvg==" saltValue="lzxrY4mWfE8NCHXYv5FeG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sQBV55iRpyt11KGE6h0G1hmXWOmx2/UZo7ecWUQgnOjGQ9ofuBdR63M4QJV12YPgJwu8hHcxPsFpKhrE4GTHg==" saltValue="tTdHRJSnq6uLlIu3VAYxN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qpmxK+FIINAUYgpfsmmG3lsSS8ghvb9oJ9wodzCOpmCHpyDBB38lbCseWNjwvCaWZMCjJXC6j4QZVOh3w9iGZw==" saltValue="N+jUBJ6jQkSumAIYLzeWo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5PAKLUfGgEQ5mYwxhL9IeG3IT9ALqsYgcxM0T0wjZ6eglQaR4vl6TYHxYXKJmh2MSkC2ZwV+RDduLShlqExa9Q==" saltValue="k1xRPF7IFkYZH9nZaGzp1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8uNHotKJ6LDP+uXR+e2Oqu6Ni/hO+9kAtp089wcnxxoAEGIvBG5TRFZqFwSx0qB6wmWjfQncPYPEqKtP4F0aA==" saltValue="kDnOVxb7dfBFankqrcFI8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xUAzGlE5Mrij5DWGj2zPHHhWdDRTdt8zNBhRGtKRLuJDvzN6CcPuoXRAsUvl5HoO6HHt6IJRqIToBozWMKRaw==" saltValue="FEWnNdoj0EoyxtJkkPJf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+2KcuM9bKU/qD55DxHGctz84BuSJQpfAYatzuPSRoKUB5ZSIQVhxNdhkOExrONoCDlUa0xHorbHWwEtp4TplnQ==" saltValue="NpT4vcr6JaIOa6OYjf3F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KljG7bZgW2THuoiR9vlCOuPmISojIjwPzPYZO0bue5Q+sMXrsVsgRT50LSPMNG11NVW/K2MuxuCe9HiVZ1KVw==" saltValue="ltqGOKil0EEag4upFNXD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b4kjM0X0SdcJVey296roe8IVvnbcxQYg7f/G+g/R5xqwYF/jKQaDFfSzpzbvNGBNn97dHFIQ6ShOEnZbICb+Q==" saltValue="uKj+bh5JkH33I2Mij8Br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CQWYJWNVzeQk47IJHY1nXOGmMi7m7e3W78Vti4BwN3nZx7nX3C07LHYlMrdxFqpwfHZ9hLuNqPS0xoAFJ/aRg==" saltValue="0aom5jh/RsANJlXEbLsA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BlUjvZ03emwhnqxIH27M1UYAKdKnAbZTlCgEqnOY/BNrkEotysCDUDvsKwghcnzIyjuo9z0RY7RVwES0/gaDg==" saltValue="XZPYh/5KJUQcx2LIJ7DA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eHRttJ0KbixPk3+l/RCEYYilSt+tDkL4ISrS3I+XWcFAB/kIJlMHjUS4Vw19NVdMeiQ4VH46aYaVAo05vFaDA==" saltValue="gzFcQRTIwY6U8ZAdxDc1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41XCZsfGxyOeqkJF0HmTdIVYDr1dwnVrWPQSjC34XCv3WJvJ8Ne+1zL0oDHYJ9hTGAZiafL2T8QkysrFCocDw==" saltValue="G8kkPXsG4U9qeKzIzmFYu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