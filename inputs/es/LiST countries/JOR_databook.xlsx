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55749DC8-1D8A-40D4-95C7-2C4F7498938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7" i="2" l="1"/>
  <c r="A19" i="2"/>
  <c r="I13" i="2"/>
  <c r="I11" i="2"/>
  <c r="A31" i="2"/>
  <c r="I6" i="2"/>
  <c r="I12" i="2"/>
  <c r="A35" i="2"/>
  <c r="A36" i="2"/>
  <c r="A22" i="2"/>
  <c r="I39" i="2"/>
  <c r="A23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<sst xmlns="http://schemas.openxmlformats.org/spreadsheetml/2006/main" count="2169" uniqueCount="373">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</sst>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1169548.5</v>
      </c>
    </row>
    <row r="8" spans="1:3" ht="15" customHeight="1" x14ac:dyDescent="0.25">
      <c r="B8" s="5" t="s">
        <v>63</v>
      </c>
      <c r="C8" s="44">
        <v>0.157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0.63523980000000002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3.9300000000000002E-2</v>
      </c>
    </row>
    <row r="24" spans="1:3" ht="15" customHeight="1" x14ac:dyDescent="0.25">
      <c r="B24" s="15" t="s">
        <v>65</v>
      </c>
      <c r="C24" s="45">
        <v>0.49590000000000001</v>
      </c>
    </row>
    <row r="25" spans="1:3" ht="15" customHeight="1" x14ac:dyDescent="0.25">
      <c r="B25" s="15" t="s">
        <v>66</v>
      </c>
      <c r="C25" s="45">
        <v>0.42020000000000002</v>
      </c>
    </row>
    <row r="26" spans="1:3" ht="15" customHeight="1" x14ac:dyDescent="0.25">
      <c r="B26" s="15" t="s">
        <v>67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0.259769272097435</v>
      </c>
    </row>
    <row r="30" spans="1:3" ht="14.25" customHeight="1" x14ac:dyDescent="0.25">
      <c r="B30" s="25" t="s">
        <v>82</v>
      </c>
      <c r="C30" s="97">
        <v>0.11570907979532</v>
      </c>
    </row>
    <row r="31" spans="1:3" ht="14.25" customHeight="1" x14ac:dyDescent="0.25">
      <c r="B31" s="25" t="s">
        <v>29</v>
      </c>
      <c r="C31" s="97">
        <v>9.89832068757453E-2</v>
      </c>
    </row>
    <row r="32" spans="1:3" ht="14.25" customHeight="1" x14ac:dyDescent="0.25">
      <c r="B32" s="25" t="s">
        <v>30</v>
      </c>
      <c r="C32" s="97">
        <v>0.52553844123149995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8.5367899999999999</v>
      </c>
    </row>
    <row r="38" spans="1:5" ht="15" customHeight="1" x14ac:dyDescent="0.25">
      <c r="B38" s="11" t="s">
        <v>54</v>
      </c>
      <c r="C38" s="43">
        <v>12.564450000000001</v>
      </c>
      <c r="D38" s="12"/>
      <c r="E38" s="13"/>
    </row>
    <row r="39" spans="1:5" ht="15" customHeight="1" x14ac:dyDescent="0.25">
      <c r="B39" s="11" t="s">
        <v>80</v>
      </c>
      <c r="C39" s="43">
        <v>14.59897</v>
      </c>
      <c r="D39" s="12"/>
      <c r="E39" s="12"/>
    </row>
    <row r="40" spans="1:5" ht="15" customHeight="1" x14ac:dyDescent="0.25">
      <c r="B40" s="11" t="s">
        <v>55</v>
      </c>
      <c r="C40" s="98">
        <v>0.41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7.3870999999999997E-3</v>
      </c>
      <c r="D45" s="12"/>
    </row>
    <row r="46" spans="1:5" ht="15.75" customHeight="1" x14ac:dyDescent="0.25">
      <c r="B46" s="11" t="s">
        <v>70</v>
      </c>
      <c r="C46" s="45">
        <v>7.93735E-2</v>
      </c>
      <c r="D46" s="12"/>
    </row>
    <row r="47" spans="1:5" ht="15.75" customHeight="1" x14ac:dyDescent="0.25">
      <c r="B47" s="11" t="s">
        <v>78</v>
      </c>
      <c r="C47" s="45">
        <v>7.3975899999999997E-2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3.6920000000000002</v>
      </c>
      <c r="D51" s="12"/>
    </row>
    <row r="52" spans="1:4" ht="15" customHeight="1" x14ac:dyDescent="0.25">
      <c r="B52" s="11" t="s">
        <v>32</v>
      </c>
      <c r="C52" s="98">
        <v>3.6920000000000002</v>
      </c>
    </row>
    <row r="53" spans="1:4" ht="15.75" customHeight="1" x14ac:dyDescent="0.25">
      <c r="B53" s="11" t="s">
        <v>35</v>
      </c>
      <c r="C53" s="98">
        <v>5.1480000000000006</v>
      </c>
    </row>
    <row r="54" spans="1:4" ht="15.75" customHeight="1" x14ac:dyDescent="0.25">
      <c r="B54" s="11" t="s">
        <v>33</v>
      </c>
      <c r="C54" s="98">
        <v>3.38</v>
      </c>
    </row>
    <row r="55" spans="1:4" ht="15.75" customHeight="1" x14ac:dyDescent="0.25">
      <c r="B55" s="11" t="s">
        <v>34</v>
      </c>
      <c r="C55" s="98">
        <v>1.6033333333333331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0.60336800000000002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0.1893666383</v>
      </c>
    </row>
    <row r="63" spans="1:4" ht="15.75" customHeight="1" x14ac:dyDescent="0.3">
      <c r="A63" s="4"/>
    </row>
  </sheetData>
  <sheetProtection algorithmName="SHA-512" hashValue="enjhMZ9I1a10YXw6TQF+ybQAopC3Xjj1lB0LtCTx2tUkFOJGE6lVL5Me/VFdK8eKgSWEiDpsV4SS9BZrY535pA==" saltValue="aswFQ0g0k2bHsO4PFUlM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Zz6+lwLOstzXEfPwHTvmajDnecqt5KXW9ypuIo5YP3SwW5xhCvw+Hde21RKA8urJwgQ9mX0t1VLvzulbPwlDQ==" saltValue="oaqo4paZWooWRdMQDHiM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7.2734599999999927E-2</v>
      </c>
    </row>
    <row r="5" spans="1:8" ht="15.75" customHeight="1" x14ac:dyDescent="0.25">
      <c r="B5" s="19" t="s">
        <v>114</v>
      </c>
      <c r="C5" s="99">
        <v>2.9755600000000038E-2</v>
      </c>
    </row>
    <row r="6" spans="1:8" ht="15.75" customHeight="1" x14ac:dyDescent="0.25">
      <c r="B6" s="19" t="s">
        <v>110</v>
      </c>
      <c r="C6" s="99">
        <v>0.1467636999999998</v>
      </c>
    </row>
    <row r="7" spans="1:8" ht="15.75" customHeight="1" x14ac:dyDescent="0.25">
      <c r="B7" s="19" t="s">
        <v>115</v>
      </c>
      <c r="C7" s="99">
        <v>0.41250100000000051</v>
      </c>
    </row>
    <row r="8" spans="1:8" ht="15.75" customHeight="1" x14ac:dyDescent="0.25">
      <c r="B8" s="19" t="s">
        <v>117</v>
      </c>
      <c r="C8" s="99">
        <v>6.1284000000000009E-3</v>
      </c>
    </row>
    <row r="9" spans="1:8" ht="15.75" customHeight="1" x14ac:dyDescent="0.25">
      <c r="B9" s="19" t="s">
        <v>111</v>
      </c>
      <c r="C9" s="99">
        <v>0.2188106999999998</v>
      </c>
    </row>
    <row r="10" spans="1:8" ht="15.75" customHeight="1" x14ac:dyDescent="0.25">
      <c r="B10" s="19" t="s">
        <v>113</v>
      </c>
      <c r="C10" s="99">
        <v>0.113306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121</v>
      </c>
      <c r="C15" s="99">
        <v>0.61124027546512405</v>
      </c>
      <c r="D15" s="99">
        <v>0.61124027546512405</v>
      </c>
      <c r="E15" s="99">
        <v>0.61124027546512405</v>
      </c>
      <c r="F15" s="99">
        <v>0.61124027546512405</v>
      </c>
    </row>
    <row r="16" spans="1:8" ht="15.75" customHeight="1" x14ac:dyDescent="0.25">
      <c r="B16" s="19" t="s">
        <v>2</v>
      </c>
      <c r="C16" s="99">
        <v>1.6022347070029211E-2</v>
      </c>
      <c r="D16" s="99">
        <v>1.6022347070029211E-2</v>
      </c>
      <c r="E16" s="99">
        <v>1.6022347070029211E-2</v>
      </c>
      <c r="F16" s="99">
        <v>1.6022347070029211E-2</v>
      </c>
    </row>
    <row r="17" spans="1:8" ht="15.75" customHeight="1" x14ac:dyDescent="0.25">
      <c r="B17" s="19" t="s">
        <v>109</v>
      </c>
      <c r="C17" s="99">
        <v>5.8457813749759656E-3</v>
      </c>
      <c r="D17" s="99">
        <v>5.8457813749759656E-3</v>
      </c>
      <c r="E17" s="99">
        <v>5.8457813749759656E-3</v>
      </c>
      <c r="F17" s="99">
        <v>5.8457813749759656E-3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2.2229239875370121E-2</v>
      </c>
      <c r="D19" s="99">
        <v>2.2229239875370121E-2</v>
      </c>
      <c r="E19" s="99">
        <v>2.2229239875370121E-2</v>
      </c>
      <c r="F19" s="99">
        <v>2.2229239875370121E-2</v>
      </c>
    </row>
    <row r="20" spans="1:8" ht="15.75" customHeight="1" x14ac:dyDescent="0.25">
      <c r="B20" s="19" t="s">
        <v>98</v>
      </c>
      <c r="C20" s="99">
        <v>4.9781084605670864E-3</v>
      </c>
      <c r="D20" s="99">
        <v>4.9781084605670864E-3</v>
      </c>
      <c r="E20" s="99">
        <v>4.9781084605670864E-3</v>
      </c>
      <c r="F20" s="99">
        <v>4.9781084605670864E-3</v>
      </c>
    </row>
    <row r="21" spans="1:8" ht="15.75" customHeight="1" x14ac:dyDescent="0.25">
      <c r="B21" s="19" t="s">
        <v>107</v>
      </c>
      <c r="C21" s="99">
        <v>0.26469792753207122</v>
      </c>
      <c r="D21" s="99">
        <v>0.26469792753207122</v>
      </c>
      <c r="E21" s="99">
        <v>0.26469792753207122</v>
      </c>
      <c r="F21" s="99">
        <v>0.26469792753207122</v>
      </c>
    </row>
    <row r="22" spans="1:8" ht="15.75" customHeight="1" x14ac:dyDescent="0.25">
      <c r="B22" s="19" t="s">
        <v>118</v>
      </c>
      <c r="C22" s="99">
        <v>5.7234305098806143E-2</v>
      </c>
      <c r="D22" s="99">
        <v>5.7234305098806143E-2</v>
      </c>
      <c r="E22" s="99">
        <v>5.7234305098806143E-2</v>
      </c>
      <c r="F22" s="99">
        <v>5.7234305098806143E-2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0.109226406</v>
      </c>
    </row>
    <row r="27" spans="1:8" ht="15.75" customHeight="1" x14ac:dyDescent="0.25">
      <c r="B27" s="19" t="s">
        <v>108</v>
      </c>
      <c r="C27" s="99">
        <v>1.7615203999999999E-2</v>
      </c>
    </row>
    <row r="28" spans="1:8" ht="15.75" customHeight="1" x14ac:dyDescent="0.25">
      <c r="B28" s="19" t="s">
        <v>122</v>
      </c>
      <c r="C28" s="99">
        <v>3.5403469E-2</v>
      </c>
    </row>
    <row r="29" spans="1:8" ht="15.75" customHeight="1" x14ac:dyDescent="0.25">
      <c r="B29" s="19" t="s">
        <v>105</v>
      </c>
      <c r="C29" s="99">
        <v>8.1855017000000002E-2</v>
      </c>
    </row>
    <row r="30" spans="1:8" ht="15.75" customHeight="1" x14ac:dyDescent="0.25">
      <c r="B30" s="19" t="s">
        <v>4</v>
      </c>
      <c r="C30" s="99">
        <v>6.7261675000000007E-2</v>
      </c>
    </row>
    <row r="31" spans="1:8" ht="15.75" customHeight="1" x14ac:dyDescent="0.25">
      <c r="B31" s="19" t="s">
        <v>99</v>
      </c>
      <c r="C31" s="99">
        <v>2.8928879000000001E-2</v>
      </c>
    </row>
    <row r="32" spans="1:8" ht="15.75" customHeight="1" x14ac:dyDescent="0.25">
      <c r="B32" s="19" t="s">
        <v>104</v>
      </c>
      <c r="C32" s="99">
        <v>0.23338838200000001</v>
      </c>
    </row>
    <row r="33" spans="2:3" ht="15.75" customHeight="1" x14ac:dyDescent="0.25">
      <c r="B33" s="19" t="s">
        <v>119</v>
      </c>
      <c r="C33" s="99">
        <v>0.13208631300000001</v>
      </c>
    </row>
    <row r="34" spans="2:3" ht="15.75" customHeight="1" x14ac:dyDescent="0.25">
      <c r="B34" s="19" t="s">
        <v>106</v>
      </c>
      <c r="C34" s="99">
        <v>0.29423465599999998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e6lkXBi04mAwwjK759oDIHgXYSfCxhse7tkvG5nTZgkXqvG7FdxDOpbBU3llqfcFpi4LfYtBHo7OxvpzJ8QO/w==" saltValue="ja6FVjQDtvxesShn/zR5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129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125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126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138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3RSbZ0gNNfIV38Yx2+lS0YGjcjLZ5Oec5//m6Y51avC264/3S/OyXTtYqiml77dVJfHD+jqs1DSTn4sZAMDhg==" saltValue="5L2w916KSdUyZPlWpwig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VJMxE9DhUsCzrexf9tJhhLfJv2geKMwq0B2fS4o6vnylXDhgrewhXP0K3cOBhmJB7Ce5z/6bzHSHzO1S+HQ3dA==" saltValue="s/xNsWJq6yVuxrKFlDk7+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a+Jh/GgRrFkAm5MOL01LAWme+yCLGgl9nL1t/8gimx9R46NkU9Dz/PrXuy48kA9wpipGAXBJDlIKlg5CNNZ9A==" saltValue="wSd/be5VYNJr7jOekKHv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4311.0000462206099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0.43898999999999999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0.14510999999999999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1.4627555916700341E-2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79309.164820000005</v>
      </c>
    </row>
  </sheetData>
  <sheetProtection algorithmName="SHA-512" hashValue="K5be1VbalNKbGmLrmB/qYiIDxMXUKHkHSI81UzEdqZ3f5XrJO/oqwSByI8bjKs2KFs3VUCApwjugSrMT/DoCIQ==" saltValue="mPwRO99sOk8etHI8Gt5f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8V8TsLsOgV5Gl72qKvKUEzW7LV7ysAOpE/YBM22ah67fii5zAZTsCFNsE+ludwVvCmfIxdganSobdp9UwWv4A==" saltValue="g7t1dxLNXRTw0NKM1YxA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EkUPxmmEw0DhAugJBikB+yRt7FGWORxT2pkWmnR5qBzxHP8/izEH1PieU9b89F7JUJtMN6OKr0bDP1tSBRQRQ==" saltValue="0uECINL3tGthqvQcfxyKj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0.48911409999999989</v>
      </c>
      <c r="C10" s="96">
        <v>0.95</v>
      </c>
      <c r="D10" s="56">
        <v>13.00441189507751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13.00441189507751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13.00441189507751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13.00441189507751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0.48911409999999989</v>
      </c>
      <c r="C14" s="96">
        <v>0.95</v>
      </c>
      <c r="D14" s="56">
        <v>13.00441189507751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13.00441189507751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0.54287457000000006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0.73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0.2062329</v>
      </c>
      <c r="C19" s="96">
        <v>0.95</v>
      </c>
      <c r="D19" s="56">
        <v>9.4258488463818431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4.2744829442771808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0.94011724592245105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0.44430960000000003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0.34953200000000001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0.17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0.30520770000000003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0.86144760000000009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2.2872799999999999E-2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x/ddTBaKmjsm2jEZnPKFrRw7gFfky2jjZ2g0aErgRGqnhLkdsYmfuJTS9fs0TpoeEYTWRnhYGQ+ipnliBDR/fg==" saltValue="xKgeaZKj8x+HfFAtGrmF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9WzVdKr1q/UdEEfXGet+Rhzq8MY8xTL765oUv1xYhPYhDjkL7RFSHFV+HSmRVeY3MdqAmVkv4sbbYxV8Bn5kQ==" saltValue="yLhIT1VDjar0J7B8z0DX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FZP3Qk393OgCM75Qo4TMnT5/vzCbxr2eWxE+DSVxxFQulMTMZ3v9hkX3G7QAHRieyYIv73RfLmqQV9vRncfog==" saltValue="wjuIxEdpb3voZM+vGJg0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3.6920000000000002</v>
      </c>
      <c r="C2" s="21">
        <f>'Entradas de población-año base'!C52</f>
        <v>3.6920000000000002</v>
      </c>
      <c r="D2" s="21">
        <f>'Entradas de población-año base'!C53</f>
        <v>5.1480000000000006</v>
      </c>
      <c r="E2" s="21">
        <f>'Entradas de población-año base'!C54</f>
        <v>3.38</v>
      </c>
      <c r="F2" s="21">
        <f>'Entradas de población-año base'!C55</f>
        <v>1.6033333333333331</v>
      </c>
    </row>
    <row r="3" spans="1:6" ht="15.75" customHeight="1" x14ac:dyDescent="0.25">
      <c r="A3" s="3" t="s">
        <v>6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236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NjkCf4sdCPclY1wTBYxxXcolUFtgdBxkGORRS7qB7BTOWuBoIFkWcUKOLFjyav+SkJpdxmAyLkZAWzDpzVrqxA==" saltValue="gK5kU/VHojPbNKFla90P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9I19ob0LwxjCK6jbFIhfqUyYez6U/Q/A2ClbB7XMiSlclfTuNzsJQlJ8nqbvahqb2hO9FxTZb/Q/UNPjyMr4g==" saltValue="jVD2xdGGaHvx+wf8mFvy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gAtrJlNwTgawd2oqoPTCVSnQQuPNA1Vtt0hV8WeRAtlRMmYLtKXHqFiEzXWZRdi6Si9m7W0gkinKKUe9Sz1MQ==" saltValue="NElkzxCxdEKDFRLocymw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SEl6ZbeWjMDfzRP6uC+IwIkYWpCX7QUKfg0q4EbBj4CyXXZLIC3l7j9lYh8E6xnCSviR+IJXdXVH0jV2ChDQw==" saltValue="aqm0YdEzC2P+5OOlS7T5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DXo8rSHX+5Hng3i8m8Ht+bhVQKABwRyk1z46chifCWy72Ulu+Si4Yt0IpKxNv85jf86eTcIs79C/E9dOdw3Ww==" saltValue="DJqjV3EVaKcuVg/VVWI87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EDvNtiRDhd+lGXIdjljiL/63p6XfCNc67BfksbAB/GtoYcG1/s5r5+i7YthCHz28vy06O3mtGa1rUf3sS9vVA==" saltValue="piZswRx+oErfTdmy5AnK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UGvGIauvGcY7EHOQfW0XmnUF5ampPvxeW+IulsDxh82cCBVmVZmFys+T1nbfOLTTcOdsq8V4rAV2N52SQYUTA==" saltValue="B9lpBVL8o1/KdiJ2ZXFe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XDdinSEqMMoNWdzlT+1D6NbIjN5QRnApjb2wIfArwn5f/55CBKzzVlVaCUfS+b0mijxzNNFxWWWmhfC1AtyXQ==" saltValue="j99h3WWMcg/4OR2L3IVPu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mXz93fTWJBbd+e5vRK5Czq24YFvPkfh4yYOPeXXwPw6Q+N0PsbH2mUu5kiRuCscF/E1mx7YSUoULIBbla38AA==" saltValue="pw1yT9tl9YsI013Q35pN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KnU4PDOEnoMzbxVHQFO9GcoDH2HmhCn0f9Sw33VIKce5TEZbuRhh0MTpcLCnqSxNwGccFMpgIcAToH7Rfgikg==" saltValue="9tqDAJHiP9tfeoITS0ay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S1fv5DbtWkR3OvCt90O22mNx05jG1WXj9Q3f2zQEpSlaMs5Slzexy7nsc8TbvyeJntSkzMDzveHW0wmsfKpwA==" saltValue="gdbWCn0fMreAhb2z8HaJ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l4KgcCpChgubCpX4h6UmYDCQMOL6VZBtzJWI6F8H6MMgzddEoy38ILarszoAZLk3yBY13/9Qnj3X36iVZobgA==" saltValue="LcBl5kFxiRACS1UMJaj+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elWA2nQqdMSO4XtfvCkoCBtNgbixjnfKmx4hcpSbHeEpzO8PgzRP9yR/lDHbGqOJcoeC1m613JUSMrY+BDkvQ==" saltValue="f//4H1/GawLJCp0BvqaL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1QXhJsmizD+HIXqhJ32aD9Ya2ak9k5nUohMbPR6KeMma+O6CGVxC7OTHHsuLUF0xqJ7tt5L5TyN5zYA+1dmEA==" saltValue="h+YUjxYDYh8Toio3y47y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JQa2G6yAKYUe0ocntyeE7yIx+d4o+rP7o9gsr0ZgSPxRBiAuAHp1YtUm7ScT2+opalJvoZak/onv2m98Rx9dQ==" saltValue="+oOgokppwRqslVQccEQz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qpbBkpiW6Rzb8/vaXXCQ++pbvLlhtMCZpazF5tugXMVIZELLdW3XROw0hVs6Fi8RoldHd2ipUeqVvMhe8ZXfg==" saltValue="T39z4jGb6Bu4bwbJnR5lx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