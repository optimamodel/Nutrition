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4D2591D-F52F-4849-A733-AB24AC8E1E2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I4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<sst xmlns="http://schemas.openxmlformats.org/spreadsheetml/2006/main" count="2159" uniqueCount="372">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</sst>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1169548.5</v>
      </c>
    </row>
    <row r="8" spans="1:3" ht="15" customHeight="1" x14ac:dyDescent="0.25">
      <c r="B8" s="5" t="s">
        <v>63</v>
      </c>
      <c r="C8" s="44">
        <v>0.157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0.63523980000000002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0.14199999999999999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3.9300000000000002E-2</v>
      </c>
    </row>
    <row r="24" spans="1:3" ht="15" customHeight="1" x14ac:dyDescent="0.25">
      <c r="B24" s="15" t="s">
        <v>65</v>
      </c>
      <c r="C24" s="45">
        <v>0.49590000000000001</v>
      </c>
    </row>
    <row r="25" spans="1:3" ht="15" customHeight="1" x14ac:dyDescent="0.25">
      <c r="B25" s="15" t="s">
        <v>66</v>
      </c>
      <c r="C25" s="45">
        <v>0.42020000000000002</v>
      </c>
    </row>
    <row r="26" spans="1:3" ht="15" customHeight="1" x14ac:dyDescent="0.25">
      <c r="B26" s="15" t="s">
        <v>67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0.259769272097435</v>
      </c>
    </row>
    <row r="30" spans="1:3" ht="14.25" customHeight="1" x14ac:dyDescent="0.25">
      <c r="B30" s="25" t="s">
        <v>82</v>
      </c>
      <c r="C30" s="99">
        <v>0.11570907979532</v>
      </c>
    </row>
    <row r="31" spans="1:3" ht="14.25" customHeight="1" x14ac:dyDescent="0.25">
      <c r="B31" s="25" t="s">
        <v>29</v>
      </c>
      <c r="C31" s="99">
        <v>9.89832068757453E-2</v>
      </c>
    </row>
    <row r="32" spans="1:3" ht="14.25" customHeight="1" x14ac:dyDescent="0.25">
      <c r="B32" s="25" t="s">
        <v>30</v>
      </c>
      <c r="C32" s="99">
        <v>0.52553844123149995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8.5367899999999999</v>
      </c>
    </row>
    <row r="38" spans="1:5" ht="15" customHeight="1" x14ac:dyDescent="0.25">
      <c r="B38" s="11" t="s">
        <v>54</v>
      </c>
      <c r="C38" s="43">
        <v>12.564450000000001</v>
      </c>
      <c r="D38" s="12"/>
      <c r="E38" s="13"/>
    </row>
    <row r="39" spans="1:5" ht="15" customHeight="1" x14ac:dyDescent="0.25">
      <c r="B39" s="11" t="s">
        <v>80</v>
      </c>
      <c r="C39" s="43">
        <v>14.59897</v>
      </c>
      <c r="D39" s="12"/>
      <c r="E39" s="12"/>
    </row>
    <row r="40" spans="1:5" ht="15" customHeight="1" x14ac:dyDescent="0.25">
      <c r="B40" s="11" t="s">
        <v>55</v>
      </c>
      <c r="C40" s="100">
        <v>0.41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7.3870999999999997E-3</v>
      </c>
      <c r="D45" s="12"/>
    </row>
    <row r="46" spans="1:5" ht="15.75" customHeight="1" x14ac:dyDescent="0.25">
      <c r="B46" s="11" t="s">
        <v>70</v>
      </c>
      <c r="C46" s="45">
        <v>7.93735E-2</v>
      </c>
      <c r="D46" s="12"/>
    </row>
    <row r="47" spans="1:5" ht="15.75" customHeight="1" x14ac:dyDescent="0.25">
      <c r="B47" s="11" t="s">
        <v>78</v>
      </c>
      <c r="C47" s="45">
        <v>7.3975899999999997E-2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3.6920000000000002</v>
      </c>
      <c r="D51" s="12"/>
    </row>
    <row r="52" spans="1:4" ht="15" customHeight="1" x14ac:dyDescent="0.25">
      <c r="B52" s="11" t="s">
        <v>32</v>
      </c>
      <c r="C52" s="100">
        <v>3.6920000000000002</v>
      </c>
    </row>
    <row r="53" spans="1:4" ht="15.75" customHeight="1" x14ac:dyDescent="0.25">
      <c r="B53" s="11" t="s">
        <v>35</v>
      </c>
      <c r="C53" s="100">
        <v>5.1480000000000006</v>
      </c>
    </row>
    <row r="54" spans="1:4" ht="15.75" customHeight="1" x14ac:dyDescent="0.25">
      <c r="B54" s="11" t="s">
        <v>33</v>
      </c>
      <c r="C54" s="100">
        <v>3.38</v>
      </c>
    </row>
    <row r="55" spans="1:4" ht="15.75" customHeight="1" x14ac:dyDescent="0.25">
      <c r="B55" s="11" t="s">
        <v>34</v>
      </c>
      <c r="C55" s="100">
        <v>1.6033333333333331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0.60336800000000002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0.1893666383</v>
      </c>
    </row>
    <row r="63" spans="1:4" ht="15.75" customHeight="1" x14ac:dyDescent="0.3">
      <c r="A63" s="4"/>
    </row>
  </sheetData>
  <sheetProtection algorithmName="SHA-512" hashValue="FCwq7KZEjuB3pRX9ZmNmuStvNX/hLH3ewplZY/Jolp4tLZs9j2gm5DpSAHLLdBSIivRjkvHVHnCqni4LUc3gNA==" saltValue="TKAN04Mx882O7iI/gIxb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b4PoJ3NsuAy16R3MIZKtrQLkYux4WlHzDOTS0QApH/Fhy1hL7StSFu6ZYh/3NE1wGtD79VC2XwiY2fONGoFLkw==" saltValue="y0rc3HTN+MO7xqcN+sln2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7.2734599999999927E-2</v>
      </c>
    </row>
    <row r="5" spans="1:8" ht="15.75" customHeight="1" x14ac:dyDescent="0.25">
      <c r="B5" s="19" t="s">
        <v>114</v>
      </c>
      <c r="C5" s="101">
        <v>2.9755600000000038E-2</v>
      </c>
    </row>
    <row r="6" spans="1:8" ht="15.75" customHeight="1" x14ac:dyDescent="0.25">
      <c r="B6" s="19" t="s">
        <v>110</v>
      </c>
      <c r="C6" s="101">
        <v>0.1467636999999998</v>
      </c>
    </row>
    <row r="7" spans="1:8" ht="15.75" customHeight="1" x14ac:dyDescent="0.25">
      <c r="B7" s="19" t="s">
        <v>115</v>
      </c>
      <c r="C7" s="101">
        <v>0.41250100000000051</v>
      </c>
    </row>
    <row r="8" spans="1:8" ht="15.75" customHeight="1" x14ac:dyDescent="0.25">
      <c r="B8" s="19" t="s">
        <v>117</v>
      </c>
      <c r="C8" s="101">
        <v>6.1284000000000009E-3</v>
      </c>
    </row>
    <row r="9" spans="1:8" ht="15.75" customHeight="1" x14ac:dyDescent="0.25">
      <c r="B9" s="19" t="s">
        <v>111</v>
      </c>
      <c r="C9" s="101">
        <v>0.2188106999999998</v>
      </c>
    </row>
    <row r="10" spans="1:8" ht="15.75" customHeight="1" x14ac:dyDescent="0.25">
      <c r="B10" s="19" t="s">
        <v>113</v>
      </c>
      <c r="C10" s="101">
        <v>0.113306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121</v>
      </c>
      <c r="C15" s="101">
        <v>0.61124027546512405</v>
      </c>
      <c r="D15" s="101">
        <v>0.61124027546512405</v>
      </c>
      <c r="E15" s="101">
        <v>0.61124027546512405</v>
      </c>
      <c r="F15" s="101">
        <v>0.61124027546512405</v>
      </c>
    </row>
    <row r="16" spans="1:8" ht="15.75" customHeight="1" x14ac:dyDescent="0.25">
      <c r="B16" s="19" t="s">
        <v>2</v>
      </c>
      <c r="C16" s="101">
        <v>1.6022347070029211E-2</v>
      </c>
      <c r="D16" s="101">
        <v>1.6022347070029211E-2</v>
      </c>
      <c r="E16" s="101">
        <v>1.6022347070029211E-2</v>
      </c>
      <c r="F16" s="101">
        <v>1.6022347070029211E-2</v>
      </c>
    </row>
    <row r="17" spans="1:8" ht="15.75" customHeight="1" x14ac:dyDescent="0.25">
      <c r="B17" s="19" t="s">
        <v>109</v>
      </c>
      <c r="C17" s="101">
        <v>5.8457813749759656E-3</v>
      </c>
      <c r="D17" s="101">
        <v>5.8457813749759656E-3</v>
      </c>
      <c r="E17" s="101">
        <v>5.8457813749759656E-3</v>
      </c>
      <c r="F17" s="101">
        <v>5.8457813749759656E-3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2.2229239875370121E-2</v>
      </c>
      <c r="D19" s="101">
        <v>2.2229239875370121E-2</v>
      </c>
      <c r="E19" s="101">
        <v>2.2229239875370121E-2</v>
      </c>
      <c r="F19" s="101">
        <v>2.2229239875370121E-2</v>
      </c>
    </row>
    <row r="20" spans="1:8" ht="15.75" customHeight="1" x14ac:dyDescent="0.25">
      <c r="B20" s="19" t="s">
        <v>98</v>
      </c>
      <c r="C20" s="101">
        <v>4.9781084605670864E-3</v>
      </c>
      <c r="D20" s="101">
        <v>4.9781084605670864E-3</v>
      </c>
      <c r="E20" s="101">
        <v>4.9781084605670864E-3</v>
      </c>
      <c r="F20" s="101">
        <v>4.9781084605670864E-3</v>
      </c>
    </row>
    <row r="21" spans="1:8" ht="15.75" customHeight="1" x14ac:dyDescent="0.25">
      <c r="B21" s="19" t="s">
        <v>107</v>
      </c>
      <c r="C21" s="101">
        <v>0.26469792753207122</v>
      </c>
      <c r="D21" s="101">
        <v>0.26469792753207122</v>
      </c>
      <c r="E21" s="101">
        <v>0.26469792753207122</v>
      </c>
      <c r="F21" s="101">
        <v>0.26469792753207122</v>
      </c>
    </row>
    <row r="22" spans="1:8" ht="15.75" customHeight="1" x14ac:dyDescent="0.25">
      <c r="B22" s="19" t="s">
        <v>118</v>
      </c>
      <c r="C22" s="101">
        <v>5.7234305098806143E-2</v>
      </c>
      <c r="D22" s="101">
        <v>5.7234305098806143E-2</v>
      </c>
      <c r="E22" s="101">
        <v>5.7234305098806143E-2</v>
      </c>
      <c r="F22" s="101">
        <v>5.7234305098806143E-2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0.109226406</v>
      </c>
    </row>
    <row r="27" spans="1:8" ht="15.75" customHeight="1" x14ac:dyDescent="0.25">
      <c r="B27" s="19" t="s">
        <v>108</v>
      </c>
      <c r="C27" s="101">
        <v>1.7615203999999999E-2</v>
      </c>
    </row>
    <row r="28" spans="1:8" ht="15.75" customHeight="1" x14ac:dyDescent="0.25">
      <c r="B28" s="19" t="s">
        <v>122</v>
      </c>
      <c r="C28" s="101">
        <v>3.5403469E-2</v>
      </c>
    </row>
    <row r="29" spans="1:8" ht="15.75" customHeight="1" x14ac:dyDescent="0.25">
      <c r="B29" s="19" t="s">
        <v>105</v>
      </c>
      <c r="C29" s="101">
        <v>8.1855017000000002E-2</v>
      </c>
    </row>
    <row r="30" spans="1:8" ht="15.75" customHeight="1" x14ac:dyDescent="0.25">
      <c r="B30" s="19" t="s">
        <v>4</v>
      </c>
      <c r="C30" s="101">
        <v>6.7261675000000007E-2</v>
      </c>
    </row>
    <row r="31" spans="1:8" ht="15.75" customHeight="1" x14ac:dyDescent="0.25">
      <c r="B31" s="19" t="s">
        <v>99</v>
      </c>
      <c r="C31" s="101">
        <v>2.8928879000000001E-2</v>
      </c>
    </row>
    <row r="32" spans="1:8" ht="15.75" customHeight="1" x14ac:dyDescent="0.25">
      <c r="B32" s="19" t="s">
        <v>104</v>
      </c>
      <c r="C32" s="101">
        <v>0.23338838200000001</v>
      </c>
    </row>
    <row r="33" spans="2:3" ht="15.75" customHeight="1" x14ac:dyDescent="0.25">
      <c r="B33" s="19" t="s">
        <v>119</v>
      </c>
      <c r="C33" s="101">
        <v>0.13208631300000001</v>
      </c>
    </row>
    <row r="34" spans="2:3" ht="15.75" customHeight="1" x14ac:dyDescent="0.25">
      <c r="B34" s="19" t="s">
        <v>106</v>
      </c>
      <c r="C34" s="101">
        <v>0.29423465599999998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iMHufpTJkzF9s+KzKqPTlMxD0m0RKL9/m8q5zSpVJyD09qyb5vOQvrLs5tjiRMF8fjpKWWQtUpVihoulDNmduw==" saltValue="BV113f/bh70c4bNcLbn3O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129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125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126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138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GF3EGgxJS3NmEotqTlEGHHEpLpJvWrvJE+vUdTVi8AtfQQjVk1I7711BXRBM7YUREElU/CTRm2yAZGKEcPWug==" saltValue="jwnglV9mUWm6YUL4C8Fd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0.10219999999999985</v>
      </c>
      <c r="D5" s="52">
        <f t="shared" si="0"/>
        <v>0.21722370000000002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MPTE1NZ0E+OrA7noc2W+K85OZCpeZ4Fd/S+9/uFuG6c44g+h/M0aGeYmR3uTDH0O0ZYhFoE7I1/J5IF6lCK96w==" saltValue="jC3pvic6HQT6VKGIH9KNy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lKx0aNxCdYVXrkHPwiRAewXF0UjDqjjzDzraXCPAbnSJdKd3bQkqfvV5jFkoLEa+r8DQjkbVxe0asi01d3HkQ==" saltValue="tJkalWRjUzre6AlEXoSMe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4311.0000462206099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0.43898999999999999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0.14510999999999999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1.4627555916700341E-2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98375.218500000003</v>
      </c>
      <c r="C22" s="109">
        <v>98201.370869999999</v>
      </c>
      <c r="D22" s="109">
        <v>98038.988530000002</v>
      </c>
      <c r="E22" s="109">
        <v>97865.113920000003</v>
      </c>
      <c r="F22" s="109">
        <v>97649.534109999993</v>
      </c>
      <c r="G22" s="109">
        <v>97408.891860000003</v>
      </c>
      <c r="H22" s="109">
        <v>97107.768819999998</v>
      </c>
      <c r="I22" s="109">
        <v>96710.643060000002</v>
      </c>
      <c r="J22" s="109">
        <v>96111.342900000003</v>
      </c>
      <c r="K22" s="109">
        <v>95137.663050000003</v>
      </c>
      <c r="L22" s="109">
        <v>93522.521410000001</v>
      </c>
      <c r="M22" s="109">
        <v>90922.550220000005</v>
      </c>
      <c r="N22" s="109">
        <v>86532.69412</v>
      </c>
      <c r="O22" s="109">
        <v>79309.164820000005</v>
      </c>
    </row>
  </sheetData>
  <sheetProtection algorithmName="SHA-512" hashValue="dVmEKcJKfzP9iAZRp8wc2bwnYmws1KVoez3UzGPIImaAjM9xYjVNY46HVVongduFBzWj0AyuzYp5grgskRs/Ag==" saltValue="TkeEjnKNPJCCurgfBOHOM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zS6eCi8jjtKopzongI/aQ2t7BY2eX71KKCMbZJFpsEd6u1vDh+NKB6qNZ9Pxdxjy8ohvl2GeKM6qo3JIyrNdw==" saltValue="2yXpcjfq2Lgs1IG8NXfrI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PyNm8RDuAC91ESfBv+gKIp4jrHCP14wub8onYKoCAOCrfj1IZxFWfSfKMfAYhf2BJuyEbqqbi7bie1Spwg6hyA==" saltValue="AA+qdi5IGfIxnmnTyl/wZ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7.4289688625382997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0.48911409999999989</v>
      </c>
      <c r="C10" s="98">
        <v>0.95</v>
      </c>
      <c r="D10" s="56">
        <v>13.00441189507751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13.00441189507751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13.00441189507751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13.00441189507751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0.48911409999999989</v>
      </c>
      <c r="C14" s="98">
        <v>0.95</v>
      </c>
      <c r="D14" s="56">
        <v>13.00441189507751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13.00441189507751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0.54287457000000006</v>
      </c>
      <c r="C17" s="98">
        <v>0.95</v>
      </c>
      <c r="D17" s="56">
        <v>7.992352075384429E-2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0.73</v>
      </c>
      <c r="C18" s="98">
        <v>0.95</v>
      </c>
      <c r="D18" s="56">
        <v>7.4289688625382997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0.2062329</v>
      </c>
      <c r="C19" s="98">
        <v>0.95</v>
      </c>
      <c r="D19" s="56">
        <v>9.4258488463818431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7.4289688625382997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4.2744829442771808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0.94011724592245105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0.44430960000000003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0.34953200000000001</v>
      </c>
      <c r="C29" s="98">
        <v>0.95</v>
      </c>
      <c r="D29" s="56">
        <v>193.6128732031849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0.17</v>
      </c>
      <c r="C32" s="98">
        <v>0.95</v>
      </c>
      <c r="D32" s="56">
        <v>0.53033228587019021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0.30520770000000003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0.86144760000000009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2.2872799999999999E-2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6t37v0LZpkr77rMdZ/rjjfySz/uOaQhH9NDM1nzpP921DLyul9T7tfORMtUsi6b/jd5lzvYCq4fk/j8pkZFojg==" saltValue="BzSb8RLhBRalHnuBMr/K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e9uyEflJcwlUCw+XafYz1WwBZsznxR0Peggt3skaC81I+X2K5bIFt1fQAKd23RLKJfpdRXywLBOxVshUK3Az1g==" saltValue="fauE6kLKcqZANxwzutGCQ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sunCLOC8cCjn19O9704yYLtheY0hqQhYStFtpIw9QqnjGZXnlpMazfdOv5R3PTFP5admtMJTJrWGMYlazkzroQ==" saltValue="zqvQWHJytMtVxdVxLt5/r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3.6920000000000002</v>
      </c>
      <c r="C2" s="21">
        <f>'Entradas de población-año base'!C52</f>
        <v>3.6920000000000002</v>
      </c>
      <c r="D2" s="21">
        <f>'Entradas de población-año base'!C53</f>
        <v>5.1480000000000006</v>
      </c>
      <c r="E2" s="21">
        <f>'Entradas de población-año base'!C54</f>
        <v>3.38</v>
      </c>
      <c r="F2" s="21">
        <f>'Entradas de población-año base'!C55</f>
        <v>1.6033333333333331</v>
      </c>
    </row>
    <row r="3" spans="1:6" ht="15.75" customHeight="1" x14ac:dyDescent="0.25">
      <c r="A3" s="3" t="s">
        <v>6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236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sheetProtection algorithmName="SHA-512" hashValue="QA96U7E7kyhXy0XimOcfi80+e51sdGdNu1cD6Cv0icwkQ8L0rjZnKnSVbFu8OPd+BZoRKSE4hCYFFGrrf4ontA==" saltValue="cLdPBirPQKl4vajfj7V6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0.157</v>
      </c>
      <c r="F2" s="60">
        <f>food_insecure</f>
        <v>0.157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0.157</v>
      </c>
      <c r="F5" s="60">
        <f>food_insecure</f>
        <v>0.157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7.638620689655172E-2</v>
      </c>
      <c r="D7" s="60">
        <f>diarrhoea_1_5mo*frac_diarrhea_severe</f>
        <v>7.638620689655172E-2</v>
      </c>
      <c r="E7" s="60">
        <f>diarrhoea_6_11mo*frac_diarrhea_severe</f>
        <v>0.1065103448275862</v>
      </c>
      <c r="F7" s="60">
        <f>diarrhoea_12_23mo*frac_diarrhea_severe</f>
        <v>6.99310344827586E-2</v>
      </c>
      <c r="G7" s="60">
        <f>diarrhoea_24_59mo*frac_diarrhea_severe</f>
        <v>3.3172413793103435E-2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0.157</v>
      </c>
      <c r="F8" s="60">
        <f>food_insecure</f>
        <v>0.157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0.157</v>
      </c>
      <c r="F9" s="60">
        <f>food_insecure</f>
        <v>0.157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7.638620689655172E-2</v>
      </c>
      <c r="D12" s="60">
        <f>diarrhoea_1_5mo*frac_diarrhea_severe</f>
        <v>7.638620689655172E-2</v>
      </c>
      <c r="E12" s="60">
        <f>diarrhoea_6_11mo*frac_diarrhea_severe</f>
        <v>0.1065103448275862</v>
      </c>
      <c r="F12" s="60">
        <f>diarrhoea_12_23mo*frac_diarrhea_severe</f>
        <v>6.99310344827586E-2</v>
      </c>
      <c r="G12" s="60">
        <f>diarrhoea_24_59mo*frac_diarrhea_severe</f>
        <v>3.3172413793103435E-2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0.157</v>
      </c>
      <c r="I15" s="60">
        <f t="shared" si="0"/>
        <v>0.157</v>
      </c>
      <c r="J15" s="60">
        <f t="shared" si="0"/>
        <v>0.157</v>
      </c>
      <c r="K15" s="60">
        <f t="shared" si="0"/>
        <v>0.157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0.157</v>
      </c>
      <c r="I16" s="60">
        <f t="shared" si="0"/>
        <v>0.157</v>
      </c>
      <c r="J16" s="60">
        <f t="shared" si="0"/>
        <v>0.157</v>
      </c>
      <c r="K16" s="60">
        <f t="shared" si="0"/>
        <v>0.157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0.14199999999999999</v>
      </c>
      <c r="M24" s="60">
        <f>famplan_unmet_need</f>
        <v>0.14199999999999999</v>
      </c>
      <c r="N24" s="60">
        <f>famplan_unmet_need</f>
        <v>0.14199999999999999</v>
      </c>
      <c r="O24" s="60">
        <f>famplan_unmet_need</f>
        <v>0.14199999999999999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0.19075864179399998</v>
      </c>
      <c r="M25" s="60">
        <f>(1-food_insecure)*(0.49)+food_insecure*(0.7)</f>
        <v>0.52296999999999993</v>
      </c>
      <c r="N25" s="60">
        <f>(1-food_insecure)*(0.49)+food_insecure*(0.7)</f>
        <v>0.52296999999999993</v>
      </c>
      <c r="O25" s="60">
        <f>(1-food_insecure)*(0.49)+food_insecure*(0.7)</f>
        <v>0.52296999999999993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8.1753703625999985E-2</v>
      </c>
      <c r="M26" s="60">
        <f>(1-food_insecure)*(0.21)+food_insecure*(0.3)</f>
        <v>0.22413</v>
      </c>
      <c r="N26" s="60">
        <f>(1-food_insecure)*(0.21)+food_insecure*(0.3)</f>
        <v>0.22413</v>
      </c>
      <c r="O26" s="60">
        <f>(1-food_insecure)*(0.21)+food_insecure*(0.3)</f>
        <v>0.22413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9.2247854579999983E-2</v>
      </c>
      <c r="M27" s="60">
        <f>(1-food_insecure)*(0.3)</f>
        <v>0.25289999999999996</v>
      </c>
      <c r="N27" s="60">
        <f>(1-food_insecure)*(0.3)</f>
        <v>0.25289999999999996</v>
      </c>
      <c r="O27" s="60">
        <f>(1-food_insecure)*(0.3)</f>
        <v>0.25289999999999996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0.63523980000000002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/zaA1AcQh0Hss1c1iTaOlclmSzb3uLJJlnHKkJuS9qnvFM1JZjbZLMJW3MDh+Hp38oM5roSjchlV1uJRRcQeQ==" saltValue="0R+pDd6AKDdq7VzoYQiL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DFFkNP7Nv8RJL676c/m8QGPY3UT2H+RzOA9gv+JVm0UmNEafsM3MdNX7/w0UVjPo2nuBYuTcT4iwNihzNNXnqA==" saltValue="LlUjZV9kDKBhaoVYq68AT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Jlg5TZ+OVph52kZ590egNP/Kn9dokTKQhsBSx+hZMM7bRZRf1YjCdFP1twhZPD50fgfxqTi2PIvu+YIwcfHWQ==" saltValue="OesZvsZ/xejVAQ7LuoF/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yfN0Iy3lfaOk7rN7MRu143qXG1UBGl8WWKMxjuXdZRka/GduTi3QXERb+Dn8LM2Z3gggKq5hQgtF26mPdCi/A==" saltValue="5oi444yDro/uItvzN7bil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3V6iF9jqLOgiswhG/fBtW1BqrzLpoD2UCB/Hc3d6qBlkSQFysFMqvLwj4z/a/1oupJwumbZvFbYrBTOtbc/M1Q==" saltValue="0Yln7ZlG6Hhv+ReQK6U91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KYzrDzrP+62Q5/Ab8sBrEgPwsKFnfrU2nUWpUlRqgwmN7VcPGrfftBusgKYfMHgUKWvj/qf/25aHpF/EqhnZzA==" saltValue="oHK9ITjGaQ3FIm4bZ9PIy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XJSu7eA2fEeWLLO5COLJlnnEBobSYK7aHaqDBsK7wp7l8pf7NT6hXvYShlyrxPZoLg+fufuZTn0RILvkJAkOw==" saltValue="LcxNF+LCGPtma21Keewzx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ffTjmqGyVjZXiddH5vRlz4f01xrZXNxkxsG/QsmUwaTTLviXKHXmqB8+FSdI1WGFI8D5RFmMDNLc+23qhleCQ==" saltValue="lpSPE6jBEeR6b4uy80cR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hKZiRNjWyCOTASz6RCq1JtQn/tUQsUElWiPyuZP6OVOzTzfYomg4qyDcrtVZq6zyt2aovPrdM6UjUrvWphETlw==" saltValue="Q7fMG0/vFFf3qpWt7806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DuMxDecBSlMiGdkCWFpyX2e3WE8RLXmr6D/bWSx2E2++yKclb7V6YNd+B2ZVygfKCP94KP7RAmrsJD7Ad8Aww==" saltValue="/PYBNizqro+ovEcyGgiq1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4X8GdyjVH6gtRrkgjzM3p9Jgt9XsPe49DCRr/4Jx7NvFUTgLJKCaoicY/5eBHHszi4bGeSGhRZZyMrfv10oOw==" saltValue="sSbg/MnSTNXkefeuEmr8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qMkjq7TRXXrgvFs34BbCfBDBQuxmvFyAA8UjGL8eE1VHSceKTdwqclTq1YSKy9Qbr9YIqdAU0eCkrhgrC/yTg==" saltValue="/vwhf/xYabF4J7P5QF0Y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OWHPMo/BuTfbghp4LsWFtx416fXJFQWS7/idqSWhPT5R0JfIuwEqY1M3aSUgQQirOV2tONIz8tGutuu7Ss3Mg==" saltValue="L/TD/MjzxiNXLMMrVME85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/agzqUyCaVqsmhdi3RaC20tFaBaPXf9ah5P5+0Aa2/yJQWdu27VlPN+GuDkO1wkbQswe/GRpddCjetAZqNk5Ng==" saltValue="JIPFFWVBy8WFLD2eSSEy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kx1CsjBg/ctx3bR/nhrj3nwiM/3jvb55b4YcS4d4X7f/+/f9812Iz4ye++XnpkAH9DtPPHmn9AjkB4op0gKUdg==" saltValue="RBjJBt+Bu/Y4AgmJ/v2i8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2025-07-04T01:35:38Z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