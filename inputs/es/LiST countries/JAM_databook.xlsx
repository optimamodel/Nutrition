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6C3AA75-7FCE-4487-AE56-F4DF3C02B7B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21" i="2" l="1"/>
  <c r="A32" i="2"/>
  <c r="A3" i="2"/>
  <c r="A31" i="2"/>
  <c r="A23" i="2"/>
  <c r="A24" i="2"/>
  <c r="A16" i="2"/>
  <c r="A17" i="2"/>
  <c r="A35" i="2"/>
  <c r="A18" i="2"/>
  <c r="A27" i="2"/>
  <c r="A36" i="2"/>
  <c r="I4" i="2"/>
  <c r="I8" i="2"/>
  <c r="I12" i="2"/>
  <c r="A19" i="2"/>
  <c r="A28" i="2"/>
  <c r="A37" i="2"/>
  <c r="A39" i="2"/>
  <c r="A15" i="2"/>
  <c r="A33" i="2"/>
  <c r="A25" i="2"/>
  <c r="A34" i="2"/>
  <c r="A26" i="2"/>
  <c r="A20" i="2"/>
  <c r="A29" i="2"/>
  <c r="I38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<sst xmlns="http://schemas.openxmlformats.org/spreadsheetml/2006/main" count="2101" uniqueCount="341">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</sst>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160282.8125</v>
      </c>
    </row>
    <row r="8" spans="1:3" ht="15" customHeight="1" x14ac:dyDescent="0.25">
      <c r="B8" s="5" t="s">
        <v>44</v>
      </c>
      <c r="C8" s="44">
        <v>1.7000000000000001E-2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0.77384170532226604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0.13569999999999999</v>
      </c>
    </row>
    <row r="24" spans="1:3" ht="15" customHeight="1" x14ac:dyDescent="0.25">
      <c r="B24" s="15" t="s">
        <v>46</v>
      </c>
      <c r="C24" s="45">
        <v>0.52159999999999995</v>
      </c>
    </row>
    <row r="25" spans="1:3" ht="15" customHeight="1" x14ac:dyDescent="0.25">
      <c r="B25" s="15" t="s">
        <v>47</v>
      </c>
      <c r="C25" s="45">
        <v>0.31040000000000001</v>
      </c>
    </row>
    <row r="26" spans="1:3" ht="15" customHeight="1" x14ac:dyDescent="0.25">
      <c r="B26" s="15" t="s">
        <v>48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10.305669999999999</v>
      </c>
    </row>
    <row r="38" spans="1:5" ht="15" customHeight="1" x14ac:dyDescent="0.25">
      <c r="B38" s="11" t="s">
        <v>35</v>
      </c>
      <c r="C38" s="43">
        <v>10.669549999999999</v>
      </c>
      <c r="D38" s="12"/>
      <c r="E38" s="13"/>
    </row>
    <row r="39" spans="1:5" ht="15" customHeight="1" x14ac:dyDescent="0.25">
      <c r="B39" s="11" t="s">
        <v>61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100">
        <v>0.99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7.1923999999999998E-3</v>
      </c>
      <c r="D45" s="12"/>
    </row>
    <row r="46" spans="1:5" ht="15.75" customHeight="1" x14ac:dyDescent="0.25">
      <c r="B46" s="11" t="s">
        <v>51</v>
      </c>
      <c r="C46" s="45">
        <v>7.7281600000000006E-2</v>
      </c>
      <c r="D46" s="12"/>
    </row>
    <row r="47" spans="1:5" ht="15.75" customHeight="1" x14ac:dyDescent="0.25">
      <c r="B47" s="11" t="s">
        <v>59</v>
      </c>
      <c r="C47" s="45">
        <v>7.4161099999999994E-2</v>
      </c>
      <c r="D47" s="12"/>
      <c r="E47" s="13"/>
    </row>
    <row r="48" spans="1:5" ht="15" customHeight="1" x14ac:dyDescent="0.25">
      <c r="B48" s="11" t="s">
        <v>58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0.55565200000000003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qNpWvE5NADIaMfgrbbd/7GAToRL7iPaOtzAiCdMP5brtWjeappY0O6vekUfET0BeOfdegsA64owF2CAhjEOvmA==" saltValue="QiN2GE6CHylfXcKlilFD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31863</v>
      </c>
      <c r="C2" s="49">
        <v>127765</v>
      </c>
      <c r="D2" s="49">
        <v>236714</v>
      </c>
      <c r="E2" s="49">
        <v>247166.5</v>
      </c>
      <c r="F2" s="49">
        <v>175535</v>
      </c>
      <c r="G2" s="17">
        <f t="shared" ref="G2:G13" si="0">C2+D2+E2+F2</f>
        <v>787180.5</v>
      </c>
      <c r="H2" s="17">
        <f t="shared" ref="H2:H13" si="1">(B2 + stillbirth*B2/(1000-stillbirth))/(1-abortion)</f>
        <v>36735.615746127994</v>
      </c>
      <c r="I2" s="17">
        <f t="shared" ref="I2:I13" si="2">G2-H2</f>
        <v>750444.88425387198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31494</v>
      </c>
      <c r="C3" s="50">
        <v>124538</v>
      </c>
      <c r="D3" s="50">
        <v>230125.5</v>
      </c>
      <c r="E3" s="50">
        <v>248717.5</v>
      </c>
      <c r="F3" s="50">
        <v>179905</v>
      </c>
      <c r="G3" s="17">
        <f t="shared" si="0"/>
        <v>783286</v>
      </c>
      <c r="H3" s="17">
        <f t="shared" si="1"/>
        <v>36310.186809420171</v>
      </c>
      <c r="I3" s="17">
        <f t="shared" si="2"/>
        <v>746975.81319057988</v>
      </c>
    </row>
    <row r="4" spans="1:9" ht="15.75" customHeight="1" x14ac:dyDescent="0.25">
      <c r="A4" s="5">
        <f t="shared" si="3"/>
        <v>2026</v>
      </c>
      <c r="B4" s="49">
        <v>31067</v>
      </c>
      <c r="C4" s="50">
        <v>121425.5</v>
      </c>
      <c r="D4" s="50">
        <v>224430</v>
      </c>
      <c r="E4" s="50">
        <v>248905</v>
      </c>
      <c r="F4" s="50">
        <v>184844.5</v>
      </c>
      <c r="G4" s="17">
        <f t="shared" si="0"/>
        <v>779605</v>
      </c>
      <c r="H4" s="17">
        <f t="shared" si="1"/>
        <v>35817.888283744731</v>
      </c>
      <c r="I4" s="17">
        <f t="shared" si="2"/>
        <v>743787.11171625531</v>
      </c>
    </row>
    <row r="5" spans="1:9" ht="15.75" customHeight="1" x14ac:dyDescent="0.25">
      <c r="A5" s="5">
        <f t="shared" si="3"/>
        <v>2027</v>
      </c>
      <c r="B5" s="49">
        <v>30866</v>
      </c>
      <c r="C5" s="50">
        <v>118713</v>
      </c>
      <c r="D5" s="50">
        <v>218849.5</v>
      </c>
      <c r="E5" s="50">
        <v>248014.5</v>
      </c>
      <c r="F5" s="50">
        <v>189791</v>
      </c>
      <c r="G5" s="17">
        <f t="shared" si="0"/>
        <v>775368</v>
      </c>
      <c r="H5" s="17">
        <f t="shared" si="1"/>
        <v>35586.150570253478</v>
      </c>
      <c r="I5" s="17">
        <f t="shared" si="2"/>
        <v>739781.84942974651</v>
      </c>
    </row>
    <row r="6" spans="1:9" ht="15.75" customHeight="1" x14ac:dyDescent="0.25">
      <c r="A6" s="5">
        <f t="shared" si="3"/>
        <v>2028</v>
      </c>
      <c r="B6" s="49">
        <v>30386</v>
      </c>
      <c r="C6" s="50">
        <v>116270</v>
      </c>
      <c r="D6" s="50">
        <v>212576</v>
      </c>
      <c r="E6" s="50">
        <v>246826.5</v>
      </c>
      <c r="F6" s="50">
        <v>194311</v>
      </c>
      <c r="G6" s="17">
        <f t="shared" si="0"/>
        <v>769983.5</v>
      </c>
      <c r="H6" s="17">
        <f t="shared" si="1"/>
        <v>35032.747075348998</v>
      </c>
      <c r="I6" s="17">
        <f t="shared" si="2"/>
        <v>734950.75292465102</v>
      </c>
    </row>
    <row r="7" spans="1:9" ht="15.75" customHeight="1" x14ac:dyDescent="0.25">
      <c r="A7" s="5">
        <f t="shared" si="3"/>
        <v>2029</v>
      </c>
      <c r="B7" s="49">
        <v>29993</v>
      </c>
      <c r="C7" s="50">
        <v>113733.5</v>
      </c>
      <c r="D7" s="50">
        <v>207100</v>
      </c>
      <c r="E7" s="50">
        <v>244726.5</v>
      </c>
      <c r="F7" s="50">
        <v>198429.5</v>
      </c>
      <c r="G7" s="17">
        <f t="shared" si="0"/>
        <v>763989.5</v>
      </c>
      <c r="H7" s="17">
        <f t="shared" si="1"/>
        <v>34579.647963895957</v>
      </c>
      <c r="I7" s="17">
        <f t="shared" si="2"/>
        <v>729409.85203610407</v>
      </c>
    </row>
    <row r="8" spans="1:9" ht="15.75" customHeight="1" x14ac:dyDescent="0.25">
      <c r="A8" s="5">
        <f t="shared" si="3"/>
        <v>2030</v>
      </c>
      <c r="B8" s="49">
        <v>29545</v>
      </c>
      <c r="C8" s="50">
        <v>111636.5</v>
      </c>
      <c r="D8" s="50">
        <v>202776</v>
      </c>
      <c r="E8" s="50">
        <v>241240</v>
      </c>
      <c r="F8" s="50">
        <v>201918</v>
      </c>
      <c r="G8" s="17">
        <f t="shared" si="0"/>
        <v>757570.5</v>
      </c>
      <c r="H8" s="17">
        <f t="shared" si="1"/>
        <v>34063.138035318443</v>
      </c>
      <c r="I8" s="17">
        <f t="shared" si="2"/>
        <v>723507.36196468154</v>
      </c>
    </row>
    <row r="9" spans="1:9" ht="15.75" customHeight="1" x14ac:dyDescent="0.25">
      <c r="A9" s="5">
        <f t="shared" si="3"/>
        <v>2031</v>
      </c>
      <c r="B9" s="49">
        <v>29150</v>
      </c>
      <c r="C9" s="50">
        <v>109273</v>
      </c>
      <c r="D9" s="50">
        <v>199149</v>
      </c>
      <c r="E9" s="50">
        <v>236481.5</v>
      </c>
      <c r="F9" s="50">
        <v>204273.5</v>
      </c>
      <c r="G9" s="17">
        <f t="shared" si="0"/>
        <v>749177</v>
      </c>
      <c r="H9" s="17">
        <f t="shared" si="1"/>
        <v>33607.733075969962</v>
      </c>
      <c r="I9" s="17">
        <f t="shared" si="2"/>
        <v>715569.26692403003</v>
      </c>
    </row>
    <row r="10" spans="1:9" ht="15.75" customHeight="1" x14ac:dyDescent="0.25">
      <c r="A10" s="5">
        <f t="shared" si="3"/>
        <v>2032</v>
      </c>
      <c r="B10" s="49">
        <v>28563</v>
      </c>
      <c r="C10" s="50">
        <v>106180</v>
      </c>
      <c r="D10" s="50">
        <v>195647.5</v>
      </c>
      <c r="E10" s="50">
        <v>230749.5</v>
      </c>
      <c r="F10" s="50">
        <v>206015</v>
      </c>
      <c r="G10" s="17">
        <f t="shared" si="0"/>
        <v>738592</v>
      </c>
      <c r="H10" s="17">
        <f t="shared" si="1"/>
        <v>32930.966718659693</v>
      </c>
      <c r="I10" s="17">
        <f t="shared" si="2"/>
        <v>705661.03328134026</v>
      </c>
    </row>
    <row r="11" spans="1:9" ht="15.75" customHeight="1" x14ac:dyDescent="0.25">
      <c r="A11" s="5">
        <f t="shared" si="3"/>
        <v>2033</v>
      </c>
      <c r="B11" s="49">
        <v>28063</v>
      </c>
      <c r="C11" s="50">
        <v>102982.5</v>
      </c>
      <c r="D11" s="50">
        <v>191853</v>
      </c>
      <c r="E11" s="50">
        <v>224427</v>
      </c>
      <c r="F11" s="50">
        <v>207960.5</v>
      </c>
      <c r="G11" s="17">
        <f t="shared" si="0"/>
        <v>727223</v>
      </c>
      <c r="H11" s="17">
        <f t="shared" si="1"/>
        <v>32354.504744800859</v>
      </c>
      <c r="I11" s="17">
        <f t="shared" si="2"/>
        <v>694868.49525519914</v>
      </c>
    </row>
    <row r="12" spans="1:9" ht="15.75" customHeight="1" x14ac:dyDescent="0.25">
      <c r="A12" s="5">
        <f t="shared" si="3"/>
        <v>2034</v>
      </c>
      <c r="B12" s="49">
        <v>27567</v>
      </c>
      <c r="C12" s="50">
        <v>100164</v>
      </c>
      <c r="D12" s="50">
        <v>187381.5</v>
      </c>
      <c r="E12" s="50">
        <v>217974.5</v>
      </c>
      <c r="F12" s="50">
        <v>209907.5</v>
      </c>
      <c r="G12" s="17">
        <f t="shared" si="0"/>
        <v>715427.5</v>
      </c>
      <c r="H12" s="17">
        <f t="shared" si="1"/>
        <v>31782.654466732896</v>
      </c>
      <c r="I12" s="17">
        <f t="shared" si="2"/>
        <v>683644.84553326713</v>
      </c>
    </row>
    <row r="13" spans="1:9" ht="15.75" customHeight="1" x14ac:dyDescent="0.25">
      <c r="A13" s="5">
        <f t="shared" si="3"/>
        <v>2035</v>
      </c>
      <c r="B13" s="49">
        <v>26881</v>
      </c>
      <c r="C13" s="50">
        <v>97352</v>
      </c>
      <c r="D13" s="50">
        <v>182937</v>
      </c>
      <c r="E13" s="50">
        <v>211461</v>
      </c>
      <c r="F13" s="50">
        <v>211633.5</v>
      </c>
      <c r="G13" s="17">
        <f t="shared" si="0"/>
        <v>703383.5</v>
      </c>
      <c r="H13" s="17">
        <f t="shared" si="1"/>
        <v>30991.748638598579</v>
      </c>
      <c r="I13" s="17">
        <f t="shared" si="2"/>
        <v>672391.7513614014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LnA68OCFezWyIFmV8g7J1oec2TSkIj6Rs33z89Oups3pydxhN7X5xWg4ELNOXmwJvnw66Dp1GtYVcVQJK8WEQ==" saltValue="0i+r19RHChAIZj8qseDp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0.13613760000000011</v>
      </c>
    </row>
    <row r="5" spans="1:8" ht="15.75" customHeight="1" x14ac:dyDescent="0.25">
      <c r="B5" s="19" t="s">
        <v>95</v>
      </c>
      <c r="C5" s="101">
        <v>2.9634100000000021E-2</v>
      </c>
    </row>
    <row r="6" spans="1:8" ht="15.75" customHeight="1" x14ac:dyDescent="0.25">
      <c r="B6" s="19" t="s">
        <v>91</v>
      </c>
      <c r="C6" s="101">
        <v>0.18144859999999971</v>
      </c>
    </row>
    <row r="7" spans="1:8" ht="15.75" customHeight="1" x14ac:dyDescent="0.25">
      <c r="B7" s="19" t="s">
        <v>96</v>
      </c>
      <c r="C7" s="101">
        <v>0.45895330000000018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0.1178047999999999</v>
      </c>
    </row>
    <row r="10" spans="1:8" ht="15.75" customHeight="1" x14ac:dyDescent="0.25">
      <c r="B10" s="19" t="s">
        <v>94</v>
      </c>
      <c r="C10" s="101">
        <v>7.6021599999999911E-2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102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2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99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2.9141097000000001E-2</v>
      </c>
    </row>
    <row r="27" spans="1:8" ht="15.75" customHeight="1" x14ac:dyDescent="0.25">
      <c r="B27" s="19" t="s">
        <v>89</v>
      </c>
      <c r="C27" s="101">
        <v>1.0659604E-2</v>
      </c>
    </row>
    <row r="28" spans="1:8" ht="15.75" customHeight="1" x14ac:dyDescent="0.25">
      <c r="B28" s="19" t="s">
        <v>103</v>
      </c>
      <c r="C28" s="101">
        <v>5.3942014000000003E-2</v>
      </c>
    </row>
    <row r="29" spans="1:8" ht="15.75" customHeight="1" x14ac:dyDescent="0.25">
      <c r="B29" s="19" t="s">
        <v>86</v>
      </c>
      <c r="C29" s="101">
        <v>0.132460157</v>
      </c>
    </row>
    <row r="30" spans="1:8" ht="15.75" customHeight="1" x14ac:dyDescent="0.25">
      <c r="B30" s="19" t="s">
        <v>4</v>
      </c>
      <c r="C30" s="101">
        <v>4.2099428000000001E-2</v>
      </c>
    </row>
    <row r="31" spans="1:8" ht="15.75" customHeight="1" x14ac:dyDescent="0.25">
      <c r="B31" s="19" t="s">
        <v>80</v>
      </c>
      <c r="C31" s="101">
        <v>9.6696056000000002E-2</v>
      </c>
    </row>
    <row r="32" spans="1:8" ht="15.75" customHeight="1" x14ac:dyDescent="0.25">
      <c r="B32" s="19" t="s">
        <v>85</v>
      </c>
      <c r="C32" s="101">
        <v>6.3757143000000002E-2</v>
      </c>
    </row>
    <row r="33" spans="2:3" ht="15.75" customHeight="1" x14ac:dyDescent="0.25">
      <c r="B33" s="19" t="s">
        <v>100</v>
      </c>
      <c r="C33" s="101">
        <v>0.12090500699999999</v>
      </c>
    </row>
    <row r="34" spans="2:3" ht="15.75" customHeight="1" x14ac:dyDescent="0.25">
      <c r="B34" s="19" t="s">
        <v>87</v>
      </c>
      <c r="C34" s="101">
        <v>0.45033949200000001</v>
      </c>
    </row>
    <row r="35" spans="2:3" ht="15.75" customHeight="1" x14ac:dyDescent="0.25">
      <c r="B35" s="27" t="s">
        <v>60</v>
      </c>
      <c r="C35" s="48">
        <f>SUM(C26:C34)</f>
        <v>0.99999999799999995</v>
      </c>
    </row>
  </sheetData>
  <sheetProtection algorithmName="SHA-512" hashValue="6ntlSkx7T6HYKzETcaOObH45IhkQ0O8Ptp2Ofn5mJmGd7tGNxYCP5TVSj8+Yvgme47IGS0yKwU6lSTl7HPZ0Bw==" saltValue="8Vo4t6VxybYeZWyeFknmO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kPVgSJDE6kcVrfnpDWx92W2Dr/NmegsdvpOouZJuGRIK3ICKNbLtpHYiUU/+PFMYY7q+kO1DvDgH4SmuFPZQg==" saltValue="2xVCe++YugTaFqus2xKk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125</v>
      </c>
      <c r="C5" s="52">
        <v>8.5871799999999998E-2</v>
      </c>
      <c r="D5" s="52">
        <v>9.0010800000000002E-2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70a30XzI5XYzdkkajK8u6iStldItGAaVOvmmunpoptSK5yD6Ndqz6UrZSSwE3jFD0YJeNRsNDGMG/vN4Novzyg==" saltValue="+vVDQqzanHOP2Cnnp+SD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NU5RUCApgFHEbvzR07OQzEDwxBhbjkW6PtbXRiEtTTP3b5n7eVNrxQOMSe0YKER0Ikbb2kqY6IzNz3BwpHpMA==" saltValue="ouFWrPWTjzMtz5wDpVBkL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hkK9tUCwqYitZQCtvCZIIjzgomVX1OkkEgg9jerrhmRCWJwzG44aJ49AAz8bMG/CZwtUq7mGN4U1Y/HyslTVew==" saltValue="2NHJEeHMw43aN6TWIaS0/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Ce+KE9Lz1XoDKwsIUm1YXPEJ52YERVMeJovrTrTXFcWOghTLKH6Wtiby2OEnVWH1pJyfBAIRZ/zvmIVE9C8aGg==" saltValue="z64N0nnWd7rdmjP3XUl5g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o3vQeqMUfxWfeoYfay9hJnYI/tlKtAgJQBXQx/QUJakcQ9WHOUXxuXoFfAo8swSjopS3LeraPmckAnfOcdd94w==" saltValue="XbEWeKJCNXNS9F3OFryV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62.714780124614677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39.985147042964151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487.85757913726337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1.737860170244969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13.117446486760061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13.117446486760061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13.117446486760061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13.117446486760061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13.117446486760061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13.117446486760061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0.82421228665541357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0.35908333333333298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0.17920549999999999</v>
      </c>
      <c r="C18" s="98">
        <v>0.95</v>
      </c>
      <c r="D18" s="56">
        <v>11.224756739744929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0.17920549999999999</v>
      </c>
      <c r="C19" s="98">
        <v>0.95</v>
      </c>
      <c r="D19" s="56">
        <v>11.224756739744929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16.982553632802741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22.691717425670902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4.3451295640787793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0.90661800413877003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18.676662605887799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0.64137739999999999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124.34168065842491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0.50502277771952597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1.780535588985835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0.66647509999999999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0.28231899999999999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3.5551399999999997E-2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0.83723100000000006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1.723279552412311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FTGcRoVQJFKw/LdtHZaK+BoL0Ku2KlE9tyzBRRX66JvWLKRx9K0XmZU3EemK6DDr/b224oW7LC4qSTg1XDi67A==" saltValue="fVPPx5GPywpQ/u+0QnFm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vUpUuyipUnT4ViGs6e8gOP8cUg1Oc4KrAyCAlidWRSrGaN33+XnyIkA/LQyCkC6ob34WgkYjCNEvdoZnoQt8/A==" saltValue="m78VdZDMLLgmh5Q1d4Lu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tfp1ntyEWiCIWfZ2EFFpqNqJtXtj0kY4jSYNNzjQLUup9f3v6aJGgRMOfpu7v9e/i+US29JxWGdngg3JKikbxw==" saltValue="8lKkvz1lWvPetL45AT5l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MfLQZv/Eh8EDXHoG8D/CAjzw3FSQrIr6vX00P8uWiuwWT+YtAsZR+kW04dZs9vtS+B2JrQbgiSqP4AJI6QJmsA==" saltValue="3DF/GDyEjakNL9isoa7B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/t75MaWxCmTnXuO2sKOgIqAyD+hZDkE4EtSJQ6URk22MwRK0G6q+eM4RNI7EenFP+aZ0mMYWmndQh0ZPuf2BA==" saltValue="0CwnKuBptu2H6eUFSbYa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010mgPW969s+nhQTBIoa9zMbsL+FsoTQ+UFs+EFToC4ohR+RRKQFuzpwhQVJZst1wsm59bysXSnMqYgIq0bh0w==" saltValue="gFfHg497diQoujiLJX+nR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Lzl2ICfQPP/6a56/fAWv8a8C7kuJDFkdIQpi+eaC2O6HW7INyI4vOAbVyJc/hp5dZPE3m8IPpYTQMczwf09uw==" saltValue="Fmyuw+2fRUaUCPWygm+Y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xDQ8KpycBVk3UMBMcK8v47SLkTOH9lkRU0GNpHQ5JdQ+l7ol2WYnFTDg/LgV8qOlwD43FSzZ2ToWalMPQELgQ==" saltValue="M7hR+ffzkloXjuD1srDA1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Tcra0YnCdTCriypY+Pt2Hz0jWEvQpM4ffibsox3hH3kjPU8tsatgfv0hwQ2YhZ1yvTePeSRU/BUnc4QZL+Ylg==" saltValue="7sd7SEYcDrQxJnTGLilY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mfXPMNvlYlnTBNR5ur0Qr7JavOZ2bAzotICQx76N3AMLTp8QJ04sffxAzj80zYzQ6Ohynqg9+a4WwrP5EJSMQ==" saltValue="kIWbkI0FZYFlnrTmr3cm1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QdyAakE5i7Fyj4YZIaH5Xj1ykLC8v/hB2NYJSO2PuyW/JMgrRJ3BRwIF1hcK5XL8aBYYpErY1xSp8Xma4sKzQ==" saltValue="bdPFXZCU48OEDo+921sbZ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VVBGCMQjf1/GrGKdgnOPK03Mo6RWM3pEfrzaJCMppEdZNiot0nrrWlrXXWuCoLsXrkQqK5HjU+Y/lqO/cfJ8Q==" saltValue="I7Gw85jNWyBHUnvtaO8i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JZLMZsXdTOjfSzmHL6bAoRzEJu/cgXMuCV36gyejI7eyWwhq0ZwW+/ZXc0xDpJxEep/hs4Ox3lC1jMlw1+LRA==" saltValue="xXBt8ZN2YOOWMJG8u/tA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oaV1zD4YFHgF2PQwAsSu1aUha39TlLJAQ9l7wuNX5FDSTonlSr+q1pWctrHdV/8rrhEZGxLXvFcPiRhosmxLw==" saltValue="nsCKY0lxJIBQA+tCXC+X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Lii+Kj1LHXB8oxMLF5cZEmSU4SuTyh4S6wN0FHI7J1IVz2wX6ILNmJgMhEUWUOPnIdoz6plxUe43cR235plGg==" saltValue="9sWJlfu7VGz8BCKyHWdP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Dd0ngeW8wVieb/NRPbiepyFAM5tW8bHI5wWb1OQefZnco+/bsaT+JwjQXRP1vwWPkgWZXtaPOS40qj40dO5ZA==" saltValue="tmSgVUeLvophe0pnNPVD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n0iueze0WlVHZlLS4WbPSjhfxPGLfJ2o7SNAFtWJbhnZW1yoyQ6TCub7RPL9vn+Xg0l3S5g4LYsEysL59cwkg==" saltValue="lf82hhIJgxW4Cp/0YFsT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SnbzBVd4SuMXnztilMOQJDcGrIAOA4WTemme3OFb4rVkSWqH6P+OMySSqe1sZfNiP+uhXj0oem8WPtcfM0T9w==" saltValue="ZoqDYYsq7vW2mVTv0MIR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xM8wReW7+HkPeYkKYGkAzxuteQs3r9jorw1G9hiGpTXrpXshWarQbb94RjD9msDy89BPeT/+NvZ33Nfts0lhA==" saltValue="JAwvc0aXaIeyD+X5170Mi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2024-08-06T07:46:16Z</dcterms:modified>
</cp:coreProperties>
</file>