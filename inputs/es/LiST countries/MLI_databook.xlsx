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76944BB-064C-4A8C-B228-3399A180A63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8" i="2" l="1"/>
  <c r="A29" i="2"/>
  <c r="A15" i="2"/>
  <c r="A39" i="2"/>
  <c r="A3" i="2"/>
  <c r="A18" i="2"/>
  <c r="A34" i="2"/>
  <c r="I40" i="2"/>
  <c r="A31" i="2"/>
  <c r="A20" i="2"/>
  <c r="A36" i="2"/>
  <c r="A21" i="2"/>
  <c r="A37" i="2"/>
  <c r="A16" i="2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<sst xmlns="http://schemas.openxmlformats.org/spreadsheetml/2006/main" count="2101" uniqueCount="341">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</sst>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4307000.125</v>
      </c>
    </row>
    <row r="8" spans="1:3" ht="15" customHeight="1" x14ac:dyDescent="0.25">
      <c r="B8" s="5" t="s">
        <v>44</v>
      </c>
      <c r="C8" s="44">
        <v>0.49700000000000011</v>
      </c>
    </row>
    <row r="9" spans="1:3" ht="15" customHeight="1" x14ac:dyDescent="0.25">
      <c r="B9" s="5" t="s">
        <v>43</v>
      </c>
      <c r="C9" s="45">
        <v>0.9</v>
      </c>
    </row>
    <row r="10" spans="1:3" ht="15" customHeight="1" x14ac:dyDescent="0.25">
      <c r="B10" s="5" t="s">
        <v>56</v>
      </c>
      <c r="C10" s="45">
        <v>0.26102539062500002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0.14249999999999999</v>
      </c>
    </row>
    <row r="24" spans="1:3" ht="15" customHeight="1" x14ac:dyDescent="0.25">
      <c r="B24" s="15" t="s">
        <v>46</v>
      </c>
      <c r="C24" s="45">
        <v>0.43409999999999999</v>
      </c>
    </row>
    <row r="25" spans="1:3" ht="15" customHeight="1" x14ac:dyDescent="0.25">
      <c r="B25" s="15" t="s">
        <v>47</v>
      </c>
      <c r="C25" s="45">
        <v>0.32079999999999997</v>
      </c>
    </row>
    <row r="26" spans="1:3" ht="15" customHeight="1" x14ac:dyDescent="0.25">
      <c r="B26" s="15" t="s">
        <v>48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0.18152033947509999</v>
      </c>
    </row>
    <row r="30" spans="1:3" ht="14.25" customHeight="1" x14ac:dyDescent="0.25">
      <c r="B30" s="25" t="s">
        <v>63</v>
      </c>
      <c r="C30" s="99">
        <v>6.3697307314517504E-2</v>
      </c>
    </row>
    <row r="31" spans="1:3" ht="14.25" customHeight="1" x14ac:dyDescent="0.25">
      <c r="B31" s="25" t="s">
        <v>10</v>
      </c>
      <c r="C31" s="99">
        <v>0.122289508790448</v>
      </c>
    </row>
    <row r="32" spans="1:3" ht="14.25" customHeight="1" x14ac:dyDescent="0.25">
      <c r="B32" s="25" t="s">
        <v>11</v>
      </c>
      <c r="C32" s="99">
        <v>0.63249284441993503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33.42812</v>
      </c>
    </row>
    <row r="38" spans="1:5" ht="15" customHeight="1" x14ac:dyDescent="0.25">
      <c r="B38" s="11" t="s">
        <v>35</v>
      </c>
      <c r="C38" s="43">
        <v>61.631399999999999</v>
      </c>
      <c r="D38" s="12"/>
      <c r="E38" s="13"/>
    </row>
    <row r="39" spans="1:5" ht="15" customHeight="1" x14ac:dyDescent="0.25">
      <c r="B39" s="11" t="s">
        <v>61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5.2124000000000007E-3</v>
      </c>
      <c r="D45" s="12"/>
    </row>
    <row r="46" spans="1:5" ht="15.75" customHeight="1" x14ac:dyDescent="0.25">
      <c r="B46" s="11" t="s">
        <v>51</v>
      </c>
      <c r="C46" s="45">
        <v>5.6006399999999998E-2</v>
      </c>
      <c r="D46" s="12"/>
    </row>
    <row r="47" spans="1:5" ht="15.75" customHeight="1" x14ac:dyDescent="0.25">
      <c r="B47" s="11" t="s">
        <v>59</v>
      </c>
      <c r="C47" s="45">
        <v>7.6044899999999999E-2</v>
      </c>
      <c r="D47" s="12"/>
      <c r="E47" s="13"/>
    </row>
    <row r="48" spans="1:5" ht="15" customHeight="1" x14ac:dyDescent="0.25">
      <c r="B48" s="11" t="s">
        <v>58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0.40586299999999997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l48Wb6A2FmGhwlLDhqDIlgfLKrC1wZ1YqQqUUSiA66ogLUNNWBOks1W787VFOJji1zXGkif24VQDFeJf8EWUQ==" saltValue="9G/ob3RZ0mnxDFn+g+lH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974125</v>
      </c>
      <c r="C2" s="49">
        <v>1638677.5</v>
      </c>
      <c r="D2" s="49">
        <v>1890205</v>
      </c>
      <c r="E2" s="49">
        <v>1265558.5</v>
      </c>
      <c r="F2" s="49">
        <v>780952.5</v>
      </c>
      <c r="G2" s="17">
        <f t="shared" ref="G2:G13" si="0">C2+D2+E2+F2</f>
        <v>5575393.5</v>
      </c>
      <c r="H2" s="17">
        <f t="shared" ref="H2:H13" si="1">(B2 + stillbirth*B2/(1000-stillbirth))/(1-abortion)</f>
        <v>1133464.1440337237</v>
      </c>
      <c r="I2" s="17">
        <f t="shared" ref="I2:I13" si="2">G2-H2</f>
        <v>4441929.3559662765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995183</v>
      </c>
      <c r="C3" s="50">
        <v>1694470.5</v>
      </c>
      <c r="D3" s="50">
        <v>1972308.5</v>
      </c>
      <c r="E3" s="50">
        <v>1296365</v>
      </c>
      <c r="F3" s="50">
        <v>811575</v>
      </c>
      <c r="G3" s="17">
        <f t="shared" si="0"/>
        <v>5774719</v>
      </c>
      <c r="H3" s="17">
        <f t="shared" si="1"/>
        <v>1157966.633904184</v>
      </c>
      <c r="I3" s="17">
        <f t="shared" si="2"/>
        <v>4616752.3660958158</v>
      </c>
    </row>
    <row r="4" spans="1:9" ht="15.75" customHeight="1" x14ac:dyDescent="0.25">
      <c r="A4" s="5">
        <f t="shared" si="3"/>
        <v>2026</v>
      </c>
      <c r="B4" s="49">
        <v>1013097</v>
      </c>
      <c r="C4" s="50">
        <v>1750502</v>
      </c>
      <c r="D4" s="50">
        <v>2059751.5</v>
      </c>
      <c r="E4" s="50">
        <v>1328253.5</v>
      </c>
      <c r="F4" s="50">
        <v>841395.5</v>
      </c>
      <c r="G4" s="17">
        <f t="shared" si="0"/>
        <v>5979902.5</v>
      </c>
      <c r="H4" s="17">
        <f t="shared" si="1"/>
        <v>1178810.8547959793</v>
      </c>
      <c r="I4" s="17">
        <f t="shared" si="2"/>
        <v>4801091.6452040207</v>
      </c>
    </row>
    <row r="5" spans="1:9" ht="15.75" customHeight="1" x14ac:dyDescent="0.25">
      <c r="A5" s="5">
        <f t="shared" si="3"/>
        <v>2027</v>
      </c>
      <c r="B5" s="49">
        <v>1031556</v>
      </c>
      <c r="C5" s="50">
        <v>1806156.5</v>
      </c>
      <c r="D5" s="50">
        <v>2149573</v>
      </c>
      <c r="E5" s="50">
        <v>1363598</v>
      </c>
      <c r="F5" s="50">
        <v>870372.5</v>
      </c>
      <c r="G5" s="17">
        <f t="shared" si="0"/>
        <v>6189700</v>
      </c>
      <c r="H5" s="17">
        <f t="shared" si="1"/>
        <v>1200289.2221869391</v>
      </c>
      <c r="I5" s="17">
        <f t="shared" si="2"/>
        <v>4989410.7778130611</v>
      </c>
    </row>
    <row r="6" spans="1:9" ht="15.75" customHeight="1" x14ac:dyDescent="0.25">
      <c r="A6" s="5">
        <f t="shared" si="3"/>
        <v>2028</v>
      </c>
      <c r="B6" s="49">
        <v>1051442</v>
      </c>
      <c r="C6" s="50">
        <v>1860621.5</v>
      </c>
      <c r="D6" s="50">
        <v>2241021.5</v>
      </c>
      <c r="E6" s="50">
        <v>1403520.5</v>
      </c>
      <c r="F6" s="50">
        <v>898117.5</v>
      </c>
      <c r="G6" s="17">
        <f t="shared" si="0"/>
        <v>6403281</v>
      </c>
      <c r="H6" s="17">
        <f t="shared" si="1"/>
        <v>1223428.0061913065</v>
      </c>
      <c r="I6" s="17">
        <f t="shared" si="2"/>
        <v>5179852.9938086933</v>
      </c>
    </row>
    <row r="7" spans="1:9" ht="15.75" customHeight="1" x14ac:dyDescent="0.25">
      <c r="A7" s="5">
        <f t="shared" si="3"/>
        <v>2029</v>
      </c>
      <c r="B7" s="49">
        <v>1069812</v>
      </c>
      <c r="C7" s="50">
        <v>1914701</v>
      </c>
      <c r="D7" s="50">
        <v>2333172</v>
      </c>
      <c r="E7" s="50">
        <v>1449537.5</v>
      </c>
      <c r="F7" s="50">
        <v>924388.50000000012</v>
      </c>
      <c r="G7" s="17">
        <f t="shared" si="0"/>
        <v>6621799</v>
      </c>
      <c r="H7" s="17">
        <f t="shared" si="1"/>
        <v>1244802.8157135954</v>
      </c>
      <c r="I7" s="17">
        <f t="shared" si="2"/>
        <v>5376996.1842864044</v>
      </c>
    </row>
    <row r="8" spans="1:9" ht="15.75" customHeight="1" x14ac:dyDescent="0.25">
      <c r="A8" s="5">
        <f t="shared" si="3"/>
        <v>2030</v>
      </c>
      <c r="B8" s="49">
        <v>1087522</v>
      </c>
      <c r="C8" s="50">
        <v>1967613.5</v>
      </c>
      <c r="D8" s="50">
        <v>2426191</v>
      </c>
      <c r="E8" s="50">
        <v>1502488.5</v>
      </c>
      <c r="F8" s="50">
        <v>949184.5</v>
      </c>
      <c r="G8" s="17">
        <f t="shared" si="0"/>
        <v>6845477.5</v>
      </c>
      <c r="H8" s="17">
        <f t="shared" si="1"/>
        <v>1265409.6680075382</v>
      </c>
      <c r="I8" s="17">
        <f t="shared" si="2"/>
        <v>5580067.8319924623</v>
      </c>
    </row>
    <row r="9" spans="1:9" ht="15.75" customHeight="1" x14ac:dyDescent="0.25">
      <c r="A9" s="5">
        <f t="shared" si="3"/>
        <v>2031</v>
      </c>
      <c r="B9" s="49">
        <v>1109163</v>
      </c>
      <c r="C9" s="50">
        <v>2019718.5</v>
      </c>
      <c r="D9" s="50">
        <v>2520341.5</v>
      </c>
      <c r="E9" s="50">
        <v>1560383.5</v>
      </c>
      <c r="F9" s="50">
        <v>972234</v>
      </c>
      <c r="G9" s="17">
        <f t="shared" si="0"/>
        <v>7072677.5</v>
      </c>
      <c r="H9" s="17">
        <f t="shared" si="1"/>
        <v>1290590.5200963707</v>
      </c>
      <c r="I9" s="17">
        <f t="shared" si="2"/>
        <v>5782086.979903629</v>
      </c>
    </row>
    <row r="10" spans="1:9" ht="15.75" customHeight="1" x14ac:dyDescent="0.25">
      <c r="A10" s="5">
        <f t="shared" si="3"/>
        <v>2032</v>
      </c>
      <c r="B10" s="49">
        <v>1126364</v>
      </c>
      <c r="C10" s="50">
        <v>2071319.5</v>
      </c>
      <c r="D10" s="50">
        <v>2615062.5</v>
      </c>
      <c r="E10" s="50">
        <v>1622970</v>
      </c>
      <c r="F10" s="50">
        <v>995379</v>
      </c>
      <c r="G10" s="17">
        <f t="shared" si="0"/>
        <v>7304731</v>
      </c>
      <c r="H10" s="17">
        <f t="shared" si="1"/>
        <v>1310605.1144672409</v>
      </c>
      <c r="I10" s="17">
        <f t="shared" si="2"/>
        <v>5994125.8855327591</v>
      </c>
    </row>
    <row r="11" spans="1:9" ht="15.75" customHeight="1" x14ac:dyDescent="0.25">
      <c r="A11" s="5">
        <f t="shared" si="3"/>
        <v>2033</v>
      </c>
      <c r="B11" s="49">
        <v>1143541</v>
      </c>
      <c r="C11" s="50">
        <v>2123472</v>
      </c>
      <c r="D11" s="50">
        <v>2708550.5</v>
      </c>
      <c r="E11" s="50">
        <v>1691117.5</v>
      </c>
      <c r="F11" s="50">
        <v>1019838.5</v>
      </c>
      <c r="G11" s="17">
        <f t="shared" si="0"/>
        <v>7542978.5</v>
      </c>
      <c r="H11" s="17">
        <f t="shared" si="1"/>
        <v>1330591.7831207172</v>
      </c>
      <c r="I11" s="17">
        <f t="shared" si="2"/>
        <v>6212386.7168792831</v>
      </c>
    </row>
    <row r="12" spans="1:9" ht="15.75" customHeight="1" x14ac:dyDescent="0.25">
      <c r="A12" s="5">
        <f t="shared" si="3"/>
        <v>2034</v>
      </c>
      <c r="B12" s="49">
        <v>1162537</v>
      </c>
      <c r="C12" s="50">
        <v>2176982</v>
      </c>
      <c r="D12" s="50">
        <v>2799563</v>
      </c>
      <c r="E12" s="50">
        <v>1764895.5</v>
      </c>
      <c r="F12" s="50">
        <v>1044968.5</v>
      </c>
      <c r="G12" s="17">
        <f t="shared" si="0"/>
        <v>7786409</v>
      </c>
      <c r="H12" s="17">
        <f t="shared" si="1"/>
        <v>1352694.988438376</v>
      </c>
      <c r="I12" s="17">
        <f t="shared" si="2"/>
        <v>6433714.0115616238</v>
      </c>
    </row>
    <row r="13" spans="1:9" ht="15.75" customHeight="1" x14ac:dyDescent="0.25">
      <c r="A13" s="5">
        <f t="shared" si="3"/>
        <v>2035</v>
      </c>
      <c r="B13" s="49">
        <v>1177551</v>
      </c>
      <c r="C13" s="50">
        <v>2231318.5</v>
      </c>
      <c r="D13" s="50">
        <v>2888994</v>
      </c>
      <c r="E13" s="50">
        <v>1845323.5</v>
      </c>
      <c r="F13" s="50">
        <v>1071507</v>
      </c>
      <c r="G13" s="17">
        <f t="shared" si="0"/>
        <v>8037143</v>
      </c>
      <c r="H13" s="17">
        <f t="shared" si="1"/>
        <v>1370164.8518116828</v>
      </c>
      <c r="I13" s="17">
        <f t="shared" si="2"/>
        <v>6666978.1481883172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+tbw9XNIDWAjfgvfrpzIY/9z2vsDKZYLP+GZAKKyRpvp/2Xy07yN1JrWtqBHa91/VB5WPt1Ad1SMNfW/coBuQ==" saltValue="zRzFCzELeRjBO2YKu34a2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2.5390799999999981E-2</v>
      </c>
    </row>
    <row r="4" spans="1:8" ht="15.75" customHeight="1" x14ac:dyDescent="0.25">
      <c r="B4" s="19" t="s">
        <v>97</v>
      </c>
      <c r="C4" s="101">
        <v>6.3736599999999907E-2</v>
      </c>
    </row>
    <row r="5" spans="1:8" ht="15.75" customHeight="1" x14ac:dyDescent="0.25">
      <c r="B5" s="19" t="s">
        <v>95</v>
      </c>
      <c r="C5" s="101">
        <v>0.1035504000000001</v>
      </c>
    </row>
    <row r="6" spans="1:8" ht="15.75" customHeight="1" x14ac:dyDescent="0.25">
      <c r="B6" s="19" t="s">
        <v>91</v>
      </c>
      <c r="C6" s="101">
        <v>0.24952009999999991</v>
      </c>
    </row>
    <row r="7" spans="1:8" ht="15.75" customHeight="1" x14ac:dyDescent="0.25">
      <c r="B7" s="19" t="s">
        <v>96</v>
      </c>
      <c r="C7" s="101">
        <v>0.38443950000000021</v>
      </c>
    </row>
    <row r="8" spans="1:8" ht="15.75" customHeight="1" x14ac:dyDescent="0.25">
      <c r="B8" s="19" t="s">
        <v>98</v>
      </c>
      <c r="C8" s="101">
        <v>6.0205000000000067E-3</v>
      </c>
    </row>
    <row r="9" spans="1:8" ht="15.75" customHeight="1" x14ac:dyDescent="0.25">
      <c r="B9" s="19" t="s">
        <v>92</v>
      </c>
      <c r="C9" s="101">
        <v>5.4902399999999983E-2</v>
      </c>
    </row>
    <row r="10" spans="1:8" ht="15.75" customHeight="1" x14ac:dyDescent="0.25">
      <c r="B10" s="19" t="s">
        <v>94</v>
      </c>
      <c r="C10" s="101">
        <v>0.11243969999999991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102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2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90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3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101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79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99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8.8798472000000003E-2</v>
      </c>
    </row>
    <row r="27" spans="1:8" ht="15.75" customHeight="1" x14ac:dyDescent="0.25">
      <c r="B27" s="19" t="s">
        <v>89</v>
      </c>
      <c r="C27" s="101">
        <v>8.9405939999999996E-3</v>
      </c>
    </row>
    <row r="28" spans="1:8" ht="15.75" customHeight="1" x14ac:dyDescent="0.25">
      <c r="B28" s="19" t="s">
        <v>103</v>
      </c>
      <c r="C28" s="101">
        <v>0.15585153099999999</v>
      </c>
    </row>
    <row r="29" spans="1:8" ht="15.75" customHeight="1" x14ac:dyDescent="0.25">
      <c r="B29" s="19" t="s">
        <v>86</v>
      </c>
      <c r="C29" s="101">
        <v>0.170199079</v>
      </c>
    </row>
    <row r="30" spans="1:8" ht="15.75" customHeight="1" x14ac:dyDescent="0.25">
      <c r="B30" s="19" t="s">
        <v>4</v>
      </c>
      <c r="C30" s="101">
        <v>0.10628299300000001</v>
      </c>
    </row>
    <row r="31" spans="1:8" ht="15.75" customHeight="1" x14ac:dyDescent="0.25">
      <c r="B31" s="19" t="s">
        <v>80</v>
      </c>
      <c r="C31" s="101">
        <v>0.108972139</v>
      </c>
    </row>
    <row r="32" spans="1:8" ht="15.75" customHeight="1" x14ac:dyDescent="0.25">
      <c r="B32" s="19" t="s">
        <v>85</v>
      </c>
      <c r="C32" s="101">
        <v>1.8807035E-2</v>
      </c>
    </row>
    <row r="33" spans="2:3" ht="15.75" customHeight="1" x14ac:dyDescent="0.25">
      <c r="B33" s="19" t="s">
        <v>100</v>
      </c>
      <c r="C33" s="101">
        <v>8.4353397999999996E-2</v>
      </c>
    </row>
    <row r="34" spans="2:3" ht="15.75" customHeight="1" x14ac:dyDescent="0.25">
      <c r="B34" s="19" t="s">
        <v>87</v>
      </c>
      <c r="C34" s="101">
        <v>0.25779475800000001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6VUzW7Kw1oAkq0R4nwsSEt8xaVserOHC0+kktpQI+0dFU813DHzmk8tB29FUKETKgb7otFQIqdYU5IGpzFJkpw==" saltValue="JPdUhPrqFDyVto61KPS+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110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106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107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119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TDqTonnkBktqjztyEBbXpYWV1YAEmXR1kpZQIkuPpabCHtfyAaZUDbMwl6vMTK7sjYiIyW2tMib3hKNErkWSg==" saltValue="qJvDtPbbXnLh6tm6s7FI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125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j6lYFk7PzC7jKDdes1e6Uq4T+R5s7ZpN9xsssu7Oa9fYItv3dMHQSsC8iAM8jQkZVpEMd7oCPagTal7JLuWHlw==" saltValue="5R+/7GLoeSC9UK2RlZm0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ztCL0qfKZd22UW9kOKHiF/jQVm78jVHeHmnkRefSGIYeGGxldWL+WoiaP6qxsat2Qt6HuC4x63hwMJDC/Eu0w==" saltValue="npiCL51OqnMniw7v3OAd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I6NwglhYWd7gRrD0sRMJj7W+5er5MjvtG0GUMSnsLoC6124Eta+XA3UCdg1cWiAp3wlHAgp3UPO6lZHB36UzmA==" saltValue="6N/TPsNQmPfTe/NLFJYCv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JCWmDNXrcrj9L9lgKaaTw9vg7MFQeH7aqJBN5D+GW22O3j2tI6eMN5e8XJLiWOOxCK65wo5u4mB+6qHjBc7TrQ==" saltValue="uOII+VW8DYwor+3KbscJ2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70s2uN3LpcZrZRnYKXS768qs/6IplUQzaehiRbhU39xzKUc4V0Rswav8RExlv37cYw5M1XuNbgCaynXhxR7jYg==" saltValue="tf1N1vfQ3kIXmx8gwp+pq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46.32880693632174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6.4278423769884219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0.2047995797130811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0.419850339385831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0.28031230000000001</v>
      </c>
      <c r="C10" s="98">
        <v>0.95</v>
      </c>
      <c r="D10" s="56">
        <v>14.198977192068339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14.198977192068339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14.198977192068339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14.198977192068339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0.28031230000000001</v>
      </c>
      <c r="C14" s="98">
        <v>0.95</v>
      </c>
      <c r="D14" s="56">
        <v>14.198977192068339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14.198977192068339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0.7607335999999999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0.12279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0.17799999999999999</v>
      </c>
      <c r="C18" s="98">
        <v>0.95</v>
      </c>
      <c r="D18" s="56">
        <v>6.4278423769884219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0.34721740000000001</v>
      </c>
      <c r="C19" s="98">
        <v>0.95</v>
      </c>
      <c r="D19" s="56">
        <v>6.4278423769884219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24.209172725963409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0.85079989999999994</v>
      </c>
      <c r="C23" s="98">
        <v>0.95</v>
      </c>
      <c r="D23" s="56">
        <v>4.6647271427629606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0.47779756487578001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0.28031230000000001</v>
      </c>
      <c r="C26" s="98">
        <v>0.95</v>
      </c>
      <c r="D26" s="56">
        <v>1.259857105889731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21.89373473422777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0.21443380000000001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0.2174344</v>
      </c>
      <c r="C29" s="98">
        <v>0.95</v>
      </c>
      <c r="D29" s="56">
        <v>204.3668205339699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0.41820000000000002</v>
      </c>
      <c r="C31" s="98">
        <v>0.95</v>
      </c>
      <c r="D31" s="56">
        <v>174.23309547064821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0.85</v>
      </c>
      <c r="C32" s="98">
        <v>0.95</v>
      </c>
      <c r="D32" s="56">
        <v>0.47566033589714318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0.17300869999999999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0.64071500000000003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4.764E-3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0.52630830000000006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0.15360070000000001</v>
      </c>
      <c r="C38" s="98">
        <v>0.95</v>
      </c>
      <c r="D38" s="56">
        <v>1.105588888842008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3dHxI5LtIGtL51z29Xy90cnXDgyHg+BlUmX6CB989tfGxgjArt0bhSn6dZzZ8jNi5bzAH3m0l0A11e+jU19aXA==" saltValue="KlVfjk+F52geL7pMuJdj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zVjQWPRt+f58GAvBEhKjS0unYZLSn8TE13RRUwsJrZNHiqA8dVGZKq7OOq8UXO5aYCdP1/w2aRLlcNcmNAV/EQ==" saltValue="POPDSFVT2uEauNDrTfo9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0cfhqRtc1QebAagyNQsVbx41uXzVziNHi/GjS0Zafinjc69FZrDBpZIoQqPEJ/sb0nRXzJa7faHaXT2ApFwEZA==" saltValue="OGwm6cNVWhyRC7/kaAQ42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207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Zwr9T8xoEJqltTTuKZJWcvr1KKRfNZ/Q9G8RmBw4ioBL/gVxrl5E9uNvsVPvyBXZVUYZ1RrFt6raCDFdDHYlDQ==" saltValue="ypLUw1n6iL9tnNeAZdxm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0.43922433857421878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0.18823900224609377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0.11151126855468747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0.26102539062500002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uJWNaPCJ1gasnWb0EkYM0SwSmGRhiWm9+SYi7LvM16dV3HT6Os2T70cqBnLhCrEg23IR1r4ou03uLN8UX+xWQ==" saltValue="DPbhCtgrTIgh52qbaUN8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0r0kCmelTpIyEWgxc0Jr1mkkO3XH+kIOZlNC7orbJ5fd6LK1r4Apc/vOX4iDy5Nn9h1SHpSp035DGrxzYp18g==" saltValue="p3ZPGgfr4w1fpRKbnXPg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nh/zZ/+6Ml0a+C+83mWcQZkX/Yw7H2LQw7Lx5pmhPPNTgSxyx9sQZ3bpArkcqeSxLqEOGeAZuaP8vQD+3+ETQ==" saltValue="6CccFKdaHDHkxC52KSxx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2SqA+C0MwH9nxYc5bds4XYu7JztUHbQwrYXicgJ1M3dBoo9ghg06iIFXpgdASiVS6bmo6SydqV0pBaOVp7oyw==" saltValue="Wa5YWH2nn/HWde5+MTif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XEba8HSahzqjGaX28jmM3XyGDnGI498YfTHgoqMOgSJ7/yypz/zNn18KKNf5f5WlT04bELa3ySI3oPsEfnYiQ==" saltValue="spafv+N7EI+ghZh5zZHT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/Y420nCvblzVLq+BrGgFhJaiIX8TYDuJutrZk/8yqwexj2SxFHhbi58Q1OucX71MeYu5mbi1N2PINhxYpzr5dg==" saltValue="RamzWnYZ7LDTxuWlX/t/L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1afaSQuO7odHQpbC/LsBMGXLbbgcrM5zHILCqlNn1vKacZgAiWW1AUkIbIwHA9aCCSC4oH1mhrmF7935XPQNA==" saltValue="9cqYnRoiD+rlYJ7p8E8BX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HWkR6owKESbnD+RScQ+Er/vpc6mfKS7bXaTinE97zY9YC/jZnfLp/NkJZgz28R0l1gjO7aONI/PfU8h7aiE5g==" saltValue="WiEyZi4fxCkCiHZT70IJ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88BD9pO/SwH/nimOtZQAzmfXl6fuKgRUx72QzBsCztg8LJelM20Oq98zqEI+qO/lHnsYbk7pKaPJ+GNzXXyQA==" saltValue="tC8JTxYvvoCCfntWIotG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08OCXSJl/hHE6LuNJO0T/QM4uz/C1zZ34OKVbuQlHmxvqlzeVV2ilX5XYEUfeAwOkPmFeIKkNzzyZtU1LH8+Q==" saltValue="eFV/FRweNQikvEwRrXdh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J4fHSxzANubIHk3PcyRXgp1Vi9uFQFBMsvz3MIrV+J7jPm2lGeE1baERAmsjH7+QI+QwSTQJ9bf8YdHq7SyfEg==" saltValue="0cHckCRSs3Dn6LkCqMLO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78F/iS3Xik64IeX7V9vSZG2ha5tr9UkroCx7vzZqXmNtB+1pUl0fdKSOdA7ruxa3uQkKCu61rq4JZSL3+XaVA==" saltValue="P+Za8Nnjh9OZYHQ+NXDF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9uwQX0/B+JmIRj9V2TldF04rFhTmWtRgZk8SC2ksxnCirW8qNL4ALwsX/F/OLgCXx7hxBkIQb8FLEMJAc5D5w==" saltValue="iGfhh0DTG9aUogZYr1dt4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0.10616740493456134</v>
      </c>
      <c r="G18" s="90">
        <f>MIN(MAX(1-0.89/(1-frac_sam_12_23months+(frac_sam_12_23months*0.89)),0),1)</f>
        <v>0.10560358098639233</v>
      </c>
      <c r="H18" s="90">
        <f>MIN(MAX(1-0.89/(1-frac_sam_24_59months+(frac_sam_24_59months*0.89)),0),1)</f>
        <v>0.10850556737822414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9.7544369659478658E-2</v>
      </c>
      <c r="G20" s="90">
        <f>MIN(MAX(1-0.89/(1-frac_mam_12_23months+(frac_mam_12_23months*0.89)),0),1)</f>
        <v>0.10099688475622304</v>
      </c>
      <c r="H20" s="90">
        <f>MIN(MAX(1-0.89/(1-frac_mam_24_59months+(frac_mam_24_59months*0.89)),0),1)</f>
        <v>0.10562537131558014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9.6139455351974545E-3</v>
      </c>
      <c r="G73" s="90">
        <f>MIN(MAX(1-0.99/(1-frac_sam_12_23months+(frac_sam_12_23months*0.99)),0),1)</f>
        <v>9.5574058701741738E-3</v>
      </c>
      <c r="H73" s="90">
        <f>MIN(MAX(1-0.99/(1-frac_sam_24_59months+(frac_sam_24_59months*0.99)),0),1)</f>
        <v>9.8491079351056277E-3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8.7562656704182062E-3</v>
      </c>
      <c r="G75" s="90">
        <f>MIN(MAX(1-0.99/(1-frac_mam_12_23months+(frac_mam_12_23months*0.99)),0),1)</f>
        <v>9.0978688271504682E-3</v>
      </c>
      <c r="H75" s="90">
        <f>MIN(MAX(1-0.99/(1-frac_mam_24_59months+(frac_mam_24_59months*0.99)),0),1)</f>
        <v>9.5595897767497551E-3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0.19371416336616909</v>
      </c>
      <c r="G128" s="90">
        <f>MIN(MAX(1-0.8/(1-frac_sam_12_23months+(frac_sam_12_23months*0.8)),0),1)</f>
        <v>0.19278568348904668</v>
      </c>
      <c r="H128" s="90">
        <f>MIN(MAX(1-0.8/(1-frac_sam_24_59months+(frac_sam_24_59months*0.8)),0),1)</f>
        <v>0.19755425771993429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0.1794077124884238</v>
      </c>
      <c r="G130" s="90">
        <f>MIN(MAX(1-0.8/(1-frac_mam_12_23months+(frac_mam_12_23months*0.8)),0),1)</f>
        <v>0.1851632238251103</v>
      </c>
      <c r="H130" s="90">
        <f>MIN(MAX(1-0.8/(1-frac_mam_24_59months+(frac_mam_24_59months*0.8)),0),1)</f>
        <v>0.19282158477414513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i+b8HRLYnIo4KvQ13p+Xze4RFVBIbuwEBzG9evKt1Q9GwFoHsJdkOA9S4jp3aBY0ir0cLcyro6uiNcKa53oAg==" saltValue="ZZT68p014b1pP+HM9rOD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wVKJbo34q51wKpHhiYxrhV2P6tgoKGh64Ph9o9vITTwEThoHPxvhXOH7qIqlMsaFxTNi1e+VA6mvfcGB6IbtQ==" saltValue="F+zjwmZckAN+KWKzfvxwG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2024-08-06T07:59:58Z</dcterms:modified>
</cp:coreProperties>
</file>