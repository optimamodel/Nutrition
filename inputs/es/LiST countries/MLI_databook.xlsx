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E4CE052B-3104-4B4E-9000-1DAA61E46BFB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I9" i="2"/>
  <c r="I13" i="2"/>
  <c r="A31" i="2"/>
  <c r="A40" i="2"/>
  <c r="A34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<sst xmlns="http://schemas.openxmlformats.org/spreadsheetml/2006/main" count="2159" uniqueCount="372">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</sst>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4248418</v>
      </c>
    </row>
    <row r="8" spans="1:3" ht="15" customHeight="1" x14ac:dyDescent="0.25">
      <c r="B8" s="5" t="s">
        <v>63</v>
      </c>
      <c r="C8" s="44">
        <v>0.25900000000000001</v>
      </c>
    </row>
    <row r="9" spans="1:3" ht="15" customHeight="1" x14ac:dyDescent="0.25">
      <c r="B9" s="5" t="s">
        <v>62</v>
      </c>
      <c r="C9" s="45">
        <v>0.9</v>
      </c>
    </row>
    <row r="10" spans="1:3" ht="15" customHeight="1" x14ac:dyDescent="0.25">
      <c r="B10" s="5" t="s">
        <v>75</v>
      </c>
      <c r="C10" s="45">
        <v>0.29840820000000001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0.14249999999999999</v>
      </c>
    </row>
    <row r="24" spans="1:3" ht="15" customHeight="1" x14ac:dyDescent="0.25">
      <c r="B24" s="15" t="s">
        <v>65</v>
      </c>
      <c r="C24" s="45">
        <v>0.43409999999999999</v>
      </c>
    </row>
    <row r="25" spans="1:3" ht="15" customHeight="1" x14ac:dyDescent="0.25">
      <c r="B25" s="15" t="s">
        <v>66</v>
      </c>
      <c r="C25" s="45">
        <v>0.32079999999999997</v>
      </c>
    </row>
    <row r="26" spans="1:3" ht="15" customHeight="1" x14ac:dyDescent="0.25">
      <c r="B26" s="15" t="s">
        <v>67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0.18152033947509999</v>
      </c>
    </row>
    <row r="30" spans="1:3" ht="14.25" customHeight="1" x14ac:dyDescent="0.25">
      <c r="B30" s="25" t="s">
        <v>82</v>
      </c>
      <c r="C30" s="99">
        <v>6.3697307314517504E-2</v>
      </c>
    </row>
    <row r="31" spans="1:3" ht="14.25" customHeight="1" x14ac:dyDescent="0.25">
      <c r="B31" s="25" t="s">
        <v>29</v>
      </c>
      <c r="C31" s="99">
        <v>0.122289508790448</v>
      </c>
    </row>
    <row r="32" spans="1:3" ht="14.25" customHeight="1" x14ac:dyDescent="0.25">
      <c r="B32" s="25" t="s">
        <v>30</v>
      </c>
      <c r="C32" s="99">
        <v>0.63249284441993503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33.42812</v>
      </c>
    </row>
    <row r="38" spans="1:5" ht="15" customHeight="1" x14ac:dyDescent="0.25">
      <c r="B38" s="11" t="s">
        <v>54</v>
      </c>
      <c r="C38" s="43">
        <v>61.631399999999999</v>
      </c>
      <c r="D38" s="12"/>
      <c r="E38" s="13"/>
    </row>
    <row r="39" spans="1:5" ht="15" customHeight="1" x14ac:dyDescent="0.25">
      <c r="B39" s="11" t="s">
        <v>80</v>
      </c>
      <c r="C39" s="43">
        <v>97.066919999999996</v>
      </c>
      <c r="D39" s="12"/>
      <c r="E39" s="12"/>
    </row>
    <row r="40" spans="1:5" ht="15" customHeight="1" x14ac:dyDescent="0.25">
      <c r="B40" s="11" t="s">
        <v>55</v>
      </c>
      <c r="C40" s="100">
        <v>4.4000000000000004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78</v>
      </c>
      <c r="C47" s="45">
        <v>7.6044899999999999E-2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3.0939999999999999</v>
      </c>
      <c r="D51" s="12"/>
    </row>
    <row r="52" spans="1:4" ht="15" customHeight="1" x14ac:dyDescent="0.25">
      <c r="B52" s="11" t="s">
        <v>32</v>
      </c>
      <c r="C52" s="100">
        <v>3.0939999999999999</v>
      </c>
    </row>
    <row r="53" spans="1:4" ht="15.75" customHeight="1" x14ac:dyDescent="0.25">
      <c r="B53" s="11" t="s">
        <v>35</v>
      </c>
      <c r="C53" s="100">
        <v>7.072000000000001</v>
      </c>
    </row>
    <row r="54" spans="1:4" ht="15.75" customHeight="1" x14ac:dyDescent="0.25">
      <c r="B54" s="11" t="s">
        <v>33</v>
      </c>
      <c r="C54" s="100">
        <v>6.8900000000000006</v>
      </c>
    </row>
    <row r="55" spans="1:4" ht="15.75" customHeight="1" x14ac:dyDescent="0.25">
      <c r="B55" s="11" t="s">
        <v>34</v>
      </c>
      <c r="C55" s="100">
        <v>3.336666666666666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0.40586299999999997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XlzvcJ4ROucO0ZgVzWzy9GsptYC9LqjEKUU9BSnq/D+seWZWqvaJmtF/YpnMhsBAecZ3NSA079TB0LpQPDlIA==" saltValue="L2249zM4a/bN2nBVZBcU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oQ5UhptFP10MEvEd+5lx3y/qhPNlrHxB11uSI+w3XEUTmxdIJ9XTh8urS38NuM0f9BFUeBKmVMOVrOhYeN03w==" saltValue="OH5f0cjivr7XVoSR6ZNJ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2.5390799999999981E-2</v>
      </c>
    </row>
    <row r="4" spans="1:8" ht="15.75" customHeight="1" x14ac:dyDescent="0.25">
      <c r="B4" s="19" t="s">
        <v>116</v>
      </c>
      <c r="C4" s="101">
        <v>6.3736599999999907E-2</v>
      </c>
    </row>
    <row r="5" spans="1:8" ht="15.75" customHeight="1" x14ac:dyDescent="0.25">
      <c r="B5" s="19" t="s">
        <v>114</v>
      </c>
      <c r="C5" s="101">
        <v>0.1035504000000001</v>
      </c>
    </row>
    <row r="6" spans="1:8" ht="15.75" customHeight="1" x14ac:dyDescent="0.25">
      <c r="B6" s="19" t="s">
        <v>110</v>
      </c>
      <c r="C6" s="101">
        <v>0.24952009999999991</v>
      </c>
    </row>
    <row r="7" spans="1:8" ht="15.75" customHeight="1" x14ac:dyDescent="0.25">
      <c r="B7" s="19" t="s">
        <v>115</v>
      </c>
      <c r="C7" s="101">
        <v>0.38443950000000021</v>
      </c>
    </row>
    <row r="8" spans="1:8" ht="15.75" customHeight="1" x14ac:dyDescent="0.25">
      <c r="B8" s="19" t="s">
        <v>117</v>
      </c>
      <c r="C8" s="101">
        <v>6.0205000000000067E-3</v>
      </c>
    </row>
    <row r="9" spans="1:8" ht="15.75" customHeight="1" x14ac:dyDescent="0.25">
      <c r="B9" s="19" t="s">
        <v>111</v>
      </c>
      <c r="C9" s="101">
        <v>5.4902399999999983E-2</v>
      </c>
    </row>
    <row r="10" spans="1:8" ht="15.75" customHeight="1" x14ac:dyDescent="0.25">
      <c r="B10" s="19" t="s">
        <v>113</v>
      </c>
      <c r="C10" s="101">
        <v>0.11243969999999991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121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2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109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3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120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98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107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118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8.8798472000000003E-2</v>
      </c>
    </row>
    <row r="27" spans="1:8" ht="15.75" customHeight="1" x14ac:dyDescent="0.25">
      <c r="B27" s="19" t="s">
        <v>108</v>
      </c>
      <c r="C27" s="101">
        <v>8.9405939999999996E-3</v>
      </c>
    </row>
    <row r="28" spans="1:8" ht="15.75" customHeight="1" x14ac:dyDescent="0.25">
      <c r="B28" s="19" t="s">
        <v>122</v>
      </c>
      <c r="C28" s="101">
        <v>0.15585153099999999</v>
      </c>
    </row>
    <row r="29" spans="1:8" ht="15.75" customHeight="1" x14ac:dyDescent="0.25">
      <c r="B29" s="19" t="s">
        <v>105</v>
      </c>
      <c r="C29" s="101">
        <v>0.170199079</v>
      </c>
    </row>
    <row r="30" spans="1:8" ht="15.75" customHeight="1" x14ac:dyDescent="0.25">
      <c r="B30" s="19" t="s">
        <v>4</v>
      </c>
      <c r="C30" s="101">
        <v>0.10628299300000001</v>
      </c>
    </row>
    <row r="31" spans="1:8" ht="15.75" customHeight="1" x14ac:dyDescent="0.25">
      <c r="B31" s="19" t="s">
        <v>99</v>
      </c>
      <c r="C31" s="101">
        <v>0.108972139</v>
      </c>
    </row>
    <row r="32" spans="1:8" ht="15.75" customHeight="1" x14ac:dyDescent="0.25">
      <c r="B32" s="19" t="s">
        <v>104</v>
      </c>
      <c r="C32" s="101">
        <v>1.8807035E-2</v>
      </c>
    </row>
    <row r="33" spans="2:3" ht="15.75" customHeight="1" x14ac:dyDescent="0.25">
      <c r="B33" s="19" t="s">
        <v>119</v>
      </c>
      <c r="C33" s="101">
        <v>8.4353397999999996E-2</v>
      </c>
    </row>
    <row r="34" spans="2:3" ht="15.75" customHeight="1" x14ac:dyDescent="0.25">
      <c r="B34" s="19" t="s">
        <v>106</v>
      </c>
      <c r="C34" s="101">
        <v>0.25779475800000001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xyQZ6bHgS7EgG37DFi8hfNU+DwrHoVJKxQIX8EKlyrdjLkPQszhbzeHP2BFi6NOsI1AGkja+WOHmXSWirVIa2w==" saltValue="10YLqHLHYzBw86DCW/dW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129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125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126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3IW4Sl3qLLiqJvP6HVGjfmWv4Cozqmi4/SMv840J18O24T0B9KAsC7ulIycW8+vbW/vp4+CB6VnujeFbd0SfQ==" saltValue="6P+R0guqzVi7U3PsD8ez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2AhzYMo6e459PF5mySZbQqmJWSGtbERQfZXS+HkQ31AotukGUrx+3LNx2hFeTKLSettk0+YQd0BbxxXoSVJFiw==" saltValue="hbl/uXbb7qMFUfZ527Li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NOAH3grPf9YVej4zSC8wn08qZqMeZmUqb0FYAskXjojhwSib0iSKDm0YNwJG/TthTQLxt5budcAb7PWbgMYow==" saltValue="clZ3kTGvTyddgSY/lMt/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833.29725509307104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0.38020000000000004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0.52363000000000004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2.2861690599383398E-2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90556.550409999996</v>
      </c>
      <c r="C22" s="109">
        <v>89299.466709999993</v>
      </c>
      <c r="D22" s="109">
        <v>88538.110260000001</v>
      </c>
      <c r="E22" s="109">
        <v>87946.478520000004</v>
      </c>
      <c r="F22" s="109">
        <v>87151.389460000006</v>
      </c>
      <c r="G22" s="109">
        <v>86151.818369999994</v>
      </c>
      <c r="H22" s="109">
        <v>84892.036080000005</v>
      </c>
      <c r="I22" s="109">
        <v>83253.688800000004</v>
      </c>
      <c r="J22" s="109">
        <v>81102.464080000005</v>
      </c>
      <c r="K22" s="109">
        <v>78306.822390000001</v>
      </c>
      <c r="L22" s="109">
        <v>74454.921520000004</v>
      </c>
      <c r="M22" s="109">
        <v>69357.25546</v>
      </c>
      <c r="N22" s="109">
        <v>62195.856039999999</v>
      </c>
      <c r="O22" s="109">
        <v>52987.173470000002</v>
      </c>
    </row>
  </sheetData>
  <sheetProtection algorithmName="SHA-512" hashValue="5e4bmSymRh1+4lqxpc2D8Uyy/iohcwtXT21Q5ORnVL03tjvgxtBGfgN+rjVE0qOco3BOrtyg6ggumACLgMaO/A==" saltValue="keUNwuPhb1vLVWtu9NJZ4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m5BeiCtljDCK5QDb82ye1jk4hKxgnCvCatjGIP9S02ve0HMMD6SjOrsNyRPtORpJBc4f8L5qJ8c955DaQMz5g==" saltValue="J5ewRDoWtqVe2oIBwjmC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ddni9aisB1jbDaFz4O1z3Xi+GP3OgNgJkVYH520OuEfsIUaE3faL4YE8oBM31jKL2GZVSjVwfXG1jVGuPunYw==" saltValue="QyTrQcDTOXnx22ddmpNhD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6.4277828886844528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0.25711131554737809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0.28031230000000001</v>
      </c>
      <c r="C10" s="98">
        <v>0.95</v>
      </c>
      <c r="D10" s="56">
        <v>14.198977192068339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14.198977192068339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14.198977192068339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14.198977192068339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0.28031230000000001</v>
      </c>
      <c r="C14" s="98">
        <v>0.95</v>
      </c>
      <c r="D14" s="56">
        <v>14.198977192068339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14.198977192068339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0.7607335999999999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0.12279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0.17799999999999999</v>
      </c>
      <c r="C18" s="98">
        <v>0.95</v>
      </c>
      <c r="D18" s="56">
        <v>6.4277828886844528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0.34721740000000001</v>
      </c>
      <c r="C19" s="98">
        <v>0.95</v>
      </c>
      <c r="D19" s="56">
        <v>6.4278423769884219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6.4277828886844528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0.85079989999999994</v>
      </c>
      <c r="C23" s="98">
        <v>0.95</v>
      </c>
      <c r="D23" s="56">
        <v>4.6647271427629606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0.47779756487578001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0.28031230000000001</v>
      </c>
      <c r="C26" s="98">
        <v>0.95</v>
      </c>
      <c r="D26" s="56">
        <v>1.2598454461821527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21.89376196990424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0.21443380000000001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0.2174344</v>
      </c>
      <c r="C29" s="98">
        <v>0.95</v>
      </c>
      <c r="D29" s="56">
        <v>204.3668205339699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62.971272229822162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0.41820000000000002</v>
      </c>
      <c r="C31" s="98">
        <v>0.95</v>
      </c>
      <c r="D31" s="56">
        <v>173.97437166513339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0.76</v>
      </c>
      <c r="C32" s="98">
        <v>0.95</v>
      </c>
      <c r="D32" s="56">
        <v>0.47565593376264947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0.173008689916163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0.64071500000000003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4.764E-3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0.52630830000000006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0.15360070000000001</v>
      </c>
      <c r="C38" s="98">
        <v>0.95</v>
      </c>
      <c r="D38" s="56">
        <v>1.1055786568537258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YOgcrIFLZO+BTx5UPOm5Ae9zQq0Xi/H0maepLLSAAVBBOudoQysdixKHD1OleDveqmOt2em9pgoPbTEXjtd4Ag==" saltValue="Ta2MdGzxmYhp2gTogJuB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cbjLuxmGf260MEniLgvJlecGw+Dp5s2/k9QLYpeZZVduQ/VmbC2Tcf5PzedfrzJaZXK0Qfa+eMzVwmtBvDvXg==" saltValue="y6h5GNfDDXTX1j/u8MJb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I5Ycmk4qwhJKOzI+6Nl/k2KyadBdWx2o9EwWw3naGzZyOzM13EvT6AugHWluV39w/jM8iuP+yIYrZN2cs6rWQ==" saltValue="RBKrWmpgjrErSVURwlQS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3.0939999999999999</v>
      </c>
      <c r="C2" s="21">
        <f>'Entradas de población-año base'!C52</f>
        <v>3.0939999999999999</v>
      </c>
      <c r="D2" s="21">
        <f>'Entradas de población-año base'!C53</f>
        <v>7.072000000000001</v>
      </c>
      <c r="E2" s="21">
        <f>'Entradas de población-año base'!C54</f>
        <v>6.8900000000000006</v>
      </c>
      <c r="F2" s="21">
        <f>'Entradas de población-año base'!C55</f>
        <v>3.336666666666666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236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wxk7BzgAwOaPZ+ABFK7GU4phYidCxSebWuOnvrptODydTKtGzVqg34JSi1HL6cW/ynFwV1nQBg1RljLg6pYpsw==" saltValue="vVHVjMVU1hntXrhW+kDD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xEDq9lnw/34Ml2fMM48acon2BshPYNlekgrjqc7oAfCcjAFH5rOoLGckUnidQvBPnkmbdOWAOZdZ6xWOFWnvA==" saltValue="aF5jkyQanYhRgGWlpZqq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brB7w8RLGo1CBWMGxcDfErtuodguB6zvhw/gpXM/yZTNVxFF0/m/AH2QuIZJ8Sixib3odDlKwecPr1L+fHemA==" saltValue="ENiDKPuphLqWMopmPWa55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+C30Nsf+WK5Kei5cRWnQpZb3CNKIaO7BiatWatBF+DcINjQW80cvzbuj11WsabKt33NIHbIwTj3xHr56PV2ow==" saltValue="ywfvbbVMluULBN1IoZCm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WBU7Pi/csRLHIuoFKODb4hDigebB4rawamQabYSP0qNfJpE7trNVOW3IqfYZpWWR48rCN2a9nTVVkaABMU0rA==" saltValue="M35Z2N9Wjw+t15C9XNPM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PxCPX8S5KNIA+D6LBLe6RYl3GFwYdoJjrR6kNXn6SPc5x26lvzwvnWU+njuU6w/qtOdwbdJK6roshyOf2cbgbg==" saltValue="+nNhUxkkzIqazhLNN4mb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ej5hhowFCQkhuETnqSDG27vcl3pLP/XYhxIvPpVhJsKAmcNMw2l4D+4F1zDAbOGCk7mpbB05wE7xCVlP+8oatA==" saltValue="mePbCmLPAPiIh66jrVSW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Tb8ixV88rgTKx5uyzvT7PpBmvSZ0x6srpdB6UkhKdNcP22/WXTMzCKmNAMxKOeHSCr3fbwP+oCt5RmL7ssYcw==" saltValue="nZxOlXdN0cHtUpj+ej7W/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y/Vs7XKCKJgipZo290lLB34iGaXnuGSafeLqaC2Bj1iuKprdOHhi6pPUBBFBLFT/VqZk4MOEA8Ehptound/Paw==" saltValue="WYj2SEXG04JZ/TUTrsZM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ncHEhdN8p/dJSyMFFw9Ub2udyYolz2IJ+vbiciKA5Gw3s/MO6qr05eFDjCWLD0n3ykjC34WCdIioXCYGCuh8w==" saltValue="d2xvMgDYPerhih+Mzv/j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q4zNuPDxFC27zee1BonDxM2Wcn0a2HwQAqZe8jdYOnrmvo2/DNv9qhRksA/WEHbFltlM0sqSU/nYExtw2Bkxw==" saltValue="Higwfxn5eN8CH9vxQeQM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FTK5bQeijURKqjNmszDqJrSDbmGr4FS684kv/IQJ4wg1GoP7dhZWvOvpKXLIYXk8cbghJJDGht4Ev9yfd89Og==" saltValue="22dYUb0fmXo+6PLxJZrh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+FisO5Mo8wcWI0A1/l+8aSYyaT5GKPWelDEHE5dxz5kHj+FNq0LweqxNUW2Z5P9Qt5TvxQ25CpXiyCs4bKWJA==" saltValue="adNKUVpqna4gZzIfsA24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NOOKdyuTKcvz4CLbQNwAuS81kMlsCHp0h6PTAWDlWRuR6XsfnOWokfsyQE3sjgmRM5ZwtLuoQsku6aRYgziRA==" saltValue="m3YFUJN565Zk7yn3BuxY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JqDfoarBIdwzucEfibxq5JW+xedqsK7JoJRESBmKqFaBAOvohPXYM6b+CmZnylXCnZPTwquShfB35aclhhAfQ==" saltValue="ZiQ2oRxc/hlwTpdOI9tx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jBl6VAsgHfujCwBuHdW3yubr0gATWqVRqP9fQdZaYQwlvrnKVSXTVtf+VmBhlEIdtwuvc8BvyDfOiXTDdDtHg==" saltValue="0+5M9R+jUSLWBZJ1eqWEh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