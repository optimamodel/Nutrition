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FD8AAB83-C105-4A59-BCC4-62B424FA9B5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5" i="2" l="1"/>
  <c r="A36" i="2"/>
  <c r="A31" i="2"/>
  <c r="I7" i="2"/>
  <c r="I13" i="2"/>
  <c r="I6" i="2"/>
  <c r="I12" i="2"/>
  <c r="A35" i="2"/>
  <c r="A37" i="2"/>
  <c r="I2" i="2"/>
  <c r="I8" i="2"/>
  <c r="A19" i="2"/>
  <c r="A22" i="2"/>
  <c r="I39" i="2"/>
  <c r="A23" i="2"/>
  <c r="A24" i="2"/>
  <c r="A40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<sst xmlns="http://schemas.openxmlformats.org/spreadsheetml/2006/main" count="2169" uniqueCount="373">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</sst>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4248418</v>
      </c>
    </row>
    <row r="8" spans="1:3" ht="15" customHeight="1" x14ac:dyDescent="0.25">
      <c r="B8" s="5" t="s">
        <v>63</v>
      </c>
      <c r="C8" s="44">
        <v>0.25900000000000001</v>
      </c>
    </row>
    <row r="9" spans="1:3" ht="15" customHeight="1" x14ac:dyDescent="0.25">
      <c r="B9" s="5" t="s">
        <v>62</v>
      </c>
      <c r="C9" s="45">
        <v>0.9</v>
      </c>
    </row>
    <row r="10" spans="1:3" ht="15" customHeight="1" x14ac:dyDescent="0.25">
      <c r="B10" s="5" t="s">
        <v>75</v>
      </c>
      <c r="C10" s="45">
        <v>0.29840820000000001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0.14249999999999999</v>
      </c>
    </row>
    <row r="24" spans="1:3" ht="15" customHeight="1" x14ac:dyDescent="0.25">
      <c r="B24" s="15" t="s">
        <v>65</v>
      </c>
      <c r="C24" s="45">
        <v>0.43409999999999999</v>
      </c>
    </row>
    <row r="25" spans="1:3" ht="15" customHeight="1" x14ac:dyDescent="0.25">
      <c r="B25" s="15" t="s">
        <v>66</v>
      </c>
      <c r="C25" s="45">
        <v>0.32079999999999997</v>
      </c>
    </row>
    <row r="26" spans="1:3" ht="15" customHeight="1" x14ac:dyDescent="0.25">
      <c r="B26" s="15" t="s">
        <v>67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0.18152033947509999</v>
      </c>
    </row>
    <row r="30" spans="1:3" ht="14.25" customHeight="1" x14ac:dyDescent="0.25">
      <c r="B30" s="25" t="s">
        <v>82</v>
      </c>
      <c r="C30" s="97">
        <v>6.3697307314517504E-2</v>
      </c>
    </row>
    <row r="31" spans="1:3" ht="14.25" customHeight="1" x14ac:dyDescent="0.25">
      <c r="B31" s="25" t="s">
        <v>29</v>
      </c>
      <c r="C31" s="97">
        <v>0.122289508790448</v>
      </c>
    </row>
    <row r="32" spans="1:3" ht="14.25" customHeight="1" x14ac:dyDescent="0.25">
      <c r="B32" s="25" t="s">
        <v>30</v>
      </c>
      <c r="C32" s="97">
        <v>0.63249284441993503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33.42812</v>
      </c>
    </row>
    <row r="38" spans="1:5" ht="15" customHeight="1" x14ac:dyDescent="0.25">
      <c r="B38" s="11" t="s">
        <v>54</v>
      </c>
      <c r="C38" s="43">
        <v>61.631399999999999</v>
      </c>
      <c r="D38" s="12"/>
      <c r="E38" s="13"/>
    </row>
    <row r="39" spans="1:5" ht="15" customHeight="1" x14ac:dyDescent="0.25">
      <c r="B39" s="11" t="s">
        <v>80</v>
      </c>
      <c r="C39" s="43">
        <v>97.066919999999996</v>
      </c>
      <c r="D39" s="12"/>
      <c r="E39" s="12"/>
    </row>
    <row r="40" spans="1:5" ht="15" customHeight="1" x14ac:dyDescent="0.25">
      <c r="B40" s="11" t="s">
        <v>55</v>
      </c>
      <c r="C40" s="98">
        <v>4.4000000000000004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5.2124000000000007E-3</v>
      </c>
      <c r="D45" s="12"/>
    </row>
    <row r="46" spans="1:5" ht="15.75" customHeight="1" x14ac:dyDescent="0.25">
      <c r="B46" s="11" t="s">
        <v>70</v>
      </c>
      <c r="C46" s="45">
        <v>5.6006399999999998E-2</v>
      </c>
      <c r="D46" s="12"/>
    </row>
    <row r="47" spans="1:5" ht="15.75" customHeight="1" x14ac:dyDescent="0.25">
      <c r="B47" s="11" t="s">
        <v>78</v>
      </c>
      <c r="C47" s="45">
        <v>7.6044899999999999E-2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3.0939999999999999</v>
      </c>
      <c r="D51" s="12"/>
    </row>
    <row r="52" spans="1:4" ht="15" customHeight="1" x14ac:dyDescent="0.25">
      <c r="B52" s="11" t="s">
        <v>32</v>
      </c>
      <c r="C52" s="98">
        <v>3.0939999999999999</v>
      </c>
    </row>
    <row r="53" spans="1:4" ht="15.75" customHeight="1" x14ac:dyDescent="0.25">
      <c r="B53" s="11" t="s">
        <v>35</v>
      </c>
      <c r="C53" s="98">
        <v>7.072000000000001</v>
      </c>
    </row>
    <row r="54" spans="1:4" ht="15.75" customHeight="1" x14ac:dyDescent="0.25">
      <c r="B54" s="11" t="s">
        <v>33</v>
      </c>
      <c r="C54" s="98">
        <v>6.8900000000000006</v>
      </c>
    </row>
    <row r="55" spans="1:4" ht="15.75" customHeight="1" x14ac:dyDescent="0.25">
      <c r="B55" s="11" t="s">
        <v>34</v>
      </c>
      <c r="C55" s="98">
        <v>3.336666666666666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0.40586299999999997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wLQES891EeW9RWADSH6CQuEGR39WqmUtnyIS4xQ50fAfl5aPM0XwJHpPIrHXoNo551lUb6LOLFSj/7zVU8vkWg==" saltValue="z56wsf+hdQzpKjjJWwET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967695</v>
      </c>
      <c r="C2" s="49">
        <v>1371454.5</v>
      </c>
      <c r="D2" s="49">
        <v>1942986.9999999998</v>
      </c>
      <c r="E2" s="49">
        <v>1307359.5</v>
      </c>
      <c r="F2" s="49">
        <v>918365</v>
      </c>
      <c r="G2" s="17">
        <f t="shared" ref="G2:G13" si="0">C2+D2+E2+F2</f>
        <v>5540166</v>
      </c>
      <c r="H2" s="17">
        <f t="shared" ref="H2:H13" si="1">(B2 + stillbirth*B2/(1000-stillbirth))/(1-abortion)</f>
        <v>1125982.3789151437</v>
      </c>
      <c r="I2" s="17">
        <f t="shared" ref="I2:I13" si="2">G2-H2</f>
        <v>4414183.6210848559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987043</v>
      </c>
      <c r="C3" s="50">
        <v>1420039</v>
      </c>
      <c r="D3" s="50">
        <v>2025220.5</v>
      </c>
      <c r="E3" s="50">
        <v>1341044.5</v>
      </c>
      <c r="F3" s="50">
        <v>952585.49999999988</v>
      </c>
      <c r="G3" s="17">
        <f t="shared" si="0"/>
        <v>5738889.5</v>
      </c>
      <c r="H3" s="17">
        <f t="shared" si="1"/>
        <v>1148495.1614212538</v>
      </c>
      <c r="I3" s="17">
        <f t="shared" si="2"/>
        <v>4590394.3385787457</v>
      </c>
    </row>
    <row r="4" spans="1:9" ht="15.75" customHeight="1" x14ac:dyDescent="0.25">
      <c r="A4" s="5">
        <f t="shared" si="3"/>
        <v>2026</v>
      </c>
      <c r="B4" s="49">
        <v>1005407</v>
      </c>
      <c r="C4" s="50">
        <v>1468691.5</v>
      </c>
      <c r="D4" s="50">
        <v>2112341.5</v>
      </c>
      <c r="E4" s="50">
        <v>1375257.5000000002</v>
      </c>
      <c r="F4" s="50">
        <v>985893</v>
      </c>
      <c r="G4" s="17">
        <f t="shared" si="0"/>
        <v>5942183.5</v>
      </c>
      <c r="H4" s="17">
        <f t="shared" si="1"/>
        <v>1169862.9895141937</v>
      </c>
      <c r="I4" s="17">
        <f t="shared" si="2"/>
        <v>4772320.5104858065</v>
      </c>
    </row>
    <row r="5" spans="1:9" ht="15.75" customHeight="1" x14ac:dyDescent="0.25">
      <c r="A5" s="5">
        <f t="shared" si="3"/>
        <v>2027</v>
      </c>
      <c r="B5" s="49">
        <v>1024663</v>
      </c>
      <c r="C5" s="50">
        <v>1517378</v>
      </c>
      <c r="D5" s="50">
        <v>2201857.5</v>
      </c>
      <c r="E5" s="50">
        <v>1412424</v>
      </c>
      <c r="F5" s="50">
        <v>1018072</v>
      </c>
      <c r="G5" s="17">
        <f t="shared" si="0"/>
        <v>6149731.5</v>
      </c>
      <c r="H5" s="17">
        <f t="shared" si="1"/>
        <v>1192268.7234369589</v>
      </c>
      <c r="I5" s="17">
        <f t="shared" si="2"/>
        <v>4957462.7765630409</v>
      </c>
    </row>
    <row r="6" spans="1:9" ht="15.75" customHeight="1" x14ac:dyDescent="0.25">
      <c r="A6" s="5">
        <f t="shared" si="3"/>
        <v>2028</v>
      </c>
      <c r="B6" s="49">
        <v>1045172</v>
      </c>
      <c r="C6" s="50">
        <v>1564148.5</v>
      </c>
      <c r="D6" s="50">
        <v>2293091</v>
      </c>
      <c r="E6" s="50">
        <v>1453878.5</v>
      </c>
      <c r="F6" s="50">
        <v>1049143.5</v>
      </c>
      <c r="G6" s="17">
        <f t="shared" si="0"/>
        <v>6360261.5</v>
      </c>
      <c r="H6" s="17">
        <f t="shared" si="1"/>
        <v>1216132.4125220224</v>
      </c>
      <c r="I6" s="17">
        <f t="shared" si="2"/>
        <v>5144129.0874779774</v>
      </c>
    </row>
    <row r="7" spans="1:9" ht="15.75" customHeight="1" x14ac:dyDescent="0.25">
      <c r="A7" s="5">
        <f t="shared" si="3"/>
        <v>2029</v>
      </c>
      <c r="B7" s="49">
        <v>1065256</v>
      </c>
      <c r="C7" s="50">
        <v>1608317.5</v>
      </c>
      <c r="D7" s="50">
        <v>2384692</v>
      </c>
      <c r="E7" s="50">
        <v>1500731.0000000002</v>
      </c>
      <c r="F7" s="50">
        <v>1078764.9999999998</v>
      </c>
      <c r="G7" s="17">
        <f t="shared" si="0"/>
        <v>6572505.5</v>
      </c>
      <c r="H7" s="17">
        <f t="shared" si="1"/>
        <v>1239501.5836948936</v>
      </c>
      <c r="I7" s="17">
        <f t="shared" si="2"/>
        <v>5333003.9163051061</v>
      </c>
    </row>
    <row r="8" spans="1:9" ht="15.75" customHeight="1" x14ac:dyDescent="0.25">
      <c r="A8" s="5">
        <f t="shared" si="3"/>
        <v>2030</v>
      </c>
      <c r="B8" s="49">
        <v>1081148</v>
      </c>
      <c r="C8" s="50">
        <v>1650741</v>
      </c>
      <c r="D8" s="50">
        <v>2477322</v>
      </c>
      <c r="E8" s="50">
        <v>1553654</v>
      </c>
      <c r="F8" s="50">
        <v>1106489</v>
      </c>
      <c r="G8" s="17">
        <f t="shared" si="0"/>
        <v>6788206</v>
      </c>
      <c r="H8" s="17">
        <f t="shared" si="1"/>
        <v>1257993.0628962116</v>
      </c>
      <c r="I8" s="17">
        <f t="shared" si="2"/>
        <v>5530212.9371037884</v>
      </c>
    </row>
    <row r="9" spans="1:9" ht="15.75" customHeight="1" x14ac:dyDescent="0.25">
      <c r="A9" s="5">
        <f t="shared" si="3"/>
        <v>2031</v>
      </c>
      <c r="B9" s="49">
        <v>1100180</v>
      </c>
      <c r="C9" s="50">
        <v>1691731.5</v>
      </c>
      <c r="D9" s="50">
        <v>2571679.5</v>
      </c>
      <c r="E9" s="50">
        <v>1610947.5</v>
      </c>
      <c r="F9" s="50">
        <v>1134001.4999999998</v>
      </c>
      <c r="G9" s="17">
        <f t="shared" si="0"/>
        <v>7008360</v>
      </c>
      <c r="H9" s="17">
        <f t="shared" si="1"/>
        <v>1280138.1567899624</v>
      </c>
      <c r="I9" s="17">
        <f t="shared" si="2"/>
        <v>5728221.8432100378</v>
      </c>
    </row>
    <row r="10" spans="1:9" ht="15.75" customHeight="1" x14ac:dyDescent="0.25">
      <c r="A10" s="5">
        <f t="shared" si="3"/>
        <v>2032</v>
      </c>
      <c r="B10" s="49">
        <v>1116377</v>
      </c>
      <c r="C10" s="50">
        <v>1731936.5</v>
      </c>
      <c r="D10" s="50">
        <v>2666327.5000000005</v>
      </c>
      <c r="E10" s="50">
        <v>1672391.9999999998</v>
      </c>
      <c r="F10" s="50">
        <v>1162383.5</v>
      </c>
      <c r="G10" s="17">
        <f t="shared" si="0"/>
        <v>7233039.5</v>
      </c>
      <c r="H10" s="17">
        <f t="shared" si="1"/>
        <v>1298984.5253165008</v>
      </c>
      <c r="I10" s="17">
        <f t="shared" si="2"/>
        <v>5934054.974683499</v>
      </c>
    </row>
    <row r="11" spans="1:9" ht="15.75" customHeight="1" x14ac:dyDescent="0.25">
      <c r="A11" s="5">
        <f t="shared" si="3"/>
        <v>2033</v>
      </c>
      <c r="B11" s="49">
        <v>1134421</v>
      </c>
      <c r="C11" s="50">
        <v>1771259</v>
      </c>
      <c r="D11" s="50">
        <v>2758678</v>
      </c>
      <c r="E11" s="50">
        <v>1738804.5</v>
      </c>
      <c r="F11" s="50">
        <v>1191715.5</v>
      </c>
      <c r="G11" s="17">
        <f t="shared" si="0"/>
        <v>7460457</v>
      </c>
      <c r="H11" s="17">
        <f t="shared" si="1"/>
        <v>1319980.0105108491</v>
      </c>
      <c r="I11" s="17">
        <f t="shared" si="2"/>
        <v>6140476.9894891512</v>
      </c>
    </row>
    <row r="12" spans="1:9" ht="15.75" customHeight="1" x14ac:dyDescent="0.25">
      <c r="A12" s="5">
        <f t="shared" si="3"/>
        <v>2034</v>
      </c>
      <c r="B12" s="49">
        <v>1146652</v>
      </c>
      <c r="C12" s="50">
        <v>1805599.5</v>
      </c>
      <c r="D12" s="50">
        <v>2848144</v>
      </c>
      <c r="E12" s="50">
        <v>1810354.5</v>
      </c>
      <c r="F12" s="50">
        <v>1222629.5</v>
      </c>
      <c r="G12" s="17">
        <f t="shared" si="0"/>
        <v>7686727.5</v>
      </c>
      <c r="H12" s="17">
        <f t="shared" si="1"/>
        <v>1334211.6542379647</v>
      </c>
      <c r="I12" s="17">
        <f t="shared" si="2"/>
        <v>6352515.8457620349</v>
      </c>
    </row>
    <row r="13" spans="1:9" ht="15.75" customHeight="1" x14ac:dyDescent="0.25">
      <c r="A13" s="5">
        <f t="shared" si="3"/>
        <v>2035</v>
      </c>
      <c r="B13" s="49">
        <v>1156068</v>
      </c>
      <c r="C13" s="50">
        <v>1836647.5</v>
      </c>
      <c r="D13" s="50">
        <v>2936005</v>
      </c>
      <c r="E13" s="50">
        <v>1888125</v>
      </c>
      <c r="F13" s="50">
        <v>1254329</v>
      </c>
      <c r="G13" s="17">
        <f t="shared" si="0"/>
        <v>7915106.5</v>
      </c>
      <c r="H13" s="17">
        <f t="shared" si="1"/>
        <v>1345167.8440290298</v>
      </c>
      <c r="I13" s="17">
        <f t="shared" si="2"/>
        <v>6569938.6559709702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0t19dbzQlhv8z4sYqcERvkTQTNfYssM7f3I8tDnMBdVpfeo3MYakXdxDCz0rPyl/2ocUJNmbWc14tEyQYBcAw==" saltValue="juxuU027/hg4U0+jAFh5a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2.5390799999999981E-2</v>
      </c>
    </row>
    <row r="4" spans="1:8" ht="15.75" customHeight="1" x14ac:dyDescent="0.25">
      <c r="B4" s="19" t="s">
        <v>116</v>
      </c>
      <c r="C4" s="99">
        <v>6.3736599999999907E-2</v>
      </c>
    </row>
    <row r="5" spans="1:8" ht="15.75" customHeight="1" x14ac:dyDescent="0.25">
      <c r="B5" s="19" t="s">
        <v>114</v>
      </c>
      <c r="C5" s="99">
        <v>0.1035504000000001</v>
      </c>
    </row>
    <row r="6" spans="1:8" ht="15.75" customHeight="1" x14ac:dyDescent="0.25">
      <c r="B6" s="19" t="s">
        <v>110</v>
      </c>
      <c r="C6" s="99">
        <v>0.24952009999999991</v>
      </c>
    </row>
    <row r="7" spans="1:8" ht="15.75" customHeight="1" x14ac:dyDescent="0.25">
      <c r="B7" s="19" t="s">
        <v>115</v>
      </c>
      <c r="C7" s="99">
        <v>0.38443950000000021</v>
      </c>
    </row>
    <row r="8" spans="1:8" ht="15.75" customHeight="1" x14ac:dyDescent="0.25">
      <c r="B8" s="19" t="s">
        <v>117</v>
      </c>
      <c r="C8" s="99">
        <v>6.0205000000000067E-3</v>
      </c>
    </row>
    <row r="9" spans="1:8" ht="15.75" customHeight="1" x14ac:dyDescent="0.25">
      <c r="B9" s="19" t="s">
        <v>111</v>
      </c>
      <c r="C9" s="99">
        <v>5.4902399999999983E-2</v>
      </c>
    </row>
    <row r="10" spans="1:8" ht="15.75" customHeight="1" x14ac:dyDescent="0.25">
      <c r="B10" s="19" t="s">
        <v>113</v>
      </c>
      <c r="C10" s="99">
        <v>0.11243969999999991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121</v>
      </c>
      <c r="C15" s="99">
        <v>0.2947634005842989</v>
      </c>
      <c r="D15" s="99">
        <v>0.2947634005842989</v>
      </c>
      <c r="E15" s="99">
        <v>0.2947634005842989</v>
      </c>
      <c r="F15" s="99">
        <v>0.2947634005842989</v>
      </c>
    </row>
    <row r="16" spans="1:8" ht="15.75" customHeight="1" x14ac:dyDescent="0.25">
      <c r="B16" s="19" t="s">
        <v>2</v>
      </c>
      <c r="C16" s="99">
        <v>3.2142176249219757E-2</v>
      </c>
      <c r="D16" s="99">
        <v>3.2142176249219757E-2</v>
      </c>
      <c r="E16" s="99">
        <v>3.2142176249219757E-2</v>
      </c>
      <c r="F16" s="99">
        <v>3.2142176249219757E-2</v>
      </c>
    </row>
    <row r="17" spans="1:8" ht="15.75" customHeight="1" x14ac:dyDescent="0.25">
      <c r="B17" s="19" t="s">
        <v>109</v>
      </c>
      <c r="C17" s="99">
        <v>3.1880501168348979E-2</v>
      </c>
      <c r="D17" s="99">
        <v>3.1880501168348979E-2</v>
      </c>
      <c r="E17" s="99">
        <v>3.1880501168348979E-2</v>
      </c>
      <c r="F17" s="99">
        <v>3.1880501168348979E-2</v>
      </c>
    </row>
    <row r="18" spans="1:8" ht="15.75" customHeight="1" x14ac:dyDescent="0.25">
      <c r="B18" s="19" t="s">
        <v>3</v>
      </c>
      <c r="C18" s="99">
        <v>0.16534944985290101</v>
      </c>
      <c r="D18" s="99">
        <v>0.16534944985290101</v>
      </c>
      <c r="E18" s="99">
        <v>0.16534944985290101</v>
      </c>
      <c r="F18" s="99">
        <v>0.16534944985290101</v>
      </c>
    </row>
    <row r="19" spans="1:8" ht="15.75" customHeight="1" x14ac:dyDescent="0.25">
      <c r="B19" s="19" t="s">
        <v>120</v>
      </c>
      <c r="C19" s="99">
        <v>1.8349752001866389E-2</v>
      </c>
      <c r="D19" s="99">
        <v>1.8349752001866389E-2</v>
      </c>
      <c r="E19" s="99">
        <v>1.8349752001866389E-2</v>
      </c>
      <c r="F19" s="99">
        <v>1.8349752001866389E-2</v>
      </c>
    </row>
    <row r="20" spans="1:8" ht="15.75" customHeight="1" x14ac:dyDescent="0.25">
      <c r="B20" s="19" t="s">
        <v>98</v>
      </c>
      <c r="C20" s="99">
        <v>1.5672880574274729E-2</v>
      </c>
      <c r="D20" s="99">
        <v>1.5672880574274729E-2</v>
      </c>
      <c r="E20" s="99">
        <v>1.5672880574274729E-2</v>
      </c>
      <c r="F20" s="99">
        <v>1.5672880574274729E-2</v>
      </c>
    </row>
    <row r="21" spans="1:8" ht="15.75" customHeight="1" x14ac:dyDescent="0.25">
      <c r="B21" s="19" t="s">
        <v>107</v>
      </c>
      <c r="C21" s="99">
        <v>7.5533540386639578E-2</v>
      </c>
      <c r="D21" s="99">
        <v>7.5533540386639578E-2</v>
      </c>
      <c r="E21" s="99">
        <v>7.5533540386639578E-2</v>
      </c>
      <c r="F21" s="99">
        <v>7.5533540386639578E-2</v>
      </c>
    </row>
    <row r="22" spans="1:8" ht="15.75" customHeight="1" x14ac:dyDescent="0.25">
      <c r="B22" s="19" t="s">
        <v>118</v>
      </c>
      <c r="C22" s="99">
        <v>0.16886530396813459</v>
      </c>
      <c r="D22" s="99">
        <v>0.16886530396813459</v>
      </c>
      <c r="E22" s="99">
        <v>0.16886530396813459</v>
      </c>
      <c r="F22" s="99">
        <v>0.16886530396813459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8.8798472000000003E-2</v>
      </c>
    </row>
    <row r="27" spans="1:8" ht="15.75" customHeight="1" x14ac:dyDescent="0.25">
      <c r="B27" s="19" t="s">
        <v>108</v>
      </c>
      <c r="C27" s="99">
        <v>8.9405939999999996E-3</v>
      </c>
    </row>
    <row r="28" spans="1:8" ht="15.75" customHeight="1" x14ac:dyDescent="0.25">
      <c r="B28" s="19" t="s">
        <v>122</v>
      </c>
      <c r="C28" s="99">
        <v>0.15585153099999999</v>
      </c>
    </row>
    <row r="29" spans="1:8" ht="15.75" customHeight="1" x14ac:dyDescent="0.25">
      <c r="B29" s="19" t="s">
        <v>105</v>
      </c>
      <c r="C29" s="99">
        <v>0.170199079</v>
      </c>
    </row>
    <row r="30" spans="1:8" ht="15.75" customHeight="1" x14ac:dyDescent="0.25">
      <c r="B30" s="19" t="s">
        <v>4</v>
      </c>
      <c r="C30" s="99">
        <v>0.10628299300000001</v>
      </c>
    </row>
    <row r="31" spans="1:8" ht="15.75" customHeight="1" x14ac:dyDescent="0.25">
      <c r="B31" s="19" t="s">
        <v>99</v>
      </c>
      <c r="C31" s="99">
        <v>0.108972139</v>
      </c>
    </row>
    <row r="32" spans="1:8" ht="15.75" customHeight="1" x14ac:dyDescent="0.25">
      <c r="B32" s="19" t="s">
        <v>104</v>
      </c>
      <c r="C32" s="99">
        <v>1.8807035E-2</v>
      </c>
    </row>
    <row r="33" spans="2:3" ht="15.75" customHeight="1" x14ac:dyDescent="0.25">
      <c r="B33" s="19" t="s">
        <v>119</v>
      </c>
      <c r="C33" s="99">
        <v>8.4353397999999996E-2</v>
      </c>
    </row>
    <row r="34" spans="2:3" ht="15.75" customHeight="1" x14ac:dyDescent="0.25">
      <c r="B34" s="19" t="s">
        <v>106</v>
      </c>
      <c r="C34" s="99">
        <v>0.25779475800000001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lC72u4ROd36wAzt6iHLB2nHiB5rbMxuy4v5rqTLls4mjfaQuAGVm8EX9PqpBJXL+1VSj0pyVbzJFGQX+HcubdQ==" saltValue="eL7DEyMuQV4z1pUcd0Czr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129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125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126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138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3z8BLm6NBjmIDXXpmTrJmHlZRZ54Wjq5Uuv1PJJINDL/4FATJ39ftAC8MlPHMAAPWusCEdl4eQiSUhhtjgL2Q==" saltValue="gCGE5mY4s9OP3MDwFq+j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SyAY08oPOaVB5DhBHmJPtyM6qvO8HcRo9bu1Ykng3FqqeCp5cn7TD2HkoCkicfOiDcDwE3U3JCfm/D7/dZRtlA==" saltValue="dzWeTt5hjYG58IZ+SRkqK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A4UhJrJP5ohEIoidq3Mtq4Uh2QpLNRDOtVZ7wx2kg0b+JOMxn/nnHnzwEmLcl935zgFQtntIsWucEJEB+/eAA==" saltValue="bOWSiGt0EqN1l6dAxmtjI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833.29725509307104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0.38020000000000004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0.52363000000000004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2.2861690599383398E-2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90556.550409999996</v>
      </c>
      <c r="C22" s="107">
        <v>89299.466709999993</v>
      </c>
      <c r="D22" s="107">
        <v>88538.110260000001</v>
      </c>
      <c r="E22" s="107">
        <v>87946.478520000004</v>
      </c>
      <c r="F22" s="107">
        <v>87151.389460000006</v>
      </c>
      <c r="G22" s="107">
        <v>86151.818369999994</v>
      </c>
      <c r="H22" s="107">
        <v>84892.036080000005</v>
      </c>
      <c r="I22" s="107">
        <v>83253.688800000004</v>
      </c>
      <c r="J22" s="107">
        <v>81102.464080000005</v>
      </c>
      <c r="K22" s="107">
        <v>78306.822390000001</v>
      </c>
      <c r="L22" s="107">
        <v>74454.921520000004</v>
      </c>
      <c r="M22" s="107">
        <v>69357.25546</v>
      </c>
      <c r="N22" s="107">
        <v>62195.856039999999</v>
      </c>
      <c r="O22" s="107">
        <v>52987.173470000002</v>
      </c>
    </row>
  </sheetData>
  <sheetProtection algorithmName="SHA-512" hashValue="wWs9OWYeRU2O7Wp9Hfov8c/YE9CZyAiUn1I515reIgbD2aUdxGChVvWIyLzzHtJNB4zq7UeVhWefwPYFAIs+AQ==" saltValue="iFUzgPwyXNOF2YgYQJapr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Lay5FgGSrkxVPU58IDdFCVXvl2QvpC1lvVr/KbBLcvFdR0PeQZ53A+7okPIUtKS0K3xRNqcwOPLOdtCXmpvWQ==" saltValue="jn7lozoJwJ+ijuPP5f3Gc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hpIu4Ihplwi/J/WtdJi1kTLYdXhZsr/egc1oA55UVTCdKeqrI6wNnfk+cgB0VyLytuONDZSjUMOXqM9W7kiQQ==" saltValue="6nMHNPNURdgW+5n8tGkhY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6.4277828886844528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0.25711131554737809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0.28031230000000001</v>
      </c>
      <c r="C10" s="96">
        <v>0.95</v>
      </c>
      <c r="D10" s="56">
        <v>14.198977192068339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14.198977192068339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14.198977192068339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14.198977192068339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0.28031230000000001</v>
      </c>
      <c r="C14" s="96">
        <v>0.95</v>
      </c>
      <c r="D14" s="56">
        <v>14.198977192068339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14.198977192068339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0.7607335999999999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0.12279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0.17799999999999999</v>
      </c>
      <c r="C18" s="96">
        <v>0.95</v>
      </c>
      <c r="D18" s="56">
        <v>6.4277828886844528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0.34721740000000001</v>
      </c>
      <c r="C19" s="96">
        <v>0.95</v>
      </c>
      <c r="D19" s="56">
        <v>6.4278423769884219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6.4277828886844528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0.85079989999999994</v>
      </c>
      <c r="C23" s="96">
        <v>0.95</v>
      </c>
      <c r="D23" s="56">
        <v>4.6647271427629606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0.47779756487578001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0.28031230000000001</v>
      </c>
      <c r="C26" s="96">
        <v>0.95</v>
      </c>
      <c r="D26" s="56">
        <v>1.2598454461821527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21.89376196990424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0.21443380000000001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0.2174344</v>
      </c>
      <c r="C29" s="96">
        <v>0.95</v>
      </c>
      <c r="D29" s="56">
        <v>204.3668205339699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62.971272229822162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0.41820000000000002</v>
      </c>
      <c r="C31" s="96">
        <v>0.95</v>
      </c>
      <c r="D31" s="56">
        <v>173.97437166513339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0.76</v>
      </c>
      <c r="C32" s="96">
        <v>0.95</v>
      </c>
      <c r="D32" s="56">
        <v>0.47565593376264947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0.173008689916163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0.64071500000000003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4.764E-3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0.52630830000000006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0.15360070000000001</v>
      </c>
      <c r="C38" s="96">
        <v>0.95</v>
      </c>
      <c r="D38" s="56">
        <v>1.1055786568537258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sq5yMqLMxiOmpoTQLgplmE0xfX6rN4IlE5YRbq2EYhAYbevIW358tJBMvY0tcT/PQzebB6i7NatbI8kv3+m+9w==" saltValue="Oy2C9DGKXWIyOil0f2WN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Warfz63ybY2QORQLchoMaffCgonGgWqgPuRyvYXSefwpSrPrwnafQKYDsbqSGaM4eoXni6a9xIjXwj9sys9mg==" saltValue="SBMMqmHbKl4/AHtKl4Pb1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GnIKC4gDLsm1pkedLmrpcIXEH31VPTn/ytyBgiWLm+/DKLW9pK6PsNVj0jT4FwgS5WlXai3jOXIKLwnwCznPg==" saltValue="lEFjjcZA7rGqDKgeZwGY8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3.0939999999999999</v>
      </c>
      <c r="C2" s="21">
        <f>'Entradas de población-año base'!C52</f>
        <v>3.0939999999999999</v>
      </c>
      <c r="D2" s="21">
        <f>'Entradas de población-año base'!C53</f>
        <v>7.072000000000001</v>
      </c>
      <c r="E2" s="21">
        <f>'Entradas de población-año base'!C54</f>
        <v>6.8900000000000006</v>
      </c>
      <c r="F2" s="21">
        <f>'Entradas de población-año base'!C55</f>
        <v>3.336666666666666</v>
      </c>
    </row>
    <row r="3" spans="1:6" ht="15.75" customHeight="1" x14ac:dyDescent="0.25">
      <c r="A3" s="3" t="s">
        <v>6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236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/tA8stPPAcp+KEaoQIt3+aD1kvp4f2NXY9x0FNYSkyvm0J0Brxw52kRLh8+rT8CP0S066Wh6yonG5zqPcZA+Zg==" saltValue="iF/FwwLRHPSCAZpKZurB/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0.25900000000000001</v>
      </c>
      <c r="F2" s="60">
        <f>food_insecure</f>
        <v>0.25900000000000001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0.25900000000000001</v>
      </c>
      <c r="F5" s="60">
        <f>food_insecure</f>
        <v>0.25900000000000001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6.7505454545454549E-2</v>
      </c>
      <c r="D7" s="60">
        <f>diarrhoea_1_5mo*frac_diarrhea_severe</f>
        <v>6.7505454545454549E-2</v>
      </c>
      <c r="E7" s="60">
        <f>diarrhoea_6_11mo*frac_diarrhea_severe</f>
        <v>0.15429818181818186</v>
      </c>
      <c r="F7" s="60">
        <f>diarrhoea_12_23mo*frac_diarrhea_severe</f>
        <v>0.15032727272727275</v>
      </c>
      <c r="G7" s="60">
        <f>diarrhoea_24_59mo*frac_diarrhea_severe</f>
        <v>7.279999999999999E-2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0.25900000000000001</v>
      </c>
      <c r="F8" s="60">
        <f>food_insecure</f>
        <v>0.25900000000000001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0.25900000000000001</v>
      </c>
      <c r="F9" s="60">
        <f>food_insecure</f>
        <v>0.25900000000000001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6.7505454545454549E-2</v>
      </c>
      <c r="D12" s="60">
        <f>diarrhoea_1_5mo*frac_diarrhea_severe</f>
        <v>6.7505454545454549E-2</v>
      </c>
      <c r="E12" s="60">
        <f>diarrhoea_6_11mo*frac_diarrhea_severe</f>
        <v>0.15429818181818186</v>
      </c>
      <c r="F12" s="60">
        <f>diarrhoea_12_23mo*frac_diarrhea_severe</f>
        <v>0.15032727272727275</v>
      </c>
      <c r="G12" s="60">
        <f>diarrhoea_24_59mo*frac_diarrhea_severe</f>
        <v>7.279999999999999E-2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0.25900000000000001</v>
      </c>
      <c r="I15" s="60">
        <f t="shared" si="0"/>
        <v>0.25900000000000001</v>
      </c>
      <c r="J15" s="60">
        <f t="shared" si="0"/>
        <v>0.25900000000000001</v>
      </c>
      <c r="K15" s="60">
        <f t="shared" si="0"/>
        <v>0.25900000000000001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0.25900000000000001</v>
      </c>
      <c r="I16" s="60">
        <f t="shared" si="0"/>
        <v>0.25900000000000001</v>
      </c>
      <c r="J16" s="60">
        <f t="shared" si="0"/>
        <v>0.25900000000000001</v>
      </c>
      <c r="K16" s="60">
        <f t="shared" si="0"/>
        <v>0.25900000000000001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0.38193956000199997</v>
      </c>
      <c r="M25" s="60">
        <f>(1-food_insecure)*(0.49)+food_insecure*(0.7)</f>
        <v>0.54438999999999993</v>
      </c>
      <c r="N25" s="60">
        <f>(1-food_insecure)*(0.49)+food_insecure*(0.7)</f>
        <v>0.54438999999999993</v>
      </c>
      <c r="O25" s="60">
        <f>(1-food_insecure)*(0.49)+food_insecure*(0.7)</f>
        <v>0.54438999999999993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0.163688382858</v>
      </c>
      <c r="M26" s="60">
        <f>(1-food_insecure)*(0.21)+food_insecure*(0.3)</f>
        <v>0.23331000000000002</v>
      </c>
      <c r="N26" s="60">
        <f>(1-food_insecure)*(0.21)+food_insecure*(0.3)</f>
        <v>0.23331000000000002</v>
      </c>
      <c r="O26" s="60">
        <f>(1-food_insecure)*(0.21)+food_insecure*(0.3)</f>
        <v>0.23331000000000002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0.15596385714</v>
      </c>
      <c r="M27" s="60">
        <f>(1-food_insecure)*(0.3)</f>
        <v>0.2223</v>
      </c>
      <c r="N27" s="60">
        <f>(1-food_insecure)*(0.3)</f>
        <v>0.2223</v>
      </c>
      <c r="O27" s="60">
        <f>(1-food_insecure)*(0.3)</f>
        <v>0.2223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0.29840820000000001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38xMokYTxXwC0WHmjeI3UQ4q6mHfPXGMjqsN6tfKvcR4AKqkdM5JtWdL2IvZqGNIq81MqIidqWbuX7HZtyRYw==" saltValue="Skj//0jElQMZgvJLz3sbR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JdIAuD01M7M7gV326Z6TvPsz4P7yHUsqFxtza1XJMewN5e7r6NFHOxIHU4pC26hlRPzlnAFimn+NTzOKEYqlhQ==" saltValue="Qs0VbFyzxKMUqgVD8+Ess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CQIDVBrIllborTYtCPLcNyzUxXwujokcTO7JpMEHl0eJpBntjnNFYeYP8w8e9Tk/qVN03PvGR9G4WJKEaQZew==" saltValue="IDAqWHvZP+tPbbAtY3GIj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qM4NPWJ03sksC9j5DKxOZF9/IF9vMm0iUXZ4hdgLLZA6FFCFrUnKH2Ox+UGYshY69jnItb5+qkgoJ0roHuvbQ==" saltValue="CWpkkdUxYRyyZ5kRl3vem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wG4ILNppmjwptppeeXiClsYcJyTbeCxMqBlbYZXTIyoc+Kaw8gR28yuivXEsOiKHWar4vW72VY4Uj2e89vgOQA==" saltValue="tPJzSehwg5tjkv9fkO+ki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Bpkp0m+HC7lxJbANmQ0htqh4qSJZmbvvoRI3bWUIiy7PCVdXbm1LNJXTO57G0bKNiq/joO5k8UNaJ1F5J6iK8Q==" saltValue="l9dx6b9PPaog3lVvoqwc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x4GSqJYhxtWWdCbm6T+WSniGxVVu20G2ZWWh+cLxjkf6l+Wo1t8ufWCk/+fDfT5Guz+RV7e4VVCTdbwuEyFqA==" saltValue="sQZtwahkBovlzHYd1SBuT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qErbJNAHRzd/ugDJm01bz6xLys4CKneyggmqfVaBKApwzO4SPUHULTWpcA3lodGRYsJ7UTse73iLXRPD88HBkw==" saltValue="ZLvm7KjT4JDShAUf99Wq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5bt6C26S5dXUcxW5wGiZU55XXpJHC1XJmugV6AA+8JBkTJr0AhzTHVu3hIzgAqIOca1Qy1Bfyh09zN8KIZWgWQ==" saltValue="mcgPGpdEdsoOByx7FjVt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GYt2dOTpxJS/KfhvsCt3NQxNwlNC5DTtJdpKHLOmKlmN0WLiO0Ff83iCqHGL0Gt1o2I8wj/No0YS+U9cCGOkQ==" saltValue="oB75Tr9b0cyQEprEa4jv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RFaKZPYdwvOKIKUMBKptN9R5A4VD7qmVRcmpTy3PCSNK6KXllAkC0bffZ4VxMcjxHIOkxYYf1P/htfg8Tjv9w==" saltValue="bDZJEV6XXnhjRTLHAley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wcXf1IZahWRNHNmXleekwKUENwMX3QWNHl3vfPtNR7flANnqeJolneOYrFzVkOORXzNLMbwcFhX4z0gl4A4sA==" saltValue="YCI3h5Zs6DqazkFiwalF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Sps9kYLU+F7gpcZkRdLItAiJYGA0F2OwRzSlqhsxVGFgx3TS752T3Ak41g7uTMzPU2oVjRYjgGOL7NTn3qmgg==" saltValue="q0IEhefsbjm66yXJdPWI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+B6tzE6N0Qa9DiH4nEuYygJno7CFuJXZ7S2uI4wwnLuytOHIBi/aDXkJwBkAJo4cghsytWWuxf6KydcOj6Ibow==" saltValue="SEHJXmovdHOXrro825Cu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xpsinqZgHdExVROo2/S9oVOawY25EnMFguKwqQiEJKV3z0doNNyHQV3IULP92Tq1WAJClFSv5qFf5Y6yBff20A==" saltValue="GpbVzUtIEbrlPrh32e6ro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2026-04-29T02:58:06Z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