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3D877A5C-2B57-49FC-A2F9-207686B4E559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I13" i="2" s="1"/>
  <c r="H12" i="2"/>
  <c r="G12" i="2"/>
  <c r="I12" i="2" s="1"/>
  <c r="H11" i="2"/>
  <c r="G11" i="2"/>
  <c r="I11" i="2" s="1"/>
  <c r="H10" i="2"/>
  <c r="G10" i="2"/>
  <c r="H9" i="2"/>
  <c r="G9" i="2"/>
  <c r="I9" i="2" s="1"/>
  <c r="H8" i="2"/>
  <c r="G8" i="2"/>
  <c r="I8" i="2" s="1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A26" i="2" l="1"/>
  <c r="I39" i="2"/>
  <c r="A31" i="2"/>
  <c r="A34" i="2"/>
  <c r="A40" i="2"/>
  <c r="I2" i="2"/>
  <c r="I6" i="2"/>
  <c r="A19" i="2"/>
  <c r="A35" i="2"/>
  <c r="A22" i="2"/>
  <c r="A36" i="2"/>
  <c r="I3" i="2"/>
  <c r="I7" i="2"/>
  <c r="A23" i="2"/>
  <c r="A37" i="2"/>
  <c r="A24" i="2"/>
  <c r="I38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<sst xmlns="http://schemas.openxmlformats.org/spreadsheetml/2006/main" count="2169" uniqueCount="373">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</sst>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4248418</v>
      </c>
    </row>
    <row r="8" spans="1:3" ht="15" customHeight="1" x14ac:dyDescent="0.25">
      <c r="B8" s="5" t="s">
        <v>63</v>
      </c>
      <c r="C8" s="44">
        <v>0.25900000000000001</v>
      </c>
    </row>
    <row r="9" spans="1:3" ht="15" customHeight="1" x14ac:dyDescent="0.25">
      <c r="B9" s="5" t="s">
        <v>62</v>
      </c>
      <c r="C9" s="45">
        <v>0.9</v>
      </c>
    </row>
    <row r="10" spans="1:3" ht="15" customHeight="1" x14ac:dyDescent="0.25">
      <c r="B10" s="5" t="s">
        <v>75</v>
      </c>
      <c r="C10" s="45">
        <v>0.29840820000000001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0.54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0.14249999999999999</v>
      </c>
    </row>
    <row r="24" spans="1:3" ht="15" customHeight="1" x14ac:dyDescent="0.25">
      <c r="B24" s="15" t="s">
        <v>65</v>
      </c>
      <c r="C24" s="45">
        <v>0.43409999999999999</v>
      </c>
    </row>
    <row r="25" spans="1:3" ht="15" customHeight="1" x14ac:dyDescent="0.25">
      <c r="B25" s="15" t="s">
        <v>66</v>
      </c>
      <c r="C25" s="45">
        <v>0.32079999999999997</v>
      </c>
    </row>
    <row r="26" spans="1:3" ht="15" customHeight="1" x14ac:dyDescent="0.25">
      <c r="B26" s="15" t="s">
        <v>67</v>
      </c>
      <c r="C26" s="45">
        <v>0.1026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0.18152033947509999</v>
      </c>
    </row>
    <row r="30" spans="1:3" ht="14.25" customHeight="1" x14ac:dyDescent="0.25">
      <c r="B30" s="25" t="s">
        <v>82</v>
      </c>
      <c r="C30" s="97">
        <v>6.3697307314517504E-2</v>
      </c>
    </row>
    <row r="31" spans="1:3" ht="14.25" customHeight="1" x14ac:dyDescent="0.25">
      <c r="B31" s="25" t="s">
        <v>29</v>
      </c>
      <c r="C31" s="97">
        <v>0.122289508790448</v>
      </c>
    </row>
    <row r="32" spans="1:3" ht="14.25" customHeight="1" x14ac:dyDescent="0.25">
      <c r="B32" s="25" t="s">
        <v>30</v>
      </c>
      <c r="C32" s="97">
        <v>0.63249284441993503</v>
      </c>
    </row>
    <row r="33" spans="1:5" ht="13.25" customHeight="1" x14ac:dyDescent="0.25">
      <c r="B33" s="27" t="s">
        <v>79</v>
      </c>
      <c r="C33" s="48">
        <f>SUM(C29:C32)</f>
        <v>1.0000000000000004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33.42812</v>
      </c>
    </row>
    <row r="38" spans="1:5" ht="15" customHeight="1" x14ac:dyDescent="0.25">
      <c r="B38" s="11" t="s">
        <v>54</v>
      </c>
      <c r="C38" s="43">
        <v>61.631399999999999</v>
      </c>
      <c r="D38" s="12"/>
      <c r="E38" s="13"/>
    </row>
    <row r="39" spans="1:5" ht="15" customHeight="1" x14ac:dyDescent="0.25">
      <c r="B39" s="11" t="s">
        <v>80</v>
      </c>
      <c r="C39" s="43">
        <v>97.066919999999996</v>
      </c>
      <c r="D39" s="12"/>
      <c r="E39" s="12"/>
    </row>
    <row r="40" spans="1:5" ht="15" customHeight="1" x14ac:dyDescent="0.25">
      <c r="B40" s="11" t="s">
        <v>55</v>
      </c>
      <c r="C40" s="98">
        <v>4.4000000000000004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23.383109999999999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5.2124000000000007E-3</v>
      </c>
      <c r="D45" s="12"/>
    </row>
    <row r="46" spans="1:5" ht="15.75" customHeight="1" x14ac:dyDescent="0.25">
      <c r="B46" s="11" t="s">
        <v>70</v>
      </c>
      <c r="C46" s="45">
        <v>5.6006399999999998E-2</v>
      </c>
      <c r="D46" s="12"/>
    </row>
    <row r="47" spans="1:5" ht="15.75" customHeight="1" x14ac:dyDescent="0.25">
      <c r="B47" s="11" t="s">
        <v>78</v>
      </c>
      <c r="C47" s="45">
        <v>7.6044899999999999E-2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3.0939999999999999</v>
      </c>
      <c r="D51" s="12"/>
    </row>
    <row r="52" spans="1:4" ht="15" customHeight="1" x14ac:dyDescent="0.25">
      <c r="B52" s="11" t="s">
        <v>32</v>
      </c>
      <c r="C52" s="98">
        <v>3.0939999999999999</v>
      </c>
    </row>
    <row r="53" spans="1:4" ht="15.75" customHeight="1" x14ac:dyDescent="0.25">
      <c r="B53" s="11" t="s">
        <v>35</v>
      </c>
      <c r="C53" s="98">
        <v>7.072000000000001</v>
      </c>
    </row>
    <row r="54" spans="1:4" ht="15.75" customHeight="1" x14ac:dyDescent="0.25">
      <c r="B54" s="11" t="s">
        <v>33</v>
      </c>
      <c r="C54" s="98">
        <v>6.8900000000000006</v>
      </c>
    </row>
    <row r="55" spans="1:4" ht="15.75" customHeight="1" x14ac:dyDescent="0.25">
      <c r="B55" s="11" t="s">
        <v>34</v>
      </c>
      <c r="C55" s="98">
        <v>3.336666666666666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2.181818181818182E-2</v>
      </c>
    </row>
    <row r="59" spans="1:4" ht="15.75" customHeight="1" x14ac:dyDescent="0.25">
      <c r="B59" s="11" t="s">
        <v>59</v>
      </c>
      <c r="C59" s="45">
        <v>0.40586299999999997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Y+VbyMMZ34Qslj5iWhG31LpMpIOw6cwoFMMnkulQ7hUTqPH31pVH23sBS5lKfVSSa6CuQmkt5q+HIJA54IwjYQ==" saltValue="FJ22lL8JvAO+1o53/yemR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967695</v>
      </c>
      <c r="C2" s="49">
        <v>1371454.5</v>
      </c>
      <c r="D2" s="49">
        <v>1942986.9999999998</v>
      </c>
      <c r="E2" s="49">
        <v>1307359.5</v>
      </c>
      <c r="F2" s="49">
        <v>918365</v>
      </c>
      <c r="G2" s="17">
        <f t="shared" ref="G2:G13" si="0">C2+D2+E2+F2</f>
        <v>5540166</v>
      </c>
      <c r="H2" s="17">
        <f t="shared" ref="H2:H13" si="1">(B2 + stillbirth*B2/(1000-stillbirth))/(1-abortion)</f>
        <v>1125982.3789151437</v>
      </c>
      <c r="I2" s="17">
        <f t="shared" ref="I2:I13" si="2">G2-H2</f>
        <v>4414183.6210848559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987043</v>
      </c>
      <c r="C3" s="50">
        <v>1420039</v>
      </c>
      <c r="D3" s="50">
        <v>2025220.5</v>
      </c>
      <c r="E3" s="50">
        <v>1341044.5</v>
      </c>
      <c r="F3" s="50">
        <v>952585.49999999988</v>
      </c>
      <c r="G3" s="17">
        <f t="shared" si="0"/>
        <v>5738889.5</v>
      </c>
      <c r="H3" s="17">
        <f t="shared" si="1"/>
        <v>1148495.1614212538</v>
      </c>
      <c r="I3" s="17">
        <f t="shared" si="2"/>
        <v>4590394.3385787457</v>
      </c>
    </row>
    <row r="4" spans="1:9" ht="15.75" customHeight="1" x14ac:dyDescent="0.25">
      <c r="A4" s="5">
        <f t="shared" si="3"/>
        <v>2026</v>
      </c>
      <c r="B4" s="49">
        <v>1005407</v>
      </c>
      <c r="C4" s="50">
        <v>1468691.5</v>
      </c>
      <c r="D4" s="50">
        <v>2112341.5</v>
      </c>
      <c r="E4" s="50">
        <v>1375257.5000000002</v>
      </c>
      <c r="F4" s="50">
        <v>985893</v>
      </c>
      <c r="G4" s="17">
        <f t="shared" si="0"/>
        <v>5942183.5</v>
      </c>
      <c r="H4" s="17">
        <f t="shared" si="1"/>
        <v>1169862.9895141937</v>
      </c>
      <c r="I4" s="17">
        <f t="shared" si="2"/>
        <v>4772320.5104858065</v>
      </c>
    </row>
    <row r="5" spans="1:9" ht="15.75" customHeight="1" x14ac:dyDescent="0.25">
      <c r="A5" s="5">
        <f t="shared" si="3"/>
        <v>2027</v>
      </c>
      <c r="B5" s="49">
        <v>1024663</v>
      </c>
      <c r="C5" s="50">
        <v>1517378</v>
      </c>
      <c r="D5" s="50">
        <v>2201857.5</v>
      </c>
      <c r="E5" s="50">
        <v>1412424</v>
      </c>
      <c r="F5" s="50">
        <v>1018072</v>
      </c>
      <c r="G5" s="17">
        <f t="shared" si="0"/>
        <v>6149731.5</v>
      </c>
      <c r="H5" s="17">
        <f t="shared" si="1"/>
        <v>1192268.7234369589</v>
      </c>
      <c r="I5" s="17">
        <f t="shared" si="2"/>
        <v>4957462.7765630409</v>
      </c>
    </row>
    <row r="6" spans="1:9" ht="15.75" customHeight="1" x14ac:dyDescent="0.25">
      <c r="A6" s="5">
        <f t="shared" si="3"/>
        <v>2028</v>
      </c>
      <c r="B6" s="49">
        <v>1045172</v>
      </c>
      <c r="C6" s="50">
        <v>1564148.5</v>
      </c>
      <c r="D6" s="50">
        <v>2293091</v>
      </c>
      <c r="E6" s="50">
        <v>1453878.5</v>
      </c>
      <c r="F6" s="50">
        <v>1049143.5</v>
      </c>
      <c r="G6" s="17">
        <f t="shared" si="0"/>
        <v>6360261.5</v>
      </c>
      <c r="H6" s="17">
        <f t="shared" si="1"/>
        <v>1216132.4125220224</v>
      </c>
      <c r="I6" s="17">
        <f t="shared" si="2"/>
        <v>5144129.0874779774</v>
      </c>
    </row>
    <row r="7" spans="1:9" ht="15.75" customHeight="1" x14ac:dyDescent="0.25">
      <c r="A7" s="5">
        <f t="shared" si="3"/>
        <v>2029</v>
      </c>
      <c r="B7" s="49">
        <v>1065256</v>
      </c>
      <c r="C7" s="50">
        <v>1608317.5</v>
      </c>
      <c r="D7" s="50">
        <v>2384692</v>
      </c>
      <c r="E7" s="50">
        <v>1500731.0000000002</v>
      </c>
      <c r="F7" s="50">
        <v>1078764.9999999998</v>
      </c>
      <c r="G7" s="17">
        <f t="shared" si="0"/>
        <v>6572505.5</v>
      </c>
      <c r="H7" s="17">
        <f t="shared" si="1"/>
        <v>1239501.5836948936</v>
      </c>
      <c r="I7" s="17">
        <f t="shared" si="2"/>
        <v>5333003.9163051061</v>
      </c>
    </row>
    <row r="8" spans="1:9" ht="15.75" customHeight="1" x14ac:dyDescent="0.25">
      <c r="A8" s="5">
        <f t="shared" si="3"/>
        <v>2030</v>
      </c>
      <c r="B8" s="49">
        <v>1081148</v>
      </c>
      <c r="C8" s="50">
        <v>1650741</v>
      </c>
      <c r="D8" s="50">
        <v>2477322</v>
      </c>
      <c r="E8" s="50">
        <v>1553654</v>
      </c>
      <c r="F8" s="50">
        <v>1106489</v>
      </c>
      <c r="G8" s="17">
        <f t="shared" si="0"/>
        <v>6788206</v>
      </c>
      <c r="H8" s="17">
        <f t="shared" si="1"/>
        <v>1257993.0628962116</v>
      </c>
      <c r="I8" s="17">
        <f t="shared" si="2"/>
        <v>5530212.9371037884</v>
      </c>
    </row>
    <row r="9" spans="1:9" ht="15.75" customHeight="1" x14ac:dyDescent="0.25">
      <c r="A9" s="5">
        <f t="shared" si="3"/>
        <v>2031</v>
      </c>
      <c r="B9" s="49">
        <v>1100180</v>
      </c>
      <c r="C9" s="50">
        <v>1691731.5</v>
      </c>
      <c r="D9" s="50">
        <v>2571679.5</v>
      </c>
      <c r="E9" s="50">
        <v>1610947.5</v>
      </c>
      <c r="F9" s="50">
        <v>1134001.4999999998</v>
      </c>
      <c r="G9" s="17">
        <f t="shared" si="0"/>
        <v>7008360</v>
      </c>
      <c r="H9" s="17">
        <f t="shared" si="1"/>
        <v>1280138.1567899624</v>
      </c>
      <c r="I9" s="17">
        <f t="shared" si="2"/>
        <v>5728221.8432100378</v>
      </c>
    </row>
    <row r="10" spans="1:9" ht="15.75" customHeight="1" x14ac:dyDescent="0.25">
      <c r="A10" s="5">
        <f t="shared" si="3"/>
        <v>2032</v>
      </c>
      <c r="B10" s="49">
        <v>1116377</v>
      </c>
      <c r="C10" s="50">
        <v>1731936.5</v>
      </c>
      <c r="D10" s="50">
        <v>2666327.5000000005</v>
      </c>
      <c r="E10" s="50">
        <v>1672391.9999999998</v>
      </c>
      <c r="F10" s="50">
        <v>1162383.5</v>
      </c>
      <c r="G10" s="17">
        <f t="shared" si="0"/>
        <v>7233039.5</v>
      </c>
      <c r="H10" s="17">
        <f t="shared" si="1"/>
        <v>1298984.5253165008</v>
      </c>
      <c r="I10" s="17">
        <f t="shared" si="2"/>
        <v>5934054.974683499</v>
      </c>
    </row>
    <row r="11" spans="1:9" ht="15.75" customHeight="1" x14ac:dyDescent="0.25">
      <c r="A11" s="5">
        <f t="shared" si="3"/>
        <v>2033</v>
      </c>
      <c r="B11" s="49">
        <v>1134421</v>
      </c>
      <c r="C11" s="50">
        <v>1771259</v>
      </c>
      <c r="D11" s="50">
        <v>2758678</v>
      </c>
      <c r="E11" s="50">
        <v>1738804.5</v>
      </c>
      <c r="F11" s="50">
        <v>1191715.5</v>
      </c>
      <c r="G11" s="17">
        <f t="shared" si="0"/>
        <v>7460457</v>
      </c>
      <c r="H11" s="17">
        <f t="shared" si="1"/>
        <v>1319980.0105108491</v>
      </c>
      <c r="I11" s="17">
        <f t="shared" si="2"/>
        <v>6140476.9894891512</v>
      </c>
    </row>
    <row r="12" spans="1:9" ht="15.75" customHeight="1" x14ac:dyDescent="0.25">
      <c r="A12" s="5">
        <f t="shared" si="3"/>
        <v>2034</v>
      </c>
      <c r="B12" s="49">
        <v>1146652</v>
      </c>
      <c r="C12" s="50">
        <v>1805599.5</v>
      </c>
      <c r="D12" s="50">
        <v>2848144</v>
      </c>
      <c r="E12" s="50">
        <v>1810354.5</v>
      </c>
      <c r="F12" s="50">
        <v>1222629.5</v>
      </c>
      <c r="G12" s="17">
        <f t="shared" si="0"/>
        <v>7686727.5</v>
      </c>
      <c r="H12" s="17">
        <f t="shared" si="1"/>
        <v>1334211.6542379647</v>
      </c>
      <c r="I12" s="17">
        <f t="shared" si="2"/>
        <v>6352515.8457620349</v>
      </c>
    </row>
    <row r="13" spans="1:9" ht="15.75" customHeight="1" x14ac:dyDescent="0.25">
      <c r="A13" s="5">
        <f t="shared" si="3"/>
        <v>2035</v>
      </c>
      <c r="B13" s="49">
        <v>1156068</v>
      </c>
      <c r="C13" s="50">
        <v>1836647.5</v>
      </c>
      <c r="D13" s="50">
        <v>2936005</v>
      </c>
      <c r="E13" s="50">
        <v>1888125</v>
      </c>
      <c r="F13" s="50">
        <v>1254329</v>
      </c>
      <c r="G13" s="17">
        <f t="shared" si="0"/>
        <v>7915106.5</v>
      </c>
      <c r="H13" s="17">
        <f t="shared" si="1"/>
        <v>1345167.8440290298</v>
      </c>
      <c r="I13" s="17">
        <f t="shared" si="2"/>
        <v>6569938.6559709702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RQlTsQOgjlFA+WUaDZNrC85aXXQ9J3nkbVit5mezhOeCYInAYNfToDM57sRN5EPc0/J1UROwlTF9zjVCHFd/6w==" saltValue="V5wLiimkO9cUcBSOyqR7Q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2.5390799999999981E-2</v>
      </c>
    </row>
    <row r="4" spans="1:8" ht="15.75" customHeight="1" x14ac:dyDescent="0.25">
      <c r="B4" s="19" t="s">
        <v>116</v>
      </c>
      <c r="C4" s="99">
        <v>6.3736599999999907E-2</v>
      </c>
    </row>
    <row r="5" spans="1:8" ht="15.75" customHeight="1" x14ac:dyDescent="0.25">
      <c r="B5" s="19" t="s">
        <v>114</v>
      </c>
      <c r="C5" s="99">
        <v>0.1035504000000001</v>
      </c>
    </row>
    <row r="6" spans="1:8" ht="15.75" customHeight="1" x14ac:dyDescent="0.25">
      <c r="B6" s="19" t="s">
        <v>110</v>
      </c>
      <c r="C6" s="99">
        <v>0.24952009999999991</v>
      </c>
    </row>
    <row r="7" spans="1:8" ht="15.75" customHeight="1" x14ac:dyDescent="0.25">
      <c r="B7" s="19" t="s">
        <v>115</v>
      </c>
      <c r="C7" s="99">
        <v>0.38443950000000021</v>
      </c>
    </row>
    <row r="8" spans="1:8" ht="15.75" customHeight="1" x14ac:dyDescent="0.25">
      <c r="B8" s="19" t="s">
        <v>117</v>
      </c>
      <c r="C8" s="99">
        <v>6.0205000000000067E-3</v>
      </c>
    </row>
    <row r="9" spans="1:8" ht="15.75" customHeight="1" x14ac:dyDescent="0.25">
      <c r="B9" s="19" t="s">
        <v>111</v>
      </c>
      <c r="C9" s="99">
        <v>5.4902399999999983E-2</v>
      </c>
    </row>
    <row r="10" spans="1:8" ht="15.75" customHeight="1" x14ac:dyDescent="0.25">
      <c r="B10" s="19" t="s">
        <v>113</v>
      </c>
      <c r="C10" s="99">
        <v>0.11243969999999991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0.1974429952143161</v>
      </c>
      <c r="D14" s="55">
        <v>0.1974429952143161</v>
      </c>
      <c r="E14" s="55">
        <v>0.1974429952143161</v>
      </c>
      <c r="F14" s="55">
        <v>0.1974429952143161</v>
      </c>
    </row>
    <row r="15" spans="1:8" ht="15.75" customHeight="1" x14ac:dyDescent="0.25">
      <c r="B15" s="19" t="s">
        <v>121</v>
      </c>
      <c r="C15" s="99">
        <v>0.2947634005842989</v>
      </c>
      <c r="D15" s="99">
        <v>0.2947634005842989</v>
      </c>
      <c r="E15" s="99">
        <v>0.2947634005842989</v>
      </c>
      <c r="F15" s="99">
        <v>0.2947634005842989</v>
      </c>
    </row>
    <row r="16" spans="1:8" ht="15.75" customHeight="1" x14ac:dyDescent="0.25">
      <c r="B16" s="19" t="s">
        <v>2</v>
      </c>
      <c r="C16" s="99">
        <v>3.2142176249219757E-2</v>
      </c>
      <c r="D16" s="99">
        <v>3.2142176249219757E-2</v>
      </c>
      <c r="E16" s="99">
        <v>3.2142176249219757E-2</v>
      </c>
      <c r="F16" s="99">
        <v>3.2142176249219757E-2</v>
      </c>
    </row>
    <row r="17" spans="1:8" ht="15.75" customHeight="1" x14ac:dyDescent="0.25">
      <c r="B17" s="19" t="s">
        <v>109</v>
      </c>
      <c r="C17" s="99">
        <v>3.1880501168348979E-2</v>
      </c>
      <c r="D17" s="99">
        <v>3.1880501168348979E-2</v>
      </c>
      <c r="E17" s="99">
        <v>3.1880501168348979E-2</v>
      </c>
      <c r="F17" s="99">
        <v>3.1880501168348979E-2</v>
      </c>
    </row>
    <row r="18" spans="1:8" ht="15.75" customHeight="1" x14ac:dyDescent="0.25">
      <c r="B18" s="19" t="s">
        <v>3</v>
      </c>
      <c r="C18" s="99">
        <v>0.16534944985290101</v>
      </c>
      <c r="D18" s="99">
        <v>0.16534944985290101</v>
      </c>
      <c r="E18" s="99">
        <v>0.16534944985290101</v>
      </c>
      <c r="F18" s="99">
        <v>0.16534944985290101</v>
      </c>
    </row>
    <row r="19" spans="1:8" ht="15.75" customHeight="1" x14ac:dyDescent="0.25">
      <c r="B19" s="19" t="s">
        <v>120</v>
      </c>
      <c r="C19" s="99">
        <v>1.8349752001866389E-2</v>
      </c>
      <c r="D19" s="99">
        <v>1.8349752001866389E-2</v>
      </c>
      <c r="E19" s="99">
        <v>1.8349752001866389E-2</v>
      </c>
      <c r="F19" s="99">
        <v>1.8349752001866389E-2</v>
      </c>
    </row>
    <row r="20" spans="1:8" ht="15.75" customHeight="1" x14ac:dyDescent="0.25">
      <c r="B20" s="19" t="s">
        <v>98</v>
      </c>
      <c r="C20" s="99">
        <v>1.5672880574274729E-2</v>
      </c>
      <c r="D20" s="99">
        <v>1.5672880574274729E-2</v>
      </c>
      <c r="E20" s="99">
        <v>1.5672880574274729E-2</v>
      </c>
      <c r="F20" s="99">
        <v>1.5672880574274729E-2</v>
      </c>
    </row>
    <row r="21" spans="1:8" ht="15.75" customHeight="1" x14ac:dyDescent="0.25">
      <c r="B21" s="19" t="s">
        <v>107</v>
      </c>
      <c r="C21" s="99">
        <v>7.5533540386639578E-2</v>
      </c>
      <c r="D21" s="99">
        <v>7.5533540386639578E-2</v>
      </c>
      <c r="E21" s="99">
        <v>7.5533540386639578E-2</v>
      </c>
      <c r="F21" s="99">
        <v>7.5533540386639578E-2</v>
      </c>
    </row>
    <row r="22" spans="1:8" ht="15.75" customHeight="1" x14ac:dyDescent="0.25">
      <c r="B22" s="19" t="s">
        <v>118</v>
      </c>
      <c r="C22" s="99">
        <v>0.16886530396813459</v>
      </c>
      <c r="D22" s="99">
        <v>0.16886530396813459</v>
      </c>
      <c r="E22" s="99">
        <v>0.16886530396813459</v>
      </c>
      <c r="F22" s="99">
        <v>0.16886530396813459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8.8798472000000003E-2</v>
      </c>
    </row>
    <row r="27" spans="1:8" ht="15.75" customHeight="1" x14ac:dyDescent="0.25">
      <c r="B27" s="19" t="s">
        <v>108</v>
      </c>
      <c r="C27" s="99">
        <v>8.9405939999999996E-3</v>
      </c>
    </row>
    <row r="28" spans="1:8" ht="15.75" customHeight="1" x14ac:dyDescent="0.25">
      <c r="B28" s="19" t="s">
        <v>122</v>
      </c>
      <c r="C28" s="99">
        <v>0.15585153099999999</v>
      </c>
    </row>
    <row r="29" spans="1:8" ht="15.75" customHeight="1" x14ac:dyDescent="0.25">
      <c r="B29" s="19" t="s">
        <v>105</v>
      </c>
      <c r="C29" s="99">
        <v>0.170199079</v>
      </c>
    </row>
    <row r="30" spans="1:8" ht="15.75" customHeight="1" x14ac:dyDescent="0.25">
      <c r="B30" s="19" t="s">
        <v>4</v>
      </c>
      <c r="C30" s="99">
        <v>0.10628299300000001</v>
      </c>
    </row>
    <row r="31" spans="1:8" ht="15.75" customHeight="1" x14ac:dyDescent="0.25">
      <c r="B31" s="19" t="s">
        <v>99</v>
      </c>
      <c r="C31" s="99">
        <v>0.108972139</v>
      </c>
    </row>
    <row r="32" spans="1:8" ht="15.75" customHeight="1" x14ac:dyDescent="0.25">
      <c r="B32" s="19" t="s">
        <v>104</v>
      </c>
      <c r="C32" s="99">
        <v>1.8807035E-2</v>
      </c>
    </row>
    <row r="33" spans="2:3" ht="15.75" customHeight="1" x14ac:dyDescent="0.25">
      <c r="B33" s="19" t="s">
        <v>119</v>
      </c>
      <c r="C33" s="99">
        <v>8.4353397999999996E-2</v>
      </c>
    </row>
    <row r="34" spans="2:3" ht="15.75" customHeight="1" x14ac:dyDescent="0.25">
      <c r="B34" s="19" t="s">
        <v>106</v>
      </c>
      <c r="C34" s="99">
        <v>0.25779475800000001</v>
      </c>
    </row>
    <row r="35" spans="2:3" ht="15.75" customHeight="1" x14ac:dyDescent="0.25">
      <c r="B35" s="27" t="s">
        <v>79</v>
      </c>
      <c r="C35" s="48">
        <f>SUM(C26:C34)</f>
        <v>0.99999999899999992</v>
      </c>
    </row>
  </sheetData>
  <sheetProtection algorithmName="SHA-512" hashValue="GoWGswgwNHPcrdDJdcT7Q3PqAHXeX3ujyABR6b/uE6PLzTqB4SHXPDbOZTHq+Qu+JKlPZD60z6+PpubshR9c1g==" saltValue="i7NfbPbPRcn27DfqAHKns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0.54739346550137002</v>
      </c>
      <c r="D2" s="52">
        <f>IFERROR(1-_xlfn.NORM.DIST(_xlfn.NORM.INV(SUM(D4:D5), 0, 1) + 1, 0, 1, TRUE), "")</f>
        <v>0.54739346550137002</v>
      </c>
      <c r="E2" s="52">
        <f>IFERROR(1-_xlfn.NORM.DIST(_xlfn.NORM.INV(SUM(E4:E5), 0, 1) + 1, 0, 1, TRUE), "")</f>
        <v>0.50953998493748198</v>
      </c>
      <c r="F2" s="52">
        <f>IFERROR(1-_xlfn.NORM.DIST(_xlfn.NORM.INV(SUM(F4:F5), 0, 1) + 1, 0, 1, TRUE), "")</f>
        <v>0.3111778409419268</v>
      </c>
      <c r="G2" s="52">
        <f>IFERROR(1-_xlfn.NORM.DIST(_xlfn.NORM.INV(SUM(G4:G5), 0, 1) + 1, 0, 1, TRUE), "")</f>
        <v>0.30991657300384834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0.32105323449862999</v>
      </c>
      <c r="D3" s="52">
        <f>IFERROR(_xlfn.NORM.DIST(_xlfn.NORM.INV(SUM(D4:D5), 0, 1) + 1, 0, 1, TRUE) - SUM(D4:D5), "")</f>
        <v>0.32105323449862999</v>
      </c>
      <c r="E3" s="52">
        <f>IFERROR(_xlfn.NORM.DIST(_xlfn.NORM.INV(SUM(E4:E5), 0, 1) + 1, 0, 1, TRUE) - SUM(E4:E5), "")</f>
        <v>0.33752241506251796</v>
      </c>
      <c r="F3" s="52">
        <f>IFERROR(_xlfn.NORM.DIST(_xlfn.NORM.INV(SUM(F4:F5), 0, 1) + 1, 0, 1, TRUE) - SUM(F4:F5), "")</f>
        <v>0.38291505905807321</v>
      </c>
      <c r="G3" s="52">
        <f>IFERROR(_xlfn.NORM.DIST(_xlfn.NORM.INV(SUM(G4:G5), 0, 1) + 1, 0, 1, TRUE) - SUM(G4:G5), "")</f>
        <v>0.38292222699615164</v>
      </c>
    </row>
    <row r="4" spans="1:15" ht="15.75" customHeight="1" x14ac:dyDescent="0.25">
      <c r="B4" s="5" t="s">
        <v>129</v>
      </c>
      <c r="C4" s="45">
        <v>7.3878100000000002E-2</v>
      </c>
      <c r="D4" s="53">
        <v>7.3878100000000002E-2</v>
      </c>
      <c r="E4" s="53">
        <v>0.1012653</v>
      </c>
      <c r="F4" s="53">
        <v>0.1960865</v>
      </c>
      <c r="G4" s="53">
        <v>0.18582750000000001</v>
      </c>
    </row>
    <row r="5" spans="1:15" ht="15.75" customHeight="1" x14ac:dyDescent="0.25">
      <c r="B5" s="5" t="s">
        <v>125</v>
      </c>
      <c r="C5" s="45">
        <v>5.7675200000000003E-2</v>
      </c>
      <c r="D5" s="53">
        <v>5.7675200000000003E-2</v>
      </c>
      <c r="E5" s="53">
        <v>5.1672299999999997E-2</v>
      </c>
      <c r="F5" s="53">
        <v>0.1098206</v>
      </c>
      <c r="G5" s="53">
        <v>0.1213337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0.61419750247711358</v>
      </c>
      <c r="D8" s="52">
        <f>IFERROR(1-_xlfn.NORM.DIST(_xlfn.NORM.INV(SUM(D10:D11), 0, 1) + 1, 0, 1, TRUE), "")</f>
        <v>0.61419750247711358</v>
      </c>
      <c r="E8" s="52">
        <f>IFERROR(1-_xlfn.NORM.DIST(_xlfn.NORM.INV(SUM(E10:E11), 0, 1) + 1, 0, 1, TRUE), "")</f>
        <v>0.49055498576664736</v>
      </c>
      <c r="F8" s="52">
        <f>IFERROR(1-_xlfn.NORM.DIST(_xlfn.NORM.INV(SUM(F10:F11), 0, 1) + 1, 0, 1, TRUE), "")</f>
        <v>0.5397151751639403</v>
      </c>
      <c r="G8" s="52">
        <f>IFERROR(1-_xlfn.NORM.DIST(_xlfn.NORM.INV(SUM(G10:G11), 0, 1) + 1, 0, 1, TRUE), "")</f>
        <v>0.71132217529866593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0.28732509752288643</v>
      </c>
      <c r="D9" s="52">
        <f>IFERROR(_xlfn.NORM.DIST(_xlfn.NORM.INV(SUM(D10:D11), 0, 1) + 1, 0, 1, TRUE) - SUM(D10:D11), "")</f>
        <v>0.28732509752288643</v>
      </c>
      <c r="E9" s="52">
        <f>IFERROR(_xlfn.NORM.DIST(_xlfn.NORM.INV(SUM(E10:E11), 0, 1) + 1, 0, 1, TRUE) - SUM(E10:E11), "")</f>
        <v>0.34499271423335265</v>
      </c>
      <c r="F9" s="52">
        <f>IFERROR(_xlfn.NORM.DIST(_xlfn.NORM.INV(SUM(F10:F11), 0, 1) + 1, 0, 1, TRUE) - SUM(F10:F11), "")</f>
        <v>0.32455692483605969</v>
      </c>
      <c r="G9" s="52">
        <f>IFERROR(_xlfn.NORM.DIST(_xlfn.NORM.INV(SUM(G10:G11), 0, 1) + 1, 0, 1, TRUE) - SUM(G10:G11), "")</f>
        <v>0.22897242470133408</v>
      </c>
    </row>
    <row r="10" spans="1:15" ht="15.75" customHeight="1" x14ac:dyDescent="0.25">
      <c r="B10" s="5" t="s">
        <v>126</v>
      </c>
      <c r="C10" s="45">
        <v>6.5348699999999996E-2</v>
      </c>
      <c r="D10" s="53">
        <v>6.5348699999999996E-2</v>
      </c>
      <c r="E10" s="53">
        <v>0.1254721</v>
      </c>
      <c r="F10" s="53">
        <v>9.1041399999999995E-2</v>
      </c>
      <c r="G10" s="53">
        <v>4.4466099999999988E-2</v>
      </c>
    </row>
    <row r="11" spans="1:15" ht="15.75" customHeight="1" x14ac:dyDescent="0.25">
      <c r="B11" s="5" t="s">
        <v>138</v>
      </c>
      <c r="C11" s="45">
        <v>3.3128699999999997E-2</v>
      </c>
      <c r="D11" s="53">
        <v>3.3128699999999997E-2</v>
      </c>
      <c r="E11" s="53">
        <v>3.89802E-2</v>
      </c>
      <c r="F11" s="53">
        <v>4.4686499999999997E-2</v>
      </c>
      <c r="G11" s="53">
        <v>1.5239300000000001E-2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0.88340230725000013</v>
      </c>
      <c r="D14" s="54">
        <v>0.86865575759299996</v>
      </c>
      <c r="E14" s="54">
        <v>0.86865575759299996</v>
      </c>
      <c r="F14" s="54">
        <v>0.85659057522600013</v>
      </c>
      <c r="G14" s="54">
        <v>0.85659057522600013</v>
      </c>
      <c r="H14" s="45">
        <v>0.58399999999999996</v>
      </c>
      <c r="I14" s="55">
        <v>0.58399999999999996</v>
      </c>
      <c r="J14" s="55">
        <v>0.58399999999999996</v>
      </c>
      <c r="K14" s="55">
        <v>0.58399999999999996</v>
      </c>
      <c r="L14" s="45">
        <v>0.503</v>
      </c>
      <c r="M14" s="55">
        <v>0.503</v>
      </c>
      <c r="N14" s="55">
        <v>0.503</v>
      </c>
      <c r="O14" s="55">
        <v>0.503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0.35854031062740677</v>
      </c>
      <c r="D15" s="52">
        <f t="shared" si="0"/>
        <v>0.35255523174396775</v>
      </c>
      <c r="E15" s="52">
        <f t="shared" si="0"/>
        <v>0.35255523174396775</v>
      </c>
      <c r="F15" s="52">
        <f t="shared" si="0"/>
        <v>0.34765842063295005</v>
      </c>
      <c r="G15" s="52">
        <f t="shared" si="0"/>
        <v>0.34765842063295005</v>
      </c>
      <c r="H15" s="52">
        <f t="shared" si="0"/>
        <v>0.23702399199999996</v>
      </c>
      <c r="I15" s="52">
        <f t="shared" si="0"/>
        <v>0.23702399199999996</v>
      </c>
      <c r="J15" s="52">
        <f t="shared" si="0"/>
        <v>0.23702399199999996</v>
      </c>
      <c r="K15" s="52">
        <f t="shared" si="0"/>
        <v>0.23702399199999996</v>
      </c>
      <c r="L15" s="52">
        <f t="shared" si="0"/>
        <v>0.20414908899999998</v>
      </c>
      <c r="M15" s="52">
        <f t="shared" si="0"/>
        <v>0.20414908899999998</v>
      </c>
      <c r="N15" s="52">
        <f t="shared" si="0"/>
        <v>0.20414908899999998</v>
      </c>
      <c r="O15" s="52">
        <f t="shared" si="0"/>
        <v>0.20414908899999998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L44fKvpYqaVek9AwNS7SSyJu6nD1NqawhafoibL4Lb1sL/aPTUeamfmWG4+VVseHZh+CFqpKJ6rOSmaEkIu/CA==" saltValue="kbsKZpqkGuv+O+BKx+ttI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0.62072270000000007</v>
      </c>
      <c r="D2" s="53">
        <v>0.34721740000000001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0.26756039999999998</v>
      </c>
      <c r="D3" s="53">
        <v>0.48751299999999997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8.3577600000000002E-2</v>
      </c>
      <c r="D4" s="53">
        <v>0.1371406</v>
      </c>
      <c r="E4" s="53">
        <v>0.96463899999999991</v>
      </c>
      <c r="F4" s="53">
        <v>0.78567120000000001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2.8139299999999978E-2</v>
      </c>
      <c r="D5" s="52">
        <f t="shared" si="0"/>
        <v>2.8129000000000071E-2</v>
      </c>
      <c r="E5" s="52">
        <f>1-SUM(E2:E4)</f>
        <v>3.5361000000000087E-2</v>
      </c>
      <c r="F5" s="52">
        <f>1-SUM(F2:F4)</f>
        <v>0.21432879999999999</v>
      </c>
      <c r="G5" s="52">
        <f>1-SUM(G2:G4)</f>
        <v>1</v>
      </c>
    </row>
  </sheetData>
  <sheetProtection algorithmName="SHA-512" hashValue="9Xbobb/jXEmNHhRrc+vD6c8en9PB7/LYqfLKGJgINe/oKCflX0WPBgaNi25LD2aYLLdobzI8zYMzt8AMu0urFA==" saltValue="+qUIDX0iCZz4rV7cJo1fZ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sgLc/X4I1e1n0+2IofG8gIRB1nj0m1Nv4gyPuY2LJuWI9MaImfOM/6lXpP4Tse2+/ctiof03+OI9j9CDeqMxpw==" saltValue="ro7bSiosMuT7zFtmsuVbS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833.29725509307104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0.38020000000000004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0.52363000000000004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2.2861690599383398E-2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90556.550409999996</v>
      </c>
      <c r="C22" s="107">
        <v>89299.466709999993</v>
      </c>
      <c r="D22" s="107">
        <v>88538.110260000001</v>
      </c>
      <c r="E22" s="107">
        <v>87946.478520000004</v>
      </c>
      <c r="F22" s="107">
        <v>87151.389460000006</v>
      </c>
      <c r="G22" s="107">
        <v>86151.818369999994</v>
      </c>
      <c r="H22" s="107">
        <v>84892.036080000005</v>
      </c>
      <c r="I22" s="107">
        <v>83253.688800000004</v>
      </c>
      <c r="J22" s="107">
        <v>81102.464080000005</v>
      </c>
      <c r="K22" s="107">
        <v>78306.822390000001</v>
      </c>
      <c r="L22" s="107">
        <v>74454.921520000004</v>
      </c>
      <c r="M22" s="107">
        <v>69357.25546</v>
      </c>
      <c r="N22" s="107">
        <v>62195.856039999999</v>
      </c>
      <c r="O22" s="107">
        <v>52987.173470000002</v>
      </c>
    </row>
  </sheetData>
  <sheetProtection algorithmName="SHA-512" hashValue="CMt+MUBMQPZoXBM+xYUJHvDmm3alQiAHzLPG22Mjx70Wtw6q3F47p+zxtxqTc6z9I4aQ9seB1QBoiyigNr2Z7A==" saltValue="0LsIFSx6BoVu5lGL6+sTD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ts3h/1prRvS3J6mSx08VNvA8sYCo759XU8Oq6906eLRSqE/eX4W35OjsEfOlyuibhDiFZRCvJpNdQK6XCtZC/g==" saltValue="3DcYso3UEYuK6Pep0rYTT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iRX0jOVGRb4p7c/ltp4m+gDN/S5KXDBnKn7Nas/U5TP7waHeoGsv8imM3J+KL/pib/XmRDun1QzDSIj64uplYQ==" saltValue="r63y2Lgdb+V8RmR5LuAvW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18.025735670419653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18.025735670419653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6.4277828886844528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0.56149571024496792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0.2139553248340432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0.78848199824391296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0.5</v>
      </c>
      <c r="C9" s="96">
        <v>0.95</v>
      </c>
      <c r="D9" s="56">
        <v>0.25711131554737809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0.28031230000000001</v>
      </c>
      <c r="C10" s="96">
        <v>0.95</v>
      </c>
      <c r="D10" s="56">
        <v>14.198977192068339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14.198977192068339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14.198977192068339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14.198977192068339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0.28031230000000001</v>
      </c>
      <c r="C14" s="96">
        <v>0.95</v>
      </c>
      <c r="D14" s="56">
        <v>14.198977192068339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14.198977192068339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0.7607335999999999</v>
      </c>
      <c r="C16" s="96">
        <v>0.95</v>
      </c>
      <c r="D16" s="56">
        <v>2.8407188685968858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0.12279</v>
      </c>
      <c r="C17" s="96">
        <v>0.95</v>
      </c>
      <c r="D17" s="56">
        <v>0.35500000000000004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0.17799999999999999</v>
      </c>
      <c r="C18" s="96">
        <v>0.95</v>
      </c>
      <c r="D18" s="56">
        <v>6.4277828886844528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0.34721740000000001</v>
      </c>
      <c r="C19" s="96">
        <v>0.95</v>
      </c>
      <c r="D19" s="56">
        <v>6.4278423769884219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2.1939130069251829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6.4277828886844528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0.85079989999999994</v>
      </c>
      <c r="C23" s="96">
        <v>0.95</v>
      </c>
      <c r="D23" s="56">
        <v>4.6647271427629606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0.47779756487578001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0.28031230000000001</v>
      </c>
      <c r="C26" s="96">
        <v>0.95</v>
      </c>
      <c r="D26" s="56">
        <v>1.2598454461821527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21.89376196990424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0.21443380000000001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0.2174344</v>
      </c>
      <c r="C29" s="96">
        <v>0.95</v>
      </c>
      <c r="D29" s="56">
        <v>204.3668205339699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62.971272229822162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0.41820000000000002</v>
      </c>
      <c r="C31" s="96">
        <v>0.95</v>
      </c>
      <c r="D31" s="56">
        <v>173.97437166513339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0.76</v>
      </c>
      <c r="C32" s="96">
        <v>0.95</v>
      </c>
      <c r="D32" s="56">
        <v>0.47565593376264947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0.173008689916163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0.64071500000000003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4.764E-3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0.52630830000000006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0.15360070000000001</v>
      </c>
      <c r="C38" s="96">
        <v>0.95</v>
      </c>
      <c r="D38" s="56">
        <v>1.1055786568537258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3.4125000000000001</v>
      </c>
      <c r="E39" s="56" t="s">
        <v>212</v>
      </c>
      <c r="F39" s="96">
        <v>1</v>
      </c>
      <c r="G39" s="96">
        <v>1</v>
      </c>
    </row>
  </sheetData>
  <sheetProtection algorithmName="SHA-512" hashValue="kEmUevVxmPyhMSTc2pe8IEBsim+TVWNM1gyX7QuCOJbM5Rz5v8zDA4K+VjmfOTmDlbn3BKzz3441zhwdzZ+jkg==" saltValue="nesUBXsi2POkf2cQjZCrW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aS8vC82WXUr6a6fKWZBS/rHQPFIMCYD5wt7ojAsQ01BXF41rX9FbloSJ7zCWi7z5w6t5GkQCquk+Wp4N0EJtQw==" saltValue="Mby42R9hcfZK1Yk4lOXNl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u8QpIT93MOaMrKg8edajHxm/t6T1kCbXTv33WFPaXN/nMNTcLXyJEnxWV6LGCk3EG7lQIdthxsF6m9AYFEzHBg==" saltValue="cLFN6D5l20zdTaboWF6l4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3.0939999999999999</v>
      </c>
      <c r="C2" s="21">
        <f>'Entradas de población-año base'!C52</f>
        <v>3.0939999999999999</v>
      </c>
      <c r="D2" s="21">
        <f>'Entradas de población-año base'!C53</f>
        <v>7.072000000000001</v>
      </c>
      <c r="E2" s="21">
        <f>'Entradas de población-año base'!C54</f>
        <v>6.8900000000000006</v>
      </c>
      <c r="F2" s="21">
        <f>'Entradas de población-año base'!C55</f>
        <v>3.336666666666666</v>
      </c>
    </row>
    <row r="3" spans="1:6" ht="15.75" customHeight="1" x14ac:dyDescent="0.25">
      <c r="A3" s="3" t="s">
        <v>6</v>
      </c>
      <c r="B3" s="21">
        <f>frac_mam_1month * 2.6</f>
        <v>0.16990662000000001</v>
      </c>
      <c r="C3" s="21">
        <f>frac_mam_1_5months * 2.6</f>
        <v>0.16990662000000001</v>
      </c>
      <c r="D3" s="21">
        <f>frac_mam_6_11months * 2.6</f>
        <v>0.32622746000000002</v>
      </c>
      <c r="E3" s="21">
        <f>frac_mam_12_23months * 2.6</f>
        <v>0.23670764</v>
      </c>
      <c r="F3" s="21">
        <f>frac_mam_24_59months * 2.6</f>
        <v>0.11561185999999997</v>
      </c>
    </row>
    <row r="4" spans="1:6" ht="15.75" customHeight="1" x14ac:dyDescent="0.25">
      <c r="A4" s="3" t="s">
        <v>236</v>
      </c>
      <c r="B4" s="21">
        <f>frac_sam_1month * 2.6</f>
        <v>8.6134619999999995E-2</v>
      </c>
      <c r="C4" s="21">
        <f>frac_sam_1_5months * 2.6</f>
        <v>8.6134619999999995E-2</v>
      </c>
      <c r="D4" s="21">
        <f>frac_sam_6_11months * 2.6</f>
        <v>0.10134852</v>
      </c>
      <c r="E4" s="21">
        <f>frac_sam_12_23months * 2.6</f>
        <v>0.11618489999999999</v>
      </c>
      <c r="F4" s="21">
        <f>frac_sam_24_59months * 2.6</f>
        <v>3.962218E-2</v>
      </c>
    </row>
  </sheetData>
  <sheetProtection algorithmName="SHA-512" hashValue="3WAXy/WHnZlkxEF1rPxK6GKIvUxuVu+axZbE6sIfOA2gl+svd5vwO1P+JO6L7jYUg0095XFVFUvCCe4nkweqJw==" saltValue="hXd5Z28hgDqcCSzxRN6Sa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0.25900000000000001</v>
      </c>
      <c r="F2" s="60">
        <f>food_insecure</f>
        <v>0.25900000000000001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0.25900000000000001</v>
      </c>
      <c r="F5" s="60">
        <f>food_insecure</f>
        <v>0.25900000000000001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6.7505454545454549E-2</v>
      </c>
      <c r="D7" s="60">
        <f>diarrhoea_1_5mo*frac_diarrhea_severe</f>
        <v>6.7505454545454549E-2</v>
      </c>
      <c r="E7" s="60">
        <f>diarrhoea_6_11mo*frac_diarrhea_severe</f>
        <v>0.15429818181818186</v>
      </c>
      <c r="F7" s="60">
        <f>diarrhoea_12_23mo*frac_diarrhea_severe</f>
        <v>0.15032727272727275</v>
      </c>
      <c r="G7" s="60">
        <f>diarrhoea_24_59mo*frac_diarrhea_severe</f>
        <v>7.279999999999999E-2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0.25900000000000001</v>
      </c>
      <c r="F8" s="60">
        <f>food_insecure</f>
        <v>0.25900000000000001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0.25900000000000001</v>
      </c>
      <c r="F9" s="60">
        <f>food_insecure</f>
        <v>0.25900000000000001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6.7505454545454549E-2</v>
      </c>
      <c r="D12" s="60">
        <f>diarrhoea_1_5mo*frac_diarrhea_severe</f>
        <v>6.7505454545454549E-2</v>
      </c>
      <c r="E12" s="60">
        <f>diarrhoea_6_11mo*frac_diarrhea_severe</f>
        <v>0.15429818181818186</v>
      </c>
      <c r="F12" s="60">
        <f>diarrhoea_12_23mo*frac_diarrhea_severe</f>
        <v>0.15032727272727275</v>
      </c>
      <c r="G12" s="60">
        <f>diarrhoea_24_59mo*frac_diarrhea_severe</f>
        <v>7.279999999999999E-2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0.25900000000000001</v>
      </c>
      <c r="I15" s="60">
        <f t="shared" si="0"/>
        <v>0.25900000000000001</v>
      </c>
      <c r="J15" s="60">
        <f t="shared" si="0"/>
        <v>0.25900000000000001</v>
      </c>
      <c r="K15" s="60">
        <f t="shared" si="0"/>
        <v>0.25900000000000001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0.25900000000000001</v>
      </c>
      <c r="I16" s="60">
        <f t="shared" si="0"/>
        <v>0.25900000000000001</v>
      </c>
      <c r="J16" s="60">
        <f t="shared" si="0"/>
        <v>0.25900000000000001</v>
      </c>
      <c r="K16" s="60">
        <f t="shared" si="0"/>
        <v>0.25900000000000001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</v>
      </c>
      <c r="I19" s="60">
        <f>frac_malaria_risk</f>
        <v>0.9</v>
      </c>
      <c r="J19" s="60">
        <f>frac_malaria_risk</f>
        <v>0.9</v>
      </c>
      <c r="K19" s="60">
        <f>frac_malaria_risk</f>
        <v>0.9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0.54</v>
      </c>
      <c r="M24" s="60">
        <f>famplan_unmet_need</f>
        <v>0.54</v>
      </c>
      <c r="N24" s="60">
        <f>famplan_unmet_need</f>
        <v>0.54</v>
      </c>
      <c r="O24" s="60">
        <f>famplan_unmet_need</f>
        <v>0.54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0.38193956000199997</v>
      </c>
      <c r="M25" s="60">
        <f>(1-food_insecure)*(0.49)+food_insecure*(0.7)</f>
        <v>0.54438999999999993</v>
      </c>
      <c r="N25" s="60">
        <f>(1-food_insecure)*(0.49)+food_insecure*(0.7)</f>
        <v>0.54438999999999993</v>
      </c>
      <c r="O25" s="60">
        <f>(1-food_insecure)*(0.49)+food_insecure*(0.7)</f>
        <v>0.54438999999999993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0.163688382858</v>
      </c>
      <c r="M26" s="60">
        <f>(1-food_insecure)*(0.21)+food_insecure*(0.3)</f>
        <v>0.23331000000000002</v>
      </c>
      <c r="N26" s="60">
        <f>(1-food_insecure)*(0.21)+food_insecure*(0.3)</f>
        <v>0.23331000000000002</v>
      </c>
      <c r="O26" s="60">
        <f>(1-food_insecure)*(0.21)+food_insecure*(0.3)</f>
        <v>0.23331000000000002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0.15596385714</v>
      </c>
      <c r="M27" s="60">
        <f>(1-food_insecure)*(0.3)</f>
        <v>0.2223</v>
      </c>
      <c r="N27" s="60">
        <f>(1-food_insecure)*(0.3)</f>
        <v>0.2223</v>
      </c>
      <c r="O27" s="60">
        <f>(1-food_insecure)*(0.3)</f>
        <v>0.2223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0.29840820000000001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0.9</v>
      </c>
      <c r="D34" s="60">
        <f t="shared" si="4"/>
        <v>0.9</v>
      </c>
      <c r="E34" s="60">
        <f t="shared" si="4"/>
        <v>0.9</v>
      </c>
      <c r="F34" s="60">
        <f t="shared" si="4"/>
        <v>0.9</v>
      </c>
      <c r="G34" s="60">
        <f t="shared" si="4"/>
        <v>0.9</v>
      </c>
      <c r="H34" s="60">
        <f t="shared" si="4"/>
        <v>0.9</v>
      </c>
      <c r="I34" s="60">
        <f t="shared" si="4"/>
        <v>0.9</v>
      </c>
      <c r="J34" s="60">
        <f t="shared" si="4"/>
        <v>0.9</v>
      </c>
      <c r="K34" s="60">
        <f t="shared" si="4"/>
        <v>0.9</v>
      </c>
      <c r="L34" s="60">
        <f t="shared" si="4"/>
        <v>0.9</v>
      </c>
      <c r="M34" s="60">
        <f t="shared" si="4"/>
        <v>0.9</v>
      </c>
      <c r="N34" s="60">
        <f t="shared" si="4"/>
        <v>0.9</v>
      </c>
      <c r="O34" s="60">
        <f t="shared" si="4"/>
        <v>0.9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8og8+1e1P0E+0mS1g1Jv0Am+TN1FMmuVrXpA7e+O3/+IEepV/9ObnuGil01Z4gTf2ovOhwyBF/dJo7OTAiFEvA==" saltValue="1FPuhhPeTZqSbMDdAxRrf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1eQMNs1ESBvL+130bGprqL/DMbodp3WfYZUklgb08KFbUOhPqcLYz4saHWqXrsj8EnIVnvWfNDHAPKhyYR4tpw==" saltValue="EYmklFOF8oWOWu2HR8Xj2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8FFAgwvPIKPmO0v8GhvsSXJUUwE+WiiMISdYJo4PVzatfzaHb4YlJNcIpUA1CP42G5IwN/RLx9r3nfwAriyyeg==" saltValue="kz2ucia0eegrArqcKrRcq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beGzSLqXHGpIl6N/WS5h2116g0Fqc/GXg1zf/CmuCpl+7hyB8MP4Fa4g3GwZZ5URMTOuvKQDp1WnooTN41G/kQ==" saltValue="BNeE8UGLmcc3zf2cES4GY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hOS8Fwpt9k4+zFNcB3aJEdQo1ozSpTetDgAGNUmwOpGNuA9wJmJj0BuT9r/uxIp6H0zJfcuENeNR31voH2c4hg==" saltValue="esNFJ3jgxzdRoLAi9ODvF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sauhiDn31oQg6aPeCF7MOCwUyzeNM43vPy6xCf/eCgCmwH/GFw1D46Uq0neUwkNcAYSqHu+QPBF8z0lON93CHA==" saltValue="lF5EjRLnq52xUxhkbeOEf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/ykCf300WGGadBPVD53PCOPAl3nhpTOFBM2KUnN+ecTSkIupPPLQ0uzzatli+XvJTq4EJAzP1EyLwfaJgXcukA==" saltValue="AKhuQdolSk3WwA7JuNwM8Q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mzvmOTFOPNpYmUzPoxg5yyT/ik9jxCOjjAZOKBUHxkotz3JHCoyiQmUpAAKTsUxKzNsG7p8h/pKHI4N4tJ2hhA==" saltValue="bx6Ohu3aYjyfBuycg0eur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6+drOt7WXSO71p5oGZnZFKImO12zsvKjCOBfTZgvFORcEIr7Hl2AfIPqtE3g9uY7atKGHPi/crGmOBWz3KiP9g==" saltValue="MGvRgvbscpMAgsQFPzURv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vRyKGrDJT2CiSDcgwltaGXVQQ+uInBsck5WCEimJUgRa5kwH92DZBNTCMBlvJ3ObHw3SfI+ldnnYSG3zq8fsew==" saltValue="S96jCjS/f4nEjCRyZ2Jey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DhJR6cllehUupFx0+G0+mgCGIhNKjmvCwmKSSZQMTi8IHqDG7lx8DHUGcUD7wFkOX7p1DRgXzEabymlQVqItDQ==" saltValue="ZvQMzfcvxSaH5Z79dnWh5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LldHCk3KxjYx597+Wq86ibPKfUz/F0STF9GjnZ7JoS9sXzm2P159Hz+twRCtqt+cVHDR3+Oqa1J84SEo/PGNIA==" saltValue="fgGw5+uInlXcaJapRBQFT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Y9dc4j2PWVUjaZaU3d0XjcpfbQ1WUCPd7xJFLEylSmpH61TFHPZrrpw/nD0/VvD48ddzZywD3RxMqhvHfa8NYA==" saltValue="jZ14idZyHCTkVxB6TTnN4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9Tjj3UtMvMKwvB/AohacqYOiFYxYsF09jMekGzyyE12TH+JCG3rWSO+aAf7H80KbPuiE/KEmodqD80x+ZLHqiA==" saltValue="W/3knY1HqIkitlkGlOvc2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apwrwzrzF7fYK16JC+DbrtRjWnIOM0VBTmJBjzCiFj2GJSKt+oUfaiijphPCv8v5G9zpbMnjCVY92oi7aYCxhg==" saltValue="7ceAUMSuNek39LeuknLVkg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2025-07-30T00:35:00Z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