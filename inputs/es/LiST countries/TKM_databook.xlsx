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25DF30FC-D320-4181-A283-4D5DEDE55503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19" i="2" l="1"/>
  <c r="A22" i="2"/>
  <c r="A23" i="2"/>
  <c r="A24" i="2"/>
  <c r="A35" i="2"/>
  <c r="A36" i="2"/>
  <c r="I9" i="2"/>
  <c r="I13" i="2"/>
  <c r="A37" i="2"/>
  <c r="A25" i="2"/>
  <c r="A26" i="2"/>
  <c r="I39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<sst xmlns="http://schemas.openxmlformats.org/spreadsheetml/2006/main" count="2159" uniqueCount="372">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</sst>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781354.5</v>
      </c>
    </row>
    <row r="8" spans="1:3" ht="15" customHeight="1" x14ac:dyDescent="0.25">
      <c r="B8" s="5" t="s">
        <v>63</v>
      </c>
      <c r="C8" s="44">
        <v>0.51400000000000001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0.91188728330000002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0.24399999999999999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7.4900000000000008E-2</v>
      </c>
    </row>
    <row r="24" spans="1:3" ht="15" customHeight="1" x14ac:dyDescent="0.25">
      <c r="B24" s="15" t="s">
        <v>65</v>
      </c>
      <c r="C24" s="45">
        <v>0.61209999999999998</v>
      </c>
    </row>
    <row r="25" spans="1:3" ht="15" customHeight="1" x14ac:dyDescent="0.25">
      <c r="B25" s="15" t="s">
        <v>66</v>
      </c>
      <c r="C25" s="45">
        <v>0.29770000000000002</v>
      </c>
    </row>
    <row r="26" spans="1:3" ht="15" customHeight="1" x14ac:dyDescent="0.25">
      <c r="B26" s="15" t="s">
        <v>67</v>
      </c>
      <c r="C26" s="45">
        <v>1.5299999999999999E-2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0.3567553</v>
      </c>
    </row>
    <row r="30" spans="1:3" ht="14.25" customHeight="1" x14ac:dyDescent="0.25">
      <c r="B30" s="25" t="s">
        <v>82</v>
      </c>
      <c r="C30" s="99">
        <v>6.59106E-2</v>
      </c>
    </row>
    <row r="31" spans="1:3" ht="14.25" customHeight="1" x14ac:dyDescent="0.25">
      <c r="B31" s="25" t="s">
        <v>29</v>
      </c>
      <c r="C31" s="99">
        <v>9.2620400000000006E-2</v>
      </c>
    </row>
    <row r="32" spans="1:3" ht="14.25" customHeight="1" x14ac:dyDescent="0.25">
      <c r="B32" s="25" t="s">
        <v>30</v>
      </c>
      <c r="C32" s="99">
        <v>0.48471370000000003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23.485289999999999</v>
      </c>
    </row>
    <row r="38" spans="1:5" ht="15" customHeight="1" x14ac:dyDescent="0.25">
      <c r="B38" s="11" t="s">
        <v>54</v>
      </c>
      <c r="C38" s="43">
        <v>35.839709999999997</v>
      </c>
      <c r="D38" s="12"/>
      <c r="E38" s="13"/>
    </row>
    <row r="39" spans="1:5" ht="15" customHeight="1" x14ac:dyDescent="0.25">
      <c r="B39" s="11" t="s">
        <v>80</v>
      </c>
      <c r="C39" s="43">
        <v>41.427799999999998</v>
      </c>
      <c r="D39" s="12"/>
      <c r="E39" s="12"/>
    </row>
    <row r="40" spans="1:5" ht="15" customHeight="1" x14ac:dyDescent="0.25">
      <c r="B40" s="11" t="s">
        <v>55</v>
      </c>
      <c r="C40" s="100">
        <v>0.05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9.4632699999999996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5.9560000000000004E-3</v>
      </c>
      <c r="D45" s="12"/>
    </row>
    <row r="46" spans="1:5" ht="15.75" customHeight="1" x14ac:dyDescent="0.25">
      <c r="B46" s="11" t="s">
        <v>70</v>
      </c>
      <c r="C46" s="45">
        <v>6.3996300000000006E-2</v>
      </c>
      <c r="D46" s="12"/>
    </row>
    <row r="47" spans="1:5" ht="15.75" customHeight="1" x14ac:dyDescent="0.25">
      <c r="B47" s="11" t="s">
        <v>78</v>
      </c>
      <c r="C47" s="45">
        <v>7.5337399999999999E-2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2.8</v>
      </c>
      <c r="D51" s="12"/>
    </row>
    <row r="52" spans="1:4" ht="15" customHeight="1" x14ac:dyDescent="0.25">
      <c r="B52" s="11" t="s">
        <v>32</v>
      </c>
      <c r="C52" s="100">
        <v>2.8</v>
      </c>
    </row>
    <row r="53" spans="1:4" ht="15.75" customHeight="1" x14ac:dyDescent="0.25">
      <c r="B53" s="11" t="s">
        <v>35</v>
      </c>
      <c r="C53" s="100">
        <v>2.8</v>
      </c>
    </row>
    <row r="54" spans="1:4" ht="15.75" customHeight="1" x14ac:dyDescent="0.25">
      <c r="B54" s="11" t="s">
        <v>33</v>
      </c>
      <c r="C54" s="100">
        <v>2.8</v>
      </c>
    </row>
    <row r="55" spans="1:4" ht="15.75" customHeight="1" x14ac:dyDescent="0.25">
      <c r="B55" s="11" t="s">
        <v>34</v>
      </c>
      <c r="C55" s="100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0.59225199999999989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4.9276065999999903E-2</v>
      </c>
    </row>
    <row r="63" spans="1:4" ht="15.75" customHeight="1" x14ac:dyDescent="0.3">
      <c r="A63" s="4"/>
    </row>
  </sheetData>
  <sheetProtection algorithmName="SHA-512" hashValue="hObZMbqr4NUPZiqgzb6O0EuY9MOaQ48AtXU6Jk+bibadSl21pwljMEvDdg6spmNFe0Zgb9NS1vrY90QuyC5Ffg==" saltValue="Ok9ZTo3/9WcGjqdlJH8J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156679</v>
      </c>
      <c r="C2" s="49">
        <v>262486</v>
      </c>
      <c r="D2" s="49">
        <v>579225.5</v>
      </c>
      <c r="E2" s="49">
        <v>606394.5</v>
      </c>
      <c r="F2" s="49">
        <v>460144</v>
      </c>
      <c r="G2" s="17">
        <f t="shared" ref="G2:G13" si="0">C2+D2+E2+F2</f>
        <v>1908250</v>
      </c>
      <c r="H2" s="17">
        <f t="shared" ref="H2:H13" si="1">(B2 + stillbirth*B2/(1000-stillbirth))/(1-abortion)</f>
        <v>179745.2964533866</v>
      </c>
      <c r="I2" s="17">
        <f t="shared" ref="I2:I13" si="2">G2-H2</f>
        <v>1728504.7035466135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152636</v>
      </c>
      <c r="C3" s="50">
        <v>281097</v>
      </c>
      <c r="D3" s="50">
        <v>557430.00000000012</v>
      </c>
      <c r="E3" s="50">
        <v>624588</v>
      </c>
      <c r="F3" s="50">
        <v>468683.99999999994</v>
      </c>
      <c r="G3" s="17">
        <f t="shared" si="0"/>
        <v>1931799</v>
      </c>
      <c r="H3" s="17">
        <f t="shared" si="1"/>
        <v>175107.085630232</v>
      </c>
      <c r="I3" s="17">
        <f t="shared" si="2"/>
        <v>1756691.914369768</v>
      </c>
    </row>
    <row r="4" spans="1:9" ht="15.75" customHeight="1" x14ac:dyDescent="0.25">
      <c r="A4" s="5">
        <f t="shared" si="3"/>
        <v>2026</v>
      </c>
      <c r="B4" s="49">
        <v>148664</v>
      </c>
      <c r="C4" s="50">
        <v>302767</v>
      </c>
      <c r="D4" s="50">
        <v>536613.5</v>
      </c>
      <c r="E4" s="50">
        <v>640364</v>
      </c>
      <c r="F4" s="50">
        <v>479186.5</v>
      </c>
      <c r="G4" s="17">
        <f t="shared" si="0"/>
        <v>1958931</v>
      </c>
      <c r="H4" s="17">
        <f t="shared" si="1"/>
        <v>170550.32743345483</v>
      </c>
      <c r="I4" s="17">
        <f t="shared" si="2"/>
        <v>1788380.6725665452</v>
      </c>
    </row>
    <row r="5" spans="1:9" ht="15.75" customHeight="1" x14ac:dyDescent="0.25">
      <c r="A5" s="5">
        <f t="shared" si="3"/>
        <v>2027</v>
      </c>
      <c r="B5" s="49">
        <v>145078</v>
      </c>
      <c r="C5" s="50">
        <v>324950.5</v>
      </c>
      <c r="D5" s="50">
        <v>519529</v>
      </c>
      <c r="E5" s="50">
        <v>652801.5</v>
      </c>
      <c r="F5" s="50">
        <v>491737</v>
      </c>
      <c r="G5" s="17">
        <f t="shared" si="0"/>
        <v>1989018</v>
      </c>
      <c r="H5" s="17">
        <f t="shared" si="1"/>
        <v>166436.39619134937</v>
      </c>
      <c r="I5" s="17">
        <f t="shared" si="2"/>
        <v>1822581.6038086507</v>
      </c>
    </row>
    <row r="6" spans="1:9" ht="15.75" customHeight="1" x14ac:dyDescent="0.25">
      <c r="A6" s="5">
        <f t="shared" si="3"/>
        <v>2028</v>
      </c>
      <c r="B6" s="49">
        <v>142225</v>
      </c>
      <c r="C6" s="50">
        <v>345222</v>
      </c>
      <c r="D6" s="50">
        <v>508698</v>
      </c>
      <c r="E6" s="50">
        <v>660996.00000000012</v>
      </c>
      <c r="F6" s="50">
        <v>506322</v>
      </c>
      <c r="G6" s="17">
        <f t="shared" si="0"/>
        <v>2021238</v>
      </c>
      <c r="H6" s="17">
        <f t="shared" si="1"/>
        <v>163163.37727508417</v>
      </c>
      <c r="I6" s="17">
        <f t="shared" si="2"/>
        <v>1858074.6227249159</v>
      </c>
    </row>
    <row r="7" spans="1:9" ht="15.75" customHeight="1" x14ac:dyDescent="0.25">
      <c r="A7" s="5">
        <f t="shared" si="3"/>
        <v>2029</v>
      </c>
      <c r="B7" s="49">
        <v>140242</v>
      </c>
      <c r="C7" s="50">
        <v>362298</v>
      </c>
      <c r="D7" s="50">
        <v>505160.5</v>
      </c>
      <c r="E7" s="50">
        <v>664240</v>
      </c>
      <c r="F7" s="50">
        <v>522693.50000000006</v>
      </c>
      <c r="G7" s="17">
        <f t="shared" si="0"/>
        <v>2054392</v>
      </c>
      <c r="H7" s="17">
        <f t="shared" si="1"/>
        <v>160888.43983696503</v>
      </c>
      <c r="I7" s="17">
        <f t="shared" si="2"/>
        <v>1893503.5601630351</v>
      </c>
    </row>
    <row r="8" spans="1:9" ht="15.75" customHeight="1" x14ac:dyDescent="0.25">
      <c r="A8" s="5">
        <f t="shared" si="3"/>
        <v>2030</v>
      </c>
      <c r="B8" s="49">
        <v>139095</v>
      </c>
      <c r="C8" s="50">
        <v>376074</v>
      </c>
      <c r="D8" s="50">
        <v>508494.5</v>
      </c>
      <c r="E8" s="50">
        <v>662145</v>
      </c>
      <c r="F8" s="50">
        <v>540371</v>
      </c>
      <c r="G8" s="17">
        <f t="shared" si="0"/>
        <v>2087084.5</v>
      </c>
      <c r="H8" s="17">
        <f t="shared" si="1"/>
        <v>159572.57839393802</v>
      </c>
      <c r="I8" s="17">
        <f t="shared" si="2"/>
        <v>1927511.921606062</v>
      </c>
    </row>
    <row r="9" spans="1:9" ht="15.75" customHeight="1" x14ac:dyDescent="0.25">
      <c r="A9" s="5">
        <f t="shared" si="3"/>
        <v>2031</v>
      </c>
      <c r="B9" s="49">
        <v>138414</v>
      </c>
      <c r="C9" s="50">
        <v>386714.5</v>
      </c>
      <c r="D9" s="50">
        <v>518656.50000000006</v>
      </c>
      <c r="E9" s="50">
        <v>654674.5</v>
      </c>
      <c r="F9" s="50">
        <v>558951.5</v>
      </c>
      <c r="G9" s="17">
        <f t="shared" si="0"/>
        <v>2118997</v>
      </c>
      <c r="H9" s="17">
        <f t="shared" si="1"/>
        <v>158791.32151276848</v>
      </c>
      <c r="I9" s="17">
        <f t="shared" si="2"/>
        <v>1960205.6784872315</v>
      </c>
    </row>
    <row r="10" spans="1:9" ht="15.75" customHeight="1" x14ac:dyDescent="0.25">
      <c r="A10" s="5">
        <f t="shared" si="3"/>
        <v>2032</v>
      </c>
      <c r="B10" s="49">
        <v>138683</v>
      </c>
      <c r="C10" s="50">
        <v>394382.5</v>
      </c>
      <c r="D10" s="50">
        <v>535657</v>
      </c>
      <c r="E10" s="50">
        <v>641785</v>
      </c>
      <c r="F10" s="50">
        <v>578064.5</v>
      </c>
      <c r="G10" s="17">
        <f t="shared" si="0"/>
        <v>2149889</v>
      </c>
      <c r="H10" s="17">
        <f t="shared" si="1"/>
        <v>159099.92371693088</v>
      </c>
      <c r="I10" s="17">
        <f t="shared" si="2"/>
        <v>1990789.0762830691</v>
      </c>
    </row>
    <row r="11" spans="1:9" ht="15.75" customHeight="1" x14ac:dyDescent="0.25">
      <c r="A11" s="5">
        <f t="shared" si="3"/>
        <v>2033</v>
      </c>
      <c r="B11" s="49">
        <v>139508</v>
      </c>
      <c r="C11" s="50">
        <v>399136</v>
      </c>
      <c r="D11" s="50">
        <v>558880.5</v>
      </c>
      <c r="E11" s="50">
        <v>623531.99999999988</v>
      </c>
      <c r="F11" s="50">
        <v>597176.5</v>
      </c>
      <c r="G11" s="17">
        <f t="shared" si="0"/>
        <v>2178725</v>
      </c>
      <c r="H11" s="17">
        <f t="shared" si="1"/>
        <v>160046.38029103493</v>
      </c>
      <c r="I11" s="17">
        <f t="shared" si="2"/>
        <v>2018678.6197089651</v>
      </c>
    </row>
    <row r="12" spans="1:9" ht="15.75" customHeight="1" x14ac:dyDescent="0.25">
      <c r="A12" s="5">
        <f t="shared" si="3"/>
        <v>2034</v>
      </c>
      <c r="B12" s="49">
        <v>140959</v>
      </c>
      <c r="C12" s="50">
        <v>400984.5</v>
      </c>
      <c r="D12" s="50">
        <v>586914</v>
      </c>
      <c r="E12" s="50">
        <v>601164</v>
      </c>
      <c r="F12" s="50">
        <v>615611.00000000012</v>
      </c>
      <c r="G12" s="17">
        <f t="shared" si="0"/>
        <v>2204673.5</v>
      </c>
      <c r="H12" s="17">
        <f t="shared" si="1"/>
        <v>161710.99664136817</v>
      </c>
      <c r="I12" s="17">
        <f t="shared" si="2"/>
        <v>2042962.5033586319</v>
      </c>
    </row>
    <row r="13" spans="1:9" ht="15.75" customHeight="1" x14ac:dyDescent="0.25">
      <c r="A13" s="5">
        <f t="shared" si="3"/>
        <v>2035</v>
      </c>
      <c r="B13" s="49">
        <v>142593</v>
      </c>
      <c r="C13" s="50">
        <v>399915.5</v>
      </c>
      <c r="D13" s="50">
        <v>617570.5</v>
      </c>
      <c r="E13" s="50">
        <v>577117.50000000012</v>
      </c>
      <c r="F13" s="50">
        <v>632552</v>
      </c>
      <c r="G13" s="17">
        <f t="shared" si="0"/>
        <v>2227155.5</v>
      </c>
      <c r="H13" s="17">
        <f t="shared" si="1"/>
        <v>163585.55426813907</v>
      </c>
      <c r="I13" s="17">
        <f t="shared" si="2"/>
        <v>2063569.9457318611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FP1cuhZ9v0NoM3Tcxp9JjO3eMcb1HNX3p1H6+MzpOqBjezlJQRAP9zNvEnh23z2qjYyEZddydjDSjbP3vY1qA==" saltValue="7cnhqhPtbd3/w1StDhUys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5.647662292564584E-3</v>
      </c>
    </row>
    <row r="4" spans="1:8" ht="15.75" customHeight="1" x14ac:dyDescent="0.25">
      <c r="B4" s="19" t="s">
        <v>116</v>
      </c>
      <c r="C4" s="101">
        <v>4.4956805691899908E-2</v>
      </c>
    </row>
    <row r="5" spans="1:8" ht="15.75" customHeight="1" x14ac:dyDescent="0.25">
      <c r="B5" s="19" t="s">
        <v>114</v>
      </c>
      <c r="C5" s="101">
        <v>5.8253439183319461E-2</v>
      </c>
    </row>
    <row r="6" spans="1:8" ht="15.75" customHeight="1" x14ac:dyDescent="0.25">
      <c r="B6" s="19" t="s">
        <v>110</v>
      </c>
      <c r="C6" s="101">
        <v>0.22761541946080929</v>
      </c>
    </row>
    <row r="7" spans="1:8" ht="15.75" customHeight="1" x14ac:dyDescent="0.25">
      <c r="B7" s="19" t="s">
        <v>115</v>
      </c>
      <c r="C7" s="101">
        <v>0.41946621615938512</v>
      </c>
    </row>
    <row r="8" spans="1:8" ht="15.75" customHeight="1" x14ac:dyDescent="0.25">
      <c r="B8" s="19" t="s">
        <v>117</v>
      </c>
      <c r="C8" s="101">
        <v>6.7628160069466581E-4</v>
      </c>
    </row>
    <row r="9" spans="1:8" ht="15.75" customHeight="1" x14ac:dyDescent="0.25">
      <c r="B9" s="19" t="s">
        <v>111</v>
      </c>
      <c r="C9" s="101">
        <v>0.1160189422931734</v>
      </c>
    </row>
    <row r="10" spans="1:8" ht="15.75" customHeight="1" x14ac:dyDescent="0.25">
      <c r="B10" s="19" t="s">
        <v>113</v>
      </c>
      <c r="C10" s="101">
        <v>0.12736523331815361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0.22658742251676919</v>
      </c>
      <c r="D14" s="55">
        <v>0.22658742251676919</v>
      </c>
      <c r="E14" s="55">
        <v>0.22658742251676919</v>
      </c>
      <c r="F14" s="55">
        <v>0.22658742251676919</v>
      </c>
    </row>
    <row r="15" spans="1:8" ht="15.75" customHeight="1" x14ac:dyDescent="0.25">
      <c r="B15" s="19" t="s">
        <v>121</v>
      </c>
      <c r="C15" s="101">
        <v>0.41957583896213491</v>
      </c>
      <c r="D15" s="101">
        <v>0.41957583896213491</v>
      </c>
      <c r="E15" s="101">
        <v>0.41957583896213491</v>
      </c>
      <c r="F15" s="101">
        <v>0.41957583896213491</v>
      </c>
    </row>
    <row r="16" spans="1:8" ht="15.75" customHeight="1" x14ac:dyDescent="0.25">
      <c r="B16" s="19" t="s">
        <v>2</v>
      </c>
      <c r="C16" s="101">
        <v>2.6186234356843131E-2</v>
      </c>
      <c r="D16" s="101">
        <v>2.6186234356843131E-2</v>
      </c>
      <c r="E16" s="101">
        <v>2.6186234356843131E-2</v>
      </c>
      <c r="F16" s="101">
        <v>2.6186234356843131E-2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6.9819465328033164E-3</v>
      </c>
      <c r="D19" s="101">
        <v>6.9819465328033164E-3</v>
      </c>
      <c r="E19" s="101">
        <v>6.9819465328033164E-3</v>
      </c>
      <c r="F19" s="101">
        <v>6.9819465328033164E-3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0.2097636405648784</v>
      </c>
      <c r="D21" s="101">
        <v>0.2097636405648784</v>
      </c>
      <c r="E21" s="101">
        <v>0.2097636405648784</v>
      </c>
      <c r="F21" s="101">
        <v>0.2097636405648784</v>
      </c>
    </row>
    <row r="22" spans="1:8" ht="15.75" customHeight="1" x14ac:dyDescent="0.25">
      <c r="B22" s="19" t="s">
        <v>118</v>
      </c>
      <c r="C22" s="101">
        <v>0.110904917066571</v>
      </c>
      <c r="D22" s="101">
        <v>0.110904917066571</v>
      </c>
      <c r="E22" s="101">
        <v>0.110904917066571</v>
      </c>
      <c r="F22" s="101">
        <v>0.110904917066571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5.5319267999999998E-2</v>
      </c>
    </row>
    <row r="27" spans="1:8" ht="15.75" customHeight="1" x14ac:dyDescent="0.25">
      <c r="B27" s="19" t="s">
        <v>108</v>
      </c>
      <c r="C27" s="101">
        <v>5.7497566999999999E-2</v>
      </c>
    </row>
    <row r="28" spans="1:8" ht="15.75" customHeight="1" x14ac:dyDescent="0.25">
      <c r="B28" s="19" t="s">
        <v>122</v>
      </c>
      <c r="C28" s="101">
        <v>0.121345754</v>
      </c>
    </row>
    <row r="29" spans="1:8" ht="15.75" customHeight="1" x14ac:dyDescent="0.25">
      <c r="B29" s="19" t="s">
        <v>105</v>
      </c>
      <c r="C29" s="101">
        <v>0.134813023</v>
      </c>
    </row>
    <row r="30" spans="1:8" ht="15.75" customHeight="1" x14ac:dyDescent="0.25">
      <c r="B30" s="19" t="s">
        <v>4</v>
      </c>
      <c r="C30" s="101">
        <v>8.2522272000000008E-2</v>
      </c>
    </row>
    <row r="31" spans="1:8" ht="15.75" customHeight="1" x14ac:dyDescent="0.25">
      <c r="B31" s="19" t="s">
        <v>99</v>
      </c>
      <c r="C31" s="101">
        <v>6.6025363000000004E-2</v>
      </c>
    </row>
    <row r="32" spans="1:8" ht="15.75" customHeight="1" x14ac:dyDescent="0.25">
      <c r="B32" s="19" t="s">
        <v>104</v>
      </c>
      <c r="C32" s="101">
        <v>0.13353163200000001</v>
      </c>
    </row>
    <row r="33" spans="2:3" ht="15.75" customHeight="1" x14ac:dyDescent="0.25">
      <c r="B33" s="19" t="s">
        <v>119</v>
      </c>
      <c r="C33" s="101">
        <v>0.12639542200000001</v>
      </c>
    </row>
    <row r="34" spans="2:3" ht="15.75" customHeight="1" x14ac:dyDescent="0.25">
      <c r="B34" s="19" t="s">
        <v>106</v>
      </c>
      <c r="C34" s="101">
        <v>0.22254969799999999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p2UTdbia5hnDTd+XmYijGLKmuN7FsKVH0i/9ESpDKRSQxziKKQxDybVAzK3f92suJbGR7GA4ENf1a5k982O9Cg==" saltValue="ygrCUkPF4hhs10CAVz3Px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0.69303933496359948</v>
      </c>
      <c r="D2" s="52">
        <f>IFERROR(1-_xlfn.NORM.DIST(_xlfn.NORM.INV(SUM(D4:D5), 0, 1) + 1, 0, 1, TRUE), "")</f>
        <v>0.69303933496359948</v>
      </c>
      <c r="E2" s="52">
        <f>IFERROR(1-_xlfn.NORM.DIST(_xlfn.NORM.INV(SUM(E4:E5), 0, 1) + 1, 0, 1, TRUE), "")</f>
        <v>0.66975635164707781</v>
      </c>
      <c r="F2" s="52">
        <f>IFERROR(1-_xlfn.NORM.DIST(_xlfn.NORM.INV(SUM(F4:F5), 0, 1) + 1, 0, 1, TRUE), "")</f>
        <v>0.53084929283674709</v>
      </c>
      <c r="G2" s="52">
        <f>IFERROR(1-_xlfn.NORM.DIST(_xlfn.NORM.INV(SUM(G4:G5), 0, 1) + 1, 0, 1, TRUE), "")</f>
        <v>0.73787285110242551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0.24073226503640058</v>
      </c>
      <c r="D3" s="52">
        <f>IFERROR(_xlfn.NORM.DIST(_xlfn.NORM.INV(SUM(D4:D5), 0, 1) + 1, 0, 1, TRUE) - SUM(D4:D5), "")</f>
        <v>0.24073226503640058</v>
      </c>
      <c r="E3" s="52">
        <f>IFERROR(_xlfn.NORM.DIST(_xlfn.NORM.INV(SUM(E4:E5), 0, 1) + 1, 0, 1, TRUE) - SUM(E4:E5), "")</f>
        <v>0.25520244835292216</v>
      </c>
      <c r="F3" s="52">
        <f>IFERROR(_xlfn.NORM.DIST(_xlfn.NORM.INV(SUM(F4:F5), 0, 1) + 1, 0, 1, TRUE) - SUM(F4:F5), "")</f>
        <v>0.32850100716325292</v>
      </c>
      <c r="G3" s="52">
        <f>IFERROR(_xlfn.NORM.DIST(_xlfn.NORM.INV(SUM(G4:G5), 0, 1) + 1, 0, 1, TRUE) - SUM(G4:G5), "")</f>
        <v>0.2112911488975745</v>
      </c>
    </row>
    <row r="4" spans="1:15" ht="15.75" customHeight="1" x14ac:dyDescent="0.25">
      <c r="B4" s="5" t="s">
        <v>129</v>
      </c>
      <c r="C4" s="45">
        <v>4.1479299999999997E-2</v>
      </c>
      <c r="D4" s="53">
        <v>4.1479299999999997E-2</v>
      </c>
      <c r="E4" s="53">
        <v>3.6602099999999999E-2</v>
      </c>
      <c r="F4" s="53">
        <v>8.3300899999999997E-2</v>
      </c>
      <c r="G4" s="53">
        <v>3.9109400000000002E-2</v>
      </c>
    </row>
    <row r="5" spans="1:15" ht="15.75" customHeight="1" x14ac:dyDescent="0.25">
      <c r="B5" s="5" t="s">
        <v>125</v>
      </c>
      <c r="C5" s="45">
        <v>2.47491E-2</v>
      </c>
      <c r="D5" s="53">
        <v>2.47491E-2</v>
      </c>
      <c r="E5" s="53">
        <v>3.8439099999999997E-2</v>
      </c>
      <c r="F5" s="53">
        <v>5.7348800000000012E-2</v>
      </c>
      <c r="G5" s="53">
        <v>1.17266E-2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0.57344980822304226</v>
      </c>
      <c r="D8" s="52">
        <f>IFERROR(1-_xlfn.NORM.DIST(_xlfn.NORM.INV(SUM(D10:D11), 0, 1) + 1, 0, 1, TRUE), "")</f>
        <v>0.57344980822304226</v>
      </c>
      <c r="E8" s="52">
        <f>IFERROR(1-_xlfn.NORM.DIST(_xlfn.NORM.INV(SUM(E10:E11), 0, 1) + 1, 0, 1, TRUE), "")</f>
        <v>0.64413848958487596</v>
      </c>
      <c r="F8" s="52">
        <f>IFERROR(1-_xlfn.NORM.DIST(_xlfn.NORM.INV(SUM(F10:F11), 0, 1) + 1, 0, 1, TRUE), "")</f>
        <v>0.84815751091656355</v>
      </c>
      <c r="G8" s="52">
        <f>IFERROR(1-_xlfn.NORM.DIST(_xlfn.NORM.INV(SUM(G10:G11), 0, 1) + 1, 0, 1, TRUE), "")</f>
        <v>0.80677170645292051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0.30857389177695776</v>
      </c>
      <c r="D9" s="52">
        <f>IFERROR(_xlfn.NORM.DIST(_xlfn.NORM.INV(SUM(D10:D11), 0, 1) + 1, 0, 1, TRUE) - SUM(D10:D11), "")</f>
        <v>0.30857389177695776</v>
      </c>
      <c r="E9" s="52">
        <f>IFERROR(_xlfn.NORM.DIST(_xlfn.NORM.INV(SUM(E10:E11), 0, 1) + 1, 0, 1, TRUE) - SUM(E10:E11), "")</f>
        <v>0.27044671041512403</v>
      </c>
      <c r="F9" s="52">
        <f>IFERROR(_xlfn.NORM.DIST(_xlfn.NORM.INV(SUM(F10:F11), 0, 1) + 1, 0, 1, TRUE) - SUM(F10:F11), "")</f>
        <v>0.1305910890834365</v>
      </c>
      <c r="G9" s="52">
        <f>IFERROR(_xlfn.NORM.DIST(_xlfn.NORM.INV(SUM(G10:G11), 0, 1) + 1, 0, 1, TRUE) - SUM(G10:G11), "")</f>
        <v>0.16221189354707952</v>
      </c>
    </row>
    <row r="10" spans="1:15" ht="15.75" customHeight="1" x14ac:dyDescent="0.25">
      <c r="B10" s="5" t="s">
        <v>126</v>
      </c>
      <c r="C10" s="45">
        <v>7.9689899999999994E-2</v>
      </c>
      <c r="D10" s="53">
        <v>7.9689899999999994E-2</v>
      </c>
      <c r="E10" s="53">
        <v>7.5556600000000002E-2</v>
      </c>
      <c r="F10" s="53">
        <v>1.49783E-2</v>
      </c>
      <c r="G10" s="53">
        <v>2.1933999999999999E-2</v>
      </c>
    </row>
    <row r="11" spans="1:15" ht="15.75" customHeight="1" x14ac:dyDescent="0.25">
      <c r="B11" s="5" t="s">
        <v>138</v>
      </c>
      <c r="C11" s="45">
        <v>3.8286399999999998E-2</v>
      </c>
      <c r="D11" s="53">
        <v>3.8286399999999998E-2</v>
      </c>
      <c r="E11" s="53">
        <v>9.858200000000001E-3</v>
      </c>
      <c r="F11" s="53">
        <v>6.2731000000000002E-3</v>
      </c>
      <c r="G11" s="53">
        <v>9.0824000000000009E-3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0.42014592350000002</v>
      </c>
      <c r="D14" s="54">
        <v>0.39589734507000002</v>
      </c>
      <c r="E14" s="54">
        <v>0.39589734507000002</v>
      </c>
      <c r="F14" s="54">
        <v>0.21073848385800001</v>
      </c>
      <c r="G14" s="54">
        <v>0.21073848385800001</v>
      </c>
      <c r="H14" s="45">
        <v>0.33100000000000002</v>
      </c>
      <c r="I14" s="55">
        <v>0.33100000000000002</v>
      </c>
      <c r="J14" s="55">
        <v>0.33100000000000002</v>
      </c>
      <c r="K14" s="55">
        <v>0.33100000000000002</v>
      </c>
      <c r="L14" s="45">
        <v>0.32600000000000001</v>
      </c>
      <c r="M14" s="55">
        <v>0.32600000000000001</v>
      </c>
      <c r="N14" s="55">
        <v>0.32600000000000001</v>
      </c>
      <c r="O14" s="55">
        <v>0.32600000000000001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0.24883226348472195</v>
      </c>
      <c r="D15" s="52">
        <f t="shared" si="0"/>
        <v>0.2344709944123976</v>
      </c>
      <c r="E15" s="52">
        <f t="shared" si="0"/>
        <v>0.2344709944123976</v>
      </c>
      <c r="F15" s="52">
        <f t="shared" si="0"/>
        <v>0.12481028854186819</v>
      </c>
      <c r="G15" s="52">
        <f t="shared" si="0"/>
        <v>0.12481028854186819</v>
      </c>
      <c r="H15" s="52">
        <f t="shared" si="0"/>
        <v>0.19603541199999996</v>
      </c>
      <c r="I15" s="52">
        <f t="shared" si="0"/>
        <v>0.19603541199999996</v>
      </c>
      <c r="J15" s="52">
        <f t="shared" si="0"/>
        <v>0.19603541199999996</v>
      </c>
      <c r="K15" s="52">
        <f t="shared" si="0"/>
        <v>0.19603541199999996</v>
      </c>
      <c r="L15" s="52">
        <f t="shared" si="0"/>
        <v>0.19307415199999997</v>
      </c>
      <c r="M15" s="52">
        <f t="shared" si="0"/>
        <v>0.19307415199999997</v>
      </c>
      <c r="N15" s="52">
        <f t="shared" si="0"/>
        <v>0.19307415199999997</v>
      </c>
      <c r="O15" s="52">
        <f t="shared" si="0"/>
        <v>0.19307415199999997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JmA91k+paK1xJ3MBsZ4zcc1jKRo7Eo1Mx3W99bPZiHSfK+J2F8eB1nsUAyJs9oFBtvrVnJprjaiIvXuZA0Vhw==" saltValue="9nCJrun+seagHXMXvCfH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0.72355080000000005</v>
      </c>
      <c r="D2" s="53">
        <v>0.52269169999999998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0.2032622</v>
      </c>
      <c r="D3" s="53">
        <v>0.242955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5.5695099999999997E-2</v>
      </c>
      <c r="D4" s="53">
        <v>0.20628199999999999</v>
      </c>
      <c r="E4" s="53">
        <v>0.91475170000000006</v>
      </c>
      <c r="F4" s="53">
        <v>0.4525692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1.7491899999999894E-2</v>
      </c>
      <c r="D5" s="52">
        <f t="shared" si="0"/>
        <v>2.8071300000000021E-2</v>
      </c>
      <c r="E5" s="52">
        <f>1-SUM(E2:E4)</f>
        <v>8.5248299999999944E-2</v>
      </c>
      <c r="F5" s="52">
        <f>1-SUM(F2:F4)</f>
        <v>0.5474308</v>
      </c>
      <c r="G5" s="52">
        <f>1-SUM(G2:G4)</f>
        <v>1</v>
      </c>
    </row>
  </sheetData>
  <sheetProtection algorithmName="SHA-512" hashValue="crx7D/rpvlwSc3ZzdkSDmKEI09rtnZs2791KpUl0lBV+b5OTJB/p8vpKYWlJrVjkNGTU173kb2Yx0O3FEHkhqA==" saltValue="CF8LxYEt8LmwplG6K7Szh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HIn90HLTKxyWDfsAnT6b4XhRm3HPfi8hMH584P++gvgNOG8Xdr2bnA1uZnX+ramYH9a2L+IdATarOjUq61BVA==" saltValue="e2efGiybvNDelPaFm5pJv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8792.5485039672003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0.46814999999999996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1.5498804580748014E-2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95506.346000000005</v>
      </c>
      <c r="C22" s="109">
        <v>95332.113370000006</v>
      </c>
      <c r="D22" s="109">
        <v>95154.856400000004</v>
      </c>
      <c r="E22" s="109">
        <v>94725.022809999995</v>
      </c>
      <c r="F22" s="109">
        <v>94276.60759</v>
      </c>
      <c r="G22" s="109">
        <v>93715.381909999996</v>
      </c>
      <c r="H22" s="109">
        <v>92857.002460000003</v>
      </c>
      <c r="I22" s="109">
        <v>91672.313169999994</v>
      </c>
      <c r="J22" s="109">
        <v>89917.413939999999</v>
      </c>
      <c r="K22" s="109">
        <v>87326.775550000006</v>
      </c>
      <c r="L22" s="109">
        <v>83825.268370000005</v>
      </c>
      <c r="M22" s="109">
        <v>78274.993960000007</v>
      </c>
      <c r="N22" s="109">
        <v>71319.352669999993</v>
      </c>
      <c r="O22" s="109">
        <v>59745.736420000001</v>
      </c>
    </row>
  </sheetData>
  <sheetProtection algorithmName="SHA-512" hashValue="f76s1+tn92gqNZgIIyQfff6EtIy94E+UaVaPPXoNBnLqg7XDYBycnFW8vJmqx1Uqkttw3X4NAp3Qa2nPCaKZtQ==" saltValue="3yeAkRLF2NNkfyVG/UDLV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ruvHm/5JC9wBry8skt5P5q6DEl1WliSZAxdNgrq7L03d9Ng0UfGP83pe34rpsOfmmMpuynaYhgznkgmC44fi7A==" saltValue="UZZ65TUV92Kfng/ba+9fx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WZMuvKP2x3WUPRDJGK8c56asjQFs7HWMXcWkG7HOYLOZc3c+nG36xfUK/XdZdXJVsbD0bwXF7BZboRkSRrVrpQ==" saltValue="CCevO7mW5ek42Jn9vF+eM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12.008526100307062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12.008526100307062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8.8894216990788131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0.40262538382804508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4.1545000000000002E-3</v>
      </c>
      <c r="C10" s="98">
        <v>0.95</v>
      </c>
      <c r="D10" s="56">
        <v>13.33343394759892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13.33343394759892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13.33343394759892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13.33343394759892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4.1545000000000002E-3</v>
      </c>
      <c r="C14" s="98">
        <v>0.95</v>
      </c>
      <c r="D14" s="56">
        <v>13.33343394759892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13.33343394759892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0.81583616000000003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0.52269169999999998</v>
      </c>
      <c r="C18" s="98">
        <v>0.95</v>
      </c>
      <c r="D18" s="56">
        <v>8.8894216990788131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0.52269169999999998</v>
      </c>
      <c r="C19" s="98">
        <v>0.95</v>
      </c>
      <c r="D19" s="56">
        <v>14.66212526903235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8.8894216990788131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4.4801217271030671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0.71505740000000007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4.1545000000000002E-3</v>
      </c>
      <c r="C26" s="98">
        <v>0.95</v>
      </c>
      <c r="D26" s="56">
        <v>5.1498336745138182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11.470990276356194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0.47051290000000001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0.69382099999999991</v>
      </c>
      <c r="C29" s="98">
        <v>0.95</v>
      </c>
      <c r="D29" s="56">
        <v>146.33522929722611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170.92419651995908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1.1057036847492325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0.60461379999999998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4.5502900000000013E-2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0.54961649999999995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0.1089107</v>
      </c>
      <c r="C38" s="98">
        <v>0.95</v>
      </c>
      <c r="D38" s="56">
        <v>2.6374181166837261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AaaQvndhfvo0LlyxUiMEXqlLSy87WFNXliw4nENBdDdRBq3r1pkydTEUkov5wakU3AFtW7IQKlTym44C0yWzKw==" saltValue="IoswQFzkDUNBqEiX2Am6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XCwTfOe/YGTxOR+6j/O+UlovQY9UdajMCMQ5wXoS6v3DrFTqdXkv6bX/pUggLFs8o+Eqc/iC2mBuYDkRRdLFQ==" saltValue="4RGkWQduDLJcTfrENinYn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qtAR58t++3qJMKxp9DdYH5GzgKaDvw5Fz7DOIFyf2ckU1vJNMyfeRr8nQpWr+0PIfM5Mjd08dhmMTHSuPqa5A==" saltValue="fkQiNpv7PsVlplP39e7NR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0.20719373999999999</v>
      </c>
      <c r="C3" s="21">
        <f>frac_mam_1_5months * 2.6</f>
        <v>0.20719373999999999</v>
      </c>
      <c r="D3" s="21">
        <f>frac_mam_6_11months * 2.6</f>
        <v>0.19644716000000001</v>
      </c>
      <c r="E3" s="21">
        <f>frac_mam_12_23months * 2.6</f>
        <v>3.8943579999999998E-2</v>
      </c>
      <c r="F3" s="21">
        <f>frac_mam_24_59months * 2.6</f>
        <v>5.70284E-2</v>
      </c>
    </row>
    <row r="4" spans="1:6" ht="15.75" customHeight="1" x14ac:dyDescent="0.25">
      <c r="A4" s="3" t="s">
        <v>236</v>
      </c>
      <c r="B4" s="21">
        <f>frac_sam_1month * 2.6</f>
        <v>9.9544640000000004E-2</v>
      </c>
      <c r="C4" s="21">
        <f>frac_sam_1_5months * 2.6</f>
        <v>9.9544640000000004E-2</v>
      </c>
      <c r="D4" s="21">
        <f>frac_sam_6_11months * 2.6</f>
        <v>2.5631320000000003E-2</v>
      </c>
      <c r="E4" s="21">
        <f>frac_sam_12_23months * 2.6</f>
        <v>1.6310060000000001E-2</v>
      </c>
      <c r="F4" s="21">
        <f>frac_sam_24_59months * 2.6</f>
        <v>2.3614240000000002E-2</v>
      </c>
    </row>
  </sheetData>
  <sheetProtection algorithmName="SHA-512" hashValue="RhEnX8akwrE2A0tk2oo7v7WgFJLzjCmFHYe48MqiqRSzfTVixz+OFH4EDZwpuwSmolUhEWaVpKm785ZAplUQvQ==" saltValue="v4QvNGzLej3FZTw1xBRUN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0.51400000000000001</v>
      </c>
      <c r="F2" s="60">
        <f>food_insecure</f>
        <v>0.51400000000000001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0.51400000000000001</v>
      </c>
      <c r="F5" s="60">
        <f>food_insecure</f>
        <v>0.51400000000000001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0.51400000000000001</v>
      </c>
      <c r="F8" s="60">
        <f>food_insecure</f>
        <v>0.51400000000000001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0.51400000000000001</v>
      </c>
      <c r="F9" s="60">
        <f>food_insecure</f>
        <v>0.51400000000000001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0.51400000000000001</v>
      </c>
      <c r="I15" s="60">
        <f t="shared" si="0"/>
        <v>0.51400000000000001</v>
      </c>
      <c r="J15" s="60">
        <f t="shared" si="0"/>
        <v>0.51400000000000001</v>
      </c>
      <c r="K15" s="60">
        <f t="shared" si="0"/>
        <v>0.51400000000000001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0.51400000000000001</v>
      </c>
      <c r="I16" s="60">
        <f t="shared" si="0"/>
        <v>0.51400000000000001</v>
      </c>
      <c r="J16" s="60">
        <f t="shared" si="0"/>
        <v>0.51400000000000001</v>
      </c>
      <c r="K16" s="60">
        <f t="shared" si="0"/>
        <v>0.51400000000000001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0.24399999999999999</v>
      </c>
      <c r="M24" s="60">
        <f>famplan_unmet_need</f>
        <v>0.24399999999999999</v>
      </c>
      <c r="N24" s="60">
        <f>famplan_unmet_need</f>
        <v>0.24399999999999999</v>
      </c>
      <c r="O24" s="60">
        <f>famplan_unmet_need</f>
        <v>0.24399999999999999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5.2686117823597993E-2</v>
      </c>
      <c r="M25" s="60">
        <f>(1-food_insecure)*(0.49)+food_insecure*(0.7)</f>
        <v>0.59794000000000003</v>
      </c>
      <c r="N25" s="60">
        <f>(1-food_insecure)*(0.49)+food_insecure*(0.7)</f>
        <v>0.59794000000000003</v>
      </c>
      <c r="O25" s="60">
        <f>(1-food_insecure)*(0.49)+food_insecure*(0.7)</f>
        <v>0.59794000000000003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2.2579764781541993E-2</v>
      </c>
      <c r="M26" s="60">
        <f>(1-food_insecure)*(0.21)+food_insecure*(0.3)</f>
        <v>0.25625999999999999</v>
      </c>
      <c r="N26" s="60">
        <f>(1-food_insecure)*(0.21)+food_insecure*(0.3)</f>
        <v>0.25625999999999999</v>
      </c>
      <c r="O26" s="60">
        <f>(1-food_insecure)*(0.21)+food_insecure*(0.3)</f>
        <v>0.25625999999999999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1.2846834094859996E-2</v>
      </c>
      <c r="M27" s="60">
        <f>(1-food_insecure)*(0.3)</f>
        <v>0.14579999999999999</v>
      </c>
      <c r="N27" s="60">
        <f>(1-food_insecure)*(0.3)</f>
        <v>0.14579999999999999</v>
      </c>
      <c r="O27" s="60">
        <f>(1-food_insecure)*(0.3)</f>
        <v>0.14579999999999999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hfCaYNmzN8dccVlZXeaBnHOmEWCYLbMfT0HhNKtBNgmAgsdt0DB39kBOgl7ERTRifZy2VER5ZMQgpRF9cvABA==" saltValue="N7FPRWYcK2vi9zEmgDS+3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EAzikBcjyDR9YNwI/FMDJYb0J/QE5M3krhjY1Bdryw0jL6JCs3bXHk+Vqm8fJmKgQ+QmFyRGDfixkH/8YMSxmg==" saltValue="V8s9z19Dwl+2hO9WtBn1w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W6gsRqxBDSXBtqxi3qeOCwuf4FKS1eMPHKLPBk0895VMrcWdkqNBufwgNrryj0o4GEYeCE4ZYViwdwtV3lbihg==" saltValue="4NmFyYtg78DADJ9q964BP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the66ljjAIVXgPy/xzgk/LlNWxell1UUOLMKE9lm0Nl5dY+zw3QBrCYcfRqNKIZGvcBv735dVb4E1A5rSoogQ==" saltValue="V0JOOVdB5TvLOSKksKIIU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iAGwUQruKFQ6o/thMm2zOamKiETu2xiQ/beocdxG8dooL6oCNApsAjpRE/SExvipOXdg4nq+uAm7QmbjU1LIXw==" saltValue="Mem4Tdt1lTcY0NXrCymb4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cI3LojEtSjYOgWJJUJopGLtymPfcxesDrRWN06bl9Ul2hJqB9D7Ie8w+5ag8n3d3kf/9P0QvMxQr6uMtTMk/3w==" saltValue="63JtQvMkRBa0ZKniMKMSX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1mnut+bzO0xxvK2js+5ZEjRF/1Y1ywsv0xjR207p0acVpiLLJ0HaGCB5dCP44eIZnMdzc/7+i9g+FTxGyEkxnw==" saltValue="LNRYVcrAOrYmiCuL0L9gJ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u5cg+n3BDyd1z8fPiEC09mKbwfMCW2LAi6jpyjU2QdXI7Pn650olr8xK04X3xV+jtvDYgcYG34mC69/BkFl4sg==" saltValue="OquJQCxpe7T9obp2ZLHB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cC3GBgzw1Wkjm9RyVV2eNISDJaQOATC3s4vCXKFYQ6/HkGsSb3TBIF+XxtQYAbhclbD7lNqXk1HrjEnIR4P5DA==" saltValue="1tvWwRSQHUe/XecJEZqj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4GV+i2mssRZBYuDVIAY8DnFpl1jAzqVFyZHwCoAXM5DoD0Si5T9ED3phKWiFRVCyfhY6t614ttpFw7fx84KTQ==" saltValue="WIJTdIOuIjAK70ErByYR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ShsJCrocGDFTxBTYdmgiw+2Q/uQBT7J2DdrXNdK1OuwflWWnqMfDFhfF5RQL7MdhqPD06jRfDJvAZV44gPEMQ==" saltValue="xrzcApiHUEviJg2/6Cn1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IFN9YTF1nUF547wF/dsjCY37M2uwaPtoLvWujsZ15m5SF5LjVpTjNn3T7LrSq76T9CUUls6T1vhy/XIh82UMw==" saltValue="SL008R3apZ5IlJKBskq4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h9LqvzWdRsm/Ev/fOWAS7/KmWeLzZX8QqthWLvdVaJ94o8IGqTSAQTgO6G8DZX3IePhRA+yB7wsciX8beteXWg==" saltValue="8Mtl+xv8IMcpZiokuscm+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mXMKvuzRZitwcZvxGsvWBCeNEdK4kjTcEv79Lj79lN36DAUEtYTWbz8ySxPod+XAjlmEDXYfYeONt9sxjF+xcw==" saltValue="BXERMmDipobYJFds5Q0X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w6+AeJR8fG6PGcWJSPPW2xBS32JagIt3sgh/+sPacsqDWSAuMU6jxkKGhbfu6/2EEdzoySZPR4gXEUYM8WJlFQ==" saltValue="OUjQgtH8I7ZRYMc1p2J+8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