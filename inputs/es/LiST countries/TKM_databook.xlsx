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FDC3F44-3687-4628-A450-781E603CA803}" xr6:coauthVersionLast="47" xr6:coauthVersionMax="47" xr10:uidLastSave="{00000000-0000-0000-0000-000000000000}"/>
  <bookViews>
    <workbookView xWindow="20" yWindow="38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31" i="2"/>
  <c r="A34" i="2"/>
  <c r="A28" i="2"/>
  <c r="A39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0" i="2"/>
  <c r="A36" i="2"/>
  <c r="A21" i="2"/>
  <c r="A37" i="2"/>
  <c r="A16" i="2"/>
  <c r="A24" i="2"/>
  <c r="A32" i="2"/>
  <c r="A17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<sst xmlns="http://schemas.openxmlformats.org/spreadsheetml/2006/main" count="2101" uniqueCount="341">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</sst>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645700.0859375</v>
      </c>
    </row>
    <row r="8" spans="1:3" ht="15" customHeight="1" x14ac:dyDescent="0.25">
      <c r="B8" s="5" t="s">
        <v>44</v>
      </c>
      <c r="C8" s="44">
        <v>0.51400000000000001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0.91188728330000002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7.4900000000000008E-2</v>
      </c>
    </row>
    <row r="24" spans="1:3" ht="15" customHeight="1" x14ac:dyDescent="0.25">
      <c r="B24" s="15" t="s">
        <v>46</v>
      </c>
      <c r="C24" s="45">
        <v>0.61209999999999998</v>
      </c>
    </row>
    <row r="25" spans="1:3" ht="15" customHeight="1" x14ac:dyDescent="0.25">
      <c r="B25" s="15" t="s">
        <v>47</v>
      </c>
      <c r="C25" s="45">
        <v>0.29770000000000002</v>
      </c>
    </row>
    <row r="26" spans="1:3" ht="15" customHeight="1" x14ac:dyDescent="0.25">
      <c r="B26" s="15" t="s">
        <v>48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0.3567553</v>
      </c>
    </row>
    <row r="30" spans="1:3" ht="14.25" customHeight="1" x14ac:dyDescent="0.25">
      <c r="B30" s="25" t="s">
        <v>63</v>
      </c>
      <c r="C30" s="99">
        <v>6.59106E-2</v>
      </c>
    </row>
    <row r="31" spans="1:3" ht="14.25" customHeight="1" x14ac:dyDescent="0.25">
      <c r="B31" s="25" t="s">
        <v>10</v>
      </c>
      <c r="C31" s="99">
        <v>9.2620400000000006E-2</v>
      </c>
    </row>
    <row r="32" spans="1:3" ht="14.25" customHeight="1" x14ac:dyDescent="0.25">
      <c r="B32" s="25" t="s">
        <v>11</v>
      </c>
      <c r="C32" s="99">
        <v>0.48471370000000003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23.485289999999999</v>
      </c>
    </row>
    <row r="38" spans="1:5" ht="15" customHeight="1" x14ac:dyDescent="0.25">
      <c r="B38" s="11" t="s">
        <v>35</v>
      </c>
      <c r="C38" s="43">
        <v>35.839709999999997</v>
      </c>
      <c r="D38" s="12"/>
      <c r="E38" s="13"/>
    </row>
    <row r="39" spans="1:5" ht="15" customHeight="1" x14ac:dyDescent="0.25">
      <c r="B39" s="11" t="s">
        <v>61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100">
        <v>0.05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5.9560000000000004E-3</v>
      </c>
      <c r="D45" s="12"/>
    </row>
    <row r="46" spans="1:5" ht="15.75" customHeight="1" x14ac:dyDescent="0.25">
      <c r="B46" s="11" t="s">
        <v>51</v>
      </c>
      <c r="C46" s="45">
        <v>6.3996300000000006E-2</v>
      </c>
      <c r="D46" s="12"/>
    </row>
    <row r="47" spans="1:5" ht="15.75" customHeight="1" x14ac:dyDescent="0.25">
      <c r="B47" s="11" t="s">
        <v>59</v>
      </c>
      <c r="C47" s="45">
        <v>7.5337399999999999E-2</v>
      </c>
      <c r="D47" s="12"/>
      <c r="E47" s="13"/>
    </row>
    <row r="48" spans="1:5" ht="15" customHeight="1" x14ac:dyDescent="0.25">
      <c r="B48" s="11" t="s">
        <v>58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0.59225199999999989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B+DIJ6wuEy+FwlG+mqLiN4y5cDRu9MeIwf69AaRsPcTGBPAlWUcjAc0Ff5HVXMBqeLHU/omrHRMFIgGGMarjAw==" saltValue="y6j8noUFFzxX2Km6DToC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128418</v>
      </c>
      <c r="C2" s="49">
        <v>323078.50000000012</v>
      </c>
      <c r="D2" s="49">
        <v>487777.5</v>
      </c>
      <c r="E2" s="49">
        <v>535773.5</v>
      </c>
      <c r="F2" s="49">
        <v>344106</v>
      </c>
      <c r="G2" s="17">
        <f t="shared" ref="G2:G13" si="0">C2+D2+E2+F2</f>
        <v>1690735.5</v>
      </c>
      <c r="H2" s="17">
        <f t="shared" ref="H2:H13" si="1">(B2 + stillbirth*B2/(1000-stillbirth))/(1-abortion)</f>
        <v>147323.70949489722</v>
      </c>
      <c r="I2" s="17">
        <f t="shared" ref="I2:I13" si="2">G2-H2</f>
        <v>1543411.7905051028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126287</v>
      </c>
      <c r="C3" s="50">
        <v>336809.99999999988</v>
      </c>
      <c r="D3" s="50">
        <v>482914</v>
      </c>
      <c r="E3" s="50">
        <v>538376.5</v>
      </c>
      <c r="F3" s="50">
        <v>354613</v>
      </c>
      <c r="G3" s="17">
        <f t="shared" si="0"/>
        <v>1712713.5</v>
      </c>
      <c r="H3" s="17">
        <f t="shared" si="1"/>
        <v>144878.98348348431</v>
      </c>
      <c r="I3" s="17">
        <f t="shared" si="2"/>
        <v>1567834.5165165158</v>
      </c>
    </row>
    <row r="4" spans="1:9" ht="15.75" customHeight="1" x14ac:dyDescent="0.25">
      <c r="A4" s="5">
        <f t="shared" si="3"/>
        <v>2026</v>
      </c>
      <c r="B4" s="49">
        <v>124596</v>
      </c>
      <c r="C4" s="50">
        <v>351667.5</v>
      </c>
      <c r="D4" s="50">
        <v>480980</v>
      </c>
      <c r="E4" s="50">
        <v>536900.5</v>
      </c>
      <c r="F4" s="50">
        <v>366998</v>
      </c>
      <c r="G4" s="17">
        <f t="shared" si="0"/>
        <v>1736546</v>
      </c>
      <c r="H4" s="17">
        <f t="shared" si="1"/>
        <v>142939.03431159351</v>
      </c>
      <c r="I4" s="17">
        <f t="shared" si="2"/>
        <v>1593606.9656884065</v>
      </c>
    </row>
    <row r="5" spans="1:9" ht="15.75" customHeight="1" x14ac:dyDescent="0.25">
      <c r="A5" s="5">
        <f t="shared" si="3"/>
        <v>2027</v>
      </c>
      <c r="B5" s="49">
        <v>123135</v>
      </c>
      <c r="C5" s="50">
        <v>366948.00000000012</v>
      </c>
      <c r="D5" s="50">
        <v>482030.5</v>
      </c>
      <c r="E5" s="50">
        <v>532401.5</v>
      </c>
      <c r="F5" s="50">
        <v>381657.5</v>
      </c>
      <c r="G5" s="17">
        <f t="shared" si="0"/>
        <v>1763037.5</v>
      </c>
      <c r="H5" s="17">
        <f t="shared" si="1"/>
        <v>141262.94576036202</v>
      </c>
      <c r="I5" s="17">
        <f t="shared" si="2"/>
        <v>1621774.5542396379</v>
      </c>
    </row>
    <row r="6" spans="1:9" ht="15.75" customHeight="1" x14ac:dyDescent="0.25">
      <c r="A6" s="5">
        <f t="shared" si="3"/>
        <v>2028</v>
      </c>
      <c r="B6" s="49">
        <v>122157</v>
      </c>
      <c r="C6" s="50">
        <v>381489.99999999988</v>
      </c>
      <c r="D6" s="50">
        <v>486242</v>
      </c>
      <c r="E6" s="50">
        <v>526168</v>
      </c>
      <c r="F6" s="50">
        <v>397661.5</v>
      </c>
      <c r="G6" s="17">
        <f t="shared" si="0"/>
        <v>1791561.5</v>
      </c>
      <c r="H6" s="17">
        <f t="shared" si="1"/>
        <v>140140.96451251509</v>
      </c>
      <c r="I6" s="17">
        <f t="shared" si="2"/>
        <v>1651420.5354874849</v>
      </c>
    </row>
    <row r="7" spans="1:9" ht="15.75" customHeight="1" x14ac:dyDescent="0.25">
      <c r="A7" s="5">
        <f t="shared" si="3"/>
        <v>2029</v>
      </c>
      <c r="B7" s="49">
        <v>121937</v>
      </c>
      <c r="C7" s="50">
        <v>393957.5</v>
      </c>
      <c r="D7" s="50">
        <v>493947.5</v>
      </c>
      <c r="E7" s="50">
        <v>518435</v>
      </c>
      <c r="F7" s="50">
        <v>413358.5</v>
      </c>
      <c r="G7" s="17">
        <f t="shared" si="0"/>
        <v>1819698.5</v>
      </c>
      <c r="H7" s="17">
        <f t="shared" si="1"/>
        <v>139888.576092754</v>
      </c>
      <c r="I7" s="17">
        <f t="shared" si="2"/>
        <v>1679809.923907246</v>
      </c>
    </row>
    <row r="8" spans="1:9" ht="15.75" customHeight="1" x14ac:dyDescent="0.25">
      <c r="A8" s="5">
        <f t="shared" si="3"/>
        <v>2030</v>
      </c>
      <c r="B8" s="49">
        <v>121983</v>
      </c>
      <c r="C8" s="50">
        <v>403290</v>
      </c>
      <c r="D8" s="50">
        <v>505236.5</v>
      </c>
      <c r="E8" s="50">
        <v>510194</v>
      </c>
      <c r="F8" s="50">
        <v>428539</v>
      </c>
      <c r="G8" s="17">
        <f t="shared" si="0"/>
        <v>1847259.5</v>
      </c>
      <c r="H8" s="17">
        <f t="shared" si="1"/>
        <v>139941.34821688588</v>
      </c>
      <c r="I8" s="17">
        <f t="shared" si="2"/>
        <v>1707318.1517831141</v>
      </c>
    </row>
    <row r="9" spans="1:9" ht="15.75" customHeight="1" x14ac:dyDescent="0.25">
      <c r="A9" s="5">
        <f t="shared" si="3"/>
        <v>2031</v>
      </c>
      <c r="B9" s="49">
        <v>122408</v>
      </c>
      <c r="C9" s="50">
        <v>408935.49999999988</v>
      </c>
      <c r="D9" s="50">
        <v>520171</v>
      </c>
      <c r="E9" s="50">
        <v>502054.5</v>
      </c>
      <c r="F9" s="50">
        <v>442429</v>
      </c>
      <c r="G9" s="17">
        <f t="shared" si="0"/>
        <v>1873590</v>
      </c>
      <c r="H9" s="17">
        <f t="shared" si="1"/>
        <v>140428.91675506067</v>
      </c>
      <c r="I9" s="17">
        <f t="shared" si="2"/>
        <v>1733161.0832449393</v>
      </c>
    </row>
    <row r="10" spans="1:9" ht="15.75" customHeight="1" x14ac:dyDescent="0.25">
      <c r="A10" s="5">
        <f t="shared" si="3"/>
        <v>2032</v>
      </c>
      <c r="B10" s="49">
        <v>123959</v>
      </c>
      <c r="C10" s="50">
        <v>410892.5</v>
      </c>
      <c r="D10" s="50">
        <v>538496.5</v>
      </c>
      <c r="E10" s="50">
        <v>493246</v>
      </c>
      <c r="F10" s="50">
        <v>453959</v>
      </c>
      <c r="G10" s="17">
        <f t="shared" si="0"/>
        <v>1896594</v>
      </c>
      <c r="H10" s="17">
        <f t="shared" si="1"/>
        <v>142208.25511437622</v>
      </c>
      <c r="I10" s="17">
        <f t="shared" si="2"/>
        <v>1754385.7448856237</v>
      </c>
    </row>
    <row r="11" spans="1:9" ht="15.75" customHeight="1" x14ac:dyDescent="0.25">
      <c r="A11" s="5">
        <f t="shared" si="3"/>
        <v>2033</v>
      </c>
      <c r="B11" s="49">
        <v>125087</v>
      </c>
      <c r="C11" s="50">
        <v>409638</v>
      </c>
      <c r="D11" s="50">
        <v>558857.5</v>
      </c>
      <c r="E11" s="50">
        <v>484488</v>
      </c>
      <c r="F11" s="50">
        <v>463520.5</v>
      </c>
      <c r="G11" s="17">
        <f t="shared" si="0"/>
        <v>1916504</v>
      </c>
      <c r="H11" s="17">
        <f t="shared" si="1"/>
        <v>143502.31937569662</v>
      </c>
      <c r="I11" s="17">
        <f t="shared" si="2"/>
        <v>1773001.6806243034</v>
      </c>
    </row>
    <row r="12" spans="1:9" ht="15.75" customHeight="1" x14ac:dyDescent="0.25">
      <c r="A12" s="5">
        <f t="shared" si="3"/>
        <v>2034</v>
      </c>
      <c r="B12" s="49">
        <v>126702</v>
      </c>
      <c r="C12" s="50">
        <v>405896</v>
      </c>
      <c r="D12" s="50">
        <v>579770.5</v>
      </c>
      <c r="E12" s="50">
        <v>477294</v>
      </c>
      <c r="F12" s="50">
        <v>470902.5</v>
      </c>
      <c r="G12" s="17">
        <f t="shared" si="0"/>
        <v>1933863</v>
      </c>
      <c r="H12" s="17">
        <f t="shared" si="1"/>
        <v>145355.07982076085</v>
      </c>
      <c r="I12" s="17">
        <f t="shared" si="2"/>
        <v>1788507.9201792392</v>
      </c>
    </row>
    <row r="13" spans="1:9" ht="15.75" customHeight="1" x14ac:dyDescent="0.25">
      <c r="A13" s="5">
        <f t="shared" si="3"/>
        <v>2035</v>
      </c>
      <c r="B13" s="49">
        <v>128249</v>
      </c>
      <c r="C13" s="50">
        <v>400533.5</v>
      </c>
      <c r="D13" s="50">
        <v>600067.5</v>
      </c>
      <c r="E13" s="50">
        <v>472563</v>
      </c>
      <c r="F13" s="50">
        <v>474843.5</v>
      </c>
      <c r="G13" s="17">
        <f t="shared" si="0"/>
        <v>1948007.5</v>
      </c>
      <c r="H13" s="17">
        <f t="shared" si="1"/>
        <v>147129.82929971712</v>
      </c>
      <c r="I13" s="17">
        <f t="shared" si="2"/>
        <v>1800877.6707002828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y/6TUhaFapz2VIgmJclhH89H4d6vnwoY5UyCtuZADLcpv3jMV9tjzbjGU4QjJxlGJTLksHy9ezWmsukjUFrxQ==" saltValue="Lnbg9MX9Mt3F5xlYJ4RdP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5.647662292564584E-3</v>
      </c>
    </row>
    <row r="4" spans="1:8" ht="15.75" customHeight="1" x14ac:dyDescent="0.25">
      <c r="B4" s="19" t="s">
        <v>97</v>
      </c>
      <c r="C4" s="101">
        <v>4.4956805691899908E-2</v>
      </c>
    </row>
    <row r="5" spans="1:8" ht="15.75" customHeight="1" x14ac:dyDescent="0.25">
      <c r="B5" s="19" t="s">
        <v>95</v>
      </c>
      <c r="C5" s="101">
        <v>5.8253439183319461E-2</v>
      </c>
    </row>
    <row r="6" spans="1:8" ht="15.75" customHeight="1" x14ac:dyDescent="0.25">
      <c r="B6" s="19" t="s">
        <v>91</v>
      </c>
      <c r="C6" s="101">
        <v>0.22761541946080929</v>
      </c>
    </row>
    <row r="7" spans="1:8" ht="15.75" customHeight="1" x14ac:dyDescent="0.25">
      <c r="B7" s="19" t="s">
        <v>96</v>
      </c>
      <c r="C7" s="101">
        <v>0.41946621615938512</v>
      </c>
    </row>
    <row r="8" spans="1:8" ht="15.75" customHeight="1" x14ac:dyDescent="0.25">
      <c r="B8" s="19" t="s">
        <v>98</v>
      </c>
      <c r="C8" s="101">
        <v>6.7628160069466581E-4</v>
      </c>
    </row>
    <row r="9" spans="1:8" ht="15.75" customHeight="1" x14ac:dyDescent="0.25">
      <c r="B9" s="19" t="s">
        <v>92</v>
      </c>
      <c r="C9" s="101">
        <v>0.1160189422931734</v>
      </c>
    </row>
    <row r="10" spans="1:8" ht="15.75" customHeight="1" x14ac:dyDescent="0.25">
      <c r="B10" s="19" t="s">
        <v>94</v>
      </c>
      <c r="C10" s="101">
        <v>0.12736523331815361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102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2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99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5.5319267999999998E-2</v>
      </c>
    </row>
    <row r="27" spans="1:8" ht="15.75" customHeight="1" x14ac:dyDescent="0.25">
      <c r="B27" s="19" t="s">
        <v>89</v>
      </c>
      <c r="C27" s="101">
        <v>5.7497566999999999E-2</v>
      </c>
    </row>
    <row r="28" spans="1:8" ht="15.75" customHeight="1" x14ac:dyDescent="0.25">
      <c r="B28" s="19" t="s">
        <v>103</v>
      </c>
      <c r="C28" s="101">
        <v>0.121345754</v>
      </c>
    </row>
    <row r="29" spans="1:8" ht="15.75" customHeight="1" x14ac:dyDescent="0.25">
      <c r="B29" s="19" t="s">
        <v>86</v>
      </c>
      <c r="C29" s="101">
        <v>0.134813023</v>
      </c>
    </row>
    <row r="30" spans="1:8" ht="15.75" customHeight="1" x14ac:dyDescent="0.25">
      <c r="B30" s="19" t="s">
        <v>4</v>
      </c>
      <c r="C30" s="101">
        <v>8.2522272000000008E-2</v>
      </c>
    </row>
    <row r="31" spans="1:8" ht="15.75" customHeight="1" x14ac:dyDescent="0.25">
      <c r="B31" s="19" t="s">
        <v>80</v>
      </c>
      <c r="C31" s="101">
        <v>6.6025363000000004E-2</v>
      </c>
    </row>
    <row r="32" spans="1:8" ht="15.75" customHeight="1" x14ac:dyDescent="0.25">
      <c r="B32" s="19" t="s">
        <v>85</v>
      </c>
      <c r="C32" s="101">
        <v>0.13353163200000001</v>
      </c>
    </row>
    <row r="33" spans="2:3" ht="15.75" customHeight="1" x14ac:dyDescent="0.25">
      <c r="B33" s="19" t="s">
        <v>100</v>
      </c>
      <c r="C33" s="101">
        <v>0.12639542200000001</v>
      </c>
    </row>
    <row r="34" spans="2:3" ht="15.75" customHeight="1" x14ac:dyDescent="0.25">
      <c r="B34" s="19" t="s">
        <v>87</v>
      </c>
      <c r="C34" s="101">
        <v>0.22254969799999999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i78V92TMgvLySa3e6poWxVyPIYpMcXwziy2Rdhaskba5svynADsOznnPxJnJZiw3DcOpnFZpPs69arXL19Fw7A==" saltValue="TwSiipfroegOzBJE71CBl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110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106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107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119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5f4dKQ1Tq7X9yfBL6dHrteJ2sJnzYEiy2D5I6gH/kbAaudiKlYu9YC/K28zxA9ulEGT+g1rS6ytUy+Y8dl03Q==" saltValue="d1ek2Z34vw7KlUfIKxJC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125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6Rx8TwDxphuuB/sh1GDB1t+Tf9EEoutmHNcSJjAsf1JXLEscX81WiVI7t1aWoeh6o/S7T0LeFn1mZN3r3BRYVQ==" saltValue="ceKjYoBHRYHRvhJE3UWtZ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0fgRRG6SEQzPWy07cO8HDvXNYw3KRo6iToZXFeMrl/EUsWV79BQjxXaaCQM25x46/xX2xbcQf3RKoyJ5wjyAQ==" saltValue="kROnY2f5phCwkNIpAaiR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s/vqtU3KUdSsqydu3nt2YdGmIBLHhW/+l8tcBDvWd1qQ137zjHQW1q6Z0Hzs8qKWG/3xvBHmuWydD5peN4NbVQ==" saltValue="/tTcLvtOKmZ3lOv4e0eC+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7irRNcj+mpLHC9w0gGZQKloQQNLBSOwHeXZVszif6NU9I1pTUhHrEQxixyXk3oeWSS/7MN9ajKcEYKvuwf4xQA==" saltValue="FDa8vd5v2HmiMkfhrwyq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KkaS+1uXLtcnAU8E/IECZlTw7UXpaZ/FiMTPXo4mYQ9VAxN7GFfk9IRGWPnXyG/AWiddbOupnIs+hjg6Pf0FOA==" saltValue="DozF/4wEJZknongXiuJE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72.351141899226846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40.201134503803019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638.93341427961911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3.0175835035330199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4.1545000000000002E-3</v>
      </c>
      <c r="C10" s="98">
        <v>0.95</v>
      </c>
      <c r="D10" s="56">
        <v>13.33343394759892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13.33343394759892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13.33343394759892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13.33343394759892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4.1545000000000002E-3</v>
      </c>
      <c r="C14" s="98">
        <v>0.95</v>
      </c>
      <c r="D14" s="56">
        <v>13.33343394759892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13.33343394759892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1.0401997474942739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0.81583616000000003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0.52269169999999998</v>
      </c>
      <c r="C18" s="98">
        <v>0.95</v>
      </c>
      <c r="D18" s="56">
        <v>14.66212526903235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0.52269169999999998</v>
      </c>
      <c r="C19" s="98">
        <v>0.95</v>
      </c>
      <c r="D19" s="56">
        <v>14.66212526903235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29.955109260431911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23.177689212558342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4.4801217271030671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0.71505740000000007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4.1545000000000002E-3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18.89030856229131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0.47051290000000001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0.69382099999999991</v>
      </c>
      <c r="C29" s="98">
        <v>0.95</v>
      </c>
      <c r="D29" s="56">
        <v>146.33522929722611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1.2942957108035691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2.266507375873271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0.60461379999999998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4.5502900000000013E-2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0.54961649999999995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0.1089107</v>
      </c>
      <c r="C38" s="98">
        <v>0.95</v>
      </c>
      <c r="D38" s="56">
        <v>1.3582871652768309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/x9gwwMZYRK9PhP3La5KjZ5725yE3JaN3qQvaL2mKJu0NfEkXvSBv23uwl8MDW75jdzESAlvj08R7NbzbF3HQg==" saltValue="6sqdqTu4F4Typ874rUy4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ZiLR9EhLnazCz5U+dntIiUbOM9RVKTooRT7RolBtnBxdLLvfTWgnXSFYbrUqJDoHthz9+UYTlREuekPdGs/+cg==" saltValue="nfILLdMPORyBFz6sDe5L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2YUZm4tzJZDBWBYoCSY8x2eb0mRmMxcVQfHQO7On7tDciH4I3bKCGmjpXAq/2nsjpzVOrh7qWjkKP+sKEkrQRg==" saltValue="NAVvgKIrWPTssV8xbaqLG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207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JUbWQwFxKAfLEEVQ/lomlOQ6SCRV0VMpWfBciCSTm9p8oQe3muxWSWg2uEPJBG2Nq5DGkt+hART+t/wW58qAFA==" saltValue="s4Yh2c2EbBV5JjocOnbs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3sA2e3uw7P+re5Byvi3wgekuC2wDv9VcjN56HugKlWBA/xZhSV2ccc/NwAjsLgy4IAwpV1kpo2Wq43nbkFVIw==" saltValue="0k16h9zobvE0sHIxDUc0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KHW3Nl1cS5uCHXu+nPM+Ix2U9ryE3deGuumDA9/IJGIvocEew6hvXJESHMuMy5UwcvOiUetX/YqgOkfM0Tgatg==" saltValue="J4nIyNuZbO7alYhNbu4w9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6BgNOxxvhOVSpHghVpFAKZSXF+OMVLoEGGJv5a5KRg11UKfoeQgWGB6w7D8jnDFri93zvraBg8qk0b6IbwAwQ==" saltValue="uYP58jtZJGnuIEgPnX0G+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bAxaGSY1f+sSlHcnXb8vGjVgssET9zDjUYqD3elyvVMt813nfXV9KTxoJl0W0gKegz/a0AksQTM+mDGEoFPuQ==" saltValue="FtI5mKO0/TunceS7/s1p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49Eq0fh5Xs+3qqCfup3DFJmSVpujtc/81xX6Na5d6kh5QPFIxqu7w48euX/X0+DV78h00V16xm+1YEHjoGRWA==" saltValue="gIp17y9TILUVtKmilcpqv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5GjwiC4cteyEHo+O5PzToEfM0884KYeI0yNSZo2PAGz8FrZ61vsqI4LLQ2sd76XTdQs8yHOM2yvdNQ0IRwA4g==" saltValue="MTSnMPBKRJG4ykZdqs8j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OHl/L1ZMHsN43WcbC1nglxz/y8jHjXpfgXPGPayesC2WAORiJt2j4RvGmx+RS464GaJ1VbVls7gbsHe0yV63w==" saltValue="X447muL1aGOkXG41U1X4C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bUL9JcMgtF4rtRylXu0qZ9qQMmsv/SaotJe4AJL5Z8XqqlwHVMwditEQBTARGJiYK1FPuTQ1bkx92i0vOqMTQ==" saltValue="Jw2FRRPFtZgrx0RfKbz5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a9XDgaI+rlNB/jOEB4tkfLzYX2iWY1xGCh+zPXz9CPLCBQ/uFRgWtS5I+vknGVsysiuE4l6Kj58ITVD9iqnuA==" saltValue="eEm/DaHelGnq6nA9Fu/s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eyQsVtwTk44drkZrONdelV4IpSifbFlvKl7ZJ6MAWuglVvPSf8Rlfc3s5O+O9MzYAMqIAYpodcHekiZyGnDfQ==" saltValue="am6HqhtjZMdUYuYV58q8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IVE7i6zWHVLoBicvD277YGRXjajwHiIoYheq+LKawwadp3bhbX9LCBwZVJw/ecbFLElodyk71IsETKDxEL/iw==" saltValue="x/XOhMyNQp1EluCB9zu/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4WwcLq5zBL8cBEQmGQX63rhZHGbouuxyoaQ5sCc7bapTv5dDsywcrlZ+kxN3kKKv0j34FbecGuzUpgoM5K8XA==" saltValue="oh1z635nBeyATyV1I6A+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PBobDOEnvJ9dM8jTj0BgjsVcr9xHB1naSW5J4NK5X0GlhxJUHbhvD0InUrEnIT2fIGOQW9f9c8f+X1Hi08DLA==" saltValue="jGchxDfn7/CBP5tzFv5z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0.10903383450820836</v>
      </c>
      <c r="G18" s="90">
        <f>MIN(MAX(1-0.89/(1-frac_sam_12_23months+(frac_sam_12_23months*0.89)),0),1)</f>
        <v>0.10938543943801515</v>
      </c>
      <c r="H18" s="90">
        <f>MIN(MAX(1-0.89/(1-frac_sam_24_59months+(frac_sam_24_59months*0.89)),0),1)</f>
        <v>0.10910994381690942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0.10254101555454331</v>
      </c>
      <c r="G20" s="90">
        <f>MIN(MAX(1-0.89/(1-frac_mam_12_23months+(frac_mam_12_23months*0.89)),0),1)</f>
        <v>0.10853120442331343</v>
      </c>
      <c r="H20" s="90">
        <f>MIN(MAX(1-0.89/(1-frac_mam_24_59months+(frac_mam_24_59months*0.89)),0),1)</f>
        <v>0.10784746789970023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9.9023941978247931E-3</v>
      </c>
      <c r="G73" s="90">
        <f>MIN(MAX(1-0.99/(1-frac_sam_12_23months+(frac_sam_12_23months*0.99)),0),1)</f>
        <v>9.9378924139290614E-3</v>
      </c>
      <c r="H73" s="90">
        <f>MIN(MAX(1-0.99/(1-frac_sam_24_59months+(frac_sam_24_59months*0.99)),0),1)</f>
        <v>9.9100760727491854E-3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9.2514240614725018E-3</v>
      </c>
      <c r="G75" s="90">
        <f>MIN(MAX(1-0.99/(1-frac_mam_12_23months+(frac_mam_12_23months*0.99)),0),1)</f>
        <v>9.8516926160751028E-3</v>
      </c>
      <c r="H75" s="90">
        <f>MIN(MAX(1-0.99/(1-frac_mam_24_59months+(frac_mam_24_59months*0.99)),0),1)</f>
        <v>9.7828057606155205E-3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0.1984195719648687</v>
      </c>
      <c r="G128" s="90">
        <f>MIN(MAX(1-0.8/(1-frac_sam_12_23months+(frac_sam_12_23months*0.8)),0),1)</f>
        <v>0.19899504316105066</v>
      </c>
      <c r="H128" s="90">
        <f>MIN(MAX(1-0.8/(1-frac_sam_24_59months+(frac_sam_24_59months*0.8)),0),1)</f>
        <v>0.19854417151667658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0.18772545949050812</v>
      </c>
      <c r="G130" s="90">
        <f>MIN(MAX(1-0.8/(1-frac_mam_12_23months+(frac_mam_12_23months*0.8)),0),1)</f>
        <v>0.1975962712459205</v>
      </c>
      <c r="H130" s="90">
        <f>MIN(MAX(1-0.8/(1-frac_mam_24_59months+(frac_mam_24_59months*0.8)),0),1)</f>
        <v>0.1964750969553235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8dh/5jQHiVJdE7Pk3DPEQHGnB2y8vc9ryD7SItdRfGyWFhpbPfbIRJfg9fjokUuU2kV66GPNNM7HhAmVbhTGA==" saltValue="/bKF7/0Sbc1OcErrIVCs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z0MTb4W0yA8la8aZIuqHMKUw5luUTV/gUfq4O7DzutgxQkuuclpSoqA8c2Ze+mpqQ508jtdPmh5Lxx/Ks/0zg==" saltValue="y0+7DQZMvVEmPx4iYGi7l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2024-08-06T08:26:24Z</dcterms:modified>
</cp:coreProperties>
</file>