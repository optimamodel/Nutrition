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88954305-F881-4302-B422-4CE3F92AE28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<sst xmlns="http://schemas.openxmlformats.org/spreadsheetml/2006/main" count="2169" uniqueCount="373">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</sst>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781354.5</v>
      </c>
    </row>
    <row r="8" spans="1:3" ht="15" customHeight="1" x14ac:dyDescent="0.25">
      <c r="B8" s="5" t="s">
        <v>63</v>
      </c>
      <c r="C8" s="44">
        <v>0.51400000000000001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0.91188728330000002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7.4900000000000008E-2</v>
      </c>
    </row>
    <row r="24" spans="1:3" ht="15" customHeight="1" x14ac:dyDescent="0.25">
      <c r="B24" s="15" t="s">
        <v>65</v>
      </c>
      <c r="C24" s="45">
        <v>0.61209999999999998</v>
      </c>
    </row>
    <row r="25" spans="1:3" ht="15" customHeight="1" x14ac:dyDescent="0.25">
      <c r="B25" s="15" t="s">
        <v>66</v>
      </c>
      <c r="C25" s="45">
        <v>0.29770000000000002</v>
      </c>
    </row>
    <row r="26" spans="1:3" ht="15" customHeight="1" x14ac:dyDescent="0.25">
      <c r="B26" s="15" t="s">
        <v>67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0.3567553</v>
      </c>
    </row>
    <row r="30" spans="1:3" ht="14.25" customHeight="1" x14ac:dyDescent="0.25">
      <c r="B30" s="25" t="s">
        <v>82</v>
      </c>
      <c r="C30" s="97">
        <v>6.59106E-2</v>
      </c>
    </row>
    <row r="31" spans="1:3" ht="14.25" customHeight="1" x14ac:dyDescent="0.25">
      <c r="B31" s="25" t="s">
        <v>29</v>
      </c>
      <c r="C31" s="97">
        <v>9.2620400000000006E-2</v>
      </c>
    </row>
    <row r="32" spans="1:3" ht="14.25" customHeight="1" x14ac:dyDescent="0.25">
      <c r="B32" s="25" t="s">
        <v>30</v>
      </c>
      <c r="C32" s="97">
        <v>0.48471370000000003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23.485289999999999</v>
      </c>
    </row>
    <row r="38" spans="1:5" ht="15" customHeight="1" x14ac:dyDescent="0.25">
      <c r="B38" s="11" t="s">
        <v>54</v>
      </c>
      <c r="C38" s="43">
        <v>35.839709999999997</v>
      </c>
      <c r="D38" s="12"/>
      <c r="E38" s="13"/>
    </row>
    <row r="39" spans="1:5" ht="15" customHeight="1" x14ac:dyDescent="0.25">
      <c r="B39" s="11" t="s">
        <v>80</v>
      </c>
      <c r="C39" s="43">
        <v>41.427799999999998</v>
      </c>
      <c r="D39" s="12"/>
      <c r="E39" s="12"/>
    </row>
    <row r="40" spans="1:5" ht="15" customHeight="1" x14ac:dyDescent="0.25">
      <c r="B40" s="11" t="s">
        <v>55</v>
      </c>
      <c r="C40" s="98">
        <v>0.05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5.9560000000000004E-3</v>
      </c>
      <c r="D45" s="12"/>
    </row>
    <row r="46" spans="1:5" ht="15.75" customHeight="1" x14ac:dyDescent="0.25">
      <c r="B46" s="11" t="s">
        <v>70</v>
      </c>
      <c r="C46" s="45">
        <v>6.3996300000000006E-2</v>
      </c>
      <c r="D46" s="12"/>
    </row>
    <row r="47" spans="1:5" ht="15.75" customHeight="1" x14ac:dyDescent="0.25">
      <c r="B47" s="11" t="s">
        <v>78</v>
      </c>
      <c r="C47" s="45">
        <v>7.5337399999999999E-2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0.59225199999999989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oWEHn53XR14ugdLOtpBesm0K0NBTy6hzx86M5HFC9set0e2M0GR2wqMFYxdYgrM3S3uAziG0TQjxCT3fjhjI1w==" saltValue="kf6gSubW4fSVqlVDBLnB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156679</v>
      </c>
      <c r="C2" s="49">
        <v>262486</v>
      </c>
      <c r="D2" s="49">
        <v>579225.5</v>
      </c>
      <c r="E2" s="49">
        <v>606394.5</v>
      </c>
      <c r="F2" s="49">
        <v>460144</v>
      </c>
      <c r="G2" s="17">
        <f t="shared" ref="G2:G13" si="0">C2+D2+E2+F2</f>
        <v>1908250</v>
      </c>
      <c r="H2" s="17">
        <f t="shared" ref="H2:H13" si="1">(B2 + stillbirth*B2/(1000-stillbirth))/(1-abortion)</f>
        <v>179745.2964533866</v>
      </c>
      <c r="I2" s="17">
        <f t="shared" ref="I2:I13" si="2">G2-H2</f>
        <v>1728504.7035466135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152636</v>
      </c>
      <c r="C3" s="50">
        <v>281097</v>
      </c>
      <c r="D3" s="50">
        <v>557430.00000000012</v>
      </c>
      <c r="E3" s="50">
        <v>624588</v>
      </c>
      <c r="F3" s="50">
        <v>468683.99999999994</v>
      </c>
      <c r="G3" s="17">
        <f t="shared" si="0"/>
        <v>1931799</v>
      </c>
      <c r="H3" s="17">
        <f t="shared" si="1"/>
        <v>175107.085630232</v>
      </c>
      <c r="I3" s="17">
        <f t="shared" si="2"/>
        <v>1756691.914369768</v>
      </c>
    </row>
    <row r="4" spans="1:9" ht="15.75" customHeight="1" x14ac:dyDescent="0.25">
      <c r="A4" s="5">
        <f t="shared" si="3"/>
        <v>2026</v>
      </c>
      <c r="B4" s="49">
        <v>148664</v>
      </c>
      <c r="C4" s="50">
        <v>302767</v>
      </c>
      <c r="D4" s="50">
        <v>536613.5</v>
      </c>
      <c r="E4" s="50">
        <v>640364</v>
      </c>
      <c r="F4" s="50">
        <v>479186.5</v>
      </c>
      <c r="G4" s="17">
        <f t="shared" si="0"/>
        <v>1958931</v>
      </c>
      <c r="H4" s="17">
        <f t="shared" si="1"/>
        <v>170550.32743345483</v>
      </c>
      <c r="I4" s="17">
        <f t="shared" si="2"/>
        <v>1788380.6725665452</v>
      </c>
    </row>
    <row r="5" spans="1:9" ht="15.75" customHeight="1" x14ac:dyDescent="0.25">
      <c r="A5" s="5">
        <f t="shared" si="3"/>
        <v>2027</v>
      </c>
      <c r="B5" s="49">
        <v>145078</v>
      </c>
      <c r="C5" s="50">
        <v>324950.5</v>
      </c>
      <c r="D5" s="50">
        <v>519529</v>
      </c>
      <c r="E5" s="50">
        <v>652801.5</v>
      </c>
      <c r="F5" s="50">
        <v>491737</v>
      </c>
      <c r="G5" s="17">
        <f t="shared" si="0"/>
        <v>1989018</v>
      </c>
      <c r="H5" s="17">
        <f t="shared" si="1"/>
        <v>166436.39619134937</v>
      </c>
      <c r="I5" s="17">
        <f t="shared" si="2"/>
        <v>1822581.6038086507</v>
      </c>
    </row>
    <row r="6" spans="1:9" ht="15.75" customHeight="1" x14ac:dyDescent="0.25">
      <c r="A6" s="5">
        <f t="shared" si="3"/>
        <v>2028</v>
      </c>
      <c r="B6" s="49">
        <v>142225</v>
      </c>
      <c r="C6" s="50">
        <v>345222</v>
      </c>
      <c r="D6" s="50">
        <v>508698</v>
      </c>
      <c r="E6" s="50">
        <v>660996.00000000012</v>
      </c>
      <c r="F6" s="50">
        <v>506322</v>
      </c>
      <c r="G6" s="17">
        <f t="shared" si="0"/>
        <v>2021238</v>
      </c>
      <c r="H6" s="17">
        <f t="shared" si="1"/>
        <v>163163.37727508417</v>
      </c>
      <c r="I6" s="17">
        <f t="shared" si="2"/>
        <v>1858074.6227249159</v>
      </c>
    </row>
    <row r="7" spans="1:9" ht="15.75" customHeight="1" x14ac:dyDescent="0.25">
      <c r="A7" s="5">
        <f t="shared" si="3"/>
        <v>2029</v>
      </c>
      <c r="B7" s="49">
        <v>140242</v>
      </c>
      <c r="C7" s="50">
        <v>362298</v>
      </c>
      <c r="D7" s="50">
        <v>505160.5</v>
      </c>
      <c r="E7" s="50">
        <v>664240</v>
      </c>
      <c r="F7" s="50">
        <v>522693.50000000006</v>
      </c>
      <c r="G7" s="17">
        <f t="shared" si="0"/>
        <v>2054392</v>
      </c>
      <c r="H7" s="17">
        <f t="shared" si="1"/>
        <v>160888.43983696503</v>
      </c>
      <c r="I7" s="17">
        <f t="shared" si="2"/>
        <v>1893503.5601630351</v>
      </c>
    </row>
    <row r="8" spans="1:9" ht="15.75" customHeight="1" x14ac:dyDescent="0.25">
      <c r="A8" s="5">
        <f t="shared" si="3"/>
        <v>2030</v>
      </c>
      <c r="B8" s="49">
        <v>139095</v>
      </c>
      <c r="C8" s="50">
        <v>376074</v>
      </c>
      <c r="D8" s="50">
        <v>508494.5</v>
      </c>
      <c r="E8" s="50">
        <v>662145</v>
      </c>
      <c r="F8" s="50">
        <v>540371</v>
      </c>
      <c r="G8" s="17">
        <f t="shared" si="0"/>
        <v>2087084.5</v>
      </c>
      <c r="H8" s="17">
        <f t="shared" si="1"/>
        <v>159572.57839393802</v>
      </c>
      <c r="I8" s="17">
        <f t="shared" si="2"/>
        <v>1927511.921606062</v>
      </c>
    </row>
    <row r="9" spans="1:9" ht="15.75" customHeight="1" x14ac:dyDescent="0.25">
      <c r="A9" s="5">
        <f t="shared" si="3"/>
        <v>2031</v>
      </c>
      <c r="B9" s="49">
        <v>138414</v>
      </c>
      <c r="C9" s="50">
        <v>386714.5</v>
      </c>
      <c r="D9" s="50">
        <v>518656.50000000006</v>
      </c>
      <c r="E9" s="50">
        <v>654674.5</v>
      </c>
      <c r="F9" s="50">
        <v>558951.5</v>
      </c>
      <c r="G9" s="17">
        <f t="shared" si="0"/>
        <v>2118997</v>
      </c>
      <c r="H9" s="17">
        <f t="shared" si="1"/>
        <v>158791.32151276848</v>
      </c>
      <c r="I9" s="17">
        <f t="shared" si="2"/>
        <v>1960205.6784872315</v>
      </c>
    </row>
    <row r="10" spans="1:9" ht="15.75" customHeight="1" x14ac:dyDescent="0.25">
      <c r="A10" s="5">
        <f t="shared" si="3"/>
        <v>2032</v>
      </c>
      <c r="B10" s="49">
        <v>138683</v>
      </c>
      <c r="C10" s="50">
        <v>394382.5</v>
      </c>
      <c r="D10" s="50">
        <v>535657</v>
      </c>
      <c r="E10" s="50">
        <v>641785</v>
      </c>
      <c r="F10" s="50">
        <v>578064.5</v>
      </c>
      <c r="G10" s="17">
        <f t="shared" si="0"/>
        <v>2149889</v>
      </c>
      <c r="H10" s="17">
        <f t="shared" si="1"/>
        <v>159099.92371693088</v>
      </c>
      <c r="I10" s="17">
        <f t="shared" si="2"/>
        <v>1990789.0762830691</v>
      </c>
    </row>
    <row r="11" spans="1:9" ht="15.75" customHeight="1" x14ac:dyDescent="0.25">
      <c r="A11" s="5">
        <f t="shared" si="3"/>
        <v>2033</v>
      </c>
      <c r="B11" s="49">
        <v>139508</v>
      </c>
      <c r="C11" s="50">
        <v>399136</v>
      </c>
      <c r="D11" s="50">
        <v>558880.5</v>
      </c>
      <c r="E11" s="50">
        <v>623531.99999999988</v>
      </c>
      <c r="F11" s="50">
        <v>597176.5</v>
      </c>
      <c r="G11" s="17">
        <f t="shared" si="0"/>
        <v>2178725</v>
      </c>
      <c r="H11" s="17">
        <f t="shared" si="1"/>
        <v>160046.38029103493</v>
      </c>
      <c r="I11" s="17">
        <f t="shared" si="2"/>
        <v>2018678.6197089651</v>
      </c>
    </row>
    <row r="12" spans="1:9" ht="15.75" customHeight="1" x14ac:dyDescent="0.25">
      <c r="A12" s="5">
        <f t="shared" si="3"/>
        <v>2034</v>
      </c>
      <c r="B12" s="49">
        <v>140959</v>
      </c>
      <c r="C12" s="50">
        <v>400984.5</v>
      </c>
      <c r="D12" s="50">
        <v>586914</v>
      </c>
      <c r="E12" s="50">
        <v>601164</v>
      </c>
      <c r="F12" s="50">
        <v>615611.00000000012</v>
      </c>
      <c r="G12" s="17">
        <f t="shared" si="0"/>
        <v>2204673.5</v>
      </c>
      <c r="H12" s="17">
        <f t="shared" si="1"/>
        <v>161710.99664136817</v>
      </c>
      <c r="I12" s="17">
        <f t="shared" si="2"/>
        <v>2042962.5033586319</v>
      </c>
    </row>
    <row r="13" spans="1:9" ht="15.75" customHeight="1" x14ac:dyDescent="0.25">
      <c r="A13" s="5">
        <f t="shared" si="3"/>
        <v>2035</v>
      </c>
      <c r="B13" s="49">
        <v>142593</v>
      </c>
      <c r="C13" s="50">
        <v>399915.5</v>
      </c>
      <c r="D13" s="50">
        <v>617570.5</v>
      </c>
      <c r="E13" s="50">
        <v>577117.50000000012</v>
      </c>
      <c r="F13" s="50">
        <v>632552</v>
      </c>
      <c r="G13" s="17">
        <f t="shared" si="0"/>
        <v>2227155.5</v>
      </c>
      <c r="H13" s="17">
        <f t="shared" si="1"/>
        <v>163585.55426813907</v>
      </c>
      <c r="I13" s="17">
        <f t="shared" si="2"/>
        <v>2063569.9457318611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mHNq/XNxE/4n9SGJmqno07NgKibmMMBM1gU9n7iJtQNZFJNYo2EL55iIbqkFp94FtEGDo7YgSGiHr/mWa5ugg==" saltValue="6G8JsSiMM+IH9l+AUABm2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5.647662292564584E-3</v>
      </c>
    </row>
    <row r="4" spans="1:8" ht="15.75" customHeight="1" x14ac:dyDescent="0.25">
      <c r="B4" s="19" t="s">
        <v>116</v>
      </c>
      <c r="C4" s="99">
        <v>4.4956805691899908E-2</v>
      </c>
    </row>
    <row r="5" spans="1:8" ht="15.75" customHeight="1" x14ac:dyDescent="0.25">
      <c r="B5" s="19" t="s">
        <v>114</v>
      </c>
      <c r="C5" s="99">
        <v>5.8253439183319461E-2</v>
      </c>
    </row>
    <row r="6" spans="1:8" ht="15.75" customHeight="1" x14ac:dyDescent="0.25">
      <c r="B6" s="19" t="s">
        <v>110</v>
      </c>
      <c r="C6" s="99">
        <v>0.22761541946080929</v>
      </c>
    </row>
    <row r="7" spans="1:8" ht="15.75" customHeight="1" x14ac:dyDescent="0.25">
      <c r="B7" s="19" t="s">
        <v>115</v>
      </c>
      <c r="C7" s="99">
        <v>0.41946621615938512</v>
      </c>
    </row>
    <row r="8" spans="1:8" ht="15.75" customHeight="1" x14ac:dyDescent="0.25">
      <c r="B8" s="19" t="s">
        <v>117</v>
      </c>
      <c r="C8" s="99">
        <v>6.7628160069466581E-4</v>
      </c>
    </row>
    <row r="9" spans="1:8" ht="15.75" customHeight="1" x14ac:dyDescent="0.25">
      <c r="B9" s="19" t="s">
        <v>111</v>
      </c>
      <c r="C9" s="99">
        <v>0.1160189422931734</v>
      </c>
    </row>
    <row r="10" spans="1:8" ht="15.75" customHeight="1" x14ac:dyDescent="0.25">
      <c r="B10" s="19" t="s">
        <v>113</v>
      </c>
      <c r="C10" s="99">
        <v>0.12736523331815361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121</v>
      </c>
      <c r="C15" s="99">
        <v>0.41957583896213491</v>
      </c>
      <c r="D15" s="99">
        <v>0.41957583896213491</v>
      </c>
      <c r="E15" s="99">
        <v>0.41957583896213491</v>
      </c>
      <c r="F15" s="99">
        <v>0.41957583896213491</v>
      </c>
    </row>
    <row r="16" spans="1:8" ht="15.75" customHeight="1" x14ac:dyDescent="0.25">
      <c r="B16" s="19" t="s">
        <v>2</v>
      </c>
      <c r="C16" s="99">
        <v>2.6186234356843131E-2</v>
      </c>
      <c r="D16" s="99">
        <v>2.6186234356843131E-2</v>
      </c>
      <c r="E16" s="99">
        <v>2.6186234356843131E-2</v>
      </c>
      <c r="F16" s="99">
        <v>2.6186234356843131E-2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6.9819465328033164E-3</v>
      </c>
      <c r="D19" s="99">
        <v>6.9819465328033164E-3</v>
      </c>
      <c r="E19" s="99">
        <v>6.9819465328033164E-3</v>
      </c>
      <c r="F19" s="99">
        <v>6.9819465328033164E-3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0.2097636405648784</v>
      </c>
      <c r="D21" s="99">
        <v>0.2097636405648784</v>
      </c>
      <c r="E21" s="99">
        <v>0.2097636405648784</v>
      </c>
      <c r="F21" s="99">
        <v>0.2097636405648784</v>
      </c>
    </row>
    <row r="22" spans="1:8" ht="15.75" customHeight="1" x14ac:dyDescent="0.25">
      <c r="B22" s="19" t="s">
        <v>118</v>
      </c>
      <c r="C22" s="99">
        <v>0.110904917066571</v>
      </c>
      <c r="D22" s="99">
        <v>0.110904917066571</v>
      </c>
      <c r="E22" s="99">
        <v>0.110904917066571</v>
      </c>
      <c r="F22" s="99">
        <v>0.110904917066571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5.5319267999999998E-2</v>
      </c>
    </row>
    <row r="27" spans="1:8" ht="15.75" customHeight="1" x14ac:dyDescent="0.25">
      <c r="B27" s="19" t="s">
        <v>108</v>
      </c>
      <c r="C27" s="99">
        <v>5.7497566999999999E-2</v>
      </c>
    </row>
    <row r="28" spans="1:8" ht="15.75" customHeight="1" x14ac:dyDescent="0.25">
      <c r="B28" s="19" t="s">
        <v>122</v>
      </c>
      <c r="C28" s="99">
        <v>0.121345754</v>
      </c>
    </row>
    <row r="29" spans="1:8" ht="15.75" customHeight="1" x14ac:dyDescent="0.25">
      <c r="B29" s="19" t="s">
        <v>105</v>
      </c>
      <c r="C29" s="99">
        <v>0.134813023</v>
      </c>
    </row>
    <row r="30" spans="1:8" ht="15.75" customHeight="1" x14ac:dyDescent="0.25">
      <c r="B30" s="19" t="s">
        <v>4</v>
      </c>
      <c r="C30" s="99">
        <v>8.2522272000000008E-2</v>
      </c>
    </row>
    <row r="31" spans="1:8" ht="15.75" customHeight="1" x14ac:dyDescent="0.25">
      <c r="B31" s="19" t="s">
        <v>99</v>
      </c>
      <c r="C31" s="99">
        <v>6.6025363000000004E-2</v>
      </c>
    </row>
    <row r="32" spans="1:8" ht="15.75" customHeight="1" x14ac:dyDescent="0.25">
      <c r="B32" s="19" t="s">
        <v>104</v>
      </c>
      <c r="C32" s="99">
        <v>0.13353163200000001</v>
      </c>
    </row>
    <row r="33" spans="2:3" ht="15.75" customHeight="1" x14ac:dyDescent="0.25">
      <c r="B33" s="19" t="s">
        <v>119</v>
      </c>
      <c r="C33" s="99">
        <v>0.12639542200000001</v>
      </c>
    </row>
    <row r="34" spans="2:3" ht="15.75" customHeight="1" x14ac:dyDescent="0.25">
      <c r="B34" s="19" t="s">
        <v>106</v>
      </c>
      <c r="C34" s="99">
        <v>0.22254969799999999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jTwCgpxRLwz/JZQT3qXDpVoKyZ+cAL1ZGScm4ckWuS+Q5A1/MXA9hEOxTj3GSdoLAXqRPeWVxDbjUIJGnw8ygQ==" saltValue="XvXLFawb8j2NG2jrV2hPN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129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125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126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138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I3P4wXBM+7tT/a8pNc9NHUgxfES0zQnodUWuEyIuK4Y1CvgJU3+Jsm+cL8zTqwHhddcsQQwt8ZZPtQyTpNTlw==" saltValue="jIi4BJkVVA/fpnczZZRN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1.7491899999999894E-2</v>
      </c>
      <c r="D5" s="52">
        <f t="shared" si="0"/>
        <v>2.8071300000000021E-2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Q4V44MRixaX4ZNIqhXnDrOwjDBV3LO3wLmoAOZOYpNgt7J5XApc8DQ63KwiI2jqN6UjidLyyZ/3HukRBr3byyA==" saltValue="/BQxT+xN0/xfA6gm/g0RG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0mDHNmm0uMnGbcYg/BNn7KRHuiKuL2dpfhPL65ejxaBXtINaK1bnyuSK2K2V0t50a38xiq+2Zirg1sT9DCl5g==" saltValue="QLY0iPYue4p4U9hsGP650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8792.5485039672003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0.46814999999999996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1.5498804580748014E-2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95506.346000000005</v>
      </c>
      <c r="C22" s="107">
        <v>95332.113370000006</v>
      </c>
      <c r="D22" s="107">
        <v>95154.856400000004</v>
      </c>
      <c r="E22" s="107">
        <v>94725.022809999995</v>
      </c>
      <c r="F22" s="107">
        <v>94276.60759</v>
      </c>
      <c r="G22" s="107">
        <v>93715.381909999996</v>
      </c>
      <c r="H22" s="107">
        <v>92857.002460000003</v>
      </c>
      <c r="I22" s="107">
        <v>91672.313169999994</v>
      </c>
      <c r="J22" s="107">
        <v>89917.413939999999</v>
      </c>
      <c r="K22" s="107">
        <v>87326.775550000006</v>
      </c>
      <c r="L22" s="107">
        <v>83825.268370000005</v>
      </c>
      <c r="M22" s="107">
        <v>78274.993960000007</v>
      </c>
      <c r="N22" s="107">
        <v>71319.352669999993</v>
      </c>
      <c r="O22" s="107">
        <v>59745.736420000001</v>
      </c>
    </row>
  </sheetData>
  <sheetProtection algorithmName="SHA-512" hashValue="ShJOg9x+qs0iHCryOF7n58QbHcFFGVpqzRQ2KhxWsClIzamsVXjJ7ThhKqCL8iCglnfQ5NzoFc6VX2nq/lgYXQ==" saltValue="aNuaYS5F3Zez9i3xputff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WHp3XAKKMOz7v1/plzMICpgYTeteJ/BcbKK5AK/db4aw8wKTWymZ94NgZ88WXK1II/hvF7p1c05ZIm+WrH74g==" saltValue="mrvYP7AuYRbKgGq1O5RFh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KSznbHIwZKQMuKmAPRa5y0mr/jo6iErD+GzSy6X17GpXA6VQ94bmWM9qxOMpW/gNtJxKiF3aZAGLbAQfsSoXAw==" saltValue="rEGsYVmJYi1OloUB1LHEB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4.1545000000000002E-3</v>
      </c>
      <c r="C10" s="96">
        <v>0.95</v>
      </c>
      <c r="D10" s="56">
        <v>13.33343394759892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13.33343394759892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13.33343394759892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13.33343394759892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4.1545000000000002E-3</v>
      </c>
      <c r="C14" s="96">
        <v>0.95</v>
      </c>
      <c r="D14" s="56">
        <v>13.33343394759892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13.33343394759892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0.81583616000000003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0.52269169999999998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0.52269169999999998</v>
      </c>
      <c r="C19" s="96">
        <v>0.95</v>
      </c>
      <c r="D19" s="56">
        <v>14.66212526903235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4.4801217271030671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0.71505740000000007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4.1545000000000002E-3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0.47051290000000001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0.69382099999999991</v>
      </c>
      <c r="C29" s="96">
        <v>0.95</v>
      </c>
      <c r="D29" s="56">
        <v>146.33522929722611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0.60461379999999998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4.5502900000000013E-2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0.54961649999999995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0.1089107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ST/xHZLJAKrWexRERPp+a1Z4mlpdmCrFuIdCxEwm74MHgj2VZ9QrO+FQ/fnfuzf0KkiAdoobBM5R9deJQ7DY+w==" saltValue="LZK4LlpKuNHi6OsHs16l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JlnScCkHHAccK7IqvnERbGVX5Fn2oLQ3BVHl6m9Zqs6bk+9ar4+tsxAqntMj2EUqV+Japofo+QdqOoN1Ns8Iw==" saltValue="2VmqiBuQtIGSOJJMExCp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Y2vKJ92Tt4tl8IGcTuV4wDbeBFo3B5uRTQ69PUpdwiqzcLTdpdW5bRUFMVlWFzmUzoLA762J/VORgeYDFN3tQ==" saltValue="vs3lV5/ELVZ/HUoYhWcgi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236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sheetProtection algorithmName="SHA-512" hashValue="3SxyAL+RxoB6Ccb6GZBCSgxsm7EPokZOXR/8KgqQxkgRaj3tSYiHvCBfFu/JtyXlXauNxMabpsFkwHkUxza88g==" saltValue="nJWsuQVXCVBok882YRXWm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0.51400000000000001</v>
      </c>
      <c r="F2" s="60">
        <f>food_insecure</f>
        <v>0.51400000000000001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0.51400000000000001</v>
      </c>
      <c r="I15" s="60">
        <f t="shared" si="0"/>
        <v>0.51400000000000001</v>
      </c>
      <c r="J15" s="60">
        <f t="shared" si="0"/>
        <v>0.51400000000000001</v>
      </c>
      <c r="K15" s="60">
        <f t="shared" si="0"/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0.51400000000000001</v>
      </c>
      <c r="I16" s="60">
        <f t="shared" si="0"/>
        <v>0.51400000000000001</v>
      </c>
      <c r="J16" s="60">
        <f t="shared" si="0"/>
        <v>0.51400000000000001</v>
      </c>
      <c r="K16" s="60">
        <f t="shared" si="0"/>
        <v>0.51400000000000001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o4LXGMVHh3VtNe6lucjKuxotmt9VZTAG6Q4HdJR74c7V0TOSMwDVOv6AP4BJO7NBYRcti6SHfGQf8OSVnldkg==" saltValue="eRd3zFdATeJZFWz1nfqMn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VRedPnhQDtdEe4LckUVC6iJVeg7jQl+wci8PCk1Yo4Ct90hVNs4kdXc9f3agb3v8Gdvnq8Ewv22c/+09GvqRkw==" saltValue="0TgXMcYScKBrDg/84rxTl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hr5lMs/BxdHNgRjiEmHKZeYd7fJxBessvFVx7x8wcVcJWLFbUTDQCuxhoJ48MCY736stPbxjqOKJIinrSZBMA==" saltValue="E2pDc7RZzyQBgOMF9UiqG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ft+NoSlWVbfsrvr/mSa3ebzYFJBJQk0w92fv7v56pJhhl2gsz9GHuUMbEI+MHIeoO9tq//EpYJ/Mab0HmDC7Q==" saltValue="leKef+GhywTHaVHK0NtAm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ZCfdEcc2p6GxtZVsUGAMuy2Jm8/RpGGWhu6qG45K7+SOMao15Xc5kXsak2BMj9DFXoNUtzorOcQnPS5QgkuIww==" saltValue="No/eAbA94e1bdmTnpAwGP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DGaqON+g7W7shZ4b1P+2KaaR7Wf1pqr/Kah5tLWgcg0xbBphFn/XTBbRp0Yk6iz/gj5AtaZ4wpP+rWLiIpSzhg==" saltValue="sR8Q7amNP0lSeUg3ZnY/O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6Ek8Vw2RbFIwSVWmyn+xH9SnctQ8YnElr9BBkU7OcTimte5j2xmAuodJrFdYjXRVkP9V4xZsJUCLSAlG5DGGA==" saltValue="dwbJYq46ckOjZjJiSRegB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lj1R201+J2EnCS4B+brRh17CU6i7R1M/JUl5sEJXx7yTD/IhOhfx8WyT1nTEMoSJv/sDLHFUb1EuOhKHkMLaNQ==" saltValue="kJUFnrXIOMrxAs8rmFUH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YwM1az/kdtwxc1pnasWCD7ykorTiYr6+Sex/uGJ8Kuvs320ydWHZ4fSd1sqNnnbVwrMUBS11pvuwZ/yLPOtUQ==" saltValue="/g8SwbpADR9Ar0gkj9v6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cz321EeXvvJtwOwxdZfT/jnMQDlbvi87TFYbCCjeBR4TPKb4ThZi4/SBgxctQQzWF2HHhrjpNNozzNCACan3w==" saltValue="O2nyHjO2IqyVHpbjGnaE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T96Gj4+ERoD/Ls1V598JlS8VKAyIdnyXfs8t8w+HW5+P4LNHdFcxujwmaaviXybWTz3ipjtnhyJLdC01kO7Lw==" saltValue="JzItKHEqtvYSaoW1IATc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C9IuYAB1ucDNr47TVlKOqPMxu1VevnRZg6NmNDjcPzWsWPcBUAlEUH7pjzjIdeQ0VuI4tCSZ/vuGj4Grigu4A==" saltValue="nhGkQO90MVd2jFMWq3g/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Qq0vjBF9X5/uMSVXuEBU5OdKBrUljNJFU3MxT6MNKzGR9sTFmD56GjswyCLRpyHr8/9EW3H5/WIm/K5aWp7XQ==" saltValue="5uzg7kaSAhH/Ic5ztblj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dlCsjojzumzKFPaz8064F5Wi+PJFATMUexaoZpKi0eUJ0hdvFOiatuWsFh7NsKWHJf/PHVjnSxsHT5WyyjCZqw==" saltValue="xSzVoCDCosdClfFieDyP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g8ED1XdrWc15xrhvs4/Sphpaa3JHbWyjiTMhSADil2cDUg3IDDgR6cgm9vrPCjG0yWDqsuPWJlzf4qrsUudwQ==" saltValue="AZyKjDUSeVBKBjzrgmFll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2025-07-30T01:18:05Z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