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0BE3E6E-F2D2-4883-B8DF-B4B40F043ECC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4" i="2"/>
  <c r="I8" i="2"/>
  <c r="I12" i="2"/>
  <c r="A25" i="2"/>
  <c r="I2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<sst xmlns="http://schemas.openxmlformats.org/spreadsheetml/2006/main" count="2159" uniqueCount="372">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</sst>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4782870</v>
      </c>
    </row>
    <row r="8" spans="1:3" ht="15" customHeight="1" x14ac:dyDescent="0.25">
      <c r="B8" s="5" t="s">
        <v>63</v>
      </c>
      <c r="C8" s="44">
        <v>0.5</v>
      </c>
    </row>
    <row r="9" spans="1:3" ht="15" customHeight="1" x14ac:dyDescent="0.25">
      <c r="B9" s="5" t="s">
        <v>62</v>
      </c>
      <c r="C9" s="45">
        <v>0.89</v>
      </c>
    </row>
    <row r="10" spans="1:3" ht="15" customHeight="1" x14ac:dyDescent="0.25">
      <c r="B10" s="5" t="s">
        <v>75</v>
      </c>
      <c r="C10" s="45">
        <v>0.124236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0.13469999999999999</v>
      </c>
    </row>
    <row r="24" spans="1:3" ht="15" customHeight="1" x14ac:dyDescent="0.25">
      <c r="B24" s="15" t="s">
        <v>65</v>
      </c>
      <c r="C24" s="45">
        <v>0.43480000000000002</v>
      </c>
    </row>
    <row r="25" spans="1:3" ht="15" customHeight="1" x14ac:dyDescent="0.25">
      <c r="B25" s="15" t="s">
        <v>66</v>
      </c>
      <c r="C25" s="45">
        <v>0.33339999999999997</v>
      </c>
    </row>
    <row r="26" spans="1:3" ht="15" customHeight="1" x14ac:dyDescent="0.25">
      <c r="B26" s="15" t="s">
        <v>67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0.14423394649454599</v>
      </c>
    </row>
    <row r="30" spans="1:3" ht="14.25" customHeight="1" x14ac:dyDescent="0.25">
      <c r="B30" s="25" t="s">
        <v>82</v>
      </c>
      <c r="C30" s="99">
        <v>6.1032409192973099E-2</v>
      </c>
    </row>
    <row r="31" spans="1:3" ht="14.25" customHeight="1" x14ac:dyDescent="0.25">
      <c r="B31" s="25" t="s">
        <v>29</v>
      </c>
      <c r="C31" s="99">
        <v>0.136010908276956</v>
      </c>
    </row>
    <row r="32" spans="1:3" ht="14.25" customHeight="1" x14ac:dyDescent="0.25">
      <c r="B32" s="25" t="s">
        <v>30</v>
      </c>
      <c r="C32" s="99">
        <v>0.658722736035525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33.685989999999997</v>
      </c>
    </row>
    <row r="38" spans="1:5" ht="15" customHeight="1" x14ac:dyDescent="0.25">
      <c r="B38" s="11" t="s">
        <v>54</v>
      </c>
      <c r="C38" s="43">
        <v>59.503540000000001</v>
      </c>
      <c r="D38" s="12"/>
      <c r="E38" s="13"/>
    </row>
    <row r="39" spans="1:5" ht="15" customHeight="1" x14ac:dyDescent="0.25">
      <c r="B39" s="11" t="s">
        <v>80</v>
      </c>
      <c r="C39" s="43">
        <v>115.15188000000001</v>
      </c>
      <c r="D39" s="12"/>
      <c r="E39" s="12"/>
    </row>
    <row r="40" spans="1:5" ht="15" customHeight="1" x14ac:dyDescent="0.25">
      <c r="B40" s="11" t="s">
        <v>55</v>
      </c>
      <c r="C40" s="100">
        <v>4.41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7.9196000000000006E-3</v>
      </c>
      <c r="D45" s="12"/>
    </row>
    <row r="46" spans="1:5" ht="15.75" customHeight="1" x14ac:dyDescent="0.25">
      <c r="B46" s="11" t="s">
        <v>70</v>
      </c>
      <c r="C46" s="45">
        <v>8.5095100000000007E-2</v>
      </c>
      <c r="D46" s="12"/>
    </row>
    <row r="47" spans="1:5" ht="15.75" customHeight="1" x14ac:dyDescent="0.25">
      <c r="B47" s="11" t="s">
        <v>78</v>
      </c>
      <c r="C47" s="45">
        <v>7.3469300000000001E-2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3.4319999999999999</v>
      </c>
      <c r="D51" s="12"/>
    </row>
    <row r="52" spans="1:4" ht="15" customHeight="1" x14ac:dyDescent="0.25">
      <c r="B52" s="11" t="s">
        <v>32</v>
      </c>
      <c r="C52" s="100">
        <v>3.4319999999999999</v>
      </c>
    </row>
    <row r="53" spans="1:4" ht="15.75" customHeight="1" x14ac:dyDescent="0.25">
      <c r="B53" s="11" t="s">
        <v>35</v>
      </c>
      <c r="C53" s="100">
        <v>7.331999999999999</v>
      </c>
    </row>
    <row r="54" spans="1:4" ht="15.75" customHeight="1" x14ac:dyDescent="0.25">
      <c r="B54" s="11" t="s">
        <v>33</v>
      </c>
      <c r="C54" s="100">
        <v>5.98</v>
      </c>
    </row>
    <row r="55" spans="1:4" ht="15.75" customHeight="1" x14ac:dyDescent="0.25">
      <c r="B55" s="11" t="s">
        <v>34</v>
      </c>
      <c r="C55" s="100">
        <v>2.2879999999999998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0.41849700000000001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6J9Wujnd+m2hVSW6KtHBXq1sRcP9FhFFWEKd1+bWlCGcH3TvNVZDzG6UaKo76os/nCT7DXW2I/+b3dOhuQfWg==" saltValue="OPhrSPamec738Byh9NY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qk1UbtI817OVLgNFe/3C8TbNvL8YgQk/t//eMawU5Qqdgm8uGR1nFKSI4sOa4s4xLhWysxHrSBoYT1pdi4oZw==" saltValue="m5dKYWjhPxkMS/y1uLFY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4.0116400000000108E-2</v>
      </c>
    </row>
    <row r="4" spans="1:8" ht="15.75" customHeight="1" x14ac:dyDescent="0.25">
      <c r="B4" s="19" t="s">
        <v>116</v>
      </c>
      <c r="C4" s="101">
        <v>0.15844380000000011</v>
      </c>
    </row>
    <row r="5" spans="1:8" ht="15.75" customHeight="1" x14ac:dyDescent="0.25">
      <c r="B5" s="19" t="s">
        <v>114</v>
      </c>
      <c r="C5" s="101">
        <v>0.124777</v>
      </c>
    </row>
    <row r="6" spans="1:8" ht="15.75" customHeight="1" x14ac:dyDescent="0.25">
      <c r="B6" s="19" t="s">
        <v>110</v>
      </c>
      <c r="C6" s="101">
        <v>0.28140640000000011</v>
      </c>
    </row>
    <row r="7" spans="1:8" ht="15.75" customHeight="1" x14ac:dyDescent="0.25">
      <c r="B7" s="19" t="s">
        <v>115</v>
      </c>
      <c r="C7" s="101">
        <v>0.21175369999999999</v>
      </c>
    </row>
    <row r="8" spans="1:8" ht="15.75" customHeight="1" x14ac:dyDescent="0.25">
      <c r="B8" s="19" t="s">
        <v>117</v>
      </c>
      <c r="C8" s="101">
        <v>6.0052000000000074E-3</v>
      </c>
    </row>
    <row r="9" spans="1:8" ht="15.75" customHeight="1" x14ac:dyDescent="0.25">
      <c r="B9" s="19" t="s">
        <v>111</v>
      </c>
      <c r="C9" s="101">
        <v>5.8840899999999842E-2</v>
      </c>
    </row>
    <row r="10" spans="1:8" ht="15.75" customHeight="1" x14ac:dyDescent="0.25">
      <c r="B10" s="19" t="s">
        <v>113</v>
      </c>
      <c r="C10" s="101">
        <v>0.1186565999999999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121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2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109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3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120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98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107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118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8.7709603999999997E-2</v>
      </c>
    </row>
    <row r="27" spans="1:8" ht="15.75" customHeight="1" x14ac:dyDescent="0.25">
      <c r="B27" s="19" t="s">
        <v>108</v>
      </c>
      <c r="C27" s="101">
        <v>8.7931239999999994E-3</v>
      </c>
    </row>
    <row r="28" spans="1:8" ht="15.75" customHeight="1" x14ac:dyDescent="0.25">
      <c r="B28" s="19" t="s">
        <v>122</v>
      </c>
      <c r="C28" s="101">
        <v>0.15523166899999999</v>
      </c>
    </row>
    <row r="29" spans="1:8" ht="15.75" customHeight="1" x14ac:dyDescent="0.25">
      <c r="B29" s="19" t="s">
        <v>105</v>
      </c>
      <c r="C29" s="101">
        <v>0.16945306099999999</v>
      </c>
    </row>
    <row r="30" spans="1:8" ht="15.75" customHeight="1" x14ac:dyDescent="0.25">
      <c r="B30" s="19" t="s">
        <v>4</v>
      </c>
      <c r="C30" s="101">
        <v>0.106213539</v>
      </c>
    </row>
    <row r="31" spans="1:8" ht="15.75" customHeight="1" x14ac:dyDescent="0.25">
      <c r="B31" s="19" t="s">
        <v>99</v>
      </c>
      <c r="C31" s="101">
        <v>0.110723503</v>
      </c>
    </row>
    <row r="32" spans="1:8" ht="15.75" customHeight="1" x14ac:dyDescent="0.25">
      <c r="B32" s="19" t="s">
        <v>104</v>
      </c>
      <c r="C32" s="101">
        <v>1.8926927999999999E-2</v>
      </c>
    </row>
    <row r="33" spans="2:3" ht="15.75" customHeight="1" x14ac:dyDescent="0.25">
      <c r="B33" s="19" t="s">
        <v>119</v>
      </c>
      <c r="C33" s="101">
        <v>8.5375593999999999E-2</v>
      </c>
    </row>
    <row r="34" spans="2:3" ht="15.75" customHeight="1" x14ac:dyDescent="0.25">
      <c r="B34" s="19" t="s">
        <v>106</v>
      </c>
      <c r="C34" s="101">
        <v>0.25757297699999998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lzGkbBUs/mbCKavjCNvusgF41piLmhkc9dvAb9hUHV9RVAwsQF4ncL2q0OMW0zPl6+QPFa5JhjxKRmUMRk33LA==" saltValue="mTMqEVD0ble+h60q8OCA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129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125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126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138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J4TdRjSUFBdFT4jwwbhJucykOaMavmVoTMg4xKihnqBM4HU7swNH+xMzZLATI+oPbc4/mKjgLQIzNFR4LLRuQ==" saltValue="w08ADfIeo+vl2RgAAg4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ZjJ+4CJCCKudtduGAOcqny1xG/BNuSN9vf/yShcAGDcTrrJYAKK12srO1J+ZQmGj8khfa/xF4ZpUrHgVYWTmeg==" saltValue="sJjGBtX70UnKUpxci4Z/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W4EA2tEGuauALRn8xTcULcpEd6Mj3e0FIn+9g13Kf3FNzRzX/JKVzrYXg/Y65/MhYwbqBGen+bY1C1GkkS3gA==" saltValue="UF7Wmgxhv6Ea7yTdKz6a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585.40492917102597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0.27259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0.63524000000000003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1.743804057060052E-2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91802.470350000003</v>
      </c>
      <c r="C22" s="109">
        <v>90363.210579999999</v>
      </c>
      <c r="D22" s="109">
        <v>89021.102700000003</v>
      </c>
      <c r="E22" s="109">
        <v>88460.205249999999</v>
      </c>
      <c r="F22" s="109">
        <v>87710.534190000006</v>
      </c>
      <c r="G22" s="109">
        <v>86787.869500000001</v>
      </c>
      <c r="H22" s="109">
        <v>85648.494890000002</v>
      </c>
      <c r="I22" s="109">
        <v>84172.283219999998</v>
      </c>
      <c r="J22" s="109">
        <v>82158.494680000003</v>
      </c>
      <c r="K22" s="109">
        <v>79465.618359999993</v>
      </c>
      <c r="L22" s="109">
        <v>75573.487370000003</v>
      </c>
      <c r="M22" s="109">
        <v>70252.41171</v>
      </c>
      <c r="N22" s="109">
        <v>62715.294309999997</v>
      </c>
      <c r="O22" s="109">
        <v>53021.462319999999</v>
      </c>
    </row>
  </sheetData>
  <sheetProtection algorithmName="SHA-512" hashValue="Nk+2MMWPtgPzKu5qH5fTZI/GFLYNPBgnavVQFOovkhCD2EmylIyOAk6q8UsBzNd09U3ZgyFONEovO1D8HP9Ltg==" saltValue="7TDGFTdiz4dhz3BCr7sP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dHkyBQL8WhbBkPtzIMFnbgHowqlu49DNzJUJ6HQmjYEI4UG0iBO4Q30keoOW2qBYcYZ8eKbaOGIz4z4XOtWjw==" saltValue="qysEIjiNaNQTgp7fiHvU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XlR7ecn2GMWvZS6t6pp885Otk06FonuHNqlN715m8/GJ+CffN1rOhpiMebJDW8r0Ufv+4Sr78leEq3leSVpVQ==" saltValue="rInZ6O0sc/bNO5Ct5Cbq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0.21243500000000001</v>
      </c>
      <c r="C10" s="98">
        <v>0.95</v>
      </c>
      <c r="D10" s="56">
        <v>15.002033020696739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15.002033020696739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15.002033020696739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15.002033020696739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0.21243500000000001</v>
      </c>
      <c r="C14" s="98">
        <v>0.95</v>
      </c>
      <c r="D14" s="56">
        <v>15.002033020696739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15.002033020696739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0.43648940000000003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3.0533333333333301E-2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0.12774779999999999</v>
      </c>
      <c r="C19" s="98">
        <v>0.95</v>
      </c>
      <c r="D19" s="56">
        <v>6.4354675422780758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0.77252589999999999</v>
      </c>
      <c r="C23" s="98">
        <v>0.95</v>
      </c>
      <c r="D23" s="56">
        <v>4.9019061388624658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0.31826196643066001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0.21243500000000001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0.41242699999999999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0.10511330000000001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51.726402188782487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0.39950000000000002</v>
      </c>
      <c r="C31" s="98">
        <v>0.95</v>
      </c>
      <c r="D31" s="56">
        <v>118.52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0.87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0.24616806296351099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0.20496159999999999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5.0521000000000003E-3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0.41175289999999998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0.29306520000000003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R75NRGbznhfTg22+Ek+bmvcjuRq2/2wLIcxHmp/1PzpexCcmVXV8ZJA2e34Ouyof1ZHzzcO+AU4PKja0rbAbrg==" saltValue="9SO8ZDPFiYhpzwknxSTf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KLgWB12HViIhQO0GzfxgkInqotUnriNC5ib+oNtmu1fq+uzI+2K8whOlm/TPizPa0b65U8By363b4RuJ3LlkQ==" saltValue="CZO0bvyhKrrdZOK6XO8P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2h/yFtYWPU0tXhrvDz3FoxQIadB2ipSm+0ycBxxq124kMTDUKLpRKmUhG02qHnaW30BpizI2nc6NyVs36WVxg==" saltValue="9mA07jV2mUnXr63x7hE4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3.4319999999999999</v>
      </c>
      <c r="C2" s="21">
        <f>'Entradas de población-año base'!C52</f>
        <v>3.4319999999999999</v>
      </c>
      <c r="D2" s="21">
        <f>'Entradas de población-año base'!C53</f>
        <v>7.331999999999999</v>
      </c>
      <c r="E2" s="21">
        <f>'Entradas de población-año base'!C54</f>
        <v>5.98</v>
      </c>
      <c r="F2" s="21">
        <f>'Entradas de población-año base'!C55</f>
        <v>2.2879999999999998</v>
      </c>
    </row>
    <row r="3" spans="1:6" ht="15.75" customHeight="1" x14ac:dyDescent="0.25">
      <c r="A3" s="3" t="s">
        <v>6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236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VmM6qk++WEoO5Yf4l4iMaRNapyYFUfRMdz9X8iSC6e2ZI60xP9xlPfEKQqtcLPAPgNomVE34ljraLJkT0LvQqA==" saltValue="4HRxLueSS2YFbuLSgmxq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0DNSHzOznSIMWabxKwadg28IshOlcFZ1GxGg58qh+3BOqqwGu8tOQRBTvPUKEORZx+Jv5wy+APeijXHfjYhag==" saltValue="VlMsRtgA/UauFHFqrozG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eynMWJtGEeKUJ2qn99Az/wGIRiRkxHWoymTbIRxfIgwMvt9XonW6ocGmXdtSPe0eiJgDZPVz5a+yZ26WK2mYg==" saltValue="PXDAhbvjL7w0kE9fPHjl5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OQGCKGHc+L/e467MiumrWjMTWHaTKnUokeVTFi5yQ4SR5JkgjTbmi1mlhy8WZXz+R0RVqHpv4KN/87wOvTQoA==" saltValue="wnTnYF4WZ0+XWlIZd4Pv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oJM+2kSpCDVliFTPdxQQ0H/naVnVhcIMtyvEIXS/gKdi4ettHPFfl7QftkoozRfpRBkfCbYSBaNp9cgj5iavw==" saltValue="E5ccwS1pUA+Sn+Wmpfv2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hocbjNWHlTSiEVGLMrLOAAnPtEcRjoYb66rKhIDVcg0QWq7+WugSBynN+7XYB3eaG9zyBhLyvjPsdFDNL2QoAQ==" saltValue="REp8Ra+S0rrTKiXIxEvO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NnDmT33LHXP4qAZRZRTyHFQRABQuxkOQADu71vgEbuDeM33bTkaBy98mZQVAfdo7tAzwWOOXWJ4yMjT5Krb5w==" saltValue="b6DoMLtdndb50XbMmSXQ0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NLXjmgxBzxBfdk4y+B2XMbWybr/vIh/4N9fK3kqysS71BbR2EuzO4NgHWEMGXdv1lZba+MHrxkE6U+DAnOf0Q==" saltValue="GTWFTejD5tLXgREQEObJJ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4xy7t8sbhZI9hq8sFbGoo1z+6RT0UNOTm5P89D23dmXgz27H8pi7Hpk81H/xe/YnsNADuzNLi2hlYZkQHVbIA==" saltValue="PsMcvZlxAgKp9SUeA0Rb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uP0th7sPUHesD3zecGMYzBAZJnRidrzepLyWqEkoYqAHBb8qUh0wB8KurlUgmjD/+14vT+3YWdnO0Lakj0flQ==" saltValue="LxZhiRkP1a6idLF3ixeH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0tSKGLjm206tUP1pmXZUh7tJnzXz3Dd8D1tTDD2P/BeEmv4eLCboE2R4yJRZsltgpeIlh52HuxAccZQvjGIgg==" saltValue="6qnJTAwEOy+WsbpW0kj9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cH2JZDmmb2hpaHSqd8VkOtM0+qY0rjxdJ2hkdPWy5Tfrf4CRZ1CtFzGZFjhbDsGcTLlpw4N2u7lABNMV4iXhg==" saltValue="mzjCjistMn8fdLmodwB1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h6KcXC+4jtodhxaCCVaXGA0rz4r3CWpkQ7DP/sGrvj6j+n0Jo/TRcrfgxtZsWorJBEtNkqrS9fqxl/aW3gUUg==" saltValue="ASaNGlpE/KYkXjnW8j9g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Acnb7OKNlgwJJFcLb1+yaK9HnyBUsbIrcRs+17SkQDA4qpZGY60+YfxXJF8LTtBiHKamasyKHvnqKd/AbD5jg==" saltValue="wTkGr/c21BNTjNwxB7AS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zYA2L7dE7p/X5T0e2jp/Bvt8LgeeUR2dTuKcV9yvHoUYo55hB5ZNIdHz+p2qbMVl7fRCpP+/3fjng0BBgC9Hw==" saltValue="rzhiCOESent4pWSHQJxW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62y+vzI4SFf53TP8+uplc++Tm6SStt4WYgjQC0kLGja7CnEOmY+KpPlfBXm+h2/URq1V6WklMrOGco/ePVTHA==" saltValue="MCAsz8v+/1sajC/SAdmS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