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31D2661-7DE8-4624-B3DE-EC254658FBCF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2" i="2"/>
  <c r="A23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33" i="2"/>
  <c r="A16" i="2"/>
  <c r="A25" i="2"/>
  <c r="A17" i="2"/>
  <c r="A3" i="2"/>
  <c r="A18" i="2"/>
  <c r="A27" i="2"/>
  <c r="A19" i="2"/>
  <c r="A28" i="2"/>
  <c r="A37" i="2"/>
  <c r="A24" i="2"/>
  <c r="A34" i="2"/>
  <c r="A26" i="2"/>
  <c r="A35" i="2"/>
  <c r="A36" i="2"/>
  <c r="A20" i="2"/>
  <c r="A29" i="2"/>
  <c r="I10" i="2"/>
  <c r="A21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<sst xmlns="http://schemas.openxmlformats.org/spreadsheetml/2006/main" count="2101" uniqueCount="341">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</sst>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5577436.96875</v>
      </c>
    </row>
    <row r="8" spans="1:3" ht="15" customHeight="1" x14ac:dyDescent="0.25">
      <c r="B8" s="5" t="s">
        <v>44</v>
      </c>
      <c r="C8" s="44">
        <v>0.44500000000000001</v>
      </c>
    </row>
    <row r="9" spans="1:3" ht="15" customHeight="1" x14ac:dyDescent="0.25">
      <c r="B9" s="5" t="s">
        <v>43</v>
      </c>
      <c r="C9" s="45">
        <v>0.89</v>
      </c>
    </row>
    <row r="10" spans="1:3" ht="15" customHeight="1" x14ac:dyDescent="0.25">
      <c r="B10" s="5" t="s">
        <v>56</v>
      </c>
      <c r="C10" s="45">
        <v>0.17105390548706101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0.13469999999999999</v>
      </c>
    </row>
    <row r="24" spans="1:3" ht="15" customHeight="1" x14ac:dyDescent="0.25">
      <c r="B24" s="15" t="s">
        <v>46</v>
      </c>
      <c r="C24" s="45">
        <v>0.43480000000000002</v>
      </c>
    </row>
    <row r="25" spans="1:3" ht="15" customHeight="1" x14ac:dyDescent="0.25">
      <c r="B25" s="15" t="s">
        <v>47</v>
      </c>
      <c r="C25" s="45">
        <v>0.33339999999999997</v>
      </c>
    </row>
    <row r="26" spans="1:3" ht="15" customHeight="1" x14ac:dyDescent="0.25">
      <c r="B26" s="15" t="s">
        <v>48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0.14423394649454599</v>
      </c>
    </row>
    <row r="30" spans="1:3" ht="14.25" customHeight="1" x14ac:dyDescent="0.25">
      <c r="B30" s="25" t="s">
        <v>63</v>
      </c>
      <c r="C30" s="99">
        <v>6.1032409192973099E-2</v>
      </c>
    </row>
    <row r="31" spans="1:3" ht="14.25" customHeight="1" x14ac:dyDescent="0.25">
      <c r="B31" s="25" t="s">
        <v>10</v>
      </c>
      <c r="C31" s="99">
        <v>0.136010908276956</v>
      </c>
    </row>
    <row r="32" spans="1:3" ht="14.25" customHeight="1" x14ac:dyDescent="0.25">
      <c r="B32" s="25" t="s">
        <v>11</v>
      </c>
      <c r="C32" s="99">
        <v>0.658722736035525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33.685989999999997</v>
      </c>
    </row>
    <row r="38" spans="1:5" ht="15" customHeight="1" x14ac:dyDescent="0.25">
      <c r="B38" s="11" t="s">
        <v>35</v>
      </c>
      <c r="C38" s="43">
        <v>59.503540000000001</v>
      </c>
      <c r="D38" s="12"/>
      <c r="E38" s="13"/>
    </row>
    <row r="39" spans="1:5" ht="15" customHeight="1" x14ac:dyDescent="0.25">
      <c r="B39" s="11" t="s">
        <v>61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7.9196000000000006E-3</v>
      </c>
      <c r="D45" s="12"/>
    </row>
    <row r="46" spans="1:5" ht="15.75" customHeight="1" x14ac:dyDescent="0.25">
      <c r="B46" s="11" t="s">
        <v>51</v>
      </c>
      <c r="C46" s="45">
        <v>8.5095100000000007E-2</v>
      </c>
      <c r="D46" s="12"/>
    </row>
    <row r="47" spans="1:5" ht="15.75" customHeight="1" x14ac:dyDescent="0.25">
      <c r="B47" s="11" t="s">
        <v>59</v>
      </c>
      <c r="C47" s="45">
        <v>7.3469300000000001E-2</v>
      </c>
      <c r="D47" s="12"/>
      <c r="E47" s="13"/>
    </row>
    <row r="48" spans="1:5" ht="15" customHeight="1" x14ac:dyDescent="0.25">
      <c r="B48" s="11" t="s">
        <v>58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0.41849700000000001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7N6rF+TbCJStj0sJIQOPLaiBBCcv149v4+XrijiRTKlkBwvVt8Me9ybfBIJCdq994SimYx+PuxbXm2rFM4Tssw==" saltValue="ZFDZXHh+viEz8d2TeNwO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dEf+z7mXrXF7g6Sa3t145q5NySAkE4SFrSUFiw2ltuJWgydENQz4oVfvKfdRdaLGHk0xTt5siqlVpGgHCspqg==" saltValue="iyEVIERNpUizwba1Nzfu7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4.0116400000000108E-2</v>
      </c>
    </row>
    <row r="4" spans="1:8" ht="15.75" customHeight="1" x14ac:dyDescent="0.25">
      <c r="B4" s="19" t="s">
        <v>97</v>
      </c>
      <c r="C4" s="101">
        <v>0.15844380000000011</v>
      </c>
    </row>
    <row r="5" spans="1:8" ht="15.75" customHeight="1" x14ac:dyDescent="0.25">
      <c r="B5" s="19" t="s">
        <v>95</v>
      </c>
      <c r="C5" s="101">
        <v>0.124777</v>
      </c>
    </row>
    <row r="6" spans="1:8" ht="15.75" customHeight="1" x14ac:dyDescent="0.25">
      <c r="B6" s="19" t="s">
        <v>91</v>
      </c>
      <c r="C6" s="101">
        <v>0.28140640000000011</v>
      </c>
    </row>
    <row r="7" spans="1:8" ht="15.75" customHeight="1" x14ac:dyDescent="0.25">
      <c r="B7" s="19" t="s">
        <v>96</v>
      </c>
      <c r="C7" s="101">
        <v>0.21175369999999999</v>
      </c>
    </row>
    <row r="8" spans="1:8" ht="15.75" customHeight="1" x14ac:dyDescent="0.25">
      <c r="B8" s="19" t="s">
        <v>98</v>
      </c>
      <c r="C8" s="101">
        <v>6.0052000000000074E-3</v>
      </c>
    </row>
    <row r="9" spans="1:8" ht="15.75" customHeight="1" x14ac:dyDescent="0.25">
      <c r="B9" s="19" t="s">
        <v>92</v>
      </c>
      <c r="C9" s="101">
        <v>5.8840899999999842E-2</v>
      </c>
    </row>
    <row r="10" spans="1:8" ht="15.75" customHeight="1" x14ac:dyDescent="0.25">
      <c r="B10" s="19" t="s">
        <v>94</v>
      </c>
      <c r="C10" s="101">
        <v>0.1186565999999999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102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2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90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3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101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79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99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8.7709603999999997E-2</v>
      </c>
    </row>
    <row r="27" spans="1:8" ht="15.75" customHeight="1" x14ac:dyDescent="0.25">
      <c r="B27" s="19" t="s">
        <v>89</v>
      </c>
      <c r="C27" s="101">
        <v>8.7931239999999994E-3</v>
      </c>
    </row>
    <row r="28" spans="1:8" ht="15.75" customHeight="1" x14ac:dyDescent="0.25">
      <c r="B28" s="19" t="s">
        <v>103</v>
      </c>
      <c r="C28" s="101">
        <v>0.15523166899999999</v>
      </c>
    </row>
    <row r="29" spans="1:8" ht="15.75" customHeight="1" x14ac:dyDescent="0.25">
      <c r="B29" s="19" t="s">
        <v>86</v>
      </c>
      <c r="C29" s="101">
        <v>0.16945306099999999</v>
      </c>
    </row>
    <row r="30" spans="1:8" ht="15.75" customHeight="1" x14ac:dyDescent="0.25">
      <c r="B30" s="19" t="s">
        <v>4</v>
      </c>
      <c r="C30" s="101">
        <v>0.106213539</v>
      </c>
    </row>
    <row r="31" spans="1:8" ht="15.75" customHeight="1" x14ac:dyDescent="0.25">
      <c r="B31" s="19" t="s">
        <v>80</v>
      </c>
      <c r="C31" s="101">
        <v>0.110723503</v>
      </c>
    </row>
    <row r="32" spans="1:8" ht="15.75" customHeight="1" x14ac:dyDescent="0.25">
      <c r="B32" s="19" t="s">
        <v>85</v>
      </c>
      <c r="C32" s="101">
        <v>1.8926927999999999E-2</v>
      </c>
    </row>
    <row r="33" spans="2:3" ht="15.75" customHeight="1" x14ac:dyDescent="0.25">
      <c r="B33" s="19" t="s">
        <v>100</v>
      </c>
      <c r="C33" s="101">
        <v>8.5375593999999999E-2</v>
      </c>
    </row>
    <row r="34" spans="2:3" ht="15.75" customHeight="1" x14ac:dyDescent="0.25">
      <c r="B34" s="19" t="s">
        <v>87</v>
      </c>
      <c r="C34" s="101">
        <v>0.25757297699999998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vsQ/xXwkcWKvfxe/FkW1HGahWejLvUFasmxaW58GTAr2biWAhh2G+YwD6hrJUuCxAx4W8VKPI9hJWB59dg/6RQ==" saltValue="Fk7NDhP0G5+HDV39L9Ej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110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106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107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119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QA4vYA3j5337XT54TC6J3DIFntna0rylWjyyPpVdhR8j4BL+uX0PgVNTsegTy4hzgXo9D2ZUOSxXCzXoeiTFQ==" saltValue="H1VYcm+cetK/lqqk/Omm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125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/ERCo3OccsgZASeJo7rluFmeEOR93FhsBKiSdEEdWORPkhb8bbcD9EOQd2RKG+mIb2lPnMQ4cEbMhom5AGGeLw==" saltValue="31JaJvxQV0Wt0VWIWNUi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ywAnwIo0C17+0qGHkqAHOYSkXVHr0+ZI2cz0EZ0GmnCoHzPOQKX0q0FyHdSgtS7HvEblsHcCdIEfr+5IFw0FQ==" saltValue="YEpFBxrfLPtdFMdzM1jc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FfiHAjcOGj/WGedFM5GdzN5RCQGwww+FPrj43M5Cttw8wdwrioP0snM6oA9dl0Yo8lztFOC5p/eqkBUa/6g2nw==" saltValue="siC53uZ0ioY4/G+uyxXu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o2VcYuafJFzUqIP4cck1k6vnFmdSvLqJvbRiuGwPO8Tzy2ZBNy/COIKi99vn6F0J9GasXGGO2JiRtll9KwFw1w==" saltValue="eM48A9VURT3/CK/BlWzjJ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3Q8UQ12WdufPBQry07wx3bGot8gbHasRuADSZLSiUj33Vtj5w6nCPqcSVSG6iGBi/Mh4tbEyG3evGoWVWTVJzA==" saltValue="3Iw3WhK9xCYHmrdeFn5M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15.843861182529929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6.4354675422780758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7.0381714927296612E-2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0.419850339385831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0.21243500000000001</v>
      </c>
      <c r="C10" s="98">
        <v>0.95</v>
      </c>
      <c r="D10" s="56">
        <v>15.002033020696739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15.002033020696739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15.002033020696739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15.002033020696739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0.21243500000000001</v>
      </c>
      <c r="C14" s="98">
        <v>0.95</v>
      </c>
      <c r="D14" s="56">
        <v>15.002033020696739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15.002033020696739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0.43648940000000003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3.0533333333333301E-2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</v>
      </c>
      <c r="C18" s="98">
        <v>0.95</v>
      </c>
      <c r="D18" s="56">
        <v>6.4354675422780758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0.12774779999999999</v>
      </c>
      <c r="C19" s="98">
        <v>0.95</v>
      </c>
      <c r="D19" s="56">
        <v>6.4354675422780758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25.542261036937091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0.77252589999999999</v>
      </c>
      <c r="C23" s="98">
        <v>0.95</v>
      </c>
      <c r="D23" s="56">
        <v>4.9019061388624658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0.31826196643066001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0.21243500000000001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0.41242699999999999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0.10511330000000001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0.39950000000000002</v>
      </c>
      <c r="C31" s="98">
        <v>0.95</v>
      </c>
      <c r="D31" s="56">
        <v>206.3543534195243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0.93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0.2461681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0.20496159999999999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5.0521000000000003E-3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0.41175289999999998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0.29306520000000003</v>
      </c>
      <c r="C38" s="98">
        <v>0.95</v>
      </c>
      <c r="D38" s="56">
        <v>1.1069004172718291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y66MUjxJy9PsKKMJt4MYIkAZviVdwNLb1tqKPoO27cQFmiKi+qDT5gPDPWESfUMUEea4WQlnfVA9nzlkVuZVyg==" saltValue="dZK0D9mrGuS7bNGFIyVV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j88+9IclDgHHRqm0zxYvZvO94L78x8hsiMuFcMA6Wz72uTPZP1WJKlVnfcwNgfpj7Mty+UD6oHSbnQw34Zwfog==" saltValue="eaic1xbHXy51Ttq7uGu1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t8bCnX2Cee1jGecHIrNVPFEtePApyY5W4JBLU2ZpfNkDlqG2gv+tkGexcfcyknwlcpZw6aiHkm3AKqY3UYtCQ==" saltValue="aFwMp1eznEhGVRVQh/F0F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207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I9q7+3E0IZZcWRTuL6eSIBaDoGrS7pE1hJJjgpwCwH+vgGbw9aoVMUIHS0XbEyT1SqRonmPNc/1gCQq1ZcSH0g==" saltValue="jh4BS9aH563SDIvbyfGH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/30+GJ2JW4/AQNDBmkpqmH5X/rQPcIRQOiUAEIKn5YC5fXGaUDotuLL2s8QhanuZhd9ZXxd/5RkftltxIGYFQ==" saltValue="KUTNpVnW6+G7fr+Oz82+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+tZjqKVhq/mASB6+QM8EGhS8Rh9Ahl1aPQvElpcHnkaiPEWptcCGpi30QEi1+0be6lZO/OwLD8Xc4m1tgwvGA==" saltValue="inEZKW1h3SsDFSM/oJADL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wUjYS1QsbkxtfVxoBFj37AazKcgKy4Te/rbK6J5Ohd0VV1KAjLtD4CEHlN3Qf39hfSKELSLhQ7VbAjGpmptNA==" saltValue="T/0S7MOdFctVToLbQHJH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dAX7jyE4s+AXggQnn9NP1meoKjQQoeMhCMdHvEom6iAVO/43prG0HO9XYPXiQamtMlWu/yQleS5oGqjgBXdUg==" saltValue="ATALLT/nWF8Zb+K02Ecm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1L+h51GCqnuFWdq6Fn2hzK0S+3xkeTWJImLfnoOGjzTFR/u/NK6pIHGGjqYlZxLHqVl7ya8qH1ZB2auU/7UJg==" saltValue="4w6ceGPQyec99ukyNPQDU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nUQk3+ZM2hqFzCgnO11/DYjBuSQkUiKyfX/uZNJXZzf5zKz6d7i8qOyJiX/ufq6febVo0/ysotRUSAAN1fwDQ==" saltValue="EULlB2PDt4WUDpSGHoch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a3nDAFFeJEcNW/ZlE2UbzlI473NyOVKoPvhO3gZi22mtO2M/mVdpLG4H2TayFajSKYzmyQF438yJuyW+oEXMA==" saltValue="yf3vs3sjhUDPxLHE1MKkO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dfoDrCVw1PVjMj+IF7y4QwMTOA1IlhpzH24phbWC/YE6wGEC7zbaioxmnr2wVg6d35XxzUo7ZW/jra5r5AG5A==" saltValue="IvyfjGQI/dlGaNVICidt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ldgo1pycxokiC5KWmxBEULlicsy6yMLRNQqErImYUNV3aYkuDgvXBMxoCPMPryc6ZyPH49rTrcWoIAHEYyeHQ==" saltValue="IwIIYfLA4o9InUTx3uFp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OPxVIqqmiehoBZ19pc62IEY7D/2BJX409u8UGRFF/Q96QU1+ddgbs9AW0ig4KCjn0ZdFJdB/eHqTXXGr6YdxA==" saltValue="Siz0+vT+FO8l/LZUqwzC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TBRjIiV0k5EiIHHpuPKkEy5CCVu9t9UrznMPQZxhFzsq+Uvk5ZslMLeiAOcRE7S9mKr2HaE0W6gZU/BbhSA4A==" saltValue="qJMiP2c23yd5Qem1joAn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00aro6AJQfs7Q1TYBBL8s1Dn8/phFEmlzEPKMhcmebAxQ7qaINETwn+39kI/Qe7uN6YUSFTIg+vHHp/7XyaDQ==" saltValue="XAjuiV9IetS+mUt3xjVG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vYQ+nuUGUx19leJZBFJrQ8jM6vAYZBzAqfOo6pn9H46X7UVoSxHVnJ2gge1GPY0qQ6aD1luNpi68FLV2XAK0g==" saltValue="IBhtoLVZL7XjBIZKGefA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9.6536167274830276E-2</v>
      </c>
      <c r="G18" s="90">
        <f>MIN(MAX(1-0.89/(1-frac_sam_12_23months+(frac_sam_12_23months*0.89)),0),1)</f>
        <v>0.10168103457534017</v>
      </c>
      <c r="H18" s="90">
        <f>MIN(MAX(1-0.89/(1-frac_sam_24_59months+(frac_sam_24_59months*0.89)),0),1)</f>
        <v>0.10517175735459328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9.30984725488605E-2</v>
      </c>
      <c r="G20" s="90">
        <f>MIN(MAX(1-0.89/(1-frac_mam_12_23months+(frac_mam_12_23months*0.89)),0),1)</f>
        <v>9.2292059521473457E-2</v>
      </c>
      <c r="H20" s="90">
        <f>MIN(MAX(1-0.89/(1-frac_mam_24_59months+(frac_mam_24_59months*0.89)),0),1)</f>
        <v>0.1013199849422024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8.6569591799312562E-3</v>
      </c>
      <c r="G73" s="90">
        <f>MIN(MAX(1-0.99/(1-frac_sam_12_23months+(frac_sam_12_23months*0.99)),0),1)</f>
        <v>9.1658444678137663E-3</v>
      </c>
      <c r="H73" s="90">
        <f>MIN(MAX(1-0.99/(1-frac_sam_24_59months+(frac_sam_24_59months*0.99)),0),1)</f>
        <v>9.5141468793272788E-3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8.3198627860876506E-3</v>
      </c>
      <c r="G75" s="90">
        <f>MIN(MAX(1-0.99/(1-frac_mam_12_23months+(frac_mam_12_23months*0.99)),0),1)</f>
        <v>8.2411235667165794E-3</v>
      </c>
      <c r="H75" s="90">
        <f>MIN(MAX(1-0.99/(1-frac_mam_24_59months+(frac_mam_24_59months*0.99)),0),1)</f>
        <v>9.1299596249584392E-3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0.17772001123810055</v>
      </c>
      <c r="G128" s="90">
        <f>MIN(MAX(1-0.8/(1-frac_sam_12_23months+(frac_sam_12_23months*0.8)),0),1)</f>
        <v>0.18629936436961148</v>
      </c>
      <c r="H128" s="90">
        <f>MIN(MAX(1-0.8/(1-frac_sam_24_59months+(frac_sam_24_59months*0.8)),0),1)</f>
        <v>0.19207392200443218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0.1719415199431571</v>
      </c>
      <c r="G130" s="90">
        <f>MIN(MAX(1-0.8/(1-frac_mam_12_23months+(frac_mam_12_23months*0.8)),0),1)</f>
        <v>0.1705806275668974</v>
      </c>
      <c r="H130" s="90">
        <f>MIN(MAX(1-0.8/(1-frac_mam_24_59months+(frac_mam_24_59months*0.8)),0),1)</f>
        <v>0.18569996304910008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crvphNP1KSBv0xTCVE9nZmG1zxQZ3/AyA7WG0rDbBPbeTknzzp9gET35oyZbx/sPITJUhUKtX1ntVINM+sEdw==" saltValue="2FmdSdjAKy6/KPTtyf1h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iXUq8eKdkH7KIoGaSWgfgrFHRuL2RhN+pF6h7R/TSm5X9sR6KHTH1X8lWdS8qcTrywEd+jmmepFKmK7Hr/LRQ==" saltValue="ktz6fCy25vblEe54F39SS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2024-08-06T08:06:06Z</dcterms:modified>
</cp:coreProperties>
</file>