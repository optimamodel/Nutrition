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BECB5DDD-C14B-41FE-A673-141E25CF95CD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39" i="2" l="1"/>
  <c r="A35" i="2"/>
  <c r="A36" i="2"/>
  <c r="I13" i="2"/>
  <c r="A37" i="2"/>
  <c r="A19" i="2"/>
  <c r="A22" i="2"/>
  <c r="A23" i="2"/>
  <c r="A24" i="2"/>
  <c r="A40" i="2"/>
  <c r="I4" i="2"/>
  <c r="A25" i="2"/>
  <c r="A26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<sst xmlns="http://schemas.openxmlformats.org/spreadsheetml/2006/main" count="2169" uniqueCount="373">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</sst>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4782870</v>
      </c>
    </row>
    <row r="8" spans="1:3" ht="15" customHeight="1" x14ac:dyDescent="0.25">
      <c r="B8" s="5" t="s">
        <v>63</v>
      </c>
      <c r="C8" s="44">
        <v>0.5</v>
      </c>
    </row>
    <row r="9" spans="1:3" ht="15" customHeight="1" x14ac:dyDescent="0.25">
      <c r="B9" s="5" t="s">
        <v>62</v>
      </c>
      <c r="C9" s="45">
        <v>0.89</v>
      </c>
    </row>
    <row r="10" spans="1:3" ht="15" customHeight="1" x14ac:dyDescent="0.25">
      <c r="B10" s="5" t="s">
        <v>75</v>
      </c>
      <c r="C10" s="45">
        <v>0.124236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0.54600000000000004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0.13469999999999999</v>
      </c>
    </row>
    <row r="24" spans="1:3" ht="15" customHeight="1" x14ac:dyDescent="0.25">
      <c r="B24" s="15" t="s">
        <v>65</v>
      </c>
      <c r="C24" s="45">
        <v>0.43480000000000002</v>
      </c>
    </row>
    <row r="25" spans="1:3" ht="15" customHeight="1" x14ac:dyDescent="0.25">
      <c r="B25" s="15" t="s">
        <v>66</v>
      </c>
      <c r="C25" s="45">
        <v>0.33339999999999997</v>
      </c>
    </row>
    <row r="26" spans="1:3" ht="15" customHeight="1" x14ac:dyDescent="0.25">
      <c r="B26" s="15" t="s">
        <v>67</v>
      </c>
      <c r="C26" s="45">
        <v>9.7100000000000006E-2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0.14423394649454599</v>
      </c>
    </row>
    <row r="30" spans="1:3" ht="14.25" customHeight="1" x14ac:dyDescent="0.25">
      <c r="B30" s="25" t="s">
        <v>82</v>
      </c>
      <c r="C30" s="97">
        <v>6.1032409192973099E-2</v>
      </c>
    </row>
    <row r="31" spans="1:3" ht="14.25" customHeight="1" x14ac:dyDescent="0.25">
      <c r="B31" s="25" t="s">
        <v>29</v>
      </c>
      <c r="C31" s="97">
        <v>0.136010908276956</v>
      </c>
    </row>
    <row r="32" spans="1:3" ht="14.25" customHeight="1" x14ac:dyDescent="0.25">
      <c r="B32" s="25" t="s">
        <v>30</v>
      </c>
      <c r="C32" s="97">
        <v>0.658722736035525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33.685989999999997</v>
      </c>
    </row>
    <row r="38" spans="1:5" ht="15" customHeight="1" x14ac:dyDescent="0.25">
      <c r="B38" s="11" t="s">
        <v>54</v>
      </c>
      <c r="C38" s="43">
        <v>59.503540000000001</v>
      </c>
      <c r="D38" s="12"/>
      <c r="E38" s="13"/>
    </row>
    <row r="39" spans="1:5" ht="15" customHeight="1" x14ac:dyDescent="0.25">
      <c r="B39" s="11" t="s">
        <v>80</v>
      </c>
      <c r="C39" s="43">
        <v>115.15188000000001</v>
      </c>
      <c r="D39" s="12"/>
      <c r="E39" s="12"/>
    </row>
    <row r="40" spans="1:5" ht="15" customHeight="1" x14ac:dyDescent="0.25">
      <c r="B40" s="11" t="s">
        <v>55</v>
      </c>
      <c r="C40" s="98">
        <v>4.41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21.444690000000001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7.9196000000000006E-3</v>
      </c>
      <c r="D45" s="12"/>
    </row>
    <row r="46" spans="1:5" ht="15.75" customHeight="1" x14ac:dyDescent="0.25">
      <c r="B46" s="11" t="s">
        <v>70</v>
      </c>
      <c r="C46" s="45">
        <v>8.5095100000000007E-2</v>
      </c>
      <c r="D46" s="12"/>
    </row>
    <row r="47" spans="1:5" ht="15.75" customHeight="1" x14ac:dyDescent="0.25">
      <c r="B47" s="11" t="s">
        <v>78</v>
      </c>
      <c r="C47" s="45">
        <v>7.3469300000000001E-2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3.4319999999999999</v>
      </c>
      <c r="D51" s="12"/>
    </row>
    <row r="52" spans="1:4" ht="15" customHeight="1" x14ac:dyDescent="0.25">
      <c r="B52" s="11" t="s">
        <v>32</v>
      </c>
      <c r="C52" s="98">
        <v>3.4319999999999999</v>
      </c>
    </row>
    <row r="53" spans="1:4" ht="15.75" customHeight="1" x14ac:dyDescent="0.25">
      <c r="B53" s="11" t="s">
        <v>35</v>
      </c>
      <c r="C53" s="98">
        <v>7.331999999999999</v>
      </c>
    </row>
    <row r="54" spans="1:4" ht="15.75" customHeight="1" x14ac:dyDescent="0.25">
      <c r="B54" s="11" t="s">
        <v>33</v>
      </c>
      <c r="C54" s="98">
        <v>5.98</v>
      </c>
    </row>
    <row r="55" spans="1:4" ht="15.75" customHeight="1" x14ac:dyDescent="0.25">
      <c r="B55" s="11" t="s">
        <v>34</v>
      </c>
      <c r="C55" s="98">
        <v>2.2879999999999998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0.41849700000000001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e864nZosN5QjuUV55y4OHomWzCfnjJHzioFRj34AAzcyUEzekOV0bnohsbF7V3CGAlRrxFir1kahqvWhjZkP+g==" saltValue="/Or6Z7gDwUTRoV0hdVgV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1119695</v>
      </c>
      <c r="C2" s="49">
        <v>1505457.5</v>
      </c>
      <c r="D2" s="49">
        <v>2173852.5</v>
      </c>
      <c r="E2" s="49">
        <v>1345318</v>
      </c>
      <c r="F2" s="49">
        <v>901220.5</v>
      </c>
      <c r="G2" s="17">
        <f t="shared" ref="G2:G13" si="0">C2+D2+E2+F2</f>
        <v>5925848.5</v>
      </c>
      <c r="H2" s="17">
        <f t="shared" ref="H2:H13" si="1">(B2 + stillbirth*B2/(1000-stillbirth))/(1-abortion)</f>
        <v>1300264.4498635256</v>
      </c>
      <c r="I2" s="17">
        <f t="shared" ref="I2:I13" si="2">G2-H2</f>
        <v>4625584.0501364749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1138168</v>
      </c>
      <c r="C3" s="50">
        <v>1560600</v>
      </c>
      <c r="D3" s="50">
        <v>2271488.5</v>
      </c>
      <c r="E3" s="50">
        <v>1402505.5</v>
      </c>
      <c r="F3" s="50">
        <v>934499</v>
      </c>
      <c r="G3" s="17">
        <f t="shared" si="0"/>
        <v>6169093</v>
      </c>
      <c r="H3" s="17">
        <f t="shared" si="1"/>
        <v>1321716.5284941609</v>
      </c>
      <c r="I3" s="17">
        <f t="shared" si="2"/>
        <v>4847376.4715058394</v>
      </c>
    </row>
    <row r="4" spans="1:9" ht="15.75" customHeight="1" x14ac:dyDescent="0.25">
      <c r="A4" s="5">
        <f t="shared" si="3"/>
        <v>2026</v>
      </c>
      <c r="B4" s="49">
        <v>1157021</v>
      </c>
      <c r="C4" s="50">
        <v>1615464</v>
      </c>
      <c r="D4" s="50">
        <v>2370503</v>
      </c>
      <c r="E4" s="50">
        <v>1464262.0000000002</v>
      </c>
      <c r="F4" s="50">
        <v>968571.5</v>
      </c>
      <c r="G4" s="17">
        <f t="shared" si="0"/>
        <v>6418800.5</v>
      </c>
      <c r="H4" s="17">
        <f t="shared" si="1"/>
        <v>1343609.8884477883</v>
      </c>
      <c r="I4" s="17">
        <f t="shared" si="2"/>
        <v>5075190.6115522115</v>
      </c>
    </row>
    <row r="5" spans="1:9" ht="15.75" customHeight="1" x14ac:dyDescent="0.25">
      <c r="A5" s="5">
        <f t="shared" si="3"/>
        <v>2027</v>
      </c>
      <c r="B5" s="49">
        <v>1172912</v>
      </c>
      <c r="C5" s="50">
        <v>1669655.5</v>
      </c>
      <c r="D5" s="50">
        <v>2470867.5000000005</v>
      </c>
      <c r="E5" s="50">
        <v>1530641.5</v>
      </c>
      <c r="F5" s="50">
        <v>1003592.5</v>
      </c>
      <c r="G5" s="17">
        <f t="shared" si="0"/>
        <v>6674757</v>
      </c>
      <c r="H5" s="17">
        <f t="shared" si="1"/>
        <v>1362063.5766153531</v>
      </c>
      <c r="I5" s="17">
        <f t="shared" si="2"/>
        <v>5312693.4233846469</v>
      </c>
    </row>
    <row r="6" spans="1:9" ht="15.75" customHeight="1" x14ac:dyDescent="0.25">
      <c r="A6" s="5">
        <f t="shared" si="3"/>
        <v>2028</v>
      </c>
      <c r="B6" s="49">
        <v>1188297</v>
      </c>
      <c r="C6" s="50">
        <v>1723497.5</v>
      </c>
      <c r="D6" s="50">
        <v>2572364.5</v>
      </c>
      <c r="E6" s="50">
        <v>1601955</v>
      </c>
      <c r="F6" s="50">
        <v>1039373</v>
      </c>
      <c r="G6" s="17">
        <f t="shared" si="0"/>
        <v>6937190</v>
      </c>
      <c r="H6" s="17">
        <f t="shared" si="1"/>
        <v>1379929.6638633537</v>
      </c>
      <c r="I6" s="17">
        <f t="shared" si="2"/>
        <v>5557260.3361366466</v>
      </c>
    </row>
    <row r="7" spans="1:9" ht="15.75" customHeight="1" x14ac:dyDescent="0.25">
      <c r="A7" s="5">
        <f t="shared" si="3"/>
        <v>2029</v>
      </c>
      <c r="B7" s="49">
        <v>1205973</v>
      </c>
      <c r="C7" s="50">
        <v>1776849.5</v>
      </c>
      <c r="D7" s="50">
        <v>2674711</v>
      </c>
      <c r="E7" s="50">
        <v>1678208.5000000002</v>
      </c>
      <c r="F7" s="50">
        <v>1075972.4999999998</v>
      </c>
      <c r="G7" s="17">
        <f t="shared" si="0"/>
        <v>7205741.5</v>
      </c>
      <c r="H7" s="17">
        <f t="shared" si="1"/>
        <v>1400456.212982344</v>
      </c>
      <c r="I7" s="17">
        <f t="shared" si="2"/>
        <v>5805285.2870176565</v>
      </c>
    </row>
    <row r="8" spans="1:9" ht="15.75" customHeight="1" x14ac:dyDescent="0.25">
      <c r="A8" s="5">
        <f t="shared" si="3"/>
        <v>2030</v>
      </c>
      <c r="B8" s="49">
        <v>1220547</v>
      </c>
      <c r="C8" s="50">
        <v>1828989</v>
      </c>
      <c r="D8" s="50">
        <v>2778207.5</v>
      </c>
      <c r="E8" s="50">
        <v>1758199</v>
      </c>
      <c r="F8" s="50">
        <v>1114421</v>
      </c>
      <c r="G8" s="17">
        <f t="shared" si="0"/>
        <v>7479816.5</v>
      </c>
      <c r="H8" s="17">
        <f t="shared" si="1"/>
        <v>1417380.5129857478</v>
      </c>
      <c r="I8" s="17">
        <f t="shared" si="2"/>
        <v>6062435.9870142527</v>
      </c>
    </row>
    <row r="9" spans="1:9" ht="15.75" customHeight="1" x14ac:dyDescent="0.25">
      <c r="A9" s="5">
        <f t="shared" si="3"/>
        <v>2031</v>
      </c>
      <c r="B9" s="49">
        <v>1230763</v>
      </c>
      <c r="C9" s="50">
        <v>1879945.5</v>
      </c>
      <c r="D9" s="50">
        <v>2882647.5</v>
      </c>
      <c r="E9" s="50">
        <v>1841396</v>
      </c>
      <c r="F9" s="50">
        <v>1155316</v>
      </c>
      <c r="G9" s="17">
        <f t="shared" si="0"/>
        <v>7759305</v>
      </c>
      <c r="H9" s="17">
        <f t="shared" si="1"/>
        <v>1429244.0129744103</v>
      </c>
      <c r="I9" s="17">
        <f t="shared" si="2"/>
        <v>6330060.9870255897</v>
      </c>
    </row>
    <row r="10" spans="1:9" ht="15.75" customHeight="1" x14ac:dyDescent="0.25">
      <c r="A10" s="5">
        <f t="shared" si="3"/>
        <v>2032</v>
      </c>
      <c r="B10" s="49">
        <v>1243487</v>
      </c>
      <c r="C10" s="50">
        <v>1928983</v>
      </c>
      <c r="D10" s="50">
        <v>2987520.9999999995</v>
      </c>
      <c r="E10" s="50">
        <v>1927662.5000000002</v>
      </c>
      <c r="F10" s="50">
        <v>1199036.5000000002</v>
      </c>
      <c r="G10" s="17">
        <f t="shared" si="0"/>
        <v>8043203</v>
      </c>
      <c r="H10" s="17">
        <f t="shared" si="1"/>
        <v>1444019.9696948242</v>
      </c>
      <c r="I10" s="17">
        <f t="shared" si="2"/>
        <v>6599183.030305176</v>
      </c>
    </row>
    <row r="11" spans="1:9" ht="15.75" customHeight="1" x14ac:dyDescent="0.25">
      <c r="A11" s="5">
        <f t="shared" si="3"/>
        <v>2033</v>
      </c>
      <c r="B11" s="49">
        <v>1258844</v>
      </c>
      <c r="C11" s="50">
        <v>1974538</v>
      </c>
      <c r="D11" s="50">
        <v>3092915</v>
      </c>
      <c r="E11" s="50">
        <v>2016603.5000000002</v>
      </c>
      <c r="F11" s="50">
        <v>1246092.5</v>
      </c>
      <c r="G11" s="17">
        <f t="shared" si="0"/>
        <v>8330149</v>
      </c>
      <c r="H11" s="17">
        <f t="shared" si="1"/>
        <v>1461853.54147692</v>
      </c>
      <c r="I11" s="17">
        <f t="shared" si="2"/>
        <v>6868295.4585230798</v>
      </c>
    </row>
    <row r="12" spans="1:9" ht="15.75" customHeight="1" x14ac:dyDescent="0.25">
      <c r="A12" s="5">
        <f t="shared" si="3"/>
        <v>2034</v>
      </c>
      <c r="B12" s="49">
        <v>1264320</v>
      </c>
      <c r="C12" s="50">
        <v>2016432.5</v>
      </c>
      <c r="D12" s="50">
        <v>3198537.0000000005</v>
      </c>
      <c r="E12" s="50">
        <v>2108287</v>
      </c>
      <c r="F12" s="50">
        <v>1296890.5</v>
      </c>
      <c r="G12" s="17">
        <f t="shared" si="0"/>
        <v>8620147</v>
      </c>
      <c r="H12" s="17">
        <f t="shared" si="1"/>
        <v>1468212.6375945706</v>
      </c>
      <c r="I12" s="17">
        <f t="shared" si="2"/>
        <v>7151934.3624054296</v>
      </c>
    </row>
    <row r="13" spans="1:9" ht="15.75" customHeight="1" x14ac:dyDescent="0.25">
      <c r="A13" s="5">
        <f t="shared" si="3"/>
        <v>2035</v>
      </c>
      <c r="B13" s="49">
        <v>1276278</v>
      </c>
      <c r="C13" s="50">
        <v>2055634</v>
      </c>
      <c r="D13" s="50">
        <v>3303404</v>
      </c>
      <c r="E13" s="50">
        <v>2202490.5</v>
      </c>
      <c r="F13" s="50">
        <v>1351881</v>
      </c>
      <c r="G13" s="17">
        <f t="shared" si="0"/>
        <v>8913409.5</v>
      </c>
      <c r="H13" s="17">
        <f t="shared" si="1"/>
        <v>1482099.0640691624</v>
      </c>
      <c r="I13" s="17">
        <f t="shared" si="2"/>
        <v>7431310.4359308379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OgPqXWNqtsXytUp/pEqKUanMcMI2oWKBAz9Nzfco5/y0/7DLyJ1FIZRJkJV9uDg2XhTpkaHZeWDY8rtuokWOg==" saltValue="owp1gw1g23oq1vohmJMlr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4.0116400000000108E-2</v>
      </c>
    </row>
    <row r="4" spans="1:8" ht="15.75" customHeight="1" x14ac:dyDescent="0.25">
      <c r="B4" s="19" t="s">
        <v>116</v>
      </c>
      <c r="C4" s="99">
        <v>0.15844380000000011</v>
      </c>
    </row>
    <row r="5" spans="1:8" ht="15.75" customHeight="1" x14ac:dyDescent="0.25">
      <c r="B5" s="19" t="s">
        <v>114</v>
      </c>
      <c r="C5" s="99">
        <v>0.124777</v>
      </c>
    </row>
    <row r="6" spans="1:8" ht="15.75" customHeight="1" x14ac:dyDescent="0.25">
      <c r="B6" s="19" t="s">
        <v>110</v>
      </c>
      <c r="C6" s="99">
        <v>0.28140640000000011</v>
      </c>
    </row>
    <row r="7" spans="1:8" ht="15.75" customHeight="1" x14ac:dyDescent="0.25">
      <c r="B7" s="19" t="s">
        <v>115</v>
      </c>
      <c r="C7" s="99">
        <v>0.21175369999999999</v>
      </c>
    </row>
    <row r="8" spans="1:8" ht="15.75" customHeight="1" x14ac:dyDescent="0.25">
      <c r="B8" s="19" t="s">
        <v>117</v>
      </c>
      <c r="C8" s="99">
        <v>6.0052000000000074E-3</v>
      </c>
    </row>
    <row r="9" spans="1:8" ht="15.75" customHeight="1" x14ac:dyDescent="0.25">
      <c r="B9" s="19" t="s">
        <v>111</v>
      </c>
      <c r="C9" s="99">
        <v>5.8840899999999842E-2</v>
      </c>
    </row>
    <row r="10" spans="1:8" ht="15.75" customHeight="1" x14ac:dyDescent="0.25">
      <c r="B10" s="19" t="s">
        <v>113</v>
      </c>
      <c r="C10" s="99">
        <v>0.1186565999999999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0.19651274420995629</v>
      </c>
      <c r="D14" s="55">
        <v>0.19651274420995629</v>
      </c>
      <c r="E14" s="55">
        <v>0.19651274420995629</v>
      </c>
      <c r="F14" s="55">
        <v>0.19651274420995629</v>
      </c>
    </row>
    <row r="15" spans="1:8" ht="15.75" customHeight="1" x14ac:dyDescent="0.25">
      <c r="B15" s="19" t="s">
        <v>121</v>
      </c>
      <c r="C15" s="99">
        <v>0.20299060707212241</v>
      </c>
      <c r="D15" s="99">
        <v>0.20299060707212241</v>
      </c>
      <c r="E15" s="99">
        <v>0.20299060707212241</v>
      </c>
      <c r="F15" s="99">
        <v>0.20299060707212241</v>
      </c>
    </row>
    <row r="16" spans="1:8" ht="15.75" customHeight="1" x14ac:dyDescent="0.25">
      <c r="B16" s="19" t="s">
        <v>2</v>
      </c>
      <c r="C16" s="99">
        <v>5.504782921140617E-2</v>
      </c>
      <c r="D16" s="99">
        <v>5.504782921140617E-2</v>
      </c>
      <c r="E16" s="99">
        <v>5.504782921140617E-2</v>
      </c>
      <c r="F16" s="99">
        <v>5.504782921140617E-2</v>
      </c>
    </row>
    <row r="17" spans="1:8" ht="15.75" customHeight="1" x14ac:dyDescent="0.25">
      <c r="B17" s="19" t="s">
        <v>109</v>
      </c>
      <c r="C17" s="99">
        <v>4.0740003174638127E-2</v>
      </c>
      <c r="D17" s="99">
        <v>4.0740003174638127E-2</v>
      </c>
      <c r="E17" s="99">
        <v>4.0740003174638127E-2</v>
      </c>
      <c r="F17" s="99">
        <v>4.0740003174638127E-2</v>
      </c>
    </row>
    <row r="18" spans="1:8" ht="15.75" customHeight="1" x14ac:dyDescent="0.25">
      <c r="B18" s="19" t="s">
        <v>3</v>
      </c>
      <c r="C18" s="99">
        <v>0.28380134527066342</v>
      </c>
      <c r="D18" s="99">
        <v>0.28380134527066342</v>
      </c>
      <c r="E18" s="99">
        <v>0.28380134527066342</v>
      </c>
      <c r="F18" s="99">
        <v>0.28380134527066342</v>
      </c>
    </row>
    <row r="19" spans="1:8" ht="15.75" customHeight="1" x14ac:dyDescent="0.25">
      <c r="B19" s="19" t="s">
        <v>120</v>
      </c>
      <c r="C19" s="99">
        <v>1.513909038348786E-2</v>
      </c>
      <c r="D19" s="99">
        <v>1.513909038348786E-2</v>
      </c>
      <c r="E19" s="99">
        <v>1.513909038348786E-2</v>
      </c>
      <c r="F19" s="99">
        <v>1.513909038348786E-2</v>
      </c>
    </row>
    <row r="20" spans="1:8" ht="15.75" customHeight="1" x14ac:dyDescent="0.25">
      <c r="B20" s="19" t="s">
        <v>98</v>
      </c>
      <c r="C20" s="99">
        <v>2.9404314606592571E-3</v>
      </c>
      <c r="D20" s="99">
        <v>2.9404314606592571E-3</v>
      </c>
      <c r="E20" s="99">
        <v>2.9404314606592571E-3</v>
      </c>
      <c r="F20" s="99">
        <v>2.9404314606592571E-3</v>
      </c>
    </row>
    <row r="21" spans="1:8" ht="15.75" customHeight="1" x14ac:dyDescent="0.25">
      <c r="B21" s="19" t="s">
        <v>107</v>
      </c>
      <c r="C21" s="99">
        <v>5.7765042464679582E-2</v>
      </c>
      <c r="D21" s="99">
        <v>5.7765042464679582E-2</v>
      </c>
      <c r="E21" s="99">
        <v>5.7765042464679582E-2</v>
      </c>
      <c r="F21" s="99">
        <v>5.7765042464679582E-2</v>
      </c>
    </row>
    <row r="22" spans="1:8" ht="15.75" customHeight="1" x14ac:dyDescent="0.25">
      <c r="B22" s="19" t="s">
        <v>118</v>
      </c>
      <c r="C22" s="99">
        <v>0.14506290675238701</v>
      </c>
      <c r="D22" s="99">
        <v>0.14506290675238701</v>
      </c>
      <c r="E22" s="99">
        <v>0.14506290675238701</v>
      </c>
      <c r="F22" s="99">
        <v>0.14506290675238701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8.7709603999999997E-2</v>
      </c>
    </row>
    <row r="27" spans="1:8" ht="15.75" customHeight="1" x14ac:dyDescent="0.25">
      <c r="B27" s="19" t="s">
        <v>108</v>
      </c>
      <c r="C27" s="99">
        <v>8.7931239999999994E-3</v>
      </c>
    </row>
    <row r="28" spans="1:8" ht="15.75" customHeight="1" x14ac:dyDescent="0.25">
      <c r="B28" s="19" t="s">
        <v>122</v>
      </c>
      <c r="C28" s="99">
        <v>0.15523166899999999</v>
      </c>
    </row>
    <row r="29" spans="1:8" ht="15.75" customHeight="1" x14ac:dyDescent="0.25">
      <c r="B29" s="19" t="s">
        <v>105</v>
      </c>
      <c r="C29" s="99">
        <v>0.16945306099999999</v>
      </c>
    </row>
    <row r="30" spans="1:8" ht="15.75" customHeight="1" x14ac:dyDescent="0.25">
      <c r="B30" s="19" t="s">
        <v>4</v>
      </c>
      <c r="C30" s="99">
        <v>0.106213539</v>
      </c>
    </row>
    <row r="31" spans="1:8" ht="15.75" customHeight="1" x14ac:dyDescent="0.25">
      <c r="B31" s="19" t="s">
        <v>99</v>
      </c>
      <c r="C31" s="99">
        <v>0.110723503</v>
      </c>
    </row>
    <row r="32" spans="1:8" ht="15.75" customHeight="1" x14ac:dyDescent="0.25">
      <c r="B32" s="19" t="s">
        <v>104</v>
      </c>
      <c r="C32" s="99">
        <v>1.8926927999999999E-2</v>
      </c>
    </row>
    <row r="33" spans="2:3" ht="15.75" customHeight="1" x14ac:dyDescent="0.25">
      <c r="B33" s="19" t="s">
        <v>119</v>
      </c>
      <c r="C33" s="99">
        <v>8.5375593999999999E-2</v>
      </c>
    </row>
    <row r="34" spans="2:3" ht="15.75" customHeight="1" x14ac:dyDescent="0.25">
      <c r="B34" s="19" t="s">
        <v>106</v>
      </c>
      <c r="C34" s="99">
        <v>0.25757297699999998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KBjH+vdrrVnbWrWXi6BjNlMAgGfyV1sLWFEFRXozYh8bUEreikGZL+MwQomOO+DowozzboVOoRDHrPQt4LOf1w==" saltValue="daAG+b0d4nShbyYTiAZ/i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0.48429455968058011</v>
      </c>
      <c r="D2" s="52">
        <f>IFERROR(1-_xlfn.NORM.DIST(_xlfn.NORM.INV(SUM(D4:D5), 0, 1) + 1, 0, 1, TRUE), "")</f>
        <v>0.48429455968058011</v>
      </c>
      <c r="E2" s="52">
        <f>IFERROR(1-_xlfn.NORM.DIST(_xlfn.NORM.INV(SUM(E4:E5), 0, 1) + 1, 0, 1, TRUE), "")</f>
        <v>0.37819764595455119</v>
      </c>
      <c r="F2" s="52">
        <f>IFERROR(1-_xlfn.NORM.DIST(_xlfn.NORM.INV(SUM(F4:F5), 0, 1) + 1, 0, 1, TRUE), "")</f>
        <v>0.18223200995738231</v>
      </c>
      <c r="G2" s="52">
        <f>IFERROR(1-_xlfn.NORM.DIST(_xlfn.NORM.INV(SUM(G4:G5), 0, 1) + 1, 0, 1, TRUE), "")</f>
        <v>0.15300380801270319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0.3473343403194199</v>
      </c>
      <c r="D3" s="52">
        <f>IFERROR(_xlfn.NORM.DIST(_xlfn.NORM.INV(SUM(D4:D5), 0, 1) + 1, 0, 1, TRUE) - SUM(D4:D5), "")</f>
        <v>0.3473343403194199</v>
      </c>
      <c r="E3" s="52">
        <f>IFERROR(_xlfn.NORM.DIST(_xlfn.NORM.INV(SUM(E4:E5), 0, 1) + 1, 0, 1, TRUE) - SUM(E4:E5), "")</f>
        <v>0.37663675404544883</v>
      </c>
      <c r="F3" s="52">
        <f>IFERROR(_xlfn.NORM.DIST(_xlfn.NORM.INV(SUM(F4:F5), 0, 1) + 1, 0, 1, TRUE) - SUM(F4:F5), "")</f>
        <v>0.35485919004261768</v>
      </c>
      <c r="G3" s="52">
        <f>IFERROR(_xlfn.NORM.DIST(_xlfn.NORM.INV(SUM(G4:G5), 0, 1) + 1, 0, 1, TRUE) - SUM(G4:G5), "")</f>
        <v>0.33756799198729681</v>
      </c>
    </row>
    <row r="4" spans="1:15" ht="15.75" customHeight="1" x14ac:dyDescent="0.25">
      <c r="B4" s="5" t="s">
        <v>129</v>
      </c>
      <c r="C4" s="45">
        <v>8.6706099999999994E-2</v>
      </c>
      <c r="D4" s="53">
        <v>8.6706099999999994E-2</v>
      </c>
      <c r="E4" s="53">
        <v>0.1590964</v>
      </c>
      <c r="F4" s="53">
        <v>0.22412360000000001</v>
      </c>
      <c r="G4" s="53">
        <v>0.2457741</v>
      </c>
    </row>
    <row r="5" spans="1:15" ht="15.75" customHeight="1" x14ac:dyDescent="0.25">
      <c r="B5" s="5" t="s">
        <v>125</v>
      </c>
      <c r="C5" s="45">
        <v>8.1664999999999988E-2</v>
      </c>
      <c r="D5" s="53">
        <v>8.1664999999999988E-2</v>
      </c>
      <c r="E5" s="53">
        <v>8.6069200000000012E-2</v>
      </c>
      <c r="F5" s="53">
        <v>0.2387852</v>
      </c>
      <c r="G5" s="53">
        <v>0.2636541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0.43767403386376158</v>
      </c>
      <c r="D8" s="52">
        <f>IFERROR(1-_xlfn.NORM.DIST(_xlfn.NORM.INV(SUM(D10:D11), 0, 1) + 1, 0, 1, TRUE), "")</f>
        <v>0.43767403386376158</v>
      </c>
      <c r="E8" s="52">
        <f>IFERROR(1-_xlfn.NORM.DIST(_xlfn.NORM.INV(SUM(E10:E11), 0, 1) + 1, 0, 1, TRUE), "")</f>
        <v>0.31219376464423831</v>
      </c>
      <c r="F8" s="52">
        <f>IFERROR(1-_xlfn.NORM.DIST(_xlfn.NORM.INV(SUM(F10:F11), 0, 1) + 1, 0, 1, TRUE), "")</f>
        <v>0.35890618636643035</v>
      </c>
      <c r="G8" s="52">
        <f>IFERROR(1-_xlfn.NORM.DIST(_xlfn.NORM.INV(SUM(G10:G11), 0, 1) + 1, 0, 1, TRUE), "")</f>
        <v>0.53766244519525852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0.3627483661362384</v>
      </c>
      <c r="D9" s="52">
        <f>IFERROR(_xlfn.NORM.DIST(_xlfn.NORM.INV(SUM(D10:D11), 0, 1) + 1, 0, 1, TRUE) - SUM(D10:D11), "")</f>
        <v>0.3627483661362384</v>
      </c>
      <c r="E9" s="52">
        <f>IFERROR(_xlfn.NORM.DIST(_xlfn.NORM.INV(SUM(E10:E11), 0, 1) + 1, 0, 1, TRUE) - SUM(E10:E11), "")</f>
        <v>0.38290603535576168</v>
      </c>
      <c r="F9" s="52">
        <f>IFERROR(_xlfn.NORM.DIST(_xlfn.NORM.INV(SUM(F10:F11), 0, 1) + 1, 0, 1, TRUE) - SUM(F10:F11), "")</f>
        <v>0.37955741363356965</v>
      </c>
      <c r="G9" s="52">
        <f>IFERROR(_xlfn.NORM.DIST(_xlfn.NORM.INV(SUM(G10:G11), 0, 1) + 1, 0, 1, TRUE) - SUM(G10:G11), "")</f>
        <v>0.3254798548047414</v>
      </c>
    </row>
    <row r="10" spans="1:15" ht="15.75" customHeight="1" x14ac:dyDescent="0.25">
      <c r="B10" s="5" t="s">
        <v>126</v>
      </c>
      <c r="C10" s="45">
        <v>0.1220947</v>
      </c>
      <c r="D10" s="53">
        <v>0.1220947</v>
      </c>
      <c r="E10" s="53">
        <v>0.1694233</v>
      </c>
      <c r="F10" s="53">
        <v>0.17734920000000001</v>
      </c>
      <c r="G10" s="53">
        <v>8.7805700000000014E-2</v>
      </c>
    </row>
    <row r="11" spans="1:15" ht="15.75" customHeight="1" x14ac:dyDescent="0.25">
      <c r="B11" s="5" t="s">
        <v>138</v>
      </c>
      <c r="C11" s="45">
        <v>7.7482899999999993E-2</v>
      </c>
      <c r="D11" s="53">
        <v>7.7482899999999993E-2</v>
      </c>
      <c r="E11" s="53">
        <v>0.13547690000000001</v>
      </c>
      <c r="F11" s="53">
        <v>8.4187200000000004E-2</v>
      </c>
      <c r="G11" s="53">
        <v>4.9051999999999998E-2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0.76261907750000002</v>
      </c>
      <c r="D14" s="54">
        <v>0.76158313046600001</v>
      </c>
      <c r="E14" s="54">
        <v>0.76158313046600001</v>
      </c>
      <c r="F14" s="54">
        <v>0.73774203991099996</v>
      </c>
      <c r="G14" s="54">
        <v>0.73774203991099996</v>
      </c>
      <c r="H14" s="45">
        <v>0.58700000000000008</v>
      </c>
      <c r="I14" s="55">
        <v>0.58700000000000008</v>
      </c>
      <c r="J14" s="55">
        <v>0.58700000000000008</v>
      </c>
      <c r="K14" s="55">
        <v>0.58700000000000008</v>
      </c>
      <c r="L14" s="45">
        <v>0.47799999999999998</v>
      </c>
      <c r="M14" s="55">
        <v>0.47799999999999998</v>
      </c>
      <c r="N14" s="55">
        <v>0.47799999999999998</v>
      </c>
      <c r="O14" s="55">
        <v>0.47799999999999998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0.3191537960765175</v>
      </c>
      <c r="D15" s="52">
        <f t="shared" si="0"/>
        <v>0.31872025535062959</v>
      </c>
      <c r="E15" s="52">
        <f t="shared" si="0"/>
        <v>0.31872025535062959</v>
      </c>
      <c r="F15" s="52">
        <f t="shared" si="0"/>
        <v>0.30874283047663376</v>
      </c>
      <c r="G15" s="52">
        <f t="shared" si="0"/>
        <v>0.30874283047663376</v>
      </c>
      <c r="H15" s="52">
        <f t="shared" si="0"/>
        <v>0.24565773900000004</v>
      </c>
      <c r="I15" s="52">
        <f t="shared" si="0"/>
        <v>0.24565773900000004</v>
      </c>
      <c r="J15" s="52">
        <f t="shared" si="0"/>
        <v>0.24565773900000004</v>
      </c>
      <c r="K15" s="52">
        <f t="shared" si="0"/>
        <v>0.24565773900000004</v>
      </c>
      <c r="L15" s="52">
        <f t="shared" si="0"/>
        <v>0.200041566</v>
      </c>
      <c r="M15" s="52">
        <f t="shared" si="0"/>
        <v>0.200041566</v>
      </c>
      <c r="N15" s="52">
        <f t="shared" si="0"/>
        <v>0.200041566</v>
      </c>
      <c r="O15" s="52">
        <f t="shared" si="0"/>
        <v>0.200041566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51To9XvamR83gr8pwp2rdmiwsxP/+5cvNfNG8T5khwMFhOObAvBesUixNR+lLNpRxILaz+N5WLVSyryA+9k/g==" saltValue="aiif9AJT6fNIwJp5aJZx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0.24391640000000001</v>
      </c>
      <c r="D2" s="53">
        <v>0.12774779999999999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0.634938</v>
      </c>
      <c r="D3" s="53">
        <v>0.63365000000000005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8.3629300000000004E-2</v>
      </c>
      <c r="D4" s="53">
        <v>0.17882429999999999</v>
      </c>
      <c r="E4" s="53">
        <v>0.96641229999999989</v>
      </c>
      <c r="F4" s="53">
        <v>0.76695390000000008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3.7516299999999947E-2</v>
      </c>
      <c r="D5" s="52">
        <f t="shared" si="0"/>
        <v>5.977790000000005E-2</v>
      </c>
      <c r="E5" s="52">
        <f>1-SUM(E2:E4)</f>
        <v>3.3587700000000109E-2</v>
      </c>
      <c r="F5" s="52">
        <f>1-SUM(F2:F4)</f>
        <v>0.23304609999999992</v>
      </c>
      <c r="G5" s="52">
        <f>1-SUM(G2:G4)</f>
        <v>1</v>
      </c>
    </row>
  </sheetData>
  <sheetProtection algorithmName="SHA-512" hashValue="UmleXrCTZzgvQhcwUmNHQtuCJy4itZIY+VQLWcAzhDV56xH1f/ftIVjtUyOyCbz4nRLoBaQEPNUcCQbuRDu5RA==" saltValue="6QPX/r8opUj5SlwAPu0y+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l5PEFx5rpRS3GMurzhR6mOX/3OoOQoSI0x1LfNuFuCgJQ7tpaaQ9MXg2YicVYr5bFN2sB3+uAgV8yXcF6O7Vw==" saltValue="Os9h6uK7E1JbJxzA6YrFI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585.40492917102597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0.27259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0.63524000000000003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1.743804057060052E-2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91802.470350000003</v>
      </c>
      <c r="C22" s="107">
        <v>90363.210579999999</v>
      </c>
      <c r="D22" s="107">
        <v>89021.102700000003</v>
      </c>
      <c r="E22" s="107">
        <v>88460.205249999999</v>
      </c>
      <c r="F22" s="107">
        <v>87710.534190000006</v>
      </c>
      <c r="G22" s="107">
        <v>86787.869500000001</v>
      </c>
      <c r="H22" s="107">
        <v>85648.494890000002</v>
      </c>
      <c r="I22" s="107">
        <v>84172.283219999998</v>
      </c>
      <c r="J22" s="107">
        <v>82158.494680000003</v>
      </c>
      <c r="K22" s="107">
        <v>79465.618359999993</v>
      </c>
      <c r="L22" s="107">
        <v>75573.487370000003</v>
      </c>
      <c r="M22" s="107">
        <v>70252.41171</v>
      </c>
      <c r="N22" s="107">
        <v>62715.294309999997</v>
      </c>
      <c r="O22" s="107">
        <v>53021.462319999999</v>
      </c>
    </row>
  </sheetData>
  <sheetProtection algorithmName="SHA-512" hashValue="5YvolEdmATWCYLTi8EVkq47ZfNPuKTSrK3+HCdMtdotiG9/bpWAjjhp8JtqYw2Zj4yuEyGMa3iL8g4ahK9IjdQ==" saltValue="P63UxrskHIMkfDrj1//yb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UPog+dvrrZaRZF7Utwe5AF3vHYXil7/qChQRFIoQ47OGe/brQRWKHLrYRB7uOv379uwRxje2buRr16stnVXLOQ==" saltValue="cR/E5CyRh5mwaqJG8zPkY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3LTlhFUN5iSJqLsQeBXfTHX5jisBeeSmYTNzgh/RjB8UJpG2Aq7pF8W3gnOM/iaT5fwlm+fnzdMhRjW+gi6Ocg==" saltValue="tketQcnAaLO9EJTRcdYhy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0.23003335421429147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0.21243500000000001</v>
      </c>
      <c r="C10" s="96">
        <v>0.95</v>
      </c>
      <c r="D10" s="56">
        <v>15.002033020696739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15.002033020696739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15.002033020696739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15.002033020696739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0.21243500000000001</v>
      </c>
      <c r="C14" s="96">
        <v>0.95</v>
      </c>
      <c r="D14" s="56">
        <v>15.002033020696739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15.002033020696739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0.43648940000000003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3.0533333333333301E-2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0.4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0.12774779999999999</v>
      </c>
      <c r="C19" s="96">
        <v>0.95</v>
      </c>
      <c r="D19" s="56">
        <v>6.4354675422780758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0.77252589999999999</v>
      </c>
      <c r="C23" s="96">
        <v>0.95</v>
      </c>
      <c r="D23" s="56">
        <v>4.9019061388624658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0.31826196643066001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0.21243500000000001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0.41242699999999999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0.10511330000000001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51.726402188782487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0.39950000000000002</v>
      </c>
      <c r="C31" s="96">
        <v>0.95</v>
      </c>
      <c r="D31" s="56">
        <v>118.52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0.87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0.24616806296351099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0.20496159999999999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5.0521000000000003E-3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0.41175289999999998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0.29306520000000003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0qq7vhCQifFmf9pTCvGufG/UtNBou/do8u+mtxpEyzBRCccGQf//yYJ8Ke2z8lyWEMaL8agjFiiVRyW5Ny1Wmw==" saltValue="VqQn+tfKZP3lN6D9jwKe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Cx1hBcS+EL/cdsR/7AnrczjJuFiv5iZwkMhj2YyDCMRHhriodKeWGBJ5mmpoRNI9AFkvB1qbXOalv+gpDfrNw==" saltValue="ntZ5i1VRt1Xd3X8ozNaQE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1QgCwB1iEfZDvKtMpJfTeOLUqFI9q2N4KxtUtgq1NCrR/Mm3HOQyGX8b/HxAG4o7V2fyeO9fJeQQEHkRV0tFgQ==" saltValue="sijfGW4X9xC4IOmtWyyfJ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3.4319999999999999</v>
      </c>
      <c r="C2" s="21">
        <f>'Entradas de población-año base'!C52</f>
        <v>3.4319999999999999</v>
      </c>
      <c r="D2" s="21">
        <f>'Entradas de población-año base'!C53</f>
        <v>7.331999999999999</v>
      </c>
      <c r="E2" s="21">
        <f>'Entradas de población-año base'!C54</f>
        <v>5.98</v>
      </c>
      <c r="F2" s="21">
        <f>'Entradas de población-año base'!C55</f>
        <v>2.2879999999999998</v>
      </c>
    </row>
    <row r="3" spans="1:6" ht="15.75" customHeight="1" x14ac:dyDescent="0.25">
      <c r="A3" s="3" t="s">
        <v>6</v>
      </c>
      <c r="B3" s="21">
        <f>frac_mam_1month * 2.6</f>
        <v>0.31744622</v>
      </c>
      <c r="C3" s="21">
        <f>frac_mam_1_5months * 2.6</f>
        <v>0.31744622</v>
      </c>
      <c r="D3" s="21">
        <f>frac_mam_6_11months * 2.6</f>
        <v>0.44050058000000003</v>
      </c>
      <c r="E3" s="21">
        <f>frac_mam_12_23months * 2.6</f>
        <v>0.46110792000000006</v>
      </c>
      <c r="F3" s="21">
        <f>frac_mam_24_59months * 2.6</f>
        <v>0.22829482000000004</v>
      </c>
    </row>
    <row r="4" spans="1:6" ht="15.75" customHeight="1" x14ac:dyDescent="0.25">
      <c r="A4" s="3" t="s">
        <v>236</v>
      </c>
      <c r="B4" s="21">
        <f>frac_sam_1month * 2.6</f>
        <v>0.20145553999999999</v>
      </c>
      <c r="C4" s="21">
        <f>frac_sam_1_5months * 2.6</f>
        <v>0.20145553999999999</v>
      </c>
      <c r="D4" s="21">
        <f>frac_sam_6_11months * 2.6</f>
        <v>0.35223994000000003</v>
      </c>
      <c r="E4" s="21">
        <f>frac_sam_12_23months * 2.6</f>
        <v>0.21888672000000001</v>
      </c>
      <c r="F4" s="21">
        <f>frac_sam_24_59months * 2.6</f>
        <v>0.12753519999999999</v>
      </c>
    </row>
  </sheetData>
  <sheetProtection algorithmName="SHA-512" hashValue="AoPbvHit7cVeBjEgA/7QXhsmprsppF0KFYvNtZmA6ofEpbTCT6RrssS5HnN7E8lFGCrXohFDszOtG5jkxwIFLg==" saltValue="bGXnsdj8rNgTV+hYVR59i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</v>
      </c>
      <c r="F2" s="60">
        <f>food_insecure</f>
        <v>0.5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</v>
      </c>
      <c r="F5" s="60">
        <f>food_insecure</f>
        <v>0.5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7.4880000000000002E-2</v>
      </c>
      <c r="D7" s="60">
        <f>diarrhoea_1_5mo*frac_diarrhea_severe</f>
        <v>7.4880000000000002E-2</v>
      </c>
      <c r="E7" s="60">
        <f>diarrhoea_6_11mo*frac_diarrhea_severe</f>
        <v>0.15997090909090908</v>
      </c>
      <c r="F7" s="60">
        <f>diarrhoea_12_23mo*frac_diarrhea_severe</f>
        <v>0.1304727272727273</v>
      </c>
      <c r="G7" s="60">
        <f>diarrhoea_24_59mo*frac_diarrhea_severe</f>
        <v>4.9919999999999999E-2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</v>
      </c>
      <c r="F8" s="60">
        <f>food_insecure</f>
        <v>0.5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</v>
      </c>
      <c r="F9" s="60">
        <f>food_insecure</f>
        <v>0.5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7.4880000000000002E-2</v>
      </c>
      <c r="D12" s="60">
        <f>diarrhoea_1_5mo*frac_diarrhea_severe</f>
        <v>7.4880000000000002E-2</v>
      </c>
      <c r="E12" s="60">
        <f>diarrhoea_6_11mo*frac_diarrhea_severe</f>
        <v>0.15997090909090908</v>
      </c>
      <c r="F12" s="60">
        <f>diarrhoea_12_23mo*frac_diarrhea_severe</f>
        <v>0.1304727272727273</v>
      </c>
      <c r="G12" s="60">
        <f>diarrhoea_24_59mo*frac_diarrhea_severe</f>
        <v>4.9919999999999999E-2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</v>
      </c>
      <c r="I15" s="60">
        <f t="shared" si="0"/>
        <v>0.5</v>
      </c>
      <c r="J15" s="60">
        <f t="shared" si="0"/>
        <v>0.5</v>
      </c>
      <c r="K15" s="60">
        <f t="shared" si="0"/>
        <v>0.5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</v>
      </c>
      <c r="I16" s="60">
        <f t="shared" si="0"/>
        <v>0.5</v>
      </c>
      <c r="J16" s="60">
        <f t="shared" si="0"/>
        <v>0.5</v>
      </c>
      <c r="K16" s="60">
        <f t="shared" si="0"/>
        <v>0.5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0.89</v>
      </c>
      <c r="I19" s="60">
        <f>frac_malaria_risk</f>
        <v>0.89</v>
      </c>
      <c r="J19" s="60">
        <f>frac_malaria_risk</f>
        <v>0.89</v>
      </c>
      <c r="K19" s="60">
        <f>frac_malaria_risk</f>
        <v>0.89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0.54600000000000004</v>
      </c>
      <c r="M24" s="60">
        <f>famplan_unmet_need</f>
        <v>0.54600000000000004</v>
      </c>
      <c r="N24" s="60">
        <f>famplan_unmet_need</f>
        <v>0.54600000000000004</v>
      </c>
      <c r="O24" s="60">
        <f>famplan_unmet_need</f>
        <v>0.54600000000000004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0.52107957999999999</v>
      </c>
      <c r="M25" s="60">
        <f>(1-food_insecure)*(0.49)+food_insecure*(0.7)</f>
        <v>0.59499999999999997</v>
      </c>
      <c r="N25" s="60">
        <f>(1-food_insecure)*(0.49)+food_insecure*(0.7)</f>
        <v>0.59499999999999997</v>
      </c>
      <c r="O25" s="60">
        <f>(1-food_insecure)*(0.49)+food_insecure*(0.7)</f>
        <v>0.59499999999999997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0.22331982</v>
      </c>
      <c r="M26" s="60">
        <f>(1-food_insecure)*(0.21)+food_insecure*(0.3)</f>
        <v>0.255</v>
      </c>
      <c r="N26" s="60">
        <f>(1-food_insecure)*(0.21)+food_insecure*(0.3)</f>
        <v>0.255</v>
      </c>
      <c r="O26" s="60">
        <f>(1-food_insecure)*(0.21)+food_insecure*(0.3)</f>
        <v>0.255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0.1313646</v>
      </c>
      <c r="M27" s="60">
        <f>(1-food_insecure)*(0.3)</f>
        <v>0.15</v>
      </c>
      <c r="N27" s="60">
        <f>(1-food_insecure)*(0.3)</f>
        <v>0.15</v>
      </c>
      <c r="O27" s="60">
        <f>(1-food_insecure)*(0.3)</f>
        <v>0.15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0.124236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0.89</v>
      </c>
      <c r="D34" s="60">
        <f t="shared" si="4"/>
        <v>0.89</v>
      </c>
      <c r="E34" s="60">
        <f t="shared" si="4"/>
        <v>0.89</v>
      </c>
      <c r="F34" s="60">
        <f t="shared" si="4"/>
        <v>0.89</v>
      </c>
      <c r="G34" s="60">
        <f t="shared" si="4"/>
        <v>0.89</v>
      </c>
      <c r="H34" s="60">
        <f t="shared" si="4"/>
        <v>0.89</v>
      </c>
      <c r="I34" s="60">
        <f t="shared" si="4"/>
        <v>0.89</v>
      </c>
      <c r="J34" s="60">
        <f t="shared" si="4"/>
        <v>0.89</v>
      </c>
      <c r="K34" s="60">
        <f t="shared" si="4"/>
        <v>0.89</v>
      </c>
      <c r="L34" s="60">
        <f t="shared" si="4"/>
        <v>0.89</v>
      </c>
      <c r="M34" s="60">
        <f t="shared" si="4"/>
        <v>0.89</v>
      </c>
      <c r="N34" s="60">
        <f t="shared" si="4"/>
        <v>0.89</v>
      </c>
      <c r="O34" s="60">
        <f t="shared" si="4"/>
        <v>0.89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FVvYj/NhsxBhO9LQuyj05wYPJgeajuui0Jp9HQ8411IFfSZ/IPgvUf2BaENxY/AKx3CQ/S80NAUKx37P2SscA==" saltValue="/029JbK1g4RF38mKdaeW5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U5WQUoajbVVtFomNtcIGQTs9EmkdtZRXWraifbUgyKn+XHvW3xhAUlLCmOTKCxwAyd1rarwa+NpF01KAUenOAw==" saltValue="WzQVe0Z/gCLTEP5Y/qfPf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dy3cw1O5kIH11feXA1TFZg1VEZX/OyhgUTYtU20NORiw5bPDzmX3/Ep7Zofk6Z2ICtiRPxiGq0zeYzCjOTEVw==" saltValue="O5EJ4xWhZAn/5J9vvIF2C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Xm/KCUAVh/KrGf/xaEgcqF8kR1hDAkbyf6WX5wndaTGbplMk7CIeH3Q+Y26NczYrmXpviu40q8h48anm/v19Q==" saltValue="AIHI4qKSMBoKapQGwT5ox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vNZ2FhpyEHQI2I3J/q/HHv79Emj1surbEoV1frdrznNNH7PoXgZerxTGh6dHGTiMRSgFfHP1WbYD4zBoZn8dnA==" saltValue="Cd8llrEKpN9tPAUP1lMyp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s9wo+cFTiVyiIw0kziRXvVSyfZoOqDBG+ZHPzHGSnIcdlhlmfDU52dnMxIkIffqDl/uThsVKH+cV9p3l+LEWLg==" saltValue="Q/rd9cE3UZnSspUSnZZJs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+2oGVfY3Qzc8MDCyZ5Q4NYrhnbQj/B9Sx2dvsIlBTqyooi/5G/2hp5aHz2u75deL9bx34D+vCuWccM19gghbQ==" saltValue="kmn9AZan0/u1bcFpZmre0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0WbhPgv4heCDYiQyM86TW8jJVXKi+sHDVzoOt8V4UoK0pVKGekWzzT6NkRUIvRK2UpXq3t6ln5EIgkaVArXYxw==" saltValue="O3TWJxPDxKWlgoy+/hfj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WO0FQ4IrldyNHcWXq3IAm6FlOGZkW8o6zXtdEOjoMGIS4v7Q2dUe9t4jh38qBEKQgJCSfgNPUUCqkeHHuHIjmg==" saltValue="Ry3ywNblm8eYqZbKrvj6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43oeTm8SXxh4aF7IRlBa/Kr8z3alwnMwItsBpQGXygMsQh77NH1CTn23VE+7dRpd8UBdRwgq4VTY0ulh6cEVw==" saltValue="K2Oh+vJwnnDF1DbPG1q+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MkKME1Zt/3h+f+AhNpmjYUIBzGVfDyy7DZ2Mk7U8rhgzYmXP0cHjF/q0pQKm+pmKIYjmzosoGL85OodslwVBQ==" saltValue="44N70u5vj1WfuG+hBqGS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GjXTTnjvoPg8s5Nxai+4lTN8y6FB9yzvE1rqMNjCwo6IRgo76Ve3KHoe6l24HBM/3FpNCU/V6q5/FZaPD4DPw==" saltValue="RLluylto9sAD4HmSzbiO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95xw1E1/m9ALSiEB3rHxZ29ddsvha5wXgcgFqebwzXYWDpd5xNeGtvBlT1AYXv/HaOpNMepUkTqsvPeXv5sPDg==" saltValue="7OqffN77OOrkYeFwimcNS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M2hGO44zUJG4pr+YtM92qpi920MVwwlxXD63uxkRQOOwM0qC0FyUgm+sg3elgjts4wZ7lBTGwJZoKp9sHffvUA==" saltValue="qPJYT1bJnQfxxnkdJry1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BJEMX7+VcxNk5+f9zzGf4KKUeriJfGYGLj0f97m+Ppt2Z3tdXTmPX0w9v7k8NGitbQmTtQpoAmHVzVWnxJ9QVQ==" saltValue="Z4JZilg8xr65Q7C+Ck1hz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2026-04-29T03:23:43Z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