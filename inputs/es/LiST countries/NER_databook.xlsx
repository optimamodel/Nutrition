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F904E0C-B64D-4030-A0FD-090C5236C54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6" i="2"/>
  <c r="I39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<sst xmlns="http://schemas.openxmlformats.org/spreadsheetml/2006/main" count="2169" uniqueCount="373">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</sst>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4782870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0.89</v>
      </c>
    </row>
    <row r="10" spans="1:3" ht="15" customHeight="1" x14ac:dyDescent="0.25">
      <c r="B10" s="5" t="s">
        <v>75</v>
      </c>
      <c r="C10" s="45">
        <v>0.124236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0.13469999999999999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0.33339999999999997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0.14423394649454599</v>
      </c>
    </row>
    <row r="30" spans="1:3" ht="14.25" customHeight="1" x14ac:dyDescent="0.25">
      <c r="B30" s="25" t="s">
        <v>82</v>
      </c>
      <c r="C30" s="97">
        <v>6.1032409192973099E-2</v>
      </c>
    </row>
    <row r="31" spans="1:3" ht="14.25" customHeight="1" x14ac:dyDescent="0.25">
      <c r="B31" s="25" t="s">
        <v>29</v>
      </c>
      <c r="C31" s="97">
        <v>0.136010908276956</v>
      </c>
    </row>
    <row r="32" spans="1:3" ht="14.25" customHeight="1" x14ac:dyDescent="0.25">
      <c r="B32" s="25" t="s">
        <v>30</v>
      </c>
      <c r="C32" s="97">
        <v>0.658722736035525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33.685989999999997</v>
      </c>
    </row>
    <row r="38" spans="1:5" ht="15" customHeight="1" x14ac:dyDescent="0.25">
      <c r="B38" s="11" t="s">
        <v>54</v>
      </c>
      <c r="C38" s="43">
        <v>59.503540000000001</v>
      </c>
      <c r="D38" s="12"/>
      <c r="E38" s="13"/>
    </row>
    <row r="39" spans="1:5" ht="15" customHeight="1" x14ac:dyDescent="0.25">
      <c r="B39" s="11" t="s">
        <v>80</v>
      </c>
      <c r="C39" s="43">
        <v>115.15188000000001</v>
      </c>
      <c r="D39" s="12"/>
      <c r="E39" s="12"/>
    </row>
    <row r="40" spans="1:5" ht="15" customHeight="1" x14ac:dyDescent="0.25">
      <c r="B40" s="11" t="s">
        <v>55</v>
      </c>
      <c r="C40" s="98">
        <v>4.41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7.9196000000000006E-3</v>
      </c>
      <c r="D45" s="12"/>
    </row>
    <row r="46" spans="1:5" ht="15.75" customHeight="1" x14ac:dyDescent="0.25">
      <c r="B46" s="11" t="s">
        <v>70</v>
      </c>
      <c r="C46" s="45">
        <v>8.5095100000000007E-2</v>
      </c>
      <c r="D46" s="12"/>
    </row>
    <row r="47" spans="1:5" ht="15.75" customHeight="1" x14ac:dyDescent="0.25">
      <c r="B47" s="11" t="s">
        <v>78</v>
      </c>
      <c r="C47" s="45">
        <v>7.3469300000000001E-2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3.4319999999999999</v>
      </c>
      <c r="D51" s="12"/>
    </row>
    <row r="52" spans="1:4" ht="15" customHeight="1" x14ac:dyDescent="0.25">
      <c r="B52" s="11" t="s">
        <v>32</v>
      </c>
      <c r="C52" s="98">
        <v>3.4319999999999999</v>
      </c>
    </row>
    <row r="53" spans="1:4" ht="15.75" customHeight="1" x14ac:dyDescent="0.25">
      <c r="B53" s="11" t="s">
        <v>35</v>
      </c>
      <c r="C53" s="98">
        <v>7.331999999999999</v>
      </c>
    </row>
    <row r="54" spans="1:4" ht="15.75" customHeight="1" x14ac:dyDescent="0.25">
      <c r="B54" s="11" t="s">
        <v>33</v>
      </c>
      <c r="C54" s="98">
        <v>5.98</v>
      </c>
    </row>
    <row r="55" spans="1:4" ht="15.75" customHeight="1" x14ac:dyDescent="0.25">
      <c r="B55" s="11" t="s">
        <v>34</v>
      </c>
      <c r="C55" s="98">
        <v>2.2879999999999998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0.41849700000000001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5rTHDfiq3WaxIzq4Yin2a8EtIZKmLOYLPadIHKUSsaYAmUi1j8EUYNunCiSWYXl2qNPE7kEYXZqJzViSVY/Mg==" saltValue="z98UWzykEHR+bpjEleYl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stHxx5rQoXAJB6S4RKqBOrvsTuVaYA+uuvx99OLxFeSId1SmkzE0nwQyXF0tSGzov+ddZgUa9F/dQfwfzqfng==" saltValue="MVoXZ+zDdcOKrLHieJ/O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4.0116400000000108E-2</v>
      </c>
    </row>
    <row r="4" spans="1:8" ht="15.75" customHeight="1" x14ac:dyDescent="0.25">
      <c r="B4" s="19" t="s">
        <v>116</v>
      </c>
      <c r="C4" s="99">
        <v>0.15844380000000011</v>
      </c>
    </row>
    <row r="5" spans="1:8" ht="15.75" customHeight="1" x14ac:dyDescent="0.25">
      <c r="B5" s="19" t="s">
        <v>114</v>
      </c>
      <c r="C5" s="99">
        <v>0.124777</v>
      </c>
    </row>
    <row r="6" spans="1:8" ht="15.75" customHeight="1" x14ac:dyDescent="0.25">
      <c r="B6" s="19" t="s">
        <v>110</v>
      </c>
      <c r="C6" s="99">
        <v>0.28140640000000011</v>
      </c>
    </row>
    <row r="7" spans="1:8" ht="15.75" customHeight="1" x14ac:dyDescent="0.25">
      <c r="B7" s="19" t="s">
        <v>115</v>
      </c>
      <c r="C7" s="99">
        <v>0.21175369999999999</v>
      </c>
    </row>
    <row r="8" spans="1:8" ht="15.75" customHeight="1" x14ac:dyDescent="0.25">
      <c r="B8" s="19" t="s">
        <v>117</v>
      </c>
      <c r="C8" s="99">
        <v>6.0052000000000074E-3</v>
      </c>
    </row>
    <row r="9" spans="1:8" ht="15.75" customHeight="1" x14ac:dyDescent="0.25">
      <c r="B9" s="19" t="s">
        <v>111</v>
      </c>
      <c r="C9" s="99">
        <v>5.8840899999999842E-2</v>
      </c>
    </row>
    <row r="10" spans="1:8" ht="15.75" customHeight="1" x14ac:dyDescent="0.25">
      <c r="B10" s="19" t="s">
        <v>113</v>
      </c>
      <c r="C10" s="99">
        <v>0.1186565999999999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121</v>
      </c>
      <c r="C15" s="99">
        <v>0.20299060707212241</v>
      </c>
      <c r="D15" s="99">
        <v>0.20299060707212241</v>
      </c>
      <c r="E15" s="99">
        <v>0.20299060707212241</v>
      </c>
      <c r="F15" s="99">
        <v>0.20299060707212241</v>
      </c>
    </row>
    <row r="16" spans="1:8" ht="15.75" customHeight="1" x14ac:dyDescent="0.25">
      <c r="B16" s="19" t="s">
        <v>2</v>
      </c>
      <c r="C16" s="99">
        <v>5.504782921140617E-2</v>
      </c>
      <c r="D16" s="99">
        <v>5.504782921140617E-2</v>
      </c>
      <c r="E16" s="99">
        <v>5.504782921140617E-2</v>
      </c>
      <c r="F16" s="99">
        <v>5.504782921140617E-2</v>
      </c>
    </row>
    <row r="17" spans="1:8" ht="15.75" customHeight="1" x14ac:dyDescent="0.25">
      <c r="B17" s="19" t="s">
        <v>109</v>
      </c>
      <c r="C17" s="99">
        <v>4.0740003174638127E-2</v>
      </c>
      <c r="D17" s="99">
        <v>4.0740003174638127E-2</v>
      </c>
      <c r="E17" s="99">
        <v>4.0740003174638127E-2</v>
      </c>
      <c r="F17" s="99">
        <v>4.0740003174638127E-2</v>
      </c>
    </row>
    <row r="18" spans="1:8" ht="15.75" customHeight="1" x14ac:dyDescent="0.25">
      <c r="B18" s="19" t="s">
        <v>3</v>
      </c>
      <c r="C18" s="99">
        <v>0.28380134527066342</v>
      </c>
      <c r="D18" s="99">
        <v>0.28380134527066342</v>
      </c>
      <c r="E18" s="99">
        <v>0.28380134527066342</v>
      </c>
      <c r="F18" s="99">
        <v>0.28380134527066342</v>
      </c>
    </row>
    <row r="19" spans="1:8" ht="15.75" customHeight="1" x14ac:dyDescent="0.25">
      <c r="B19" s="19" t="s">
        <v>120</v>
      </c>
      <c r="C19" s="99">
        <v>1.513909038348786E-2</v>
      </c>
      <c r="D19" s="99">
        <v>1.513909038348786E-2</v>
      </c>
      <c r="E19" s="99">
        <v>1.513909038348786E-2</v>
      </c>
      <c r="F19" s="99">
        <v>1.513909038348786E-2</v>
      </c>
    </row>
    <row r="20" spans="1:8" ht="15.75" customHeight="1" x14ac:dyDescent="0.25">
      <c r="B20" s="19" t="s">
        <v>98</v>
      </c>
      <c r="C20" s="99">
        <v>2.9404314606592571E-3</v>
      </c>
      <c r="D20" s="99">
        <v>2.9404314606592571E-3</v>
      </c>
      <c r="E20" s="99">
        <v>2.9404314606592571E-3</v>
      </c>
      <c r="F20" s="99">
        <v>2.9404314606592571E-3</v>
      </c>
    </row>
    <row r="21" spans="1:8" ht="15.75" customHeight="1" x14ac:dyDescent="0.25">
      <c r="B21" s="19" t="s">
        <v>107</v>
      </c>
      <c r="C21" s="99">
        <v>5.7765042464679582E-2</v>
      </c>
      <c r="D21" s="99">
        <v>5.7765042464679582E-2</v>
      </c>
      <c r="E21" s="99">
        <v>5.7765042464679582E-2</v>
      </c>
      <c r="F21" s="99">
        <v>5.7765042464679582E-2</v>
      </c>
    </row>
    <row r="22" spans="1:8" ht="15.75" customHeight="1" x14ac:dyDescent="0.25">
      <c r="B22" s="19" t="s">
        <v>118</v>
      </c>
      <c r="C22" s="99">
        <v>0.14506290675238701</v>
      </c>
      <c r="D22" s="99">
        <v>0.14506290675238701</v>
      </c>
      <c r="E22" s="99">
        <v>0.14506290675238701</v>
      </c>
      <c r="F22" s="99">
        <v>0.14506290675238701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8.7709603999999997E-2</v>
      </c>
    </row>
    <row r="27" spans="1:8" ht="15.75" customHeight="1" x14ac:dyDescent="0.25">
      <c r="B27" s="19" t="s">
        <v>108</v>
      </c>
      <c r="C27" s="99">
        <v>8.7931239999999994E-3</v>
      </c>
    </row>
    <row r="28" spans="1:8" ht="15.75" customHeight="1" x14ac:dyDescent="0.25">
      <c r="B28" s="19" t="s">
        <v>122</v>
      </c>
      <c r="C28" s="99">
        <v>0.15523166899999999</v>
      </c>
    </row>
    <row r="29" spans="1:8" ht="15.75" customHeight="1" x14ac:dyDescent="0.25">
      <c r="B29" s="19" t="s">
        <v>105</v>
      </c>
      <c r="C29" s="99">
        <v>0.16945306099999999</v>
      </c>
    </row>
    <row r="30" spans="1:8" ht="15.75" customHeight="1" x14ac:dyDescent="0.25">
      <c r="B30" s="19" t="s">
        <v>4</v>
      </c>
      <c r="C30" s="99">
        <v>0.106213539</v>
      </c>
    </row>
    <row r="31" spans="1:8" ht="15.75" customHeight="1" x14ac:dyDescent="0.25">
      <c r="B31" s="19" t="s">
        <v>99</v>
      </c>
      <c r="C31" s="99">
        <v>0.110723503</v>
      </c>
    </row>
    <row r="32" spans="1:8" ht="15.75" customHeight="1" x14ac:dyDescent="0.25">
      <c r="B32" s="19" t="s">
        <v>104</v>
      </c>
      <c r="C32" s="99">
        <v>1.8926927999999999E-2</v>
      </c>
    </row>
    <row r="33" spans="2:3" ht="15.75" customHeight="1" x14ac:dyDescent="0.25">
      <c r="B33" s="19" t="s">
        <v>119</v>
      </c>
      <c r="C33" s="99">
        <v>8.5375593999999999E-2</v>
      </c>
    </row>
    <row r="34" spans="2:3" ht="15.75" customHeight="1" x14ac:dyDescent="0.25">
      <c r="B34" s="19" t="s">
        <v>106</v>
      </c>
      <c r="C34" s="99">
        <v>0.25757297699999998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c6OJaDJQpTRLXpdc0xrFfLdRtTW8mSdm9cntwtOaSnO2ObiNm4Q5A3jHlQA3lUu4zqYv7dNkRiz15T0LwpYe7A==" saltValue="HL972CABJf4tN/SomEY7u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129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125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126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138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hX3p9oZSwz4HxEGtS4aiaJEC9zLbmJT8pJdEzA6DQZ2dEzSRUQp7rxb8/FUctsxlgR3BDQEwm2CFWIdhIEh9Q==" saltValue="C+pJIsL9hLAZO+/Drc6x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JFm77EgXdHjVKgCvgYbh6VrfWWxzydRFfLoZFdGJUzw7GP0l1D/79nXRuLMMoFm+ClWQh6iesRlY6tnuLw76Mg==" saltValue="R9PQbpx1Ig1tOnwUX39O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Sx257uMQfZJ+oakyomBrNcv+QIf+3ewmll/OFlL0CCsnxLx/dg8la0rmRlERwNae9GmKGccdFVKDViyoDbQWA==" saltValue="BScRX5+UiO40ojzYHU1d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585.40492917102597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0.27259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0.63524000000000003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1.743804057060052E-2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91802.470350000003</v>
      </c>
      <c r="C22" s="107">
        <v>90363.210579999999</v>
      </c>
      <c r="D22" s="107">
        <v>89021.102700000003</v>
      </c>
      <c r="E22" s="107">
        <v>88460.205249999999</v>
      </c>
      <c r="F22" s="107">
        <v>87710.534190000006</v>
      </c>
      <c r="G22" s="107">
        <v>86787.869500000001</v>
      </c>
      <c r="H22" s="107">
        <v>85648.494890000002</v>
      </c>
      <c r="I22" s="107">
        <v>84172.283219999998</v>
      </c>
      <c r="J22" s="107">
        <v>82158.494680000003</v>
      </c>
      <c r="K22" s="107">
        <v>79465.618359999993</v>
      </c>
      <c r="L22" s="107">
        <v>75573.487370000003</v>
      </c>
      <c r="M22" s="107">
        <v>70252.41171</v>
      </c>
      <c r="N22" s="107">
        <v>62715.294309999997</v>
      </c>
      <c r="O22" s="107">
        <v>53021.462319999999</v>
      </c>
    </row>
  </sheetData>
  <sheetProtection algorithmName="SHA-512" hashValue="vLW2eCoK3V90OEOPnJ652+v0YD6Q+4akChUgU7vVYwQKsgH7BI9zaENBcE966rF5+yR/7WLFuHVIiyj92zCfwA==" saltValue="FMqEJpdwbEohBQuW+I+O9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1aO3QG5xUmHmL/r4j6sIXeRvJfUW1IrlKQKouHpqO70zB1XSPIkyCGS+YV0Sf38zp/Euhar7I7imJ06iMoMGg==" saltValue="9vA4b7P3nNRbQJRPvWD1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L+0f/q82jRxzruhD2+oczGKPm10n5kwsCUtMJ8meV+zafGsw3DFkBVdXpQiaLyGeqzW6PmZvQtjAlZpGJddZw==" saltValue="sUcTXKMGfMF6fBTJ4slj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0.21243500000000001</v>
      </c>
      <c r="C10" s="96">
        <v>0.95</v>
      </c>
      <c r="D10" s="56">
        <v>15.002033020696739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15.002033020696739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15.002033020696739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15.002033020696739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0.21243500000000001</v>
      </c>
      <c r="C14" s="96">
        <v>0.95</v>
      </c>
      <c r="D14" s="56">
        <v>15.002033020696739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15.002033020696739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0.43648940000000003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3.0533333333333301E-2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0.12774779999999999</v>
      </c>
      <c r="C19" s="96">
        <v>0.95</v>
      </c>
      <c r="D19" s="56">
        <v>6.4354675422780758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0.77252589999999999</v>
      </c>
      <c r="C23" s="96">
        <v>0.95</v>
      </c>
      <c r="D23" s="56">
        <v>4.9019061388624658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0.31826196643066001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0.21243500000000001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0.41242699999999999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0.10511330000000001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51.726402188782487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0.39950000000000002</v>
      </c>
      <c r="C31" s="96">
        <v>0.95</v>
      </c>
      <c r="D31" s="56">
        <v>118.52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0.87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0.24616806296351099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0.20496159999999999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5.0521000000000003E-3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0.41175289999999998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0.29306520000000003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h6AVwuSLHYASivAITHIRik9UD/3278+63ZneNFABQwxvKmyD+7s9zgrJA3bPSt24L+BXwMOG2s1zndIDodYhKQ==" saltValue="uF9lrUnKshejch3uiuJ6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5jPoawez/7OW5KUR6Cfr9d0K6LymxNfHgp3Z/J7TR03W2T1a10NbBYX45L7MZH8yBx25aoM39SDBs30VBRsfw==" saltValue="/Gmk2IBq5JUnA7XqrLjF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//mNLh/vax9inoyvmqSL2T/uZTOPyUYP+BDNsGz0eWRvTrPuk6n+qFWHYJQuXNCSmCxQNtCsI9ZW03x1uMdI3A==" saltValue="0jhtysAFhuI8u6uJSuhn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3.4319999999999999</v>
      </c>
      <c r="C2" s="21">
        <f>'Entradas de población-año base'!C52</f>
        <v>3.4319999999999999</v>
      </c>
      <c r="D2" s="21">
        <f>'Entradas de población-año base'!C53</f>
        <v>7.331999999999999</v>
      </c>
      <c r="E2" s="21">
        <f>'Entradas de población-año base'!C54</f>
        <v>5.98</v>
      </c>
      <c r="F2" s="21">
        <f>'Entradas de población-año base'!C55</f>
        <v>2.2879999999999998</v>
      </c>
    </row>
    <row r="3" spans="1:6" ht="15.75" customHeight="1" x14ac:dyDescent="0.25">
      <c r="A3" s="3" t="s">
        <v>6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236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5nCTH0U/Sl+SJNPT2y2AesemSUFrQ6c7LNN1Qv7lP0C6cLbt+8louyPweVjJavz71t9sjpUXVoqKkpzsx9Q3lw==" saltValue="itKVej3lGQZ6lqJs/dec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CGoXAEJX5ER2ZOQFtq8LSPbcZkYOOIA2MG2SdZS3Ea7eaQQVbjN0G/pLT2EcktopYyxdnvDwdTaGV6ybVBYDg==" saltValue="gKVc9OkAmsRSnFQUkPFf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9AS6TBqcWV0eH1AmPzb24StUlRgrfjb4VUxhoW0Gy3J8pv0n5QgcyoSn0R3jTV7TKBi2A3ECsjj8O3zuR36FpQ==" saltValue="nexDPaFwNrAX9LeF++my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vx2ymlYUUj2LGAwy8dLdyERkC2brwHExa0UcCBXweY+s5eybfvlddpdFIerlhfzi9i3vAkKJUh7FBURVAtKCw==" saltValue="aLPVvsD8dZKvVJjzPzyb8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hY760d6L0pq/GYQqoXtd31dVAaKechFph2iXwXOawt8GsfePDsdtW4+YKTC+Q/+aSeJOxDaVtCY/SBXnQQEA==" saltValue="RP+p9cw5CPzatqOhb0hl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5oDE3bQTZCsWS6DMwiB2b0u3K81p9JQKrg9Sm+X2f67wYPl3x2tQjzhRftDlxmybvEORYpTmSqzS2uAbevKMQ==" saltValue="5HOOxXWzCEp8hCU5HxdW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wYeO19s8YB6aufNTZB6fahUe51oenyuXxOYv2hbptfaLPmT3faMguDItA8poXNAmhrp0zVJVLqRaU3I6m3OwQ==" saltValue="eUopV7qFPlUIKksNnKaF3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SwTGbeU9Ww4gCJ9SbLTgs1HdCP9yo4w1WkpydN0ttU2iNHtH732PFKsT5r6mi7fuouH3cLaJVoxZvlNTBuz3w==" saltValue="qPW2SvxpbKDU3g0Zt+KG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/yo9+jCbsO7izmn2g1wAzYoFmmFMzAmpg0cffxFRJXpK44ETFN7KxBJc/doSBDRy53VUj/y4dRNwR746VwEn4g==" saltValue="kC7RnUzKLtidoYkvKfiI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moKOwNgAgHqjl5qGYpuzsYjdIRC9WMkoH+EK5iR/W2jaOHcW5fpYqEc+x4y82e0pYRB+1R9pjOiUUh05zmKvg==" saltValue="DFL3+yQ//ZwqGKuHC/AQ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CTNYnovrAFamXxapqd+Tp25ZhUwPtWJvNx3LZWdPf0HAdRcFl9CqVRE2lYBS7BQWsv/Zow7lKe4PN9eR22Ztw==" saltValue="fncxl1A5HFc8bGf02knn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+RF1leMIzgODdg0QI13C7QGZQWeRfRQRTtX557aLWk/+hApbHn91+9B6KFLY08stVURBlHl0R3F4WTS+PtaPQ==" saltValue="zbW1YrQ5rHi0/Nh9Glkt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m1nsXUaTBUiT4LUfvUGkRMZbUyaA/iu4BRY3vXVbF4YHr2g5rhtlcjSlPttUVIQholuWT92BSbD294hy6O0aA==" saltValue="7Mca/JH5bent/RBWDaqT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WLgCuhuqWnZQ7REwuhv1APj/mRG0d7iLSsrDIdQ8Ro7P2gRvfHskHcRXSXi5enKvluiDjNt0l661/CffAF1yQ==" saltValue="VOSYzGV9CI+H4XbwunFI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ZGxXlASI2WOqXxNbZQFWf0ZEQsChYSXGpOyzO81H3ErVq0QmIQrhH2o3Tz7V/dB0PInac1o6ccyECeyJFcbvw==" saltValue="6aJIHn9fXmUnNmvk+BcJ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MDpZadlv+x8pP/XrlMF24EkmaoTnYaY37507lJ4fQoIrXgRVCHB/PRb9/E6sB4zXx3qCOn7B75ErcLT7PBxQA==" saltValue="P88NXYD0ehWAdFww0yCbw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