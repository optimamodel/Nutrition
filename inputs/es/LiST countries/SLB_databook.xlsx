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4E7D0EBA-2FA6-4BE8-9B24-4DE4AB86F59D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I6" i="2" s="1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I3" i="2" l="1"/>
  <c r="I7" i="2"/>
  <c r="I11" i="2"/>
  <c r="A35" i="2"/>
  <c r="A19" i="2"/>
  <c r="A23" i="2"/>
  <c r="A37" i="2"/>
  <c r="I4" i="2"/>
  <c r="I8" i="2"/>
  <c r="A25" i="2"/>
  <c r="A26" i="2"/>
  <c r="I39" i="2"/>
  <c r="A31" i="2"/>
  <c r="A34" i="2"/>
  <c r="A40" i="2"/>
  <c r="A22" i="2"/>
  <c r="A36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<sst xmlns="http://schemas.openxmlformats.org/spreadsheetml/2006/main" count="2159" uniqueCount="372">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</sst>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106075.5</v>
      </c>
    </row>
    <row r="8" spans="1:3" ht="15" customHeight="1" x14ac:dyDescent="0.25">
      <c r="B8" s="5" t="s">
        <v>63</v>
      </c>
      <c r="C8" s="44">
        <v>0.251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0.81408699039999999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0.62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7.0400000000000004E-2</v>
      </c>
    </row>
    <row r="24" spans="1:3" ht="15" customHeight="1" x14ac:dyDescent="0.25">
      <c r="B24" s="15" t="s">
        <v>65</v>
      </c>
      <c r="C24" s="45">
        <v>0.48080000000000001</v>
      </c>
    </row>
    <row r="25" spans="1:3" ht="15" customHeight="1" x14ac:dyDescent="0.25">
      <c r="B25" s="15" t="s">
        <v>66</v>
      </c>
      <c r="C25" s="45">
        <v>0.35560000000000003</v>
      </c>
    </row>
    <row r="26" spans="1:3" ht="15" customHeight="1" x14ac:dyDescent="0.25">
      <c r="B26" s="15" t="s">
        <v>67</v>
      </c>
      <c r="C26" s="45">
        <v>9.3200000000000005E-2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0.35185775257007201</v>
      </c>
    </row>
    <row r="30" spans="1:3" ht="14.25" customHeight="1" x14ac:dyDescent="0.25">
      <c r="B30" s="25" t="s">
        <v>82</v>
      </c>
      <c r="C30" s="99">
        <v>2.3858720907234902E-2</v>
      </c>
    </row>
    <row r="31" spans="1:3" ht="14.25" customHeight="1" x14ac:dyDescent="0.25">
      <c r="B31" s="25" t="s">
        <v>29</v>
      </c>
      <c r="C31" s="99">
        <v>3.4342930038455802E-2</v>
      </c>
    </row>
    <row r="32" spans="1:3" ht="14.25" customHeight="1" x14ac:dyDescent="0.25">
      <c r="B32" s="25" t="s">
        <v>30</v>
      </c>
      <c r="C32" s="99">
        <v>0.58994059648423802</v>
      </c>
    </row>
    <row r="33" spans="1:5" ht="13.25" customHeight="1" x14ac:dyDescent="0.25">
      <c r="B33" s="27" t="s">
        <v>79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7.5990799999999998</v>
      </c>
    </row>
    <row r="38" spans="1:5" ht="15" customHeight="1" x14ac:dyDescent="0.25">
      <c r="B38" s="11" t="s">
        <v>54</v>
      </c>
      <c r="C38" s="43">
        <v>16.091200000000001</v>
      </c>
      <c r="D38" s="12"/>
      <c r="E38" s="13"/>
    </row>
    <row r="39" spans="1:5" ht="15" customHeight="1" x14ac:dyDescent="0.25">
      <c r="B39" s="11" t="s">
        <v>80</v>
      </c>
      <c r="C39" s="43">
        <v>18.785260000000001</v>
      </c>
      <c r="D39" s="12"/>
      <c r="E39" s="12"/>
    </row>
    <row r="40" spans="1:5" ht="15" customHeight="1" x14ac:dyDescent="0.25">
      <c r="B40" s="11" t="s">
        <v>55</v>
      </c>
      <c r="C40" s="100">
        <v>1.22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9.1973199999999995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6.1345000000000002E-3</v>
      </c>
      <c r="D45" s="12"/>
    </row>
    <row r="46" spans="1:5" ht="15.75" customHeight="1" x14ac:dyDescent="0.25">
      <c r="B46" s="11" t="s">
        <v>70</v>
      </c>
      <c r="C46" s="45">
        <v>6.5914E-2</v>
      </c>
      <c r="D46" s="12"/>
    </row>
    <row r="47" spans="1:5" ht="15.75" customHeight="1" x14ac:dyDescent="0.25">
      <c r="B47" s="11" t="s">
        <v>78</v>
      </c>
      <c r="C47" s="45">
        <v>7.5167600000000001E-2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2.2000000000000002</v>
      </c>
      <c r="D51" s="12"/>
    </row>
    <row r="52" spans="1:4" ht="15" customHeight="1" x14ac:dyDescent="0.25">
      <c r="B52" s="11" t="s">
        <v>32</v>
      </c>
      <c r="C52" s="100">
        <v>2.2000000000000002</v>
      </c>
    </row>
    <row r="53" spans="1:4" ht="15.75" customHeight="1" x14ac:dyDescent="0.25">
      <c r="B53" s="11" t="s">
        <v>35</v>
      </c>
      <c r="C53" s="100">
        <v>2.2000000000000002</v>
      </c>
    </row>
    <row r="54" spans="1:4" ht="15.75" customHeight="1" x14ac:dyDescent="0.25">
      <c r="B54" s="11" t="s">
        <v>33</v>
      </c>
      <c r="C54" s="100">
        <v>2.2000000000000002</v>
      </c>
    </row>
    <row r="55" spans="1:4" ht="15.75" customHeight="1" x14ac:dyDescent="0.25">
      <c r="B55" s="11" t="s">
        <v>34</v>
      </c>
      <c r="C55" s="100">
        <v>2.2000000000000002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2.1363636363636359E-2</v>
      </c>
    </row>
    <row r="59" spans="1:4" ht="15.75" customHeight="1" x14ac:dyDescent="0.25">
      <c r="B59" s="11" t="s">
        <v>59</v>
      </c>
      <c r="C59" s="45">
        <v>0.54101599999999994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FyjKyxygqpm0voYGVfVWANiWI2gAu3Q6g4iPDlZABFSSikwSYbi3R+cscYAVwjkqodeam0w7AsvdoxM3cZiwQw==" saltValue="XQqRpelhesmmTLpw4zN/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21878</v>
      </c>
      <c r="C2" s="49">
        <v>40237.5</v>
      </c>
      <c r="D2" s="49">
        <v>69496.5</v>
      </c>
      <c r="E2" s="49">
        <v>52763.999999999993</v>
      </c>
      <c r="F2" s="49">
        <v>40926</v>
      </c>
      <c r="G2" s="17">
        <f t="shared" ref="G2:G13" si="0">C2+D2+E2+F2</f>
        <v>203424</v>
      </c>
      <c r="H2" s="17">
        <f t="shared" ref="H2:H13" si="1">(B2 + stillbirth*B2/(1000-stillbirth))/(1-abortion)</f>
        <v>25092.144115277966</v>
      </c>
      <c r="I2" s="17">
        <f t="shared" ref="I2:I13" si="2">G2-H2</f>
        <v>178331.85588472203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22160</v>
      </c>
      <c r="C3" s="50">
        <v>41217</v>
      </c>
      <c r="D3" s="50">
        <v>71559</v>
      </c>
      <c r="E3" s="50">
        <v>53705.5</v>
      </c>
      <c r="F3" s="50">
        <v>42353.5</v>
      </c>
      <c r="G3" s="17">
        <f t="shared" si="0"/>
        <v>208835</v>
      </c>
      <c r="H3" s="17">
        <f t="shared" si="1"/>
        <v>25415.573342835713</v>
      </c>
      <c r="I3" s="17">
        <f t="shared" si="2"/>
        <v>183419.42665716429</v>
      </c>
    </row>
    <row r="4" spans="1:9" ht="15.75" customHeight="1" x14ac:dyDescent="0.25">
      <c r="A4" s="5">
        <f t="shared" si="3"/>
        <v>2026</v>
      </c>
      <c r="B4" s="49">
        <v>22440</v>
      </c>
      <c r="C4" s="50">
        <v>42451.5</v>
      </c>
      <c r="D4" s="50">
        <v>73349.5</v>
      </c>
      <c r="E4" s="50">
        <v>54799</v>
      </c>
      <c r="F4" s="50">
        <v>43842</v>
      </c>
      <c r="G4" s="17">
        <f t="shared" si="0"/>
        <v>214442</v>
      </c>
      <c r="H4" s="17">
        <f t="shared" si="1"/>
        <v>25736.70874608454</v>
      </c>
      <c r="I4" s="17">
        <f t="shared" si="2"/>
        <v>188705.29125391546</v>
      </c>
    </row>
    <row r="5" spans="1:9" ht="15.75" customHeight="1" x14ac:dyDescent="0.25">
      <c r="A5" s="5">
        <f t="shared" si="3"/>
        <v>2027</v>
      </c>
      <c r="B5" s="49">
        <v>22687</v>
      </c>
      <c r="C5" s="50">
        <v>43815.5</v>
      </c>
      <c r="D5" s="50">
        <v>74966.000000000015</v>
      </c>
      <c r="E5" s="50">
        <v>56084.5</v>
      </c>
      <c r="F5" s="50">
        <v>45330</v>
      </c>
      <c r="G5" s="17">
        <f t="shared" si="0"/>
        <v>220196</v>
      </c>
      <c r="H5" s="17">
        <f t="shared" si="1"/>
        <v>26019.996048236178</v>
      </c>
      <c r="I5" s="17">
        <f t="shared" si="2"/>
        <v>194176.00395176382</v>
      </c>
    </row>
    <row r="6" spans="1:9" ht="15.75" customHeight="1" x14ac:dyDescent="0.25">
      <c r="A6" s="5">
        <f t="shared" si="3"/>
        <v>2028</v>
      </c>
      <c r="B6" s="49">
        <v>22961</v>
      </c>
      <c r="C6" s="50">
        <v>45193.5</v>
      </c>
      <c r="D6" s="50">
        <v>76497.999999999985</v>
      </c>
      <c r="E6" s="50">
        <v>57597.5</v>
      </c>
      <c r="F6" s="50">
        <v>46751.999999999993</v>
      </c>
      <c r="G6" s="17">
        <f t="shared" si="0"/>
        <v>226041</v>
      </c>
      <c r="H6" s="17">
        <f t="shared" si="1"/>
        <v>26334.249978558248</v>
      </c>
      <c r="I6" s="17">
        <f t="shared" si="2"/>
        <v>199706.75002144175</v>
      </c>
    </row>
    <row r="7" spans="1:9" ht="15.75" customHeight="1" x14ac:dyDescent="0.25">
      <c r="A7" s="5">
        <f t="shared" si="3"/>
        <v>2029</v>
      </c>
      <c r="B7" s="49">
        <v>23237</v>
      </c>
      <c r="C7" s="50">
        <v>46469.5</v>
      </c>
      <c r="D7" s="50">
        <v>78031</v>
      </c>
      <c r="E7" s="50">
        <v>59365</v>
      </c>
      <c r="F7" s="50">
        <v>48041</v>
      </c>
      <c r="G7" s="17">
        <f t="shared" si="0"/>
        <v>231906.5</v>
      </c>
      <c r="H7" s="17">
        <f t="shared" si="1"/>
        <v>26650.797733189236</v>
      </c>
      <c r="I7" s="17">
        <f t="shared" si="2"/>
        <v>205255.70226681075</v>
      </c>
    </row>
    <row r="8" spans="1:9" ht="15.75" customHeight="1" x14ac:dyDescent="0.25">
      <c r="A8" s="5">
        <f t="shared" si="3"/>
        <v>2030</v>
      </c>
      <c r="B8" s="49">
        <v>23563</v>
      </c>
      <c r="C8" s="50">
        <v>47537</v>
      </c>
      <c r="D8" s="50">
        <v>79654</v>
      </c>
      <c r="E8" s="50">
        <v>61396.5</v>
      </c>
      <c r="F8" s="50">
        <v>49147.999999999993</v>
      </c>
      <c r="G8" s="17">
        <f t="shared" si="0"/>
        <v>237735.5</v>
      </c>
      <c r="H8" s="17">
        <f t="shared" si="1"/>
        <v>27024.691095543225</v>
      </c>
      <c r="I8" s="17">
        <f t="shared" si="2"/>
        <v>210710.80890445679</v>
      </c>
    </row>
    <row r="9" spans="1:9" ht="15.75" customHeight="1" x14ac:dyDescent="0.25">
      <c r="A9" s="5">
        <f t="shared" si="3"/>
        <v>2031</v>
      </c>
      <c r="B9" s="49">
        <v>23850</v>
      </c>
      <c r="C9" s="50">
        <v>48355</v>
      </c>
      <c r="D9" s="50">
        <v>81389.5</v>
      </c>
      <c r="E9" s="50">
        <v>63639.5</v>
      </c>
      <c r="F9" s="50">
        <v>50079.499999999993</v>
      </c>
      <c r="G9" s="17">
        <f t="shared" si="0"/>
        <v>243463.5</v>
      </c>
      <c r="H9" s="17">
        <f t="shared" si="1"/>
        <v>27353.854883873275</v>
      </c>
      <c r="I9" s="17">
        <f t="shared" si="2"/>
        <v>216109.64511612672</v>
      </c>
    </row>
    <row r="10" spans="1:9" ht="15.75" customHeight="1" x14ac:dyDescent="0.25">
      <c r="A10" s="5">
        <f t="shared" si="3"/>
        <v>2032</v>
      </c>
      <c r="B10" s="49">
        <v>24158</v>
      </c>
      <c r="C10" s="50">
        <v>48947</v>
      </c>
      <c r="D10" s="50">
        <v>83213</v>
      </c>
      <c r="E10" s="50">
        <v>65991.5</v>
      </c>
      <c r="F10" s="50">
        <v>50900.000000000007</v>
      </c>
      <c r="G10" s="17">
        <f t="shared" si="0"/>
        <v>249051.5</v>
      </c>
      <c r="H10" s="17">
        <f t="shared" si="1"/>
        <v>27707.103827446983</v>
      </c>
      <c r="I10" s="17">
        <f t="shared" si="2"/>
        <v>221344.39617255301</v>
      </c>
    </row>
    <row r="11" spans="1:9" ht="15.75" customHeight="1" x14ac:dyDescent="0.25">
      <c r="A11" s="5">
        <f t="shared" si="3"/>
        <v>2033</v>
      </c>
      <c r="B11" s="49">
        <v>24409</v>
      </c>
      <c r="C11" s="50">
        <v>49355</v>
      </c>
      <c r="D11" s="50">
        <v>85083.5</v>
      </c>
      <c r="E11" s="50">
        <v>68329.000000000015</v>
      </c>
      <c r="F11" s="50">
        <v>51675.5</v>
      </c>
      <c r="G11" s="17">
        <f t="shared" si="0"/>
        <v>254443</v>
      </c>
      <c r="H11" s="17">
        <f t="shared" si="1"/>
        <v>27994.978778216468</v>
      </c>
      <c r="I11" s="17">
        <f t="shared" si="2"/>
        <v>226448.02122178354</v>
      </c>
    </row>
    <row r="12" spans="1:9" ht="15.75" customHeight="1" x14ac:dyDescent="0.25">
      <c r="A12" s="5">
        <f t="shared" si="3"/>
        <v>2034</v>
      </c>
      <c r="B12" s="49">
        <v>24657</v>
      </c>
      <c r="C12" s="50">
        <v>49550.5</v>
      </c>
      <c r="D12" s="50">
        <v>86966.5</v>
      </c>
      <c r="E12" s="50">
        <v>70526.5</v>
      </c>
      <c r="F12" s="50">
        <v>52474.000000000007</v>
      </c>
      <c r="G12" s="17">
        <f t="shared" si="0"/>
        <v>259517.5</v>
      </c>
      <c r="H12" s="17">
        <f t="shared" si="1"/>
        <v>28279.412992522572</v>
      </c>
      <c r="I12" s="17">
        <f t="shared" si="2"/>
        <v>231238.08700747741</v>
      </c>
    </row>
    <row r="13" spans="1:9" ht="15.75" customHeight="1" x14ac:dyDescent="0.25">
      <c r="A13" s="5">
        <f t="shared" si="3"/>
        <v>2035</v>
      </c>
      <c r="B13" s="49">
        <v>24876</v>
      </c>
      <c r="C13" s="50">
        <v>49615.5</v>
      </c>
      <c r="D13" s="50">
        <v>88875</v>
      </c>
      <c r="E13" s="50">
        <v>72452</v>
      </c>
      <c r="F13" s="50">
        <v>53363</v>
      </c>
      <c r="G13" s="17">
        <f t="shared" si="0"/>
        <v>264305.5</v>
      </c>
      <c r="H13" s="17">
        <f t="shared" si="1"/>
        <v>28530.586754349333</v>
      </c>
      <c r="I13" s="17">
        <f t="shared" si="2"/>
        <v>235774.91324565068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xgMksaqkDNSdWRya5ADPuA4FoyqLiSenPmsDZDfX2yRW0seoxh0dYaL7ZHaHOPji7e+1nvjarEnFjHQVhzDvMQ==" saltValue="GtjshCjaJ/jonImcOWwN4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3.6933821655645701E-3</v>
      </c>
    </row>
    <row r="4" spans="1:8" ht="15.75" customHeight="1" x14ac:dyDescent="0.25">
      <c r="B4" s="19" t="s">
        <v>116</v>
      </c>
      <c r="C4" s="101">
        <v>4.9979711487722067E-2</v>
      </c>
    </row>
    <row r="5" spans="1:8" ht="15.75" customHeight="1" x14ac:dyDescent="0.25">
      <c r="B5" s="19" t="s">
        <v>114</v>
      </c>
      <c r="C5" s="101">
        <v>1.6129802394131899E-2</v>
      </c>
    </row>
    <row r="6" spans="1:8" ht="15.75" customHeight="1" x14ac:dyDescent="0.25">
      <c r="B6" s="19" t="s">
        <v>110</v>
      </c>
      <c r="C6" s="101">
        <v>0.160163230930564</v>
      </c>
    </row>
    <row r="7" spans="1:8" ht="15.75" customHeight="1" x14ac:dyDescent="0.25">
      <c r="B7" s="19" t="s">
        <v>115</v>
      </c>
      <c r="C7" s="101">
        <v>0.48515151015483848</v>
      </c>
    </row>
    <row r="8" spans="1:8" ht="15.75" customHeight="1" x14ac:dyDescent="0.25">
      <c r="B8" s="19" t="s">
        <v>117</v>
      </c>
      <c r="C8" s="101">
        <v>2.1136541039387551E-2</v>
      </c>
    </row>
    <row r="9" spans="1:8" ht="15.75" customHeight="1" x14ac:dyDescent="0.25">
      <c r="B9" s="19" t="s">
        <v>111</v>
      </c>
      <c r="C9" s="101">
        <v>0.2127465899819434</v>
      </c>
    </row>
    <row r="10" spans="1:8" ht="15.75" customHeight="1" x14ac:dyDescent="0.25">
      <c r="B10" s="19" t="s">
        <v>113</v>
      </c>
      <c r="C10" s="101">
        <v>5.099923184584803E-2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0.14274685422427991</v>
      </c>
      <c r="D14" s="55">
        <v>0.14274685422427991</v>
      </c>
      <c r="E14" s="55">
        <v>0.14274685422427991</v>
      </c>
      <c r="F14" s="55">
        <v>0.14274685422427991</v>
      </c>
    </row>
    <row r="15" spans="1:8" ht="15.75" customHeight="1" x14ac:dyDescent="0.25">
      <c r="B15" s="19" t="s">
        <v>121</v>
      </c>
      <c r="C15" s="101">
        <v>0.34209094123956019</v>
      </c>
      <c r="D15" s="101">
        <v>0.34209094123956019</v>
      </c>
      <c r="E15" s="101">
        <v>0.34209094123956019</v>
      </c>
      <c r="F15" s="101">
        <v>0.34209094123956019</v>
      </c>
    </row>
    <row r="16" spans="1:8" ht="15.75" customHeight="1" x14ac:dyDescent="0.25">
      <c r="B16" s="19" t="s">
        <v>2</v>
      </c>
      <c r="C16" s="101">
        <v>7.7668022360367957E-3</v>
      </c>
      <c r="D16" s="101">
        <v>7.7668022360367957E-3</v>
      </c>
      <c r="E16" s="101">
        <v>7.7668022360367957E-3</v>
      </c>
      <c r="F16" s="101">
        <v>7.7668022360367957E-3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0.37355827260013791</v>
      </c>
      <c r="D18" s="101">
        <v>0.37355827260013791</v>
      </c>
      <c r="E18" s="101">
        <v>0.37355827260013791</v>
      </c>
      <c r="F18" s="101">
        <v>0.37355827260013791</v>
      </c>
    </row>
    <row r="19" spans="1:8" ht="15.75" customHeight="1" x14ac:dyDescent="0.25">
      <c r="B19" s="19" t="s">
        <v>120</v>
      </c>
      <c r="C19" s="101">
        <v>1.9589949234814299E-2</v>
      </c>
      <c r="D19" s="101">
        <v>1.9589949234814299E-2</v>
      </c>
      <c r="E19" s="101">
        <v>1.9589949234814299E-2</v>
      </c>
      <c r="F19" s="101">
        <v>1.9589949234814299E-2</v>
      </c>
    </row>
    <row r="20" spans="1:8" ht="15.75" customHeight="1" x14ac:dyDescent="0.25">
      <c r="B20" s="19" t="s">
        <v>98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107</v>
      </c>
      <c r="C21" s="101">
        <v>7.7731886989490975E-2</v>
      </c>
      <c r="D21" s="101">
        <v>7.7731886989490975E-2</v>
      </c>
      <c r="E21" s="101">
        <v>7.7731886989490975E-2</v>
      </c>
      <c r="F21" s="101">
        <v>7.7731886989490975E-2</v>
      </c>
    </row>
    <row r="22" spans="1:8" ht="15.75" customHeight="1" x14ac:dyDescent="0.25">
      <c r="B22" s="19" t="s">
        <v>118</v>
      </c>
      <c r="C22" s="101">
        <v>3.6515293475680291E-2</v>
      </c>
      <c r="D22" s="101">
        <v>3.6515293475680291E-2</v>
      </c>
      <c r="E22" s="101">
        <v>3.6515293475680291E-2</v>
      </c>
      <c r="F22" s="101">
        <v>3.6515293475680291E-2</v>
      </c>
    </row>
    <row r="23" spans="1:8" ht="15.75" customHeight="1" x14ac:dyDescent="0.25">
      <c r="B23" s="27" t="s">
        <v>79</v>
      </c>
      <c r="C23" s="48">
        <f>SUM(C14:C22)</f>
        <v>1.0000000000000004</v>
      </c>
      <c r="D23" s="48">
        <f>SUM(D14:D22)</f>
        <v>1.0000000000000004</v>
      </c>
      <c r="E23" s="48">
        <f>SUM(E14:E22)</f>
        <v>1.0000000000000004</v>
      </c>
      <c r="F23" s="48">
        <f>SUM(F14:F22)</f>
        <v>1.0000000000000004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4.7769731000000003E-2</v>
      </c>
    </row>
    <row r="27" spans="1:8" ht="15.75" customHeight="1" x14ac:dyDescent="0.25">
      <c r="B27" s="19" t="s">
        <v>108</v>
      </c>
      <c r="C27" s="101">
        <v>1.8843999E-2</v>
      </c>
    </row>
    <row r="28" spans="1:8" ht="15.75" customHeight="1" x14ac:dyDescent="0.25">
      <c r="B28" s="19" t="s">
        <v>122</v>
      </c>
      <c r="C28" s="101">
        <v>0.22958879300000001</v>
      </c>
    </row>
    <row r="29" spans="1:8" ht="15.75" customHeight="1" x14ac:dyDescent="0.25">
      <c r="B29" s="19" t="s">
        <v>105</v>
      </c>
      <c r="C29" s="101">
        <v>0.13888713499999999</v>
      </c>
    </row>
    <row r="30" spans="1:8" ht="15.75" customHeight="1" x14ac:dyDescent="0.25">
      <c r="B30" s="19" t="s">
        <v>4</v>
      </c>
      <c r="C30" s="101">
        <v>5.0046261000000002E-2</v>
      </c>
    </row>
    <row r="31" spans="1:8" ht="15.75" customHeight="1" x14ac:dyDescent="0.25">
      <c r="B31" s="19" t="s">
        <v>99</v>
      </c>
      <c r="C31" s="101">
        <v>7.1139825000000018E-2</v>
      </c>
    </row>
    <row r="32" spans="1:8" ht="15.75" customHeight="1" x14ac:dyDescent="0.25">
      <c r="B32" s="19" t="s">
        <v>104</v>
      </c>
      <c r="C32" s="101">
        <v>0.14767061300000001</v>
      </c>
    </row>
    <row r="33" spans="2:3" ht="15.75" customHeight="1" x14ac:dyDescent="0.25">
      <c r="B33" s="19" t="s">
        <v>119</v>
      </c>
      <c r="C33" s="101">
        <v>0.123389649</v>
      </c>
    </row>
    <row r="34" spans="2:3" ht="15.75" customHeight="1" x14ac:dyDescent="0.25">
      <c r="B34" s="19" t="s">
        <v>106</v>
      </c>
      <c r="C34" s="101">
        <v>0.17266399499999999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suIPhlXcwK5DzE2nRdKCB0vTE4dc5amdhGmeLCAuYN9Dvsii4FpcghvYnnD5fqTD1y1zk9QieErUteCtda5qdQ==" saltValue="Tej5cb6pSO2PsQuGTK0a1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129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125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126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138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0.61941419899999994</v>
      </c>
      <c r="D14" s="54">
        <v>0.61082815785800004</v>
      </c>
      <c r="E14" s="54">
        <v>0.61082815785800004</v>
      </c>
      <c r="F14" s="54">
        <v>0.46499616867100002</v>
      </c>
      <c r="G14" s="54">
        <v>0.46499616867100002</v>
      </c>
      <c r="H14" s="45">
        <v>0.48599999999999999</v>
      </c>
      <c r="I14" s="55">
        <v>0.48599999999999999</v>
      </c>
      <c r="J14" s="55">
        <v>0.48599999999999999</v>
      </c>
      <c r="K14" s="55">
        <v>0.48599999999999999</v>
      </c>
      <c r="L14" s="45">
        <v>0.38200000000000001</v>
      </c>
      <c r="M14" s="55">
        <v>0.38200000000000001</v>
      </c>
      <c r="N14" s="55">
        <v>0.38200000000000001</v>
      </c>
      <c r="O14" s="55">
        <v>0.38200000000000001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0.33511299228618391</v>
      </c>
      <c r="D15" s="52">
        <f t="shared" si="0"/>
        <v>0.33046780665170372</v>
      </c>
      <c r="E15" s="52">
        <f t="shared" si="0"/>
        <v>0.33046780665170372</v>
      </c>
      <c r="F15" s="52">
        <f t="shared" si="0"/>
        <v>0.25157036718970971</v>
      </c>
      <c r="G15" s="52">
        <f t="shared" si="0"/>
        <v>0.25157036718970971</v>
      </c>
      <c r="H15" s="52">
        <f t="shared" si="0"/>
        <v>0.26293377599999995</v>
      </c>
      <c r="I15" s="52">
        <f t="shared" si="0"/>
        <v>0.26293377599999995</v>
      </c>
      <c r="J15" s="52">
        <f t="shared" si="0"/>
        <v>0.26293377599999995</v>
      </c>
      <c r="K15" s="52">
        <f t="shared" si="0"/>
        <v>0.26293377599999995</v>
      </c>
      <c r="L15" s="52">
        <f t="shared" si="0"/>
        <v>0.20666811199999999</v>
      </c>
      <c r="M15" s="52">
        <f t="shared" si="0"/>
        <v>0.20666811199999999</v>
      </c>
      <c r="N15" s="52">
        <f t="shared" si="0"/>
        <v>0.20666811199999999</v>
      </c>
      <c r="O15" s="52">
        <f t="shared" si="0"/>
        <v>0.20666811199999999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THHPMsvWoOYblK+ET0M3sFKVFBybh45Ood2vaOIBD5zkC4ky/hq4/LWOOeSvH0PP+7Ko8YfNqaURdc4lfR+Usw==" saltValue="ZLymsh3I8JTJv//N6f1X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0.63046120140845097</v>
      </c>
      <c r="D2" s="53">
        <v>0.43695124225352111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0.13987543571428601</v>
      </c>
      <c r="D3" s="53">
        <v>0.172720771830986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0.18968471549295801</v>
      </c>
      <c r="D4" s="53">
        <v>0.32114636056337997</v>
      </c>
      <c r="E4" s="53">
        <v>0.86012135342465701</v>
      </c>
      <c r="F4" s="53">
        <v>0.68589079999999991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3.9978647384305122E-2</v>
      </c>
      <c r="D5" s="52">
        <f t="shared" si="0"/>
        <v>6.9181625352112919E-2</v>
      </c>
      <c r="E5" s="52">
        <f>1-SUM(E2:E4)</f>
        <v>0.13987864657534299</v>
      </c>
      <c r="F5" s="52">
        <f>1-SUM(F2:F4)</f>
        <v>0.31410920000000009</v>
      </c>
      <c r="G5" s="52">
        <f>1-SUM(G2:G4)</f>
        <v>1</v>
      </c>
    </row>
  </sheetData>
  <sheetProtection algorithmName="SHA-512" hashValue="KXYMImPXH47Ux4nmrpHhqxua28M//dTXBLRDYewB9iTSFX1azC/RclMOxj2eTn1PGXmpoqUHjiQA/AnBa3CM/A==" saltValue="TldjMoVU99uHljZllayrT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5OtSX03VrthGmVIo+M+fX+MaVS5UXRlFU1DQ4qe9afafB0cNj1BtcUezNwf6u7dZ2rFZxPdlo6EFbad4HOrmdA==" saltValue="sz5dSbTutDRwtjaftcIT+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2205.25180509148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0.43357000000000001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0.84223000000000003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2.32145034252992E-2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98017.851389999996</v>
      </c>
      <c r="C22" s="109">
        <v>97791.340230000002</v>
      </c>
      <c r="D22" s="109">
        <v>97591.082049999997</v>
      </c>
      <c r="E22" s="109">
        <v>97000.680030000003</v>
      </c>
      <c r="F22" s="109">
        <v>95899.415829999998</v>
      </c>
      <c r="G22" s="109">
        <v>94492.179050000006</v>
      </c>
      <c r="H22" s="109">
        <v>92698.797940000004</v>
      </c>
      <c r="I22" s="109">
        <v>90332.905270000003</v>
      </c>
      <c r="J22" s="109">
        <v>87007.963069999998</v>
      </c>
      <c r="K22" s="109">
        <v>82415.782980000004</v>
      </c>
      <c r="L22" s="109">
        <v>76332.732050000006</v>
      </c>
      <c r="M22" s="109">
        <v>68489.318119999996</v>
      </c>
      <c r="N22" s="109">
        <v>58824.678260000001</v>
      </c>
      <c r="O22" s="109">
        <v>47682.578249999999</v>
      </c>
    </row>
  </sheetData>
  <sheetProtection algorithmName="SHA-512" hashValue="T2HFNe5CaX5oQrpzLsd+F0TaBMO26BsKYVugdXDh0iG3KzmYLNVjlKmlJ/dv7ML5/YxK/ZGZjt5yfGHax22YEQ==" saltValue="KP/46mk6eu3GWwuvoaQqv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QYzIIrbsY/woQKZw4+PDuW8REJtyo+bypA8nwVvDjJqFc5ytBfA+QCt9eB9zYHKdYCg9ExVLMfKFe157XRXnCw==" saltValue="etG3lpZ62EgaCtA97Qb5t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Jpu42q51srk3GDU0Vv52npQiUnU+CHNvPrevug3i7tHKE99XuWRV8dxlxX8vqOI1qoEL+0r0Ys9opqAwiAThRA==" saltValue="qJTYo+D+sG5KQebbVDSzb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23.266651740020471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23.266651740020471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0.80999999999999994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1.007718977066846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14.37418788225863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14.37418788225863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14.37418788225863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14.37418788225863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14.37418788225863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14.37418788225863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0.36499999999999999</v>
      </c>
      <c r="C16" s="98">
        <v>0.95</v>
      </c>
      <c r="D16" s="56">
        <v>1.57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0.225846666666667</v>
      </c>
      <c r="C17" s="98">
        <v>0.95</v>
      </c>
      <c r="D17" s="56">
        <v>0.1369044839662158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</v>
      </c>
      <c r="C18" s="98">
        <v>0.95</v>
      </c>
      <c r="D18" s="56">
        <v>8.0823886898669404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</v>
      </c>
      <c r="C19" s="98">
        <v>0.95</v>
      </c>
      <c r="D19" s="56">
        <v>4.6877241811456267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8.32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0.80999999999999994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0.48499999999999999</v>
      </c>
      <c r="C23" s="98">
        <v>0.95</v>
      </c>
      <c r="D23" s="56">
        <v>4.7742338241318913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0.60422350299999994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8.469314227226203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14.964151740020471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0.377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0.36899999999999999</v>
      </c>
      <c r="C29" s="98">
        <v>0.95</v>
      </c>
      <c r="D29" s="56">
        <v>82.515341030888564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118.83755373592631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7.400000000000001E-2</v>
      </c>
      <c r="C32" s="98">
        <v>0.95</v>
      </c>
      <c r="D32" s="56">
        <v>0.69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0.38636399999999999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0.29399999999999998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0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0.45811239999999998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3.45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3.07</v>
      </c>
      <c r="E39" s="56" t="s">
        <v>212</v>
      </c>
      <c r="F39" s="98">
        <v>1</v>
      </c>
      <c r="G39" s="98">
        <v>1</v>
      </c>
    </row>
  </sheetData>
  <sheetProtection algorithmName="SHA-512" hashValue="ddFlkO0rLkhhryIh1vyFm9BPOR91M2YfYe6c0KghQHad1yGhODJzKdK2x7sXDiouKeScwUx+pJU7mYldIHIPrw==" saltValue="mVc4JsOYMbByEwSAVfPB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rcDrIWImgrH7LHJbKhQDLWuk009CYkVJYyVdwQufbgCh0API1SCOWLHS9tLR4VYkVVYsn4qKKx8ntC0ZRlIUSA==" saltValue="aZK/O+uxAE6+obxZ3SJ0R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vQs1Ss2umg6tQlnQirkaQpHx18C6Mgsxp1mG73HQrME/RwsOXjZy5GH8QJewf1rajm13+/EZ1R+pF0K24HA08g==" saltValue="ZK0AUb53b9NnOqnF3uThz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2.2000000000000002</v>
      </c>
      <c r="C2" s="21">
        <f>'Entradas de población-año base'!C52</f>
        <v>2.2000000000000002</v>
      </c>
      <c r="D2" s="21">
        <f>'Entradas de población-año base'!C53</f>
        <v>2.2000000000000002</v>
      </c>
      <c r="E2" s="21">
        <f>'Entradas de población-año base'!C54</f>
        <v>2.2000000000000002</v>
      </c>
      <c r="F2" s="21">
        <f>'Entradas de población-año base'!C55</f>
        <v>2.2000000000000002</v>
      </c>
    </row>
    <row r="3" spans="1:6" ht="15.75" customHeight="1" x14ac:dyDescent="0.25">
      <c r="A3" s="3" t="s">
        <v>6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236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sheetProtection algorithmName="SHA-512" hashValue="6gQgPgOERaXirmOov2BWF43iKu/NA6DdinotIy3m4w7BaP/iJNa4JdgSVG2ND30AF4m7tGYrhhJAK4cZoXKYFg==" saltValue="IrQha/BIWRUhREpbCRS/z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0.251</v>
      </c>
      <c r="F2" s="60">
        <f>food_insecure</f>
        <v>0.251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0.251</v>
      </c>
      <c r="F5" s="60">
        <f>food_insecure</f>
        <v>0.251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0.251</v>
      </c>
      <c r="F8" s="60">
        <f>food_insecure</f>
        <v>0.251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0.251</v>
      </c>
      <c r="F9" s="60">
        <f>food_insecure</f>
        <v>0.251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0.251</v>
      </c>
      <c r="I15" s="60">
        <f t="shared" si="0"/>
        <v>0.251</v>
      </c>
      <c r="J15" s="60">
        <f t="shared" si="0"/>
        <v>0.251</v>
      </c>
      <c r="K15" s="60">
        <f t="shared" si="0"/>
        <v>0.251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0.251</v>
      </c>
      <c r="I16" s="60">
        <f t="shared" si="0"/>
        <v>0.251</v>
      </c>
      <c r="J16" s="60">
        <f t="shared" si="0"/>
        <v>0.251</v>
      </c>
      <c r="K16" s="60">
        <f t="shared" si="0"/>
        <v>0.251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0.62</v>
      </c>
      <c r="M24" s="60">
        <f>famplan_unmet_need</f>
        <v>0.62</v>
      </c>
      <c r="N24" s="60">
        <f>famplan_unmet_need</f>
        <v>0.62</v>
      </c>
      <c r="O24" s="60">
        <f>famplan_unmet_need</f>
        <v>0.62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0.10089684944001601</v>
      </c>
      <c r="M25" s="60">
        <f>(1-food_insecure)*(0.49)+food_insecure*(0.7)</f>
        <v>0.54271000000000003</v>
      </c>
      <c r="N25" s="60">
        <f>(1-food_insecure)*(0.49)+food_insecure*(0.7)</f>
        <v>0.54271000000000003</v>
      </c>
      <c r="O25" s="60">
        <f>(1-food_insecure)*(0.49)+food_insecure*(0.7)</f>
        <v>0.54271000000000003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4.3241506902863998E-2</v>
      </c>
      <c r="M26" s="60">
        <f>(1-food_insecure)*(0.21)+food_insecure*(0.3)</f>
        <v>0.23258999999999996</v>
      </c>
      <c r="N26" s="60">
        <f>(1-food_insecure)*(0.21)+food_insecure*(0.3)</f>
        <v>0.23258999999999996</v>
      </c>
      <c r="O26" s="60">
        <f>(1-food_insecure)*(0.21)+food_insecure*(0.3)</f>
        <v>0.23258999999999996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4.1774653257120001E-2</v>
      </c>
      <c r="M27" s="60">
        <f>(1-food_insecure)*(0.3)</f>
        <v>0.22469999999999998</v>
      </c>
      <c r="N27" s="60">
        <f>(1-food_insecure)*(0.3)</f>
        <v>0.22469999999999998</v>
      </c>
      <c r="O27" s="60">
        <f>(1-food_insecure)*(0.3)</f>
        <v>0.22469999999999998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0.8140869904000001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471ScvsOnORahAAD6IAGznIrrgxwcCtI2BrVjGYsrIZaW38NugKYPY668qEkGLfaqUjXH0V01xR6gbGejjSGuw==" saltValue="jELAJbB+cByiCeacabRn4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ERCkEdUB1REUKalVZ5RwoqWukn6H16TdVAqZM6xhA0hjZQzdQLJhq4hQ2w9NrvCVeE5RvtHVKkPYqDiTpuySnQ==" saltValue="2wDouCyrK7191E7itEZQV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zTVK6tz+dUgDasjWwr3HmgQebhjgumji3nH+BnxoqpCKkd17uCMa1jaKohS7NfjQ6jFXsMf1bbOWRh5H/a+sjg==" saltValue="R3hGNKVREUR9NIqN+YA6f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TC8mfaJ+W+hw1IxNYtSjxmyUfUlUfMKysQIdwBu05NgZfZIaiNgByfyrItY5z7OVKJGK3pOCzQA1OKMaWDezvw==" saltValue="yttXEKfXTT6CWoEhs2Qm8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0N5BUWk4UCHnJc0LITE3kxGAd9qPS/D/LbD2Zkzw0LkK2TMqZFJIo5fYbNgIwmTrFm/8eRoXdRbDyWmt5JH1mQ==" saltValue="Waun3q9DtoO+tkIWihwqj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2xaAOUrfPf/oMyjmiZkMm4/Tk8wRWWEDennoloNkG4FVsISlkaPAK9qol85zKgSBX7xrPaiqP2c5EVSXENg5zA==" saltValue="21YXZcH5WXJ5SdO51T3Pp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+30vsnlcLNTTEoAERro6MjOblDwGnd+4h4XtEMUzjqcdRQkfC01QyadsiSuSl8diqTeyMQW9wK1wzVbaqWJ/9g==" saltValue="fUZd5BXssPnIO7PmoqmO0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SvQhSDFmG55iqgai+UfKzd3L6cA90S6Zm/yAjLhWn12ufF8lSgY2jAQ4PX61ksPFcuAsT41UjZ52YZXgzPqA9g==" saltValue="8LnVdY3R5B6uyztCbOFu4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6GwE856PiKE8tOvQsc74ae+Su4Jhh5r5pIphp7asVO0cW+4lubKPdJN0CRPGEAY1lal/1jza3d8Rd0fN8SCmyQ==" saltValue="atw6yoqyc7pbJKx5kUSg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VWoyG6XyWLOgJkA1HQyvoO9IU62+bOGooVWvzG4FkuiM4/g+Mnwh6sraPQ6FCXGPX2fzG/fz0c4BYb47VJU46A==" saltValue="VA3lYTl3X/vNI+jaPRNh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kaW5mm0zqHkoM1KWSt9edEi/vJPZxNoEvBlLBh6QJibgWxWVevUwN+B/baO30UAL0aWjqIip22d7DladqrX2A==" saltValue="KghE5hP+7cZg0pWhsEHv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LNCA1gwVG8PVX9dePATFWvPLemTUOPxCA1jhVdPm2rWtn/lVXtxietH5HGEH+7hPocVp4YgjpCUSa2+6mqYrCw==" saltValue="AMC2cW8ItnMQecBc+9Kh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BB4d67NpwAvEvBIDxltQlgh0Sksu6aKREQYl04lFaiM6acpk+zysnfhFtbVmxbigg5Jd5cUijcQ2UAON3PteQA==" saltValue="bVHJWzFhkTCOb6XbeaJSX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WGrA3I3/S7wOU1N7T3w44BpoNtgD+eVea21Oxnnp+fDTxh2oTDI6yiGIlERWJLTvU5xcYDMrxhn+zoDUfUDq9A==" saltValue="E77JO8c6bFG/a2HiSc9z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jdI3+ojrTu15bKT+gXhbyO9+kmTU/us76OexhIivXx9qYm9gaLBX/ydI/UDRfw+bROlNdFXmkOuJqcgxJF/+/w==" saltValue="cdoPQJcgHjEk5FsQxUc5e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2025-07-04T02:28:43Z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