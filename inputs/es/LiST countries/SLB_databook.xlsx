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942F7273-DE1D-4131-9199-96E397C1C2C6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I39" i="2" s="1"/>
  <c r="G39" i="2"/>
  <c r="H38" i="2"/>
  <c r="G38" i="2"/>
  <c r="I38" i="2" s="1"/>
  <c r="A31" i="2"/>
  <c r="H13" i="2"/>
  <c r="I13" i="2" s="1"/>
  <c r="G13" i="2"/>
  <c r="H12" i="2"/>
  <c r="G12" i="2"/>
  <c r="I12" i="2" s="1"/>
  <c r="I11" i="2"/>
  <c r="H11" i="2"/>
  <c r="G11" i="2"/>
  <c r="H10" i="2"/>
  <c r="G10" i="2"/>
  <c r="I10" i="2" s="1"/>
  <c r="H9" i="2"/>
  <c r="I9" i="2" s="1"/>
  <c r="G9" i="2"/>
  <c r="H8" i="2"/>
  <c r="G8" i="2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15" i="2" l="1"/>
  <c r="I40" i="2"/>
  <c r="I8" i="2"/>
  <c r="A23" i="2"/>
  <c r="A16" i="2"/>
  <c r="A32" i="2"/>
  <c r="A18" i="2"/>
  <c r="A26" i="2"/>
  <c r="A34" i="2"/>
  <c r="A39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9" i="2"/>
  <c r="A27" i="2"/>
  <c r="A35" i="2"/>
  <c r="A24" i="2"/>
  <c r="A20" i="2"/>
  <c r="A28" i="2"/>
  <c r="A36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<sst xmlns="http://schemas.openxmlformats.org/spreadsheetml/2006/main" count="2101" uniqueCount="341">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</sst>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104529.8681640625</v>
      </c>
    </row>
    <row r="8" spans="1:3" ht="15" customHeight="1" x14ac:dyDescent="0.25">
      <c r="B8" s="5" t="s">
        <v>44</v>
      </c>
      <c r="C8" s="44">
        <v>0.251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0.81408699039999999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0.62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7.0400000000000004E-2</v>
      </c>
    </row>
    <row r="24" spans="1:3" ht="15" customHeight="1" x14ac:dyDescent="0.25">
      <c r="B24" s="15" t="s">
        <v>46</v>
      </c>
      <c r="C24" s="45">
        <v>0.48080000000000001</v>
      </c>
    </row>
    <row r="25" spans="1:3" ht="15" customHeight="1" x14ac:dyDescent="0.25">
      <c r="B25" s="15" t="s">
        <v>47</v>
      </c>
      <c r="C25" s="45">
        <v>0.35560000000000003</v>
      </c>
    </row>
    <row r="26" spans="1:3" ht="15" customHeight="1" x14ac:dyDescent="0.25">
      <c r="B26" s="15" t="s">
        <v>48</v>
      </c>
      <c r="C26" s="45">
        <v>9.3200000000000005E-2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0.35185775257007201</v>
      </c>
    </row>
    <row r="30" spans="1:3" ht="14.25" customHeight="1" x14ac:dyDescent="0.25">
      <c r="B30" s="25" t="s">
        <v>63</v>
      </c>
      <c r="C30" s="99">
        <v>2.3858720907234902E-2</v>
      </c>
    </row>
    <row r="31" spans="1:3" ht="14.25" customHeight="1" x14ac:dyDescent="0.25">
      <c r="B31" s="25" t="s">
        <v>10</v>
      </c>
      <c r="C31" s="99">
        <v>3.4342930038455802E-2</v>
      </c>
    </row>
    <row r="32" spans="1:3" ht="14.25" customHeight="1" x14ac:dyDescent="0.25">
      <c r="B32" s="25" t="s">
        <v>11</v>
      </c>
      <c r="C32" s="99">
        <v>0.58994059648423802</v>
      </c>
    </row>
    <row r="33" spans="1:5" ht="13" customHeight="1" x14ac:dyDescent="0.25">
      <c r="B33" s="27" t="s">
        <v>60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7.5990799999999998</v>
      </c>
    </row>
    <row r="38" spans="1:5" ht="15" customHeight="1" x14ac:dyDescent="0.25">
      <c r="B38" s="11" t="s">
        <v>35</v>
      </c>
      <c r="C38" s="43">
        <v>16.091200000000001</v>
      </c>
      <c r="D38" s="12"/>
      <c r="E38" s="13"/>
    </row>
    <row r="39" spans="1:5" ht="15" customHeight="1" x14ac:dyDescent="0.25">
      <c r="B39" s="11" t="s">
        <v>61</v>
      </c>
      <c r="C39" s="43">
        <v>18.785260000000001</v>
      </c>
      <c r="D39" s="12"/>
      <c r="E39" s="12"/>
    </row>
    <row r="40" spans="1:5" ht="15" customHeight="1" x14ac:dyDescent="0.25">
      <c r="B40" s="11" t="s">
        <v>36</v>
      </c>
      <c r="C40" s="100">
        <v>1.22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9.1973199999999995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6.1345000000000002E-3</v>
      </c>
      <c r="D45" s="12"/>
    </row>
    <row r="46" spans="1:5" ht="15.75" customHeight="1" x14ac:dyDescent="0.25">
      <c r="B46" s="11" t="s">
        <v>51</v>
      </c>
      <c r="C46" s="45">
        <v>6.5914E-2</v>
      </c>
      <c r="D46" s="12"/>
    </row>
    <row r="47" spans="1:5" ht="15.75" customHeight="1" x14ac:dyDescent="0.25">
      <c r="B47" s="11" t="s">
        <v>59</v>
      </c>
      <c r="C47" s="45">
        <v>7.5167600000000001E-2</v>
      </c>
      <c r="D47" s="12"/>
      <c r="E47" s="13"/>
    </row>
    <row r="48" spans="1:5" ht="15" customHeight="1" x14ac:dyDescent="0.25">
      <c r="B48" s="11" t="s">
        <v>58</v>
      </c>
      <c r="C48" s="46">
        <v>0.85278390000000004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2.2000000000000002</v>
      </c>
      <c r="D51" s="12"/>
    </row>
    <row r="52" spans="1:4" ht="15" customHeight="1" x14ac:dyDescent="0.25">
      <c r="B52" s="11" t="s">
        <v>13</v>
      </c>
      <c r="C52" s="100">
        <v>2.2000000000000002</v>
      </c>
    </row>
    <row r="53" spans="1:4" ht="15.75" customHeight="1" x14ac:dyDescent="0.25">
      <c r="B53" s="11" t="s">
        <v>16</v>
      </c>
      <c r="C53" s="100">
        <v>2.2000000000000002</v>
      </c>
    </row>
    <row r="54" spans="1:4" ht="15.75" customHeight="1" x14ac:dyDescent="0.25">
      <c r="B54" s="11" t="s">
        <v>14</v>
      </c>
      <c r="C54" s="100">
        <v>2.2000000000000002</v>
      </c>
    </row>
    <row r="55" spans="1:4" ht="15.75" customHeight="1" x14ac:dyDescent="0.25">
      <c r="B55" s="11" t="s">
        <v>15</v>
      </c>
      <c r="C55" s="100">
        <v>2.2000000000000002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2.1363636363636359E-2</v>
      </c>
    </row>
    <row r="59" spans="1:4" ht="15.75" customHeight="1" x14ac:dyDescent="0.25">
      <c r="B59" s="11" t="s">
        <v>40</v>
      </c>
      <c r="C59" s="45">
        <v>0.54101599999999994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2iFggIw/BgSdc/3Nk3Z3HQ/oG1ytB+DE86VxSo8IIfpfk6TmtSu6pkxXqMUs1GIaRR8A7YyNH0OCkirWUAHLpw==" saltValue="8lpjhXf27BtziWDoDkUk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21556</v>
      </c>
      <c r="C2" s="49">
        <v>45213.5</v>
      </c>
      <c r="D2" s="49">
        <v>61383.5</v>
      </c>
      <c r="E2" s="49">
        <v>48221</v>
      </c>
      <c r="F2" s="49">
        <v>32705.5</v>
      </c>
      <c r="G2" s="17">
        <f t="shared" ref="G2:G13" si="0">C2+D2+E2+F2</f>
        <v>187523.5</v>
      </c>
      <c r="H2" s="17">
        <f t="shared" ref="H2:H13" si="1">(B2 + stillbirth*B2/(1000-stillbirth))/(1-abortion)</f>
        <v>24722.838401541812</v>
      </c>
      <c r="I2" s="17">
        <f t="shared" ref="I2:I13" si="2">G2-H2</f>
        <v>162800.66159845819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21733</v>
      </c>
      <c r="C3" s="50">
        <v>46490.5</v>
      </c>
      <c r="D3" s="50">
        <v>62592</v>
      </c>
      <c r="E3" s="50">
        <v>49131.5</v>
      </c>
      <c r="F3" s="50">
        <v>33674</v>
      </c>
      <c r="G3" s="17">
        <f t="shared" si="0"/>
        <v>191888</v>
      </c>
      <c r="H3" s="17">
        <f t="shared" si="1"/>
        <v>24925.841852881251</v>
      </c>
      <c r="I3" s="17">
        <f t="shared" si="2"/>
        <v>166962.15814711875</v>
      </c>
    </row>
    <row r="4" spans="1:9" ht="15.75" customHeight="1" x14ac:dyDescent="0.25">
      <c r="A4" s="5">
        <f t="shared" si="3"/>
        <v>2026</v>
      </c>
      <c r="B4" s="49">
        <v>21837</v>
      </c>
      <c r="C4" s="50">
        <v>47819.500000000007</v>
      </c>
      <c r="D4" s="50">
        <v>63880</v>
      </c>
      <c r="E4" s="50">
        <v>50064.5</v>
      </c>
      <c r="F4" s="50">
        <v>34648.5</v>
      </c>
      <c r="G4" s="17">
        <f t="shared" si="0"/>
        <v>196412.5</v>
      </c>
      <c r="H4" s="17">
        <f t="shared" si="1"/>
        <v>25045.120716945101</v>
      </c>
      <c r="I4" s="17">
        <f t="shared" si="2"/>
        <v>171367.37928305491</v>
      </c>
    </row>
    <row r="5" spans="1:9" ht="15.75" customHeight="1" x14ac:dyDescent="0.25">
      <c r="A5" s="5">
        <f t="shared" si="3"/>
        <v>2027</v>
      </c>
      <c r="B5" s="49">
        <v>22027</v>
      </c>
      <c r="C5" s="50">
        <v>49190.999999999993</v>
      </c>
      <c r="D5" s="50">
        <v>65296</v>
      </c>
      <c r="E5" s="50">
        <v>51004</v>
      </c>
      <c r="F5" s="50">
        <v>35604</v>
      </c>
      <c r="G5" s="17">
        <f t="shared" si="0"/>
        <v>201095</v>
      </c>
      <c r="H5" s="17">
        <f t="shared" si="1"/>
        <v>25263.03402629252</v>
      </c>
      <c r="I5" s="17">
        <f t="shared" si="2"/>
        <v>175831.96597370747</v>
      </c>
    </row>
    <row r="6" spans="1:9" ht="15.75" customHeight="1" x14ac:dyDescent="0.25">
      <c r="A6" s="5">
        <f t="shared" si="3"/>
        <v>2028</v>
      </c>
      <c r="B6" s="49">
        <v>22300</v>
      </c>
      <c r="C6" s="50">
        <v>50621.999999999993</v>
      </c>
      <c r="D6" s="50">
        <v>66792.5</v>
      </c>
      <c r="E6" s="50">
        <v>51978.5</v>
      </c>
      <c r="F6" s="50">
        <v>36516.5</v>
      </c>
      <c r="G6" s="17">
        <f t="shared" si="0"/>
        <v>205909.5</v>
      </c>
      <c r="H6" s="17">
        <f t="shared" si="1"/>
        <v>25576.141044460128</v>
      </c>
      <c r="I6" s="17">
        <f t="shared" si="2"/>
        <v>180333.35895553988</v>
      </c>
    </row>
    <row r="7" spans="1:9" ht="15.75" customHeight="1" x14ac:dyDescent="0.25">
      <c r="A7" s="5">
        <f t="shared" si="3"/>
        <v>2029</v>
      </c>
      <c r="B7" s="49">
        <v>22449</v>
      </c>
      <c r="C7" s="50">
        <v>52036</v>
      </c>
      <c r="D7" s="50">
        <v>68340.5</v>
      </c>
      <c r="E7" s="50">
        <v>53026.5</v>
      </c>
      <c r="F7" s="50">
        <v>37383.5</v>
      </c>
      <c r="G7" s="17">
        <f t="shared" si="0"/>
        <v>210786.5</v>
      </c>
      <c r="H7" s="17">
        <f t="shared" si="1"/>
        <v>25747.030955474682</v>
      </c>
      <c r="I7" s="17">
        <f t="shared" si="2"/>
        <v>185039.46904452532</v>
      </c>
    </row>
    <row r="8" spans="1:9" ht="15.75" customHeight="1" x14ac:dyDescent="0.25">
      <c r="A8" s="5">
        <f t="shared" si="3"/>
        <v>2030</v>
      </c>
      <c r="B8" s="49">
        <v>22734</v>
      </c>
      <c r="C8" s="50">
        <v>53335.499999999993</v>
      </c>
      <c r="D8" s="50">
        <v>69986</v>
      </c>
      <c r="E8" s="50">
        <v>54139.5</v>
      </c>
      <c r="F8" s="50">
        <v>38213.5</v>
      </c>
      <c r="G8" s="17">
        <f t="shared" si="0"/>
        <v>215674.5</v>
      </c>
      <c r="H8" s="17">
        <f t="shared" si="1"/>
        <v>26073.900919495805</v>
      </c>
      <c r="I8" s="17">
        <f t="shared" si="2"/>
        <v>189600.59908050421</v>
      </c>
    </row>
    <row r="9" spans="1:9" ht="15.75" customHeight="1" x14ac:dyDescent="0.25">
      <c r="A9" s="5">
        <f t="shared" si="3"/>
        <v>2031</v>
      </c>
      <c r="B9" s="49">
        <v>23010</v>
      </c>
      <c r="C9" s="50">
        <v>54477</v>
      </c>
      <c r="D9" s="50">
        <v>71770</v>
      </c>
      <c r="E9" s="50">
        <v>55296.5</v>
      </c>
      <c r="F9" s="50">
        <v>39006</v>
      </c>
      <c r="G9" s="17">
        <f t="shared" si="0"/>
        <v>220549.5</v>
      </c>
      <c r="H9" s="17">
        <f t="shared" si="1"/>
        <v>26390.448674126794</v>
      </c>
      <c r="I9" s="17">
        <f t="shared" si="2"/>
        <v>194159.05132587321</v>
      </c>
    </row>
    <row r="10" spans="1:9" ht="15.75" customHeight="1" x14ac:dyDescent="0.25">
      <c r="A10" s="5">
        <f t="shared" si="3"/>
        <v>2032</v>
      </c>
      <c r="B10" s="49">
        <v>23340</v>
      </c>
      <c r="C10" s="50">
        <v>55461.5</v>
      </c>
      <c r="D10" s="50">
        <v>73686</v>
      </c>
      <c r="E10" s="50">
        <v>56492</v>
      </c>
      <c r="F10" s="50">
        <v>39762</v>
      </c>
      <c r="G10" s="17">
        <f t="shared" si="0"/>
        <v>225401.5</v>
      </c>
      <c r="H10" s="17">
        <f t="shared" si="1"/>
        <v>26768.929685098625</v>
      </c>
      <c r="I10" s="17">
        <f t="shared" si="2"/>
        <v>198632.57031490139</v>
      </c>
    </row>
    <row r="11" spans="1:9" ht="15.75" customHeight="1" x14ac:dyDescent="0.25">
      <c r="A11" s="5">
        <f t="shared" si="3"/>
        <v>2033</v>
      </c>
      <c r="B11" s="49">
        <v>23627</v>
      </c>
      <c r="C11" s="50">
        <v>56304.999999999993</v>
      </c>
      <c r="D11" s="50">
        <v>75733</v>
      </c>
      <c r="E11" s="50">
        <v>57705.5</v>
      </c>
      <c r="F11" s="50">
        <v>40493</v>
      </c>
      <c r="G11" s="17">
        <f t="shared" si="0"/>
        <v>230236.5</v>
      </c>
      <c r="H11" s="17">
        <f t="shared" si="1"/>
        <v>27098.093473428671</v>
      </c>
      <c r="I11" s="17">
        <f t="shared" si="2"/>
        <v>203138.40652657131</v>
      </c>
    </row>
    <row r="12" spans="1:9" ht="15.75" customHeight="1" x14ac:dyDescent="0.25">
      <c r="A12" s="5">
        <f t="shared" si="3"/>
        <v>2034</v>
      </c>
      <c r="B12" s="49">
        <v>23903</v>
      </c>
      <c r="C12" s="50">
        <v>56995</v>
      </c>
      <c r="D12" s="50">
        <v>77896</v>
      </c>
      <c r="E12" s="50">
        <v>58918</v>
      </c>
      <c r="F12" s="50">
        <v>41228</v>
      </c>
      <c r="G12" s="17">
        <f t="shared" si="0"/>
        <v>235037</v>
      </c>
      <c r="H12" s="17">
        <f t="shared" si="1"/>
        <v>27414.641228059656</v>
      </c>
      <c r="I12" s="17">
        <f t="shared" si="2"/>
        <v>207622.35877194034</v>
      </c>
    </row>
    <row r="13" spans="1:9" ht="15.75" customHeight="1" x14ac:dyDescent="0.25">
      <c r="A13" s="5">
        <f t="shared" si="3"/>
        <v>2035</v>
      </c>
      <c r="B13" s="49">
        <v>24214</v>
      </c>
      <c r="C13" s="50">
        <v>57592.5</v>
      </c>
      <c r="D13" s="50">
        <v>80098</v>
      </c>
      <c r="E13" s="50">
        <v>60127</v>
      </c>
      <c r="F13" s="50">
        <v>41993</v>
      </c>
      <c r="G13" s="17">
        <f t="shared" si="0"/>
        <v>239810.5</v>
      </c>
      <c r="H13" s="17">
        <f t="shared" si="1"/>
        <v>27771.330908096748</v>
      </c>
      <c r="I13" s="17">
        <f t="shared" si="2"/>
        <v>212039.16909190326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7UdEs0VIpwlZeuLxUELLN6QkLpDnD/Icfo0qgOVYFTa9I9WGEp0rHcbnQK/fI5dpI7u/kYjdtl+izvjJVzpEFA==" saltValue="/7qU8GdvxuxH/kwxTw3kn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3.6933821655645701E-3</v>
      </c>
    </row>
    <row r="4" spans="1:8" ht="15.75" customHeight="1" x14ac:dyDescent="0.25">
      <c r="B4" s="19" t="s">
        <v>97</v>
      </c>
      <c r="C4" s="101">
        <v>4.9979711487722067E-2</v>
      </c>
    </row>
    <row r="5" spans="1:8" ht="15.75" customHeight="1" x14ac:dyDescent="0.25">
      <c r="B5" s="19" t="s">
        <v>95</v>
      </c>
      <c r="C5" s="101">
        <v>1.6129802394131899E-2</v>
      </c>
    </row>
    <row r="6" spans="1:8" ht="15.75" customHeight="1" x14ac:dyDescent="0.25">
      <c r="B6" s="19" t="s">
        <v>91</v>
      </c>
      <c r="C6" s="101">
        <v>0.160163230930564</v>
      </c>
    </row>
    <row r="7" spans="1:8" ht="15.75" customHeight="1" x14ac:dyDescent="0.25">
      <c r="B7" s="19" t="s">
        <v>96</v>
      </c>
      <c r="C7" s="101">
        <v>0.48515151015483848</v>
      </c>
    </row>
    <row r="8" spans="1:8" ht="15.75" customHeight="1" x14ac:dyDescent="0.25">
      <c r="B8" s="19" t="s">
        <v>98</v>
      </c>
      <c r="C8" s="101">
        <v>2.1136541039387551E-2</v>
      </c>
    </row>
    <row r="9" spans="1:8" ht="15.75" customHeight="1" x14ac:dyDescent="0.25">
      <c r="B9" s="19" t="s">
        <v>92</v>
      </c>
      <c r="C9" s="101">
        <v>0.2127465899819434</v>
      </c>
    </row>
    <row r="10" spans="1:8" ht="15.75" customHeight="1" x14ac:dyDescent="0.25">
      <c r="B10" s="19" t="s">
        <v>94</v>
      </c>
      <c r="C10" s="101">
        <v>5.099923184584803E-2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0.14274685422427991</v>
      </c>
      <c r="D14" s="55">
        <v>0.14274685422427991</v>
      </c>
      <c r="E14" s="55">
        <v>0.14274685422427991</v>
      </c>
      <c r="F14" s="55">
        <v>0.14274685422427991</v>
      </c>
    </row>
    <row r="15" spans="1:8" ht="15.75" customHeight="1" x14ac:dyDescent="0.25">
      <c r="B15" s="19" t="s">
        <v>102</v>
      </c>
      <c r="C15" s="101">
        <v>0.34209094123956019</v>
      </c>
      <c r="D15" s="101">
        <v>0.34209094123956019</v>
      </c>
      <c r="E15" s="101">
        <v>0.34209094123956019</v>
      </c>
      <c r="F15" s="101">
        <v>0.34209094123956019</v>
      </c>
    </row>
    <row r="16" spans="1:8" ht="15.75" customHeight="1" x14ac:dyDescent="0.25">
      <c r="B16" s="19" t="s">
        <v>2</v>
      </c>
      <c r="C16" s="101">
        <v>7.7668022360367957E-3</v>
      </c>
      <c r="D16" s="101">
        <v>7.7668022360367957E-3</v>
      </c>
      <c r="E16" s="101">
        <v>7.7668022360367957E-3</v>
      </c>
      <c r="F16" s="101">
        <v>7.7668022360367957E-3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0.37355827260013791</v>
      </c>
      <c r="D18" s="101">
        <v>0.37355827260013791</v>
      </c>
      <c r="E18" s="101">
        <v>0.37355827260013791</v>
      </c>
      <c r="F18" s="101">
        <v>0.37355827260013791</v>
      </c>
    </row>
    <row r="19" spans="1:8" ht="15.75" customHeight="1" x14ac:dyDescent="0.25">
      <c r="B19" s="19" t="s">
        <v>101</v>
      </c>
      <c r="C19" s="101">
        <v>1.9589949234814299E-2</v>
      </c>
      <c r="D19" s="101">
        <v>1.9589949234814299E-2</v>
      </c>
      <c r="E19" s="101">
        <v>1.9589949234814299E-2</v>
      </c>
      <c r="F19" s="101">
        <v>1.9589949234814299E-2</v>
      </c>
    </row>
    <row r="20" spans="1:8" ht="15.75" customHeight="1" x14ac:dyDescent="0.25">
      <c r="B20" s="19" t="s">
        <v>79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7.7731886989490975E-2</v>
      </c>
      <c r="D21" s="101">
        <v>7.7731886989490975E-2</v>
      </c>
      <c r="E21" s="101">
        <v>7.7731886989490975E-2</v>
      </c>
      <c r="F21" s="101">
        <v>7.7731886989490975E-2</v>
      </c>
    </row>
    <row r="22" spans="1:8" ht="15.75" customHeight="1" x14ac:dyDescent="0.25">
      <c r="B22" s="19" t="s">
        <v>99</v>
      </c>
      <c r="C22" s="101">
        <v>3.6515293475680291E-2</v>
      </c>
      <c r="D22" s="101">
        <v>3.6515293475680291E-2</v>
      </c>
      <c r="E22" s="101">
        <v>3.6515293475680291E-2</v>
      </c>
      <c r="F22" s="101">
        <v>3.6515293475680291E-2</v>
      </c>
    </row>
    <row r="23" spans="1:8" ht="15.75" customHeight="1" x14ac:dyDescent="0.25">
      <c r="B23" s="27" t="s">
        <v>60</v>
      </c>
      <c r="C23" s="48">
        <f>SUM(C14:C22)</f>
        <v>1.0000000000000004</v>
      </c>
      <c r="D23" s="48">
        <f>SUM(D14:D22)</f>
        <v>1.0000000000000004</v>
      </c>
      <c r="E23" s="48">
        <f>SUM(E14:E22)</f>
        <v>1.0000000000000004</v>
      </c>
      <c r="F23" s="48">
        <f>SUM(F14:F22)</f>
        <v>1.0000000000000004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4.7769731000000003E-2</v>
      </c>
    </row>
    <row r="27" spans="1:8" ht="15.75" customHeight="1" x14ac:dyDescent="0.25">
      <c r="B27" s="19" t="s">
        <v>89</v>
      </c>
      <c r="C27" s="101">
        <v>1.8843999E-2</v>
      </c>
    </row>
    <row r="28" spans="1:8" ht="15.75" customHeight="1" x14ac:dyDescent="0.25">
      <c r="B28" s="19" t="s">
        <v>103</v>
      </c>
      <c r="C28" s="101">
        <v>0.22958879300000001</v>
      </c>
    </row>
    <row r="29" spans="1:8" ht="15.75" customHeight="1" x14ac:dyDescent="0.25">
      <c r="B29" s="19" t="s">
        <v>86</v>
      </c>
      <c r="C29" s="101">
        <v>0.13888713499999999</v>
      </c>
    </row>
    <row r="30" spans="1:8" ht="15.75" customHeight="1" x14ac:dyDescent="0.25">
      <c r="B30" s="19" t="s">
        <v>4</v>
      </c>
      <c r="C30" s="101">
        <v>5.0046261000000002E-2</v>
      </c>
    </row>
    <row r="31" spans="1:8" ht="15.75" customHeight="1" x14ac:dyDescent="0.25">
      <c r="B31" s="19" t="s">
        <v>80</v>
      </c>
      <c r="C31" s="101">
        <v>7.1139825000000018E-2</v>
      </c>
    </row>
    <row r="32" spans="1:8" ht="15.75" customHeight="1" x14ac:dyDescent="0.25">
      <c r="B32" s="19" t="s">
        <v>85</v>
      </c>
      <c r="C32" s="101">
        <v>0.14767061300000001</v>
      </c>
    </row>
    <row r="33" spans="2:3" ht="15.75" customHeight="1" x14ac:dyDescent="0.25">
      <c r="B33" s="19" t="s">
        <v>100</v>
      </c>
      <c r="C33" s="101">
        <v>0.123389649</v>
      </c>
    </row>
    <row r="34" spans="2:3" ht="15.75" customHeight="1" x14ac:dyDescent="0.25">
      <c r="B34" s="19" t="s">
        <v>87</v>
      </c>
      <c r="C34" s="101">
        <v>0.17266399499999999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LRvYr8i/Gzwx0LgFk59kZYE0FVzF/aqp9CQlt4MuMcsQi+tv+Er/E8EpWC+9/KD0IFu6dIXbae1aAL7joDQ5Gg==" saltValue="B66WB3yWIcEQRhV1k22+J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110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106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107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119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0.61941419899999994</v>
      </c>
      <c r="D14" s="54">
        <v>0.61082815785800004</v>
      </c>
      <c r="E14" s="54">
        <v>0.61082815785800004</v>
      </c>
      <c r="F14" s="54">
        <v>0.46499616867100002</v>
      </c>
      <c r="G14" s="54">
        <v>0.46499616867100002</v>
      </c>
      <c r="H14" s="45">
        <v>0.48599999999999999</v>
      </c>
      <c r="I14" s="55">
        <v>0.48599999999999999</v>
      </c>
      <c r="J14" s="55">
        <v>0.48599999999999999</v>
      </c>
      <c r="K14" s="55">
        <v>0.48599999999999999</v>
      </c>
      <c r="L14" s="45">
        <v>0.38200000000000001</v>
      </c>
      <c r="M14" s="55">
        <v>0.38200000000000001</v>
      </c>
      <c r="N14" s="55">
        <v>0.38200000000000001</v>
      </c>
      <c r="O14" s="55">
        <v>0.38200000000000001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0.33511299228618391</v>
      </c>
      <c r="D15" s="52">
        <f t="shared" si="0"/>
        <v>0.33046780665170372</v>
      </c>
      <c r="E15" s="52">
        <f t="shared" si="0"/>
        <v>0.33046780665170372</v>
      </c>
      <c r="F15" s="52">
        <f t="shared" si="0"/>
        <v>0.25157036718970971</v>
      </c>
      <c r="G15" s="52">
        <f t="shared" si="0"/>
        <v>0.25157036718970971</v>
      </c>
      <c r="H15" s="52">
        <f t="shared" si="0"/>
        <v>0.26293377599999995</v>
      </c>
      <c r="I15" s="52">
        <f t="shared" si="0"/>
        <v>0.26293377599999995</v>
      </c>
      <c r="J15" s="52">
        <f t="shared" si="0"/>
        <v>0.26293377599999995</v>
      </c>
      <c r="K15" s="52">
        <f t="shared" si="0"/>
        <v>0.26293377599999995</v>
      </c>
      <c r="L15" s="52">
        <f t="shared" si="0"/>
        <v>0.20666811199999999</v>
      </c>
      <c r="M15" s="52">
        <f t="shared" si="0"/>
        <v>0.20666811199999999</v>
      </c>
      <c r="N15" s="52">
        <f t="shared" si="0"/>
        <v>0.20666811199999999</v>
      </c>
      <c r="O15" s="52">
        <f t="shared" si="0"/>
        <v>0.20666811199999999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xucvUrt6X3b+ZKH+FkzOkSNPXQxoC7VcXnQh8WDwwmBUxhXiVQT86YdpaZKwcAYvzyE6nMF4JG8QDlVIRjJKw==" saltValue="PBOUvlqqLzWXsM49ie/G5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125</v>
      </c>
      <c r="C5" s="52">
        <v>4.2547995714285698E-2</v>
      </c>
      <c r="D5" s="52">
        <v>6.9181616901408394E-2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tY+BeVeyjxExNXscUD62tFBbKEB6OqX6O8uHXil/9YfXk8bhdF+mq+8jI7S/ljriVxaaUoSy9UwSPpUzIsaCSA==" saltValue="ybvAjAdh/4qToXrkQg14k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aQTbXIhQ99sXsZEdpmd2KYk31ayQXcr2MAkLCeb/fP99s1GKPyjZqKuJEYFNmRQsJxbPVhnOcS4BQEPimxGVjA==" saltValue="Ls/c5q2qs+CD5KjPHTfr6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txPtjIXgGZhMNszzGxkdTwtPajNoYgNTht1k+8hM6Mre0nLgXBsNFisKaHFgRibKAa2Tlc3kNt6nJAZ5h5ybeQ==" saltValue="c+xPqMUg0KXniIFfb6Os7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fby5PRRvmaIoRGXNWuysOjnp5tM/odR0jxxEqL/gFb5JryWdNm/f686dawHSlVFQQ/GTiz0x/guIdFCErkea3A==" saltValue="NfBxenZEAVxBHtwFZtm3K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xCGPMo5TFy66WkFgBq1UVnO2KN43rPEkFvxFnhuEjlI2oBjQ0ezrj0uBOvtxyH82ZO8I+yYz2G0IRmuJ6oyTrQ==" saltValue="Bj0JPOlQI2DIp7i9p7yN+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44.388781579401957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44.84912601313826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200.54836433279559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1.007718977066846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14.37418788225863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14.37418788225863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14.37418788225863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14.37418788225863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14.37418788225863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14.37418788225863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0.36499999999999999</v>
      </c>
      <c r="C16" s="98">
        <v>0.95</v>
      </c>
      <c r="D16" s="56">
        <v>0.42998861651827419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0.225846666666667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</v>
      </c>
      <c r="C18" s="98">
        <v>0.95</v>
      </c>
      <c r="D18" s="56">
        <v>4.6877241811456267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</v>
      </c>
      <c r="C19" s="98">
        <v>0.95</v>
      </c>
      <c r="D19" s="56">
        <v>4.6877241811456267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8.3654863902487371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24.603396778891561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0.48499999999999999</v>
      </c>
      <c r="C23" s="98">
        <v>0.95</v>
      </c>
      <c r="D23" s="56">
        <v>4.7742338241318913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0.60422350299999994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20.640466451977151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0.377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0.36899999999999999</v>
      </c>
      <c r="C29" s="98">
        <v>0.95</v>
      </c>
      <c r="D29" s="56">
        <v>82.515341030888564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4.6956398181241168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7.400000000000001E-2</v>
      </c>
      <c r="C32" s="98">
        <v>0.95</v>
      </c>
      <c r="D32" s="56">
        <v>0.88473850018384426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0.38636399999999999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0.29399999999999998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0.45811239999999998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</v>
      </c>
      <c r="C38" s="98">
        <v>0.95</v>
      </c>
      <c r="D38" s="56">
        <v>5.5596741637734697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uX0ySa5Q1CS6STUGQorLReNGkQsaX65QMrke/b5ed/Jqf/QWOhA+kihyBJxyLnFKOCN7VZIwnfJ10ZXPC8XE5w==" saltValue="2C3Biv1BOqC/TZXInGm+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g4nxbO5wUAr8rp7zJyWR0RchE7pBJcUXp8t4CEX1tCEnH+UGadyt+lPg6AnFUplP8GkuoCn6fR8VrRexBBXn3g==" saltValue="uKwg+tjsyqO6ZHYizXuQH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g9GxTlCHIdwof5ZW7HI8e+YksCtT12rATiOg4fciLzKnP84HWcp2BNUSC9Q3w25+G5zof6GdoqP878rFe44/eQ==" saltValue="qvssPYoleAYTqboEj5SCX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207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aFxnrhP/uK3eWEiiTmUbjmmUAKeHWyurLN83IMZjqoxhqtb6FR8zmxNOyYVkDCkep29Gk1zznkHHddEaqkajrQ==" saltValue="LKcdw+cgAslKLAtSt7z7N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0.251</v>
      </c>
      <c r="E2" s="60">
        <f>food_insecure</f>
        <v>0.251</v>
      </c>
      <c r="F2" s="60">
        <f>food_insecure</f>
        <v>0.251</v>
      </c>
      <c r="G2" s="60">
        <f>food_insecure</f>
        <v>0.251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0.251</v>
      </c>
      <c r="F5" s="60">
        <f>food_insecure</f>
        <v>0.251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0.251</v>
      </c>
      <c r="F8" s="60">
        <f>food_insecure</f>
        <v>0.251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0.251</v>
      </c>
      <c r="F9" s="60">
        <f>food_insecure</f>
        <v>0.251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0.251</v>
      </c>
      <c r="I15" s="60">
        <f>food_insecure</f>
        <v>0.251</v>
      </c>
      <c r="J15" s="60">
        <f>food_insecure</f>
        <v>0.251</v>
      </c>
      <c r="K15" s="60">
        <f>food_insecure</f>
        <v>0.251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</v>
      </c>
      <c r="M24" s="60">
        <f>famplan_unmet_need</f>
        <v>0.62</v>
      </c>
      <c r="N24" s="60">
        <f>famplan_unmet_need</f>
        <v>0.62</v>
      </c>
      <c r="O24" s="60">
        <f>famplan_unmet_need</f>
        <v>0.62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0.10089684944001601</v>
      </c>
      <c r="M25" s="60">
        <f>(1-food_insecure)*(0.49)+food_insecure*(0.7)</f>
        <v>0.54271000000000003</v>
      </c>
      <c r="N25" s="60">
        <f>(1-food_insecure)*(0.49)+food_insecure*(0.7)</f>
        <v>0.54271000000000003</v>
      </c>
      <c r="O25" s="60">
        <f>(1-food_insecure)*(0.49)+food_insecure*(0.7)</f>
        <v>0.54271000000000003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4.3241506902863998E-2</v>
      </c>
      <c r="M26" s="60">
        <f>(1-food_insecure)*(0.21)+food_insecure*(0.3)</f>
        <v>0.23258999999999996</v>
      </c>
      <c r="N26" s="60">
        <f>(1-food_insecure)*(0.21)+food_insecure*(0.3)</f>
        <v>0.23258999999999996</v>
      </c>
      <c r="O26" s="60">
        <f>(1-food_insecure)*(0.21)+food_insecure*(0.3)</f>
        <v>0.23258999999999996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4.1774653257120001E-2</v>
      </c>
      <c r="M27" s="60">
        <f>(1-food_insecure)*(0.3)</f>
        <v>0.22469999999999998</v>
      </c>
      <c r="N27" s="60">
        <f>(1-food_insecure)*(0.3)</f>
        <v>0.22469999999999998</v>
      </c>
      <c r="O27" s="60">
        <f>(1-food_insecure)*(0.3)</f>
        <v>0.22469999999999998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0.8140869904000001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71tGQ4YJ5pP9wZphIafwysrtT7b/rI0eM7E8exV0nxHSB1wkHjQqyZMLTgMm2LsnXWNcSn0IplbAeEe3klPXRg==" saltValue="Zz7xQFjhpSFlrPmiBpkaO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+E/tYl1SZjoE4zYx6ntH83SRba3za5z5+XxidybIcdB86l3+ZfOXjvqbP9xGP0QRq7sibZSjgxnlFXHP077wdQ==" saltValue="25BuNtm6URq//P4XiHGM/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a0KZmiIuhXKCQNhDFie7N0oPc0sxZrgXtpiuDx+uyh8lHq4EdgBOuWeIK+jmHri7bB9CP4Sg6/PuX51uuF+uLA==" saltValue="w2qmJc1IYrCPx95kFEHC3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vJs2SNIFA6al5+K2zU+2qcxz0p7SdvSQXEYEbkDZc83A7HC0t5yvFMPL8Z6KMob0RF8FM/Yvee9WuMlUKX7B8A==" saltValue="w7tq7xTq8knh5QnxwDbge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AevKzPu90Zbw/ntF4XpInljpBdXnZFzhhMAA1er7Wjm8hFwzNfTEN+mvixuLFNXzRvNvbwwkOLw6IL/8kpZBuQ==" saltValue="o69BXA+ztXEz8803ey5hQ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d9cEKPVLMac/5GK9Im8a9Xl/klW28/ogLrju2Hk3jlOLUYgDsuxiMp33NMv4rasMBHJeL9+SvwF6b7eeREoHZg==" saltValue="iBSMMrOFigBTiFRB+OReD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37EMreNc8Xfyagvu9KZDJTg/47mkbbT06Pn7385RrhbuniXkiqA5qT7iogw9GyLXUEdRqksLYPqUClGWott4Tg==" saltValue="0EPgxb3MlHFgzTKwdS1yk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ckdqIJUCg4F97Pr5wXvRiXPNC/FSUHHS4JoSuxJyrfjTGUF5YvQuIPolFZ+u+v+5fV3bBFgwsUCIJb3Dxore+w==" saltValue="BdMy/IAY6bI4nJZm1QfC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lLZbMUwI0PfGGlpAcp+jA+9ThX8IStfrJosZGSQE8+BZHAkrtdj1V387fhnDk7+duylNUzps5xshupyFaykUw==" saltValue="hSkVVp0ESurimQEezBui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QPZcyk+D0IMSDorX9kbCWHyZJqwBaqbK83H5gXVUAySEA/v4v9HhfA1bBWXXeC77ZsAdhV7lwIJ5gQt8W5EWoQ==" saltValue="kgYeSPUVxUEELZP9uUPX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HLXJmHqWUR0SwYih1KBATuv9MJKYpinRNUkuL5oJHcCFAftLIFXB4WY3gRCswkyUqXcgwynOJi6y4DZNYR+CGQ==" saltValue="Czo/aOtxVWCfAmwaYjIg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iRfvJYrJAMBkJldpyLBnWJ9FyddhAZhqGh2ut4xyJljJa0dw8swNM1rt39c1gk2BVaFwiCcZqorWrxzFepJIgw==" saltValue="2qrfwi26C31MgkUYzFfc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+fOVnOlnjRRdIrNCdBjr6lfAr2dThzGKq67oqAoj0pSBP8KdwzSyDPBNUNJ9/uCAgrt/lOcE0Vjp2bdIWC3Xug==" saltValue="FIwf0paxY575zYaLNgSli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0.1061043049026611</v>
      </c>
      <c r="G18" s="90">
        <f>MIN(MAX(1-0.89/(1-frac_sam_12_23months+(frac_sam_12_23months*0.89)),0),1)</f>
        <v>0.10672753483027453</v>
      </c>
      <c r="H18" s="90">
        <f>MIN(MAX(1-0.89/(1-frac_sam_24_59months+(frac_sam_24_59months*0.89)),0),1)</f>
        <v>0.10792624649961502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0.10159302095390743</v>
      </c>
      <c r="G20" s="90">
        <f>MIN(MAX(1-0.89/(1-frac_mam_12_23months+(frac_mam_12_23months*0.89)),0),1)</f>
        <v>0.10192091694100414</v>
      </c>
      <c r="H20" s="90">
        <f>MIN(MAX(1-0.89/(1-frac_mam_24_59months+(frac_mam_24_59months*0.89)),0),1)</f>
        <v>0.10391137176824317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9.6076147076843421E-3</v>
      </c>
      <c r="G73" s="90">
        <f>MIN(MAX(1-0.99/(1-frac_sam_12_23months+(frac_sam_12_23months*0.99)),0),1)</f>
        <v>9.6701790355624428E-3</v>
      </c>
      <c r="H73" s="90">
        <f>MIN(MAX(1-0.99/(1-frac_sam_24_59months+(frac_sam_24_59months*0.99)),0),1)</f>
        <v>9.7907378565519343E-3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9.1570943458723075E-3</v>
      </c>
      <c r="G75" s="90">
        <f>MIN(MAX(1-0.99/(1-frac_mam_12_23months+(frac_mam_12_23months*0.99)),0),1)</f>
        <v>9.1897009707044841E-3</v>
      </c>
      <c r="H75" s="90">
        <f>MIN(MAX(1-0.99/(1-frac_mam_24_59months+(frac_mam_24_59months*0.99)),0),1)</f>
        <v>9.3881015599317497E-3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0.19361030108005861</v>
      </c>
      <c r="G128" s="90">
        <f>MIN(MAX(1-0.8/(1-frac_sam_12_23months+(frac_sam_12_23months*0.8)),0),1)</f>
        <v>0.19463560409556757</v>
      </c>
      <c r="H128" s="90">
        <f>MIN(MAX(1-0.8/(1-frac_sam_24_59months+(frac_sam_24_59months*0.8)),0),1)</f>
        <v>0.1966043481398837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0.18615328435422862</v>
      </c>
      <c r="G130" s="90">
        <f>MIN(MAX(1-0.8/(1-frac_mam_12_23months+(frac_mam_12_23months*0.8)),0),1)</f>
        <v>0.18669738659742963</v>
      </c>
      <c r="H130" s="90">
        <f>MIN(MAX(1-0.8/(1-frac_mam_24_59months+(frac_mam_24_59months*0.8)),0),1)</f>
        <v>0.18999321757816412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ZT4aXAqdY73F79YP5/9MssH3qzIF7eAQQfpukHVQFncKm7nIoaPpPHugttf+pLe0GosxHz087d9WfV1is3UEA==" saltValue="ve5J3c4fDmTD9VVDo3OB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2UpMlFWEhAiWIL+QeCVZxgxR9Gb+ctkK+Tm5p5W+loCjPp//kKyYnnMh8b/+PzdvG/35kKDvDMkiN/ghfy54XA==" saltValue="vYmyAZIf6OIJCqtx5Yt8q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2024-08-06T08:16:47Z</dcterms:modified>
</cp:coreProperties>
</file>