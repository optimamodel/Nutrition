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408974D-6F7E-43F5-B053-0CC2CDC6D2B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5" i="2" l="1"/>
  <c r="A34" i="2"/>
  <c r="A36" i="2"/>
  <c r="I6" i="2"/>
  <c r="I12" i="2"/>
  <c r="A35" i="2"/>
  <c r="I7" i="2"/>
  <c r="I13" i="2"/>
  <c r="A37" i="2"/>
  <c r="A19" i="2"/>
  <c r="A22" i="2"/>
  <c r="I3" i="2"/>
  <c r="I9" i="2"/>
  <c r="A23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<sst xmlns="http://schemas.openxmlformats.org/spreadsheetml/2006/main" count="2169" uniqueCount="373">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</sst>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106075.5</v>
      </c>
    </row>
    <row r="8" spans="1:3" ht="15" customHeight="1" x14ac:dyDescent="0.25">
      <c r="B8" s="5" t="s">
        <v>63</v>
      </c>
      <c r="C8" s="44">
        <v>0.251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7.0400000000000004E-2</v>
      </c>
    </row>
    <row r="24" spans="1:3" ht="15" customHeight="1" x14ac:dyDescent="0.25">
      <c r="B24" s="15" t="s">
        <v>65</v>
      </c>
      <c r="C24" s="45">
        <v>0.48080000000000001</v>
      </c>
    </row>
    <row r="25" spans="1:3" ht="15" customHeight="1" x14ac:dyDescent="0.25">
      <c r="B25" s="15" t="s">
        <v>66</v>
      </c>
      <c r="C25" s="45">
        <v>0.35560000000000003</v>
      </c>
    </row>
    <row r="26" spans="1:3" ht="15" customHeight="1" x14ac:dyDescent="0.25">
      <c r="B26" s="15" t="s">
        <v>67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7.5990799999999998</v>
      </c>
    </row>
    <row r="38" spans="1:5" ht="15" customHeight="1" x14ac:dyDescent="0.25">
      <c r="B38" s="11" t="s">
        <v>54</v>
      </c>
      <c r="C38" s="43">
        <v>16.091200000000001</v>
      </c>
      <c r="D38" s="12"/>
      <c r="E38" s="13"/>
    </row>
    <row r="39" spans="1:5" ht="15" customHeight="1" x14ac:dyDescent="0.25">
      <c r="B39" s="11" t="s">
        <v>80</v>
      </c>
      <c r="C39" s="43">
        <v>18.785260000000001</v>
      </c>
      <c r="D39" s="12"/>
      <c r="E39" s="12"/>
    </row>
    <row r="40" spans="1:5" ht="15" customHeight="1" x14ac:dyDescent="0.25">
      <c r="B40" s="11" t="s">
        <v>55</v>
      </c>
      <c r="C40" s="98">
        <v>1.22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78</v>
      </c>
      <c r="C47" s="45">
        <v>7.5167600000000001E-2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0.54101599999999994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mvzwZXSm6ANxRjkkteB8yydYU97r181IIjy58Dhe+Oj5OSk39GgVD1jTs5zPxQLLsNLzDhcVjLIGlROW26VMOg==" saltValue="ggphToyyIdXluheWjpxz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21878</v>
      </c>
      <c r="C2" s="49">
        <v>40237.5</v>
      </c>
      <c r="D2" s="49">
        <v>69496.5</v>
      </c>
      <c r="E2" s="49">
        <v>52763.999999999993</v>
      </c>
      <c r="F2" s="49">
        <v>40926</v>
      </c>
      <c r="G2" s="17">
        <f t="shared" ref="G2:G13" si="0">C2+D2+E2+F2</f>
        <v>203424</v>
      </c>
      <c r="H2" s="17">
        <f t="shared" ref="H2:H13" si="1">(B2 + stillbirth*B2/(1000-stillbirth))/(1-abortion)</f>
        <v>25092.144115277966</v>
      </c>
      <c r="I2" s="17">
        <f t="shared" ref="I2:I13" si="2">G2-H2</f>
        <v>178331.85588472203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22160</v>
      </c>
      <c r="C3" s="50">
        <v>41217</v>
      </c>
      <c r="D3" s="50">
        <v>71559</v>
      </c>
      <c r="E3" s="50">
        <v>53705.5</v>
      </c>
      <c r="F3" s="50">
        <v>42353.5</v>
      </c>
      <c r="G3" s="17">
        <f t="shared" si="0"/>
        <v>208835</v>
      </c>
      <c r="H3" s="17">
        <f t="shared" si="1"/>
        <v>25415.573342835713</v>
      </c>
      <c r="I3" s="17">
        <f t="shared" si="2"/>
        <v>183419.42665716429</v>
      </c>
    </row>
    <row r="4" spans="1:9" ht="15.75" customHeight="1" x14ac:dyDescent="0.25">
      <c r="A4" s="5">
        <f t="shared" si="3"/>
        <v>2026</v>
      </c>
      <c r="B4" s="49">
        <v>22440</v>
      </c>
      <c r="C4" s="50">
        <v>42451.5</v>
      </c>
      <c r="D4" s="50">
        <v>73349.5</v>
      </c>
      <c r="E4" s="50">
        <v>54799</v>
      </c>
      <c r="F4" s="50">
        <v>43842</v>
      </c>
      <c r="G4" s="17">
        <f t="shared" si="0"/>
        <v>214442</v>
      </c>
      <c r="H4" s="17">
        <f t="shared" si="1"/>
        <v>25736.70874608454</v>
      </c>
      <c r="I4" s="17">
        <f t="shared" si="2"/>
        <v>188705.29125391546</v>
      </c>
    </row>
    <row r="5" spans="1:9" ht="15.75" customHeight="1" x14ac:dyDescent="0.25">
      <c r="A5" s="5">
        <f t="shared" si="3"/>
        <v>2027</v>
      </c>
      <c r="B5" s="49">
        <v>22687</v>
      </c>
      <c r="C5" s="50">
        <v>43815.5</v>
      </c>
      <c r="D5" s="50">
        <v>74966.000000000015</v>
      </c>
      <c r="E5" s="50">
        <v>56084.5</v>
      </c>
      <c r="F5" s="50">
        <v>45330</v>
      </c>
      <c r="G5" s="17">
        <f t="shared" si="0"/>
        <v>220196</v>
      </c>
      <c r="H5" s="17">
        <f t="shared" si="1"/>
        <v>26019.996048236178</v>
      </c>
      <c r="I5" s="17">
        <f t="shared" si="2"/>
        <v>194176.00395176382</v>
      </c>
    </row>
    <row r="6" spans="1:9" ht="15.75" customHeight="1" x14ac:dyDescent="0.25">
      <c r="A6" s="5">
        <f t="shared" si="3"/>
        <v>2028</v>
      </c>
      <c r="B6" s="49">
        <v>22961</v>
      </c>
      <c r="C6" s="50">
        <v>45193.5</v>
      </c>
      <c r="D6" s="50">
        <v>76497.999999999985</v>
      </c>
      <c r="E6" s="50">
        <v>57597.5</v>
      </c>
      <c r="F6" s="50">
        <v>46751.999999999993</v>
      </c>
      <c r="G6" s="17">
        <f t="shared" si="0"/>
        <v>226041</v>
      </c>
      <c r="H6" s="17">
        <f t="shared" si="1"/>
        <v>26334.249978558248</v>
      </c>
      <c r="I6" s="17">
        <f t="shared" si="2"/>
        <v>199706.75002144175</v>
      </c>
    </row>
    <row r="7" spans="1:9" ht="15.75" customHeight="1" x14ac:dyDescent="0.25">
      <c r="A7" s="5">
        <f t="shared" si="3"/>
        <v>2029</v>
      </c>
      <c r="B7" s="49">
        <v>23237</v>
      </c>
      <c r="C7" s="50">
        <v>46469.5</v>
      </c>
      <c r="D7" s="50">
        <v>78031</v>
      </c>
      <c r="E7" s="50">
        <v>59365</v>
      </c>
      <c r="F7" s="50">
        <v>48041</v>
      </c>
      <c r="G7" s="17">
        <f t="shared" si="0"/>
        <v>231906.5</v>
      </c>
      <c r="H7" s="17">
        <f t="shared" si="1"/>
        <v>26650.797733189236</v>
      </c>
      <c r="I7" s="17">
        <f t="shared" si="2"/>
        <v>205255.70226681075</v>
      </c>
    </row>
    <row r="8" spans="1:9" ht="15.75" customHeight="1" x14ac:dyDescent="0.25">
      <c r="A8" s="5">
        <f t="shared" si="3"/>
        <v>2030</v>
      </c>
      <c r="B8" s="49">
        <v>23563</v>
      </c>
      <c r="C8" s="50">
        <v>47537</v>
      </c>
      <c r="D8" s="50">
        <v>79654</v>
      </c>
      <c r="E8" s="50">
        <v>61396.5</v>
      </c>
      <c r="F8" s="50">
        <v>49147.999999999993</v>
      </c>
      <c r="G8" s="17">
        <f t="shared" si="0"/>
        <v>237735.5</v>
      </c>
      <c r="H8" s="17">
        <f t="shared" si="1"/>
        <v>27024.691095543225</v>
      </c>
      <c r="I8" s="17">
        <f t="shared" si="2"/>
        <v>210710.80890445679</v>
      </c>
    </row>
    <row r="9" spans="1:9" ht="15.75" customHeight="1" x14ac:dyDescent="0.25">
      <c r="A9" s="5">
        <f t="shared" si="3"/>
        <v>2031</v>
      </c>
      <c r="B9" s="49">
        <v>23850</v>
      </c>
      <c r="C9" s="50">
        <v>48355</v>
      </c>
      <c r="D9" s="50">
        <v>81389.5</v>
      </c>
      <c r="E9" s="50">
        <v>63639.5</v>
      </c>
      <c r="F9" s="50">
        <v>50079.499999999993</v>
      </c>
      <c r="G9" s="17">
        <f t="shared" si="0"/>
        <v>243463.5</v>
      </c>
      <c r="H9" s="17">
        <f t="shared" si="1"/>
        <v>27353.854883873275</v>
      </c>
      <c r="I9" s="17">
        <f t="shared" si="2"/>
        <v>216109.64511612672</v>
      </c>
    </row>
    <row r="10" spans="1:9" ht="15.75" customHeight="1" x14ac:dyDescent="0.25">
      <c r="A10" s="5">
        <f t="shared" si="3"/>
        <v>2032</v>
      </c>
      <c r="B10" s="49">
        <v>24158</v>
      </c>
      <c r="C10" s="50">
        <v>48947</v>
      </c>
      <c r="D10" s="50">
        <v>83213</v>
      </c>
      <c r="E10" s="50">
        <v>65991.5</v>
      </c>
      <c r="F10" s="50">
        <v>50900.000000000007</v>
      </c>
      <c r="G10" s="17">
        <f t="shared" si="0"/>
        <v>249051.5</v>
      </c>
      <c r="H10" s="17">
        <f t="shared" si="1"/>
        <v>27707.103827446983</v>
      </c>
      <c r="I10" s="17">
        <f t="shared" si="2"/>
        <v>221344.39617255301</v>
      </c>
    </row>
    <row r="11" spans="1:9" ht="15.75" customHeight="1" x14ac:dyDescent="0.25">
      <c r="A11" s="5">
        <f t="shared" si="3"/>
        <v>2033</v>
      </c>
      <c r="B11" s="49">
        <v>24409</v>
      </c>
      <c r="C11" s="50">
        <v>49355</v>
      </c>
      <c r="D11" s="50">
        <v>85083.5</v>
      </c>
      <c r="E11" s="50">
        <v>68329.000000000015</v>
      </c>
      <c r="F11" s="50">
        <v>51675.5</v>
      </c>
      <c r="G11" s="17">
        <f t="shared" si="0"/>
        <v>254443</v>
      </c>
      <c r="H11" s="17">
        <f t="shared" si="1"/>
        <v>27994.978778216468</v>
      </c>
      <c r="I11" s="17">
        <f t="shared" si="2"/>
        <v>226448.02122178354</v>
      </c>
    </row>
    <row r="12" spans="1:9" ht="15.75" customHeight="1" x14ac:dyDescent="0.25">
      <c r="A12" s="5">
        <f t="shared" si="3"/>
        <v>2034</v>
      </c>
      <c r="B12" s="49">
        <v>24657</v>
      </c>
      <c r="C12" s="50">
        <v>49550.5</v>
      </c>
      <c r="D12" s="50">
        <v>86966.5</v>
      </c>
      <c r="E12" s="50">
        <v>70526.5</v>
      </c>
      <c r="F12" s="50">
        <v>52474.000000000007</v>
      </c>
      <c r="G12" s="17">
        <f t="shared" si="0"/>
        <v>259517.5</v>
      </c>
      <c r="H12" s="17">
        <f t="shared" si="1"/>
        <v>28279.412992522572</v>
      </c>
      <c r="I12" s="17">
        <f t="shared" si="2"/>
        <v>231238.08700747741</v>
      </c>
    </row>
    <row r="13" spans="1:9" ht="15.75" customHeight="1" x14ac:dyDescent="0.25">
      <c r="A13" s="5">
        <f t="shared" si="3"/>
        <v>2035</v>
      </c>
      <c r="B13" s="49">
        <v>24876</v>
      </c>
      <c r="C13" s="50">
        <v>49615.5</v>
      </c>
      <c r="D13" s="50">
        <v>88875</v>
      </c>
      <c r="E13" s="50">
        <v>72452</v>
      </c>
      <c r="F13" s="50">
        <v>53363</v>
      </c>
      <c r="G13" s="17">
        <f t="shared" si="0"/>
        <v>264305.5</v>
      </c>
      <c r="H13" s="17">
        <f t="shared" si="1"/>
        <v>28530.586754349333</v>
      </c>
      <c r="I13" s="17">
        <f t="shared" si="2"/>
        <v>235774.91324565068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e0/7XEFGH8ZloVXmxPx/eQ/LXK4astbEVBWJEu7jJDXMj2nP5oZcYf72WLB3SyDP4YO5kRzTB4Eo/vKLdgaDw==" saltValue="JjlWxi+RfTpf4p26Srqn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3.6933821655645701E-3</v>
      </c>
    </row>
    <row r="4" spans="1:8" ht="15.75" customHeight="1" x14ac:dyDescent="0.25">
      <c r="B4" s="19" t="s">
        <v>116</v>
      </c>
      <c r="C4" s="99">
        <v>4.9979711487722067E-2</v>
      </c>
    </row>
    <row r="5" spans="1:8" ht="15.75" customHeight="1" x14ac:dyDescent="0.25">
      <c r="B5" s="19" t="s">
        <v>114</v>
      </c>
      <c r="C5" s="99">
        <v>1.6129802394131899E-2</v>
      </c>
    </row>
    <row r="6" spans="1:8" ht="15.75" customHeight="1" x14ac:dyDescent="0.25">
      <c r="B6" s="19" t="s">
        <v>110</v>
      </c>
      <c r="C6" s="99">
        <v>0.160163230930564</v>
      </c>
    </row>
    <row r="7" spans="1:8" ht="15.75" customHeight="1" x14ac:dyDescent="0.25">
      <c r="B7" s="19" t="s">
        <v>115</v>
      </c>
      <c r="C7" s="99">
        <v>0.48515151015483848</v>
      </c>
    </row>
    <row r="8" spans="1:8" ht="15.75" customHeight="1" x14ac:dyDescent="0.25">
      <c r="B8" s="19" t="s">
        <v>117</v>
      </c>
      <c r="C8" s="99">
        <v>2.1136541039387551E-2</v>
      </c>
    </row>
    <row r="9" spans="1:8" ht="15.75" customHeight="1" x14ac:dyDescent="0.25">
      <c r="B9" s="19" t="s">
        <v>111</v>
      </c>
      <c r="C9" s="99">
        <v>0.2127465899819434</v>
      </c>
    </row>
    <row r="10" spans="1:8" ht="15.75" customHeight="1" x14ac:dyDescent="0.25">
      <c r="B10" s="19" t="s">
        <v>113</v>
      </c>
      <c r="C10" s="99">
        <v>5.099923184584803E-2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121</v>
      </c>
      <c r="C15" s="99">
        <v>0.34209094123956019</v>
      </c>
      <c r="D15" s="99">
        <v>0.34209094123956019</v>
      </c>
      <c r="E15" s="99">
        <v>0.34209094123956019</v>
      </c>
      <c r="F15" s="99">
        <v>0.34209094123956019</v>
      </c>
    </row>
    <row r="16" spans="1:8" ht="15.75" customHeight="1" x14ac:dyDescent="0.25">
      <c r="B16" s="19" t="s">
        <v>2</v>
      </c>
      <c r="C16" s="99">
        <v>7.7668022360367957E-3</v>
      </c>
      <c r="D16" s="99">
        <v>7.7668022360367957E-3</v>
      </c>
      <c r="E16" s="99">
        <v>7.7668022360367957E-3</v>
      </c>
      <c r="F16" s="99">
        <v>7.7668022360367957E-3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0.37355827260013791</v>
      </c>
      <c r="D18" s="99">
        <v>0.37355827260013791</v>
      </c>
      <c r="E18" s="99">
        <v>0.37355827260013791</v>
      </c>
      <c r="F18" s="99">
        <v>0.37355827260013791</v>
      </c>
    </row>
    <row r="19" spans="1:8" ht="15.75" customHeight="1" x14ac:dyDescent="0.25">
      <c r="B19" s="19" t="s">
        <v>120</v>
      </c>
      <c r="C19" s="99">
        <v>1.9589949234814299E-2</v>
      </c>
      <c r="D19" s="99">
        <v>1.9589949234814299E-2</v>
      </c>
      <c r="E19" s="99">
        <v>1.9589949234814299E-2</v>
      </c>
      <c r="F19" s="99">
        <v>1.9589949234814299E-2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7.7731886989490975E-2</v>
      </c>
      <c r="D21" s="99">
        <v>7.7731886989490975E-2</v>
      </c>
      <c r="E21" s="99">
        <v>7.7731886989490975E-2</v>
      </c>
      <c r="F21" s="99">
        <v>7.7731886989490975E-2</v>
      </c>
    </row>
    <row r="22" spans="1:8" ht="15.75" customHeight="1" x14ac:dyDescent="0.25">
      <c r="B22" s="19" t="s">
        <v>118</v>
      </c>
      <c r="C22" s="99">
        <v>3.6515293475680291E-2</v>
      </c>
      <c r="D22" s="99">
        <v>3.6515293475680291E-2</v>
      </c>
      <c r="E22" s="99">
        <v>3.6515293475680291E-2</v>
      </c>
      <c r="F22" s="99">
        <v>3.6515293475680291E-2</v>
      </c>
    </row>
    <row r="23" spans="1:8" ht="15.75" customHeight="1" x14ac:dyDescent="0.25">
      <c r="B23" s="27" t="s">
        <v>79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4.7769731000000003E-2</v>
      </c>
    </row>
    <row r="27" spans="1:8" ht="15.75" customHeight="1" x14ac:dyDescent="0.25">
      <c r="B27" s="19" t="s">
        <v>108</v>
      </c>
      <c r="C27" s="99">
        <v>1.8843999E-2</v>
      </c>
    </row>
    <row r="28" spans="1:8" ht="15.75" customHeight="1" x14ac:dyDescent="0.25">
      <c r="B28" s="19" t="s">
        <v>122</v>
      </c>
      <c r="C28" s="99">
        <v>0.22958879300000001</v>
      </c>
    </row>
    <row r="29" spans="1:8" ht="15.75" customHeight="1" x14ac:dyDescent="0.25">
      <c r="B29" s="19" t="s">
        <v>105</v>
      </c>
      <c r="C29" s="99">
        <v>0.13888713499999999</v>
      </c>
    </row>
    <row r="30" spans="1:8" ht="15.75" customHeight="1" x14ac:dyDescent="0.25">
      <c r="B30" s="19" t="s">
        <v>4</v>
      </c>
      <c r="C30" s="99">
        <v>5.0046261000000002E-2</v>
      </c>
    </row>
    <row r="31" spans="1:8" ht="15.75" customHeight="1" x14ac:dyDescent="0.25">
      <c r="B31" s="19" t="s">
        <v>99</v>
      </c>
      <c r="C31" s="99">
        <v>7.1139825000000018E-2</v>
      </c>
    </row>
    <row r="32" spans="1:8" ht="15.75" customHeight="1" x14ac:dyDescent="0.25">
      <c r="B32" s="19" t="s">
        <v>104</v>
      </c>
      <c r="C32" s="99">
        <v>0.14767061300000001</v>
      </c>
    </row>
    <row r="33" spans="2:3" ht="15.75" customHeight="1" x14ac:dyDescent="0.25">
      <c r="B33" s="19" t="s">
        <v>119</v>
      </c>
      <c r="C33" s="99">
        <v>0.123389649</v>
      </c>
    </row>
    <row r="34" spans="2:3" ht="15.75" customHeight="1" x14ac:dyDescent="0.25">
      <c r="B34" s="19" t="s">
        <v>106</v>
      </c>
      <c r="C34" s="99">
        <v>0.17266399499999999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aAysygdrZQfh75MJHsmkmu1OcF6YrNAuv4Oa9lb8mfcO7BRmJRWn0PCSrCkG0fD8SOkY8h9w3ZUTnIZCGyryLA==" saltValue="gC4gUvIWxotwE7lgKqXs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t7wNPo0mjQi/dV3CASjjsfRb0HIkTFThAW64+OHuIBWu+skC3UGkHgX21fPGtWwGJEewPCnlbqag4BJDk7P2w==" saltValue="kfqFrnzJJQcUq5UquQgm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BmBBNebGHsI+x/2Bn8LCK30lXlwTmUw1voyyqJ1dm6n+J3mkBkovReTWIJUB3dFWOBlJkQK+dJRhsaqNr/FNIw==" saltValue="8ppbxHhTb/M+JQ7FUdfo4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BMlV30SOR3FIm1KyJDKEElOfz2yGbX4tvMBamfBFSUAnf627CmemDrY18LK1ZU0cT8kCDniF2/jjBXLp2PI5A==" saltValue="xyscEOwUamt2VjXr3I3B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2205.25180509148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0.43357000000000001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0.84223000000000003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2.32145034252992E-2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98017.851389999996</v>
      </c>
      <c r="C22" s="107">
        <v>97791.340230000002</v>
      </c>
      <c r="D22" s="107">
        <v>97591.082049999997</v>
      </c>
      <c r="E22" s="107">
        <v>97000.680030000003</v>
      </c>
      <c r="F22" s="107">
        <v>95899.415829999998</v>
      </c>
      <c r="G22" s="107">
        <v>94492.179050000006</v>
      </c>
      <c r="H22" s="107">
        <v>92698.797940000004</v>
      </c>
      <c r="I22" s="107">
        <v>90332.905270000003</v>
      </c>
      <c r="J22" s="107">
        <v>87007.963069999998</v>
      </c>
      <c r="K22" s="107">
        <v>82415.782980000004</v>
      </c>
      <c r="L22" s="107">
        <v>76332.732050000006</v>
      </c>
      <c r="M22" s="107">
        <v>68489.318119999996</v>
      </c>
      <c r="N22" s="107">
        <v>58824.678260000001</v>
      </c>
      <c r="O22" s="107">
        <v>47682.578249999999</v>
      </c>
    </row>
  </sheetData>
  <sheetProtection algorithmName="SHA-512" hashValue="yHP2xV47SpqXYkEFZqIbDxhBX9az+IziTSFH6y4R9HzL1jDhRihO5KnymvzIgJsNwox2BvR34nS8AU67WT+oXg==" saltValue="JU0vt2MCNU/WRICAkvEgK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/d8RKMdLJSyikoit/u7HNiFxVdDP3IksPs6tEedZIKCKGxoWhj7fCbcaPTYtSwBRXypGuq4GDP1APqxHQbztEA==" saltValue="/+gtUJKxBx8GAiK4Rtirh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NleQZ74alpKgDM3idzd+lvZSp7i5cIDx7VV1m4IiUrhw1wCdGEZKEplgbmXlNWkxRBdkPsSG4lQZyVLDdF15Q==" saltValue="IdUnm0DXs92uKofGfKe4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1.007718977066846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14.37418788225863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14.37418788225863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14.37418788225863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14.37418788225863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14.37418788225863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14.37418788225863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0.36499999999999999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0.225846666666667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4.6877241811456267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0.48499999999999999</v>
      </c>
      <c r="C23" s="96">
        <v>0.95</v>
      </c>
      <c r="D23" s="56">
        <v>4.7742338241318913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0.60422350299999994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0.377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0.36899999999999999</v>
      </c>
      <c r="C29" s="96">
        <v>0.95</v>
      </c>
      <c r="D29" s="56">
        <v>82.515341030888564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7.400000000000001E-2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0.38636399999999999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0.29399999999999998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0.45811239999999998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tM/p6yZcyViG87Ihd1rxs9CXwJRTu467jGA+31wvMKNp66AkIKpSknmvYJcwyC75UzBNANpPigTTQa6yVpoXPA==" saltValue="1fuPu8ih2fpCpilSzvr6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bJURsvBBRopkIhzy0mLY5Nro5zv7nwNxRpJRCLOyoxON3DYmggdtLN2a1WopxLtAK8xHKvbJuRvq1M86W9hmw==" saltValue="nM+NiHKxwMT4RYrXq5cZ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sSewVYGsMCGvQ8hr7oazkpS8lCC7akNqAoXyRCHeR3ScpwwOt4FohebA6u0fYYRv/Xdi9G4kqfwshhCWHJ33Q==" saltValue="Y5y8uL+6bZ65jKQjuZY17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3vEbk0wE5ms/E8zR/ELVX5z5LP6xznYj7c7+orRd77ydFX7Qm44Q4xrPqJMQDlkO3b9CcCDTDHbbkbdI9+jlIg==" saltValue="+j8A2YyBBzvPX//M1x8u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0.251</v>
      </c>
      <c r="F2" s="60">
        <f>food_insecure</f>
        <v>0.251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0.251</v>
      </c>
      <c r="I15" s="60">
        <f t="shared" si="0"/>
        <v>0.251</v>
      </c>
      <c r="J15" s="60">
        <f t="shared" si="0"/>
        <v>0.251</v>
      </c>
      <c r="K15" s="60">
        <f t="shared" si="0"/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0.251</v>
      </c>
      <c r="I16" s="60">
        <f t="shared" si="0"/>
        <v>0.251</v>
      </c>
      <c r="J16" s="60">
        <f t="shared" si="0"/>
        <v>0.251</v>
      </c>
      <c r="K16" s="60">
        <f t="shared" si="0"/>
        <v>0.251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oTPozzqF1WVig9LMWhF37nEwKBHT7/ZQt2JwNJdwdAMWTn4JqWVNBZCkWqB/7P34f8y2hGD2HnggvuMtqWkHg==" saltValue="BiQvPesZa5xMOFF8p1iR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2mE0UwPPR12ESz2dTmwv3UbEN/HTB7Vbkpf74k/7hLxzltxYhdSLa0XX9DP+FBVnF2M8/dwvTVjNYvA4bZPlA==" saltValue="dkS++38ivzLIWXRon9UM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cyjqrlteAwHPSyCAZBskudCJQ34TlvzrivobRYEOZ16MfUXVpjg8W+oUN2Ql9QwRtNqJWCthUQ6P1hik/C+Bg==" saltValue="X3JXXbiXFatanfRylNtH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mUC1ry5X8VuXbdXIGHJXKKdntj+ukgKkOXKbtrAObAqN/w8LJVsECILNe0oWghmtwUo+zxrWba1eF3HMOBxcQ==" saltValue="hAGmVJKOygPGE3C/tIrG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S9lmpKEvhzurW8AwJIUwBnzQ/gJuG9Jhk1FeVmo/mhIPVvkOjMmkkSlm2cg4n+WIpYGrh1ImAZazmyl0HAWpQ==" saltValue="+hJJBFDTCouAQskPDQZ/9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e0CHW8Xvtl5LFgJ0XbD9Uidt9sOTcZd9QVNFJLVudzdYRSxixQFodTD5jHIJHhhASI1KyzLWl1aKI9Xa/T6Hw==" saltValue="fzLkPCpMhuM0pFJGk1b4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8SusXJHJlFLiyUS9uzco4RTHgwhDnoVjyZe5X4OTuhxBNkw5VWlGl9DichFxtW/n59vCQ5vrLLUbLrGG/g6Xw==" saltValue="+ysNdXe9FTzGWKtilHGA0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4YjRBXzcewSfnv+H6H+lMP4pZ6s9AONLmOgHackChVIQ1xbP+wiWyEiWjFr3Sbp0qj5Eq3DdsV38n4kZ2ks4SA==" saltValue="92rcNezb5DDqItjormh6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JkdBljXQDWUD4fC/nC/7H0jWBQvY+9IO9BF43EoFrjCUjvVy8C7PtVdtTI0IiLSo7Qy8DjyhTZo5j7lyG7gbg==" saltValue="XFIx3QfmTu01iRrmarGy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sBexEOj2mQeh2cjm4NSkgomPZt4fwhFmJ6AydD92ccxB5vfb9+WIPAOg4I9fk3PRfkjVi0PyYd9D/PseFSRag==" saltValue="BzNpYaLPWQSDdigtp6SK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fe3eILgV6T6vTsj4/hF6c32DwkohF8gkwAy7qAlwZc6iaOyADbK1tK4Lrq2pB5SPVHo/BIAhc9cpiNMRHGLNA==" saltValue="cN/L74jW4OjRsyIOs2gE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mYISs05Z9oh2D0HgLozzrI5jqpOeWNA4gsANyYsYhpJSTnMLM57CDwur/JadGhyKdL0/c8RJzf0Dex8ajtH9Q==" saltValue="yUDPBoLEuRc8ktQXKLSl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9FkCmbuflsdjpzI5/hfSaqVUXdKHRDYn6Et1DQ1AJWFQHQ/Zrex375yKixwauS82cxmEwZuSm7XuIOntjTOwA==" saltValue="fROIgb2GPWHbvVbXKRky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eLbRmEeRxu1CQvqjsK3nvDMqqUc3FZtEq4vxU8PO7B8VNkrI3keBSZAqEv3yZFnDZHAlM5t+1JOztBvVVhFmQ==" saltValue="1eNb0MwOv1ezEfIBe3TS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zgu5JR2XH52sfm23tyssSsPKc+lycVaBbKUq0UDsXzsA4E4u5UWk432vpZBfb6/M4mPWx1oiN1eNJLO3W0h0Q==" saltValue="SzZpvER43rxWZsKilHB2Z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