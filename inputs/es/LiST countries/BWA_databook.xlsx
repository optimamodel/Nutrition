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D24C2FE1-93B9-48FD-A985-D0612CEF7E92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6" i="2"/>
  <c r="I4" i="2"/>
  <c r="I8" i="2"/>
  <c r="I12" i="2"/>
  <c r="A25" i="2"/>
  <c r="A34" i="2"/>
  <c r="A40" i="2"/>
  <c r="I2" i="2"/>
  <c r="I6" i="2"/>
  <c r="A19" i="2"/>
  <c r="A35" i="2"/>
  <c r="A22" i="2"/>
  <c r="A36" i="2"/>
  <c r="A23" i="2"/>
  <c r="A37" i="2"/>
  <c r="I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<sst xmlns="http://schemas.openxmlformats.org/spreadsheetml/2006/main" count="2159" uniqueCount="372">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</sst>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293184.5</v>
      </c>
    </row>
    <row r="8" spans="1:3" ht="15" customHeight="1" x14ac:dyDescent="0.25">
      <c r="B8" s="5" t="s">
        <v>63</v>
      </c>
      <c r="C8" s="44">
        <v>0.161</v>
      </c>
    </row>
    <row r="9" spans="1:3" ht="15" customHeight="1" x14ac:dyDescent="0.25">
      <c r="B9" s="5" t="s">
        <v>62</v>
      </c>
      <c r="C9" s="45">
        <v>0.13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8.2100000000000006E-2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0.35039999999999999</v>
      </c>
    </row>
    <row r="26" spans="1:3" ht="15" customHeight="1" x14ac:dyDescent="0.25">
      <c r="B26" s="15" t="s">
        <v>67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0.34290466666442998</v>
      </c>
    </row>
    <row r="30" spans="1:3" ht="14.25" customHeight="1" x14ac:dyDescent="0.25">
      <c r="B30" s="25" t="s">
        <v>82</v>
      </c>
      <c r="C30" s="99">
        <v>3.07454772021977E-2</v>
      </c>
    </row>
    <row r="31" spans="1:3" ht="14.25" customHeight="1" x14ac:dyDescent="0.25">
      <c r="B31" s="25" t="s">
        <v>29</v>
      </c>
      <c r="C31" s="99">
        <v>5.8505816356096703E-2</v>
      </c>
    </row>
    <row r="32" spans="1:3" ht="14.25" customHeight="1" x14ac:dyDescent="0.25">
      <c r="B32" s="25" t="s">
        <v>30</v>
      </c>
      <c r="C32" s="99">
        <v>0.56784403977727504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17.9986</v>
      </c>
    </row>
    <row r="38" spans="1:5" ht="15" customHeight="1" x14ac:dyDescent="0.25">
      <c r="B38" s="11" t="s">
        <v>54</v>
      </c>
      <c r="C38" s="43">
        <v>28.314070000000001</v>
      </c>
      <c r="D38" s="12"/>
      <c r="E38" s="13"/>
    </row>
    <row r="39" spans="1:5" ht="15" customHeight="1" x14ac:dyDescent="0.25">
      <c r="B39" s="11" t="s">
        <v>80</v>
      </c>
      <c r="C39" s="43">
        <v>34.869419999999998</v>
      </c>
      <c r="D39" s="12"/>
      <c r="E39" s="12"/>
    </row>
    <row r="40" spans="1:5" ht="15" customHeight="1" x14ac:dyDescent="0.25">
      <c r="B40" s="11" t="s">
        <v>55</v>
      </c>
      <c r="C40" s="100">
        <v>1.86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9.3217000000000005E-3</v>
      </c>
      <c r="D45" s="12"/>
    </row>
    <row r="46" spans="1:5" ht="15.75" customHeight="1" x14ac:dyDescent="0.25">
      <c r="B46" s="11" t="s">
        <v>70</v>
      </c>
      <c r="C46" s="45">
        <v>9.8476499999999995E-2</v>
      </c>
      <c r="D46" s="12"/>
    </row>
    <row r="47" spans="1:5" ht="15.75" customHeight="1" x14ac:dyDescent="0.25">
      <c r="B47" s="11" t="s">
        <v>78</v>
      </c>
      <c r="C47" s="45">
        <v>0.1054223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0.53242699999999998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0.1683437991</v>
      </c>
    </row>
    <row r="63" spans="1:4" ht="15.75" customHeight="1" x14ac:dyDescent="0.3">
      <c r="A63" s="4"/>
    </row>
  </sheetData>
  <sheetProtection algorithmName="SHA-512" hashValue="ZnFFGeJ94PyS4eh9T68q66H3EYC/O6tu69ZJAuCMwXq06aqa30gJYC7nnVqn8Af6eS9QHRUttCf2pTDJ4VkYMQ==" saltValue="N28xvANwJ6+FeR0le8o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299676</v>
      </c>
      <c r="C2" s="49">
        <v>56435</v>
      </c>
      <c r="D2" s="49">
        <v>132832</v>
      </c>
      <c r="E2" s="49">
        <v>237920.5</v>
      </c>
      <c r="F2" s="49">
        <v>237826.00000000003</v>
      </c>
      <c r="G2" s="17">
        <f t="shared" ref="G2:G13" si="0">C2+D2+E2+F2</f>
        <v>665013.5</v>
      </c>
      <c r="H2" s="17">
        <f t="shared" ref="H2:H13" si="1">(B2 + stillbirth*B2/(1000-stillbirth))/(1-abortion)</f>
        <v>345631.50819622638</v>
      </c>
      <c r="I2" s="17">
        <f t="shared" ref="I2:I13" si="2">G2-H2</f>
        <v>319381.99180377362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61418</v>
      </c>
      <c r="C3" s="50">
        <v>122043</v>
      </c>
      <c r="D3" s="50">
        <v>246514</v>
      </c>
      <c r="E3" s="50">
        <v>204504.5</v>
      </c>
      <c r="F3" s="50">
        <v>120444.5</v>
      </c>
      <c r="G3" s="17">
        <f t="shared" si="0"/>
        <v>693506</v>
      </c>
      <c r="H3" s="17">
        <f t="shared" si="1"/>
        <v>70836.489977161444</v>
      </c>
      <c r="I3" s="17">
        <f t="shared" si="2"/>
        <v>622669.5100228386</v>
      </c>
    </row>
    <row r="4" spans="1:9" ht="15.75" customHeight="1" x14ac:dyDescent="0.25">
      <c r="A4" s="5">
        <f t="shared" si="3"/>
        <v>2026</v>
      </c>
      <c r="B4" s="49">
        <v>61186</v>
      </c>
      <c r="C4" s="50">
        <v>121150</v>
      </c>
      <c r="D4" s="50">
        <v>244901</v>
      </c>
      <c r="E4" s="50">
        <v>213267.49999999997</v>
      </c>
      <c r="F4" s="50">
        <v>125401</v>
      </c>
      <c r="G4" s="17">
        <f t="shared" si="0"/>
        <v>704719.5</v>
      </c>
      <c r="H4" s="17">
        <f t="shared" si="1"/>
        <v>70568.912627285157</v>
      </c>
      <c r="I4" s="17">
        <f t="shared" si="2"/>
        <v>634150.58737271489</v>
      </c>
    </row>
    <row r="5" spans="1:9" ht="15.75" customHeight="1" x14ac:dyDescent="0.25">
      <c r="A5" s="5">
        <f t="shared" si="3"/>
        <v>2027</v>
      </c>
      <c r="B5" s="49">
        <v>60884</v>
      </c>
      <c r="C5" s="50">
        <v>120618</v>
      </c>
      <c r="D5" s="50">
        <v>243355.5</v>
      </c>
      <c r="E5" s="50">
        <v>220178.5</v>
      </c>
      <c r="F5" s="50">
        <v>131801.5</v>
      </c>
      <c r="G5" s="17">
        <f t="shared" si="0"/>
        <v>715953.5</v>
      </c>
      <c r="H5" s="17">
        <f t="shared" si="1"/>
        <v>70220.600732187595</v>
      </c>
      <c r="I5" s="17">
        <f t="shared" si="2"/>
        <v>645732.89926781238</v>
      </c>
    </row>
    <row r="6" spans="1:9" ht="15.75" customHeight="1" x14ac:dyDescent="0.25">
      <c r="A6" s="5">
        <f t="shared" si="3"/>
        <v>2028</v>
      </c>
      <c r="B6" s="49">
        <v>60499</v>
      </c>
      <c r="C6" s="50">
        <v>120595</v>
      </c>
      <c r="D6" s="50">
        <v>242341</v>
      </c>
      <c r="E6" s="50">
        <v>225669</v>
      </c>
      <c r="F6" s="50">
        <v>138740.5</v>
      </c>
      <c r="G6" s="17">
        <f t="shared" si="0"/>
        <v>727345.5</v>
      </c>
      <c r="H6" s="17">
        <f t="shared" si="1"/>
        <v>69776.560733470484</v>
      </c>
      <c r="I6" s="17">
        <f t="shared" si="2"/>
        <v>657568.93926652952</v>
      </c>
    </row>
    <row r="7" spans="1:9" ht="15.75" customHeight="1" x14ac:dyDescent="0.25">
      <c r="A7" s="5">
        <f t="shared" si="3"/>
        <v>2029</v>
      </c>
      <c r="B7" s="49">
        <v>60095</v>
      </c>
      <c r="C7" s="50">
        <v>120964</v>
      </c>
      <c r="D7" s="50">
        <v>241493.49999999997</v>
      </c>
      <c r="E7" s="50">
        <v>231269.99999999997</v>
      </c>
      <c r="F7" s="50">
        <v>144891</v>
      </c>
      <c r="G7" s="17">
        <f t="shared" si="0"/>
        <v>738618.5</v>
      </c>
      <c r="H7" s="17">
        <f t="shared" si="1"/>
        <v>69310.607072479033</v>
      </c>
      <c r="I7" s="17">
        <f t="shared" si="2"/>
        <v>669307.89292752091</v>
      </c>
    </row>
    <row r="8" spans="1:9" ht="15.75" customHeight="1" x14ac:dyDescent="0.25">
      <c r="A8" s="5">
        <f t="shared" si="3"/>
        <v>2030</v>
      </c>
      <c r="B8" s="49">
        <v>59578</v>
      </c>
      <c r="C8" s="50">
        <v>121605</v>
      </c>
      <c r="D8" s="50">
        <v>240392.49999999997</v>
      </c>
      <c r="E8" s="50">
        <v>236091.99999999997</v>
      </c>
      <c r="F8" s="50">
        <v>150942.5</v>
      </c>
      <c r="G8" s="17">
        <f t="shared" si="0"/>
        <v>749032</v>
      </c>
      <c r="H8" s="17">
        <f t="shared" si="1"/>
        <v>68714.324788487487</v>
      </c>
      <c r="I8" s="17">
        <f t="shared" si="2"/>
        <v>680317.67521151248</v>
      </c>
    </row>
    <row r="9" spans="1:9" ht="15.75" customHeight="1" x14ac:dyDescent="0.25">
      <c r="A9" s="5">
        <f t="shared" si="3"/>
        <v>2031</v>
      </c>
      <c r="B9" s="49">
        <v>59019</v>
      </c>
      <c r="C9" s="50">
        <v>122663</v>
      </c>
      <c r="D9" s="50">
        <v>239588</v>
      </c>
      <c r="E9" s="50">
        <v>239162</v>
      </c>
      <c r="F9" s="50">
        <v>158187.5</v>
      </c>
      <c r="G9" s="17">
        <f t="shared" si="0"/>
        <v>759600.5</v>
      </c>
      <c r="H9" s="17">
        <f t="shared" si="1"/>
        <v>68069.601777363176</v>
      </c>
      <c r="I9" s="17">
        <f t="shared" si="2"/>
        <v>691530.89822263678</v>
      </c>
    </row>
    <row r="10" spans="1:9" ht="15.75" customHeight="1" x14ac:dyDescent="0.25">
      <c r="A10" s="5">
        <f t="shared" si="3"/>
        <v>2032</v>
      </c>
      <c r="B10" s="49">
        <v>58504</v>
      </c>
      <c r="C10" s="50">
        <v>124182</v>
      </c>
      <c r="D10" s="50">
        <v>238890.5</v>
      </c>
      <c r="E10" s="50">
        <v>240863</v>
      </c>
      <c r="F10" s="50">
        <v>167012.5</v>
      </c>
      <c r="G10" s="17">
        <f t="shared" si="0"/>
        <v>770948</v>
      </c>
      <c r="H10" s="17">
        <f t="shared" si="1"/>
        <v>67475.626194663666</v>
      </c>
      <c r="I10" s="17">
        <f t="shared" si="2"/>
        <v>703472.3738053363</v>
      </c>
    </row>
    <row r="11" spans="1:9" ht="15.75" customHeight="1" x14ac:dyDescent="0.25">
      <c r="A11" s="5">
        <f t="shared" si="3"/>
        <v>2033</v>
      </c>
      <c r="B11" s="49">
        <v>57994</v>
      </c>
      <c r="C11" s="50">
        <v>126059</v>
      </c>
      <c r="D11" s="50">
        <v>238182</v>
      </c>
      <c r="E11" s="50">
        <v>240942.99999999997</v>
      </c>
      <c r="F11" s="50">
        <v>177096</v>
      </c>
      <c r="G11" s="17">
        <f t="shared" si="0"/>
        <v>782280</v>
      </c>
      <c r="H11" s="17">
        <f t="shared" si="1"/>
        <v>66887.417365194255</v>
      </c>
      <c r="I11" s="17">
        <f t="shared" si="2"/>
        <v>715392.5826348057</v>
      </c>
    </row>
    <row r="12" spans="1:9" ht="15.75" customHeight="1" x14ac:dyDescent="0.25">
      <c r="A12" s="5">
        <f t="shared" si="3"/>
        <v>2034</v>
      </c>
      <c r="B12" s="49">
        <v>57410</v>
      </c>
      <c r="C12" s="50">
        <v>128198.5</v>
      </c>
      <c r="D12" s="50">
        <v>237690</v>
      </c>
      <c r="E12" s="50">
        <v>240093.5</v>
      </c>
      <c r="F12" s="50">
        <v>187358.99999999997</v>
      </c>
      <c r="G12" s="17">
        <f t="shared" si="0"/>
        <v>793341</v>
      </c>
      <c r="H12" s="17">
        <f t="shared" si="1"/>
        <v>66213.86058791948</v>
      </c>
      <c r="I12" s="17">
        <f t="shared" si="2"/>
        <v>727127.13941208052</v>
      </c>
    </row>
    <row r="13" spans="1:9" ht="15.75" customHeight="1" x14ac:dyDescent="0.25">
      <c r="A13" s="5">
        <f t="shared" si="3"/>
        <v>2035</v>
      </c>
      <c r="B13" s="49">
        <v>56888</v>
      </c>
      <c r="C13" s="50">
        <v>130485.99999999999</v>
      </c>
      <c r="D13" s="50">
        <v>237524.5</v>
      </c>
      <c r="E13" s="50">
        <v>238926</v>
      </c>
      <c r="F13" s="50">
        <v>197471.5</v>
      </c>
      <c r="G13" s="17">
        <f t="shared" si="0"/>
        <v>804408</v>
      </c>
      <c r="H13" s="17">
        <f t="shared" si="1"/>
        <v>65611.81155069785</v>
      </c>
      <c r="I13" s="17">
        <f t="shared" si="2"/>
        <v>738796.18844930211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Xn6J471sq3iRK7M0nwzPJ5jBRmDXbC4nN5qVOvZ9cm7CN9s2TDfY5KUoSx12W7TWrnFt3cDNEcPZT4kbjJ9yA==" saltValue="gkOb0FEJv1b9eoumo4X/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5.1841994815800541E-3</v>
      </c>
    </row>
    <row r="4" spans="1:8" ht="15.75" customHeight="1" x14ac:dyDescent="0.25">
      <c r="B4" s="19" t="s">
        <v>116</v>
      </c>
      <c r="C4" s="101">
        <v>5.427229457277058E-2</v>
      </c>
    </row>
    <row r="5" spans="1:8" ht="15.75" customHeight="1" x14ac:dyDescent="0.25">
      <c r="B5" s="19" t="s">
        <v>114</v>
      </c>
      <c r="C5" s="101">
        <v>5.7245594275440542E-2</v>
      </c>
    </row>
    <row r="6" spans="1:8" ht="15.75" customHeight="1" x14ac:dyDescent="0.25">
      <c r="B6" s="19" t="s">
        <v>110</v>
      </c>
      <c r="C6" s="101">
        <v>0.2203829779617027</v>
      </c>
    </row>
    <row r="7" spans="1:8" ht="15.75" customHeight="1" x14ac:dyDescent="0.25">
      <c r="B7" s="19" t="s">
        <v>115</v>
      </c>
      <c r="C7" s="101">
        <v>0.451351354864864</v>
      </c>
    </row>
    <row r="8" spans="1:8" ht="15.75" customHeight="1" x14ac:dyDescent="0.25">
      <c r="B8" s="19" t="s">
        <v>117</v>
      </c>
      <c r="C8" s="101">
        <v>6.7609993239000699E-4</v>
      </c>
    </row>
    <row r="9" spans="1:8" ht="15.75" customHeight="1" x14ac:dyDescent="0.25">
      <c r="B9" s="19" t="s">
        <v>111</v>
      </c>
      <c r="C9" s="101">
        <v>0.10118568988143101</v>
      </c>
    </row>
    <row r="10" spans="1:8" ht="15.75" customHeight="1" x14ac:dyDescent="0.25">
      <c r="B10" s="19" t="s">
        <v>113</v>
      </c>
      <c r="C10" s="101">
        <v>0.1097017890298211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121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2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109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3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120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98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107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118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4.6309735999999997E-2</v>
      </c>
    </row>
    <row r="27" spans="1:8" ht="15.75" customHeight="1" x14ac:dyDescent="0.25">
      <c r="B27" s="19" t="s">
        <v>108</v>
      </c>
      <c r="C27" s="101">
        <v>2.2410375E-2</v>
      </c>
    </row>
    <row r="28" spans="1:8" ht="15.75" customHeight="1" x14ac:dyDescent="0.25">
      <c r="B28" s="19" t="s">
        <v>122</v>
      </c>
      <c r="C28" s="101">
        <v>0.105751911</v>
      </c>
    </row>
    <row r="29" spans="1:8" ht="15.75" customHeight="1" x14ac:dyDescent="0.25">
      <c r="B29" s="19" t="s">
        <v>105</v>
      </c>
      <c r="C29" s="101">
        <v>0.106714216</v>
      </c>
    </row>
    <row r="30" spans="1:8" ht="15.75" customHeight="1" x14ac:dyDescent="0.25">
      <c r="B30" s="19" t="s">
        <v>4</v>
      </c>
      <c r="C30" s="101">
        <v>5.0717751999999991E-2</v>
      </c>
    </row>
    <row r="31" spans="1:8" ht="15.75" customHeight="1" x14ac:dyDescent="0.25">
      <c r="B31" s="19" t="s">
        <v>99</v>
      </c>
      <c r="C31" s="101">
        <v>9.8186192000000005E-2</v>
      </c>
    </row>
    <row r="32" spans="1:8" ht="15.75" customHeight="1" x14ac:dyDescent="0.25">
      <c r="B32" s="19" t="s">
        <v>104</v>
      </c>
      <c r="C32" s="101">
        <v>3.9065067000000002E-2</v>
      </c>
    </row>
    <row r="33" spans="2:3" ht="15.75" customHeight="1" x14ac:dyDescent="0.25">
      <c r="B33" s="19" t="s">
        <v>119</v>
      </c>
      <c r="C33" s="101">
        <v>9.1384244000000003E-2</v>
      </c>
    </row>
    <row r="34" spans="2:3" ht="15.75" customHeight="1" x14ac:dyDescent="0.25">
      <c r="B34" s="19" t="s">
        <v>106</v>
      </c>
      <c r="C34" s="101">
        <v>0.43946050599999997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HsHfY8rd+DxMVLStV977Mpz41W09FyQrXXvTMQ1h/5jfAjT2L8nrZDhAJZTRwRNXjduPGgES7G5SUax5PSpLXQ==" saltValue="WEVi9BPeuxbpSckdynlx6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129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125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126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138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J3DeXu851VnELHWKDCEgq5ydUdnmfM/FsKpt2N/HvAJFIEwOAQJLfLaHExu7FxQHGX70hqTnzYShWNT1Sg0Ew==" saltValue="qFngjht0Fealy+h35ij7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PLcyfxnstRW2zR/hoDAxJzn2+kus8WcymJeTcFF5GisOEjlOnRHTH92RU8gMeJrt0l6YQoBYWQAmlZimTO0uVQ==" saltValue="mwifJjLvw0rspAgWCNLj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qKwTC7MpdwxzHKaBAtk6vTfQSs0MnSRNB+DGjO+juJ4eoXvM7/fjLNU+qZkd+WlN0JVd21vInXmjWoU6gfkcQ==" saltValue="9vt0O0Om0zltaWr7Uhok/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7738.87880407803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0.41491999999999996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0.62680999999999998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1.0876460240049601E-2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95747.141799999998</v>
      </c>
      <c r="C22" s="109">
        <v>95406.669110000003</v>
      </c>
      <c r="D22" s="109">
        <v>95185.842640000003</v>
      </c>
      <c r="E22" s="109">
        <v>94425.825410000005</v>
      </c>
      <c r="F22" s="109">
        <v>93189.446800000005</v>
      </c>
      <c r="G22" s="109">
        <v>91548.078529999999</v>
      </c>
      <c r="H22" s="109">
        <v>89137.952510000003</v>
      </c>
      <c r="I22" s="109">
        <v>85711.4277</v>
      </c>
      <c r="J22" s="109">
        <v>81043.210319999998</v>
      </c>
      <c r="K22" s="109">
        <v>75455.056979999994</v>
      </c>
      <c r="L22" s="109">
        <v>68754.608210000006</v>
      </c>
      <c r="M22" s="109">
        <v>61546.848539999999</v>
      </c>
      <c r="N22" s="109">
        <v>53355.522680000002</v>
      </c>
      <c r="O22" s="109">
        <v>43956.819770000002</v>
      </c>
    </row>
  </sheetData>
  <sheetProtection algorithmName="SHA-512" hashValue="S1fhGUjeRWmUq68i/jWb3olmgJvyHw1LDh7Eb8N2uD66JwLojTl3R3msjuOC6SLDqeQOcm21+f1wx3H0pD7zjA==" saltValue="VLpg3A+opTtk8uf2ask8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/cpM7IBd53DXC1ZG/nvMBCscOj6nsmqVQiE7+Zs4vYQcixNXCkynLAXGJfLuabDeb+I1fYjmwoYy66fNPdMig==" saltValue="4U9HabRTPq9oMCYcu0vdu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D0US0KfMbiJAIQ931yOf+xd+xB113NLAB5wXcmNOYGNiT5w14whp/oL/2rBAu5qXuGZ6JKccxFOhS7nD2wLhQ==" saltValue="nLgWCwZg7tH+vqK5wfJr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13.409894534701801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13.409894534701801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13.409894534701801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13.409894534701801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13.409894534701801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15.87897005630612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4.5279095940423639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0.67072384119999995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0.42899999999999999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0.45500000000000002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0.64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0.91189679999999995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Ai6JZTKqMDi8+B8EelxESL5O3eW469wEhdPOghjd4cQ24bJV6rq6+Q+d1IQpswxpfaqUWo9dUP+7hatQTmrHng==" saltValue="eD0DW2nKGBy4m+BCFS21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srr6YvGNfg452d+7ubzK2gHzFwhqfDZ+ua00UhgxIlYDXfLdUh3sCrJqbuRoAUqQTKQhTi1Isj3bGGcIMXarw==" saltValue="hbeLJfmMmRsVlTeUiHrd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JWQw+dJUXgAk2QYjZbk7J3DIVb0XJHtXQhZ2FDqtIB1k8H/0z8/npE9ewtN2t3GcXcVrVck/F7Xjdce61TX9A==" saltValue="3GBGOxq5ZynOqHwnFG0z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236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b3lYHu/eWjFfwjDQfPV+bTewLOzpzJ/KlMXNWioBYyL+0YSL3rM0AWZroH3qFvbSMPgUvK3wsm7C/KKHOc76yQ==" saltValue="4LOOcS6xeRETzKWfN+kV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n+azKmdyUB+/fRSqyuqlbAUz4jF6h9WsX0Kdf4gWDqsOijglSZSyPYkX2Nv3SFn14F0SaIRk5B9D7zSzfIZ8w==" saltValue="RX7VnW5c0QpcKnIRfa30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ttDiahZV+HbTYbvfNc3L8wWAkcRQ+ux11jggj/d0QP97+4O/nMA6YPXZxLkwFV9h9mdDhQZSxQ/ivqGMCT3QQ==" saltValue="I7r5JHD+RgDFuxzLtstH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2GE6j6fw66MP+u/0WRFafiHlQFg9GsHQtqNdNacssZ92QrhwUu58zm+5qG4gc2nMcoBeUYrbfhaNZb7PK5tBg==" saltValue="iFrMaOSrlOaBoAPLvt4A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M87FgHxfuB1ct17zawV/OAVEHLFoz4pfJTls2FDQlNpKc4uB1yS2ls/rjSinyc8GXZUkhTBlbKHOOLcioGsPA==" saltValue="Lh//vejVu9uXiZ6aeGp+2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CSnAXrhaoJmQFPA3v1HbQWFaNtj/HNK1AvLDSIpHJOskwKMTodAv3/CfUBPiGWEAN7N+mkkVXVqbpRO3x8BV8Q==" saltValue="LQYtB6pcw+22qr2+5jAb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fRaYQ91kMq6i5hAOoA+Vtd7LeRf04azZhsyAvgptWEbWJEc+ySeunmVqSYLHHSjTDGXO30XjuiFgaKtA5P5bw==" saltValue="G0yl4z80g+GwENQpP8nr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cHs6w8kJ1+zHWTVInQBNXTuBW3QaTBeCTrDd++EhvdH5UBYyhXMUkpxuptfjwXWBE1Zw8A5z33w9NUZnKXd4A==" saltValue="+RhNfYVZ+fHm88X6/XlEp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44uH6PoHZ5Z4MFaxgSMRsCCFoePugtin2KwKAWUgvtV1/a2VhvMp+anYSMHhhwQjFubXeveym2v1uBLEHZy8+g==" saltValue="AAu+cG8dGtlUHGjTQBFZ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YwhBhTRQkAFlk4rc9eAr7O4KINcMZewNie95Ygv3OM5OAkQH8VX++ERSsbbsOE17zRebw57IYyMw9/2EOXLWA==" saltValue="x3mulGUWNXSwNFbTeH4u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f54F8RJL1H+LJRy9qSu3h/OokV7xguudaNQyFMTyd+Gc0IGimm8lvKI7pkpFzt/UrVMmpeaRyzQ/20SY+mAZg==" saltValue="xV2+xZtIqalkSqu1Ltt9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m0Ictvzqwnc/NBparKW12kAyqRdBkbRpmesqj7w4psaPMmCwWfIioU02TPdEadL+msUq7ucxaERHm3xLuvJXg==" saltValue="BFXiM1l7AdcTIYkbNfk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G3sB3B4X8B5vtFQz90eMBh7l2+9pHP77WBbWGSAMUtrmTjPy7uymd2gA31JtPOi2WBcCdkGJx6kgkzHRp56Rw==" saltValue="CvcVTMsF92vQzDu7e8Fl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5paMi7VuVZjJ06GmuiagT6yma3cG7iBuT46JRA9ffy7akwPI4aNeFl8DVEBdyqVA10rwjs4E6aBDyUmFgDyjA==" saltValue="uqvzy0tGt7gQkWkl8pAA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b2x7mV3XMSs+A79eXOaASmp78BlMxWkEVpLbM2XbSEAF3GC7iHmozxPKjF/38Bgb36WBhOHCahDgpyFqzoC7A==" saltValue="7x8CdsqHw7YE4P/RW1T/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HV3eF0VL+JvtUdP/bBMmGh2eaWIyC0oColZH4YGyX9SiGZwa2akD4vuOVZ/DOJ/uotfbq3VS5NZY9Yc4tbh18g==" saltValue="ZiPPet5i4QtRHRekjK1GR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