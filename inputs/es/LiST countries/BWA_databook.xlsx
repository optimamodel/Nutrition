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64B8B16-4D98-4729-86CC-9534F281676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I11" i="2"/>
  <c r="A37" i="2"/>
  <c r="A19" i="2"/>
  <c r="I7" i="2"/>
  <c r="I13" i="2"/>
  <c r="I6" i="2"/>
  <c r="I12" i="2"/>
  <c r="A35" i="2"/>
  <c r="I38" i="2"/>
  <c r="A22" i="2"/>
  <c r="I3" i="2"/>
  <c r="I9" i="2"/>
  <c r="A2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<sst xmlns="http://schemas.openxmlformats.org/spreadsheetml/2006/main" count="2169" uniqueCount="373">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</sst>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293184.5</v>
      </c>
    </row>
    <row r="8" spans="1:3" ht="15" customHeight="1" x14ac:dyDescent="0.25">
      <c r="B8" s="5" t="s">
        <v>63</v>
      </c>
      <c r="C8" s="44">
        <v>0.161</v>
      </c>
    </row>
    <row r="9" spans="1:3" ht="15" customHeight="1" x14ac:dyDescent="0.25">
      <c r="B9" s="5" t="s">
        <v>62</v>
      </c>
      <c r="C9" s="45">
        <v>0.13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8.2100000000000006E-2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0.35039999999999999</v>
      </c>
    </row>
    <row r="26" spans="1:3" ht="15" customHeight="1" x14ac:dyDescent="0.25">
      <c r="B26" s="15" t="s">
        <v>67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0.34290466666442998</v>
      </c>
    </row>
    <row r="30" spans="1:3" ht="14.25" customHeight="1" x14ac:dyDescent="0.25">
      <c r="B30" s="25" t="s">
        <v>82</v>
      </c>
      <c r="C30" s="97">
        <v>3.07454772021977E-2</v>
      </c>
    </row>
    <row r="31" spans="1:3" ht="14.25" customHeight="1" x14ac:dyDescent="0.25">
      <c r="B31" s="25" t="s">
        <v>29</v>
      </c>
      <c r="C31" s="97">
        <v>5.8505816356096703E-2</v>
      </c>
    </row>
    <row r="32" spans="1:3" ht="14.25" customHeight="1" x14ac:dyDescent="0.25">
      <c r="B32" s="25" t="s">
        <v>30</v>
      </c>
      <c r="C32" s="97">
        <v>0.56784403977727504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17.9986</v>
      </c>
    </row>
    <row r="38" spans="1:5" ht="15" customHeight="1" x14ac:dyDescent="0.25">
      <c r="B38" s="11" t="s">
        <v>54</v>
      </c>
      <c r="C38" s="43">
        <v>28.314070000000001</v>
      </c>
      <c r="D38" s="12"/>
      <c r="E38" s="13"/>
    </row>
    <row r="39" spans="1:5" ht="15" customHeight="1" x14ac:dyDescent="0.25">
      <c r="B39" s="11" t="s">
        <v>80</v>
      </c>
      <c r="C39" s="43">
        <v>34.869419999999998</v>
      </c>
      <c r="D39" s="12"/>
      <c r="E39" s="12"/>
    </row>
    <row r="40" spans="1:5" ht="15" customHeight="1" x14ac:dyDescent="0.25">
      <c r="B40" s="11" t="s">
        <v>55</v>
      </c>
      <c r="C40" s="98">
        <v>1.86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9.3217000000000005E-3</v>
      </c>
      <c r="D45" s="12"/>
    </row>
    <row r="46" spans="1:5" ht="15.75" customHeight="1" x14ac:dyDescent="0.25">
      <c r="B46" s="11" t="s">
        <v>70</v>
      </c>
      <c r="C46" s="45">
        <v>9.8476499999999995E-2</v>
      </c>
      <c r="D46" s="12"/>
    </row>
    <row r="47" spans="1:5" ht="15.75" customHeight="1" x14ac:dyDescent="0.25">
      <c r="B47" s="11" t="s">
        <v>78</v>
      </c>
      <c r="C47" s="45">
        <v>0.1054223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0.53242699999999998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0.1683437991</v>
      </c>
    </row>
    <row r="63" spans="1:4" ht="15.75" customHeight="1" x14ac:dyDescent="0.3">
      <c r="A63" s="4"/>
    </row>
  </sheetData>
  <sheetProtection algorithmName="SHA-512" hashValue="iErkh8A4VpuGjpPVskkB3yzGVcIMDoSh0uxQxQq+N7EmAJg/j2JxpVuLDmQcV32R3Ev99LLTITPFSO0Lpui6IQ==" saltValue="BHBiGrNBPOz2LGVORL30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61418</v>
      </c>
      <c r="C2" s="49">
        <v>122043</v>
      </c>
      <c r="D2" s="49">
        <v>246514</v>
      </c>
      <c r="E2" s="49">
        <v>204504.5</v>
      </c>
      <c r="F2" s="49">
        <v>120444.5</v>
      </c>
      <c r="G2" s="17">
        <f t="shared" ref="G2:G13" si="0">C2+D2+E2+F2</f>
        <v>693506</v>
      </c>
      <c r="H2" s="17">
        <f t="shared" ref="H2:H13" si="1">(B2 + stillbirth*B2/(1000-stillbirth))/(1-abortion)</f>
        <v>70836.489977161444</v>
      </c>
      <c r="I2" s="17">
        <f t="shared" ref="I2:I13" si="2">G2-H2</f>
        <v>622669.5100228386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61186</v>
      </c>
      <c r="C3" s="50">
        <v>121150</v>
      </c>
      <c r="D3" s="50">
        <v>244901</v>
      </c>
      <c r="E3" s="50">
        <v>213267.5</v>
      </c>
      <c r="F3" s="50">
        <v>125401</v>
      </c>
      <c r="G3" s="17">
        <f t="shared" si="0"/>
        <v>704719.5</v>
      </c>
      <c r="H3" s="17">
        <f t="shared" si="1"/>
        <v>70568.912627285157</v>
      </c>
      <c r="I3" s="17">
        <f t="shared" si="2"/>
        <v>634150.58737271489</v>
      </c>
    </row>
    <row r="4" spans="1:9" ht="15.75" customHeight="1" x14ac:dyDescent="0.25">
      <c r="A4" s="5">
        <f t="shared" si="3"/>
        <v>2026</v>
      </c>
      <c r="B4" s="49">
        <v>60884</v>
      </c>
      <c r="C4" s="50">
        <v>120618</v>
      </c>
      <c r="D4" s="50">
        <v>243355.5</v>
      </c>
      <c r="E4" s="50">
        <v>220178.5</v>
      </c>
      <c r="F4" s="50">
        <v>131801.5</v>
      </c>
      <c r="G4" s="17">
        <f t="shared" si="0"/>
        <v>715953.5</v>
      </c>
      <c r="H4" s="17">
        <f t="shared" si="1"/>
        <v>70220.600732187595</v>
      </c>
      <c r="I4" s="17">
        <f t="shared" si="2"/>
        <v>645732.89926781238</v>
      </c>
    </row>
    <row r="5" spans="1:9" ht="15.75" customHeight="1" x14ac:dyDescent="0.25">
      <c r="A5" s="5">
        <f t="shared" si="3"/>
        <v>2027</v>
      </c>
      <c r="B5" s="49">
        <v>60499</v>
      </c>
      <c r="C5" s="50">
        <v>120595</v>
      </c>
      <c r="D5" s="50">
        <v>242341</v>
      </c>
      <c r="E5" s="50">
        <v>225669</v>
      </c>
      <c r="F5" s="50">
        <v>138740.5</v>
      </c>
      <c r="G5" s="17">
        <f t="shared" si="0"/>
        <v>727345.5</v>
      </c>
      <c r="H5" s="17">
        <f t="shared" si="1"/>
        <v>69776.560733470484</v>
      </c>
      <c r="I5" s="17">
        <f t="shared" si="2"/>
        <v>657568.93926652952</v>
      </c>
    </row>
    <row r="6" spans="1:9" ht="15.75" customHeight="1" x14ac:dyDescent="0.25">
      <c r="A6" s="5">
        <f t="shared" si="3"/>
        <v>2028</v>
      </c>
      <c r="B6" s="49">
        <v>60095</v>
      </c>
      <c r="C6" s="50">
        <v>120964</v>
      </c>
      <c r="D6" s="50">
        <v>241493.5</v>
      </c>
      <c r="E6" s="50">
        <v>231270</v>
      </c>
      <c r="F6" s="50">
        <v>144891</v>
      </c>
      <c r="G6" s="17">
        <f t="shared" si="0"/>
        <v>738618.5</v>
      </c>
      <c r="H6" s="17">
        <f t="shared" si="1"/>
        <v>69310.607072479033</v>
      </c>
      <c r="I6" s="17">
        <f t="shared" si="2"/>
        <v>669307.89292752091</v>
      </c>
    </row>
    <row r="7" spans="1:9" ht="15.75" customHeight="1" x14ac:dyDescent="0.25">
      <c r="A7" s="5">
        <f t="shared" si="3"/>
        <v>2029</v>
      </c>
      <c r="B7" s="49">
        <v>59578</v>
      </c>
      <c r="C7" s="50">
        <v>121605</v>
      </c>
      <c r="D7" s="50">
        <v>240392.5</v>
      </c>
      <c r="E7" s="50">
        <v>236092</v>
      </c>
      <c r="F7" s="50">
        <v>150942.5</v>
      </c>
      <c r="G7" s="17">
        <f t="shared" si="0"/>
        <v>749032</v>
      </c>
      <c r="H7" s="17">
        <f t="shared" si="1"/>
        <v>68714.324788487487</v>
      </c>
      <c r="I7" s="17">
        <f t="shared" si="2"/>
        <v>680317.67521151248</v>
      </c>
    </row>
    <row r="8" spans="1:9" ht="15.75" customHeight="1" x14ac:dyDescent="0.25">
      <c r="A8" s="5">
        <f t="shared" si="3"/>
        <v>2030</v>
      </c>
      <c r="B8" s="49">
        <v>59019</v>
      </c>
      <c r="C8" s="50">
        <v>122663</v>
      </c>
      <c r="D8" s="50">
        <v>239588</v>
      </c>
      <c r="E8" s="50">
        <v>239162</v>
      </c>
      <c r="F8" s="50">
        <v>158187.5</v>
      </c>
      <c r="G8" s="17">
        <f t="shared" si="0"/>
        <v>759600.5</v>
      </c>
      <c r="H8" s="17">
        <f t="shared" si="1"/>
        <v>68069.601777363176</v>
      </c>
      <c r="I8" s="17">
        <f t="shared" si="2"/>
        <v>691530.89822263678</v>
      </c>
    </row>
    <row r="9" spans="1:9" ht="15.75" customHeight="1" x14ac:dyDescent="0.25">
      <c r="A9" s="5">
        <f t="shared" si="3"/>
        <v>2031</v>
      </c>
      <c r="B9" s="49">
        <v>58504</v>
      </c>
      <c r="C9" s="50">
        <v>124182</v>
      </c>
      <c r="D9" s="50">
        <v>238890.5</v>
      </c>
      <c r="E9" s="50">
        <v>240863</v>
      </c>
      <c r="F9" s="50">
        <v>167012.5</v>
      </c>
      <c r="G9" s="17">
        <f t="shared" si="0"/>
        <v>770948</v>
      </c>
      <c r="H9" s="17">
        <f t="shared" si="1"/>
        <v>67475.626194663666</v>
      </c>
      <c r="I9" s="17">
        <f t="shared" si="2"/>
        <v>703472.3738053363</v>
      </c>
    </row>
    <row r="10" spans="1:9" ht="15.75" customHeight="1" x14ac:dyDescent="0.25">
      <c r="A10" s="5">
        <f t="shared" si="3"/>
        <v>2032</v>
      </c>
      <c r="B10" s="49">
        <v>57994</v>
      </c>
      <c r="C10" s="50">
        <v>126059</v>
      </c>
      <c r="D10" s="50">
        <v>238182</v>
      </c>
      <c r="E10" s="50">
        <v>240943</v>
      </c>
      <c r="F10" s="50">
        <v>177096</v>
      </c>
      <c r="G10" s="17">
        <f t="shared" si="0"/>
        <v>782280</v>
      </c>
      <c r="H10" s="17">
        <f t="shared" si="1"/>
        <v>66887.417365194255</v>
      </c>
      <c r="I10" s="17">
        <f t="shared" si="2"/>
        <v>715392.5826348057</v>
      </c>
    </row>
    <row r="11" spans="1:9" ht="15.75" customHeight="1" x14ac:dyDescent="0.25">
      <c r="A11" s="5">
        <f t="shared" si="3"/>
        <v>2033</v>
      </c>
      <c r="B11" s="49">
        <v>57410</v>
      </c>
      <c r="C11" s="50">
        <v>128198.5</v>
      </c>
      <c r="D11" s="50">
        <v>237690</v>
      </c>
      <c r="E11" s="50">
        <v>240093.5</v>
      </c>
      <c r="F11" s="50">
        <v>187359</v>
      </c>
      <c r="G11" s="17">
        <f t="shared" si="0"/>
        <v>793341</v>
      </c>
      <c r="H11" s="17">
        <f t="shared" si="1"/>
        <v>66213.86058791948</v>
      </c>
      <c r="I11" s="17">
        <f t="shared" si="2"/>
        <v>727127.13941208052</v>
      </c>
    </row>
    <row r="12" spans="1:9" ht="15.75" customHeight="1" x14ac:dyDescent="0.25">
      <c r="A12" s="5">
        <f t="shared" si="3"/>
        <v>2034</v>
      </c>
      <c r="B12" s="49">
        <v>56888</v>
      </c>
      <c r="C12" s="50">
        <v>130486</v>
      </c>
      <c r="D12" s="50">
        <v>237524.5</v>
      </c>
      <c r="E12" s="50">
        <v>238926</v>
      </c>
      <c r="F12" s="50">
        <v>197471.5</v>
      </c>
      <c r="G12" s="17">
        <f t="shared" si="0"/>
        <v>804408</v>
      </c>
      <c r="H12" s="17">
        <f t="shared" si="1"/>
        <v>65611.81155069785</v>
      </c>
      <c r="I12" s="17">
        <f t="shared" si="2"/>
        <v>738796.18844930211</v>
      </c>
    </row>
    <row r="13" spans="1:9" ht="15.75" customHeight="1" x14ac:dyDescent="0.25">
      <c r="A13" s="5">
        <f t="shared" si="3"/>
        <v>2035</v>
      </c>
      <c r="B13" s="49">
        <v>56435</v>
      </c>
      <c r="C13" s="50">
        <v>132832</v>
      </c>
      <c r="D13" s="50">
        <v>237920.5</v>
      </c>
      <c r="E13" s="50">
        <v>237826</v>
      </c>
      <c r="F13" s="50">
        <v>206281</v>
      </c>
      <c r="G13" s="17">
        <f t="shared" si="0"/>
        <v>814859.5</v>
      </c>
      <c r="H13" s="17">
        <f t="shared" si="1"/>
        <v>65089.343708051478</v>
      </c>
      <c r="I13" s="17">
        <f t="shared" si="2"/>
        <v>749770.15629194851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Cx125KWVrwd8dcP7TQffLh4QM3g88AsZNCTxnItnVOpb8KI9iZCWvzOQnjADVT9gFEnrAhLnyHudzy19pxYMA==" saltValue="sQXgFyfLag3mC85T4yqD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5.1841994815800541E-3</v>
      </c>
    </row>
    <row r="4" spans="1:8" ht="15.75" customHeight="1" x14ac:dyDescent="0.25">
      <c r="B4" s="19" t="s">
        <v>116</v>
      </c>
      <c r="C4" s="99">
        <v>5.427229457277058E-2</v>
      </c>
    </row>
    <row r="5" spans="1:8" ht="15.75" customHeight="1" x14ac:dyDescent="0.25">
      <c r="B5" s="19" t="s">
        <v>114</v>
      </c>
      <c r="C5" s="99">
        <v>5.7245594275440542E-2</v>
      </c>
    </row>
    <row r="6" spans="1:8" ht="15.75" customHeight="1" x14ac:dyDescent="0.25">
      <c r="B6" s="19" t="s">
        <v>110</v>
      </c>
      <c r="C6" s="99">
        <v>0.2203829779617027</v>
      </c>
    </row>
    <row r="7" spans="1:8" ht="15.75" customHeight="1" x14ac:dyDescent="0.25">
      <c r="B7" s="19" t="s">
        <v>115</v>
      </c>
      <c r="C7" s="99">
        <v>0.451351354864864</v>
      </c>
    </row>
    <row r="8" spans="1:8" ht="15.75" customHeight="1" x14ac:dyDescent="0.25">
      <c r="B8" s="19" t="s">
        <v>117</v>
      </c>
      <c r="C8" s="99">
        <v>6.7609993239000699E-4</v>
      </c>
    </row>
    <row r="9" spans="1:8" ht="15.75" customHeight="1" x14ac:dyDescent="0.25">
      <c r="B9" s="19" t="s">
        <v>111</v>
      </c>
      <c r="C9" s="99">
        <v>0.10118568988143101</v>
      </c>
    </row>
    <row r="10" spans="1:8" ht="15.75" customHeight="1" x14ac:dyDescent="0.25">
      <c r="B10" s="19" t="s">
        <v>113</v>
      </c>
      <c r="C10" s="99">
        <v>0.1097017890298211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121</v>
      </c>
      <c r="C15" s="99">
        <v>0.1278583636640768</v>
      </c>
      <c r="D15" s="99">
        <v>0.1278583636640768</v>
      </c>
      <c r="E15" s="99">
        <v>0.1278583636640768</v>
      </c>
      <c r="F15" s="99">
        <v>0.1278583636640768</v>
      </c>
    </row>
    <row r="16" spans="1:8" ht="15.75" customHeight="1" x14ac:dyDescent="0.25">
      <c r="B16" s="19" t="s">
        <v>2</v>
      </c>
      <c r="C16" s="99">
        <v>7.9540754572635704E-3</v>
      </c>
      <c r="D16" s="99">
        <v>7.9540754572635704E-3</v>
      </c>
      <c r="E16" s="99">
        <v>7.9540754572635704E-3</v>
      </c>
      <c r="F16" s="99">
        <v>7.9540754572635704E-3</v>
      </c>
    </row>
    <row r="17" spans="1:8" ht="15.75" customHeight="1" x14ac:dyDescent="0.25">
      <c r="B17" s="19" t="s">
        <v>109</v>
      </c>
      <c r="C17" s="99">
        <v>1.0143106701154391E-3</v>
      </c>
      <c r="D17" s="99">
        <v>1.0143106701154391E-3</v>
      </c>
      <c r="E17" s="99">
        <v>1.0143106701154391E-3</v>
      </c>
      <c r="F17" s="99">
        <v>1.0143106701154391E-3</v>
      </c>
    </row>
    <row r="18" spans="1:8" ht="15.75" customHeight="1" x14ac:dyDescent="0.25">
      <c r="B18" s="19" t="s">
        <v>3</v>
      </c>
      <c r="C18" s="99">
        <v>5.3754549258704684E-4</v>
      </c>
      <c r="D18" s="99">
        <v>5.3754549258704684E-4</v>
      </c>
      <c r="E18" s="99">
        <v>5.3754549258704684E-4</v>
      </c>
      <c r="F18" s="99">
        <v>5.3754549258704684E-4</v>
      </c>
    </row>
    <row r="19" spans="1:8" ht="15.75" customHeight="1" x14ac:dyDescent="0.25">
      <c r="B19" s="19" t="s">
        <v>120</v>
      </c>
      <c r="C19" s="99">
        <v>4.7038167794426723E-3</v>
      </c>
      <c r="D19" s="99">
        <v>4.7038167794426723E-3</v>
      </c>
      <c r="E19" s="99">
        <v>4.7038167794426723E-3</v>
      </c>
      <c r="F19" s="99">
        <v>4.7038167794426723E-3</v>
      </c>
    </row>
    <row r="20" spans="1:8" ht="15.75" customHeight="1" x14ac:dyDescent="0.25">
      <c r="B20" s="19" t="s">
        <v>98</v>
      </c>
      <c r="C20" s="99">
        <v>0.51254978406956297</v>
      </c>
      <c r="D20" s="99">
        <v>0.51254978406956297</v>
      </c>
      <c r="E20" s="99">
        <v>0.51254978406956297</v>
      </c>
      <c r="F20" s="99">
        <v>0.51254978406956297</v>
      </c>
    </row>
    <row r="21" spans="1:8" ht="15.75" customHeight="1" x14ac:dyDescent="0.25">
      <c r="B21" s="19" t="s">
        <v>107</v>
      </c>
      <c r="C21" s="99">
        <v>0.1037471416459311</v>
      </c>
      <c r="D21" s="99">
        <v>0.1037471416459311</v>
      </c>
      <c r="E21" s="99">
        <v>0.1037471416459311</v>
      </c>
      <c r="F21" s="99">
        <v>0.1037471416459311</v>
      </c>
    </row>
    <row r="22" spans="1:8" ht="15.75" customHeight="1" x14ac:dyDescent="0.25">
      <c r="B22" s="19" t="s">
        <v>118</v>
      </c>
      <c r="C22" s="99">
        <v>0.13577139674364599</v>
      </c>
      <c r="D22" s="99">
        <v>0.13577139674364599</v>
      </c>
      <c r="E22" s="99">
        <v>0.13577139674364599</v>
      </c>
      <c r="F22" s="99">
        <v>0.13577139674364599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4.6309735999999997E-2</v>
      </c>
    </row>
    <row r="27" spans="1:8" ht="15.75" customHeight="1" x14ac:dyDescent="0.25">
      <c r="B27" s="19" t="s">
        <v>108</v>
      </c>
      <c r="C27" s="99">
        <v>2.2410375E-2</v>
      </c>
    </row>
    <row r="28" spans="1:8" ht="15.75" customHeight="1" x14ac:dyDescent="0.25">
      <c r="B28" s="19" t="s">
        <v>122</v>
      </c>
      <c r="C28" s="99">
        <v>0.105751911</v>
      </c>
    </row>
    <row r="29" spans="1:8" ht="15.75" customHeight="1" x14ac:dyDescent="0.25">
      <c r="B29" s="19" t="s">
        <v>105</v>
      </c>
      <c r="C29" s="99">
        <v>0.106714216</v>
      </c>
    </row>
    <row r="30" spans="1:8" ht="15.75" customHeight="1" x14ac:dyDescent="0.25">
      <c r="B30" s="19" t="s">
        <v>4</v>
      </c>
      <c r="C30" s="99">
        <v>5.0717751999999991E-2</v>
      </c>
    </row>
    <row r="31" spans="1:8" ht="15.75" customHeight="1" x14ac:dyDescent="0.25">
      <c r="B31" s="19" t="s">
        <v>99</v>
      </c>
      <c r="C31" s="99">
        <v>9.8186192000000005E-2</v>
      </c>
    </row>
    <row r="32" spans="1:8" ht="15.75" customHeight="1" x14ac:dyDescent="0.25">
      <c r="B32" s="19" t="s">
        <v>104</v>
      </c>
      <c r="C32" s="99">
        <v>3.9065067000000002E-2</v>
      </c>
    </row>
    <row r="33" spans="2:3" ht="15.75" customHeight="1" x14ac:dyDescent="0.25">
      <c r="B33" s="19" t="s">
        <v>119</v>
      </c>
      <c r="C33" s="99">
        <v>9.1384244000000003E-2</v>
      </c>
    </row>
    <row r="34" spans="2:3" ht="15.75" customHeight="1" x14ac:dyDescent="0.25">
      <c r="B34" s="19" t="s">
        <v>106</v>
      </c>
      <c r="C34" s="99">
        <v>0.43946050599999997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vvIuDWQpQn8NDnE2lML5w4eLAjGk8Pg4Rv1Yf8Fn04lQzgY/tzLUeXjW1aJfuN7NjU9ulT78NlXC1fFSOmZPSw==" saltValue="JU1VNusLZFMV21CQ9aZD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129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125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126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138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CVyM8+0m21zK5fjzZZ/50m/cGnv7ZZS0HZ2CeJTTXt2C8KABFW75s6+pBf1Nez+LTCamCYjMMESYGnF4kN6ng==" saltValue="IALplmnkd0scXXT7YmfT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frX+unMmr/i3VoQOkZ7zxlUjmOmQwjKim/sl9TOs9t4ZYHFJGNLSuzsjQI1qyIA7JciIpIAhkmk+fEXoT8yoAw==" saltValue="kWGzRDERKGq6Q6kNWKpr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41EZsrchPR7JCqjSVl9MKXhWjzvG0eFUi78WRQj2T37KkG+0gKgr7iTykFLsKEpEL1hYKeeOMWyffHqfVEQJA==" saltValue="KBiJvlvazEgGGaLat9Kj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7738.87880407803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0.41491999999999996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0.62680999999999998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1.0876460240049601E-2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95747.141799999998</v>
      </c>
      <c r="C22" s="107">
        <v>95406.669110000003</v>
      </c>
      <c r="D22" s="107">
        <v>95185.842640000003</v>
      </c>
      <c r="E22" s="107">
        <v>94425.825410000005</v>
      </c>
      <c r="F22" s="107">
        <v>93189.446800000005</v>
      </c>
      <c r="G22" s="107">
        <v>91548.078529999999</v>
      </c>
      <c r="H22" s="107">
        <v>89137.952510000003</v>
      </c>
      <c r="I22" s="107">
        <v>85711.4277</v>
      </c>
      <c r="J22" s="107">
        <v>81043.210319999998</v>
      </c>
      <c r="K22" s="107">
        <v>75455.056979999994</v>
      </c>
      <c r="L22" s="107">
        <v>68754.608210000006</v>
      </c>
      <c r="M22" s="107">
        <v>61546.848539999999</v>
      </c>
      <c r="N22" s="107">
        <v>53355.522680000002</v>
      </c>
      <c r="O22" s="107">
        <v>43956.819770000002</v>
      </c>
    </row>
  </sheetData>
  <sheetProtection algorithmName="SHA-512" hashValue="THHSLE0WjEReONAC2oOWcCPTK/bLeiXoD//qwTX8H8vUwUG/SayWUndzZjnbkmj39nUVSHJZ4yJI78Gb1BBneQ==" saltValue="p0TUjbJHbeWFwQW66KWT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Od40nR52jP91UwpYEN7q+V0G3TwRwfMHpR89PIWGXtwtj6yS/T6iXUvASLjxV0exWGtggCekqXsZtrMc914IA==" saltValue="Ls7VXeUlNlXxyt8/AyAS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XOiEcU06JRhuNxpvlPDoBnIiE1X55xGneculp/Pd1fXqd/vcc1+I+gUb3lPbr37JuSz/RzWWyQmBGmRIlW9AQ==" saltValue="mt3jl1lqIB94M9MYg8R6R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13.409894534701801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13.409894534701801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13.409894534701801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13.409894534701801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13.409894534701801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15.87897005630612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4.5279095940423639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0.67072384119999995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0.42899999999999999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0.45500000000000002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0.64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0.91189679999999995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cpmH4b9UxIUr2TtO/a0jspQc6uWM0+KlK5Tx5PBc3ek4WJkp55ycQ24IFYn8Us0pULEiyTXN0p8y30bQHARdSg==" saltValue="SeL9Ig58NE2jql+Su+rB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erphzW/Tufkb9YMXpQwvtBKRPH4Lpx1p9kLqvz7H3cl5VHm3tfBcqqIkjJQecASxbmfCVMNjvjiuuWwG5t0vw==" saltValue="FzX9TkYb0I46a1g8KbH4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R43G5BbrS8p0vWnYiR6SXB2i6/KzbQfusadrg4ej+iVypDpNndzrPcf5ei1uCF06fMnRPhNkvWnUFluEMERYg==" saltValue="rfVIhBFPs/W8G63kfyhW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236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Fp/cNNZEVk5ALL/1Erxs80vd+Pd3DP34EREQpCYhGENeAZ8D/VJNQ79Od4Cwql5DSoyVg04qBR9oMwpr/T8ukQ==" saltValue="hNdFo4qMBtJzF4z+6X4m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p8VbVPkZfZxPTOxS843vJywltSxSIc0U6uPuc2iOcX6W7u+Na5BiLGIdqx8bM0btUUcwawm7vRqTX6aKnjJ0A==" saltValue="N7ygJtIVSVfUA3B8ijgo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Zkf1lwUm25eZ/OzFy6oa/eKnLDj717xoYfOaIcwAE7wgWpy2qG3oBxuHUkHrt43ZDsSXjDVaLVW5oqBmSFaWg==" saltValue="9hmmHSeh6TQgN6NPiPI+7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mJERUaXeZFEVZD1VkOqeQwpfhVDkEs6B+o5nS4i724ooH5JBjRMB6JaaqOtNJ2LcSkoIKX4QzRttZSAWohL7g==" saltValue="pRNdJGasBM7F8l5fCDW67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CSQ8LLRuW3SRFt9jYvQkc6PgRQkWcV3Yb2IGPmaXcDjkEISmI2aXUH4pXDkB3DP1Rnzd541dFenBBnVVU66fA==" saltValue="c8NEvvOuqS3QwPzxvTuoM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yMbrjGuCw04u8ixVSMN5LMayMZYHCIthAgFN/VVhdBGctsU74VqwUsura20hN9rygNbYZKoXzaGqzDbhohAAw==" saltValue="h5BqDzqJ5TdpzifFe+k/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ezwSlH8D51W1Sav8eB880eXAvHDZ2HrSAcpFsQuIzlvY3u22OtNyewJ6eB36z7iNwyMgQCivKA4J1GvlVW8mBA==" saltValue="V2EWcOvKHedBQmXFsAEP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jwcn3SlIrtFazmcWRdz+UaMDdMyoGmlf2RWKXk5CyPYQJors9MmjmIc9JHogCD8mqJT2c7zXOId2PXSXWyjmg==" saltValue="O33vne9udNA6SzCSbChs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zhCjoSo+VZMSqSHROHaoIjDl2jEYPYkK/VhG5BfDeOT+PCk8T3Fwpl0xsMCJyku6B9IPqqwOfM82D0JYHnShA==" saltValue="pqepnWDwwoejBx1wrJHJ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qvktMKffP96o57nXzVkZhrUtU8O7olcTCtgtanGVe7hYnYthIeuPr6dA5pTlEB5gkil/b6usj74WBLfRqME4Q==" saltValue="q5m8eug8zKgmqFeFKODv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1bz3kgaWaRN7zLRXA/nerq0M179WLEpTfMvufGDupJTyb6IwpDCij4N00ZyfJPo7pZvblMSkK5dJAtweH+n+A==" saltValue="xB315GTssodR1d0Iyfu5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AV1WgbYSt6yLt7ByKLDqiIehgc98b9tXe/gcTErrlkY1qfnzGcWmX0ZVbtDqmReLL8UR348NFB5WL3rsjqbZg==" saltValue="SPKxcwx4UwKZ9Sd+1n6/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k6/W9d+vudZJ+9Fmud/PyVXGhmTsuOjxL0w2Ng9/jlFrIImBm9VjVUYPxtXhfOpe2vCtJaeNbPn9K7tnAJFfQ==" saltValue="Q5pPePcHWJzLtSbXmSlB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57WKGha+cZ/r1fZgLrcDWhW90k8YdV332+J23YdsrqPdU4HkrCJgLd7WhT3MrBPYUBlares7TyU3lmki6W19g==" saltValue="Sd9OZV7LHeSTGaMoPHXt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cs9UhuWSnane4VA4Tu/IpXLiUetJHVsGw0mKJJLkoCckKUSCtJxsU+gc3NFdYy9toYU+V7dW0fdPgF+C1yVHg==" saltValue="8Iy5gsYRJxNojDVm8iar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TSnhxbXMfTGd4/UcFW/iOI50M6kqX/615kvWFD5hFqkcZD1bp6GP0pu1rMibGev8Lz0rnSFnwEGgo3xaoIj4Q==" saltValue="S/BT+R9jsQNav4VcRb8tN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