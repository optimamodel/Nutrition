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78EE977-3FA8-49DF-BE60-0EAD96CF596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7" i="2"/>
  <c r="A23" i="2"/>
  <c r="A2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6" i="2" l="1"/>
  <c r="A28" i="2"/>
  <c r="A15" i="2"/>
  <c r="I3" i="2"/>
  <c r="I7" i="2"/>
  <c r="A19" i="2"/>
  <c r="A34" i="2"/>
  <c r="I40" i="2"/>
  <c r="A39" i="2"/>
  <c r="A29" i="2"/>
  <c r="A3" i="2"/>
  <c r="A18" i="2"/>
  <c r="A31" i="2"/>
  <c r="A20" i="2"/>
  <c r="A36" i="2"/>
  <c r="A16" i="2"/>
  <c r="A32" i="2"/>
  <c r="A24" i="2"/>
  <c r="A17" i="2"/>
  <c r="A25" i="2"/>
  <c r="A33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<sst xmlns="http://schemas.openxmlformats.org/spreadsheetml/2006/main" count="2101" uniqueCount="341">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</sst>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158807.1201171875</v>
      </c>
    </row>
    <row r="8" spans="1:3" ht="15" customHeight="1" x14ac:dyDescent="0.25">
      <c r="B8" s="5" t="s">
        <v>44</v>
      </c>
      <c r="C8" s="44">
        <v>0.307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0.63727569580078092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0.05</v>
      </c>
    </row>
    <row r="24" spans="1:3" ht="15" customHeight="1" x14ac:dyDescent="0.25">
      <c r="B24" s="15" t="s">
        <v>46</v>
      </c>
      <c r="C24" s="45">
        <v>0.46779999999999999</v>
      </c>
    </row>
    <row r="25" spans="1:3" ht="15" customHeight="1" x14ac:dyDescent="0.25">
      <c r="B25" s="15" t="s">
        <v>47</v>
      </c>
      <c r="C25" s="45">
        <v>0.38690000000000002</v>
      </c>
    </row>
    <row r="26" spans="1:3" ht="15" customHeight="1" x14ac:dyDescent="0.25">
      <c r="B26" s="15" t="s">
        <v>48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0.245821801532287</v>
      </c>
    </row>
    <row r="30" spans="1:3" ht="14.25" customHeight="1" x14ac:dyDescent="0.25">
      <c r="B30" s="25" t="s">
        <v>63</v>
      </c>
      <c r="C30" s="99">
        <v>9.0628283207226698E-2</v>
      </c>
    </row>
    <row r="31" spans="1:3" ht="14.25" customHeight="1" x14ac:dyDescent="0.25">
      <c r="B31" s="25" t="s">
        <v>10</v>
      </c>
      <c r="C31" s="99">
        <v>0.12440493600631899</v>
      </c>
    </row>
    <row r="32" spans="1:3" ht="14.25" customHeight="1" x14ac:dyDescent="0.25">
      <c r="B32" s="25" t="s">
        <v>11</v>
      </c>
      <c r="C32" s="99">
        <v>0.53914497925416693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22.225660000000001</v>
      </c>
    </row>
    <row r="38" spans="1:5" ht="15" customHeight="1" x14ac:dyDescent="0.25">
      <c r="B38" s="11" t="s">
        <v>35</v>
      </c>
      <c r="C38" s="43">
        <v>43.078240000000001</v>
      </c>
      <c r="D38" s="12"/>
      <c r="E38" s="13"/>
    </row>
    <row r="39" spans="1:5" ht="15" customHeight="1" x14ac:dyDescent="0.25">
      <c r="B39" s="11" t="s">
        <v>61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6.1151E-3</v>
      </c>
      <c r="D45" s="12"/>
    </row>
    <row r="46" spans="1:5" ht="15.75" customHeight="1" x14ac:dyDescent="0.25">
      <c r="B46" s="11" t="s">
        <v>51</v>
      </c>
      <c r="C46" s="45">
        <v>6.5706000000000001E-2</v>
      </c>
      <c r="D46" s="12"/>
    </row>
    <row r="47" spans="1:5" ht="15.75" customHeight="1" x14ac:dyDescent="0.25">
      <c r="B47" s="11" t="s">
        <v>59</v>
      </c>
      <c r="C47" s="45">
        <v>7.5186000000000003E-2</v>
      </c>
      <c r="D47" s="12"/>
      <c r="E47" s="13"/>
    </row>
    <row r="48" spans="1:5" ht="15" customHeight="1" x14ac:dyDescent="0.25">
      <c r="B48" s="11" t="s">
        <v>58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0.595418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Tbc7abuhuTAc4d12Hj/dBUaheOkHLZSY0hsnjcyQnefy9OYrXmf1xCLnpD9SA2kRAMgCs80P/L8qnJfDJIy1g==" saltValue="j5PI0q5LXcXkfB7KlckH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pPNzO14loQLvvWfwGDq83Xrk2LlKTfxXUVwduCdxyCvQNLDbK9F87l2SF24CUwnHAH0pqLlQo3UnY45ldQOhg==" saltValue="PEcCB78K9QgnlOs8Mnmp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1.211166661965745E-2</v>
      </c>
    </row>
    <row r="4" spans="1:8" ht="15.75" customHeight="1" x14ac:dyDescent="0.25">
      <c r="B4" s="19" t="s">
        <v>97</v>
      </c>
      <c r="C4" s="101">
        <v>6.0140451444212033E-2</v>
      </c>
    </row>
    <row r="5" spans="1:8" ht="15.75" customHeight="1" x14ac:dyDescent="0.25">
      <c r="B5" s="19" t="s">
        <v>95</v>
      </c>
      <c r="C5" s="101">
        <v>8.0966120780000275E-2</v>
      </c>
    </row>
    <row r="6" spans="1:8" ht="15.75" customHeight="1" x14ac:dyDescent="0.25">
      <c r="B6" s="19" t="s">
        <v>91</v>
      </c>
      <c r="C6" s="101">
        <v>0.23734577736489759</v>
      </c>
    </row>
    <row r="7" spans="1:8" ht="15.75" customHeight="1" x14ac:dyDescent="0.25">
      <c r="B7" s="19" t="s">
        <v>96</v>
      </c>
      <c r="C7" s="101">
        <v>0.39154340758184181</v>
      </c>
    </row>
    <row r="8" spans="1:8" ht="15.75" customHeight="1" x14ac:dyDescent="0.25">
      <c r="B8" s="19" t="s">
        <v>98</v>
      </c>
      <c r="C8" s="101">
        <v>2.095209403917522E-3</v>
      </c>
    </row>
    <row r="9" spans="1:8" ht="15.75" customHeight="1" x14ac:dyDescent="0.25">
      <c r="B9" s="19" t="s">
        <v>92</v>
      </c>
      <c r="C9" s="101">
        <v>9.3685606167444854E-2</v>
      </c>
    </row>
    <row r="10" spans="1:8" ht="15.75" customHeight="1" x14ac:dyDescent="0.25">
      <c r="B10" s="19" t="s">
        <v>94</v>
      </c>
      <c r="C10" s="101">
        <v>0.1221117606380285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102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2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79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99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4.8008347E-2</v>
      </c>
    </row>
    <row r="27" spans="1:8" ht="15.75" customHeight="1" x14ac:dyDescent="0.25">
      <c r="B27" s="19" t="s">
        <v>89</v>
      </c>
      <c r="C27" s="101">
        <v>1.9052040999999999E-2</v>
      </c>
    </row>
    <row r="28" spans="1:8" ht="15.75" customHeight="1" x14ac:dyDescent="0.25">
      <c r="B28" s="19" t="s">
        <v>103</v>
      </c>
      <c r="C28" s="101">
        <v>0.22942046699999999</v>
      </c>
    </row>
    <row r="29" spans="1:8" ht="15.75" customHeight="1" x14ac:dyDescent="0.25">
      <c r="B29" s="19" t="s">
        <v>86</v>
      </c>
      <c r="C29" s="101">
        <v>0.138432112</v>
      </c>
    </row>
    <row r="30" spans="1:8" ht="15.75" customHeight="1" x14ac:dyDescent="0.25">
      <c r="B30" s="19" t="s">
        <v>4</v>
      </c>
      <c r="C30" s="101">
        <v>5.0081873999999998E-2</v>
      </c>
    </row>
    <row r="31" spans="1:8" ht="15.75" customHeight="1" x14ac:dyDescent="0.25">
      <c r="B31" s="19" t="s">
        <v>80</v>
      </c>
      <c r="C31" s="101">
        <v>7.0297943000000002E-2</v>
      </c>
    </row>
    <row r="32" spans="1:8" ht="15.75" customHeight="1" x14ac:dyDescent="0.25">
      <c r="B32" s="19" t="s">
        <v>85</v>
      </c>
      <c r="C32" s="101">
        <v>0.149011013</v>
      </c>
    </row>
    <row r="33" spans="2:3" ht="15.75" customHeight="1" x14ac:dyDescent="0.25">
      <c r="B33" s="19" t="s">
        <v>100</v>
      </c>
      <c r="C33" s="101">
        <v>0.122429312</v>
      </c>
    </row>
    <row r="34" spans="2:3" ht="15.75" customHeight="1" x14ac:dyDescent="0.25">
      <c r="B34" s="19" t="s">
        <v>87</v>
      </c>
      <c r="C34" s="101">
        <v>0.17326689100000001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jmT7QRX+cTQgW35GqaTztwJCfT4tf5LM9wIfJv9buNr6esmPFCFR0KBtmevvzSH290feGabzE0z84L4RkoDzkw==" saltValue="wDTaXV+OGqpM6tpcVJyP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110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106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107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119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6qYohJqHEEUTYgs9Iu3QdBKgvxDqm5Sj9+J/7tzIILcSlSRhdu3dIb8BeUSZUCIvPjXehWR+QBeSxiqmtOKOA==" saltValue="t2hWhR5vJAAG+CaD9baR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125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/95TMcbLIDSHIZT2VhNtuXOaigPLzFfYzE4IZEDU1M+RAHitMYcoJp/0wxL7ZT3bu/MocAbxY+/dulWR5bdh1w==" saltValue="wsKAesS5TYOWSVGxVXxb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IUvSPQS+MyXXhb21AWTm048FFb1n4LVS/59O+qoHKCuNjw3TZU0qh4GWS4GSAdNkV5ROaWouo4gxcI8WC7ZVQ==" saltValue="cUGZYVUFr4eo/pCwrq8F2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USqOf4RlrtqaJTV6o8dUlrPpFqIx4hU8GdjJizzgubIjiou490WEFq6LjMc3A9f28Etrk+4654AH8UDthKlquA==" saltValue="D+nBOpToCYWyX67vJ7eP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FLEJXcKZ9elIKgGGonZRgEjwo8UP2fjqM0uHi44UYfd69SP8ue5qPMylNanogPSPrQr8NjNPduXmPsmG2JerhA==" saltValue="vSAc6dcG9jurzxQhlK+C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0BG3gIaG5vHGYbcDW2jWrmtc4vPOYa1L2S6ucNVE8NsKDLsLl9I8Z5Du793pBAhGJLNMFJ18u+PtVbFRRhkwxw==" saltValue="bo85DG0xegoS+oy8WPV80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0.58266586520635255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0.1285596</v>
      </c>
      <c r="C10" s="98">
        <v>0.95</v>
      </c>
      <c r="D10" s="56">
        <v>13.598395744825829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13.598395744825829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13.598395744825829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13.598395744825829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0.1285596</v>
      </c>
      <c r="C14" s="98">
        <v>0.95</v>
      </c>
      <c r="D14" s="56">
        <v>13.598395744825829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13.598395744825829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0.60126389999999996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0.45200000000000001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0.48992069999999999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0.6364107</v>
      </c>
      <c r="C23" s="98">
        <v>0.95</v>
      </c>
      <c r="D23" s="56">
        <v>4.4977193243106921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0.34695807796153999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7.2999999999999995E-2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0.69885220000000003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0.2760224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5.5599999999999997E-2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0.65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0.28407529999999998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0.25466349999999999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6.3324999999999996E-3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0.71562439999999994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0.40300000000000002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DF4DQdSMc/mt6Hc1xsat5o3e6/Wf0vAQV/uztGTPoSxJUt7uCUwbzKJOAAQQB7rlXow/wbG17ae8tguxJYD9+A==" saltValue="zDYcFGIXGCRrXd+e8Q5l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bf29wWOMu1ceXaPrhCPimH+SQeYHW2n9kivGD2Nv6C2u/htBNZyfTu+TRHhK15gGe1lCjC3xCbogwxFGltNLg==" saltValue="meTLVtrmkXzXdZctV2UD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5IIiECycp8jlW1ImoxdCx2rF+Ydx2oCHqYK1wxaNUom+118GTBet9gSbTjAlrCRtziwThcczU53C3f+fFw6Dgg==" saltValue="4iCfl+tysiVUIa0YpsxB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207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sxmGw+GtcYJYDxVx0JPW94ob8Wdi4/JJTdVvYFhcIumzH2MbzOlf+DHKO6y9KveExA4uwulE3Yeb79hV2n0mNw==" saltValue="SjEJsaaZa1Z5ZAtrHJVk2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W7iZ86yV1wlfncwUo6ku5Y/dXxXc03MMhsXTPH5OR2isLztpoCZd7ZtAMlSrmZeosADDtsciOSB8SXpJq3G/w==" saltValue="ndZB4HH7E62wTHj2Ge0v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6knUIzxgHSMgRwX8vssTP6xlNJBxXs/AW8ZD+aBcwOuvO9rK8jkU5dxcWsPZRBfPB/0UGEbdbvNptfxwcL+2A==" saltValue="5Ginst965zQKS9tduJRa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amo1/kN6FunTM0BNB1D4KpNtq8lM/Uh+DpsmPjGUZoBpCYntBKkvn5pttpuR3ZYBFUK/cnmBP19kE7HcJuHgg==" saltValue="ubKslPi+y6Vv9kbqBaBo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mWpIfCP6Ob5elwgA2XIzM4na9OQQ/U2pHng8M2aA0gS0abrnJQpLpa6bJrXyOMb9uI23NkJNFf+03VP28GyBQ==" saltValue="PEJpy46Hzc/NFLqqUkKS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4iktZR0S2M1/58hIkzGu9oEIz2gTbw/9FcH8PZboSFv4hIxWoRIFYDLAbPTIBxh0x9qa3BELdMMGysRQluZaA==" saltValue="FqCN34AXFQYs5aZm4vKH2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vBEcwuw9RA7MQBzHcM8PyXB776hYhWzwlbVizBx9J6vyRm1AjyiF2ttvm7SEzscU/sprbcjbXOzD3qXwySdMw==" saltValue="T4kAqEuupPxlpesqvjF4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HmAIwsRDZRLJfytB6n5wtUnEZiSrF/jp6YMuc3WUUC846GiBn6suE76r8cEnMGfZoDa5DmKY5Vr24LI2hrusw==" saltValue="V01uioSz9Dtsa+0EQdYvY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lUzPi6HfUGUWXzV1X5ZlXymH1ZOYMXjqz7o4MEc+SZ6MThundHFZYVPqumAcfJ1i/9CCVQHo3xPHDRgPo5x0Q==" saltValue="BaxMR2ijfu6uWA8n6qcJ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xgwayt4/FEpS/3UxaXxQ6Qas7Td5lMhjzFVdHVKFvgAPDq9moH+UqG/Tacr6B8/v6+3VDN0jV4u2O/K2rjXyg==" saltValue="hZKfAtvUPvYq4ya5yqC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2Agmal02J1hcMfDJE6KbkCbl8ZfyM/mKwAcElwSsE8K0VLeweur6IYLOBNkwW2hu+9WFif5p/idGMp4RKZ7Zw==" saltValue="CSVo286R7by8Fmhx1MNU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9xAx4SIAEwN/ZmxnJBvC2SFI48w6lkzbVduXbrvu4r2Wf/1KktT3Lmw7MNKShoc69p3kWvXDwkKJm7+VF/K8A==" saltValue="OVQruk+Tbdha/U892yua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7B6CR2Jm3kfKEhG6qUuWNjOaZfLNSB45CTAj/xOKa+afpleQSAAxrEwSNwuCwtVIFmfiT1McOB+ggNy/1iMNw==" saltValue="4sr6NOKIhiC/XYngxdHw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meHaXc5yQqgpEvUfEN8PHYJ9fiJJ8VuMRGQ+h0/dxWrUpYQcNogaRxnoHpnYE/UvoqPy4L8eBmo+iEHTZH74Q==" saltValue="DEs1CjGEW4YMf7JpvYwz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9.75713657066275E-2</v>
      </c>
      <c r="G18" s="90">
        <f>MIN(MAX(1-0.89/(1-frac_sam_12_23months+(frac_sam_12_23months*0.89)),0),1)</f>
        <v>9.8828082523018002E-2</v>
      </c>
      <c r="H18" s="90">
        <f>MIN(MAX(1-0.89/(1-frac_sam_24_59months+(frac_sam_24_59months*0.89)),0),1)</f>
        <v>0.10150149891608617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9.5370974448354628E-2</v>
      </c>
      <c r="G20" s="90">
        <f>MIN(MAX(1-0.89/(1-frac_mam_12_23months+(frac_mam_12_23months*0.89)),0),1)</f>
        <v>9.5504910836164747E-2</v>
      </c>
      <c r="H20" s="90">
        <f>MIN(MAX(1-0.89/(1-frac_mam_24_59months+(frac_mam_24_59months*0.89)),0),1)</f>
        <v>9.5681281471891699E-2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8.7589275188517668E-3</v>
      </c>
      <c r="G73" s="90">
        <f>MIN(MAX(1-0.99/(1-frac_sam_12_23months+(frac_sam_12_23months*0.99)),0),1)</f>
        <v>8.8830022234529515E-3</v>
      </c>
      <c r="H73" s="90">
        <f>MIN(MAX(1-0.99/(1-frac_sam_24_59months+(frac_sam_24_59months*0.99)),0),1)</f>
        <v>9.1479970791004117E-3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8.5424403953890948E-3</v>
      </c>
      <c r="G75" s="90">
        <f>MIN(MAX(1-0.99/(1-frac_mam_12_23months+(frac_mam_12_23months*0.99)),0),1)</f>
        <v>8.5555904172335273E-3</v>
      </c>
      <c r="H75" s="90">
        <f>MIN(MAX(1-0.99/(1-frac_mam_24_59months+(frac_mam_24_59months*0.99)),0),1)</f>
        <v>8.572912089703344E-3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0.17945285957703949</v>
      </c>
      <c r="G128" s="90">
        <f>MIN(MAX(1-0.8/(1-frac_sam_12_23months+(frac_sam_12_23months*0.8)),0),1)</f>
        <v>0.18155203556090926</v>
      </c>
      <c r="H128" s="90">
        <f>MIN(MAX(1-0.8/(1-frac_sam_24_59months+(frac_sam_24_59months*0.8)),0),1)</f>
        <v>0.18600135599964107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0.17576556233950869</v>
      </c>
      <c r="G130" s="90">
        <f>MIN(MAX(1-0.8/(1-frac_mam_12_23months+(frac_mam_12_23months*0.8)),0),1)</f>
        <v>0.17599043786343704</v>
      </c>
      <c r="H130" s="90">
        <f>MIN(MAX(1-0.8/(1-frac_mam_24_59months+(frac_mam_24_59months*0.8)),0),1)</f>
        <v>0.17628647372605077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v2ms7/dawUQTxNZKy1NojAfY5MocuPkbXDfhZgvJEG6KpZh0r3ic/VVffUHyCffElwx3pKdId5VhlQK2GdEZw==" saltValue="CwNzwql5BQdeEgeQoln4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LmVOOrne1j150r5PnFwqcZjeW8hQRwLPt5NifiTfRqzMOJIzlAxzPJ/FRnMq3ptwsF7JqZIQ1St/aFdnz3pqQ==" saltValue="Y272KZbYu2BsHSoM9Crjh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2024-08-06T08:26:09Z</dcterms:modified>
</cp:coreProperties>
</file>