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EF64D8FB-54E2-46B2-957D-B7FF544D0BFE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<sst xmlns="http://schemas.openxmlformats.org/spreadsheetml/2006/main" count="2102" uniqueCount="341">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</sst>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158807.1201171875</v>
      </c>
    </row>
    <row r="8" spans="1:3" ht="15" customHeight="1" x14ac:dyDescent="0.25">
      <c r="B8" s="5" t="s">
        <v>44</v>
      </c>
      <c r="C8" s="44">
        <v>0.307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0.63727569580078092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0.53900000000000003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0.05</v>
      </c>
    </row>
    <row r="24" spans="1:3" ht="15" customHeight="1" x14ac:dyDescent="0.25">
      <c r="B24" s="15" t="s">
        <v>46</v>
      </c>
      <c r="C24" s="45">
        <v>0.46779999999999999</v>
      </c>
    </row>
    <row r="25" spans="1:3" ht="15" customHeight="1" x14ac:dyDescent="0.25">
      <c r="B25" s="15" t="s">
        <v>47</v>
      </c>
      <c r="C25" s="45">
        <v>0.38690000000000002</v>
      </c>
    </row>
    <row r="26" spans="1:3" ht="15" customHeight="1" x14ac:dyDescent="0.25">
      <c r="B26" s="15" t="s">
        <v>48</v>
      </c>
      <c r="C26" s="45">
        <v>9.530000000000001E-2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0.245821801532287</v>
      </c>
    </row>
    <row r="30" spans="1:3" ht="14.25" customHeight="1" x14ac:dyDescent="0.25">
      <c r="B30" s="25" t="s">
        <v>63</v>
      </c>
      <c r="C30" s="99">
        <v>9.0628283207226698E-2</v>
      </c>
    </row>
    <row r="31" spans="1:3" ht="14.25" customHeight="1" x14ac:dyDescent="0.25">
      <c r="B31" s="25" t="s">
        <v>10</v>
      </c>
      <c r="C31" s="99">
        <v>0.12440493600631899</v>
      </c>
    </row>
    <row r="32" spans="1:3" ht="14.25" customHeight="1" x14ac:dyDescent="0.25">
      <c r="B32" s="25" t="s">
        <v>11</v>
      </c>
      <c r="C32" s="99">
        <v>0.53914497925416693</v>
      </c>
    </row>
    <row r="33" spans="1:5" ht="13" customHeight="1" x14ac:dyDescent="0.25">
      <c r="B33" s="27" t="s">
        <v>60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22.225660000000001</v>
      </c>
    </row>
    <row r="38" spans="1:5" ht="15" customHeight="1" x14ac:dyDescent="0.25">
      <c r="B38" s="11" t="s">
        <v>35</v>
      </c>
      <c r="C38" s="43">
        <v>43.078240000000001</v>
      </c>
      <c r="D38" s="12"/>
      <c r="E38" s="13"/>
    </row>
    <row r="39" spans="1:5" ht="15" customHeight="1" x14ac:dyDescent="0.25">
      <c r="B39" s="11" t="s">
        <v>61</v>
      </c>
      <c r="C39" s="43">
        <v>50.548969999999997</v>
      </c>
      <c r="D39" s="12"/>
      <c r="E39" s="12"/>
    </row>
    <row r="40" spans="1:5" ht="15" customHeight="1" x14ac:dyDescent="0.25">
      <c r="B40" s="11" t="s">
        <v>36</v>
      </c>
      <c r="C40" s="100">
        <v>2.04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14.37551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6.1151E-3</v>
      </c>
      <c r="D45" s="12"/>
    </row>
    <row r="46" spans="1:5" ht="15.75" customHeight="1" x14ac:dyDescent="0.25">
      <c r="B46" s="11" t="s">
        <v>51</v>
      </c>
      <c r="C46" s="45">
        <v>6.5706000000000001E-2</v>
      </c>
      <c r="D46" s="12"/>
    </row>
    <row r="47" spans="1:5" ht="15.75" customHeight="1" x14ac:dyDescent="0.25">
      <c r="B47" s="11" t="s">
        <v>59</v>
      </c>
      <c r="C47" s="45">
        <v>7.5186000000000003E-2</v>
      </c>
      <c r="D47" s="12"/>
      <c r="E47" s="13"/>
    </row>
    <row r="48" spans="1:5" ht="15" customHeight="1" x14ac:dyDescent="0.25">
      <c r="B48" s="11" t="s">
        <v>58</v>
      </c>
      <c r="C48" s="46">
        <v>0.85299289999999994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2.4</v>
      </c>
      <c r="D51" s="12"/>
    </row>
    <row r="52" spans="1:4" ht="15" customHeight="1" x14ac:dyDescent="0.25">
      <c r="B52" s="11" t="s">
        <v>13</v>
      </c>
      <c r="C52" s="100">
        <v>2.4</v>
      </c>
    </row>
    <row r="53" spans="1:4" ht="15.75" customHeight="1" x14ac:dyDescent="0.25">
      <c r="B53" s="11" t="s">
        <v>16</v>
      </c>
      <c r="C53" s="100">
        <v>2.4</v>
      </c>
    </row>
    <row r="54" spans="1:4" ht="15.75" customHeight="1" x14ac:dyDescent="0.25">
      <c r="B54" s="11" t="s">
        <v>14</v>
      </c>
      <c r="C54" s="100">
        <v>2.4</v>
      </c>
    </row>
    <row r="55" spans="1:4" ht="15.75" customHeight="1" x14ac:dyDescent="0.25">
      <c r="B55" s="11" t="s">
        <v>15</v>
      </c>
      <c r="C55" s="100">
        <v>2.4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2.1666666666666671E-2</v>
      </c>
    </row>
    <row r="59" spans="1:4" ht="15.75" customHeight="1" x14ac:dyDescent="0.25">
      <c r="B59" s="11" t="s">
        <v>40</v>
      </c>
      <c r="C59" s="45">
        <v>0.595418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EwiPHcguPo63kGAxuoQh5bv4gtafmlO1DXM+2tso0yivUr7wfTA50DBtGL99fltclKq2h6Es/JSG+DxdLYqhyg==" saltValue="ybfmrgnRUyJub7Sp7SqP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33096</v>
      </c>
      <c r="C2" s="49">
        <v>90119.000000000015</v>
      </c>
      <c r="D2" s="49">
        <v>132267</v>
      </c>
      <c r="E2" s="49">
        <v>91920</v>
      </c>
      <c r="F2" s="49">
        <v>49555.5</v>
      </c>
      <c r="G2" s="17">
        <f t="shared" ref="G2:G13" si="0">C2+D2+E2+F2</f>
        <v>363861.5</v>
      </c>
      <c r="H2" s="17">
        <f t="shared" ref="H2:H13" si="1">(B2 + stillbirth*B2/(1000-stillbirth))/(1-abortion)</f>
        <v>38157.626246777727</v>
      </c>
      <c r="I2" s="17">
        <f t="shared" ref="I2:I13" si="2">G2-H2</f>
        <v>325703.87375322229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33182</v>
      </c>
      <c r="C3" s="50">
        <v>89308.500000000015</v>
      </c>
      <c r="D3" s="50">
        <v>135170</v>
      </c>
      <c r="E3" s="50">
        <v>94773.5</v>
      </c>
      <c r="F3" s="50">
        <v>51522.5</v>
      </c>
      <c r="G3" s="17">
        <f t="shared" si="0"/>
        <v>370774.5</v>
      </c>
      <c r="H3" s="17">
        <f t="shared" si="1"/>
        <v>38256.778889309237</v>
      </c>
      <c r="I3" s="17">
        <f t="shared" si="2"/>
        <v>332517.72111069073</v>
      </c>
    </row>
    <row r="4" spans="1:9" ht="15.75" customHeight="1" x14ac:dyDescent="0.25">
      <c r="A4" s="5">
        <f t="shared" si="3"/>
        <v>2026</v>
      </c>
      <c r="B4" s="49">
        <v>33254</v>
      </c>
      <c r="C4" s="50">
        <v>88446.500000000015</v>
      </c>
      <c r="D4" s="50">
        <v>137718</v>
      </c>
      <c r="E4" s="50">
        <v>97580.5</v>
      </c>
      <c r="F4" s="50">
        <v>53845</v>
      </c>
      <c r="G4" s="17">
        <f t="shared" si="0"/>
        <v>377590</v>
      </c>
      <c r="H4" s="17">
        <f t="shared" si="1"/>
        <v>38339.790403986786</v>
      </c>
      <c r="I4" s="17">
        <f t="shared" si="2"/>
        <v>339250.20959601318</v>
      </c>
    </row>
    <row r="5" spans="1:9" ht="15.75" customHeight="1" x14ac:dyDescent="0.25">
      <c r="A5" s="5">
        <f t="shared" si="3"/>
        <v>2027</v>
      </c>
      <c r="B5" s="49">
        <v>33206</v>
      </c>
      <c r="C5" s="50">
        <v>87567.5</v>
      </c>
      <c r="D5" s="50">
        <v>139750</v>
      </c>
      <c r="E5" s="50">
        <v>100414.5</v>
      </c>
      <c r="F5" s="50">
        <v>56450</v>
      </c>
      <c r="G5" s="17">
        <f t="shared" si="0"/>
        <v>384182</v>
      </c>
      <c r="H5" s="17">
        <f t="shared" si="1"/>
        <v>38284.449394201751</v>
      </c>
      <c r="I5" s="17">
        <f t="shared" si="2"/>
        <v>345897.55060579826</v>
      </c>
    </row>
    <row r="6" spans="1:9" ht="15.75" customHeight="1" x14ac:dyDescent="0.25">
      <c r="A6" s="5">
        <f t="shared" si="3"/>
        <v>2028</v>
      </c>
      <c r="B6" s="49">
        <v>33091</v>
      </c>
      <c r="C6" s="50">
        <v>87060</v>
      </c>
      <c r="D6" s="50">
        <v>141092.5</v>
      </c>
      <c r="E6" s="50">
        <v>103393.5</v>
      </c>
      <c r="F6" s="50">
        <v>59260</v>
      </c>
      <c r="G6" s="17">
        <f t="shared" si="0"/>
        <v>390806</v>
      </c>
      <c r="H6" s="17">
        <f t="shared" si="1"/>
        <v>38151.861558258446</v>
      </c>
      <c r="I6" s="17">
        <f t="shared" si="2"/>
        <v>352654.13844174158</v>
      </c>
    </row>
    <row r="7" spans="1:9" ht="15.75" customHeight="1" x14ac:dyDescent="0.25">
      <c r="A7" s="5">
        <f t="shared" si="3"/>
        <v>2029</v>
      </c>
      <c r="B7" s="49">
        <v>33035</v>
      </c>
      <c r="C7" s="50">
        <v>87183.5</v>
      </c>
      <c r="D7" s="50">
        <v>141741</v>
      </c>
      <c r="E7" s="50">
        <v>106574</v>
      </c>
      <c r="F7" s="50">
        <v>62184.5</v>
      </c>
      <c r="G7" s="17">
        <f t="shared" si="0"/>
        <v>397683</v>
      </c>
      <c r="H7" s="17">
        <f t="shared" si="1"/>
        <v>38087.297046842585</v>
      </c>
      <c r="I7" s="17">
        <f t="shared" si="2"/>
        <v>359595.70295315742</v>
      </c>
    </row>
    <row r="8" spans="1:9" ht="15.75" customHeight="1" x14ac:dyDescent="0.25">
      <c r="A8" s="5">
        <f t="shared" si="3"/>
        <v>2030</v>
      </c>
      <c r="B8" s="49">
        <v>32768</v>
      </c>
      <c r="C8" s="50">
        <v>87509.5</v>
      </c>
      <c r="D8" s="50">
        <v>141945.5</v>
      </c>
      <c r="E8" s="50">
        <v>109889</v>
      </c>
      <c r="F8" s="50">
        <v>65142</v>
      </c>
      <c r="G8" s="17">
        <f t="shared" si="0"/>
        <v>404486</v>
      </c>
      <c r="H8" s="17">
        <f t="shared" si="1"/>
        <v>37779.462679913362</v>
      </c>
      <c r="I8" s="17">
        <f t="shared" si="2"/>
        <v>366706.53732008662</v>
      </c>
    </row>
    <row r="9" spans="1:9" ht="15.75" customHeight="1" x14ac:dyDescent="0.25">
      <c r="A9" s="5">
        <f t="shared" si="3"/>
        <v>2031</v>
      </c>
      <c r="B9" s="49">
        <v>32738</v>
      </c>
      <c r="C9" s="50">
        <v>87750</v>
      </c>
      <c r="D9" s="50">
        <v>141863</v>
      </c>
      <c r="E9" s="50">
        <v>113270</v>
      </c>
      <c r="F9" s="50">
        <v>68068</v>
      </c>
      <c r="G9" s="17">
        <f t="shared" si="0"/>
        <v>410951</v>
      </c>
      <c r="H9" s="17">
        <f t="shared" si="1"/>
        <v>37744.874548797714</v>
      </c>
      <c r="I9" s="17">
        <f t="shared" si="2"/>
        <v>373206.12545120227</v>
      </c>
    </row>
    <row r="10" spans="1:9" ht="15.75" customHeight="1" x14ac:dyDescent="0.25">
      <c r="A10" s="5">
        <f t="shared" si="3"/>
        <v>2032</v>
      </c>
      <c r="B10" s="49">
        <v>32378</v>
      </c>
      <c r="C10" s="50">
        <v>88025</v>
      </c>
      <c r="D10" s="50">
        <v>141488.5</v>
      </c>
      <c r="E10" s="50">
        <v>116601</v>
      </c>
      <c r="F10" s="50">
        <v>70900</v>
      </c>
      <c r="G10" s="17">
        <f t="shared" si="0"/>
        <v>417014.5</v>
      </c>
      <c r="H10" s="17">
        <f t="shared" si="1"/>
        <v>37329.816975409994</v>
      </c>
      <c r="I10" s="17">
        <f t="shared" si="2"/>
        <v>379684.68302459002</v>
      </c>
    </row>
    <row r="11" spans="1:9" ht="15.75" customHeight="1" x14ac:dyDescent="0.25">
      <c r="A11" s="5">
        <f t="shared" si="3"/>
        <v>2033</v>
      </c>
      <c r="B11" s="49">
        <v>32166</v>
      </c>
      <c r="C11" s="50">
        <v>88443.499999999985</v>
      </c>
      <c r="D11" s="50">
        <v>140770</v>
      </c>
      <c r="E11" s="50">
        <v>119803</v>
      </c>
      <c r="F11" s="50">
        <v>73601.999999999985</v>
      </c>
      <c r="G11" s="17">
        <f t="shared" si="0"/>
        <v>422618.5</v>
      </c>
      <c r="H11" s="17">
        <f t="shared" si="1"/>
        <v>37085.39418219278</v>
      </c>
      <c r="I11" s="17">
        <f t="shared" si="2"/>
        <v>385533.1058178072</v>
      </c>
    </row>
    <row r="12" spans="1:9" ht="15.75" customHeight="1" x14ac:dyDescent="0.25">
      <c r="A12" s="5">
        <f t="shared" si="3"/>
        <v>2034</v>
      </c>
      <c r="B12" s="49">
        <v>31884</v>
      </c>
      <c r="C12" s="50">
        <v>88813.5</v>
      </c>
      <c r="D12" s="50">
        <v>139942.5</v>
      </c>
      <c r="E12" s="50">
        <v>122902.5</v>
      </c>
      <c r="F12" s="50">
        <v>76199</v>
      </c>
      <c r="G12" s="17">
        <f t="shared" si="0"/>
        <v>427857.5</v>
      </c>
      <c r="H12" s="17">
        <f t="shared" si="1"/>
        <v>36760.26574970573</v>
      </c>
      <c r="I12" s="17">
        <f t="shared" si="2"/>
        <v>391097.23425029428</v>
      </c>
    </row>
    <row r="13" spans="1:9" ht="15.75" customHeight="1" x14ac:dyDescent="0.25">
      <c r="A13" s="5">
        <f t="shared" si="3"/>
        <v>2035</v>
      </c>
      <c r="B13" s="49">
        <v>31671</v>
      </c>
      <c r="C13" s="50">
        <v>88895.5</v>
      </c>
      <c r="D13" s="50">
        <v>139372.5</v>
      </c>
      <c r="E13" s="50">
        <v>125814</v>
      </c>
      <c r="F13" s="50">
        <v>78725.5</v>
      </c>
      <c r="G13" s="17">
        <f t="shared" si="0"/>
        <v>432807.5</v>
      </c>
      <c r="H13" s="17">
        <f t="shared" si="1"/>
        <v>36514.69001878467</v>
      </c>
      <c r="I13" s="17">
        <f t="shared" si="2"/>
        <v>396292.80998121534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yQ9sWR2ZuMK168fcjPT8FRVnLtU89NfCKNM6/av/ZltKGpDlNX1uZpyuUtP3BdV60gNXFs3ZspIFzKtoPaBsg==" saltValue="qaFeDgAU+MrrcQoiTEcu2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1.211166661965745E-2</v>
      </c>
    </row>
    <row r="4" spans="1:8" ht="15.75" customHeight="1" x14ac:dyDescent="0.25">
      <c r="B4" s="19" t="s">
        <v>97</v>
      </c>
      <c r="C4" s="101">
        <v>6.0140451444212033E-2</v>
      </c>
    </row>
    <row r="5" spans="1:8" ht="15.75" customHeight="1" x14ac:dyDescent="0.25">
      <c r="B5" s="19" t="s">
        <v>95</v>
      </c>
      <c r="C5" s="101">
        <v>8.0966120780000275E-2</v>
      </c>
    </row>
    <row r="6" spans="1:8" ht="15.75" customHeight="1" x14ac:dyDescent="0.25">
      <c r="B6" s="19" t="s">
        <v>91</v>
      </c>
      <c r="C6" s="101">
        <v>0.23734577736489759</v>
      </c>
    </row>
    <row r="7" spans="1:8" ht="15.75" customHeight="1" x14ac:dyDescent="0.25">
      <c r="B7" s="19" t="s">
        <v>96</v>
      </c>
      <c r="C7" s="101">
        <v>0.39154340758184181</v>
      </c>
    </row>
    <row r="8" spans="1:8" ht="15.75" customHeight="1" x14ac:dyDescent="0.25">
      <c r="B8" s="19" t="s">
        <v>98</v>
      </c>
      <c r="C8" s="101">
        <v>2.095209403917522E-3</v>
      </c>
    </row>
    <row r="9" spans="1:8" ht="15.75" customHeight="1" x14ac:dyDescent="0.25">
      <c r="B9" s="19" t="s">
        <v>92</v>
      </c>
      <c r="C9" s="101">
        <v>9.3685606167444854E-2</v>
      </c>
    </row>
    <row r="10" spans="1:8" ht="15.75" customHeight="1" x14ac:dyDescent="0.25">
      <c r="B10" s="19" t="s">
        <v>94</v>
      </c>
      <c r="C10" s="101">
        <v>0.1221117606380285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0.20604272069205309</v>
      </c>
      <c r="D14" s="55">
        <v>0.20604272069205309</v>
      </c>
      <c r="E14" s="55">
        <v>0.20604272069205309</v>
      </c>
      <c r="F14" s="55">
        <v>0.20604272069205309</v>
      </c>
    </row>
    <row r="15" spans="1:8" ht="15.75" customHeight="1" x14ac:dyDescent="0.25">
      <c r="B15" s="19" t="s">
        <v>102</v>
      </c>
      <c r="C15" s="101">
        <v>0.26263023034971061</v>
      </c>
      <c r="D15" s="101">
        <v>0.26263023034971061</v>
      </c>
      <c r="E15" s="101">
        <v>0.26263023034971061</v>
      </c>
      <c r="F15" s="101">
        <v>0.26263023034971061</v>
      </c>
    </row>
    <row r="16" spans="1:8" ht="15.75" customHeight="1" x14ac:dyDescent="0.25">
      <c r="B16" s="19" t="s">
        <v>2</v>
      </c>
      <c r="C16" s="101">
        <v>3.0839661308733311E-2</v>
      </c>
      <c r="D16" s="101">
        <v>3.0839661308733311E-2</v>
      </c>
      <c r="E16" s="101">
        <v>3.0839661308733311E-2</v>
      </c>
      <c r="F16" s="101">
        <v>3.0839661308733311E-2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9.223166814531164E-2</v>
      </c>
      <c r="D19" s="101">
        <v>9.223166814531164E-2</v>
      </c>
      <c r="E19" s="101">
        <v>9.223166814531164E-2</v>
      </c>
      <c r="F19" s="101">
        <v>9.223166814531164E-2</v>
      </c>
    </row>
    <row r="20" spans="1:8" ht="15.75" customHeight="1" x14ac:dyDescent="0.25">
      <c r="B20" s="19" t="s">
        <v>79</v>
      </c>
      <c r="C20" s="101">
        <v>6.1898808544440694E-3</v>
      </c>
      <c r="D20" s="101">
        <v>6.1898808544440694E-3</v>
      </c>
      <c r="E20" s="101">
        <v>6.1898808544440694E-3</v>
      </c>
      <c r="F20" s="101">
        <v>6.1898808544440694E-3</v>
      </c>
    </row>
    <row r="21" spans="1:8" ht="15.75" customHeight="1" x14ac:dyDescent="0.25">
      <c r="B21" s="19" t="s">
        <v>88</v>
      </c>
      <c r="C21" s="101">
        <v>0.14044849122108119</v>
      </c>
      <c r="D21" s="101">
        <v>0.14044849122108119</v>
      </c>
      <c r="E21" s="101">
        <v>0.14044849122108119</v>
      </c>
      <c r="F21" s="101">
        <v>0.14044849122108119</v>
      </c>
    </row>
    <row r="22" spans="1:8" ht="15.75" customHeight="1" x14ac:dyDescent="0.25">
      <c r="B22" s="19" t="s">
        <v>99</v>
      </c>
      <c r="C22" s="101">
        <v>0.2616173474286661</v>
      </c>
      <c r="D22" s="101">
        <v>0.2616173474286661</v>
      </c>
      <c r="E22" s="101">
        <v>0.2616173474286661</v>
      </c>
      <c r="F22" s="101">
        <v>0.2616173474286661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4.8008347E-2</v>
      </c>
    </row>
    <row r="27" spans="1:8" ht="15.75" customHeight="1" x14ac:dyDescent="0.25">
      <c r="B27" s="19" t="s">
        <v>89</v>
      </c>
      <c r="C27" s="101">
        <v>1.9052040999999999E-2</v>
      </c>
    </row>
    <row r="28" spans="1:8" ht="15.75" customHeight="1" x14ac:dyDescent="0.25">
      <c r="B28" s="19" t="s">
        <v>103</v>
      </c>
      <c r="C28" s="101">
        <v>0.22942046699999999</v>
      </c>
    </row>
    <row r="29" spans="1:8" ht="15.75" customHeight="1" x14ac:dyDescent="0.25">
      <c r="B29" s="19" t="s">
        <v>86</v>
      </c>
      <c r="C29" s="101">
        <v>0.138432112</v>
      </c>
    </row>
    <row r="30" spans="1:8" ht="15.75" customHeight="1" x14ac:dyDescent="0.25">
      <c r="B30" s="19" t="s">
        <v>4</v>
      </c>
      <c r="C30" s="101">
        <v>5.0081873999999998E-2</v>
      </c>
    </row>
    <row r="31" spans="1:8" ht="15.75" customHeight="1" x14ac:dyDescent="0.25">
      <c r="B31" s="19" t="s">
        <v>80</v>
      </c>
      <c r="C31" s="101">
        <v>7.0297943000000002E-2</v>
      </c>
    </row>
    <row r="32" spans="1:8" ht="15.75" customHeight="1" x14ac:dyDescent="0.25">
      <c r="B32" s="19" t="s">
        <v>85</v>
      </c>
      <c r="C32" s="101">
        <v>0.149011013</v>
      </c>
    </row>
    <row r="33" spans="2:3" ht="15.75" customHeight="1" x14ac:dyDescent="0.25">
      <c r="B33" s="19" t="s">
        <v>100</v>
      </c>
      <c r="C33" s="101">
        <v>0.122429312</v>
      </c>
    </row>
    <row r="34" spans="2:3" ht="15.75" customHeight="1" x14ac:dyDescent="0.25">
      <c r="B34" s="19" t="s">
        <v>87</v>
      </c>
      <c r="C34" s="101">
        <v>0.17326689100000001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tSq/aX+59t64hsZXZeVkPkkuhUQDMpoDDoF/4m9oeNW8i3tV/cfOfiTNhzq/UEA5T5Zs2EjUCv6Whti5NSJvQw==" saltValue="D8hguAMRn+r67qMlaxdq0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0.33144956646310353</v>
      </c>
      <c r="D2" s="52">
        <f>IFERROR(1-_xlfn.NORM.DIST(_xlfn.NORM.INV(SUM(D4:D5), 0, 1) + 1, 0, 1, TRUE), "")</f>
        <v>0.33144956646310353</v>
      </c>
      <c r="E2" s="52">
        <f>IFERROR(1-_xlfn.NORM.DIST(_xlfn.NORM.INV(SUM(E4:E5), 0, 1) + 1, 0, 1, TRUE), "")</f>
        <v>0.32694124030008864</v>
      </c>
      <c r="F2" s="52">
        <f>IFERROR(1-_xlfn.NORM.DIST(_xlfn.NORM.INV(SUM(F4:F5), 0, 1) + 1, 0, 1, TRUE), "")</f>
        <v>0.15957138950069116</v>
      </c>
      <c r="G2" s="52">
        <f>IFERROR(1-_xlfn.NORM.DIST(_xlfn.NORM.INV(SUM(G4:G5), 0, 1) + 1, 0, 1, TRUE), "")</f>
        <v>0.16620864477705677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0.38220263353689649</v>
      </c>
      <c r="D3" s="52">
        <f>IFERROR(_xlfn.NORM.DIST(_xlfn.NORM.INV(SUM(D4:D5), 0, 1) + 1, 0, 1, TRUE) - SUM(D4:D5), "")</f>
        <v>0.38220263353689649</v>
      </c>
      <c r="E3" s="52">
        <f>IFERROR(_xlfn.NORM.DIST(_xlfn.NORM.INV(SUM(E4:E5), 0, 1) + 1, 0, 1, TRUE) - SUM(E4:E5), "")</f>
        <v>0.38245605969991137</v>
      </c>
      <c r="F3" s="52">
        <f>IFERROR(_xlfn.NORM.DIST(_xlfn.NORM.INV(SUM(F4:F5), 0, 1) + 1, 0, 1, TRUE) - SUM(F4:F5), "")</f>
        <v>0.34193621049930889</v>
      </c>
      <c r="G3" s="52">
        <f>IFERROR(_xlfn.NORM.DIST(_xlfn.NORM.INV(SUM(G4:G5), 0, 1) + 1, 0, 1, TRUE) - SUM(G4:G5), "")</f>
        <v>0.34605435522294326</v>
      </c>
    </row>
    <row r="4" spans="1:15" ht="15.75" customHeight="1" x14ac:dyDescent="0.25">
      <c r="B4" s="5" t="s">
        <v>110</v>
      </c>
      <c r="C4" s="45">
        <v>0.10382470000000001</v>
      </c>
      <c r="D4" s="53">
        <v>0.10382470000000001</v>
      </c>
      <c r="E4" s="53">
        <v>0.12192790000000001</v>
      </c>
      <c r="F4" s="53">
        <v>0.21365999999999999</v>
      </c>
      <c r="G4" s="53">
        <v>0.26103850000000001</v>
      </c>
    </row>
    <row r="5" spans="1:15" ht="15.75" customHeight="1" x14ac:dyDescent="0.25">
      <c r="B5" s="5" t="s">
        <v>106</v>
      </c>
      <c r="C5" s="45">
        <v>0.18252309999999999</v>
      </c>
      <c r="D5" s="53">
        <v>0.18252309999999999</v>
      </c>
      <c r="E5" s="53">
        <v>0.16867480000000001</v>
      </c>
      <c r="F5" s="53">
        <v>0.28483239999999999</v>
      </c>
      <c r="G5" s="53">
        <v>0.2266985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0.39008568965726698</v>
      </c>
      <c r="D8" s="52">
        <f>IFERROR(1-_xlfn.NORM.DIST(_xlfn.NORM.INV(SUM(D10:D11), 0, 1) + 1, 0, 1, TRUE), "")</f>
        <v>0.39008568965726698</v>
      </c>
      <c r="E8" s="52">
        <f>IFERROR(1-_xlfn.NORM.DIST(_xlfn.NORM.INV(SUM(E10:E11), 0, 1) + 1, 0, 1, TRUE), "")</f>
        <v>0.34683685948972165</v>
      </c>
      <c r="F8" s="52">
        <f>IFERROR(1-_xlfn.NORM.DIST(_xlfn.NORM.INV(SUM(F10:F11), 0, 1) + 1, 0, 1, TRUE), "")</f>
        <v>0.36253994311518001</v>
      </c>
      <c r="G8" s="52">
        <f>IFERROR(1-_xlfn.NORM.DIST(_xlfn.NORM.INV(SUM(G10:G11), 0, 1) + 1, 0, 1, TRUE), "")</f>
        <v>0.39707647862480222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0.37443011034273299</v>
      </c>
      <c r="D9" s="52">
        <f>IFERROR(_xlfn.NORM.DIST(_xlfn.NORM.INV(SUM(D10:D11), 0, 1) + 1, 0, 1, TRUE) - SUM(D10:D11), "")</f>
        <v>0.37443011034273299</v>
      </c>
      <c r="E9" s="52">
        <f>IFERROR(_xlfn.NORM.DIST(_xlfn.NORM.INV(SUM(E10:E11), 0, 1) + 1, 0, 1, TRUE) - SUM(E10:E11), "")</f>
        <v>0.38094744051027835</v>
      </c>
      <c r="F9" s="52">
        <f>IFERROR(_xlfn.NORM.DIST(_xlfn.NORM.INV(SUM(F10:F11), 0, 1) + 1, 0, 1, TRUE) - SUM(F10:F11), "")</f>
        <v>0.37907175688481998</v>
      </c>
      <c r="G9" s="52">
        <f>IFERROR(_xlfn.NORM.DIST(_xlfn.NORM.INV(SUM(G10:G11), 0, 1) + 1, 0, 1, TRUE) - SUM(G10:G11), "")</f>
        <v>0.37299382137519776</v>
      </c>
    </row>
    <row r="10" spans="1:15" ht="15.75" customHeight="1" x14ac:dyDescent="0.25">
      <c r="B10" s="5" t="s">
        <v>107</v>
      </c>
      <c r="C10" s="45">
        <v>0.1040865</v>
      </c>
      <c r="D10" s="53">
        <v>0.1040865</v>
      </c>
      <c r="E10" s="53">
        <v>0.1470118</v>
      </c>
      <c r="F10" s="53">
        <v>0.14568739999999999</v>
      </c>
      <c r="G10" s="53">
        <v>0.14394280000000001</v>
      </c>
    </row>
    <row r="11" spans="1:15" ht="15.75" customHeight="1" x14ac:dyDescent="0.25">
      <c r="B11" s="5" t="s">
        <v>119</v>
      </c>
      <c r="C11" s="45">
        <v>0.13139770000000001</v>
      </c>
      <c r="D11" s="53">
        <v>0.13139770000000001</v>
      </c>
      <c r="E11" s="53">
        <v>0.12520390000000001</v>
      </c>
      <c r="F11" s="53">
        <v>0.11270090000000001</v>
      </c>
      <c r="G11" s="53">
        <v>8.5986899999999991E-2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0.83210275624999996</v>
      </c>
      <c r="D14" s="54">
        <v>0.82560761370299995</v>
      </c>
      <c r="E14" s="54">
        <v>0.82560761370299995</v>
      </c>
      <c r="F14" s="54">
        <v>0.71009336219999997</v>
      </c>
      <c r="G14" s="54">
        <v>0.71009336219999997</v>
      </c>
      <c r="H14" s="45">
        <v>0.42599999999999999</v>
      </c>
      <c r="I14" s="55">
        <v>0.42599999999999999</v>
      </c>
      <c r="J14" s="55">
        <v>0.42599999999999999</v>
      </c>
      <c r="K14" s="55">
        <v>0.42599999999999999</v>
      </c>
      <c r="L14" s="45">
        <v>0.41199999999999998</v>
      </c>
      <c r="M14" s="55">
        <v>0.41199999999999998</v>
      </c>
      <c r="N14" s="55">
        <v>0.41199999999999998</v>
      </c>
      <c r="O14" s="55">
        <v>0.41199999999999998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0.49544895892086249</v>
      </c>
      <c r="D15" s="52">
        <f t="shared" si="0"/>
        <v>0.49158163413581285</v>
      </c>
      <c r="E15" s="52">
        <f t="shared" si="0"/>
        <v>0.49158163413581285</v>
      </c>
      <c r="F15" s="52">
        <f t="shared" si="0"/>
        <v>0.42280236953439959</v>
      </c>
      <c r="G15" s="52">
        <f t="shared" si="0"/>
        <v>0.42280236953439959</v>
      </c>
      <c r="H15" s="52">
        <f t="shared" si="0"/>
        <v>0.253648068</v>
      </c>
      <c r="I15" s="52">
        <f t="shared" si="0"/>
        <v>0.253648068</v>
      </c>
      <c r="J15" s="52">
        <f t="shared" si="0"/>
        <v>0.253648068</v>
      </c>
      <c r="K15" s="52">
        <f t="shared" si="0"/>
        <v>0.253648068</v>
      </c>
      <c r="L15" s="52">
        <f t="shared" si="0"/>
        <v>0.245312216</v>
      </c>
      <c r="M15" s="52">
        <f t="shared" si="0"/>
        <v>0.245312216</v>
      </c>
      <c r="N15" s="52">
        <f t="shared" si="0"/>
        <v>0.245312216</v>
      </c>
      <c r="O15" s="52">
        <f t="shared" si="0"/>
        <v>0.245312216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ZRxOGkLUqDW2Y175gtyrebYocMv6WxPG5K/UYzRT6Ik2b6GeaPS0Yo9t8HgDfaZpUZbr9uWc6dKupM5O6EKFg==" saltValue="nZJMsmaMPfBdTbEvEwTs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0.64547160000000003</v>
      </c>
      <c r="D2" s="53">
        <v>0.48992069999999999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0.1411858</v>
      </c>
      <c r="D3" s="53">
        <v>0.14179639999999999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0.16761409999999999</v>
      </c>
      <c r="D4" s="53">
        <v>0.29845919999999998</v>
      </c>
      <c r="E4" s="53">
        <v>0.86139979999999994</v>
      </c>
      <c r="F4" s="53">
        <v>0.51718980000000003</v>
      </c>
      <c r="G4" s="53">
        <v>0</v>
      </c>
    </row>
    <row r="5" spans="1:7" x14ac:dyDescent="0.25">
      <c r="B5" s="3" t="s">
        <v>125</v>
      </c>
      <c r="C5" s="52">
        <v>4.5728400000000002E-2</v>
      </c>
      <c r="D5" s="52">
        <v>6.9823800000000005E-2</v>
      </c>
      <c r="E5" s="52">
        <f>1-SUM(E2:E4)</f>
        <v>0.13860020000000006</v>
      </c>
      <c r="F5" s="52">
        <f>1-SUM(F2:F4)</f>
        <v>0.48281019999999997</v>
      </c>
      <c r="G5" s="52">
        <f>1-SUM(G2:G4)</f>
        <v>1</v>
      </c>
    </row>
  </sheetData>
  <sheetProtection algorithmName="SHA-512" hashValue="TfWoOEhNK9Y9x4ULjXUq5AbVQINHJlf5hUcDs1zHqWbdwq6eUszSmoiwUt2SogUVu3WprhXNIwiOF6uAkjKkpg==" saltValue="Q07g/JhTu7/4OFJ/RWWF4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+XaiZd+tqZpTvd7+K3zjEAERaC9XKUipuTDveCviIsxHgKAK2idqe83OlwxCGVlulALCmo4SQPKRSnkz6durDA==" saltValue="g8vE81VExLufuJGr2ls/s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yNF5QOyB9gjjAtEEBB7wiCxH80tkPtV1H0g/+6QnGLB1mkhpcq8i5sJa6h1LfiTQklSMx5RRlG34qrgfgBQtlA==" saltValue="Y2FQtAy04OyUibAEaofCc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/wUrK0mJE+EzjEpj9ILniP2s6S59W3/XrOFEmtluadn+gjfLd1pzFyEL1937Ecw90ICbCec8NQFQ4DJI4rZOeA==" saltValue="KC3F9aDuDw3qU6YI+16nP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YCfVufGVzxVMCzJSR4cjVuoNgBKIWHhh3nr8+diobA/NTvDjNZXg0wjuAuQfUUBe8DOtHvv/D3KUAjP7bI2Gtw==" saltValue="1MDgZHjBIDBxydP7PjGKh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40.561070613111141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0.208830442457</v>
      </c>
      <c r="C3" s="98">
        <v>0.95</v>
      </c>
      <c r="D3" s="56">
        <v>42.580683844805243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140.5387212287504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0.58266586520635255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0.1285596</v>
      </c>
      <c r="C10" s="98">
        <v>0.95</v>
      </c>
      <c r="D10" s="56">
        <v>13.598395744825829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0.1285596</v>
      </c>
      <c r="C11" s="98">
        <v>0.95</v>
      </c>
      <c r="D11" s="56">
        <v>13.598395744825829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0.1285596</v>
      </c>
      <c r="C12" s="98">
        <v>0.95</v>
      </c>
      <c r="D12" s="56">
        <v>13.598395744825829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0.1285596</v>
      </c>
      <c r="C13" s="98">
        <v>0.95</v>
      </c>
      <c r="D13" s="56">
        <v>13.598395744825829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0.1285596</v>
      </c>
      <c r="C14" s="98">
        <v>0.95</v>
      </c>
      <c r="D14" s="56">
        <v>13.598395744825829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0.1285596</v>
      </c>
      <c r="C15" s="98">
        <v>0.95</v>
      </c>
      <c r="D15" s="56">
        <v>13.598395744825829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0.85</v>
      </c>
      <c r="C16" s="98">
        <v>0.95</v>
      </c>
      <c r="D16" s="56">
        <v>0.33763848267590918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6.110295270761E-2</v>
      </c>
      <c r="C18" s="98">
        <v>0.95</v>
      </c>
      <c r="D18" s="56">
        <v>3.3223485837494819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0.58378350000000001</v>
      </c>
      <c r="C19" s="98">
        <v>0.95</v>
      </c>
      <c r="D19" s="56">
        <v>3.3223485837494819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0.71562439999999994</v>
      </c>
      <c r="C21" s="98">
        <v>0.95</v>
      </c>
      <c r="D21" s="56">
        <v>5.0226201787989284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23.23689431241996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4.4977193243106921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0.46301802950131998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0.1285596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19.667951390170739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0.36309770879371001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73.779165565353139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0.65</v>
      </c>
      <c r="C31" s="98">
        <v>0.95</v>
      </c>
      <c r="D31" s="56">
        <v>2.1818074410904882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0.6799284291458918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0.2760224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0.69885220000000003</v>
      </c>
      <c r="C38" s="98">
        <v>0.95</v>
      </c>
      <c r="D38" s="56">
        <v>3.7635013828042281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x6aAmlbiv8dtIy3oq4cVSY/zZTcLd6UtMpSe5fVUIBaR0g4dsjp62ZJlwNgeumLYTILCRUnQGddhRE4KdArkPA==" saltValue="bjEeFRz41SXG+M9Yeq/Y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CFzWSTuaTnTPDNZCeGmzZTuhv8wtQGD9STzXmTi5eUsF0NKO++XxTP+V156z8cOoCOfgxejlEuOVt61b04Nng==" saltValue="p9UX/ZS5j/90+XHrgbPiC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xBDmO4haAY2s764HwEwit2Ey42hYXfQn2xXIA5JsKQ5Eg0HRjG5TFtox1/M0o0CB3+eg+iij6mUjhewze24wtA==" saltValue="c4UCZXvnwr0TTEbs3PLin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0.2706249</v>
      </c>
      <c r="C3" s="21">
        <f>frac_mam_1_5months * 2.6</f>
        <v>0.2706249</v>
      </c>
      <c r="D3" s="21">
        <f>frac_mam_6_11months * 2.6</f>
        <v>0.38223067999999999</v>
      </c>
      <c r="E3" s="21">
        <f>frac_mam_12_23months * 2.6</f>
        <v>0.37878724000000003</v>
      </c>
      <c r="F3" s="21">
        <f>frac_mam_24_59months * 2.6</f>
        <v>0.37425128000000002</v>
      </c>
    </row>
    <row r="4" spans="1:6" ht="15.75" customHeight="1" x14ac:dyDescent="0.25">
      <c r="A4" s="3" t="s">
        <v>207</v>
      </c>
      <c r="B4" s="21">
        <f>frac_sam_1month * 2.6</f>
        <v>0.34163402000000004</v>
      </c>
      <c r="C4" s="21">
        <f>frac_sam_1_5months * 2.6</f>
        <v>0.34163402000000004</v>
      </c>
      <c r="D4" s="21">
        <f>frac_sam_6_11months * 2.6</f>
        <v>0.32553014000000002</v>
      </c>
      <c r="E4" s="21">
        <f>frac_sam_12_23months * 2.6</f>
        <v>0.29302234000000005</v>
      </c>
      <c r="F4" s="21">
        <f>frac_sam_24_59months * 2.6</f>
        <v>0.22356593999999999</v>
      </c>
    </row>
  </sheetData>
  <sheetProtection algorithmName="SHA-512" hashValue="pVyU4UC40uPjYq/DPSTFWNsZ6va2soezB1bIDu7vXP7ZYfdt6/pCgLhHnvG8zBhu8pKUGScsGEKwuCvW5L6+mg==" saltValue="9BLPIlkpA60N+qtrH7hUQ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0.307</v>
      </c>
      <c r="E2" s="60">
        <f>food_insecure</f>
        <v>0.307</v>
      </c>
      <c r="F2" s="60">
        <f>food_insecure</f>
        <v>0.307</v>
      </c>
      <c r="G2" s="60">
        <f>food_insecure</f>
        <v>0.307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0.307</v>
      </c>
      <c r="F5" s="60">
        <f>food_insecure</f>
        <v>0.307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0.307</v>
      </c>
      <c r="F8" s="60">
        <f>food_insecure</f>
        <v>0.307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0.307</v>
      </c>
      <c r="F9" s="60">
        <f>food_insecure</f>
        <v>0.307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0.307</v>
      </c>
      <c r="I15" s="60">
        <f>food_insecure</f>
        <v>0.307</v>
      </c>
      <c r="J15" s="60">
        <f>food_insecure</f>
        <v>0.307</v>
      </c>
      <c r="K15" s="60">
        <f>food_insecure</f>
        <v>0.307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0.53900000000000003</v>
      </c>
      <c r="M24" s="60">
        <f>famplan_unmet_need</f>
        <v>0.53900000000000003</v>
      </c>
      <c r="N24" s="60">
        <f>famplan_unmet_need</f>
        <v>0.53900000000000003</v>
      </c>
      <c r="O24" s="60">
        <f>famplan_unmet_need</f>
        <v>0.53900000000000003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0.20111974494934101</v>
      </c>
      <c r="M25" s="60">
        <f>(1-food_insecure)*(0.49)+food_insecure*(0.7)</f>
        <v>0.55447000000000002</v>
      </c>
      <c r="N25" s="60">
        <f>(1-food_insecure)*(0.49)+food_insecure*(0.7)</f>
        <v>0.55447000000000002</v>
      </c>
      <c r="O25" s="60">
        <f>(1-food_insecure)*(0.49)+food_insecure*(0.7)</f>
        <v>0.55447000000000002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8.6194176406860445E-2</v>
      </c>
      <c r="M26" s="60">
        <f>(1-food_insecure)*(0.21)+food_insecure*(0.3)</f>
        <v>0.23763000000000001</v>
      </c>
      <c r="N26" s="60">
        <f>(1-food_insecure)*(0.21)+food_insecure*(0.3)</f>
        <v>0.23763000000000001</v>
      </c>
      <c r="O26" s="60">
        <f>(1-food_insecure)*(0.21)+food_insecure*(0.3)</f>
        <v>0.23763000000000001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7.5410382843017654E-2</v>
      </c>
      <c r="M27" s="60">
        <f>(1-food_insecure)*(0.3)</f>
        <v>0.2079</v>
      </c>
      <c r="N27" s="60">
        <f>(1-food_insecure)*(0.3)</f>
        <v>0.2079</v>
      </c>
      <c r="O27" s="60">
        <f>(1-food_insecure)*(0.3)</f>
        <v>0.2079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0.63727569580078092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8xWVDEizSRszVaUDMd/3KZ99Re5zAqSw52TK2kElL8rna/2U2pJpnWlPQ+FC2rJRVtH6K9DAKBEslMve8mssw==" saltValue="4kkkabDa9Q1VH/A16aJeU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lxXgJnSiTIZAVc4PpKLmnXfjH3l9lE3tCvUxC6k2uWufZ3wXe8rJSW/YQ4kAjKz6z6sTPwQI+AYh67tu1n8dJw==" saltValue="S/5IPhnDzkGdaiVmwpT53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0mlHDjm+5BbYiyXC3XM6Vz1PbURbPpuEJ1eM/votihq7dggSKQTrSLc+hA6ksOwdCDJikjhVQR06ZYg7yWYmw==" saltValue="FsFEzzTxb68nyHmPCpHyY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orFA9CQ05MVAgoCakeAJ9srm/WXR+czR51bQVwkczjvaUOWlZSneyh0lV4AJVhAVuuupS+akFvsQi+ktBw1/Q==" saltValue="uc09WAGStIRxtyGOcREZ3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uBRWX0Rh9KRXwVbmlqRFtA0sT6xc/8WtE+gl3R04pJj0ua6dfQEPqFnYLk0Ua+a/YarmKo8V8QtbnGPd2c0FQg==" saltValue="9ObYtTSM6jEWbs69XtsCh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NuCGCmRlCR8YuLObLk8qVznOx5qIkuwL1x9TpqL+I19V+4Yp1FhtqGweTfIFfu+yevhE+45McaLeBQizJS9d9A==" saltValue="+gMfbIhwnzrQ9VNCX227d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IAn6jc7gd2BJyHN+zQ3HGU1OB7HZeBdalmfqk6K0+VTMG9BD3cS2eq0NhHH6BuoRiF5Q00zqcQgf90vkxLo64g==" saltValue="D9NTRefrGX/12GQSyme+R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1ZpVppVB2Fi+SBd1njmmLTprCVUN8zOMkBuiq0tpdAUzHpCLPS5W8HkKbaenziN2EHOKQE3DxIHZB9GmBC78A==" saltValue="9FWQCShitK8qYJGjnTRI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Km3HgN0HWQ0v8DJq2BMXtAdQmLhym9YPHp7aNyd9Du1RtKRGctsYMUeiiy7pei4XPXta/11KFyaIPHxcV3PdQ==" saltValue="CK168KUm2+9xUydgjaLo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q52Qm8YERr5VS0h6yEccOaqBgAvC2RLscklO5R6DxaEIC0O51QzNFoKmRtSWp+3iDwqvBjwBY1WyJlFdvCUfaQ==" saltValue="cS08fvKMO5t/FXfH88bM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RTZtdvrGUI/f+f39GWGdz7atbetC8oTty3QfMt8O3iNC1w4sSEWZglylYTY8yI2DDpUzlnWw/5yjduQL+9f2xg==" saltValue="KIY39ZueDYKANmr9pcmH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mA2R/HK3P/ncyyeo0ITbUxbBCNvNKf8bcTZ0Q7gAp9jBNPG/3X3fbWTUUxeNM63RO45/fevmXnD+xF3m9h+eg==" saltValue="Kgyhj8o8/sHR0w+knfOh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IHcx16D9hEi8OL/eFl0B+9DqUvzBwWuLXeCoUW1x8mX5j2zJyzVlhvpSVj2b/ZCVdny7/P6ZFfLb4INZWckTg==" saltValue="jSlqYUo/JUTf8L+k1abm1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z+VsSmoSxxyR40MhwakmEb+19yL/dFg0aG4vQmtNB/ME9bkCUPJjnYBKzODuM2F3DhDl4iYlG7tOKBnacSa48Q==" saltValue="bRgR/ZWd+2a0a6siYNVX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YRSbwoMNNXIOnsQBN8pxNIlsiwKjEjBxwD7z1nSXF5LwrBK6HUB9ToZMazjYG2FrLQQeVtC+DAkv305u8bi2IA==" saltValue="ss3ofS/aIV10uHwrdCeG7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2024-05-17T00:02:44Z</dcterms:modified>
</cp:coreProperties>
</file>