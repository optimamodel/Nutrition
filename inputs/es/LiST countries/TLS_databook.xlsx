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13_ncr:1_{BB5024A0-CABA-41D0-AA7A-39CB329A9D63}" xr6:coauthVersionLast="47" xr6:coauthVersionMax="47" xr10:uidLastSave="{00000000-0000-0000-0000-000000000000}"/>
  <bookViews>
    <workbookView xWindow="-110" yWindow="-110" windowWidth="19420" windowHeight="10420" tabRatio="961" firstSheet="2" activeTab="6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I39" i="2" s="1"/>
  <c r="H38" i="2"/>
  <c r="G38" i="2"/>
  <c r="I38" i="2" s="1"/>
  <c r="A37" i="2"/>
  <c r="A35" i="2"/>
  <c r="A31" i="2"/>
  <c r="A26" i="2"/>
  <c r="A24" i="2"/>
  <c r="A23" i="2"/>
  <c r="A22" i="2"/>
  <c r="A19" i="2"/>
  <c r="H13" i="2"/>
  <c r="G13" i="2"/>
  <c r="I13" i="2" s="1"/>
  <c r="H12" i="2"/>
  <c r="G12" i="2"/>
  <c r="H11" i="2"/>
  <c r="G11" i="2"/>
  <c r="I11" i="2" s="1"/>
  <c r="H10" i="2"/>
  <c r="G10" i="2"/>
  <c r="H9" i="2"/>
  <c r="G9" i="2"/>
  <c r="I9" i="2" s="1"/>
  <c r="H8" i="2"/>
  <c r="G8" i="2"/>
  <c r="H7" i="2"/>
  <c r="G7" i="2"/>
  <c r="I7" i="2" s="1"/>
  <c r="H6" i="2"/>
  <c r="G6" i="2"/>
  <c r="H5" i="2"/>
  <c r="G5" i="2"/>
  <c r="H4" i="2"/>
  <c r="G4" i="2"/>
  <c r="H3" i="2"/>
  <c r="G3" i="2"/>
  <c r="I3" i="2" s="1"/>
  <c r="H2" i="2"/>
  <c r="G2" i="2"/>
  <c r="A2" i="2"/>
  <c r="A39" i="2" s="1"/>
  <c r="C33" i="1"/>
  <c r="C20" i="1"/>
  <c r="A36" i="2" l="1"/>
  <c r="I2" i="2"/>
  <c r="I6" i="2"/>
  <c r="I4" i="2"/>
  <c r="I8" i="2"/>
  <c r="I12" i="2"/>
  <c r="A25" i="2"/>
  <c r="A34" i="2"/>
  <c r="A40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<sst xmlns="http://schemas.openxmlformats.org/spreadsheetml/2006/main" count="2159" uniqueCount="372">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</sst>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148583</v>
      </c>
    </row>
    <row r="8" spans="1:3" ht="15" customHeight="1" x14ac:dyDescent="0.25">
      <c r="B8" s="5" t="s">
        <v>63</v>
      </c>
      <c r="C8" s="44">
        <v>0.41799999999999998</v>
      </c>
    </row>
    <row r="9" spans="1:3" ht="15" customHeight="1" x14ac:dyDescent="0.25">
      <c r="B9" s="5" t="s">
        <v>62</v>
      </c>
      <c r="C9" s="45">
        <v>0.01</v>
      </c>
    </row>
    <row r="10" spans="1:3" ht="15" customHeight="1" x14ac:dyDescent="0.25">
      <c r="B10" s="5" t="s">
        <v>75</v>
      </c>
      <c r="C10" s="45">
        <v>0.67002499999999998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0.253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0.05</v>
      </c>
    </row>
    <row r="24" spans="1:3" ht="15" customHeight="1" x14ac:dyDescent="0.25">
      <c r="B24" s="15" t="s">
        <v>65</v>
      </c>
      <c r="C24" s="45">
        <v>0.46779999999999999</v>
      </c>
    </row>
    <row r="25" spans="1:3" ht="15" customHeight="1" x14ac:dyDescent="0.25">
      <c r="B25" s="15" t="s">
        <v>66</v>
      </c>
      <c r="C25" s="45">
        <v>0.38690000000000002</v>
      </c>
    </row>
    <row r="26" spans="1:3" ht="15" customHeight="1" x14ac:dyDescent="0.25">
      <c r="B26" s="15" t="s">
        <v>67</v>
      </c>
      <c r="C26" s="45">
        <v>9.530000000000001E-2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0.245821801532287</v>
      </c>
    </row>
    <row r="30" spans="1:3" ht="14.25" customHeight="1" x14ac:dyDescent="0.25">
      <c r="B30" s="25" t="s">
        <v>82</v>
      </c>
      <c r="C30" s="99">
        <v>9.0628283207226698E-2</v>
      </c>
    </row>
    <row r="31" spans="1:3" ht="14.25" customHeight="1" x14ac:dyDescent="0.25">
      <c r="B31" s="25" t="s">
        <v>29</v>
      </c>
      <c r="C31" s="99">
        <v>0.12440493600631899</v>
      </c>
    </row>
    <row r="32" spans="1:3" ht="14.25" customHeight="1" x14ac:dyDescent="0.25">
      <c r="B32" s="25" t="s">
        <v>30</v>
      </c>
      <c r="C32" s="99">
        <v>0.53914497925416693</v>
      </c>
    </row>
    <row r="33" spans="1:5" ht="13.25" customHeight="1" x14ac:dyDescent="0.25">
      <c r="B33" s="27" t="s">
        <v>79</v>
      </c>
      <c r="C33" s="48">
        <f>SUM(C29:C32)</f>
        <v>0.99999999999999967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22.225660000000001</v>
      </c>
    </row>
    <row r="38" spans="1:5" ht="15" customHeight="1" x14ac:dyDescent="0.25">
      <c r="B38" s="11" t="s">
        <v>54</v>
      </c>
      <c r="C38" s="43">
        <v>43.078240000000001</v>
      </c>
      <c r="D38" s="12"/>
      <c r="E38" s="13"/>
    </row>
    <row r="39" spans="1:5" ht="15" customHeight="1" x14ac:dyDescent="0.25">
      <c r="B39" s="11" t="s">
        <v>80</v>
      </c>
      <c r="C39" s="43">
        <v>50.548969999999997</v>
      </c>
      <c r="D39" s="12"/>
      <c r="E39" s="12"/>
    </row>
    <row r="40" spans="1:5" ht="15" customHeight="1" x14ac:dyDescent="0.25">
      <c r="B40" s="11" t="s">
        <v>55</v>
      </c>
      <c r="C40" s="100">
        <v>2.04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14.37551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6.1151E-3</v>
      </c>
      <c r="D45" s="12"/>
    </row>
    <row r="46" spans="1:5" ht="15.75" customHeight="1" x14ac:dyDescent="0.25">
      <c r="B46" s="11" t="s">
        <v>70</v>
      </c>
      <c r="C46" s="45">
        <v>6.5706000000000001E-2</v>
      </c>
      <c r="D46" s="12"/>
    </row>
    <row r="47" spans="1:5" ht="15.75" customHeight="1" x14ac:dyDescent="0.25">
      <c r="B47" s="11" t="s">
        <v>78</v>
      </c>
      <c r="C47" s="45">
        <v>7.5186000000000003E-2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100">
        <v>2.028</v>
      </c>
      <c r="D51" s="12"/>
    </row>
    <row r="52" spans="1:4" ht="15" customHeight="1" x14ac:dyDescent="0.25">
      <c r="B52" s="11" t="s">
        <v>32</v>
      </c>
      <c r="C52" s="100">
        <v>2.028</v>
      </c>
    </row>
    <row r="53" spans="1:4" ht="15.75" customHeight="1" x14ac:dyDescent="0.25">
      <c r="B53" s="11" t="s">
        <v>35</v>
      </c>
      <c r="C53" s="100">
        <v>2.8079999999999998</v>
      </c>
    </row>
    <row r="54" spans="1:4" ht="15.75" customHeight="1" x14ac:dyDescent="0.25">
      <c r="B54" s="11" t="s">
        <v>33</v>
      </c>
      <c r="C54" s="100">
        <v>4.6280000000000001</v>
      </c>
    </row>
    <row r="55" spans="1:4" ht="15.75" customHeight="1" x14ac:dyDescent="0.25">
      <c r="B55" s="11" t="s">
        <v>34</v>
      </c>
      <c r="C55" s="100">
        <v>2.2706666666666671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2.1666666666666671E-2</v>
      </c>
    </row>
    <row r="59" spans="1:4" ht="15.75" customHeight="1" x14ac:dyDescent="0.25">
      <c r="B59" s="11" t="s">
        <v>59</v>
      </c>
      <c r="C59" s="45">
        <v>0.595418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0.18212018190000001</v>
      </c>
    </row>
    <row r="63" spans="1:4" ht="15.75" customHeight="1" x14ac:dyDescent="0.3">
      <c r="A63" s="4"/>
    </row>
  </sheetData>
  <sheetProtection algorithmName="SHA-512" hashValue="AitNrDDylTRbU5WBKq5Lm3MnUZX8kzKwytPEwWldaFMDHBQGGwv3bugH94TRQL0pilAQ+ADrp6gBPujQU+aw+w==" saltValue="yL4Lo8/1mnhAmy9oC+5pG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33096</v>
      </c>
      <c r="C2" s="49">
        <v>90119.000000000015</v>
      </c>
      <c r="D2" s="49">
        <v>132267</v>
      </c>
      <c r="E2" s="49">
        <v>91920</v>
      </c>
      <c r="F2" s="49">
        <v>49555.5</v>
      </c>
      <c r="G2" s="17">
        <f t="shared" ref="G2:G13" si="0">C2+D2+E2+F2</f>
        <v>363861.5</v>
      </c>
      <c r="H2" s="17">
        <f t="shared" ref="H2:H13" si="1">(B2 + stillbirth*B2/(1000-stillbirth))/(1-abortion)</f>
        <v>38157.626246777727</v>
      </c>
      <c r="I2" s="17">
        <f t="shared" ref="I2:I13" si="2">G2-H2</f>
        <v>325703.87375322229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33182</v>
      </c>
      <c r="C3" s="50">
        <v>89308.500000000015</v>
      </c>
      <c r="D3" s="50">
        <v>135170</v>
      </c>
      <c r="E3" s="50">
        <v>94773.5</v>
      </c>
      <c r="F3" s="50">
        <v>51522.5</v>
      </c>
      <c r="G3" s="17">
        <f t="shared" si="0"/>
        <v>370774.5</v>
      </c>
      <c r="H3" s="17">
        <f t="shared" si="1"/>
        <v>38256.778889309237</v>
      </c>
      <c r="I3" s="17">
        <f t="shared" si="2"/>
        <v>332517.72111069073</v>
      </c>
    </row>
    <row r="4" spans="1:9" ht="15.75" customHeight="1" x14ac:dyDescent="0.25">
      <c r="A4" s="5">
        <f t="shared" si="3"/>
        <v>2026</v>
      </c>
      <c r="B4" s="49">
        <v>33254</v>
      </c>
      <c r="C4" s="50">
        <v>88446.500000000015</v>
      </c>
      <c r="D4" s="50">
        <v>137718</v>
      </c>
      <c r="E4" s="50">
        <v>97580.5</v>
      </c>
      <c r="F4" s="50">
        <v>53845</v>
      </c>
      <c r="G4" s="17">
        <f t="shared" si="0"/>
        <v>377590</v>
      </c>
      <c r="H4" s="17">
        <f t="shared" si="1"/>
        <v>38339.790403986786</v>
      </c>
      <c r="I4" s="17">
        <f t="shared" si="2"/>
        <v>339250.20959601318</v>
      </c>
    </row>
    <row r="5" spans="1:9" ht="15.75" customHeight="1" x14ac:dyDescent="0.25">
      <c r="A5" s="5">
        <f t="shared" si="3"/>
        <v>2027</v>
      </c>
      <c r="B5" s="49">
        <v>33206</v>
      </c>
      <c r="C5" s="50">
        <v>87567.5</v>
      </c>
      <c r="D5" s="50">
        <v>139750</v>
      </c>
      <c r="E5" s="50">
        <v>100414.5</v>
      </c>
      <c r="F5" s="50">
        <v>56450</v>
      </c>
      <c r="G5" s="17">
        <f t="shared" si="0"/>
        <v>384182</v>
      </c>
      <c r="H5" s="17">
        <f t="shared" si="1"/>
        <v>38284.449394201751</v>
      </c>
      <c r="I5" s="17">
        <f t="shared" si="2"/>
        <v>345897.55060579826</v>
      </c>
    </row>
    <row r="6" spans="1:9" ht="15.75" customHeight="1" x14ac:dyDescent="0.25">
      <c r="A6" s="5">
        <f t="shared" si="3"/>
        <v>2028</v>
      </c>
      <c r="B6" s="49">
        <v>33091</v>
      </c>
      <c r="C6" s="50">
        <v>87060</v>
      </c>
      <c r="D6" s="50">
        <v>141092.5</v>
      </c>
      <c r="E6" s="50">
        <v>103393.5</v>
      </c>
      <c r="F6" s="50">
        <v>59260</v>
      </c>
      <c r="G6" s="17">
        <f t="shared" si="0"/>
        <v>390806</v>
      </c>
      <c r="H6" s="17">
        <f t="shared" si="1"/>
        <v>38151.861558258446</v>
      </c>
      <c r="I6" s="17">
        <f t="shared" si="2"/>
        <v>352654.13844174158</v>
      </c>
    </row>
    <row r="7" spans="1:9" ht="15.75" customHeight="1" x14ac:dyDescent="0.25">
      <c r="A7" s="5">
        <f t="shared" si="3"/>
        <v>2029</v>
      </c>
      <c r="B7" s="49">
        <v>33035</v>
      </c>
      <c r="C7" s="50">
        <v>87183.5</v>
      </c>
      <c r="D7" s="50">
        <v>141741</v>
      </c>
      <c r="E7" s="50">
        <v>106574</v>
      </c>
      <c r="F7" s="50">
        <v>62184.5</v>
      </c>
      <c r="G7" s="17">
        <f t="shared" si="0"/>
        <v>397683</v>
      </c>
      <c r="H7" s="17">
        <f t="shared" si="1"/>
        <v>38087.297046842585</v>
      </c>
      <c r="I7" s="17">
        <f t="shared" si="2"/>
        <v>359595.70295315742</v>
      </c>
    </row>
    <row r="8" spans="1:9" ht="15.75" customHeight="1" x14ac:dyDescent="0.25">
      <c r="A8" s="5">
        <f t="shared" si="3"/>
        <v>2030</v>
      </c>
      <c r="B8" s="49">
        <v>32768</v>
      </c>
      <c r="C8" s="50">
        <v>87509.5</v>
      </c>
      <c r="D8" s="50">
        <v>141945.5</v>
      </c>
      <c r="E8" s="50">
        <v>109889</v>
      </c>
      <c r="F8" s="50">
        <v>65142</v>
      </c>
      <c r="G8" s="17">
        <f t="shared" si="0"/>
        <v>404486</v>
      </c>
      <c r="H8" s="17">
        <f t="shared" si="1"/>
        <v>37779.462679913362</v>
      </c>
      <c r="I8" s="17">
        <f t="shared" si="2"/>
        <v>366706.53732008662</v>
      </c>
    </row>
    <row r="9" spans="1:9" ht="15.75" customHeight="1" x14ac:dyDescent="0.25">
      <c r="A9" s="5">
        <f t="shared" si="3"/>
        <v>2031</v>
      </c>
      <c r="B9" s="49">
        <v>32738</v>
      </c>
      <c r="C9" s="50">
        <v>87750</v>
      </c>
      <c r="D9" s="50">
        <v>141863</v>
      </c>
      <c r="E9" s="50">
        <v>113270</v>
      </c>
      <c r="F9" s="50">
        <v>68068</v>
      </c>
      <c r="G9" s="17">
        <f t="shared" si="0"/>
        <v>410951</v>
      </c>
      <c r="H9" s="17">
        <f t="shared" si="1"/>
        <v>37744.874548797714</v>
      </c>
      <c r="I9" s="17">
        <f t="shared" si="2"/>
        <v>373206.12545120227</v>
      </c>
    </row>
    <row r="10" spans="1:9" ht="15.75" customHeight="1" x14ac:dyDescent="0.25">
      <c r="A10" s="5">
        <f t="shared" si="3"/>
        <v>2032</v>
      </c>
      <c r="B10" s="49">
        <v>32378</v>
      </c>
      <c r="C10" s="50">
        <v>88025</v>
      </c>
      <c r="D10" s="50">
        <v>141488.5</v>
      </c>
      <c r="E10" s="50">
        <v>116601</v>
      </c>
      <c r="F10" s="50">
        <v>70900</v>
      </c>
      <c r="G10" s="17">
        <f t="shared" si="0"/>
        <v>417014.5</v>
      </c>
      <c r="H10" s="17">
        <f t="shared" si="1"/>
        <v>37329.816975409994</v>
      </c>
      <c r="I10" s="17">
        <f t="shared" si="2"/>
        <v>379684.68302459002</v>
      </c>
    </row>
    <row r="11" spans="1:9" ht="15.75" customHeight="1" x14ac:dyDescent="0.25">
      <c r="A11" s="5">
        <f t="shared" si="3"/>
        <v>2033</v>
      </c>
      <c r="B11" s="49">
        <v>32166</v>
      </c>
      <c r="C11" s="50">
        <v>88443.499999999985</v>
      </c>
      <c r="D11" s="50">
        <v>140770</v>
      </c>
      <c r="E11" s="50">
        <v>119803</v>
      </c>
      <c r="F11" s="50">
        <v>73601.999999999985</v>
      </c>
      <c r="G11" s="17">
        <f t="shared" si="0"/>
        <v>422618.5</v>
      </c>
      <c r="H11" s="17">
        <f t="shared" si="1"/>
        <v>37085.39418219278</v>
      </c>
      <c r="I11" s="17">
        <f t="shared" si="2"/>
        <v>385533.1058178072</v>
      </c>
    </row>
    <row r="12" spans="1:9" ht="15.75" customHeight="1" x14ac:dyDescent="0.25">
      <c r="A12" s="5">
        <f t="shared" si="3"/>
        <v>2034</v>
      </c>
      <c r="B12" s="49">
        <v>31884</v>
      </c>
      <c r="C12" s="50">
        <v>88813.5</v>
      </c>
      <c r="D12" s="50">
        <v>139942.5</v>
      </c>
      <c r="E12" s="50">
        <v>122902.5</v>
      </c>
      <c r="F12" s="50">
        <v>76199</v>
      </c>
      <c r="G12" s="17">
        <f t="shared" si="0"/>
        <v>427857.5</v>
      </c>
      <c r="H12" s="17">
        <f t="shared" si="1"/>
        <v>36760.26574970573</v>
      </c>
      <c r="I12" s="17">
        <f t="shared" si="2"/>
        <v>391097.23425029428</v>
      </c>
    </row>
    <row r="13" spans="1:9" ht="15.75" customHeight="1" x14ac:dyDescent="0.25">
      <c r="A13" s="5">
        <f t="shared" si="3"/>
        <v>2035</v>
      </c>
      <c r="B13" s="49">
        <v>31671</v>
      </c>
      <c r="C13" s="50">
        <v>88895.5</v>
      </c>
      <c r="D13" s="50">
        <v>139372.5</v>
      </c>
      <c r="E13" s="50">
        <v>125814</v>
      </c>
      <c r="F13" s="50">
        <v>78725.5</v>
      </c>
      <c r="G13" s="17">
        <f t="shared" si="0"/>
        <v>432807.5</v>
      </c>
      <c r="H13" s="17">
        <f t="shared" si="1"/>
        <v>36514.69001878467</v>
      </c>
      <c r="I13" s="17">
        <f t="shared" si="2"/>
        <v>396292.80998121534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3JGefOKn/hd//MAI1DnV8I5roi2+EkNxGYUIDS+tCQXoxspfL4bGVgqqHt+ZsUhNd/TSNFLOKHVPleFSILm9CA==" saltValue="JnyRKQcRZ1B/VTdRoSXkx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1.211166661965745E-2</v>
      </c>
    </row>
    <row r="4" spans="1:8" ht="15.75" customHeight="1" x14ac:dyDescent="0.25">
      <c r="B4" s="19" t="s">
        <v>116</v>
      </c>
      <c r="C4" s="101">
        <v>6.0140451444212033E-2</v>
      </c>
    </row>
    <row r="5" spans="1:8" ht="15.75" customHeight="1" x14ac:dyDescent="0.25">
      <c r="B5" s="19" t="s">
        <v>114</v>
      </c>
      <c r="C5" s="101">
        <v>8.0966120780000275E-2</v>
      </c>
    </row>
    <row r="6" spans="1:8" ht="15.75" customHeight="1" x14ac:dyDescent="0.25">
      <c r="B6" s="19" t="s">
        <v>110</v>
      </c>
      <c r="C6" s="101">
        <v>0.23734577736489759</v>
      </c>
    </row>
    <row r="7" spans="1:8" ht="15.75" customHeight="1" x14ac:dyDescent="0.25">
      <c r="B7" s="19" t="s">
        <v>115</v>
      </c>
      <c r="C7" s="101">
        <v>0.39154340758184181</v>
      </c>
    </row>
    <row r="8" spans="1:8" ht="15.75" customHeight="1" x14ac:dyDescent="0.25">
      <c r="B8" s="19" t="s">
        <v>117</v>
      </c>
      <c r="C8" s="101">
        <v>2.095209403917522E-3</v>
      </c>
    </row>
    <row r="9" spans="1:8" ht="15.75" customHeight="1" x14ac:dyDescent="0.25">
      <c r="B9" s="19" t="s">
        <v>111</v>
      </c>
      <c r="C9" s="101">
        <v>9.3685606167444854E-2</v>
      </c>
    </row>
    <row r="10" spans="1:8" ht="15.75" customHeight="1" x14ac:dyDescent="0.25">
      <c r="B10" s="19" t="s">
        <v>113</v>
      </c>
      <c r="C10" s="101">
        <v>0.1221117606380285</v>
      </c>
    </row>
    <row r="11" spans="1:8" ht="15.75" customHeight="1" x14ac:dyDescent="0.25">
      <c r="B11" s="27" t="s">
        <v>79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2" t="s">
        <v>93</v>
      </c>
      <c r="D13" s="102" t="s">
        <v>96</v>
      </c>
      <c r="E13" s="102" t="s">
        <v>94</v>
      </c>
      <c r="F13" s="102" t="s">
        <v>95</v>
      </c>
      <c r="G13" s="19"/>
    </row>
    <row r="14" spans="1:8" ht="15.75" customHeight="1" x14ac:dyDescent="0.25">
      <c r="B14" s="19" t="s">
        <v>103</v>
      </c>
      <c r="C14" s="55">
        <v>0.20604272069205309</v>
      </c>
      <c r="D14" s="55">
        <v>0.20604272069205309</v>
      </c>
      <c r="E14" s="55">
        <v>0.20604272069205309</v>
      </c>
      <c r="F14" s="55">
        <v>0.20604272069205309</v>
      </c>
    </row>
    <row r="15" spans="1:8" ht="15.75" customHeight="1" x14ac:dyDescent="0.25">
      <c r="B15" s="19" t="s">
        <v>121</v>
      </c>
      <c r="C15" s="101">
        <v>0.26263023034971061</v>
      </c>
      <c r="D15" s="101">
        <v>0.26263023034971061</v>
      </c>
      <c r="E15" s="101">
        <v>0.26263023034971061</v>
      </c>
      <c r="F15" s="101">
        <v>0.26263023034971061</v>
      </c>
    </row>
    <row r="16" spans="1:8" ht="15.75" customHeight="1" x14ac:dyDescent="0.25">
      <c r="B16" s="19" t="s">
        <v>2</v>
      </c>
      <c r="C16" s="101">
        <v>3.0839661308733311E-2</v>
      </c>
      <c r="D16" s="101">
        <v>3.0839661308733311E-2</v>
      </c>
      <c r="E16" s="101">
        <v>3.0839661308733311E-2</v>
      </c>
      <c r="F16" s="101">
        <v>3.0839661308733311E-2</v>
      </c>
    </row>
    <row r="17" spans="1:8" ht="15.75" customHeight="1" x14ac:dyDescent="0.25">
      <c r="B17" s="19" t="s">
        <v>109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3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120</v>
      </c>
      <c r="C19" s="101">
        <v>9.223166814531164E-2</v>
      </c>
      <c r="D19" s="101">
        <v>9.223166814531164E-2</v>
      </c>
      <c r="E19" s="101">
        <v>9.223166814531164E-2</v>
      </c>
      <c r="F19" s="101">
        <v>9.223166814531164E-2</v>
      </c>
    </row>
    <row r="20" spans="1:8" ht="15.75" customHeight="1" x14ac:dyDescent="0.25">
      <c r="B20" s="19" t="s">
        <v>98</v>
      </c>
      <c r="C20" s="101">
        <v>6.1898808544440694E-3</v>
      </c>
      <c r="D20" s="101">
        <v>6.1898808544440694E-3</v>
      </c>
      <c r="E20" s="101">
        <v>6.1898808544440694E-3</v>
      </c>
      <c r="F20" s="101">
        <v>6.1898808544440694E-3</v>
      </c>
    </row>
    <row r="21" spans="1:8" ht="15.75" customHeight="1" x14ac:dyDescent="0.25">
      <c r="B21" s="19" t="s">
        <v>107</v>
      </c>
      <c r="C21" s="101">
        <v>0.14044849122108119</v>
      </c>
      <c r="D21" s="101">
        <v>0.14044849122108119</v>
      </c>
      <c r="E21" s="101">
        <v>0.14044849122108119</v>
      </c>
      <c r="F21" s="101">
        <v>0.14044849122108119</v>
      </c>
    </row>
    <row r="22" spans="1:8" ht="15.75" customHeight="1" x14ac:dyDescent="0.25">
      <c r="B22" s="19" t="s">
        <v>118</v>
      </c>
      <c r="C22" s="101">
        <v>0.2616173474286661</v>
      </c>
      <c r="D22" s="101">
        <v>0.2616173474286661</v>
      </c>
      <c r="E22" s="101">
        <v>0.2616173474286661</v>
      </c>
      <c r="F22" s="101">
        <v>0.2616173474286661</v>
      </c>
    </row>
    <row r="23" spans="1:8" ht="15.75" customHeight="1" x14ac:dyDescent="0.25">
      <c r="B23" s="27" t="s">
        <v>79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4.8008347E-2</v>
      </c>
    </row>
    <row r="27" spans="1:8" ht="15.75" customHeight="1" x14ac:dyDescent="0.25">
      <c r="B27" s="19" t="s">
        <v>108</v>
      </c>
      <c r="C27" s="101">
        <v>1.9052040999999999E-2</v>
      </c>
    </row>
    <row r="28" spans="1:8" ht="15.75" customHeight="1" x14ac:dyDescent="0.25">
      <c r="B28" s="19" t="s">
        <v>122</v>
      </c>
      <c r="C28" s="101">
        <v>0.22942046699999999</v>
      </c>
    </row>
    <row r="29" spans="1:8" ht="15.75" customHeight="1" x14ac:dyDescent="0.25">
      <c r="B29" s="19" t="s">
        <v>105</v>
      </c>
      <c r="C29" s="101">
        <v>0.138432112</v>
      </c>
    </row>
    <row r="30" spans="1:8" ht="15.75" customHeight="1" x14ac:dyDescent="0.25">
      <c r="B30" s="19" t="s">
        <v>4</v>
      </c>
      <c r="C30" s="101">
        <v>5.0081873999999998E-2</v>
      </c>
    </row>
    <row r="31" spans="1:8" ht="15.75" customHeight="1" x14ac:dyDescent="0.25">
      <c r="B31" s="19" t="s">
        <v>99</v>
      </c>
      <c r="C31" s="101">
        <v>7.0297943000000002E-2</v>
      </c>
    </row>
    <row r="32" spans="1:8" ht="15.75" customHeight="1" x14ac:dyDescent="0.25">
      <c r="B32" s="19" t="s">
        <v>104</v>
      </c>
      <c r="C32" s="101">
        <v>0.149011013</v>
      </c>
    </row>
    <row r="33" spans="2:3" ht="15.75" customHeight="1" x14ac:dyDescent="0.25">
      <c r="B33" s="19" t="s">
        <v>119</v>
      </c>
      <c r="C33" s="101">
        <v>0.122429312</v>
      </c>
    </row>
    <row r="34" spans="2:3" ht="15.75" customHeight="1" x14ac:dyDescent="0.25">
      <c r="B34" s="19" t="s">
        <v>106</v>
      </c>
      <c r="C34" s="101">
        <v>0.17326689100000001</v>
      </c>
    </row>
    <row r="35" spans="2:3" ht="15.75" customHeight="1" x14ac:dyDescent="0.25">
      <c r="B35" s="27" t="s">
        <v>79</v>
      </c>
      <c r="C35" s="48">
        <f>SUM(C26:C34)</f>
        <v>1</v>
      </c>
    </row>
  </sheetData>
  <sheetProtection algorithmName="SHA-512" hashValue="hwvmINXd02/iXoEwrnlKsU2KZOhsgggaXLas5Av0YtaYXaQaDVEn3jKZKtnfeFq06YL8VnNnHtzXOcxdjVI6+g==" saltValue="5CJOjZ5mgifeNShnlN2T4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0.33144956646310353</v>
      </c>
      <c r="D2" s="52">
        <f>IFERROR(1-_xlfn.NORM.DIST(_xlfn.NORM.INV(SUM(D4:D5), 0, 1) + 1, 0, 1, TRUE), "")</f>
        <v>0.33144956646310353</v>
      </c>
      <c r="E2" s="52">
        <f>IFERROR(1-_xlfn.NORM.DIST(_xlfn.NORM.INV(SUM(E4:E5), 0, 1) + 1, 0, 1, TRUE), "")</f>
        <v>0.32694124030008864</v>
      </c>
      <c r="F2" s="52">
        <f>IFERROR(1-_xlfn.NORM.DIST(_xlfn.NORM.INV(SUM(F4:F5), 0, 1) + 1, 0, 1, TRUE), "")</f>
        <v>0.15957138950069116</v>
      </c>
      <c r="G2" s="52">
        <f>IFERROR(1-_xlfn.NORM.DIST(_xlfn.NORM.INV(SUM(G4:G5), 0, 1) + 1, 0, 1, TRUE), "")</f>
        <v>0.16620864477705677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0.38220263353689649</v>
      </c>
      <c r="D3" s="52">
        <f>IFERROR(_xlfn.NORM.DIST(_xlfn.NORM.INV(SUM(D4:D5), 0, 1) + 1, 0, 1, TRUE) - SUM(D4:D5), "")</f>
        <v>0.38220263353689649</v>
      </c>
      <c r="E3" s="52">
        <f>IFERROR(_xlfn.NORM.DIST(_xlfn.NORM.INV(SUM(E4:E5), 0, 1) + 1, 0, 1, TRUE) - SUM(E4:E5), "")</f>
        <v>0.38245605969991137</v>
      </c>
      <c r="F3" s="52">
        <f>IFERROR(_xlfn.NORM.DIST(_xlfn.NORM.INV(SUM(F4:F5), 0, 1) + 1, 0, 1, TRUE) - SUM(F4:F5), "")</f>
        <v>0.34193621049930889</v>
      </c>
      <c r="G3" s="52">
        <f>IFERROR(_xlfn.NORM.DIST(_xlfn.NORM.INV(SUM(G4:G5), 0, 1) + 1, 0, 1, TRUE) - SUM(G4:G5), "")</f>
        <v>0.34605435522294326</v>
      </c>
    </row>
    <row r="4" spans="1:15" ht="15.75" customHeight="1" x14ac:dyDescent="0.25">
      <c r="B4" s="5" t="s">
        <v>129</v>
      </c>
      <c r="C4" s="45">
        <v>0.10382470000000001</v>
      </c>
      <c r="D4" s="53">
        <v>0.10382470000000001</v>
      </c>
      <c r="E4" s="53">
        <v>0.12192790000000001</v>
      </c>
      <c r="F4" s="53">
        <v>0.21365999999999999</v>
      </c>
      <c r="G4" s="53">
        <v>0.26103850000000001</v>
      </c>
    </row>
    <row r="5" spans="1:15" ht="15.75" customHeight="1" x14ac:dyDescent="0.25">
      <c r="B5" s="5" t="s">
        <v>125</v>
      </c>
      <c r="C5" s="45">
        <v>0.18252309999999999</v>
      </c>
      <c r="D5" s="53">
        <v>0.18252309999999999</v>
      </c>
      <c r="E5" s="53">
        <v>0.16867480000000001</v>
      </c>
      <c r="F5" s="53">
        <v>0.28483239999999999</v>
      </c>
      <c r="G5" s="53">
        <v>0.2266985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0.39008568965726698</v>
      </c>
      <c r="D8" s="52">
        <f>IFERROR(1-_xlfn.NORM.DIST(_xlfn.NORM.INV(SUM(D10:D11), 0, 1) + 1, 0, 1, TRUE), "")</f>
        <v>0.39008568965726698</v>
      </c>
      <c r="E8" s="52">
        <f>IFERROR(1-_xlfn.NORM.DIST(_xlfn.NORM.INV(SUM(E10:E11), 0, 1) + 1, 0, 1, TRUE), "")</f>
        <v>0.34683685948972165</v>
      </c>
      <c r="F8" s="52">
        <f>IFERROR(1-_xlfn.NORM.DIST(_xlfn.NORM.INV(SUM(F10:F11), 0, 1) + 1, 0, 1, TRUE), "")</f>
        <v>0.36253994311518001</v>
      </c>
      <c r="G8" s="52">
        <f>IFERROR(1-_xlfn.NORM.DIST(_xlfn.NORM.INV(SUM(G10:G11), 0, 1) + 1, 0, 1, TRUE), "")</f>
        <v>0.39707647862480222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0.37443011034273299</v>
      </c>
      <c r="D9" s="52">
        <f>IFERROR(_xlfn.NORM.DIST(_xlfn.NORM.INV(SUM(D10:D11), 0, 1) + 1, 0, 1, TRUE) - SUM(D10:D11), "")</f>
        <v>0.37443011034273299</v>
      </c>
      <c r="E9" s="52">
        <f>IFERROR(_xlfn.NORM.DIST(_xlfn.NORM.INV(SUM(E10:E11), 0, 1) + 1, 0, 1, TRUE) - SUM(E10:E11), "")</f>
        <v>0.38094744051027835</v>
      </c>
      <c r="F9" s="52">
        <f>IFERROR(_xlfn.NORM.DIST(_xlfn.NORM.INV(SUM(F10:F11), 0, 1) + 1, 0, 1, TRUE) - SUM(F10:F11), "")</f>
        <v>0.37907175688481998</v>
      </c>
      <c r="G9" s="52">
        <f>IFERROR(_xlfn.NORM.DIST(_xlfn.NORM.INV(SUM(G10:G11), 0, 1) + 1, 0, 1, TRUE) - SUM(G10:G11), "")</f>
        <v>0.37299382137519776</v>
      </c>
    </row>
    <row r="10" spans="1:15" ht="15.75" customHeight="1" x14ac:dyDescent="0.25">
      <c r="B10" s="5" t="s">
        <v>126</v>
      </c>
      <c r="C10" s="45">
        <v>0.1040865</v>
      </c>
      <c r="D10" s="53">
        <v>0.1040865</v>
      </c>
      <c r="E10" s="53">
        <v>0.1470118</v>
      </c>
      <c r="F10" s="53">
        <v>0.14568739999999999</v>
      </c>
      <c r="G10" s="53">
        <v>0.14394280000000001</v>
      </c>
    </row>
    <row r="11" spans="1:15" ht="15.75" customHeight="1" x14ac:dyDescent="0.25">
      <c r="B11" s="5" t="s">
        <v>138</v>
      </c>
      <c r="C11" s="45">
        <v>0.13139770000000001</v>
      </c>
      <c r="D11" s="53">
        <v>0.13139770000000001</v>
      </c>
      <c r="E11" s="53">
        <v>0.12520390000000001</v>
      </c>
      <c r="F11" s="53">
        <v>0.11270090000000001</v>
      </c>
      <c r="G11" s="53">
        <v>8.5986899999999991E-2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0.83210275624999996</v>
      </c>
      <c r="D14" s="54">
        <v>0.82560761370299995</v>
      </c>
      <c r="E14" s="54">
        <v>0.82560761370299995</v>
      </c>
      <c r="F14" s="54">
        <v>0.71009336219999997</v>
      </c>
      <c r="G14" s="54">
        <v>0.71009336219999997</v>
      </c>
      <c r="H14" s="45">
        <v>0.42599999999999999</v>
      </c>
      <c r="I14" s="55">
        <v>0.42599999999999999</v>
      </c>
      <c r="J14" s="55">
        <v>0.42599999999999999</v>
      </c>
      <c r="K14" s="55">
        <v>0.42599999999999999</v>
      </c>
      <c r="L14" s="45">
        <v>0.41199999999999998</v>
      </c>
      <c r="M14" s="55">
        <v>0.41199999999999998</v>
      </c>
      <c r="N14" s="55">
        <v>0.41199999999999998</v>
      </c>
      <c r="O14" s="55">
        <v>0.41199999999999998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0.49544895892086249</v>
      </c>
      <c r="D15" s="52">
        <f t="shared" si="0"/>
        <v>0.49158163413581285</v>
      </c>
      <c r="E15" s="52">
        <f t="shared" si="0"/>
        <v>0.49158163413581285</v>
      </c>
      <c r="F15" s="52">
        <f t="shared" si="0"/>
        <v>0.42280236953439959</v>
      </c>
      <c r="G15" s="52">
        <f t="shared" si="0"/>
        <v>0.42280236953439959</v>
      </c>
      <c r="H15" s="52">
        <f t="shared" si="0"/>
        <v>0.253648068</v>
      </c>
      <c r="I15" s="52">
        <f t="shared" si="0"/>
        <v>0.253648068</v>
      </c>
      <c r="J15" s="52">
        <f t="shared" si="0"/>
        <v>0.253648068</v>
      </c>
      <c r="K15" s="52">
        <f t="shared" si="0"/>
        <v>0.253648068</v>
      </c>
      <c r="L15" s="52">
        <f t="shared" si="0"/>
        <v>0.245312216</v>
      </c>
      <c r="M15" s="52">
        <f t="shared" si="0"/>
        <v>0.245312216</v>
      </c>
      <c r="N15" s="52">
        <f t="shared" si="0"/>
        <v>0.245312216</v>
      </c>
      <c r="O15" s="52">
        <f t="shared" si="0"/>
        <v>0.245312216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rwiiLnlTPnUoYj8RTf0SI4yrWpIaIEDfmYBFCFjykSnI0xlFxekQxQMDT4z2IhfNpl/GawxmgQ0BOqAvpKFNjA==" saltValue="LaPDD1xZSLQDYesMkeUVj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0.64547160000000003</v>
      </c>
      <c r="D2" s="53">
        <v>0.48992069999999999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0.1411858</v>
      </c>
      <c r="D3" s="53">
        <v>0.14179639999999999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0.16761409999999999</v>
      </c>
      <c r="D4" s="53">
        <v>0.29845919999999998</v>
      </c>
      <c r="E4" s="53">
        <v>0.86139979999999994</v>
      </c>
      <c r="F4" s="53">
        <v>0.51718980000000003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4.572849999999995E-2</v>
      </c>
      <c r="D5" s="52">
        <f t="shared" si="0"/>
        <v>6.9823700000000155E-2</v>
      </c>
      <c r="E5" s="52">
        <f>1-SUM(E2:E4)</f>
        <v>0.13860020000000006</v>
      </c>
      <c r="F5" s="52">
        <f>1-SUM(F2:F4)</f>
        <v>0.48281019999999997</v>
      </c>
      <c r="G5" s="52">
        <f>1-SUM(G2:G4)</f>
        <v>1</v>
      </c>
    </row>
  </sheetData>
  <sheetProtection algorithmName="SHA-512" hashValue="HA6XWLuuQXYYWQf0Gc7ESYx5E+Lah8LQv6pO1Oq83oPQ4mjADeixxwHVA1xyB+xJpal/iOa9Oi/5qnZOoRZUZw==" saltValue="jurbL6NbGl19g9QXUIFeG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QxWHMcUGpSyofl6Amiw0DzSY/gorxMamPxJGqIx5y4MA8Ndhnsr5nut8WmUXDrbdxdGwUkhHkpc87DwvqsHEgw==" saltValue="+vLBTBvlINlUEyVTL7H3Z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abSelected="1"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10</v>
      </c>
      <c r="B1" s="105" t="s">
        <v>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160</v>
      </c>
      <c r="B2" s="109">
        <v>2389.2958750343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159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170</v>
      </c>
      <c r="B4" s="110">
        <v>0.19538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161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162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165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164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166</v>
      </c>
      <c r="B9" s="110">
        <v>0.60650000000000004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163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171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172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173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174</v>
      </c>
      <c r="B14" s="112">
        <v>7.2405080593062818E-3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167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168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169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175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12</v>
      </c>
      <c r="B21" s="108" t="s">
        <v>13</v>
      </c>
      <c r="C21" s="108" t="s">
        <v>14</v>
      </c>
      <c r="D21" s="108" t="s">
        <v>15</v>
      </c>
      <c r="E21" s="108" t="s">
        <v>16</v>
      </c>
      <c r="F21" s="108" t="s">
        <v>17</v>
      </c>
      <c r="G21" s="108" t="s">
        <v>18</v>
      </c>
      <c r="H21" s="108" t="s">
        <v>19</v>
      </c>
      <c r="I21" s="108" t="s">
        <v>20</v>
      </c>
      <c r="J21" s="108" t="s">
        <v>21</v>
      </c>
      <c r="K21" s="108" t="s">
        <v>22</v>
      </c>
      <c r="L21" s="108" t="s">
        <v>23</v>
      </c>
      <c r="M21" s="108" t="s">
        <v>24</v>
      </c>
      <c r="N21" s="108" t="s">
        <v>25</v>
      </c>
      <c r="O21" s="108" t="s">
        <v>26</v>
      </c>
    </row>
    <row r="22" spans="1:15" x14ac:dyDescent="0.25">
      <c r="A22" s="108" t="s">
        <v>176</v>
      </c>
      <c r="B22" s="109">
        <v>95824.748210000005</v>
      </c>
      <c r="C22" s="109">
        <v>95358.628410000005</v>
      </c>
      <c r="D22" s="109">
        <v>95020.467839999998</v>
      </c>
      <c r="E22" s="109">
        <v>94638.46471</v>
      </c>
      <c r="F22" s="109">
        <v>94117.932780000003</v>
      </c>
      <c r="G22" s="109">
        <v>93546.187789999996</v>
      </c>
      <c r="H22" s="109">
        <v>92844.517940000005</v>
      </c>
      <c r="I22" s="109">
        <v>91884.464170000007</v>
      </c>
      <c r="J22" s="109">
        <v>90467.193469999998</v>
      </c>
      <c r="K22" s="109">
        <v>88331.026750000005</v>
      </c>
      <c r="L22" s="109">
        <v>85030.684659999999</v>
      </c>
      <c r="M22" s="109">
        <v>80138.207280000002</v>
      </c>
      <c r="N22" s="109">
        <v>72836.054139999993</v>
      </c>
      <c r="O22" s="109">
        <v>62816.467219999999</v>
      </c>
    </row>
  </sheetData>
  <sheetProtection algorithmName="SHA-512" hashValue="7lGV1XD0gKE+jUj2iEY+MCvRcxlhNzVsL5QwR4Bagpg8iCBuy+ien2pDy8bIOAO0XJQDW0jRCD9UWZXaqh/ZXw==" saltValue="Bx7O5Pudhs8gUIzu0E2d6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c+lxh8wPMmt87s9U/nUBqbsCs09+g9PMlhHXoz+hnW5Q3sq3i7VtzXdViYB/xuu5ZqrVMM5sH5qzWHJK+R06nw==" saltValue="Jyv48UqSLb4rDL3/uw9Nd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fZyOLKk/vvZXgf0JDhfwC0zar0cqdHH+AO8fHv1RA3LzxxsDAz+5py3b/iAiatcZ+EzBTdRJgvBaFkq3gutJWQ==" saltValue="qTNEyu5YGbEVYQbGfXom8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8">
        <v>0.95</v>
      </c>
      <c r="D2" s="56">
        <v>23.266651740020471</v>
      </c>
      <c r="E2" s="56" t="s">
        <v>212</v>
      </c>
      <c r="F2" s="98">
        <v>1</v>
      </c>
      <c r="G2" s="98">
        <v>1</v>
      </c>
    </row>
    <row r="3" spans="1:7" ht="15.75" customHeight="1" x14ac:dyDescent="0.25">
      <c r="A3" s="5" t="s">
        <v>195</v>
      </c>
      <c r="B3" s="45">
        <v>0</v>
      </c>
      <c r="C3" s="98">
        <v>0.95</v>
      </c>
      <c r="D3" s="56">
        <v>23.266651740020471</v>
      </c>
      <c r="E3" s="56" t="s">
        <v>212</v>
      </c>
      <c r="F3" s="98">
        <v>1</v>
      </c>
      <c r="G3" s="98">
        <v>1</v>
      </c>
    </row>
    <row r="4" spans="1:7" ht="15.75" customHeight="1" x14ac:dyDescent="0.25">
      <c r="A4" s="5" t="s">
        <v>196</v>
      </c>
      <c r="B4" s="98">
        <v>0</v>
      </c>
      <c r="C4" s="98">
        <v>0.95</v>
      </c>
      <c r="D4" s="56">
        <v>0.80999999999999994</v>
      </c>
      <c r="E4" s="56" t="s">
        <v>212</v>
      </c>
      <c r="F4" s="98">
        <v>1</v>
      </c>
      <c r="G4" s="98">
        <v>1</v>
      </c>
    </row>
    <row r="5" spans="1:7" ht="15.75" customHeight="1" x14ac:dyDescent="0.25">
      <c r="A5" s="5" t="s">
        <v>198</v>
      </c>
      <c r="B5" s="98">
        <v>0</v>
      </c>
      <c r="C5" s="98">
        <v>0.95</v>
      </c>
      <c r="D5" s="56">
        <v>0.58266586520635255</v>
      </c>
      <c r="E5" s="56" t="s">
        <v>212</v>
      </c>
      <c r="F5" s="98">
        <v>1</v>
      </c>
      <c r="G5" s="98">
        <v>1</v>
      </c>
    </row>
    <row r="6" spans="1:7" ht="15.75" customHeight="1" x14ac:dyDescent="0.25">
      <c r="A6" s="5" t="s">
        <v>199</v>
      </c>
      <c r="B6" s="98">
        <v>0</v>
      </c>
      <c r="C6" s="98">
        <v>0.95</v>
      </c>
      <c r="D6" s="56">
        <v>99.99</v>
      </c>
      <c r="E6" s="56" t="s">
        <v>212</v>
      </c>
      <c r="F6" s="98">
        <v>1</v>
      </c>
      <c r="G6" s="98">
        <v>1</v>
      </c>
    </row>
    <row r="7" spans="1:7" ht="15.75" customHeight="1" x14ac:dyDescent="0.25">
      <c r="A7" s="5" t="s">
        <v>200</v>
      </c>
      <c r="B7" s="98">
        <v>0</v>
      </c>
      <c r="C7" s="98">
        <v>0.95</v>
      </c>
      <c r="D7" s="56">
        <v>0.19283527130965261</v>
      </c>
      <c r="E7" s="56" t="s">
        <v>212</v>
      </c>
      <c r="F7" s="98">
        <v>1</v>
      </c>
      <c r="G7" s="98">
        <v>1</v>
      </c>
    </row>
    <row r="8" spans="1:7" ht="15.75" customHeight="1" x14ac:dyDescent="0.25">
      <c r="A8" s="5" t="s">
        <v>201</v>
      </c>
      <c r="B8" s="98">
        <v>0</v>
      </c>
      <c r="C8" s="98">
        <v>0.95</v>
      </c>
      <c r="D8" s="56">
        <v>1.899427422400078</v>
      </c>
      <c r="E8" s="56" t="s">
        <v>212</v>
      </c>
      <c r="F8" s="98">
        <v>1</v>
      </c>
      <c r="G8" s="98">
        <v>1</v>
      </c>
    </row>
    <row r="9" spans="1:7" ht="15.75" customHeight="1" x14ac:dyDescent="0.25">
      <c r="A9" s="5" t="s">
        <v>202</v>
      </c>
      <c r="B9" s="98">
        <v>0</v>
      </c>
      <c r="C9" s="98">
        <v>0.95</v>
      </c>
      <c r="D9" s="56">
        <v>0.33</v>
      </c>
      <c r="E9" s="56" t="s">
        <v>212</v>
      </c>
      <c r="F9" s="98">
        <v>1</v>
      </c>
      <c r="G9" s="98">
        <v>1</v>
      </c>
    </row>
    <row r="10" spans="1:7" ht="15.75" customHeight="1" x14ac:dyDescent="0.25">
      <c r="A10" s="11" t="s">
        <v>203</v>
      </c>
      <c r="B10" s="45">
        <v>0.1285596</v>
      </c>
      <c r="C10" s="98">
        <v>0.95</v>
      </c>
      <c r="D10" s="56">
        <v>13.598395744825829</v>
      </c>
      <c r="E10" s="56" t="s">
        <v>212</v>
      </c>
      <c r="F10" s="98">
        <v>1</v>
      </c>
      <c r="G10" s="98">
        <v>1</v>
      </c>
    </row>
    <row r="11" spans="1:7" ht="15.75" customHeight="1" x14ac:dyDescent="0.25">
      <c r="A11" s="11" t="s">
        <v>204</v>
      </c>
      <c r="B11" s="98">
        <v>0</v>
      </c>
      <c r="C11" s="98">
        <v>0.95</v>
      </c>
      <c r="D11" s="56">
        <v>13.598395744825829</v>
      </c>
      <c r="E11" s="56" t="s">
        <v>212</v>
      </c>
      <c r="F11" s="98">
        <v>1</v>
      </c>
      <c r="G11" s="98">
        <v>1</v>
      </c>
    </row>
    <row r="12" spans="1:7" ht="15.75" customHeight="1" x14ac:dyDescent="0.25">
      <c r="A12" s="11" t="s">
        <v>205</v>
      </c>
      <c r="B12" s="98">
        <v>0</v>
      </c>
      <c r="C12" s="98">
        <v>0.95</v>
      </c>
      <c r="D12" s="56">
        <v>13.598395744825829</v>
      </c>
      <c r="E12" s="56" t="s">
        <v>212</v>
      </c>
      <c r="F12" s="98">
        <v>1</v>
      </c>
      <c r="G12" s="98">
        <v>1</v>
      </c>
    </row>
    <row r="13" spans="1:7" ht="15.75" customHeight="1" x14ac:dyDescent="0.25">
      <c r="A13" s="11" t="s">
        <v>206</v>
      </c>
      <c r="B13" s="98">
        <v>0</v>
      </c>
      <c r="C13" s="98">
        <v>0.95</v>
      </c>
      <c r="D13" s="56">
        <v>13.598395744825829</v>
      </c>
      <c r="E13" s="56" t="s">
        <v>212</v>
      </c>
      <c r="F13" s="98">
        <v>1</v>
      </c>
      <c r="G13" s="98">
        <v>1</v>
      </c>
    </row>
    <row r="14" spans="1:7" ht="15.75" customHeight="1" x14ac:dyDescent="0.25">
      <c r="A14" s="5" t="s">
        <v>207</v>
      </c>
      <c r="B14" s="45">
        <v>0.1285596</v>
      </c>
      <c r="C14" s="98">
        <v>0.95</v>
      </c>
      <c r="D14" s="56">
        <v>13.598395744825829</v>
      </c>
      <c r="E14" s="56" t="s">
        <v>212</v>
      </c>
      <c r="F14" s="98">
        <v>1</v>
      </c>
      <c r="G14" s="98">
        <v>1</v>
      </c>
    </row>
    <row r="15" spans="1:7" ht="15.75" customHeight="1" x14ac:dyDescent="0.25">
      <c r="A15" s="5" t="s">
        <v>208</v>
      </c>
      <c r="B15" s="98">
        <v>0</v>
      </c>
      <c r="C15" s="98">
        <v>0.95</v>
      </c>
      <c r="D15" s="56">
        <v>13.598395744825829</v>
      </c>
      <c r="E15" s="56" t="s">
        <v>212</v>
      </c>
      <c r="F15" s="98">
        <v>1</v>
      </c>
      <c r="G15" s="98">
        <v>1</v>
      </c>
    </row>
    <row r="16" spans="1:7" ht="15.75" customHeight="1" x14ac:dyDescent="0.25">
      <c r="A16" s="5" t="s">
        <v>209</v>
      </c>
      <c r="B16" s="45">
        <v>0.60126389999999996</v>
      </c>
      <c r="C16" s="98">
        <v>0.95</v>
      </c>
      <c r="D16" s="56">
        <v>1.57</v>
      </c>
      <c r="E16" s="56" t="s">
        <v>212</v>
      </c>
      <c r="F16" s="98">
        <v>1</v>
      </c>
      <c r="G16" s="98">
        <v>1</v>
      </c>
    </row>
    <row r="17" spans="1:7" ht="15.75" customHeight="1" x14ac:dyDescent="0.25">
      <c r="A17" s="5" t="s">
        <v>210</v>
      </c>
      <c r="B17" s="98">
        <v>0</v>
      </c>
      <c r="C17" s="98">
        <v>0.95</v>
      </c>
      <c r="D17" s="56">
        <v>0.1369044839662158</v>
      </c>
      <c r="E17" s="56" t="s">
        <v>212</v>
      </c>
      <c r="F17" s="98">
        <v>1</v>
      </c>
      <c r="G17" s="98">
        <v>1</v>
      </c>
    </row>
    <row r="18" spans="1:7" ht="15.9" customHeight="1" x14ac:dyDescent="0.25">
      <c r="A18" s="5" t="s">
        <v>180</v>
      </c>
      <c r="B18" s="98">
        <v>0.45200000000000001</v>
      </c>
      <c r="C18" s="98">
        <v>0.95</v>
      </c>
      <c r="D18" s="56">
        <v>8.0823886898669404</v>
      </c>
      <c r="E18" s="56" t="s">
        <v>212</v>
      </c>
      <c r="F18" s="98">
        <v>1</v>
      </c>
      <c r="G18" s="98">
        <v>1</v>
      </c>
    </row>
    <row r="19" spans="1:7" ht="15.75" customHeight="1" x14ac:dyDescent="0.25">
      <c r="A19" s="5" t="s">
        <v>181</v>
      </c>
      <c r="B19" s="98">
        <v>0.48992069999999999</v>
      </c>
      <c r="C19" s="98">
        <v>0.95</v>
      </c>
      <c r="D19" s="56">
        <v>3.3223485837494819</v>
      </c>
      <c r="E19" s="56" t="s">
        <v>212</v>
      </c>
      <c r="F19" s="98">
        <v>1</v>
      </c>
      <c r="G19" s="98">
        <v>1</v>
      </c>
    </row>
    <row r="20" spans="1:7" ht="15.75" customHeight="1" x14ac:dyDescent="0.25">
      <c r="A20" s="5" t="s">
        <v>182</v>
      </c>
      <c r="B20" s="98">
        <v>0</v>
      </c>
      <c r="C20" s="98">
        <v>0.95</v>
      </c>
      <c r="D20" s="56">
        <v>99.99</v>
      </c>
      <c r="E20" s="56" t="s">
        <v>212</v>
      </c>
      <c r="F20" s="98">
        <v>1</v>
      </c>
      <c r="G20" s="98">
        <v>1</v>
      </c>
    </row>
    <row r="21" spans="1:7" ht="15.75" customHeight="1" x14ac:dyDescent="0.25">
      <c r="A21" s="5" t="s">
        <v>211</v>
      </c>
      <c r="B21" s="45">
        <v>0</v>
      </c>
      <c r="C21" s="98">
        <v>0.95</v>
      </c>
      <c r="D21" s="56">
        <v>8.32</v>
      </c>
      <c r="E21" s="56" t="s">
        <v>212</v>
      </c>
      <c r="F21" s="98">
        <v>1</v>
      </c>
      <c r="G21" s="98">
        <v>1</v>
      </c>
    </row>
    <row r="22" spans="1:7" ht="15.75" customHeight="1" x14ac:dyDescent="0.25">
      <c r="A22" s="5" t="s">
        <v>213</v>
      </c>
      <c r="B22" s="98">
        <v>0</v>
      </c>
      <c r="C22" s="98">
        <v>0.95</v>
      </c>
      <c r="D22" s="56">
        <v>0.80999999999999994</v>
      </c>
      <c r="E22" s="56" t="s">
        <v>212</v>
      </c>
      <c r="F22" s="98">
        <v>1</v>
      </c>
      <c r="G22" s="98">
        <v>1</v>
      </c>
    </row>
    <row r="23" spans="1:7" ht="15.75" customHeight="1" x14ac:dyDescent="0.25">
      <c r="A23" s="5" t="s">
        <v>214</v>
      </c>
      <c r="B23" s="98">
        <v>0.6364107</v>
      </c>
      <c r="C23" s="98">
        <v>0.95</v>
      </c>
      <c r="D23" s="56">
        <v>4.4977193243106921</v>
      </c>
      <c r="E23" s="56" t="s">
        <v>212</v>
      </c>
      <c r="F23" s="98">
        <v>1</v>
      </c>
      <c r="G23" s="98">
        <v>1</v>
      </c>
    </row>
    <row r="24" spans="1:7" ht="15.75" customHeight="1" x14ac:dyDescent="0.25">
      <c r="A24" s="5" t="s">
        <v>217</v>
      </c>
      <c r="B24" s="45">
        <v>0.34695807796153999</v>
      </c>
      <c r="C24" s="98">
        <v>0.95</v>
      </c>
      <c r="D24" s="56">
        <v>99.99</v>
      </c>
      <c r="E24" s="56" t="s">
        <v>212</v>
      </c>
      <c r="F24" s="98">
        <v>1</v>
      </c>
      <c r="G24" s="98">
        <v>1</v>
      </c>
    </row>
    <row r="25" spans="1:7" ht="15.75" customHeight="1" x14ac:dyDescent="0.25">
      <c r="A25" s="5" t="s">
        <v>218</v>
      </c>
      <c r="B25" s="98">
        <v>0</v>
      </c>
      <c r="C25" s="98">
        <v>0.95</v>
      </c>
      <c r="D25" s="56">
        <v>99.99</v>
      </c>
      <c r="E25" s="56" t="s">
        <v>212</v>
      </c>
      <c r="F25" s="98">
        <v>1</v>
      </c>
      <c r="G25" s="98">
        <v>1</v>
      </c>
    </row>
    <row r="26" spans="1:7" ht="15.75" customHeight="1" x14ac:dyDescent="0.25">
      <c r="A26" s="5" t="s">
        <v>219</v>
      </c>
      <c r="B26" s="45">
        <v>7.2999999999999995E-2</v>
      </c>
      <c r="C26" s="98">
        <v>0.95</v>
      </c>
      <c r="D26" s="56">
        <v>8.469314227226203</v>
      </c>
      <c r="E26" s="56" t="s">
        <v>212</v>
      </c>
      <c r="F26" s="98">
        <v>1</v>
      </c>
      <c r="G26" s="98">
        <v>1</v>
      </c>
    </row>
    <row r="27" spans="1:7" ht="15.75" customHeight="1" x14ac:dyDescent="0.25">
      <c r="A27" s="5" t="s">
        <v>220</v>
      </c>
      <c r="B27" s="45">
        <v>0</v>
      </c>
      <c r="C27" s="98">
        <v>0.95</v>
      </c>
      <c r="D27" s="56">
        <v>14.964151740020471</v>
      </c>
      <c r="E27" s="56" t="s">
        <v>212</v>
      </c>
      <c r="F27" s="98">
        <v>1</v>
      </c>
      <c r="G27" s="98">
        <v>1</v>
      </c>
    </row>
    <row r="28" spans="1:7" ht="15.75" customHeight="1" x14ac:dyDescent="0.25">
      <c r="A28" s="5" t="s">
        <v>221</v>
      </c>
      <c r="B28" s="45">
        <v>0.69885220000000003</v>
      </c>
      <c r="C28" s="98">
        <v>0.95</v>
      </c>
      <c r="D28" s="56">
        <v>99.99</v>
      </c>
      <c r="E28" s="56" t="s">
        <v>212</v>
      </c>
      <c r="F28" s="98">
        <v>1</v>
      </c>
      <c r="G28" s="98">
        <v>1</v>
      </c>
    </row>
    <row r="29" spans="1:7" ht="15.75" customHeight="1" x14ac:dyDescent="0.25">
      <c r="A29" s="5" t="s">
        <v>222</v>
      </c>
      <c r="B29" s="45">
        <v>0.2760224</v>
      </c>
      <c r="C29" s="98">
        <v>0.95</v>
      </c>
      <c r="D29" s="56">
        <v>33.321934882307978</v>
      </c>
      <c r="E29" s="56" t="s">
        <v>212</v>
      </c>
      <c r="F29" s="98">
        <v>1</v>
      </c>
      <c r="G29" s="98">
        <v>1</v>
      </c>
    </row>
    <row r="30" spans="1:7" ht="15.75" customHeight="1" x14ac:dyDescent="0.25">
      <c r="A30" s="5" t="s">
        <v>233</v>
      </c>
      <c r="B30" s="98">
        <v>0</v>
      </c>
      <c r="C30" s="98">
        <v>0.95</v>
      </c>
      <c r="D30" s="56">
        <v>53.05041964170676</v>
      </c>
      <c r="E30" s="56" t="s">
        <v>212</v>
      </c>
      <c r="F30" s="98">
        <v>1</v>
      </c>
      <c r="G30" s="98">
        <v>1</v>
      </c>
    </row>
    <row r="31" spans="1:7" ht="15.75" customHeight="1" x14ac:dyDescent="0.25">
      <c r="A31" s="5" t="s">
        <v>193</v>
      </c>
      <c r="B31" s="45">
        <v>8.3000000000000004E-2</v>
      </c>
      <c r="C31" s="98">
        <v>0.95</v>
      </c>
      <c r="D31" s="56">
        <v>118.83755373592631</v>
      </c>
      <c r="E31" s="56" t="s">
        <v>212</v>
      </c>
      <c r="F31" s="98">
        <v>1</v>
      </c>
      <c r="G31" s="98">
        <v>1</v>
      </c>
    </row>
    <row r="32" spans="1:7" ht="15.75" customHeight="1" x14ac:dyDescent="0.25">
      <c r="A32" s="5" t="s">
        <v>225</v>
      </c>
      <c r="B32" s="45">
        <v>0.64500000000000002</v>
      </c>
      <c r="C32" s="98">
        <v>0.95</v>
      </c>
      <c r="D32" s="56">
        <v>0.69</v>
      </c>
      <c r="E32" s="56" t="s">
        <v>212</v>
      </c>
      <c r="F32" s="98">
        <v>1</v>
      </c>
      <c r="G32" s="98">
        <v>1</v>
      </c>
    </row>
    <row r="33" spans="1:7" ht="15.75" customHeight="1" x14ac:dyDescent="0.25">
      <c r="A33" s="5" t="s">
        <v>226</v>
      </c>
      <c r="B33" s="45">
        <v>0.28407529999999998</v>
      </c>
      <c r="C33" s="98">
        <v>0.95</v>
      </c>
      <c r="D33" s="56">
        <v>99.99</v>
      </c>
      <c r="E33" s="56" t="s">
        <v>212</v>
      </c>
      <c r="F33" s="98">
        <v>1</v>
      </c>
      <c r="G33" s="98">
        <v>1</v>
      </c>
    </row>
    <row r="34" spans="1:7" ht="15.75" customHeight="1" x14ac:dyDescent="0.25">
      <c r="A34" s="5" t="s">
        <v>227</v>
      </c>
      <c r="B34" s="45">
        <v>0.25466349999999999</v>
      </c>
      <c r="C34" s="98">
        <v>0.95</v>
      </c>
      <c r="D34" s="56">
        <v>99.99</v>
      </c>
      <c r="E34" s="56" t="s">
        <v>212</v>
      </c>
      <c r="F34" s="98">
        <v>1</v>
      </c>
      <c r="G34" s="98">
        <v>1</v>
      </c>
    </row>
    <row r="35" spans="1:7" ht="15.75" customHeight="1" x14ac:dyDescent="0.25">
      <c r="A35" s="5" t="s">
        <v>228</v>
      </c>
      <c r="B35" s="98">
        <v>0</v>
      </c>
      <c r="C35" s="98">
        <v>0.95</v>
      </c>
      <c r="D35" s="56">
        <v>99.99</v>
      </c>
      <c r="E35" s="56" t="s">
        <v>212</v>
      </c>
      <c r="F35" s="98">
        <v>1</v>
      </c>
      <c r="G35" s="98">
        <v>1</v>
      </c>
    </row>
    <row r="36" spans="1:7" ht="15.75" customHeight="1" x14ac:dyDescent="0.25">
      <c r="A36" s="5" t="s">
        <v>229</v>
      </c>
      <c r="B36" s="45">
        <v>6.3324999999999996E-3</v>
      </c>
      <c r="C36" s="98">
        <v>0.95</v>
      </c>
      <c r="D36" s="56">
        <v>99.99</v>
      </c>
      <c r="E36" s="56" t="s">
        <v>212</v>
      </c>
      <c r="F36" s="98">
        <v>1</v>
      </c>
      <c r="G36" s="98">
        <v>1</v>
      </c>
    </row>
    <row r="37" spans="1:7" ht="15.75" customHeight="1" x14ac:dyDescent="0.25">
      <c r="A37" s="5" t="s">
        <v>230</v>
      </c>
      <c r="B37" s="45">
        <v>0.71562439999999994</v>
      </c>
      <c r="C37" s="98">
        <v>0.95</v>
      </c>
      <c r="D37" s="56">
        <v>99.99</v>
      </c>
      <c r="E37" s="56" t="s">
        <v>212</v>
      </c>
      <c r="F37" s="98">
        <v>1</v>
      </c>
      <c r="G37" s="98">
        <v>1</v>
      </c>
    </row>
    <row r="38" spans="1:7" ht="15.75" customHeight="1" x14ac:dyDescent="0.25">
      <c r="A38" s="5" t="s">
        <v>231</v>
      </c>
      <c r="B38" s="45">
        <v>0.40300000000000002</v>
      </c>
      <c r="C38" s="98">
        <v>0.95</v>
      </c>
      <c r="D38" s="56">
        <v>3.45</v>
      </c>
      <c r="E38" s="56" t="s">
        <v>212</v>
      </c>
      <c r="F38" s="98">
        <v>1</v>
      </c>
      <c r="G38" s="98">
        <v>1</v>
      </c>
    </row>
    <row r="39" spans="1:7" ht="15.75" customHeight="1" x14ac:dyDescent="0.25">
      <c r="A39" s="5" t="s">
        <v>232</v>
      </c>
      <c r="B39" s="45">
        <v>0</v>
      </c>
      <c r="C39" s="98">
        <v>0.95</v>
      </c>
      <c r="D39" s="56">
        <v>3.07</v>
      </c>
      <c r="E39" s="56" t="s">
        <v>212</v>
      </c>
      <c r="F39" s="98">
        <v>1</v>
      </c>
      <c r="G39" s="98">
        <v>1</v>
      </c>
    </row>
  </sheetData>
  <sheetProtection algorithmName="SHA-512" hashValue="zQnQu27g+MUIFp7ea22W6HQRE1+/sLZG+VV7Et8AhhaDmIgD5mxZy1I5ofd9h2pWygyd2Uu93oh7QdiBHqNW9w==" saltValue="0R5WAkHGyx7lz47/NUC92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u/6PwaHS1xzSoW1r/d3j3eS8JoFjkoo7OzewkQ0p97hSar1JKxt/khd/vaVIlh8T06i557qzyA6B31TfLjeoMw==" saltValue="kPDF3M3/GD3N80iTK2KUc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c6ooLM7fjNayFoYwvhevlDNq1Wmi5YMADb1DFCZ/EEPrEhnPXdAfcBvxC1S1mvU8u5wsgyjagJglonGq3V7liQ==" saltValue="3AcjCEHt/Wy0C6iU8q19Y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2.028</v>
      </c>
      <c r="C2" s="21">
        <f>'Entradas de población-año base'!C52</f>
        <v>2.028</v>
      </c>
      <c r="D2" s="21">
        <f>'Entradas de población-año base'!C53</f>
        <v>2.8079999999999998</v>
      </c>
      <c r="E2" s="21">
        <f>'Entradas de población-año base'!C54</f>
        <v>4.6280000000000001</v>
      </c>
      <c r="F2" s="21">
        <f>'Entradas de población-año base'!C55</f>
        <v>2.2706666666666671</v>
      </c>
    </row>
    <row r="3" spans="1:6" ht="15.75" customHeight="1" x14ac:dyDescent="0.25">
      <c r="A3" s="3" t="s">
        <v>6</v>
      </c>
      <c r="B3" s="21">
        <f>frac_mam_1month * 2.6</f>
        <v>0.2706249</v>
      </c>
      <c r="C3" s="21">
        <f>frac_mam_1_5months * 2.6</f>
        <v>0.2706249</v>
      </c>
      <c r="D3" s="21">
        <f>frac_mam_6_11months * 2.6</f>
        <v>0.38223067999999999</v>
      </c>
      <c r="E3" s="21">
        <f>frac_mam_12_23months * 2.6</f>
        <v>0.37878724000000003</v>
      </c>
      <c r="F3" s="21">
        <f>frac_mam_24_59months * 2.6</f>
        <v>0.37425128000000002</v>
      </c>
    </row>
    <row r="4" spans="1:6" ht="15.75" customHeight="1" x14ac:dyDescent="0.25">
      <c r="A4" s="3" t="s">
        <v>236</v>
      </c>
      <c r="B4" s="21">
        <f>frac_sam_1month * 2.6</f>
        <v>0.34163402000000004</v>
      </c>
      <c r="C4" s="21">
        <f>frac_sam_1_5months * 2.6</f>
        <v>0.34163402000000004</v>
      </c>
      <c r="D4" s="21">
        <f>frac_sam_6_11months * 2.6</f>
        <v>0.32553014000000002</v>
      </c>
      <c r="E4" s="21">
        <f>frac_sam_12_23months * 2.6</f>
        <v>0.29302234000000005</v>
      </c>
      <c r="F4" s="21">
        <f>frac_sam_24_59months * 2.6</f>
        <v>0.22356593999999999</v>
      </c>
    </row>
  </sheetData>
  <sheetProtection algorithmName="SHA-512" hashValue="psEPmGSZQR1lPdY/7rYkRVLqAwecE8m9P8kJHyvTbxHjpPovJUIH08pFNt1zGr0hjYlX3/KCHYHAIQsjxYVXzg==" saltValue="10gfIYXCjG5tNP5vYjGu6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0.41799999999999998</v>
      </c>
      <c r="F2" s="60">
        <f>food_insecure</f>
        <v>0.41799999999999998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0.41799999999999998</v>
      </c>
      <c r="F5" s="60">
        <f>food_insecure</f>
        <v>0.41799999999999998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4.3940000000000007E-2</v>
      </c>
      <c r="D7" s="60">
        <f>diarrhoea_1_5mo*frac_diarrhea_severe</f>
        <v>4.3940000000000007E-2</v>
      </c>
      <c r="E7" s="60">
        <f>diarrhoea_6_11mo*frac_diarrhea_severe</f>
        <v>6.0840000000000005E-2</v>
      </c>
      <c r="F7" s="60">
        <f>diarrhoea_12_23mo*frac_diarrhea_severe</f>
        <v>0.10027333333333335</v>
      </c>
      <c r="G7" s="60">
        <f>diarrhoea_24_59mo*frac_diarrhea_severe</f>
        <v>4.9197777777777799E-2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0.41799999999999998</v>
      </c>
      <c r="F8" s="60">
        <f>food_insecure</f>
        <v>0.41799999999999998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0.41799999999999998</v>
      </c>
      <c r="F9" s="60">
        <f>food_insecure</f>
        <v>0.41799999999999998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4.3940000000000007E-2</v>
      </c>
      <c r="D12" s="60">
        <f>diarrhoea_1_5mo*frac_diarrhea_severe</f>
        <v>4.3940000000000007E-2</v>
      </c>
      <c r="E12" s="60">
        <f>diarrhoea_6_11mo*frac_diarrhea_severe</f>
        <v>6.0840000000000005E-2</v>
      </c>
      <c r="F12" s="60">
        <f>diarrhoea_12_23mo*frac_diarrhea_severe</f>
        <v>0.10027333333333335</v>
      </c>
      <c r="G12" s="60">
        <f>diarrhoea_24_59mo*frac_diarrhea_severe</f>
        <v>4.9197777777777799E-2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0.41799999999999998</v>
      </c>
      <c r="I15" s="60">
        <f t="shared" si="0"/>
        <v>0.41799999999999998</v>
      </c>
      <c r="J15" s="60">
        <f t="shared" si="0"/>
        <v>0.41799999999999998</v>
      </c>
      <c r="K15" s="60">
        <f t="shared" si="0"/>
        <v>0.41799999999999998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0.41799999999999998</v>
      </c>
      <c r="I16" s="60">
        <f t="shared" si="0"/>
        <v>0.41799999999999998</v>
      </c>
      <c r="J16" s="60">
        <f t="shared" si="0"/>
        <v>0.41799999999999998</v>
      </c>
      <c r="K16" s="60">
        <f t="shared" si="0"/>
        <v>0.41799999999999998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0.253</v>
      </c>
      <c r="M24" s="60">
        <f>famplan_unmet_need</f>
        <v>0.253</v>
      </c>
      <c r="N24" s="60">
        <f>famplan_unmet_need</f>
        <v>0.253</v>
      </c>
      <c r="O24" s="60">
        <f>famplan_unmet_need</f>
        <v>0.253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0.1906529555</v>
      </c>
      <c r="M25" s="60">
        <f>(1-food_insecure)*(0.49)+food_insecure*(0.7)</f>
        <v>0.57777999999999996</v>
      </c>
      <c r="N25" s="60">
        <f>(1-food_insecure)*(0.49)+food_insecure*(0.7)</f>
        <v>0.57777999999999996</v>
      </c>
      <c r="O25" s="60">
        <f>(1-food_insecure)*(0.49)+food_insecure*(0.7)</f>
        <v>0.57777999999999996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8.1708409499999995E-2</v>
      </c>
      <c r="M26" s="60">
        <f>(1-food_insecure)*(0.21)+food_insecure*(0.3)</f>
        <v>0.24762000000000001</v>
      </c>
      <c r="N26" s="60">
        <f>(1-food_insecure)*(0.21)+food_insecure*(0.3)</f>
        <v>0.24762000000000001</v>
      </c>
      <c r="O26" s="60">
        <f>(1-food_insecure)*(0.21)+food_insecure*(0.3)</f>
        <v>0.24762000000000001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5.7613635000000003E-2</v>
      </c>
      <c r="M27" s="60">
        <f>(1-food_insecure)*(0.3)</f>
        <v>0.17460000000000001</v>
      </c>
      <c r="N27" s="60">
        <f>(1-food_insecure)*(0.3)</f>
        <v>0.17460000000000001</v>
      </c>
      <c r="O27" s="60">
        <f>(1-food_insecure)*(0.3)</f>
        <v>0.17460000000000001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0.67002499999999998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f+EQlN7s08ZHyAPlL2pOGCNCoODXq4kE/Y8vS0z7w08b/So7BR9g64DfPgcQKmKjEVjrFFp2JII3lXxWHql+Rg==" saltValue="dUFHJGMhjD+kgpZYMtJMj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YlNGsV+8ln/tH+c1CJGeUdOiRD9KZSORn/hMHh5K0+vHWsRDFWCRyV7SPhIkpPELAFsWLgQN819KiMobZ9wAiQ==" saltValue="DYFmd4rJslllyq3UVkaVX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c8IK2qkIlQjdesUjyYVNvXe0OiimChi7JknyDDP+N9qrAWW5c38vmbj9nq7AqmW2104o6aaplLhrUdYYi2WqhQ==" saltValue="VNHjNajzTNf5kf3D93dZL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CB2oWelE2LilPZ+LdWqI2Ca5wuvos5H6F+jviM5rS4zytL+gqBsn1KxnOm+YaKhNoUeSnsn+0bxo7mFvZlihPw==" saltValue="IylOSbUTu84pJB7w1W/dW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192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15" t="s">
        <v>194</v>
      </c>
      <c r="B2" s="116"/>
      <c r="C2" s="116"/>
      <c r="D2" s="116"/>
      <c r="E2" s="116"/>
      <c r="F2" s="116"/>
      <c r="G2" s="116"/>
      <c r="H2" s="116"/>
      <c r="I2" s="116" t="s">
        <v>5</v>
      </c>
      <c r="J2" s="116"/>
      <c r="K2" s="116"/>
      <c r="L2" s="116"/>
    </row>
    <row r="3" spans="1:12" x14ac:dyDescent="0.25">
      <c r="A3" s="115" t="s">
        <v>195</v>
      </c>
      <c r="B3" s="116"/>
      <c r="C3" s="116"/>
      <c r="D3" s="116"/>
      <c r="E3" s="116"/>
      <c r="F3" s="116"/>
      <c r="G3" s="116"/>
      <c r="H3" s="116" t="s">
        <v>5</v>
      </c>
      <c r="I3" s="116" t="s">
        <v>5</v>
      </c>
      <c r="J3" s="116"/>
      <c r="K3" s="116"/>
      <c r="L3" s="116"/>
    </row>
    <row r="4" spans="1:12" x14ac:dyDescent="0.25">
      <c r="A4" s="115" t="s">
        <v>196</v>
      </c>
      <c r="B4" s="116" t="s">
        <v>5</v>
      </c>
      <c r="C4" s="116"/>
      <c r="D4" s="116" t="s">
        <v>5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198</v>
      </c>
      <c r="B5" s="116"/>
      <c r="C5" s="116" t="s">
        <v>5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199</v>
      </c>
      <c r="B6" s="116"/>
      <c r="C6" s="116"/>
      <c r="D6" s="116"/>
      <c r="E6" s="116"/>
      <c r="F6" s="116"/>
      <c r="G6" s="116"/>
      <c r="H6" s="116"/>
      <c r="I6" s="116"/>
      <c r="J6" s="116" t="s">
        <v>5</v>
      </c>
      <c r="K6" s="116" t="s">
        <v>5</v>
      </c>
      <c r="L6" s="116"/>
    </row>
    <row r="7" spans="1:12" x14ac:dyDescent="0.25">
      <c r="A7" s="115" t="s">
        <v>200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/>
      <c r="J7" s="116"/>
      <c r="K7" s="116"/>
      <c r="L7" s="116"/>
    </row>
    <row r="8" spans="1:12" x14ac:dyDescent="0.25">
      <c r="A8" s="115" t="s">
        <v>201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/>
      <c r="J8" s="116"/>
      <c r="K8" s="116"/>
      <c r="L8" s="116"/>
    </row>
    <row r="9" spans="1:12" x14ac:dyDescent="0.25">
      <c r="A9" s="115" t="s">
        <v>202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/>
      <c r="J9" s="116"/>
      <c r="K9" s="116"/>
      <c r="L9" s="116"/>
    </row>
    <row r="10" spans="1:12" x14ac:dyDescent="0.25">
      <c r="A10" s="115" t="s">
        <v>203</v>
      </c>
      <c r="B10" s="116"/>
      <c r="C10" s="116" t="s">
        <v>5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204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205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206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207</v>
      </c>
      <c r="B14" s="116"/>
      <c r="C14" s="116" t="s">
        <v>5</v>
      </c>
      <c r="D14" s="116"/>
      <c r="E14" s="116"/>
      <c r="F14" s="116"/>
      <c r="G14" s="116"/>
      <c r="H14" s="116"/>
      <c r="I14" s="116" t="s">
        <v>5</v>
      </c>
      <c r="J14" s="116"/>
      <c r="K14" s="116"/>
      <c r="L14" s="116"/>
    </row>
    <row r="15" spans="1:12" x14ac:dyDescent="0.25">
      <c r="A15" s="117" t="s">
        <v>208</v>
      </c>
      <c r="B15" s="116"/>
      <c r="C15" s="116" t="s">
        <v>5</v>
      </c>
      <c r="D15" s="116"/>
      <c r="E15" s="116"/>
      <c r="F15" s="116"/>
      <c r="G15" s="116"/>
      <c r="H15" s="116"/>
      <c r="I15" s="116" t="s">
        <v>5</v>
      </c>
      <c r="J15" s="116"/>
      <c r="K15" s="116"/>
      <c r="L15" s="116"/>
    </row>
    <row r="16" spans="1:12" x14ac:dyDescent="0.25">
      <c r="A16" s="115" t="s">
        <v>209</v>
      </c>
      <c r="B16" s="116"/>
      <c r="C16" s="116" t="s">
        <v>5</v>
      </c>
      <c r="D16" s="116"/>
      <c r="E16" s="116"/>
      <c r="F16" s="116"/>
      <c r="G16" s="116"/>
      <c r="H16" s="116" t="s">
        <v>5</v>
      </c>
      <c r="I16" s="116" t="s">
        <v>5</v>
      </c>
      <c r="J16" s="116"/>
      <c r="K16" s="116"/>
      <c r="L16" s="116"/>
    </row>
    <row r="17" spans="1:12" x14ac:dyDescent="0.25">
      <c r="A17" s="115" t="s">
        <v>210</v>
      </c>
      <c r="B17" s="116"/>
      <c r="C17" s="116" t="s">
        <v>5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180</v>
      </c>
      <c r="B18" s="116" t="s">
        <v>5</v>
      </c>
      <c r="C18" s="116"/>
      <c r="D18" s="116"/>
      <c r="E18" s="116"/>
      <c r="F18" s="116" t="s">
        <v>5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181</v>
      </c>
      <c r="B19" s="116" t="s">
        <v>5</v>
      </c>
      <c r="C19" s="116"/>
      <c r="D19" s="116"/>
      <c r="E19" s="116"/>
      <c r="F19" s="116" t="s">
        <v>5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182</v>
      </c>
      <c r="B20" s="116" t="s">
        <v>5</v>
      </c>
      <c r="C20" s="116"/>
      <c r="D20" s="116"/>
      <c r="E20" s="116"/>
      <c r="F20" s="116" t="s">
        <v>5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211</v>
      </c>
      <c r="B21" s="116"/>
      <c r="C21" s="116"/>
      <c r="D21" s="116"/>
      <c r="E21" s="116"/>
      <c r="F21" s="116"/>
      <c r="G21" s="116"/>
      <c r="H21" s="116" t="s">
        <v>5</v>
      </c>
      <c r="I21" s="116" t="s">
        <v>5</v>
      </c>
      <c r="J21" s="116"/>
      <c r="K21" s="116"/>
      <c r="L21" s="116"/>
    </row>
    <row r="22" spans="1:12" x14ac:dyDescent="0.25">
      <c r="A22" s="115" t="s">
        <v>213</v>
      </c>
      <c r="B22" s="116" t="s">
        <v>5</v>
      </c>
      <c r="C22" s="116" t="s">
        <v>5</v>
      </c>
      <c r="D22" s="116" t="s">
        <v>5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214</v>
      </c>
      <c r="B23" s="116"/>
      <c r="C23" s="116" t="s">
        <v>5</v>
      </c>
      <c r="D23" s="116"/>
      <c r="E23" s="116"/>
      <c r="F23" s="116"/>
      <c r="G23" s="116"/>
      <c r="H23" s="116"/>
      <c r="I23" s="116" t="s">
        <v>5</v>
      </c>
      <c r="J23" s="116"/>
      <c r="K23" s="116"/>
      <c r="L23" s="116"/>
    </row>
    <row r="24" spans="1:12" x14ac:dyDescent="0.25">
      <c r="A24" s="115" t="s">
        <v>217</v>
      </c>
      <c r="B24" s="116"/>
      <c r="C24" s="116"/>
      <c r="D24" s="116"/>
      <c r="E24" s="116"/>
      <c r="F24" s="116"/>
      <c r="G24" s="116"/>
      <c r="H24" s="116" t="s">
        <v>5</v>
      </c>
      <c r="I24" s="116"/>
      <c r="J24" s="116"/>
      <c r="K24" s="116"/>
      <c r="L24" s="116"/>
    </row>
    <row r="25" spans="1:12" x14ac:dyDescent="0.25">
      <c r="A25" s="115" t="s">
        <v>218</v>
      </c>
      <c r="B25" s="116"/>
      <c r="C25" s="116"/>
      <c r="D25" s="116"/>
      <c r="E25" s="116"/>
      <c r="F25" s="116"/>
      <c r="G25" s="116"/>
      <c r="H25" s="116" t="s">
        <v>5</v>
      </c>
      <c r="I25" s="116"/>
      <c r="J25" s="116"/>
      <c r="K25" s="116"/>
      <c r="L25" s="116"/>
    </row>
    <row r="26" spans="1:12" x14ac:dyDescent="0.25">
      <c r="A26" s="115" t="s">
        <v>219</v>
      </c>
      <c r="B26" s="116"/>
      <c r="C26" s="116" t="s">
        <v>5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220</v>
      </c>
      <c r="B27" s="116"/>
      <c r="C27" s="116" t="s">
        <v>5</v>
      </c>
      <c r="D27" s="116"/>
      <c r="E27" s="116"/>
      <c r="F27" s="116"/>
      <c r="G27" s="116"/>
      <c r="H27" s="116"/>
      <c r="I27" s="116" t="s">
        <v>5</v>
      </c>
      <c r="J27" s="116"/>
      <c r="K27" s="116"/>
      <c r="L27" s="116" t="s">
        <v>5</v>
      </c>
    </row>
    <row r="28" spans="1:12" x14ac:dyDescent="0.25">
      <c r="A28" s="115" t="s">
        <v>221</v>
      </c>
      <c r="B28" s="116"/>
      <c r="C28" s="116"/>
      <c r="D28" s="116"/>
      <c r="E28" s="116"/>
      <c r="F28" s="116"/>
      <c r="G28" s="116"/>
      <c r="H28" s="116" t="s">
        <v>5</v>
      </c>
      <c r="I28" s="116"/>
      <c r="J28" s="116"/>
      <c r="K28" s="116"/>
      <c r="L28" s="116"/>
    </row>
    <row r="29" spans="1:12" x14ac:dyDescent="0.25">
      <c r="A29" s="115" t="s">
        <v>222</v>
      </c>
      <c r="B29" s="116" t="s">
        <v>5</v>
      </c>
      <c r="C29" s="116"/>
      <c r="D29" s="116" t="s">
        <v>5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233</v>
      </c>
      <c r="B30" s="116" t="s">
        <v>5</v>
      </c>
      <c r="C30" s="116" t="s">
        <v>5</v>
      </c>
      <c r="D30" s="116" t="s">
        <v>5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193</v>
      </c>
      <c r="B31" s="116"/>
      <c r="C31" s="116"/>
      <c r="D31" s="116"/>
      <c r="E31" s="116" t="s">
        <v>5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225</v>
      </c>
      <c r="B32" s="116"/>
      <c r="C32" s="116"/>
      <c r="D32" s="116"/>
      <c r="E32" s="116"/>
      <c r="F32" s="116"/>
      <c r="G32" s="116" t="s">
        <v>5</v>
      </c>
      <c r="H32" s="116" t="s">
        <v>5</v>
      </c>
      <c r="I32" s="116"/>
      <c r="J32" s="116"/>
      <c r="K32" s="116"/>
      <c r="L32" s="116"/>
    </row>
    <row r="33" spans="1:12" x14ac:dyDescent="0.25">
      <c r="A33" s="115" t="s">
        <v>226</v>
      </c>
      <c r="B33" s="116"/>
      <c r="C33" s="116"/>
      <c r="D33" s="116"/>
      <c r="E33" s="116"/>
      <c r="F33" s="116"/>
      <c r="G33" s="116" t="s">
        <v>5</v>
      </c>
      <c r="H33" s="116" t="s">
        <v>5</v>
      </c>
      <c r="I33" s="116"/>
      <c r="J33" s="116"/>
      <c r="K33" s="116"/>
      <c r="L33" s="116"/>
    </row>
    <row r="34" spans="1:12" x14ac:dyDescent="0.25">
      <c r="A34" s="115" t="s">
        <v>227</v>
      </c>
      <c r="B34" s="116"/>
      <c r="C34" s="116"/>
      <c r="D34" s="116"/>
      <c r="E34" s="116"/>
      <c r="F34" s="116"/>
      <c r="G34" s="116" t="s">
        <v>5</v>
      </c>
      <c r="H34" s="116" t="s">
        <v>5</v>
      </c>
      <c r="I34" s="116"/>
      <c r="J34" s="116"/>
      <c r="K34" s="116"/>
      <c r="L34" s="116"/>
    </row>
    <row r="35" spans="1:12" x14ac:dyDescent="0.25">
      <c r="A35" s="115" t="s">
        <v>228</v>
      </c>
      <c r="B35" s="116"/>
      <c r="C35" s="116"/>
      <c r="D35" s="116"/>
      <c r="E35" s="116"/>
      <c r="F35" s="116"/>
      <c r="G35" s="116" t="s">
        <v>5</v>
      </c>
      <c r="H35" s="116" t="s">
        <v>5</v>
      </c>
      <c r="I35" s="116"/>
      <c r="J35" s="116"/>
      <c r="K35" s="116"/>
      <c r="L35" s="116"/>
    </row>
    <row r="36" spans="1:12" x14ac:dyDescent="0.25">
      <c r="A36" s="115" t="s">
        <v>229</v>
      </c>
      <c r="B36" s="116"/>
      <c r="C36" s="116"/>
      <c r="D36" s="116"/>
      <c r="E36" s="116"/>
      <c r="F36" s="116"/>
      <c r="G36" s="116" t="s">
        <v>5</v>
      </c>
      <c r="H36" s="116" t="s">
        <v>5</v>
      </c>
      <c r="I36" s="116"/>
      <c r="J36" s="116"/>
      <c r="K36" s="116"/>
      <c r="L36" s="116"/>
    </row>
    <row r="37" spans="1:12" x14ac:dyDescent="0.25">
      <c r="A37" s="115" t="s">
        <v>230</v>
      </c>
      <c r="B37" s="116"/>
      <c r="C37" s="116"/>
      <c r="D37" s="116"/>
      <c r="E37" s="116"/>
      <c r="F37" s="116"/>
      <c r="G37" s="116" t="s">
        <v>5</v>
      </c>
      <c r="H37" s="116" t="s">
        <v>5</v>
      </c>
      <c r="I37" s="116"/>
      <c r="J37" s="116"/>
      <c r="K37" s="116"/>
      <c r="L37" s="116"/>
    </row>
    <row r="38" spans="1:12" x14ac:dyDescent="0.25">
      <c r="A38" s="115" t="s">
        <v>231</v>
      </c>
      <c r="B38" s="116"/>
      <c r="C38" s="116"/>
      <c r="D38" s="116"/>
      <c r="E38" s="116"/>
      <c r="F38" s="116"/>
      <c r="G38" s="116"/>
      <c r="H38" s="116" t="s">
        <v>5</v>
      </c>
      <c r="I38" s="116"/>
      <c r="J38" s="116"/>
      <c r="K38" s="116"/>
      <c r="L38" s="116"/>
    </row>
    <row r="39" spans="1:12" x14ac:dyDescent="0.25">
      <c r="A39" s="115" t="s">
        <v>232</v>
      </c>
      <c r="B39" s="116" t="s">
        <v>5</v>
      </c>
      <c r="C39" s="116"/>
      <c r="D39" s="116"/>
      <c r="E39" s="116"/>
      <c r="F39" s="116"/>
      <c r="G39" s="116" t="s">
        <v>5</v>
      </c>
      <c r="H39" s="116" t="s">
        <v>5</v>
      </c>
      <c r="I39" s="116"/>
      <c r="J39" s="116"/>
      <c r="K39" s="116"/>
      <c r="L39" s="116"/>
    </row>
  </sheetData>
  <sheetProtection algorithmName="SHA-512" hashValue="1JG8OZ92mtx1qaRNtG4631Xsy8wvVYmeDaRW3eO8iVTZSrj5rKyhaKsjVY4P1OutBf5BBp9RWPtPUXsJN0QRIQ==" saltValue="h9Ccr/n3Z6A47sRFTSZQA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264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08" t="s">
        <v>97</v>
      </c>
      <c r="B2" s="116" t="s">
        <v>5</v>
      </c>
      <c r="C2" s="116" t="s">
        <v>5</v>
      </c>
      <c r="D2" s="116" t="s">
        <v>5</v>
      </c>
      <c r="E2" s="116" t="s">
        <v>5</v>
      </c>
      <c r="F2" s="116" t="s">
        <v>5</v>
      </c>
      <c r="G2" s="116" t="s">
        <v>5</v>
      </c>
      <c r="H2" s="116" t="s">
        <v>5</v>
      </c>
      <c r="I2" s="116"/>
      <c r="J2" s="116"/>
      <c r="K2" s="116"/>
      <c r="L2" s="116"/>
    </row>
    <row r="3" spans="1:12" x14ac:dyDescent="0.25">
      <c r="A3" s="108" t="s">
        <v>93</v>
      </c>
      <c r="B3" s="116" t="s">
        <v>5</v>
      </c>
      <c r="C3" s="116" t="s">
        <v>5</v>
      </c>
      <c r="D3" s="116" t="s">
        <v>5</v>
      </c>
      <c r="E3" s="116" t="s">
        <v>5</v>
      </c>
      <c r="F3" s="116" t="s">
        <v>5</v>
      </c>
      <c r="G3" s="116" t="s">
        <v>5</v>
      </c>
      <c r="H3" s="116" t="s">
        <v>5</v>
      </c>
      <c r="I3" s="116"/>
      <c r="J3" s="116"/>
      <c r="K3" s="116"/>
      <c r="L3" s="116"/>
    </row>
    <row r="4" spans="1:12" x14ac:dyDescent="0.25">
      <c r="A4" s="108" t="s">
        <v>96</v>
      </c>
      <c r="B4" s="116" t="s">
        <v>5</v>
      </c>
      <c r="C4" s="116" t="s">
        <v>5</v>
      </c>
      <c r="D4" s="116" t="s">
        <v>5</v>
      </c>
      <c r="E4" s="116" t="s">
        <v>5</v>
      </c>
      <c r="F4" s="116" t="s">
        <v>5</v>
      </c>
      <c r="G4" s="116" t="s">
        <v>5</v>
      </c>
      <c r="H4" s="116" t="s">
        <v>5</v>
      </c>
      <c r="I4" s="116"/>
      <c r="J4" s="116"/>
      <c r="K4" s="116"/>
      <c r="L4" s="116"/>
    </row>
    <row r="5" spans="1:12" x14ac:dyDescent="0.25">
      <c r="A5" s="108" t="s">
        <v>94</v>
      </c>
      <c r="B5" s="116" t="s">
        <v>5</v>
      </c>
      <c r="C5" s="116" t="s">
        <v>5</v>
      </c>
      <c r="D5" s="116" t="s">
        <v>5</v>
      </c>
      <c r="E5" s="116" t="s">
        <v>5</v>
      </c>
      <c r="F5" s="116" t="s">
        <v>5</v>
      </c>
      <c r="G5" s="116" t="s">
        <v>5</v>
      </c>
      <c r="H5" s="116" t="s">
        <v>5</v>
      </c>
      <c r="I5" s="116"/>
      <c r="J5" s="116"/>
      <c r="K5" s="116"/>
      <c r="L5" s="116"/>
    </row>
    <row r="6" spans="1:12" x14ac:dyDescent="0.25">
      <c r="A6" s="108" t="s">
        <v>95</v>
      </c>
      <c r="B6" s="116" t="s">
        <v>5</v>
      </c>
      <c r="C6" s="116" t="s">
        <v>5</v>
      </c>
      <c r="D6" s="116" t="s">
        <v>5</v>
      </c>
      <c r="E6" s="116" t="s">
        <v>5</v>
      </c>
      <c r="F6" s="116" t="s">
        <v>5</v>
      </c>
      <c r="G6" s="116" t="s">
        <v>5</v>
      </c>
      <c r="H6" s="116" t="s">
        <v>5</v>
      </c>
      <c r="I6" s="116"/>
      <c r="J6" s="116"/>
      <c r="K6" s="116"/>
      <c r="L6" s="116"/>
    </row>
    <row r="7" spans="1:12" x14ac:dyDescent="0.25">
      <c r="A7" s="108" t="s">
        <v>132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 t="s">
        <v>5</v>
      </c>
      <c r="J7" s="116"/>
      <c r="K7" s="116"/>
      <c r="L7" s="116" t="s">
        <v>5</v>
      </c>
    </row>
    <row r="8" spans="1:12" x14ac:dyDescent="0.25">
      <c r="A8" s="108" t="s">
        <v>133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 t="s">
        <v>5</v>
      </c>
      <c r="J8" s="116"/>
      <c r="K8" s="116"/>
      <c r="L8" s="116" t="s">
        <v>5</v>
      </c>
    </row>
    <row r="9" spans="1:12" x14ac:dyDescent="0.25">
      <c r="A9" s="108" t="s">
        <v>134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 t="s">
        <v>5</v>
      </c>
      <c r="J9" s="116"/>
      <c r="K9" s="116"/>
      <c r="L9" s="116" t="s">
        <v>5</v>
      </c>
    </row>
    <row r="10" spans="1:12" x14ac:dyDescent="0.25">
      <c r="A10" s="108" t="s">
        <v>135</v>
      </c>
      <c r="B10" s="116"/>
      <c r="C10" s="116" t="s">
        <v>5</v>
      </c>
      <c r="D10" s="116"/>
      <c r="E10" s="116"/>
      <c r="F10" s="116"/>
      <c r="G10" s="116"/>
      <c r="H10" s="116" t="s">
        <v>5</v>
      </c>
      <c r="I10" s="116" t="s">
        <v>5</v>
      </c>
      <c r="J10" s="116"/>
      <c r="K10" s="116"/>
      <c r="L10" s="116" t="s">
        <v>5</v>
      </c>
    </row>
    <row r="11" spans="1:12" x14ac:dyDescent="0.25">
      <c r="A11" s="108" t="s">
        <v>87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 t="s">
        <v>5</v>
      </c>
      <c r="K11" s="116" t="s">
        <v>5</v>
      </c>
      <c r="L11" s="116"/>
    </row>
    <row r="12" spans="1:12" x14ac:dyDescent="0.25">
      <c r="A12" s="108" t="s">
        <v>88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 t="s">
        <v>5</v>
      </c>
      <c r="L12" s="116"/>
    </row>
    <row r="13" spans="1:12" x14ac:dyDescent="0.25">
      <c r="A13" s="108" t="s">
        <v>89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 t="s">
        <v>5</v>
      </c>
      <c r="L13" s="116"/>
    </row>
    <row r="14" spans="1:12" x14ac:dyDescent="0.25">
      <c r="A14" s="108" t="s">
        <v>90</v>
      </c>
      <c r="B14" s="116"/>
      <c r="C14" s="116" t="s">
        <v>5</v>
      </c>
      <c r="D14" s="116"/>
      <c r="E14" s="116"/>
      <c r="F14" s="116"/>
      <c r="G14" s="116"/>
      <c r="H14" s="116"/>
      <c r="I14" s="116"/>
      <c r="J14" s="116"/>
      <c r="K14" s="116" t="s">
        <v>5</v>
      </c>
      <c r="L14" s="116"/>
    </row>
  </sheetData>
  <sheetProtection algorithmName="SHA-512" hashValue="JXdEucai+ewssMpY7+eUHLOIy3L4bxGNW5Za3GwuLcXjpOpFacSD5IzkyLIpxfKzL8k3IH2J+h/L2y+vFNktQg==" saltValue="Z5FUuO6lxtRexfoF6akU/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5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5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5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5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5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5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5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5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5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zGvG5yE5/focOhs1GbQYzy1JWfdefx8DkB/3jNR7dbvSxVSRin41Xw25e2dHiUtLs6z/OtaPo7CGvvlm8O1Yw==" saltValue="ncd47tB3CsV4FauLIHTvPg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307</v>
      </c>
    </row>
    <row r="2" spans="1:7" ht="14.25" customHeight="1" x14ac:dyDescent="0.3">
      <c r="A2" s="122" t="s">
        <v>237</v>
      </c>
      <c r="B2" s="107"/>
      <c r="C2" s="105" t="s">
        <v>97</v>
      </c>
      <c r="D2" s="105" t="s">
        <v>93</v>
      </c>
      <c r="E2" s="105" t="s">
        <v>96</v>
      </c>
      <c r="F2" s="105" t="s">
        <v>94</v>
      </c>
      <c r="G2" s="105" t="s">
        <v>95</v>
      </c>
    </row>
    <row r="3" spans="1:7" ht="14.25" customHeight="1" x14ac:dyDescent="0.25">
      <c r="B3" s="117" t="s">
        <v>294</v>
      </c>
      <c r="C3" s="118" t="s">
        <v>8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280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277</v>
      </c>
    </row>
    <row r="6" spans="1:7" ht="14.25" customHeight="1" x14ac:dyDescent="0.25">
      <c r="B6" s="117" t="s">
        <v>222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213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196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233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232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301</v>
      </c>
    </row>
    <row r="13" spans="1:7" ht="14.25" customHeight="1" x14ac:dyDescent="0.3">
      <c r="A13" s="123"/>
      <c r="B13" s="117" t="s">
        <v>211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308</v>
      </c>
    </row>
    <row r="16" spans="1:7" ht="14.25" customHeight="1" x14ac:dyDescent="0.3">
      <c r="A16" s="122" t="s">
        <v>311</v>
      </c>
      <c r="B16" s="117" t="s">
        <v>288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285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124</v>
      </c>
      <c r="B18" s="117" t="s">
        <v>291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304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199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307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237</v>
      </c>
      <c r="B26" s="107"/>
      <c r="C26" s="105" t="s">
        <v>97</v>
      </c>
      <c r="D26" s="105" t="s">
        <v>93</v>
      </c>
      <c r="E26" s="105" t="s">
        <v>96</v>
      </c>
      <c r="F26" s="105" t="s">
        <v>94</v>
      </c>
      <c r="G26" s="105" t="s">
        <v>95</v>
      </c>
    </row>
    <row r="27" spans="1:7" x14ac:dyDescent="0.25">
      <c r="B27" s="117" t="s">
        <v>295</v>
      </c>
      <c r="C27" s="118" t="s">
        <v>8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281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278</v>
      </c>
    </row>
    <row r="30" spans="1:7" x14ac:dyDescent="0.25">
      <c r="B30" s="117" t="s">
        <v>309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299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27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314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312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302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297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308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311</v>
      </c>
      <c r="B40" s="117" t="s">
        <v>289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286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124</v>
      </c>
      <c r="B42" s="117" t="s">
        <v>292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305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283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276</v>
      </c>
    </row>
    <row r="49" spans="1:7" ht="13" x14ac:dyDescent="0.3">
      <c r="A49" s="120" t="s">
        <v>307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237</v>
      </c>
      <c r="B50" s="107"/>
      <c r="C50" s="105" t="s">
        <v>97</v>
      </c>
      <c r="D50" s="105" t="s">
        <v>93</v>
      </c>
      <c r="E50" s="105" t="s">
        <v>96</v>
      </c>
      <c r="F50" s="105" t="s">
        <v>94</v>
      </c>
      <c r="G50" s="105" t="s">
        <v>95</v>
      </c>
    </row>
    <row r="51" spans="1:7" x14ac:dyDescent="0.25">
      <c r="B51" s="117" t="s">
        <v>296</v>
      </c>
      <c r="C51" s="118" t="s">
        <v>8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282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279</v>
      </c>
    </row>
    <row r="54" spans="1:7" x14ac:dyDescent="0.25">
      <c r="B54" s="117" t="s">
        <v>310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300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28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315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313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298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308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311</v>
      </c>
      <c r="B64" s="117" t="s">
        <v>290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287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124</v>
      </c>
      <c r="B66" s="117" t="s">
        <v>293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306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284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DiWAm80hiSLSVqquiXCewPyLa6a7uHt4fkt3oI0+GHouSav+KJgKiq2/2F0H0JMZh17BHncT8LALEZdKyaTLaQ==" saltValue="voIVmrq188W67GjvcRX5y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192</v>
      </c>
      <c r="B1" s="105"/>
      <c r="C1" s="105" t="s">
        <v>71</v>
      </c>
      <c r="D1" s="105" t="s">
        <v>78</v>
      </c>
      <c r="E1" s="105" t="s">
        <v>70</v>
      </c>
      <c r="F1" s="107" t="s">
        <v>77</v>
      </c>
    </row>
    <row r="2" spans="1:6" ht="15.75" customHeight="1" x14ac:dyDescent="0.25">
      <c r="A2" s="117" t="s">
        <v>194</v>
      </c>
      <c r="B2" s="117" t="s">
        <v>317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316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195</v>
      </c>
      <c r="B4" s="117" t="s">
        <v>317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207</v>
      </c>
      <c r="B6" s="117" t="s">
        <v>317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316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208</v>
      </c>
      <c r="B8" s="117" t="s">
        <v>317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316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209</v>
      </c>
      <c r="B10" s="117" t="s">
        <v>317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316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214</v>
      </c>
      <c r="B12" s="117" t="s">
        <v>317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316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220</v>
      </c>
      <c r="B14" s="117" t="s">
        <v>317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316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192</v>
      </c>
      <c r="B18" s="105"/>
      <c r="C18" s="105" t="s">
        <v>71</v>
      </c>
      <c r="D18" s="105" t="s">
        <v>78</v>
      </c>
      <c r="E18" s="105" t="s">
        <v>70</v>
      </c>
      <c r="F18" s="107" t="s">
        <v>77</v>
      </c>
    </row>
    <row r="19" spans="1:6" ht="15.75" customHeight="1" x14ac:dyDescent="0.25">
      <c r="A19" s="117" t="s">
        <v>194</v>
      </c>
      <c r="B19" s="117" t="s">
        <v>317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316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195</v>
      </c>
      <c r="B21" s="117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207</v>
      </c>
      <c r="B23" s="117" t="s">
        <v>317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316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208</v>
      </c>
      <c r="B25" s="117" t="s">
        <v>317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316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209</v>
      </c>
      <c r="B27" s="117" t="s">
        <v>317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316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214</v>
      </c>
      <c r="B29" s="117" t="s">
        <v>317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316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220</v>
      </c>
      <c r="B31" s="117" t="s">
        <v>317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316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276</v>
      </c>
    </row>
    <row r="35" spans="1:6" ht="15.75" customHeight="1" x14ac:dyDescent="0.3">
      <c r="A35" s="107" t="s">
        <v>192</v>
      </c>
      <c r="B35" s="105"/>
      <c r="C35" s="105" t="s">
        <v>71</v>
      </c>
      <c r="D35" s="105" t="s">
        <v>78</v>
      </c>
      <c r="E35" s="105" t="s">
        <v>70</v>
      </c>
      <c r="F35" s="107" t="s">
        <v>77</v>
      </c>
    </row>
    <row r="36" spans="1:6" ht="15.75" customHeight="1" x14ac:dyDescent="0.25">
      <c r="A36" s="117" t="s">
        <v>194</v>
      </c>
      <c r="B36" s="117" t="s">
        <v>317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316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195</v>
      </c>
      <c r="B38" s="117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207</v>
      </c>
      <c r="B40" s="117" t="s">
        <v>317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316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208</v>
      </c>
      <c r="B42" s="117" t="s">
        <v>317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316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209</v>
      </c>
      <c r="B44" s="117" t="s">
        <v>317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316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214</v>
      </c>
      <c r="B46" s="117" t="s">
        <v>317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316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220</v>
      </c>
      <c r="B48" s="117" t="s">
        <v>317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316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8Cc7nc9y3vW8iMaKtw+7g9ZKvyzalTsct+LILhP/jwL94zjOlAtd/ZI0eqAFus9m+uM0R2UvD4DiYiNhxaPDwA==" saltValue="wJlp0haZCWHGpmjSJKYd0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cWWTA2ldth/pMl13koh5LG314UBYXadQ+KUIfVOfi4PDeEliIe9zISpi9YOdPwzz7JGqd3hbYA7PQRW+DBLOjA==" saltValue="r3QyDMVebU1j7vYE1+mHx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s75aGvEbvV/WmjHW9410pu1P++ZF2tQExOvTRqt9L51nOYRZJC/w/rmX2GFTjgige6DtkSPFBXMVQ85cLUtwOQ==" saltValue="pmiQ3XpPkHaTAwzbdPqIa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213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BX+UwcSX6glMB0zF0QigYB4D46HIkU6fNcNwEi6orSAfotUgUhT1KUSzvyT4O0F0d9ZxDv+1YG1uUTZ+KGHD2w==" saltValue="WctjslsrzfreL/p+TwujJ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y+0nmrXcvX25cFUASJPHdj4A1jH5V0DZ/z7OTiBV/dR9xAVFiTZwBuerZG1kRrwvk7kmHCejXQqRNrUGx94hww==" saltValue="bLK936MlfGEDn+PKZcJ6C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192</v>
      </c>
      <c r="B1" s="4" t="s">
        <v>371</v>
      </c>
      <c r="C1" s="82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5" t="s">
        <v>225</v>
      </c>
      <c r="B2" s="5" t="s">
        <v>103</v>
      </c>
      <c r="C2" s="5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222</v>
      </c>
      <c r="B5" s="5" t="s">
        <v>236</v>
      </c>
      <c r="C5" s="5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213</v>
      </c>
      <c r="B9" s="5" t="s">
        <v>236</v>
      </c>
      <c r="C9" s="5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233</v>
      </c>
      <c r="B13" s="5" t="s">
        <v>236</v>
      </c>
      <c r="C13" s="5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196</v>
      </c>
      <c r="B17" s="5" t="s">
        <v>236</v>
      </c>
      <c r="C17" s="5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369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6</v>
      </c>
      <c r="C19" s="5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202</v>
      </c>
      <c r="B21" s="5" t="s">
        <v>111</v>
      </c>
      <c r="C21" s="5" t="s">
        <v>368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370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200</v>
      </c>
      <c r="B23" s="5" t="s">
        <v>111</v>
      </c>
      <c r="C23" s="5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201</v>
      </c>
      <c r="B25" s="5" t="s">
        <v>111</v>
      </c>
      <c r="C25" s="5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229</v>
      </c>
      <c r="B27" s="5" t="s">
        <v>103</v>
      </c>
      <c r="C27" s="5" t="s">
        <v>368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370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369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230</v>
      </c>
      <c r="B30" s="5" t="s">
        <v>103</v>
      </c>
      <c r="C30" s="5" t="s">
        <v>368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370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369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228</v>
      </c>
      <c r="B33" s="5" t="s">
        <v>103</v>
      </c>
      <c r="C33" s="5" t="s">
        <v>368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370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369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227</v>
      </c>
      <c r="B36" s="5" t="s">
        <v>103</v>
      </c>
      <c r="C36" s="5" t="s">
        <v>368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370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369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226</v>
      </c>
      <c r="B39" s="5" t="s">
        <v>103</v>
      </c>
      <c r="C39" s="5" t="s">
        <v>368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370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369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232</v>
      </c>
      <c r="B42" s="5" t="s">
        <v>103</v>
      </c>
      <c r="C42" s="5" t="s">
        <v>368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370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369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121</v>
      </c>
      <c r="C45" s="5" t="s">
        <v>368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370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369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221</v>
      </c>
      <c r="B48" s="5" t="s">
        <v>103</v>
      </c>
      <c r="C48" s="5" t="s">
        <v>368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370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231</v>
      </c>
      <c r="B50" s="5" t="s">
        <v>103</v>
      </c>
      <c r="C50" s="5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370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211</v>
      </c>
      <c r="B52" s="5" t="s">
        <v>115</v>
      </c>
      <c r="C52" s="5" t="s">
        <v>368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370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360</v>
      </c>
      <c r="B55" s="97"/>
      <c r="C55" s="97"/>
    </row>
    <row r="56" spans="1:8" ht="13" x14ac:dyDescent="0.3">
      <c r="A56" s="4" t="s">
        <v>192</v>
      </c>
      <c r="B56" s="4" t="s">
        <v>371</v>
      </c>
      <c r="C56" s="82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5" t="s">
        <v>225</v>
      </c>
      <c r="B57" s="5" t="s">
        <v>103</v>
      </c>
      <c r="C57" s="5" t="s">
        <v>368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370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369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222</v>
      </c>
      <c r="B60" s="5" t="s">
        <v>236</v>
      </c>
      <c r="C60" s="5" t="s">
        <v>368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369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213</v>
      </c>
      <c r="B64" s="5" t="s">
        <v>236</v>
      </c>
      <c r="C64" s="5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233</v>
      </c>
      <c r="B68" s="5" t="s">
        <v>236</v>
      </c>
      <c r="C68" s="5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369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368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369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196</v>
      </c>
      <c r="B72" s="5" t="s">
        <v>236</v>
      </c>
      <c r="C72" s="5" t="s">
        <v>368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6</v>
      </c>
      <c r="C74" s="5" t="s">
        <v>368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369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202</v>
      </c>
      <c r="B76" s="5" t="s">
        <v>111</v>
      </c>
      <c r="C76" s="5" t="s">
        <v>368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370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200</v>
      </c>
      <c r="B78" s="5" t="s">
        <v>111</v>
      </c>
      <c r="C78" s="5" t="s">
        <v>368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370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201</v>
      </c>
      <c r="B80" s="5" t="s">
        <v>111</v>
      </c>
      <c r="C80" s="5" t="s">
        <v>368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370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229</v>
      </c>
      <c r="B82" s="5" t="s">
        <v>103</v>
      </c>
      <c r="C82" s="5" t="s">
        <v>368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370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369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230</v>
      </c>
      <c r="B85" s="5" t="s">
        <v>103</v>
      </c>
      <c r="C85" s="5" t="s">
        <v>368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370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369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228</v>
      </c>
      <c r="B88" s="5" t="s">
        <v>103</v>
      </c>
      <c r="C88" s="5" t="s">
        <v>368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370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369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227</v>
      </c>
      <c r="B91" s="5" t="s">
        <v>103</v>
      </c>
      <c r="C91" s="5" t="s">
        <v>368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370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369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226</v>
      </c>
      <c r="B94" s="5" t="s">
        <v>103</v>
      </c>
      <c r="C94" s="5" t="s">
        <v>368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370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369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232</v>
      </c>
      <c r="B97" s="5" t="s">
        <v>103</v>
      </c>
      <c r="C97" s="5" t="s">
        <v>368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370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369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121</v>
      </c>
      <c r="C100" s="5" t="s">
        <v>368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370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369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221</v>
      </c>
      <c r="B103" s="5" t="s">
        <v>103</v>
      </c>
      <c r="C103" s="5" t="s">
        <v>368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370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231</v>
      </c>
      <c r="B105" s="5" t="s">
        <v>103</v>
      </c>
      <c r="C105" s="5" t="s">
        <v>368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370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211</v>
      </c>
      <c r="B107" s="5" t="s">
        <v>115</v>
      </c>
      <c r="C107" s="5" t="s">
        <v>368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370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367</v>
      </c>
      <c r="B110" s="97"/>
      <c r="C110" s="97"/>
    </row>
    <row r="111" spans="1:8" ht="13" x14ac:dyDescent="0.3">
      <c r="A111" s="4" t="s">
        <v>192</v>
      </c>
      <c r="B111" s="4" t="s">
        <v>371</v>
      </c>
      <c r="C111" s="82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5" t="s">
        <v>225</v>
      </c>
      <c r="B112" s="5" t="s">
        <v>103</v>
      </c>
      <c r="C112" s="5" t="s">
        <v>368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370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369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222</v>
      </c>
      <c r="B115" s="5" t="s">
        <v>236</v>
      </c>
      <c r="C115" s="5" t="s">
        <v>368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369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368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369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213</v>
      </c>
      <c r="B119" s="5" t="s">
        <v>236</v>
      </c>
      <c r="C119" s="5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233</v>
      </c>
      <c r="B123" s="5" t="s">
        <v>236</v>
      </c>
      <c r="C123" s="5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369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368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369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196</v>
      </c>
      <c r="B127" s="5" t="s">
        <v>236</v>
      </c>
      <c r="C127" s="5" t="s">
        <v>368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369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6</v>
      </c>
      <c r="C129" s="5" t="s">
        <v>368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369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202</v>
      </c>
      <c r="B131" s="5" t="s">
        <v>111</v>
      </c>
      <c r="C131" s="5" t="s">
        <v>368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370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200</v>
      </c>
      <c r="B133" s="5" t="s">
        <v>111</v>
      </c>
      <c r="C133" s="5" t="s">
        <v>368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370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201</v>
      </c>
      <c r="B135" s="5" t="s">
        <v>111</v>
      </c>
      <c r="C135" s="5" t="s">
        <v>368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370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229</v>
      </c>
      <c r="B137" s="5" t="s">
        <v>103</v>
      </c>
      <c r="C137" s="5" t="s">
        <v>368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370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369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230</v>
      </c>
      <c r="B140" s="5" t="s">
        <v>103</v>
      </c>
      <c r="C140" s="5" t="s">
        <v>368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370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369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228</v>
      </c>
      <c r="B143" s="5" t="s">
        <v>103</v>
      </c>
      <c r="C143" s="5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370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227</v>
      </c>
      <c r="B146" s="5" t="s">
        <v>103</v>
      </c>
      <c r="C146" s="5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226</v>
      </c>
      <c r="B149" s="5" t="s">
        <v>103</v>
      </c>
      <c r="C149" s="5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232</v>
      </c>
      <c r="B152" s="5" t="s">
        <v>103</v>
      </c>
      <c r="C152" s="5" t="s">
        <v>368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370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369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121</v>
      </c>
      <c r="C155" s="5" t="s">
        <v>368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221</v>
      </c>
      <c r="B158" s="5" t="s">
        <v>103</v>
      </c>
      <c r="C158" s="5" t="s">
        <v>368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370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231</v>
      </c>
      <c r="B160" s="5" t="s">
        <v>103</v>
      </c>
      <c r="C160" s="5" t="s">
        <v>368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370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211</v>
      </c>
      <c r="B162" s="5" t="s">
        <v>115</v>
      </c>
      <c r="C162" s="5" t="s">
        <v>368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370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vKI+/ZNl5C1mdjv8lHHAzMQsxAg6H/O/DnHoRrtZZ4qK/05hg4bMMgFwQ5V+suKkhpOTNTI6PlbD+V1xsUCSbw==" saltValue="2TI/nt6wwUNWHspS7JF20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TMIilkc2n7WpP6fbQyiE99hh4gCezwyGhDMJ8YfjrCBz73UoIZF8aM1KjpyyT2LR9LL/KXk5jt3tNhfCRxXsdA==" saltValue="aSuEOKmlH9ynwqjUdCbMg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2025-07-08T03:42:28Z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