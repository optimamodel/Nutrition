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FD4FDC62-C7E1-4C84-A107-FFEE8D97F4E3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E116" i="27"/>
  <c r="D116" i="27"/>
  <c r="H101" i="27"/>
  <c r="H158" i="27" s="1"/>
  <c r="G101" i="27"/>
  <c r="F101" i="27"/>
  <c r="F158" i="27" s="1"/>
  <c r="E101" i="27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4" i="2"/>
  <c r="A31" i="2"/>
  <c r="A26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I3" i="2"/>
  <c r="I9" i="2"/>
  <c r="A25" i="2"/>
  <c r="I6" i="2"/>
  <c r="I12" i="2"/>
  <c r="A35" i="2"/>
  <c r="A36" i="2"/>
  <c r="I7" i="2"/>
  <c r="I13" i="2"/>
  <c r="A37" i="2"/>
  <c r="I4" i="2"/>
  <c r="I2" i="2"/>
  <c r="I8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<sst xmlns="http://schemas.openxmlformats.org/spreadsheetml/2006/main" count="2169" uniqueCount="373">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</sst>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148583</v>
      </c>
    </row>
    <row r="8" spans="1:3" ht="15" customHeight="1" x14ac:dyDescent="0.25">
      <c r="B8" s="5" t="s">
        <v>63</v>
      </c>
      <c r="C8" s="44">
        <v>0.41799999999999998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0.67002499999999998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0.05</v>
      </c>
    </row>
    <row r="24" spans="1:3" ht="15" customHeight="1" x14ac:dyDescent="0.25">
      <c r="B24" s="15" t="s">
        <v>65</v>
      </c>
      <c r="C24" s="45">
        <v>0.46779999999999999</v>
      </c>
    </row>
    <row r="25" spans="1:3" ht="15" customHeight="1" x14ac:dyDescent="0.25">
      <c r="B25" s="15" t="s">
        <v>66</v>
      </c>
      <c r="C25" s="45">
        <v>0.38690000000000002</v>
      </c>
    </row>
    <row r="26" spans="1:3" ht="15" customHeight="1" x14ac:dyDescent="0.25">
      <c r="B26" s="15" t="s">
        <v>67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0.245821801532287</v>
      </c>
    </row>
    <row r="30" spans="1:3" ht="14.25" customHeight="1" x14ac:dyDescent="0.25">
      <c r="B30" s="25" t="s">
        <v>82</v>
      </c>
      <c r="C30" s="97">
        <v>9.0628283207226698E-2</v>
      </c>
    </row>
    <row r="31" spans="1:3" ht="14.25" customHeight="1" x14ac:dyDescent="0.25">
      <c r="B31" s="25" t="s">
        <v>29</v>
      </c>
      <c r="C31" s="97">
        <v>0.12440493600631899</v>
      </c>
    </row>
    <row r="32" spans="1:3" ht="14.25" customHeight="1" x14ac:dyDescent="0.25">
      <c r="B32" s="25" t="s">
        <v>30</v>
      </c>
      <c r="C32" s="97">
        <v>0.53914497925416693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22.225660000000001</v>
      </c>
    </row>
    <row r="38" spans="1:5" ht="15" customHeight="1" x14ac:dyDescent="0.25">
      <c r="B38" s="11" t="s">
        <v>54</v>
      </c>
      <c r="C38" s="43">
        <v>43.078240000000001</v>
      </c>
      <c r="D38" s="12"/>
      <c r="E38" s="13"/>
    </row>
    <row r="39" spans="1:5" ht="15" customHeight="1" x14ac:dyDescent="0.25">
      <c r="B39" s="11" t="s">
        <v>80</v>
      </c>
      <c r="C39" s="43">
        <v>50.548969999999997</v>
      </c>
      <c r="D39" s="12"/>
      <c r="E39" s="12"/>
    </row>
    <row r="40" spans="1:5" ht="15" customHeight="1" x14ac:dyDescent="0.25">
      <c r="B40" s="11" t="s">
        <v>55</v>
      </c>
      <c r="C40" s="98">
        <v>2.04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6.1151E-3</v>
      </c>
      <c r="D45" s="12"/>
    </row>
    <row r="46" spans="1:5" ht="15.75" customHeight="1" x14ac:dyDescent="0.25">
      <c r="B46" s="11" t="s">
        <v>70</v>
      </c>
      <c r="C46" s="45">
        <v>6.5706000000000001E-2</v>
      </c>
      <c r="D46" s="12"/>
    </row>
    <row r="47" spans="1:5" ht="15.75" customHeight="1" x14ac:dyDescent="0.25">
      <c r="B47" s="11" t="s">
        <v>78</v>
      </c>
      <c r="C47" s="45">
        <v>7.5186000000000003E-2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2.028</v>
      </c>
      <c r="D51" s="12"/>
    </row>
    <row r="52" spans="1:4" ht="15" customHeight="1" x14ac:dyDescent="0.25">
      <c r="B52" s="11" t="s">
        <v>32</v>
      </c>
      <c r="C52" s="98">
        <v>2.028</v>
      </c>
    </row>
    <row r="53" spans="1:4" ht="15.75" customHeight="1" x14ac:dyDescent="0.25">
      <c r="B53" s="11" t="s">
        <v>35</v>
      </c>
      <c r="C53" s="98">
        <v>2.8079999999999998</v>
      </c>
    </row>
    <row r="54" spans="1:4" ht="15.75" customHeight="1" x14ac:dyDescent="0.25">
      <c r="B54" s="11" t="s">
        <v>33</v>
      </c>
      <c r="C54" s="98">
        <v>4.6280000000000001</v>
      </c>
    </row>
    <row r="55" spans="1:4" ht="15.75" customHeight="1" x14ac:dyDescent="0.25">
      <c r="B55" s="11" t="s">
        <v>34</v>
      </c>
      <c r="C55" s="98">
        <v>2.2706666666666671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0.595418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0.18212018190000001</v>
      </c>
    </row>
    <row r="63" spans="1:4" ht="15.75" customHeight="1" x14ac:dyDescent="0.3">
      <c r="A63" s="4"/>
    </row>
  </sheetData>
  <sheetProtection algorithmName="SHA-512" hashValue="DS9bkqVq7Bpor9gc3mHedzroKGkBBkJkEbD5Ed5/NLFTeplO+Td7J88i/4md+FS4iBhMSJyPCLzBMbhWGbZohg==" saltValue="97PTcHYIz0SzcdxP5pfv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vTD0JMWT1U4q/VIOT2weyw1alZ+xN8Ej5Ssx2LLvLkDfNaGIQvOmFZpqHK/EB5r6KrbH2+4AMH6NTu9wTweWQ==" saltValue="vFzkD//wB/CVVEqggYMtD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1.211166661965745E-2</v>
      </c>
    </row>
    <row r="4" spans="1:8" ht="15.75" customHeight="1" x14ac:dyDescent="0.25">
      <c r="B4" s="19" t="s">
        <v>116</v>
      </c>
      <c r="C4" s="99">
        <v>6.0140451444212033E-2</v>
      </c>
    </row>
    <row r="5" spans="1:8" ht="15.75" customHeight="1" x14ac:dyDescent="0.25">
      <c r="B5" s="19" t="s">
        <v>114</v>
      </c>
      <c r="C5" s="99">
        <v>8.0966120780000275E-2</v>
      </c>
    </row>
    <row r="6" spans="1:8" ht="15.75" customHeight="1" x14ac:dyDescent="0.25">
      <c r="B6" s="19" t="s">
        <v>110</v>
      </c>
      <c r="C6" s="99">
        <v>0.23734577736489759</v>
      </c>
    </row>
    <row r="7" spans="1:8" ht="15.75" customHeight="1" x14ac:dyDescent="0.25">
      <c r="B7" s="19" t="s">
        <v>115</v>
      </c>
      <c r="C7" s="99">
        <v>0.39154340758184181</v>
      </c>
    </row>
    <row r="8" spans="1:8" ht="15.75" customHeight="1" x14ac:dyDescent="0.25">
      <c r="B8" s="19" t="s">
        <v>117</v>
      </c>
      <c r="C8" s="99">
        <v>2.095209403917522E-3</v>
      </c>
    </row>
    <row r="9" spans="1:8" ht="15.75" customHeight="1" x14ac:dyDescent="0.25">
      <c r="B9" s="19" t="s">
        <v>111</v>
      </c>
      <c r="C9" s="99">
        <v>9.3685606167444854E-2</v>
      </c>
    </row>
    <row r="10" spans="1:8" ht="15.75" customHeight="1" x14ac:dyDescent="0.25">
      <c r="B10" s="19" t="s">
        <v>113</v>
      </c>
      <c r="C10" s="99">
        <v>0.1221117606380285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121</v>
      </c>
      <c r="C15" s="99">
        <v>0.26263023034971061</v>
      </c>
      <c r="D15" s="99">
        <v>0.26263023034971061</v>
      </c>
      <c r="E15" s="99">
        <v>0.26263023034971061</v>
      </c>
      <c r="F15" s="99">
        <v>0.26263023034971061</v>
      </c>
    </row>
    <row r="16" spans="1:8" ht="15.75" customHeight="1" x14ac:dyDescent="0.25">
      <c r="B16" s="19" t="s">
        <v>2</v>
      </c>
      <c r="C16" s="99">
        <v>3.0839661308733311E-2</v>
      </c>
      <c r="D16" s="99">
        <v>3.0839661308733311E-2</v>
      </c>
      <c r="E16" s="99">
        <v>3.0839661308733311E-2</v>
      </c>
      <c r="F16" s="99">
        <v>3.0839661308733311E-2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9.223166814531164E-2</v>
      </c>
      <c r="D19" s="99">
        <v>9.223166814531164E-2</v>
      </c>
      <c r="E19" s="99">
        <v>9.223166814531164E-2</v>
      </c>
      <c r="F19" s="99">
        <v>9.223166814531164E-2</v>
      </c>
    </row>
    <row r="20" spans="1:8" ht="15.75" customHeight="1" x14ac:dyDescent="0.25">
      <c r="B20" s="19" t="s">
        <v>98</v>
      </c>
      <c r="C20" s="99">
        <v>6.1898808544440694E-3</v>
      </c>
      <c r="D20" s="99">
        <v>6.1898808544440694E-3</v>
      </c>
      <c r="E20" s="99">
        <v>6.1898808544440694E-3</v>
      </c>
      <c r="F20" s="99">
        <v>6.1898808544440694E-3</v>
      </c>
    </row>
    <row r="21" spans="1:8" ht="15.75" customHeight="1" x14ac:dyDescent="0.25">
      <c r="B21" s="19" t="s">
        <v>107</v>
      </c>
      <c r="C21" s="99">
        <v>0.14044849122108119</v>
      </c>
      <c r="D21" s="99">
        <v>0.14044849122108119</v>
      </c>
      <c r="E21" s="99">
        <v>0.14044849122108119</v>
      </c>
      <c r="F21" s="99">
        <v>0.14044849122108119</v>
      </c>
    </row>
    <row r="22" spans="1:8" ht="15.75" customHeight="1" x14ac:dyDescent="0.25">
      <c r="B22" s="19" t="s">
        <v>118</v>
      </c>
      <c r="C22" s="99">
        <v>0.2616173474286661</v>
      </c>
      <c r="D22" s="99">
        <v>0.2616173474286661</v>
      </c>
      <c r="E22" s="99">
        <v>0.2616173474286661</v>
      </c>
      <c r="F22" s="99">
        <v>0.2616173474286661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4.8008347E-2</v>
      </c>
    </row>
    <row r="27" spans="1:8" ht="15.75" customHeight="1" x14ac:dyDescent="0.25">
      <c r="B27" s="19" t="s">
        <v>108</v>
      </c>
      <c r="C27" s="99">
        <v>1.9052040999999999E-2</v>
      </c>
    </row>
    <row r="28" spans="1:8" ht="15.75" customHeight="1" x14ac:dyDescent="0.25">
      <c r="B28" s="19" t="s">
        <v>122</v>
      </c>
      <c r="C28" s="99">
        <v>0.22942046699999999</v>
      </c>
    </row>
    <row r="29" spans="1:8" ht="15.75" customHeight="1" x14ac:dyDescent="0.25">
      <c r="B29" s="19" t="s">
        <v>105</v>
      </c>
      <c r="C29" s="99">
        <v>0.138432112</v>
      </c>
    </row>
    <row r="30" spans="1:8" ht="15.75" customHeight="1" x14ac:dyDescent="0.25">
      <c r="B30" s="19" t="s">
        <v>4</v>
      </c>
      <c r="C30" s="99">
        <v>5.0081873999999998E-2</v>
      </c>
    </row>
    <row r="31" spans="1:8" ht="15.75" customHeight="1" x14ac:dyDescent="0.25">
      <c r="B31" s="19" t="s">
        <v>99</v>
      </c>
      <c r="C31" s="99">
        <v>7.0297943000000002E-2</v>
      </c>
    </row>
    <row r="32" spans="1:8" ht="15.75" customHeight="1" x14ac:dyDescent="0.25">
      <c r="B32" s="19" t="s">
        <v>104</v>
      </c>
      <c r="C32" s="99">
        <v>0.149011013</v>
      </c>
    </row>
    <row r="33" spans="2:3" ht="15.75" customHeight="1" x14ac:dyDescent="0.25">
      <c r="B33" s="19" t="s">
        <v>119</v>
      </c>
      <c r="C33" s="99">
        <v>0.122429312</v>
      </c>
    </row>
    <row r="34" spans="2:3" ht="15.75" customHeight="1" x14ac:dyDescent="0.25">
      <c r="B34" s="19" t="s">
        <v>106</v>
      </c>
      <c r="C34" s="99">
        <v>0.17326689100000001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hc9XP3bA6i9hlIsysgDQ3IZzQKOpgNmm3cp8Rw6e4k4E/2aaLS36Pk58svtWHCad4xWuZZZ+huNpqd0z0a3B/Q==" saltValue="HVhYa5Ce9NEcV4xqdkfmQ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129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125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126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138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eLo0OXkoWPEMTk/gZxOCir+lXL8/zu1CM4ZV/AP/7RLWjQosTjlhQ7trW8t3as21T19h/vQZ8NwrOZvRjT8wg==" saltValue="wJBcGtmzLomhaMX8cfqS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4.572849999999995E-2</v>
      </c>
      <c r="D5" s="52">
        <f t="shared" si="0"/>
        <v>6.9823700000000155E-2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E8xMcj72KGxhb5Qprjunr/Om6hgqGhJHALVwdRBPeSt0FInvVTdlqcRqQmyaw+ad1GL46a3mqEoFbjWdo1FViQ==" saltValue="zmha9SLuTrTwf6faRDcBG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yu1wSFwCt6xKJjktr/X+xY0amqERViWwsSVjkJWAPFwxOmPyKCyn7m7z5E8pB/UeVNlS//HtQbsj+BnNGf8BA==" saltValue="vt/Q55RG7FOylL6s2PlRV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2389.2958750343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0.19538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0.60650000000000004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7.2405080593062818E-3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95824.748210000005</v>
      </c>
      <c r="C22" s="107">
        <v>95358.628410000005</v>
      </c>
      <c r="D22" s="107">
        <v>95020.467839999998</v>
      </c>
      <c r="E22" s="107">
        <v>94638.46471</v>
      </c>
      <c r="F22" s="107">
        <v>94117.932780000003</v>
      </c>
      <c r="G22" s="107">
        <v>93546.187789999996</v>
      </c>
      <c r="H22" s="107">
        <v>92844.517940000005</v>
      </c>
      <c r="I22" s="107">
        <v>91884.464170000007</v>
      </c>
      <c r="J22" s="107">
        <v>90467.193469999998</v>
      </c>
      <c r="K22" s="107">
        <v>88331.026750000005</v>
      </c>
      <c r="L22" s="107">
        <v>85030.684659999999</v>
      </c>
      <c r="M22" s="107">
        <v>80138.207280000002</v>
      </c>
      <c r="N22" s="107">
        <v>72836.054139999993</v>
      </c>
      <c r="O22" s="107">
        <v>62816.467219999999</v>
      </c>
    </row>
  </sheetData>
  <sheetProtection algorithmName="SHA-512" hashValue="+ohtCxx6RCZAsEdgPGvBcyjg00RgVse/V67/09LFziKxekM9c6J61xU2Rjnt/5VAYEjZorLub7JzfyA9jB6mMw==" saltValue="EgUwXY9+74aOvngEBtaS+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RaryU4+SibipVEo1r3puNB0vw92+VEdZU9heJJvBVJW3t7MBX1Ml/qMZKxPO53GeFz7HR/5yrHRUNszLC7AWA==" saltValue="w7Y6edrrQJcqoCeIjLsAa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IZQo4gPfj4uE6c0iMChHG9mDfE7ip47t6gB4wj7iU6aITABUtyU8dsrg7fC0QcqGuONdogXxJulO/xP4t9dh3A==" saltValue="9JRDRyAwVOmt1LLKu3TEK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0.58266586520635255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1.899427422400078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0.1285596</v>
      </c>
      <c r="C10" s="96">
        <v>0.95</v>
      </c>
      <c r="D10" s="56">
        <v>13.598395744825829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13.598395744825829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13.598395744825829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13.598395744825829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0.1285596</v>
      </c>
      <c r="C14" s="96">
        <v>0.95</v>
      </c>
      <c r="D14" s="56">
        <v>13.598395744825829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13.598395744825829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0.60126389999999996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0.45200000000000001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0.48992069999999999</v>
      </c>
      <c r="C19" s="96">
        <v>0.95</v>
      </c>
      <c r="D19" s="56">
        <v>3.3223485837494819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0.6364107</v>
      </c>
      <c r="C23" s="96">
        <v>0.95</v>
      </c>
      <c r="D23" s="56">
        <v>4.4977193243106921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0.34695807796153999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7.2999999999999995E-2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0.69885220000000003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0.2760224</v>
      </c>
      <c r="C29" s="96">
        <v>0.95</v>
      </c>
      <c r="D29" s="56">
        <v>33.321934882307978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8.3000000000000004E-2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0.64500000000000002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0.28407529999999998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0.25466349999999999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6.3324999999999996E-3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0.71562439999999994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0.40300000000000002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EK4eNDrx6rvLDYhKtran3rqN+SgQBt1WWqSpdZ2vRBeBl7cf3yTbH9Q/k14R7u8UDRqVWXSQ6EUjFfEjWV0P1Q==" saltValue="scDgIaZAvCJVeY5gIk2e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Cmjw/Fo69fzYXOe0WVAcvvjrhIkZeiaqGheR0eZSSkfci7JWUOOsBo3NWUbeMvZmBE0Gx3EIpCldLSegmMS+g==" saltValue="D5xSg9UDT0okisoWzzPm3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9xUsb3CaKgfu1BCTV5v7YxN2DJYyBiBQYOR0ePl8qGj3cH6c9j6pjD4UbWkV//WgN2+WUtIE44vqHAXI7OaLA==" saltValue="/8+E/R0JZVDRuRANNfSpP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2.028</v>
      </c>
      <c r="C2" s="21">
        <f>'Entradas de población-año base'!C52</f>
        <v>2.028</v>
      </c>
      <c r="D2" s="21">
        <f>'Entradas de población-año base'!C53</f>
        <v>2.8079999999999998</v>
      </c>
      <c r="E2" s="21">
        <f>'Entradas de población-año base'!C54</f>
        <v>4.6280000000000001</v>
      </c>
      <c r="F2" s="21">
        <f>'Entradas de población-año base'!C55</f>
        <v>2.2706666666666671</v>
      </c>
    </row>
    <row r="3" spans="1:6" ht="15.75" customHeight="1" x14ac:dyDescent="0.25">
      <c r="A3" s="3" t="s">
        <v>6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236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sheetProtection algorithmName="SHA-512" hashValue="AUBadKLoSnSF8eO4PlD8hYr5cNZdCZuCocQ7jUHJ5Z5pnNTVAXCc4KgU9ASgPFSoOVjqy9YgHF892xSvy8BeGQ==" saltValue="J3nlHDAxyguZV6KzY+0d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0.41799999999999998</v>
      </c>
      <c r="F2" s="60">
        <f>food_insecure</f>
        <v>0.41799999999999998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0.41799999999999998</v>
      </c>
      <c r="F5" s="60">
        <f>food_insecure</f>
        <v>0.41799999999999998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4.3940000000000007E-2</v>
      </c>
      <c r="D7" s="60">
        <f>diarrhoea_1_5mo*frac_diarrhea_severe</f>
        <v>4.3940000000000007E-2</v>
      </c>
      <c r="E7" s="60">
        <f>diarrhoea_6_11mo*frac_diarrhea_severe</f>
        <v>6.0840000000000005E-2</v>
      </c>
      <c r="F7" s="60">
        <f>diarrhoea_12_23mo*frac_diarrhea_severe</f>
        <v>0.10027333333333335</v>
      </c>
      <c r="G7" s="60">
        <f>diarrhoea_24_59mo*frac_diarrhea_severe</f>
        <v>4.9197777777777799E-2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0.41799999999999998</v>
      </c>
      <c r="F8" s="60">
        <f>food_insecure</f>
        <v>0.41799999999999998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0.41799999999999998</v>
      </c>
      <c r="F9" s="60">
        <f>food_insecure</f>
        <v>0.41799999999999998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4.3940000000000007E-2</v>
      </c>
      <c r="D12" s="60">
        <f>diarrhoea_1_5mo*frac_diarrhea_severe</f>
        <v>4.3940000000000007E-2</v>
      </c>
      <c r="E12" s="60">
        <f>diarrhoea_6_11mo*frac_diarrhea_severe</f>
        <v>6.0840000000000005E-2</v>
      </c>
      <c r="F12" s="60">
        <f>diarrhoea_12_23mo*frac_diarrhea_severe</f>
        <v>0.10027333333333335</v>
      </c>
      <c r="G12" s="60">
        <f>diarrhoea_24_59mo*frac_diarrhea_severe</f>
        <v>4.9197777777777799E-2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0.41799999999999998</v>
      </c>
      <c r="I15" s="60">
        <f t="shared" si="0"/>
        <v>0.41799999999999998</v>
      </c>
      <c r="J15" s="60">
        <f t="shared" si="0"/>
        <v>0.41799999999999998</v>
      </c>
      <c r="K15" s="60">
        <f t="shared" si="0"/>
        <v>0.41799999999999998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0.41799999999999998</v>
      </c>
      <c r="I16" s="60">
        <f t="shared" si="0"/>
        <v>0.41799999999999998</v>
      </c>
      <c r="J16" s="60">
        <f t="shared" si="0"/>
        <v>0.41799999999999998</v>
      </c>
      <c r="K16" s="60">
        <f t="shared" si="0"/>
        <v>0.41799999999999998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0.253</v>
      </c>
      <c r="M24" s="60">
        <f>famplan_unmet_need</f>
        <v>0.253</v>
      </c>
      <c r="N24" s="60">
        <f>famplan_unmet_need</f>
        <v>0.253</v>
      </c>
      <c r="O24" s="60">
        <f>famplan_unmet_need</f>
        <v>0.253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0.1906529555</v>
      </c>
      <c r="M25" s="60">
        <f>(1-food_insecure)*(0.49)+food_insecure*(0.7)</f>
        <v>0.57777999999999996</v>
      </c>
      <c r="N25" s="60">
        <f>(1-food_insecure)*(0.49)+food_insecure*(0.7)</f>
        <v>0.57777999999999996</v>
      </c>
      <c r="O25" s="60">
        <f>(1-food_insecure)*(0.49)+food_insecure*(0.7)</f>
        <v>0.57777999999999996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8.1708409499999995E-2</v>
      </c>
      <c r="M26" s="60">
        <f>(1-food_insecure)*(0.21)+food_insecure*(0.3)</f>
        <v>0.24762000000000001</v>
      </c>
      <c r="N26" s="60">
        <f>(1-food_insecure)*(0.21)+food_insecure*(0.3)</f>
        <v>0.24762000000000001</v>
      </c>
      <c r="O26" s="60">
        <f>(1-food_insecure)*(0.21)+food_insecure*(0.3)</f>
        <v>0.24762000000000001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5.7613635000000003E-2</v>
      </c>
      <c r="M27" s="60">
        <f>(1-food_insecure)*(0.3)</f>
        <v>0.17460000000000001</v>
      </c>
      <c r="N27" s="60">
        <f>(1-food_insecure)*(0.3)</f>
        <v>0.17460000000000001</v>
      </c>
      <c r="O27" s="60">
        <f>(1-food_insecure)*(0.3)</f>
        <v>0.17460000000000001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0.67002499999999998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665bPD3h1I6Rhx9BmqHpbQRcLnocavb/XX76eLA0S5bjiqKegts2TzKkizNXz3eZmqBK7pXu2J3Ksne0abUaQ==" saltValue="ZUytPciin1CVQHtDVHv03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60SGiuf8ew9JHMUP1b1xK7EQOSAuz5JCXRuq7iEP7kv9bIa0o4GVTq0B3DTYJYam4lGdbY7SeKc2QHQmn8Vokg==" saltValue="VeVXPz9a/dCLmUp9ewESs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/rshbNqOwUFtVTslZ0vnbrl51o2MyBlqPRFz3rGF7WwR7WDfQGsjohJP00tB/bFxQL/5C2spLE2jVbaBhs9yw==" saltValue="/N6SP55z+twFu7ZTkQePT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ST8DUd1PcPgBJCabjsbnQirY14FXBtVl6ASJ2G0d6GUuOVlI9ojYewiTl4MKgzG6K76hZshSdO7ahfLe4qWZg==" saltValue="BklkQH3qDZv7D235lpj+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CFM00ZA/Y2W93FWrHNkFl22kCJFXgEsZYcVVP6ZjyT4YRYpMNAnc8XXyuPsag3Js1DShPduTVuXMQUCzVvb4PA==" saltValue="9VLoCIpahGRK7vQpYfCZK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pk8OaZoqlvGMMHe5FzN5BVLdppWnTm0sW6YJJkWZx/DpSWaE1SnG1WUEm4ssYOmsd+HsxPOBbCXEaq+syNch7A==" saltValue="vx2jsDnLCHRYC9q2G+agk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BhBtR+swBA99YZYB3OJXYmL7bR3g/kNxGvPEAnGw2gtHhVIdj+xc9qEg4wgevcip31efPCHnkH4A1NSbcTVsw==" saltValue="VXtwdceCenmPg64I27BYP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79v8CXAYJGfOHQH81xnIuhjO6LYbp/O+Z37SLBvrUH11KmoW1c94NAk41mWUXEmFXhQq6o2gxggiahajtstd+g==" saltValue="d2tEgQ9Emn8o2AdQZAVC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NZDA5rcDlYAsQZYkdzVFmdmEoRtfUx7oR2baMWkfEAjyHjbar1lhvUDyLmGdVD8BRf7GWNhjWhDDhqXor1kKg==" saltValue="LQRPp3vU3Kv82SD7DiOy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QD7i+Asz+1JFFkYwmHwlKhM7yFRfe0X6vrn1gKOJjlJiCPKtdtbsXseU8fpfg1ECRpphXZfju5NAjlORoKcQw==" saltValue="M5Zc0w94HhtU/3/NGFwu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9znFI4uGq60byLzH81mp9qX+URoC8O38aUpkhNeBipErxGN3dXOmz6wprRIjNBhPfF8kQDsMVLTTv6rzqvFEw==" saltValue="sida9wZXPnB0eof2TxMw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Bdk24W4kK8hUcPXbtnQBtuGQW+ncOBv5ZXkb6TMzno7SA6OkU83ZADQv+DLPJqlXdks4xM/MvB06PgAZ4uBxA==" saltValue="KnYJNY7Sh5OodTOO9RER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FGSxghEOIDt0uI8zdun+lJeHVVad43vsk1/c9emWU/4F3/BgjqinKmLSbRAqiTk1iNZjzDFSMAIzzxkRTTrNA==" saltValue="CBmEe1lY9P70AdXQSKQk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MONvtxzUKspi+qO4tCRQdqUea2g5WkhJsyql2LvfWM76e1QTLYyjNUxYJrLI5iuFOt1Fd6WFXP+o03NWoRQXNA==" saltValue="uGT4SC5gpoIw2ebzvonO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UOGO/HVByeOnRaUz5/WShEq2k7n/OcQzC81OX5MsIYWF0Fm0DUCWk1BPMfV6qBsE5ySjgajbe1pX2vH8DlcfOQ==" saltValue="FylrR+hKiBFpyDPoQyPOg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2026-04-29T03:57:52Z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