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13D3363-F751-4F18-BF9B-C86B9827AD3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<sst xmlns="http://schemas.openxmlformats.org/spreadsheetml/2006/main" count="2159" uniqueCount="372">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</sst>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148583</v>
      </c>
    </row>
    <row r="8" spans="1:3" ht="15" customHeight="1" x14ac:dyDescent="0.25">
      <c r="B8" s="5" t="s">
        <v>63</v>
      </c>
      <c r="C8" s="44">
        <v>0.41799999999999998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0.67002499999999998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0.05</v>
      </c>
    </row>
    <row r="24" spans="1:3" ht="15" customHeight="1" x14ac:dyDescent="0.25">
      <c r="B24" s="15" t="s">
        <v>65</v>
      </c>
      <c r="C24" s="45">
        <v>0.46779999999999999</v>
      </c>
    </row>
    <row r="25" spans="1:3" ht="15" customHeight="1" x14ac:dyDescent="0.25">
      <c r="B25" s="15" t="s">
        <v>66</v>
      </c>
      <c r="C25" s="45">
        <v>0.38690000000000002</v>
      </c>
    </row>
    <row r="26" spans="1:3" ht="15" customHeight="1" x14ac:dyDescent="0.25">
      <c r="B26" s="15" t="s">
        <v>67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0.245821801532287</v>
      </c>
    </row>
    <row r="30" spans="1:3" ht="14.25" customHeight="1" x14ac:dyDescent="0.25">
      <c r="B30" s="25" t="s">
        <v>82</v>
      </c>
      <c r="C30" s="99">
        <v>9.0628283207226698E-2</v>
      </c>
    </row>
    <row r="31" spans="1:3" ht="14.25" customHeight="1" x14ac:dyDescent="0.25">
      <c r="B31" s="25" t="s">
        <v>29</v>
      </c>
      <c r="C31" s="99">
        <v>0.12440493600631899</v>
      </c>
    </row>
    <row r="32" spans="1:3" ht="14.25" customHeight="1" x14ac:dyDescent="0.25">
      <c r="B32" s="25" t="s">
        <v>30</v>
      </c>
      <c r="C32" s="99">
        <v>0.53914497925416693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22.225660000000001</v>
      </c>
    </row>
    <row r="38" spans="1:5" ht="15" customHeight="1" x14ac:dyDescent="0.25">
      <c r="B38" s="11" t="s">
        <v>54</v>
      </c>
      <c r="C38" s="43">
        <v>43.078240000000001</v>
      </c>
      <c r="D38" s="12"/>
      <c r="E38" s="13"/>
    </row>
    <row r="39" spans="1:5" ht="15" customHeight="1" x14ac:dyDescent="0.25">
      <c r="B39" s="11" t="s">
        <v>80</v>
      </c>
      <c r="C39" s="43">
        <v>50.548969999999997</v>
      </c>
      <c r="D39" s="12"/>
      <c r="E39" s="12"/>
    </row>
    <row r="40" spans="1:5" ht="15" customHeight="1" x14ac:dyDescent="0.25">
      <c r="B40" s="11" t="s">
        <v>55</v>
      </c>
      <c r="C40" s="100">
        <v>2.04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6.1151E-3</v>
      </c>
      <c r="D45" s="12"/>
    </row>
    <row r="46" spans="1:5" ht="15.75" customHeight="1" x14ac:dyDescent="0.25">
      <c r="B46" s="11" t="s">
        <v>70</v>
      </c>
      <c r="C46" s="45">
        <v>6.5706000000000001E-2</v>
      </c>
      <c r="D46" s="12"/>
    </row>
    <row r="47" spans="1:5" ht="15.75" customHeight="1" x14ac:dyDescent="0.25">
      <c r="B47" s="11" t="s">
        <v>78</v>
      </c>
      <c r="C47" s="45">
        <v>7.5186000000000003E-2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2.028</v>
      </c>
      <c r="D51" s="12"/>
    </row>
    <row r="52" spans="1:4" ht="15" customHeight="1" x14ac:dyDescent="0.25">
      <c r="B52" s="11" t="s">
        <v>32</v>
      </c>
      <c r="C52" s="100">
        <v>2.028</v>
      </c>
    </row>
    <row r="53" spans="1:4" ht="15.75" customHeight="1" x14ac:dyDescent="0.25">
      <c r="B53" s="11" t="s">
        <v>35</v>
      </c>
      <c r="C53" s="100">
        <v>2.8079999999999998</v>
      </c>
    </row>
    <row r="54" spans="1:4" ht="15.75" customHeight="1" x14ac:dyDescent="0.25">
      <c r="B54" s="11" t="s">
        <v>33</v>
      </c>
      <c r="C54" s="100">
        <v>4.6280000000000001</v>
      </c>
    </row>
    <row r="55" spans="1:4" ht="15.75" customHeight="1" x14ac:dyDescent="0.25">
      <c r="B55" s="11" t="s">
        <v>34</v>
      </c>
      <c r="C55" s="100">
        <v>2.2706666666666671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0.595418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AitNrDDylTRbU5WBKq5Lm3MnUZX8kzKwytPEwWldaFMDHBQGGwv3bugH94TRQL0pilAQ+ADrp6gBPujQU+aw+w==" saltValue="yL4Lo8/1mnhAmy9oC+5p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JGefOKn/hd//MAI1DnV8I5roi2+EkNxGYUIDS+tCQXoxspfL4bGVgqqHt+ZsUhNd/TSNFLOKHVPleFSILm9CA==" saltValue="JnyRKQcRZ1B/VTdRoSXkx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1.211166661965745E-2</v>
      </c>
    </row>
    <row r="4" spans="1:8" ht="15.75" customHeight="1" x14ac:dyDescent="0.25">
      <c r="B4" s="19" t="s">
        <v>116</v>
      </c>
      <c r="C4" s="101">
        <v>6.0140451444212033E-2</v>
      </c>
    </row>
    <row r="5" spans="1:8" ht="15.75" customHeight="1" x14ac:dyDescent="0.25">
      <c r="B5" s="19" t="s">
        <v>114</v>
      </c>
      <c r="C5" s="101">
        <v>8.0966120780000275E-2</v>
      </c>
    </row>
    <row r="6" spans="1:8" ht="15.75" customHeight="1" x14ac:dyDescent="0.25">
      <c r="B6" s="19" t="s">
        <v>110</v>
      </c>
      <c r="C6" s="101">
        <v>0.23734577736489759</v>
      </c>
    </row>
    <row r="7" spans="1:8" ht="15.75" customHeight="1" x14ac:dyDescent="0.25">
      <c r="B7" s="19" t="s">
        <v>115</v>
      </c>
      <c r="C7" s="101">
        <v>0.39154340758184181</v>
      </c>
    </row>
    <row r="8" spans="1:8" ht="15.75" customHeight="1" x14ac:dyDescent="0.25">
      <c r="B8" s="19" t="s">
        <v>117</v>
      </c>
      <c r="C8" s="101">
        <v>2.095209403917522E-3</v>
      </c>
    </row>
    <row r="9" spans="1:8" ht="15.75" customHeight="1" x14ac:dyDescent="0.25">
      <c r="B9" s="19" t="s">
        <v>111</v>
      </c>
      <c r="C9" s="101">
        <v>9.3685606167444854E-2</v>
      </c>
    </row>
    <row r="10" spans="1:8" ht="15.75" customHeight="1" x14ac:dyDescent="0.25">
      <c r="B10" s="19" t="s">
        <v>113</v>
      </c>
      <c r="C10" s="101">
        <v>0.1221117606380285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121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2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98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107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118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4.8008347E-2</v>
      </c>
    </row>
    <row r="27" spans="1:8" ht="15.75" customHeight="1" x14ac:dyDescent="0.25">
      <c r="B27" s="19" t="s">
        <v>108</v>
      </c>
      <c r="C27" s="101">
        <v>1.9052040999999999E-2</v>
      </c>
    </row>
    <row r="28" spans="1:8" ht="15.75" customHeight="1" x14ac:dyDescent="0.25">
      <c r="B28" s="19" t="s">
        <v>122</v>
      </c>
      <c r="C28" s="101">
        <v>0.22942046699999999</v>
      </c>
    </row>
    <row r="29" spans="1:8" ht="15.75" customHeight="1" x14ac:dyDescent="0.25">
      <c r="B29" s="19" t="s">
        <v>105</v>
      </c>
      <c r="C29" s="101">
        <v>0.138432112</v>
      </c>
    </row>
    <row r="30" spans="1:8" ht="15.75" customHeight="1" x14ac:dyDescent="0.25">
      <c r="B30" s="19" t="s">
        <v>4</v>
      </c>
      <c r="C30" s="101">
        <v>5.0081873999999998E-2</v>
      </c>
    </row>
    <row r="31" spans="1:8" ht="15.75" customHeight="1" x14ac:dyDescent="0.25">
      <c r="B31" s="19" t="s">
        <v>99</v>
      </c>
      <c r="C31" s="101">
        <v>7.0297943000000002E-2</v>
      </c>
    </row>
    <row r="32" spans="1:8" ht="15.75" customHeight="1" x14ac:dyDescent="0.25">
      <c r="B32" s="19" t="s">
        <v>104</v>
      </c>
      <c r="C32" s="101">
        <v>0.149011013</v>
      </c>
    </row>
    <row r="33" spans="2:3" ht="15.75" customHeight="1" x14ac:dyDescent="0.25">
      <c r="B33" s="19" t="s">
        <v>119</v>
      </c>
      <c r="C33" s="101">
        <v>0.122429312</v>
      </c>
    </row>
    <row r="34" spans="2:3" ht="15.75" customHeight="1" x14ac:dyDescent="0.25">
      <c r="B34" s="19" t="s">
        <v>106</v>
      </c>
      <c r="C34" s="101">
        <v>0.17326689100000001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wvmINXd02/iXoEwrnlKsU2KZOhsgggaXLas5Av0YtaYXaQaDVEn3jKZKtnfeFq06YL8VnNnHtzXOcxdjVI6+g==" saltValue="5CJOjZ5mgifeNShnlN2T4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129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125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126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138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wiiLnlTPnUoYj8RTf0SI4yrWpIaIEDfmYBFCFjykSnI0xlFxekQxQMDT4z2IhfNpl/GawxmgQ0BOqAvpKFNjA==" saltValue="LaPDD1xZSLQDYesMkeUV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HA6XWLuuQXYYWQf0Gc7ESYx5E+Lah8LQv6pO1Oq83oPQ4mjADeixxwHVA1xyB+xJpal/iOa9Oi/5qnZOoRZUZw==" saltValue="jurbL6NbGl19g9QXUIFe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xWHMcUGpSyofl6Amiw0DzSY/gorxMamPxJGqIx5y4MA8Ndhnsr5nut8WmUXDrbdxdGwUkhHkpc87DwvqsHEgw==" saltValue="+vLBTBvlINlUEyVTL7H3Z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2389.2958750343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0.19538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0.60650000000000004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7.2405080593062818E-3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95824.748210000005</v>
      </c>
      <c r="C22" s="109">
        <v>95358.628410000005</v>
      </c>
      <c r="D22" s="109">
        <v>95020.467839999998</v>
      </c>
      <c r="E22" s="109">
        <v>94638.46471</v>
      </c>
      <c r="F22" s="109">
        <v>94117.932780000003</v>
      </c>
      <c r="G22" s="109">
        <v>93546.187789999996</v>
      </c>
      <c r="H22" s="109">
        <v>92844.517940000005</v>
      </c>
      <c r="I22" s="109">
        <v>91884.464170000007</v>
      </c>
      <c r="J22" s="109">
        <v>90467.193469999998</v>
      </c>
      <c r="K22" s="109">
        <v>88331.026750000005</v>
      </c>
      <c r="L22" s="109">
        <v>85030.684659999999</v>
      </c>
      <c r="M22" s="109">
        <v>80138.207280000002</v>
      </c>
      <c r="N22" s="109">
        <v>72836.054139999993</v>
      </c>
      <c r="O22" s="109">
        <v>62816.467219999999</v>
      </c>
    </row>
  </sheetData>
  <sheetProtection algorithmName="SHA-512" hashValue="7lGV1XD0gKE+jUj2iEY+MCvRcxlhNzVsL5QwR4Bagpg8iCBuy+ien2pDy8bIOAO0XJQDW0jRCD9UWZXaqh/ZXw==" saltValue="Bx7O5Pudhs8gUIzu0E2d6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+lxh8wPMmt87s9U/nUBqbsCs09+g9PMlhHXoz+hnW5Q3sq3i7VtzXdViYB/xuu5ZqrVMM5sH5qzWHJK+R06nw==" saltValue="Jyv48UqSLb4rDL3/uw9N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ZyOLKk/vvZXgf0JDhfwC0zar0cqdHH+AO8fHv1RA3LzxxsDAz+5py3b/iAiatcZ+EzBTdRJgvBaFkq3gutJWQ==" saltValue="qTNEyu5YGbEVYQbGfXom8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0.58266586520635255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1.899427422400078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0.1285596</v>
      </c>
      <c r="C10" s="98">
        <v>0.95</v>
      </c>
      <c r="D10" s="56">
        <v>13.598395744825829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13.598395744825829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13.598395744825829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13.598395744825829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0.1285596</v>
      </c>
      <c r="C14" s="98">
        <v>0.95</v>
      </c>
      <c r="D14" s="56">
        <v>13.598395744825829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13.598395744825829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0.60126389999999996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0.45200000000000001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0.48992069999999999</v>
      </c>
      <c r="C19" s="98">
        <v>0.95</v>
      </c>
      <c r="D19" s="56">
        <v>3.3223485837494819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0.6364107</v>
      </c>
      <c r="C23" s="98">
        <v>0.95</v>
      </c>
      <c r="D23" s="56">
        <v>4.4977193243106921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0.34695807796153999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7.2999999999999995E-2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0.69885220000000003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0.2760224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8.3000000000000004E-2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0.64500000000000002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0.28407529999999998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0.25466349999999999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6.3324999999999996E-3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0.71562439999999994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0.40300000000000002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zQnQu27g+MUIFp7ea22W6HQRE1+/sLZG+VV7Et8AhhaDmIgD5mxZy1I5ofd9h2pWygyd2Uu93oh7QdiBHqNW9w==" saltValue="0R5WAkHGyx7lz47/NUC9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/6PwaHS1xzSoW1r/d3j3eS8JoFjkoo7OzewkQ0p97hSar1JKxt/khd/vaVIlh8T06i557qzyA6B31TfLjeoMw==" saltValue="kPDF3M3/GD3N80iTK2KU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6ooLM7fjNayFoYwvhevlDNq1Wmi5YMADb1DFCZ/EEPrEhnPXdAfcBvxC1S1mvU8u5wsgyjagJglonGq3V7liQ==" saltValue="3AcjCEHt/Wy0C6iU8q19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2.028</v>
      </c>
      <c r="C2" s="21">
        <f>'Entradas de población-año base'!C52</f>
        <v>2.028</v>
      </c>
      <c r="D2" s="21">
        <f>'Entradas de población-año base'!C53</f>
        <v>2.8079999999999998</v>
      </c>
      <c r="E2" s="21">
        <f>'Entradas de población-año base'!C54</f>
        <v>4.6280000000000001</v>
      </c>
      <c r="F2" s="21">
        <f>'Entradas de población-año base'!C55</f>
        <v>2.2706666666666671</v>
      </c>
    </row>
    <row r="3" spans="1:6" ht="15.75" customHeight="1" x14ac:dyDescent="0.25">
      <c r="A3" s="3" t="s">
        <v>6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236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psEPmGSZQR1lPdY/7rYkRVLqAwecE8m9P8kJHyvTbxHjpPovJUIH08pFNt1zGr0hjYlX3/KCHYHAIQsjxYVXzg==" saltValue="10gfIYXCjG5tNP5vYjGu6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+EQlN7s08ZHyAPlL2pOGCNCoODXq4kE/Y8vS0z7w08b/So7BR9g64DfPgcQKmKjEVjrFFp2JII3lXxWHql+Rg==" saltValue="dUFHJGMhjD+kgpZYMtJMj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lNGsV+8ln/tH+c1CJGeUdOiRD9KZSORn/hMHh5K0+vHWsRDFWCRyV7SPhIkpPELAFsWLgQN819KiMobZ9wAiQ==" saltValue="DYFmd4rJslllyq3UVkaV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8IK2qkIlQjdesUjyYVNvXe0OiimChi7JknyDDP+N9qrAWW5c38vmbj9nq7AqmW2104o6aaplLhrUdYYi2WqhQ==" saltValue="VNHjNajzTNf5kf3D93dZ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B2oWelE2LilPZ+LdWqI2Ca5wuvos5H6F+jviM5rS4zytL+gqBsn1KxnOm+YaKhNoUeSnsn+0bxo7mFvZlihPw==" saltValue="IylOSbUTu84pJB7w1W/d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1JG8OZ92mtx1qaRNtG4631Xsy8wvVYmeDaRW3eO8iVTZSrj5rKyhaKsjVY4P1OutBf5BBp9RWPtPUXsJN0QRIQ==" saltValue="h9Ccr/n3Z6A47sRFTSZQA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JXdEucai+ewssMpY7+eUHLOIy3L4bxGNW5Za3GwuLcXjpOpFacSD5IzkyLIpxfKzL8k3IH2J+h/L2y+vFNktQg==" saltValue="Z5FUuO6lxtRexfoF6akU/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zGvG5yE5/focOhs1GbQYzy1JWfdefx8DkB/3jNR7dbvSxVSRin41Xw25e2dHiUtLs6z/OtaPo7CGvvlm8O1Yw==" saltValue="ncd47tB3CsV4FauLIHTvP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iWAm80hiSLSVqquiXCewPyLa6a7uHt4fkt3oI0+GHouSav+KJgKiq2/2F0H0JMZh17BHncT8LALEZdKyaTLaQ==" saltValue="voIVmrq188W67GjvcRX5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8Cc7nc9y3vW8iMaKtw+7g9ZKvyzalTsct+LILhP/jwL94zjOlAtd/ZI0eqAFus9m+uM0R2UvD4DiYiNhxaPDwA==" saltValue="wJlp0haZCWHGpmjSJKYd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WWTA2ldth/pMl13koh5LG314UBYXadQ+KUIfVOfi4PDeEliIe9zISpi9YOdPwzz7JGqd3hbYA7PQRW+DBLOjA==" saltValue="r3QyDMVebU1j7vYE1+mH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75aGvEbvV/WmjHW9410pu1P++ZF2tQExOvTRqt9L51nOYRZJC/w/rmX2GFTjgige6DtkSPFBXMVQ85cLUtwOQ==" saltValue="pmiQ3XpPkHaTAwzbdPqI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X+UwcSX6glMB0zF0QigYB4D46HIkU6fNcNwEi6orSAfotUgUhT1KUSzvyT4O0F0d9ZxDv+1YG1uUTZ+KGHD2w==" saltValue="WctjslsrzfreL/p+Twuj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+0nmrXcvX25cFUASJPHdj4A1jH5V0DZ/z7OTiBV/dR9xAVFiTZwBuerZG1kRrwvk7kmHCejXQqRNrUGx94hww==" saltValue="bLK936MlfGEDn+PKZcJ6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KI+/ZNl5C1mdjv8lHHAzMQsxAg6H/O/DnHoRrtZZ4qK/05hg4bMMgFwQ5V+suKkhpOTNTI6PlbD+V1xsUCSbw==" saltValue="2TI/nt6wwUNWHspS7JF2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MIilkc2n7WpP6fbQyiE99hh4gCezwyGhDMJ8YfjrCBz73UoIZF8aM1KjpyyT2LR9LL/KXk5jt3tNhfCRxXsdA==" saltValue="aSuEOKmlH9ynwqjUdCbMg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