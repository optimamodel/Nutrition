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35B6AE2E-5EF5-4136-B73D-B4B9185C1C61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22" i="2"/>
  <c r="A23" i="2"/>
  <c r="I3" i="2"/>
  <c r="I7" i="2"/>
  <c r="I11" i="2"/>
  <c r="A36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<sst xmlns="http://schemas.openxmlformats.org/spreadsheetml/2006/main" count="2159" uniqueCount="372">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</sst>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1851093</v>
      </c>
    </row>
    <row r="8" spans="1:3" ht="15" customHeight="1" x14ac:dyDescent="0.25">
      <c r="B8" s="5" t="s">
        <v>63</v>
      </c>
      <c r="C8" s="44">
        <v>0.59299999999999997</v>
      </c>
    </row>
    <row r="9" spans="1:3" ht="15" customHeight="1" x14ac:dyDescent="0.25">
      <c r="B9" s="5" t="s">
        <v>62</v>
      </c>
      <c r="C9" s="45">
        <v>2.5000000000000001E-2</v>
      </c>
    </row>
    <row r="10" spans="1:3" ht="15" customHeight="1" x14ac:dyDescent="0.25">
      <c r="B10" s="5" t="s">
        <v>75</v>
      </c>
      <c r="C10" s="45">
        <v>0.42979260000000002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0.1226</v>
      </c>
    </row>
    <row r="24" spans="1:3" ht="15" customHeight="1" x14ac:dyDescent="0.25">
      <c r="B24" s="15" t="s">
        <v>65</v>
      </c>
      <c r="C24" s="45">
        <v>0.47810000000000002</v>
      </c>
    </row>
    <row r="25" spans="1:3" ht="15" customHeight="1" x14ac:dyDescent="0.25">
      <c r="B25" s="15" t="s">
        <v>66</v>
      </c>
      <c r="C25" s="45">
        <v>0.32329999999999998</v>
      </c>
    </row>
    <row r="26" spans="1:3" ht="15" customHeight="1" x14ac:dyDescent="0.25">
      <c r="B26" s="15" t="s">
        <v>67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0.31902004302312198</v>
      </c>
    </row>
    <row r="30" spans="1:3" ht="14.25" customHeight="1" x14ac:dyDescent="0.25">
      <c r="B30" s="25" t="s">
        <v>82</v>
      </c>
      <c r="C30" s="99">
        <v>3.89276953654537E-2</v>
      </c>
    </row>
    <row r="31" spans="1:3" ht="14.25" customHeight="1" x14ac:dyDescent="0.25">
      <c r="B31" s="25" t="s">
        <v>29</v>
      </c>
      <c r="C31" s="99">
        <v>8.8909302097760101E-2</v>
      </c>
    </row>
    <row r="32" spans="1:3" ht="14.25" customHeight="1" x14ac:dyDescent="0.25">
      <c r="B32" s="25" t="s">
        <v>30</v>
      </c>
      <c r="C32" s="99">
        <v>0.55314295951366399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10.801</v>
      </c>
    </row>
    <row r="38" spans="1:5" ht="15" customHeight="1" x14ac:dyDescent="0.25">
      <c r="B38" s="11" t="s">
        <v>54</v>
      </c>
      <c r="C38" s="43">
        <v>19.559259999999998</v>
      </c>
      <c r="D38" s="12"/>
      <c r="E38" s="13"/>
    </row>
    <row r="39" spans="1:5" ht="15" customHeight="1" x14ac:dyDescent="0.25">
      <c r="B39" s="11" t="s">
        <v>80</v>
      </c>
      <c r="C39" s="43">
        <v>23.019259999999999</v>
      </c>
      <c r="D39" s="12"/>
      <c r="E39" s="12"/>
    </row>
    <row r="40" spans="1:5" ht="15" customHeight="1" x14ac:dyDescent="0.25">
      <c r="B40" s="11" t="s">
        <v>55</v>
      </c>
      <c r="C40" s="100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8.9353000000000002E-3</v>
      </c>
      <c r="D45" s="12"/>
    </row>
    <row r="46" spans="1:5" ht="15.75" customHeight="1" x14ac:dyDescent="0.25">
      <c r="B46" s="11" t="s">
        <v>70</v>
      </c>
      <c r="C46" s="45">
        <v>9.5860400000000012E-2</v>
      </c>
      <c r="D46" s="12"/>
    </row>
    <row r="47" spans="1:5" ht="15.75" customHeight="1" x14ac:dyDescent="0.25">
      <c r="B47" s="11" t="s">
        <v>78</v>
      </c>
      <c r="C47" s="45">
        <v>0.16790920000000001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2.99</v>
      </c>
      <c r="D51" s="12"/>
    </row>
    <row r="52" spans="1:4" ht="15" customHeight="1" x14ac:dyDescent="0.25">
      <c r="B52" s="11" t="s">
        <v>32</v>
      </c>
      <c r="C52" s="100">
        <v>2.99</v>
      </c>
    </row>
    <row r="53" spans="1:4" ht="15.75" customHeight="1" x14ac:dyDescent="0.25">
      <c r="B53" s="11" t="s">
        <v>35</v>
      </c>
      <c r="C53" s="100">
        <v>6.7080000000000002</v>
      </c>
    </row>
    <row r="54" spans="1:4" ht="15.75" customHeight="1" x14ac:dyDescent="0.25">
      <c r="B54" s="11" t="s">
        <v>33</v>
      </c>
      <c r="C54" s="100">
        <v>8.0079999999999991</v>
      </c>
    </row>
    <row r="55" spans="1:4" ht="15.75" customHeight="1" x14ac:dyDescent="0.25">
      <c r="B55" s="11" t="s">
        <v>34</v>
      </c>
      <c r="C55" s="100">
        <v>4.012666666666667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0.55069000000000001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0.1449437989</v>
      </c>
    </row>
    <row r="63" spans="1:4" ht="15.75" customHeight="1" x14ac:dyDescent="0.3">
      <c r="A63" s="4"/>
    </row>
  </sheetData>
  <sheetProtection algorithmName="SHA-512" hashValue="tv+103Rosppxo9MAtFRu2QUxrxX6HstGHA3Tc8I4ulQKIeLfN3Q++X2nvYE9K0vV8tzWYriUh0bIfGAqTVWYJg==" saltValue="N9Ch1wNowkFzfLl6w9gD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U0d0vc7/op9yl0gnkWLWjHLRuKm+DU6uLeU7W9Gx6N0GpfsPrWnvTpofDoh7vx3x2yOixLpY0hbwbtXUnUFQg==" saltValue="mowJVoEqbRpwZo1CYvUt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2.3424999999999969E-3</v>
      </c>
    </row>
    <row r="4" spans="1:8" ht="15.75" customHeight="1" x14ac:dyDescent="0.25">
      <c r="B4" s="19" t="s">
        <v>116</v>
      </c>
      <c r="C4" s="101">
        <v>6.6525100000000059E-2</v>
      </c>
    </row>
    <row r="5" spans="1:8" ht="15.75" customHeight="1" x14ac:dyDescent="0.25">
      <c r="B5" s="19" t="s">
        <v>114</v>
      </c>
      <c r="C5" s="101">
        <v>3.4683200000000032E-2</v>
      </c>
    </row>
    <row r="6" spans="1:8" ht="15.75" customHeight="1" x14ac:dyDescent="0.25">
      <c r="B6" s="19" t="s">
        <v>110</v>
      </c>
      <c r="C6" s="101">
        <v>0.1965487000000001</v>
      </c>
    </row>
    <row r="7" spans="1:8" ht="15.75" customHeight="1" x14ac:dyDescent="0.25">
      <c r="B7" s="19" t="s">
        <v>115</v>
      </c>
      <c r="C7" s="101">
        <v>0.44584979999999957</v>
      </c>
    </row>
    <row r="8" spans="1:8" ht="15.75" customHeight="1" x14ac:dyDescent="0.25">
      <c r="B8" s="19" t="s">
        <v>117</v>
      </c>
      <c r="C8" s="101">
        <v>3.6609999999999979E-4</v>
      </c>
    </row>
    <row r="9" spans="1:8" ht="15.75" customHeight="1" x14ac:dyDescent="0.25">
      <c r="B9" s="19" t="s">
        <v>111</v>
      </c>
      <c r="C9" s="101">
        <v>0.17018749999999999</v>
      </c>
    </row>
    <row r="10" spans="1:8" ht="15.75" customHeight="1" x14ac:dyDescent="0.25">
      <c r="B10" s="19" t="s">
        <v>113</v>
      </c>
      <c r="C10" s="101">
        <v>8.349710000000013E-2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121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2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120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98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107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118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4.9290206000000003E-2</v>
      </c>
    </row>
    <row r="27" spans="1:8" ht="15.75" customHeight="1" x14ac:dyDescent="0.25">
      <c r="B27" s="19" t="s">
        <v>108</v>
      </c>
      <c r="C27" s="101">
        <v>2.8242382999999999E-2</v>
      </c>
    </row>
    <row r="28" spans="1:8" ht="15.75" customHeight="1" x14ac:dyDescent="0.25">
      <c r="B28" s="19" t="s">
        <v>122</v>
      </c>
      <c r="C28" s="101">
        <v>0.34948395100000001</v>
      </c>
    </row>
    <row r="29" spans="1:8" ht="15.75" customHeight="1" x14ac:dyDescent="0.25">
      <c r="B29" s="19" t="s">
        <v>105</v>
      </c>
      <c r="C29" s="101">
        <v>0.20214362399999999</v>
      </c>
    </row>
    <row r="30" spans="1:8" ht="15.75" customHeight="1" x14ac:dyDescent="0.25">
      <c r="B30" s="19" t="s">
        <v>4</v>
      </c>
      <c r="C30" s="101">
        <v>0.105324062</v>
      </c>
    </row>
    <row r="31" spans="1:8" ht="15.75" customHeight="1" x14ac:dyDescent="0.25">
      <c r="B31" s="19" t="s">
        <v>99</v>
      </c>
      <c r="C31" s="101">
        <v>5.5211837999999999E-2</v>
      </c>
    </row>
    <row r="32" spans="1:8" ht="15.75" customHeight="1" x14ac:dyDescent="0.25">
      <c r="B32" s="19" t="s">
        <v>104</v>
      </c>
      <c r="C32" s="101">
        <v>8.5237639999999996E-3</v>
      </c>
    </row>
    <row r="33" spans="2:3" ht="15.75" customHeight="1" x14ac:dyDescent="0.25">
      <c r="B33" s="19" t="s">
        <v>119</v>
      </c>
      <c r="C33" s="101">
        <v>0.16815316199999999</v>
      </c>
    </row>
    <row r="34" spans="2:3" ht="15.75" customHeight="1" x14ac:dyDescent="0.25">
      <c r="B34" s="19" t="s">
        <v>106</v>
      </c>
      <c r="C34" s="101">
        <v>3.3627008999999999E-2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aKsnfsa1fOAslpnqQvKIRTyA0RQ+txXPz3zw2qvU7/+MCktxqXyeJcyaEmhoeV2qK96WhUuhVZ6mQcaFM7ba/Q==" saltValue="BNZ5WDKqBVRetO1iqNOC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129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125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126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138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YChuQQkK0BW1mryJ5X6Q3x6p+GKGWvCaRYxb42zRk0KNQwfKYXJMF6/QVrRhJxhqhuyms0YFdWqql6993na4A==" saltValue="0v56g0NSFPHHV2J0epkt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AR+0I0sa0BYyc8ov8W08T31j4ArCz5i0jBdLtj+YNxFuuSP/nbhqPZb0Qk0gJEpjjEhM3asnLg7HBO/2/FRag==" saltValue="FwAgj3Cz7xb/kB0CQ3JO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iLxkqcgbhahhI9gzf9nSH5gOclchvggEZm/2LoM1QRo79E/kUSUV96VHiC5dd4XA4apdldKGs3fFVG1EqnsAQ==" saltValue="kU2VsNycrWk06gjk6qDV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5473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0.47659000000000001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0.42270000000000002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1.4975176239732619E-2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97575.427049999998</v>
      </c>
      <c r="C22" s="109">
        <v>97418.053369999994</v>
      </c>
      <c r="D22" s="109">
        <v>97217.393450000003</v>
      </c>
      <c r="E22" s="109">
        <v>96540.964479999995</v>
      </c>
      <c r="F22" s="109">
        <v>95575.929019999996</v>
      </c>
      <c r="G22" s="109">
        <v>94481.133749999994</v>
      </c>
      <c r="H22" s="109">
        <v>93369.910749999995</v>
      </c>
      <c r="I22" s="109">
        <v>91950.033089999997</v>
      </c>
      <c r="J22" s="109">
        <v>90188.068660000004</v>
      </c>
      <c r="K22" s="109">
        <v>87877.820219999994</v>
      </c>
      <c r="L22" s="109">
        <v>84424.451419999998</v>
      </c>
      <c r="M22" s="109">
        <v>79380.982839999997</v>
      </c>
      <c r="N22" s="109">
        <v>73489.285189999995</v>
      </c>
      <c r="O22" s="109">
        <v>64752.964059999998</v>
      </c>
    </row>
  </sheetData>
  <sheetProtection algorithmName="SHA-512" hashValue="Ruqb2e18OiUiZpFRMPzDURQZc6Gy6Az5WGlQWsCHPDogHxp7zKwmXZH9e/zzRFsJhKTIP19iwZgJSf52jZoj0Q==" saltValue="I4NRbA2wg7n+DTLIXdle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GmQlIFV5umTZE8yMT/u94PSHexLI+hQ4gnGLYjt5QGXga1CFFbCaZrl+I0jyt9SHmIjgCxqZIpiqmi+7flngQ==" saltValue="d+1URpDCrPJAYKuj1LcN4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CmZ2ky4QOurWw4d6C2Kw+/PGwI3usb1iyV8oZuTiL2HCdFn9U+W+9nfqINf2tHkwjIYMp1BfAUGlFbJIrhOHA==" saltValue="km/gIdaydQt2p+Re5vX4E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0.2933268</v>
      </c>
      <c r="C10" s="98">
        <v>0.95</v>
      </c>
      <c r="D10" s="56">
        <v>13.01281925603921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13.01281925603921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13.01281925603921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13.01281925603921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0.2933268</v>
      </c>
      <c r="C14" s="98">
        <v>0.95</v>
      </c>
      <c r="D14" s="56">
        <v>13.01281925603921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13.01281925603921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0.35743333333333299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0.51996969999999998</v>
      </c>
      <c r="C19" s="98">
        <v>0.95</v>
      </c>
      <c r="D19" s="56">
        <v>9.5596491969757462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4.2797375448782464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0.46481329675995198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0.48848520000000001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0.59367320000000001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1.3899999999999999E-2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0.26</v>
      </c>
      <c r="C32" s="98">
        <v>0.95</v>
      </c>
      <c r="D32" s="56">
        <v>3.86952529898804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0.76766420000000002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5.8038399999999997E-2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4.2000000000000003E-2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0.77731530000000004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0.01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8lCYh8q/UwZP76Kcjcg0iA6VWSQuEYU7EqwwMhVwDRR5RwBb9ihtPSyDps4oGjc1MXcVuqS2G9gmUbWkBuyeAw==" saltValue="sjMZZFCAPJoQfwf9wVvk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xyMRtnS0uigEBAgemuNmKcGV41+a8F8UCGckall27zfIhdT9Yxt2sPyCPRgCXqURHKS+PqQXR+GYI1+YAu9g==" saltValue="KXpaEAbaI/3egvNtRm/r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gxAw/gKNC2NREoBf9vakEUQN74yDkMvHO7IO4ZoVQ0qTluk3P872sdzqTvgLRBZBSFa6utEaIB0Nx0xK+WB8w==" saltValue="4tqxHuKaME53NKh0ENKG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6.7080000000000002</v>
      </c>
      <c r="E2" s="21">
        <f>'Entradas de población-año base'!C54</f>
        <v>8.0079999999999991</v>
      </c>
      <c r="F2" s="21">
        <f>'Entradas de población-año base'!C55</f>
        <v>4.012666666666667</v>
      </c>
    </row>
    <row r="3" spans="1:6" ht="15.75" customHeight="1" x14ac:dyDescent="0.25">
      <c r="A3" s="3" t="s">
        <v>6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236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DZptDlNMsNUHVWF7yJ41xdojssRCkOUaXQGI8ATdjuxHlPKjGbJrQUw1kNr4APr8YIFmQbLS3Fd+aPAbtjWPEg==" saltValue="9jPHN6Gj+HFbAKvIZe6q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Y6nT5Ct516S837ybWLrVRKibIyagNZ9oCu1OHo0OCglWTDnyZdU1a18RqTkYKT+Dhc0ERSK26cMW1O1wu5KYQ==" saltValue="IcyxtaxbNc5HOar2f2lj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m2R9C5oBUbC2upPa/ror/VYKe1bNUiiw8mCMkNnVskid2lKmSJS8QIW5SRFBZcIYtQtiextiDO2NBNLIx2rHw==" saltValue="HDEqVklJQKDfk7aTGcCA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n6aYitx6D7NibK6BkfWE8fBtrVrggQXzoc1RUnCfFC+6+YXcsLX6sgND21EBjCM6wRCoj/kva7C+kOBMjNnQw==" saltValue="CuCFCfMcc6X7BuogYqI/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v88cKCH1KsGBhHnQDoouoZAvEzceogI2W3KMR/f+Yt/Nn7O/+xFBDGW6U3foP6B4h6zT6fRP3Cg4+B+tT644g==" saltValue="i5o3/zYE4U047rsz/Djm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7W+WxKRMhdo480F8SugW0jGO2JDKZSuoNS+k6wAIZEsCqcc29unri8LNVrgNwylznqfZySpL+MFoUYaIOUcNwA==" saltValue="KdKdlFLQgJUmFaGOVZBX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PUuYHnPnALI53Qs+Yo2SD/yDWUaOVQV/EGt+VO1lvtTQ3g2U50U0jyM2nkZmWFNuHLa0qFXcK0tPSG3dOwolg==" saltValue="2bf9FPaThd8nnDweImQGk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kmHh3FMGUsA5yxsfhITdmJltboXu54dvulVxR5l3zhPjHpOdCZXdGRCxj0ExkkkxxpyJ5lcyZlCalIp/EDmvg==" saltValue="rfN6SCk7S/IrYQ12Frv8C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4AwzOs4aeB3y8WldfAyj011Zw2JUNY4wDBtb+S5XKEhKQFVSVOa+SnQ0IN+FMPuJeq9UL8DAgXQD5YW+wguGQ==" saltValue="/FeJvatFMgY9ncF6ENkZ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pgBT2wr46F2cjB9VbXfHTz/siVQZfY32RXt/C/vuniKTVaYZOJ3VIX8U43BtZOswB6wKShvCvDK5akFEU1amw==" saltValue="7z+0MvvEtw4TrXxsW20u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GMjnxOb0NxlCSyqm1ra0RObOAdZ5jAgLBXuxySUEO1+DPa4RT3e4yimGY4d5wFQ1UiJILE2nMsY5ngmwTbd+w==" saltValue="vXo2dhKNQa/BIssRSkh6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PWCqVGj5Sm4YvLu+6PRsdy5bScEvEnJyBI2VzFKoTPxevtYWkmOeVKjfPx9P9LJwWva4AzuDLzTRCx+sSudMQ==" saltValue="kJ/xNsAFTjguN+J9CSFP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IJIGiFpPz39bgxH2k1y2rfyrY4oo6aeTUsRCHLRZa29xsVVfPxnEWVdll2MwQWqmZUo/n4/Q7ebL/roP3Ddew==" saltValue="tNIoKZvU5wwSAY8OjNK3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XftfKmFnwiY9I1l/M7gNX8N4sZdOYtl48z4+e0NFf9JPpWfsbcSnYAN7hDYUCaTHXCpfgzLYMDkGShNeWaNiw==" saltValue="rZFDzOPhb0Onvf7jCNFy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JFJpg8KNcauHb53dandFpAv3v9e1AWLDlzqlQHYmygQ8WARoqsVZ17mQXBw5U/S5cHOa9sZPfav+Yjt1GlubA==" saltValue="9YKOntiIzV4cqB5OQug6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/iQbIDaRIKCt/ve0cY7yIivtP9XLpn/Oc5YPovp6/VZg1hFLvpoEaUzzUpsVq8Md5IERdn4lZ/S1eVMlDCMzrQ==" saltValue="2SrrA1ZcyijhlVfMb7T4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