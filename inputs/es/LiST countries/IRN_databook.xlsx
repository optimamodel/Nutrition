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27E92D25-30B8-4856-BAB4-D4397051CFF6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A39" i="2"/>
  <c r="H38" i="2"/>
  <c r="G38" i="2"/>
  <c r="I38" i="2" s="1"/>
  <c r="A33" i="2"/>
  <c r="A31" i="2"/>
  <c r="A29" i="2"/>
  <c r="A26" i="2"/>
  <c r="A25" i="2"/>
  <c r="A23" i="2"/>
  <c r="A17" i="2"/>
  <c r="A15" i="2"/>
  <c r="H13" i="2"/>
  <c r="I13" i="2" s="1"/>
  <c r="G13" i="2"/>
  <c r="H12" i="2"/>
  <c r="G12" i="2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A3" i="2"/>
  <c r="H2" i="2"/>
  <c r="G2" i="2"/>
  <c r="I2" i="2" s="1"/>
  <c r="A2" i="2"/>
  <c r="A40" i="2" s="1"/>
  <c r="C33" i="1"/>
  <c r="C20" i="1"/>
  <c r="A18" i="2" l="1"/>
  <c r="A34" i="2"/>
  <c r="I40" i="2"/>
  <c r="I12" i="2"/>
  <c r="A21" i="2"/>
  <c r="A37" i="2"/>
  <c r="A16" i="2"/>
  <c r="A24" i="2"/>
  <c r="A32" i="2"/>
  <c r="A19" i="2"/>
  <c r="A27" i="2"/>
  <c r="A35" i="2"/>
  <c r="A20" i="2"/>
  <c r="A28" i="2"/>
  <c r="A36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<sst xmlns="http://schemas.openxmlformats.org/spreadsheetml/2006/main" count="2101" uniqueCount="341">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</sst>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21862100.25</v>
      </c>
    </row>
    <row r="8" spans="1:3" ht="15" customHeight="1" x14ac:dyDescent="0.25">
      <c r="B8" s="5" t="s">
        <v>44</v>
      </c>
      <c r="C8" s="44">
        <v>4.5999999999999999E-2</v>
      </c>
    </row>
    <row r="9" spans="1:3" ht="15" customHeight="1" x14ac:dyDescent="0.25">
      <c r="B9" s="5" t="s">
        <v>43</v>
      </c>
      <c r="C9" s="45">
        <v>0.10879999999999999</v>
      </c>
    </row>
    <row r="10" spans="1:3" ht="15" customHeight="1" x14ac:dyDescent="0.25">
      <c r="B10" s="5" t="s">
        <v>56</v>
      </c>
      <c r="C10" s="45">
        <v>0.85338409423828099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0.314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7.8600000000000003E-2</v>
      </c>
    </row>
    <row r="24" spans="1:3" ht="15" customHeight="1" x14ac:dyDescent="0.25">
      <c r="B24" s="15" t="s">
        <v>46</v>
      </c>
      <c r="C24" s="45">
        <v>0.51929999999999998</v>
      </c>
    </row>
    <row r="25" spans="1:3" ht="15" customHeight="1" x14ac:dyDescent="0.25">
      <c r="B25" s="15" t="s">
        <v>47</v>
      </c>
      <c r="C25" s="45">
        <v>0.37880000000000003</v>
      </c>
    </row>
    <row r="26" spans="1:3" ht="15" customHeight="1" x14ac:dyDescent="0.25">
      <c r="B26" s="15" t="s">
        <v>48</v>
      </c>
      <c r="C26" s="45">
        <v>2.3300000000000001E-2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0.35185775257007201</v>
      </c>
    </row>
    <row r="30" spans="1:3" ht="14.25" customHeight="1" x14ac:dyDescent="0.25">
      <c r="B30" s="25" t="s">
        <v>63</v>
      </c>
      <c r="C30" s="99">
        <v>2.3858720907234902E-2</v>
      </c>
    </row>
    <row r="31" spans="1:3" ht="14.25" customHeight="1" x14ac:dyDescent="0.25">
      <c r="B31" s="25" t="s">
        <v>10</v>
      </c>
      <c r="C31" s="99">
        <v>3.4342930038455802E-2</v>
      </c>
    </row>
    <row r="32" spans="1:3" ht="14.25" customHeight="1" x14ac:dyDescent="0.25">
      <c r="B32" s="25" t="s">
        <v>11</v>
      </c>
      <c r="C32" s="99">
        <v>0.58994059648423802</v>
      </c>
    </row>
    <row r="33" spans="1:5" ht="13" customHeight="1" x14ac:dyDescent="0.25">
      <c r="B33" s="27" t="s">
        <v>60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11.326549999999999</v>
      </c>
    </row>
    <row r="38" spans="1:5" ht="15" customHeight="1" x14ac:dyDescent="0.25">
      <c r="B38" s="11" t="s">
        <v>35</v>
      </c>
      <c r="C38" s="43">
        <v>18.882359999999998</v>
      </c>
      <c r="D38" s="12"/>
      <c r="E38" s="13"/>
    </row>
    <row r="39" spans="1:5" ht="15" customHeight="1" x14ac:dyDescent="0.25">
      <c r="B39" s="11" t="s">
        <v>61</v>
      </c>
      <c r="C39" s="43">
        <v>22.173410000000001</v>
      </c>
      <c r="D39" s="12"/>
      <c r="E39" s="12"/>
    </row>
    <row r="40" spans="1:5" ht="15" customHeight="1" x14ac:dyDescent="0.25">
      <c r="B40" s="11" t="s">
        <v>36</v>
      </c>
      <c r="C40" s="100">
        <v>1.73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9.0716199999999994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6.1523000000000003E-3</v>
      </c>
      <c r="D45" s="12"/>
    </row>
    <row r="46" spans="1:5" ht="15.75" customHeight="1" x14ac:dyDescent="0.25">
      <c r="B46" s="11" t="s">
        <v>51</v>
      </c>
      <c r="C46" s="45">
        <v>6.6105700000000003E-2</v>
      </c>
      <c r="D46" s="12"/>
    </row>
    <row r="47" spans="1:5" ht="15.75" customHeight="1" x14ac:dyDescent="0.25">
      <c r="B47" s="11" t="s">
        <v>59</v>
      </c>
      <c r="C47" s="45">
        <v>7.5150599999999998E-2</v>
      </c>
      <c r="D47" s="12"/>
      <c r="E47" s="13"/>
    </row>
    <row r="48" spans="1:5" ht="15" customHeight="1" x14ac:dyDescent="0.25">
      <c r="B48" s="11" t="s">
        <v>58</v>
      </c>
      <c r="C48" s="46">
        <v>0.8525914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2.4</v>
      </c>
      <c r="D51" s="12"/>
    </row>
    <row r="52" spans="1:4" ht="15" customHeight="1" x14ac:dyDescent="0.25">
      <c r="B52" s="11" t="s">
        <v>13</v>
      </c>
      <c r="C52" s="100">
        <v>2.4</v>
      </c>
    </row>
    <row r="53" spans="1:4" ht="15.75" customHeight="1" x14ac:dyDescent="0.25">
      <c r="B53" s="11" t="s">
        <v>16</v>
      </c>
      <c r="C53" s="100">
        <v>2.4</v>
      </c>
    </row>
    <row r="54" spans="1:4" ht="15.75" customHeight="1" x14ac:dyDescent="0.25">
      <c r="B54" s="11" t="s">
        <v>14</v>
      </c>
      <c r="C54" s="100">
        <v>2.4</v>
      </c>
    </row>
    <row r="55" spans="1:4" ht="15.75" customHeight="1" x14ac:dyDescent="0.25">
      <c r="B55" s="11" t="s">
        <v>15</v>
      </c>
      <c r="C55" s="100">
        <v>2.4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2.1666666666666671E-2</v>
      </c>
    </row>
    <row r="59" spans="1:4" ht="15.75" customHeight="1" x14ac:dyDescent="0.25">
      <c r="B59" s="11" t="s">
        <v>40</v>
      </c>
      <c r="C59" s="45">
        <v>0.58243899999999993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1kEuqk3ckDyzrcUwJfCOVEEkxkpUAoAZtPGvHMK7RIIi8sowcod9BkpbY6RQhp860gLsDndWFqi1AZM/oOyf/w==" saltValue="uSNMtShvzoCGFHW/3g28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1117084</v>
      </c>
      <c r="C2" s="49">
        <v>3659287.5</v>
      </c>
      <c r="D2" s="49">
        <v>5556957.5</v>
      </c>
      <c r="E2" s="49">
        <v>8214210</v>
      </c>
      <c r="F2" s="49">
        <v>6280081</v>
      </c>
      <c r="G2" s="17">
        <f t="shared" ref="G2:G13" si="0">C2+D2+E2+F2</f>
        <v>23710536</v>
      </c>
      <c r="H2" s="17">
        <f t="shared" ref="H2:H13" si="1">(B2 + stillbirth*B2/(1000-stillbirth))/(1-abortion)</f>
        <v>1281034.6963356086</v>
      </c>
      <c r="I2" s="17">
        <f t="shared" ref="I2:I13" si="2">G2-H2</f>
        <v>22429501.30366439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1095741</v>
      </c>
      <c r="C3" s="50">
        <v>3753973</v>
      </c>
      <c r="D3" s="50">
        <v>5491489.5</v>
      </c>
      <c r="E3" s="50">
        <v>7918623.5</v>
      </c>
      <c r="F3" s="50">
        <v>6596055</v>
      </c>
      <c r="G3" s="17">
        <f t="shared" si="0"/>
        <v>23760141</v>
      </c>
      <c r="H3" s="17">
        <f t="shared" si="1"/>
        <v>1256559.2553446975</v>
      </c>
      <c r="I3" s="17">
        <f t="shared" si="2"/>
        <v>22503581.744655304</v>
      </c>
    </row>
    <row r="4" spans="1:9" ht="15.75" customHeight="1" x14ac:dyDescent="0.25">
      <c r="A4" s="5">
        <f t="shared" si="3"/>
        <v>2026</v>
      </c>
      <c r="B4" s="49">
        <v>1070794</v>
      </c>
      <c r="C4" s="50">
        <v>3855645</v>
      </c>
      <c r="D4" s="50">
        <v>5481285.5</v>
      </c>
      <c r="E4" s="50">
        <v>7586328.5</v>
      </c>
      <c r="F4" s="50">
        <v>6904765</v>
      </c>
      <c r="G4" s="17">
        <f t="shared" si="0"/>
        <v>23828024</v>
      </c>
      <c r="H4" s="17">
        <f t="shared" si="1"/>
        <v>1227950.8672830258</v>
      </c>
      <c r="I4" s="17">
        <f t="shared" si="2"/>
        <v>22600073.132716976</v>
      </c>
    </row>
    <row r="5" spans="1:9" ht="15.75" customHeight="1" x14ac:dyDescent="0.25">
      <c r="A5" s="5">
        <f t="shared" si="3"/>
        <v>2027</v>
      </c>
      <c r="B5" s="49">
        <v>1051089</v>
      </c>
      <c r="C5" s="50">
        <v>3969870</v>
      </c>
      <c r="D5" s="50">
        <v>5513574.5</v>
      </c>
      <c r="E5" s="50">
        <v>7252452.5000000009</v>
      </c>
      <c r="F5" s="50">
        <v>7187214</v>
      </c>
      <c r="G5" s="17">
        <f t="shared" si="0"/>
        <v>23923111</v>
      </c>
      <c r="H5" s="17">
        <f t="shared" si="1"/>
        <v>1205353.8300939754</v>
      </c>
      <c r="I5" s="17">
        <f t="shared" si="2"/>
        <v>22717757.169906024</v>
      </c>
    </row>
    <row r="6" spans="1:9" ht="15.75" customHeight="1" x14ac:dyDescent="0.25">
      <c r="A6" s="5">
        <f t="shared" si="3"/>
        <v>2028</v>
      </c>
      <c r="B6" s="49">
        <v>1031738</v>
      </c>
      <c r="C6" s="50">
        <v>4092601.5</v>
      </c>
      <c r="D6" s="50">
        <v>5575284.5</v>
      </c>
      <c r="E6" s="50">
        <v>6930541</v>
      </c>
      <c r="F6" s="50">
        <v>7415281</v>
      </c>
      <c r="G6" s="17">
        <f t="shared" si="0"/>
        <v>24013708</v>
      </c>
      <c r="H6" s="17">
        <f t="shared" si="1"/>
        <v>1183162.748305327</v>
      </c>
      <c r="I6" s="17">
        <f t="shared" si="2"/>
        <v>22830545.251694672</v>
      </c>
    </row>
    <row r="7" spans="1:9" ht="15.75" customHeight="1" x14ac:dyDescent="0.25">
      <c r="A7" s="5">
        <f t="shared" si="3"/>
        <v>2029</v>
      </c>
      <c r="B7" s="49">
        <v>1021729</v>
      </c>
      <c r="C7" s="50">
        <v>4211731.5</v>
      </c>
      <c r="D7" s="50">
        <v>5659707.5</v>
      </c>
      <c r="E7" s="50">
        <v>6610044.5</v>
      </c>
      <c r="F7" s="50">
        <v>7573639</v>
      </c>
      <c r="G7" s="17">
        <f t="shared" si="0"/>
        <v>24055122.5</v>
      </c>
      <c r="H7" s="17">
        <f t="shared" si="1"/>
        <v>1171684.7607272908</v>
      </c>
      <c r="I7" s="17">
        <f t="shared" si="2"/>
        <v>22883437.73927271</v>
      </c>
    </row>
    <row r="8" spans="1:9" ht="15.75" customHeight="1" x14ac:dyDescent="0.25">
      <c r="A8" s="5">
        <f t="shared" si="3"/>
        <v>2030</v>
      </c>
      <c r="B8" s="49">
        <v>1010375</v>
      </c>
      <c r="C8" s="50">
        <v>4318245.9999999991</v>
      </c>
      <c r="D8" s="50">
        <v>5764651</v>
      </c>
      <c r="E8" s="50">
        <v>6300809</v>
      </c>
      <c r="F8" s="50">
        <v>7676976</v>
      </c>
      <c r="G8" s="17">
        <f t="shared" si="0"/>
        <v>24060682</v>
      </c>
      <c r="H8" s="17">
        <f t="shared" si="1"/>
        <v>1158664.3719810599</v>
      </c>
      <c r="I8" s="17">
        <f t="shared" si="2"/>
        <v>22902017.628018942</v>
      </c>
    </row>
    <row r="9" spans="1:9" ht="15.75" customHeight="1" x14ac:dyDescent="0.25">
      <c r="A9" s="5">
        <f t="shared" si="3"/>
        <v>2031</v>
      </c>
      <c r="B9" s="49">
        <v>1003684</v>
      </c>
      <c r="C9" s="50">
        <v>4405445.5</v>
      </c>
      <c r="D9" s="50">
        <v>5888113.5</v>
      </c>
      <c r="E9" s="50">
        <v>6015194.5</v>
      </c>
      <c r="F9" s="50">
        <v>7718957.4999999991</v>
      </c>
      <c r="G9" s="17">
        <f t="shared" si="0"/>
        <v>24027711</v>
      </c>
      <c r="H9" s="17">
        <f t="shared" si="1"/>
        <v>1150991.3562067926</v>
      </c>
      <c r="I9" s="17">
        <f t="shared" si="2"/>
        <v>22876719.643793207</v>
      </c>
    </row>
    <row r="10" spans="1:9" ht="15.75" customHeight="1" x14ac:dyDescent="0.25">
      <c r="A10" s="5">
        <f t="shared" si="3"/>
        <v>2032</v>
      </c>
      <c r="B10" s="49">
        <v>998534</v>
      </c>
      <c r="C10" s="50">
        <v>4441876.4999999991</v>
      </c>
      <c r="D10" s="50">
        <v>6034837.5000000009</v>
      </c>
      <c r="E10" s="50">
        <v>5774921.5</v>
      </c>
      <c r="F10" s="50">
        <v>7709132.5</v>
      </c>
      <c r="G10" s="17">
        <f t="shared" si="0"/>
        <v>23960768</v>
      </c>
      <c r="H10" s="17">
        <f t="shared" si="1"/>
        <v>1145085.5078676092</v>
      </c>
      <c r="I10" s="17">
        <f t="shared" si="2"/>
        <v>22815682.492132392</v>
      </c>
    </row>
    <row r="11" spans="1:9" ht="15.75" customHeight="1" x14ac:dyDescent="0.25">
      <c r="A11" s="5">
        <f t="shared" si="3"/>
        <v>2033</v>
      </c>
      <c r="B11" s="49">
        <v>998529</v>
      </c>
      <c r="C11" s="50">
        <v>4386619.5</v>
      </c>
      <c r="D11" s="50">
        <v>6206395.5000000009</v>
      </c>
      <c r="E11" s="50">
        <v>5591437.5</v>
      </c>
      <c r="F11" s="50">
        <v>7628503</v>
      </c>
      <c r="G11" s="17">
        <f t="shared" si="0"/>
        <v>23812955.5</v>
      </c>
      <c r="H11" s="17">
        <f t="shared" si="1"/>
        <v>1145079.7740342703</v>
      </c>
      <c r="I11" s="17">
        <f t="shared" si="2"/>
        <v>22667875.725965731</v>
      </c>
    </row>
    <row r="12" spans="1:9" ht="15.75" customHeight="1" x14ac:dyDescent="0.25">
      <c r="A12" s="5">
        <f t="shared" si="3"/>
        <v>2034</v>
      </c>
      <c r="B12" s="49">
        <v>1002402</v>
      </c>
      <c r="C12" s="50">
        <v>4252813.5</v>
      </c>
      <c r="D12" s="50">
        <v>6392959</v>
      </c>
      <c r="E12" s="50">
        <v>5464674.5</v>
      </c>
      <c r="F12" s="50">
        <v>7453497</v>
      </c>
      <c r="G12" s="17">
        <f t="shared" si="0"/>
        <v>23563944</v>
      </c>
      <c r="H12" s="17">
        <f t="shared" si="1"/>
        <v>1149521.2013386698</v>
      </c>
      <c r="I12" s="17">
        <f t="shared" si="2"/>
        <v>22414422.798661329</v>
      </c>
    </row>
    <row r="13" spans="1:9" ht="15.75" customHeight="1" x14ac:dyDescent="0.25">
      <c r="A13" s="5">
        <f t="shared" si="3"/>
        <v>2035</v>
      </c>
      <c r="B13" s="49">
        <v>1005890</v>
      </c>
      <c r="C13" s="50">
        <v>4083372</v>
      </c>
      <c r="D13" s="50">
        <v>6576632</v>
      </c>
      <c r="E13" s="50">
        <v>5400268.5</v>
      </c>
      <c r="F13" s="50">
        <v>7208937</v>
      </c>
      <c r="G13" s="17">
        <f t="shared" si="0"/>
        <v>23269209.5</v>
      </c>
      <c r="H13" s="17">
        <f t="shared" si="1"/>
        <v>1153521.1234759651</v>
      </c>
      <c r="I13" s="17">
        <f t="shared" si="2"/>
        <v>22115688.376524035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3p8a+46ZkBTDl7+emr6ifRE1YLH303H1hk59tEc2e01mLN5dk/1wGtabgOyQdRrmBL4y1X602nICEH6CX6jbg==" saltValue="h7Ig3kya7/ZxeUSP2dyoI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1.738200173820019E-3</v>
      </c>
    </row>
    <row r="4" spans="1:8" ht="15.75" customHeight="1" x14ac:dyDescent="0.25">
      <c r="B4" s="19" t="s">
        <v>97</v>
      </c>
      <c r="C4" s="101">
        <v>5.6959305695930607E-2</v>
      </c>
    </row>
    <row r="5" spans="1:8" ht="15.75" customHeight="1" x14ac:dyDescent="0.25">
      <c r="B5" s="19" t="s">
        <v>95</v>
      </c>
      <c r="C5" s="101">
        <v>3.7975303797530502E-2</v>
      </c>
    </row>
    <row r="6" spans="1:8" ht="15.75" customHeight="1" x14ac:dyDescent="0.25">
      <c r="B6" s="19" t="s">
        <v>91</v>
      </c>
      <c r="C6" s="101">
        <v>0.1868385186838521</v>
      </c>
    </row>
    <row r="7" spans="1:8" ht="15.75" customHeight="1" x14ac:dyDescent="0.25">
      <c r="B7" s="19" t="s">
        <v>96</v>
      </c>
      <c r="C7" s="101">
        <v>0.44315674431567392</v>
      </c>
    </row>
    <row r="8" spans="1:8" ht="15.75" customHeight="1" x14ac:dyDescent="0.25">
      <c r="B8" s="19" t="s">
        <v>98</v>
      </c>
      <c r="C8" s="101">
        <v>4.4720004472000513E-4</v>
      </c>
    </row>
    <row r="9" spans="1:8" ht="15.75" customHeight="1" x14ac:dyDescent="0.25">
      <c r="B9" s="19" t="s">
        <v>92</v>
      </c>
      <c r="C9" s="101">
        <v>0.17596981759698199</v>
      </c>
    </row>
    <row r="10" spans="1:8" ht="15.75" customHeight="1" x14ac:dyDescent="0.25">
      <c r="B10" s="19" t="s">
        <v>94</v>
      </c>
      <c r="C10" s="101">
        <v>9.691490969149115E-2</v>
      </c>
    </row>
    <row r="11" spans="1:8" ht="15.75" customHeight="1" x14ac:dyDescent="0.25">
      <c r="B11" s="27" t="s">
        <v>60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0.1263899519799413</v>
      </c>
      <c r="D14" s="55">
        <v>0.1263899519799413</v>
      </c>
      <c r="E14" s="55">
        <v>0.1263899519799413</v>
      </c>
      <c r="F14" s="55">
        <v>0.1263899519799413</v>
      </c>
    </row>
    <row r="15" spans="1:8" ht="15.75" customHeight="1" x14ac:dyDescent="0.25">
      <c r="B15" s="19" t="s">
        <v>102</v>
      </c>
      <c r="C15" s="101">
        <v>0.1041664226509775</v>
      </c>
      <c r="D15" s="101">
        <v>0.1041664226509775</v>
      </c>
      <c r="E15" s="101">
        <v>0.1041664226509775</v>
      </c>
      <c r="F15" s="101">
        <v>0.1041664226509775</v>
      </c>
    </row>
    <row r="16" spans="1:8" ht="15.75" customHeight="1" x14ac:dyDescent="0.25">
      <c r="B16" s="19" t="s">
        <v>2</v>
      </c>
      <c r="C16" s="101">
        <v>1.051281860064689E-2</v>
      </c>
      <c r="D16" s="101">
        <v>1.051281860064689E-2</v>
      </c>
      <c r="E16" s="101">
        <v>1.051281860064689E-2</v>
      </c>
      <c r="F16" s="101">
        <v>1.051281860064689E-2</v>
      </c>
    </row>
    <row r="17" spans="1:8" ht="15.75" customHeight="1" x14ac:dyDescent="0.25">
      <c r="B17" s="19" t="s">
        <v>90</v>
      </c>
      <c r="C17" s="101">
        <v>2.740749590882348E-3</v>
      </c>
      <c r="D17" s="101">
        <v>2.740749590882348E-3</v>
      </c>
      <c r="E17" s="101">
        <v>2.740749590882348E-3</v>
      </c>
      <c r="F17" s="101">
        <v>2.740749590882348E-3</v>
      </c>
    </row>
    <row r="18" spans="1:8" ht="15.75" customHeight="1" x14ac:dyDescent="0.25">
      <c r="B18" s="19" t="s">
        <v>3</v>
      </c>
      <c r="C18" s="101">
        <v>8.5856697536406783E-3</v>
      </c>
      <c r="D18" s="101">
        <v>8.5856697536406783E-3</v>
      </c>
      <c r="E18" s="101">
        <v>8.5856697536406783E-3</v>
      </c>
      <c r="F18" s="101">
        <v>8.5856697536406783E-3</v>
      </c>
    </row>
    <row r="19" spans="1:8" ht="15.75" customHeight="1" x14ac:dyDescent="0.25">
      <c r="B19" s="19" t="s">
        <v>101</v>
      </c>
      <c r="C19" s="101">
        <v>3.85459091454761E-2</v>
      </c>
      <c r="D19" s="101">
        <v>3.85459091454761E-2</v>
      </c>
      <c r="E19" s="101">
        <v>3.85459091454761E-2</v>
      </c>
      <c r="F19" s="101">
        <v>3.85459091454761E-2</v>
      </c>
    </row>
    <row r="20" spans="1:8" ht="15.75" customHeight="1" x14ac:dyDescent="0.25">
      <c r="B20" s="19" t="s">
        <v>79</v>
      </c>
      <c r="C20" s="101">
        <v>3.5060893629497103E-2</v>
      </c>
      <c r="D20" s="101">
        <v>3.5060893629497103E-2</v>
      </c>
      <c r="E20" s="101">
        <v>3.5060893629497103E-2</v>
      </c>
      <c r="F20" s="101">
        <v>3.5060893629497103E-2</v>
      </c>
    </row>
    <row r="21" spans="1:8" ht="15.75" customHeight="1" x14ac:dyDescent="0.25">
      <c r="B21" s="19" t="s">
        <v>88</v>
      </c>
      <c r="C21" s="101">
        <v>0.36168149328917881</v>
      </c>
      <c r="D21" s="101">
        <v>0.36168149328917881</v>
      </c>
      <c r="E21" s="101">
        <v>0.36168149328917881</v>
      </c>
      <c r="F21" s="101">
        <v>0.36168149328917881</v>
      </c>
    </row>
    <row r="22" spans="1:8" ht="15.75" customHeight="1" x14ac:dyDescent="0.25">
      <c r="B22" s="19" t="s">
        <v>99</v>
      </c>
      <c r="C22" s="101">
        <v>0.3123160913597593</v>
      </c>
      <c r="D22" s="101">
        <v>0.3123160913597593</v>
      </c>
      <c r="E22" s="101">
        <v>0.3123160913597593</v>
      </c>
      <c r="F22" s="101">
        <v>0.3123160913597593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4.7996967000000001E-2</v>
      </c>
    </row>
    <row r="27" spans="1:8" ht="15.75" customHeight="1" x14ac:dyDescent="0.25">
      <c r="B27" s="19" t="s">
        <v>89</v>
      </c>
      <c r="C27" s="101">
        <v>1.9231089E-2</v>
      </c>
    </row>
    <row r="28" spans="1:8" ht="15.75" customHeight="1" x14ac:dyDescent="0.25">
      <c r="B28" s="19" t="s">
        <v>103</v>
      </c>
      <c r="C28" s="101">
        <v>0.23147800700000001</v>
      </c>
    </row>
    <row r="29" spans="1:8" ht="15.75" customHeight="1" x14ac:dyDescent="0.25">
      <c r="B29" s="19" t="s">
        <v>86</v>
      </c>
      <c r="C29" s="101">
        <v>0.13894083700000001</v>
      </c>
    </row>
    <row r="30" spans="1:8" ht="15.75" customHeight="1" x14ac:dyDescent="0.25">
      <c r="B30" s="19" t="s">
        <v>4</v>
      </c>
      <c r="C30" s="101">
        <v>5.0303380000000002E-2</v>
      </c>
    </row>
    <row r="31" spans="1:8" ht="15.75" customHeight="1" x14ac:dyDescent="0.25">
      <c r="B31" s="19" t="s">
        <v>80</v>
      </c>
      <c r="C31" s="101">
        <v>7.028529E-2</v>
      </c>
    </row>
    <row r="32" spans="1:8" ht="15.75" customHeight="1" x14ac:dyDescent="0.25">
      <c r="B32" s="19" t="s">
        <v>85</v>
      </c>
      <c r="C32" s="101">
        <v>0.146633282</v>
      </c>
    </row>
    <row r="33" spans="2:3" ht="15.75" customHeight="1" x14ac:dyDescent="0.25">
      <c r="B33" s="19" t="s">
        <v>100</v>
      </c>
      <c r="C33" s="101">
        <v>0.12525921100000001</v>
      </c>
    </row>
    <row r="34" spans="2:3" ht="15.75" customHeight="1" x14ac:dyDescent="0.25">
      <c r="B34" s="19" t="s">
        <v>87</v>
      </c>
      <c r="C34" s="101">
        <v>0.169871936</v>
      </c>
    </row>
    <row r="35" spans="2:3" ht="15.75" customHeight="1" x14ac:dyDescent="0.25">
      <c r="B35" s="27" t="s">
        <v>60</v>
      </c>
      <c r="C35" s="48">
        <f>SUM(C26:C34)</f>
        <v>0.99999999900000014</v>
      </c>
    </row>
  </sheetData>
  <sheetProtection algorithmName="SHA-512" hashValue="VeUhS6f+FKb30PAxuOsSRnv/ntY5mbv4waH2QXmVZ4fNR+GR0ZW5T3p6Pt3Yz5k1498qlsRQMFZqix/bx0hdxg==" saltValue="UycTuXI+OgDaw6sj2HE6q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110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106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119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0.29280085350000001</v>
      </c>
      <c r="D14" s="54">
        <v>0.28374893770699999</v>
      </c>
      <c r="E14" s="54">
        <v>0.28374893770699999</v>
      </c>
      <c r="F14" s="54">
        <v>0.220751489922</v>
      </c>
      <c r="G14" s="54">
        <v>0.220751489922</v>
      </c>
      <c r="H14" s="45">
        <v>0.42</v>
      </c>
      <c r="I14" s="55">
        <v>0.42</v>
      </c>
      <c r="J14" s="55">
        <v>0.42</v>
      </c>
      <c r="K14" s="55">
        <v>0.42</v>
      </c>
      <c r="L14" s="45">
        <v>0.28199999999999997</v>
      </c>
      <c r="M14" s="55">
        <v>0.28199999999999997</v>
      </c>
      <c r="N14" s="55">
        <v>0.28199999999999997</v>
      </c>
      <c r="O14" s="55">
        <v>0.28199999999999997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0.17053863631168648</v>
      </c>
      <c r="D15" s="52">
        <f t="shared" si="0"/>
        <v>0.16526644752912734</v>
      </c>
      <c r="E15" s="52">
        <f t="shared" si="0"/>
        <v>0.16526644752912734</v>
      </c>
      <c r="F15" s="52">
        <f t="shared" si="0"/>
        <v>0.12857427703867974</v>
      </c>
      <c r="G15" s="52">
        <f t="shared" si="0"/>
        <v>0.12857427703867974</v>
      </c>
      <c r="H15" s="52">
        <f t="shared" si="0"/>
        <v>0.24462437999999997</v>
      </c>
      <c r="I15" s="52">
        <f t="shared" si="0"/>
        <v>0.24462437999999997</v>
      </c>
      <c r="J15" s="52">
        <f t="shared" si="0"/>
        <v>0.24462437999999997</v>
      </c>
      <c r="K15" s="52">
        <f t="shared" si="0"/>
        <v>0.24462437999999997</v>
      </c>
      <c r="L15" s="52">
        <f t="shared" si="0"/>
        <v>0.16424779799999997</v>
      </c>
      <c r="M15" s="52">
        <f t="shared" si="0"/>
        <v>0.16424779799999997</v>
      </c>
      <c r="N15" s="52">
        <f t="shared" si="0"/>
        <v>0.16424779799999997</v>
      </c>
      <c r="O15" s="52">
        <f t="shared" si="0"/>
        <v>0.16424779799999997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d86i7Ppen01thk6PM7iBJn7kDFIr7ZNcV9fSa5/cH/jznG7TWOxKHXF+FM/uxK0Vr+RquNdqFTGshndAw2lQQ==" saltValue="ZfE9K2yZjNoPTjqbhzmc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0.66450710000000002</v>
      </c>
      <c r="D2" s="53">
        <v>0.4996447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3.7980600000000003E-2</v>
      </c>
      <c r="D3" s="53">
        <v>7.3969300000000002E-2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0.22020380000000001</v>
      </c>
      <c r="D4" s="53">
        <v>0.2993806</v>
      </c>
      <c r="E4" s="53">
        <v>0.79006569999999998</v>
      </c>
      <c r="F4" s="53">
        <v>0.67291190000000001</v>
      </c>
      <c r="G4" s="53">
        <v>0</v>
      </c>
    </row>
    <row r="5" spans="1:7" x14ac:dyDescent="0.25">
      <c r="B5" s="3" t="s">
        <v>125</v>
      </c>
      <c r="C5" s="52">
        <v>7.7308500000000002E-2</v>
      </c>
      <c r="D5" s="52">
        <v>0.12700549999999999</v>
      </c>
      <c r="E5" s="52">
        <f>1-SUM(E2:E4)</f>
        <v>0.20993430000000002</v>
      </c>
      <c r="F5" s="52">
        <f>1-SUM(F2:F4)</f>
        <v>0.32708809999999999</v>
      </c>
      <c r="G5" s="52">
        <f>1-SUM(G2:G4)</f>
        <v>1</v>
      </c>
    </row>
  </sheetData>
  <sheetProtection algorithmName="SHA-512" hashValue="HAgoPOVfBoUQk4Q916Hb8jLqXdXCIMvVLK21UqB999KI9ANstO9Y/HiGz8SXL+nK7c926Lx45lVZql4lPi5iTA==" saltValue="Nid7MplID6fv2AO1c3ZGS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drHyZYBpaM7fSy/zo1Dk/iinCuc/RS8XlJQxdWV9KPEAzyrefjO+Tjm65+0LtLYlRgcgzENTna0LWrcuQczBNA==" saltValue="klIMvqtiaXEPIIfgsvymP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XCNMChY9fBcqjLmJbfs40ojAQxqhliw+gIkyDinq+4Osd47+v/Av2dLhvnJCrnMeBn2z/mi8ypyw9bzJgPLwaQ==" saltValue="q+TkznbF/QK1hu0/DKBSh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uUDJWVhl2MP4F0wz2GCgR8C5Z/Ve5uH67RniOA9iGSsOrhgWn2HLlsObFqZQxk+OV8LeLnDeC8uD3dCwkHddEA==" saltValue="ZCmGl/SVXkWi+Bb6/j8MI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VsP2KSGacEa4eBQ5zFix/d1fbYqOWskDsSCAsrgOrRshBq88WzlCGxmAOymuTYnRT3OhT2rzFmKX5g1qgWWLIw==" saltValue="LbYvtcSeY96Zk9nKjQLLR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64.886871461123533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40.033831858193757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521.91094080463984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1.700161432423168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0.44054339999999997</v>
      </c>
      <c r="C10" s="98">
        <v>0.95</v>
      </c>
      <c r="D10" s="56">
        <v>13.166131301989671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13.166131301989671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13.166131301989671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13.166131301989671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0.44054339999999997</v>
      </c>
      <c r="C14" s="98">
        <v>0.95</v>
      </c>
      <c r="D14" s="56">
        <v>13.166131301989671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13.166131301989671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1.73413E-2</v>
      </c>
      <c r="C16" s="98">
        <v>0.95</v>
      </c>
      <c r="D16" s="56">
        <v>0.87289710188501968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0.17784249999999999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0.4996447</v>
      </c>
      <c r="C18" s="98">
        <v>0.95</v>
      </c>
      <c r="D18" s="56">
        <v>11.99955936520508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0.4996447</v>
      </c>
      <c r="C19" s="98">
        <v>0.95</v>
      </c>
      <c r="D19" s="56">
        <v>11.99955936520508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14.37005331994601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22.801258259937519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2.2612899999999998E-2</v>
      </c>
      <c r="C23" s="98">
        <v>0.95</v>
      </c>
      <c r="D23" s="56">
        <v>4.3755575735972823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0.61685007638513001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0.44054339999999997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18.728188384897141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0.36092259999999998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0.53925319999999999</v>
      </c>
      <c r="C29" s="98">
        <v>0.95</v>
      </c>
      <c r="D29" s="56">
        <v>129.29915294669931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1.2142779657827909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0.62</v>
      </c>
      <c r="C32" s="98">
        <v>0.95</v>
      </c>
      <c r="D32" s="56">
        <v>1.8900764232524481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0.7898522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0.45606069999999999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1.5928999999999999E-2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0.22960410000000001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0.37310900000000002</v>
      </c>
      <c r="C38" s="98">
        <v>0.95</v>
      </c>
      <c r="D38" s="56">
        <v>3.1240782385195991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Yu+3w1kUV+2y4kxaJ+WdQAElZdlyHXQ4tK52gRw0P54lYS+hFpMkeqnokAw3kFdX4XlxRS8AJrVtRmr9Bb303A==" saltValue="MxPXxIsVRZtrHpaAmIB0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bUYJJzR3VZtYTFZkEAUiqIgC6EslLfQrhYzIlz/uztDx9yFz+pbDnkRzhdX/slHZ7WSGa6hlJ07gvJ1p0uj0Dw==" saltValue="XhMOvsL0GCgFJaehBGuuq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Jo+qUV1Am/TzDHjTXEfTPWTpcHid1p5iSvZuOk5arwp7B24KaaYT0eVQUHERgm7Ue+O9IRCbz8H7pBScTmxjFQ==" saltValue="EaTkZA8bQKYHEkjufO6Ww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207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7CN0sy6T4G5fxl2ykMf08at6zPeRYSC1COUk2f847sei0YSp/YLdFqXjj80iiaWwaTtBxzt0efjKeBmeoFExKw==" saltValue="ILVapNRYuPN5HJECwveX/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4.5999999999999999E-2</v>
      </c>
      <c r="E2" s="60">
        <f>food_insecure</f>
        <v>4.5999999999999999E-2</v>
      </c>
      <c r="F2" s="60">
        <f>food_insecure</f>
        <v>4.5999999999999999E-2</v>
      </c>
      <c r="G2" s="60">
        <f>food_insecure</f>
        <v>4.5999999999999999E-2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4.5999999999999999E-2</v>
      </c>
      <c r="F5" s="60">
        <f>food_insecure</f>
        <v>4.5999999999999999E-2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4.5999999999999999E-2</v>
      </c>
      <c r="F8" s="60">
        <f>food_insecure</f>
        <v>4.5999999999999999E-2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4.5999999999999999E-2</v>
      </c>
      <c r="F9" s="60">
        <f>food_insecure</f>
        <v>4.5999999999999999E-2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4.5999999999999999E-2</v>
      </c>
      <c r="I15" s="60">
        <f>food_insecure</f>
        <v>4.5999999999999999E-2</v>
      </c>
      <c r="J15" s="60">
        <f>food_insecure</f>
        <v>4.5999999999999999E-2</v>
      </c>
      <c r="K15" s="60">
        <f>food_insecure</f>
        <v>4.5999999999999999E-2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0.10879999999999999</v>
      </c>
      <c r="I19" s="60">
        <f>frac_malaria_risk</f>
        <v>0.10879999999999999</v>
      </c>
      <c r="J19" s="60">
        <f>frac_malaria_risk</f>
        <v>0.10879999999999999</v>
      </c>
      <c r="K19" s="60">
        <f>frac_malaria_risk</f>
        <v>0.10879999999999999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0.314</v>
      </c>
      <c r="M24" s="60">
        <f>famplan_unmet_need</f>
        <v>0.314</v>
      </c>
      <c r="N24" s="60">
        <f>famplan_unmet_need</f>
        <v>0.314</v>
      </c>
      <c r="O24" s="60">
        <f>famplan_unmet_need</f>
        <v>0.314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7.3258103472900529E-2</v>
      </c>
      <c r="M25" s="60">
        <f>(1-food_insecure)*(0.49)+food_insecure*(0.7)</f>
        <v>0.49965999999999999</v>
      </c>
      <c r="N25" s="60">
        <f>(1-food_insecure)*(0.49)+food_insecure*(0.7)</f>
        <v>0.49965999999999999</v>
      </c>
      <c r="O25" s="60">
        <f>(1-food_insecure)*(0.49)+food_insecure*(0.7)</f>
        <v>0.49965999999999999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3.1396330059814508E-2</v>
      </c>
      <c r="M26" s="60">
        <f>(1-food_insecure)*(0.21)+food_insecure*(0.3)</f>
        <v>0.21414</v>
      </c>
      <c r="N26" s="60">
        <f>(1-food_insecure)*(0.21)+food_insecure*(0.3)</f>
        <v>0.21414</v>
      </c>
      <c r="O26" s="60">
        <f>(1-food_insecure)*(0.21)+food_insecure*(0.3)</f>
        <v>0.21414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4.1961472229003975E-2</v>
      </c>
      <c r="M27" s="60">
        <f>(1-food_insecure)*(0.3)</f>
        <v>0.28619999999999995</v>
      </c>
      <c r="N27" s="60">
        <f>(1-food_insecure)*(0.3)</f>
        <v>0.28619999999999995</v>
      </c>
      <c r="O27" s="60">
        <f>(1-food_insecure)*(0.3)</f>
        <v>0.28619999999999995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0.85338409423828099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0.10879999999999999</v>
      </c>
      <c r="D34" s="60">
        <f t="shared" si="3"/>
        <v>0.10879999999999999</v>
      </c>
      <c r="E34" s="60">
        <f t="shared" si="3"/>
        <v>0.10879999999999999</v>
      </c>
      <c r="F34" s="60">
        <f t="shared" si="3"/>
        <v>0.10879999999999999</v>
      </c>
      <c r="G34" s="60">
        <f t="shared" si="3"/>
        <v>0.10879999999999999</v>
      </c>
      <c r="H34" s="60">
        <f t="shared" si="3"/>
        <v>0.10879999999999999</v>
      </c>
      <c r="I34" s="60">
        <f t="shared" si="3"/>
        <v>0.10879999999999999</v>
      </c>
      <c r="J34" s="60">
        <f t="shared" si="3"/>
        <v>0.10879999999999999</v>
      </c>
      <c r="K34" s="60">
        <f t="shared" si="3"/>
        <v>0.10879999999999999</v>
      </c>
      <c r="L34" s="60">
        <f t="shared" si="3"/>
        <v>0.10879999999999999</v>
      </c>
      <c r="M34" s="60">
        <f t="shared" si="3"/>
        <v>0.10879999999999999</v>
      </c>
      <c r="N34" s="60">
        <f t="shared" si="3"/>
        <v>0.10879999999999999</v>
      </c>
      <c r="O34" s="60">
        <f t="shared" si="3"/>
        <v>0.10879999999999999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XMU65+gjr27Nl981V8YU4QdfLS8C6PdA2BADq1de9Cd7wwqx1Gnp0Tbw5OlFo8KFWWLdvsbGFpQENFTov96wZg==" saltValue="Zlqjjm7PHvjtMrKKA5Jmj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lBes21rE0P5bDKktf9xrja0x5uqrPJ83XasA1KfnObhZ/6i/HJEXKNt5hOzXunWtm6TNEnwymmn3JZ1pt7rgzQ==" saltValue="vmz2S7w9q8WK6O+5hYW0o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LPcluO4oTxk3qZbF79loamPz2roQnFYjQW7Zf9zn2PVmq2NxDzcDiTDfdQnmj4Hwln2QuALWZNXOAFHRSnwKhw==" saltValue="Pr8GNZu7Nv97aidnGwMlX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0sW8x9X0TYtg1bi0cdWIlQwKLqYoUB2dibnBAfek6ZsvfukMSehR4wP6gXd7PvqVf6p7T6VENsV66TGq2tVjCQ==" saltValue="pmMc6yy4nInfIqOkIlgAx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by90ICwQHgCp5/Da0FLGLRP2qh5bmIvPOJGcWLhH2W9vWYnOoSCoOQnKhMRB2Dq97nExRjhOpGYrM+J5B/h1Qg==" saltValue="06k9Js7YvYn0jye/Xw3VQ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lHyQrhDnfxSVLOm8sKGm1rIcfo2cOKxhZZr5p3zJ5Fk5BJAII+/fT/tODgCaZteAg1NTBoTFRJW3nHwG/larFg==" saltValue="sqQ+onRY3ynLQszmpX/zw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4z1/Bhbdr3AgBrlmYNFO8mIRH7oXepPV0KE+QLK7NGE7hUxndpevk2Td3fkVaFvw/Qytes7EYPh90a+GPGZjdQ==" saltValue="xGt5BnPXxPWFcGuVvF914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dpi6CPgSY9XZE8lfEzD414pWalq59o6IniNN0RCxs0fyxmHFIS407HhpWjFzUXSUfb04bSoefjdwvoy07f2DLg==" saltValue="0bubkLn1DVvHvUe+fMkl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UfhfM0yC/GmgziORBjWdSbC+f2va7wt6F8KmH9e6dnrf+bOUvAnG4V6xhkhITa7JayafjmLPgxzBU10/yg2pw==" saltValue="+iXftL8KVmF8NhU9dWIJ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B7AK/DlbCdLQ9EqNzOwzXxxyRdVMhX5uqLhxdPRQJf1z6eLiIpLAok6C3PlAgpq/TPe5m1N5U2OPJ81gbV0XWw==" saltValue="U5Se73iu9K5+AMgqbNPF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6lTMg0RoNfsdQv54UZb+HwfCd5xEUURsDDoVAuKk5X41JVeFEoiIrggbN873XkzY1MBtY9zkkJzr4Hj7zKpr9A==" saltValue="1V0dZAViQqJr17cJnjxM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AmyLDuCWoIxNPV7V+k94tX4CTeFMVOOrQgqK0mjsNKyOJzakyfukEpO2XNL5KEblIlrSvta1P8HreQiwSZll+w==" saltValue="veEcuQ53F/ZKeUJXA/QV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ik4z4Rf8ET5RsX2UJPWQkW6GaTCoJfGbHCO1FjAH/ocU9qioYZpOxVViUUd2q5++1k+oM3wl5fMInw5e1hE1Pw==" saltValue="5Vl9WPRxUfZna5CFu2Edz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0.1061043049026611</v>
      </c>
      <c r="G18" s="90">
        <f>MIN(MAX(1-0.89/(1-frac_sam_12_23months+(frac_sam_12_23months*0.89)),0),1)</f>
        <v>0.10672753483027453</v>
      </c>
      <c r="H18" s="90">
        <f>MIN(MAX(1-0.89/(1-frac_sam_24_59months+(frac_sam_24_59months*0.89)),0),1)</f>
        <v>0.10792624649961502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0.10159302095390743</v>
      </c>
      <c r="G20" s="90">
        <f>MIN(MAX(1-0.89/(1-frac_mam_12_23months+(frac_mam_12_23months*0.89)),0),1)</f>
        <v>0.10192091694100414</v>
      </c>
      <c r="H20" s="90">
        <f>MIN(MAX(1-0.89/(1-frac_mam_24_59months+(frac_mam_24_59months*0.89)),0),1)</f>
        <v>0.10391137176824317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9.6076147076843421E-3</v>
      </c>
      <c r="G73" s="90">
        <f>MIN(MAX(1-0.99/(1-frac_sam_12_23months+(frac_sam_12_23months*0.99)),0),1)</f>
        <v>9.6701790355624428E-3</v>
      </c>
      <c r="H73" s="90">
        <f>MIN(MAX(1-0.99/(1-frac_sam_24_59months+(frac_sam_24_59months*0.99)),0),1)</f>
        <v>9.7907378565519343E-3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9.1570943458723075E-3</v>
      </c>
      <c r="G75" s="90">
        <f>MIN(MAX(1-0.99/(1-frac_mam_12_23months+(frac_mam_12_23months*0.99)),0),1)</f>
        <v>9.1897009707044841E-3</v>
      </c>
      <c r="H75" s="90">
        <f>MIN(MAX(1-0.99/(1-frac_mam_24_59months+(frac_mam_24_59months*0.99)),0),1)</f>
        <v>9.3881015599317497E-3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0.19361030108005861</v>
      </c>
      <c r="G128" s="90">
        <f>MIN(MAX(1-0.8/(1-frac_sam_12_23months+(frac_sam_12_23months*0.8)),0),1)</f>
        <v>0.19463560409556757</v>
      </c>
      <c r="H128" s="90">
        <f>MIN(MAX(1-0.8/(1-frac_sam_24_59months+(frac_sam_24_59months*0.8)),0),1)</f>
        <v>0.1966043481398837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0.18615328435422862</v>
      </c>
      <c r="G130" s="90">
        <f>MIN(MAX(1-0.8/(1-frac_mam_12_23months+(frac_mam_12_23months*0.8)),0),1)</f>
        <v>0.18669738659742963</v>
      </c>
      <c r="H130" s="90">
        <f>MIN(MAX(1-0.8/(1-frac_mam_24_59months+(frac_mam_24_59months*0.8)),0),1)</f>
        <v>0.18999321757816412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AdAHOksRWmE2S3r0uC866i2Wq47uSdfeh5aMEX8qhBz+zezp+Lb7Qe1OPyC2lObHJGleiyiA/cSYR2WOeXP+A==" saltValue="T5Dn5bbdyE6BwXfORDYT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tkZS26ImITDdij+J6sPNMWid81PKqGCe0eirtupEGH0bcn7psQ1mHK1p8nmdC/pelVgF9IUM8jG9mWF6xT3fNQ==" saltValue="hTwHad7i3StzAAg6FQvvB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2024-08-06T07:46:28Z</dcterms:modified>
</cp:coreProperties>
</file>