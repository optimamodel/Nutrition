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E6AEA444-1325-482D-9A1E-B104871521B5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<sst xmlns="http://schemas.openxmlformats.org/spreadsheetml/2006/main" count="2102" uniqueCount="341">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</sst>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21862100.25</v>
      </c>
    </row>
    <row r="8" spans="1:3" ht="15" customHeight="1" x14ac:dyDescent="0.25">
      <c r="B8" s="5" t="s">
        <v>44</v>
      </c>
      <c r="C8" s="44">
        <v>4.5999999999999999E-2</v>
      </c>
    </row>
    <row r="9" spans="1:3" ht="15" customHeight="1" x14ac:dyDescent="0.25">
      <c r="B9" s="5" t="s">
        <v>43</v>
      </c>
      <c r="C9" s="45">
        <v>0.10879999999999999</v>
      </c>
    </row>
    <row r="10" spans="1:3" ht="15" customHeight="1" x14ac:dyDescent="0.25">
      <c r="B10" s="5" t="s">
        <v>56</v>
      </c>
      <c r="C10" s="45">
        <v>0.85338409423828099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0.314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7.8600000000000003E-2</v>
      </c>
    </row>
    <row r="24" spans="1:3" ht="15" customHeight="1" x14ac:dyDescent="0.25">
      <c r="B24" s="15" t="s">
        <v>46</v>
      </c>
      <c r="C24" s="45">
        <v>0.51929999999999998</v>
      </c>
    </row>
    <row r="25" spans="1:3" ht="15" customHeight="1" x14ac:dyDescent="0.25">
      <c r="B25" s="15" t="s">
        <v>47</v>
      </c>
      <c r="C25" s="45">
        <v>0.37880000000000003</v>
      </c>
    </row>
    <row r="26" spans="1:3" ht="15" customHeight="1" x14ac:dyDescent="0.25">
      <c r="B26" s="15" t="s">
        <v>48</v>
      </c>
      <c r="C26" s="45">
        <v>2.3300000000000001E-2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0.35185775257007201</v>
      </c>
    </row>
    <row r="30" spans="1:3" ht="14.25" customHeight="1" x14ac:dyDescent="0.25">
      <c r="B30" s="25" t="s">
        <v>63</v>
      </c>
      <c r="C30" s="99">
        <v>2.3858720907234902E-2</v>
      </c>
    </row>
    <row r="31" spans="1:3" ht="14.25" customHeight="1" x14ac:dyDescent="0.25">
      <c r="B31" s="25" t="s">
        <v>10</v>
      </c>
      <c r="C31" s="99">
        <v>3.4342930038455802E-2</v>
      </c>
    </row>
    <row r="32" spans="1:3" ht="14.25" customHeight="1" x14ac:dyDescent="0.25">
      <c r="B32" s="25" t="s">
        <v>11</v>
      </c>
      <c r="C32" s="99">
        <v>0.58994059648423802</v>
      </c>
    </row>
    <row r="33" spans="1:5" ht="13" customHeight="1" x14ac:dyDescent="0.25">
      <c r="B33" s="27" t="s">
        <v>60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11.326549999999999</v>
      </c>
    </row>
    <row r="38" spans="1:5" ht="15" customHeight="1" x14ac:dyDescent="0.25">
      <c r="B38" s="11" t="s">
        <v>35</v>
      </c>
      <c r="C38" s="43">
        <v>18.882359999999998</v>
      </c>
      <c r="D38" s="12"/>
      <c r="E38" s="13"/>
    </row>
    <row r="39" spans="1:5" ht="15" customHeight="1" x14ac:dyDescent="0.25">
      <c r="B39" s="11" t="s">
        <v>61</v>
      </c>
      <c r="C39" s="43">
        <v>22.173410000000001</v>
      </c>
      <c r="D39" s="12"/>
      <c r="E39" s="12"/>
    </row>
    <row r="40" spans="1:5" ht="15" customHeight="1" x14ac:dyDescent="0.25">
      <c r="B40" s="11" t="s">
        <v>36</v>
      </c>
      <c r="C40" s="100">
        <v>1.73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9.0716199999999994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6.1523000000000003E-3</v>
      </c>
      <c r="D45" s="12"/>
    </row>
    <row r="46" spans="1:5" ht="15.75" customHeight="1" x14ac:dyDescent="0.25">
      <c r="B46" s="11" t="s">
        <v>51</v>
      </c>
      <c r="C46" s="45">
        <v>6.6105700000000003E-2</v>
      </c>
      <c r="D46" s="12"/>
    </row>
    <row r="47" spans="1:5" ht="15.75" customHeight="1" x14ac:dyDescent="0.25">
      <c r="B47" s="11" t="s">
        <v>59</v>
      </c>
      <c r="C47" s="45">
        <v>7.5150599999999998E-2</v>
      </c>
      <c r="D47" s="12"/>
      <c r="E47" s="13"/>
    </row>
    <row r="48" spans="1:5" ht="15" customHeight="1" x14ac:dyDescent="0.25">
      <c r="B48" s="11" t="s">
        <v>58</v>
      </c>
      <c r="C48" s="46">
        <v>0.8525914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2.4</v>
      </c>
      <c r="D51" s="12"/>
    </row>
    <row r="52" spans="1:4" ht="15" customHeight="1" x14ac:dyDescent="0.25">
      <c r="B52" s="11" t="s">
        <v>13</v>
      </c>
      <c r="C52" s="100">
        <v>2.4</v>
      </c>
    </row>
    <row r="53" spans="1:4" ht="15.75" customHeight="1" x14ac:dyDescent="0.25">
      <c r="B53" s="11" t="s">
        <v>16</v>
      </c>
      <c r="C53" s="100">
        <v>2.4</v>
      </c>
    </row>
    <row r="54" spans="1:4" ht="15.75" customHeight="1" x14ac:dyDescent="0.25">
      <c r="B54" s="11" t="s">
        <v>14</v>
      </c>
      <c r="C54" s="100">
        <v>2.4</v>
      </c>
    </row>
    <row r="55" spans="1:4" ht="15.75" customHeight="1" x14ac:dyDescent="0.25">
      <c r="B55" s="11" t="s">
        <v>15</v>
      </c>
      <c r="C55" s="100">
        <v>2.4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2.1666666666666671E-2</v>
      </c>
    </row>
    <row r="59" spans="1:4" ht="15.75" customHeight="1" x14ac:dyDescent="0.25">
      <c r="B59" s="11" t="s">
        <v>40</v>
      </c>
      <c r="C59" s="45">
        <v>0.58243899999999993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R7fPTiXyYln5Dic/bQXKaTDxfzeQKNM52jf7PL9rRB9voZl8ALNVj1KoJ1/lDDW7H1WhxFQLzLjf5m8jk9nFLQ==" saltValue="bHQNUcPqMOelzXMrqFX3b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1117084</v>
      </c>
      <c r="C2" s="49">
        <v>3659287.5</v>
      </c>
      <c r="D2" s="49">
        <v>5556957.5</v>
      </c>
      <c r="E2" s="49">
        <v>8214210</v>
      </c>
      <c r="F2" s="49">
        <v>6280081</v>
      </c>
      <c r="G2" s="17">
        <f t="shared" ref="G2:G13" si="0">C2+D2+E2+F2</f>
        <v>23710536</v>
      </c>
      <c r="H2" s="17">
        <f t="shared" ref="H2:H13" si="1">(B2 + stillbirth*B2/(1000-stillbirth))/(1-abortion)</f>
        <v>1281034.6963356086</v>
      </c>
      <c r="I2" s="17">
        <f t="shared" ref="I2:I13" si="2">G2-H2</f>
        <v>22429501.30366439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1095741</v>
      </c>
      <c r="C3" s="50">
        <v>3753973</v>
      </c>
      <c r="D3" s="50">
        <v>5491489.5</v>
      </c>
      <c r="E3" s="50">
        <v>7918623.5</v>
      </c>
      <c r="F3" s="50">
        <v>6596055</v>
      </c>
      <c r="G3" s="17">
        <f t="shared" si="0"/>
        <v>23760141</v>
      </c>
      <c r="H3" s="17">
        <f t="shared" si="1"/>
        <v>1256559.2553446975</v>
      </c>
      <c r="I3" s="17">
        <f t="shared" si="2"/>
        <v>22503581.744655304</v>
      </c>
    </row>
    <row r="4" spans="1:9" ht="15.75" customHeight="1" x14ac:dyDescent="0.25">
      <c r="A4" s="5">
        <f t="shared" si="3"/>
        <v>2026</v>
      </c>
      <c r="B4" s="49">
        <v>1070794</v>
      </c>
      <c r="C4" s="50">
        <v>3855645</v>
      </c>
      <c r="D4" s="50">
        <v>5481285.5</v>
      </c>
      <c r="E4" s="50">
        <v>7586328.5</v>
      </c>
      <c r="F4" s="50">
        <v>6904765</v>
      </c>
      <c r="G4" s="17">
        <f t="shared" si="0"/>
        <v>23828024</v>
      </c>
      <c r="H4" s="17">
        <f t="shared" si="1"/>
        <v>1227950.8672830258</v>
      </c>
      <c r="I4" s="17">
        <f t="shared" si="2"/>
        <v>22600073.132716976</v>
      </c>
    </row>
    <row r="5" spans="1:9" ht="15.75" customHeight="1" x14ac:dyDescent="0.25">
      <c r="A5" s="5">
        <f t="shared" si="3"/>
        <v>2027</v>
      </c>
      <c r="B5" s="49">
        <v>1051089</v>
      </c>
      <c r="C5" s="50">
        <v>3969870</v>
      </c>
      <c r="D5" s="50">
        <v>5513574.5</v>
      </c>
      <c r="E5" s="50">
        <v>7252452.5000000009</v>
      </c>
      <c r="F5" s="50">
        <v>7187214</v>
      </c>
      <c r="G5" s="17">
        <f t="shared" si="0"/>
        <v>23923111</v>
      </c>
      <c r="H5" s="17">
        <f t="shared" si="1"/>
        <v>1205353.8300939754</v>
      </c>
      <c r="I5" s="17">
        <f t="shared" si="2"/>
        <v>22717757.169906024</v>
      </c>
    </row>
    <row r="6" spans="1:9" ht="15.75" customHeight="1" x14ac:dyDescent="0.25">
      <c r="A6" s="5">
        <f t="shared" si="3"/>
        <v>2028</v>
      </c>
      <c r="B6" s="49">
        <v>1031738</v>
      </c>
      <c r="C6" s="50">
        <v>4092601.5</v>
      </c>
      <c r="D6" s="50">
        <v>5575284.5</v>
      </c>
      <c r="E6" s="50">
        <v>6930541</v>
      </c>
      <c r="F6" s="50">
        <v>7415281</v>
      </c>
      <c r="G6" s="17">
        <f t="shared" si="0"/>
        <v>24013708</v>
      </c>
      <c r="H6" s="17">
        <f t="shared" si="1"/>
        <v>1183162.748305327</v>
      </c>
      <c r="I6" s="17">
        <f t="shared" si="2"/>
        <v>22830545.251694672</v>
      </c>
    </row>
    <row r="7" spans="1:9" ht="15.75" customHeight="1" x14ac:dyDescent="0.25">
      <c r="A7" s="5">
        <f t="shared" si="3"/>
        <v>2029</v>
      </c>
      <c r="B7" s="49">
        <v>1021729</v>
      </c>
      <c r="C7" s="50">
        <v>4211731.5</v>
      </c>
      <c r="D7" s="50">
        <v>5659707.5</v>
      </c>
      <c r="E7" s="50">
        <v>6610044.5</v>
      </c>
      <c r="F7" s="50">
        <v>7573639</v>
      </c>
      <c r="G7" s="17">
        <f t="shared" si="0"/>
        <v>24055122.5</v>
      </c>
      <c r="H7" s="17">
        <f t="shared" si="1"/>
        <v>1171684.7607272908</v>
      </c>
      <c r="I7" s="17">
        <f t="shared" si="2"/>
        <v>22883437.73927271</v>
      </c>
    </row>
    <row r="8" spans="1:9" ht="15.75" customHeight="1" x14ac:dyDescent="0.25">
      <c r="A8" s="5">
        <f t="shared" si="3"/>
        <v>2030</v>
      </c>
      <c r="B8" s="49">
        <v>1010375</v>
      </c>
      <c r="C8" s="50">
        <v>4318245.9999999991</v>
      </c>
      <c r="D8" s="50">
        <v>5764651</v>
      </c>
      <c r="E8" s="50">
        <v>6300809</v>
      </c>
      <c r="F8" s="50">
        <v>7676976</v>
      </c>
      <c r="G8" s="17">
        <f t="shared" si="0"/>
        <v>24060682</v>
      </c>
      <c r="H8" s="17">
        <f t="shared" si="1"/>
        <v>1158664.3719810599</v>
      </c>
      <c r="I8" s="17">
        <f t="shared" si="2"/>
        <v>22902017.628018942</v>
      </c>
    </row>
    <row r="9" spans="1:9" ht="15.75" customHeight="1" x14ac:dyDescent="0.25">
      <c r="A9" s="5">
        <f t="shared" si="3"/>
        <v>2031</v>
      </c>
      <c r="B9" s="49">
        <v>1003684</v>
      </c>
      <c r="C9" s="50">
        <v>4405445.5</v>
      </c>
      <c r="D9" s="50">
        <v>5888113.5</v>
      </c>
      <c r="E9" s="50">
        <v>6015194.5</v>
      </c>
      <c r="F9" s="50">
        <v>7718957.4999999991</v>
      </c>
      <c r="G9" s="17">
        <f t="shared" si="0"/>
        <v>24027711</v>
      </c>
      <c r="H9" s="17">
        <f t="shared" si="1"/>
        <v>1150991.3562067926</v>
      </c>
      <c r="I9" s="17">
        <f t="shared" si="2"/>
        <v>22876719.643793207</v>
      </c>
    </row>
    <row r="10" spans="1:9" ht="15.75" customHeight="1" x14ac:dyDescent="0.25">
      <c r="A10" s="5">
        <f t="shared" si="3"/>
        <v>2032</v>
      </c>
      <c r="B10" s="49">
        <v>998534</v>
      </c>
      <c r="C10" s="50">
        <v>4441876.4999999991</v>
      </c>
      <c r="D10" s="50">
        <v>6034837.5000000009</v>
      </c>
      <c r="E10" s="50">
        <v>5774921.5</v>
      </c>
      <c r="F10" s="50">
        <v>7709132.5</v>
      </c>
      <c r="G10" s="17">
        <f t="shared" si="0"/>
        <v>23960768</v>
      </c>
      <c r="H10" s="17">
        <f t="shared" si="1"/>
        <v>1145085.5078676092</v>
      </c>
      <c r="I10" s="17">
        <f t="shared" si="2"/>
        <v>22815682.492132392</v>
      </c>
    </row>
    <row r="11" spans="1:9" ht="15.75" customHeight="1" x14ac:dyDescent="0.25">
      <c r="A11" s="5">
        <f t="shared" si="3"/>
        <v>2033</v>
      </c>
      <c r="B11" s="49">
        <v>998529</v>
      </c>
      <c r="C11" s="50">
        <v>4386619.5</v>
      </c>
      <c r="D11" s="50">
        <v>6206395.5000000009</v>
      </c>
      <c r="E11" s="50">
        <v>5591437.5</v>
      </c>
      <c r="F11" s="50">
        <v>7628503</v>
      </c>
      <c r="G11" s="17">
        <f t="shared" si="0"/>
        <v>23812955.5</v>
      </c>
      <c r="H11" s="17">
        <f t="shared" si="1"/>
        <v>1145079.7740342703</v>
      </c>
      <c r="I11" s="17">
        <f t="shared" si="2"/>
        <v>22667875.725965731</v>
      </c>
    </row>
    <row r="12" spans="1:9" ht="15.75" customHeight="1" x14ac:dyDescent="0.25">
      <c r="A12" s="5">
        <f t="shared" si="3"/>
        <v>2034</v>
      </c>
      <c r="B12" s="49">
        <v>1002402</v>
      </c>
      <c r="C12" s="50">
        <v>4252813.5</v>
      </c>
      <c r="D12" s="50">
        <v>6392959</v>
      </c>
      <c r="E12" s="50">
        <v>5464674.5</v>
      </c>
      <c r="F12" s="50">
        <v>7453497</v>
      </c>
      <c r="G12" s="17">
        <f t="shared" si="0"/>
        <v>23563944</v>
      </c>
      <c r="H12" s="17">
        <f t="shared" si="1"/>
        <v>1149521.2013386698</v>
      </c>
      <c r="I12" s="17">
        <f t="shared" si="2"/>
        <v>22414422.798661329</v>
      </c>
    </row>
    <row r="13" spans="1:9" ht="15.75" customHeight="1" x14ac:dyDescent="0.25">
      <c r="A13" s="5">
        <f t="shared" si="3"/>
        <v>2035</v>
      </c>
      <c r="B13" s="49">
        <v>1005890</v>
      </c>
      <c r="C13" s="50">
        <v>4083372</v>
      </c>
      <c r="D13" s="50">
        <v>6576632</v>
      </c>
      <c r="E13" s="50">
        <v>5400268.5</v>
      </c>
      <c r="F13" s="50">
        <v>7208937</v>
      </c>
      <c r="G13" s="17">
        <f t="shared" si="0"/>
        <v>23269209.5</v>
      </c>
      <c r="H13" s="17">
        <f t="shared" si="1"/>
        <v>1153521.1234759651</v>
      </c>
      <c r="I13" s="17">
        <f t="shared" si="2"/>
        <v>22115688.376524035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TKK8HyfAC+rKZFgk2zA0/y9XXOGbCd2cWMgMYHz8VCj2oNaiCQlvd6GmxK17m2+nJLz9/XOuI6FftT+S78Abbg==" saltValue="ec81hdCKZr66zJx6zX9S/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1.738200173820019E-3</v>
      </c>
    </row>
    <row r="4" spans="1:8" ht="15.75" customHeight="1" x14ac:dyDescent="0.25">
      <c r="B4" s="19" t="s">
        <v>97</v>
      </c>
      <c r="C4" s="101">
        <v>5.6959305695930607E-2</v>
      </c>
    </row>
    <row r="5" spans="1:8" ht="15.75" customHeight="1" x14ac:dyDescent="0.25">
      <c r="B5" s="19" t="s">
        <v>95</v>
      </c>
      <c r="C5" s="101">
        <v>3.7975303797530502E-2</v>
      </c>
    </row>
    <row r="6" spans="1:8" ht="15.75" customHeight="1" x14ac:dyDescent="0.25">
      <c r="B6" s="19" t="s">
        <v>91</v>
      </c>
      <c r="C6" s="101">
        <v>0.1868385186838521</v>
      </c>
    </row>
    <row r="7" spans="1:8" ht="15.75" customHeight="1" x14ac:dyDescent="0.25">
      <c r="B7" s="19" t="s">
        <v>96</v>
      </c>
      <c r="C7" s="101">
        <v>0.44315674431567392</v>
      </c>
    </row>
    <row r="8" spans="1:8" ht="15.75" customHeight="1" x14ac:dyDescent="0.25">
      <c r="B8" s="19" t="s">
        <v>98</v>
      </c>
      <c r="C8" s="101">
        <v>4.4720004472000513E-4</v>
      </c>
    </row>
    <row r="9" spans="1:8" ht="15.75" customHeight="1" x14ac:dyDescent="0.25">
      <c r="B9" s="19" t="s">
        <v>92</v>
      </c>
      <c r="C9" s="101">
        <v>0.17596981759698199</v>
      </c>
    </row>
    <row r="10" spans="1:8" ht="15.75" customHeight="1" x14ac:dyDescent="0.25">
      <c r="B10" s="19" t="s">
        <v>94</v>
      </c>
      <c r="C10" s="101">
        <v>9.691490969149115E-2</v>
      </c>
    </row>
    <row r="11" spans="1:8" ht="15.75" customHeight="1" x14ac:dyDescent="0.25">
      <c r="B11" s="27" t="s">
        <v>60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0.1263899519799413</v>
      </c>
      <c r="D14" s="55">
        <v>0.1263899519799413</v>
      </c>
      <c r="E14" s="55">
        <v>0.1263899519799413</v>
      </c>
      <c r="F14" s="55">
        <v>0.1263899519799413</v>
      </c>
    </row>
    <row r="15" spans="1:8" ht="15.75" customHeight="1" x14ac:dyDescent="0.25">
      <c r="B15" s="19" t="s">
        <v>102</v>
      </c>
      <c r="C15" s="101">
        <v>0.1041664226509775</v>
      </c>
      <c r="D15" s="101">
        <v>0.1041664226509775</v>
      </c>
      <c r="E15" s="101">
        <v>0.1041664226509775</v>
      </c>
      <c r="F15" s="101">
        <v>0.1041664226509775</v>
      </c>
    </row>
    <row r="16" spans="1:8" ht="15.75" customHeight="1" x14ac:dyDescent="0.25">
      <c r="B16" s="19" t="s">
        <v>2</v>
      </c>
      <c r="C16" s="101">
        <v>1.051281860064689E-2</v>
      </c>
      <c r="D16" s="101">
        <v>1.051281860064689E-2</v>
      </c>
      <c r="E16" s="101">
        <v>1.051281860064689E-2</v>
      </c>
      <c r="F16" s="101">
        <v>1.051281860064689E-2</v>
      </c>
    </row>
    <row r="17" spans="1:8" ht="15.75" customHeight="1" x14ac:dyDescent="0.25">
      <c r="B17" s="19" t="s">
        <v>90</v>
      </c>
      <c r="C17" s="101">
        <v>2.740749590882348E-3</v>
      </c>
      <c r="D17" s="101">
        <v>2.740749590882348E-3</v>
      </c>
      <c r="E17" s="101">
        <v>2.740749590882348E-3</v>
      </c>
      <c r="F17" s="101">
        <v>2.740749590882348E-3</v>
      </c>
    </row>
    <row r="18" spans="1:8" ht="15.75" customHeight="1" x14ac:dyDescent="0.25">
      <c r="B18" s="19" t="s">
        <v>3</v>
      </c>
      <c r="C18" s="101">
        <v>8.5856697536406783E-3</v>
      </c>
      <c r="D18" s="101">
        <v>8.5856697536406783E-3</v>
      </c>
      <c r="E18" s="101">
        <v>8.5856697536406783E-3</v>
      </c>
      <c r="F18" s="101">
        <v>8.5856697536406783E-3</v>
      </c>
    </row>
    <row r="19" spans="1:8" ht="15.75" customHeight="1" x14ac:dyDescent="0.25">
      <c r="B19" s="19" t="s">
        <v>101</v>
      </c>
      <c r="C19" s="101">
        <v>3.85459091454761E-2</v>
      </c>
      <c r="D19" s="101">
        <v>3.85459091454761E-2</v>
      </c>
      <c r="E19" s="101">
        <v>3.85459091454761E-2</v>
      </c>
      <c r="F19" s="101">
        <v>3.85459091454761E-2</v>
      </c>
    </row>
    <row r="20" spans="1:8" ht="15.75" customHeight="1" x14ac:dyDescent="0.25">
      <c r="B20" s="19" t="s">
        <v>79</v>
      </c>
      <c r="C20" s="101">
        <v>3.5060893629497103E-2</v>
      </c>
      <c r="D20" s="101">
        <v>3.5060893629497103E-2</v>
      </c>
      <c r="E20" s="101">
        <v>3.5060893629497103E-2</v>
      </c>
      <c r="F20" s="101">
        <v>3.5060893629497103E-2</v>
      </c>
    </row>
    <row r="21" spans="1:8" ht="15.75" customHeight="1" x14ac:dyDescent="0.25">
      <c r="B21" s="19" t="s">
        <v>88</v>
      </c>
      <c r="C21" s="101">
        <v>0.36168149328917881</v>
      </c>
      <c r="D21" s="101">
        <v>0.36168149328917881</v>
      </c>
      <c r="E21" s="101">
        <v>0.36168149328917881</v>
      </c>
      <c r="F21" s="101">
        <v>0.36168149328917881</v>
      </c>
    </row>
    <row r="22" spans="1:8" ht="15.75" customHeight="1" x14ac:dyDescent="0.25">
      <c r="B22" s="19" t="s">
        <v>99</v>
      </c>
      <c r="C22" s="101">
        <v>0.3123160913597593</v>
      </c>
      <c r="D22" s="101">
        <v>0.3123160913597593</v>
      </c>
      <c r="E22" s="101">
        <v>0.3123160913597593</v>
      </c>
      <c r="F22" s="101">
        <v>0.3123160913597593</v>
      </c>
    </row>
    <row r="23" spans="1:8" ht="15.75" customHeight="1" x14ac:dyDescent="0.25">
      <c r="B23" s="27" t="s">
        <v>60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4.7996967000000001E-2</v>
      </c>
    </row>
    <row r="27" spans="1:8" ht="15.75" customHeight="1" x14ac:dyDescent="0.25">
      <c r="B27" s="19" t="s">
        <v>89</v>
      </c>
      <c r="C27" s="101">
        <v>1.9231089E-2</v>
      </c>
    </row>
    <row r="28" spans="1:8" ht="15.75" customHeight="1" x14ac:dyDescent="0.25">
      <c r="B28" s="19" t="s">
        <v>103</v>
      </c>
      <c r="C28" s="101">
        <v>0.23147800700000001</v>
      </c>
    </row>
    <row r="29" spans="1:8" ht="15.75" customHeight="1" x14ac:dyDescent="0.25">
      <c r="B29" s="19" t="s">
        <v>86</v>
      </c>
      <c r="C29" s="101">
        <v>0.13894083700000001</v>
      </c>
    </row>
    <row r="30" spans="1:8" ht="15.75" customHeight="1" x14ac:dyDescent="0.25">
      <c r="B30" s="19" t="s">
        <v>4</v>
      </c>
      <c r="C30" s="101">
        <v>5.0303380000000002E-2</v>
      </c>
    </row>
    <row r="31" spans="1:8" ht="15.75" customHeight="1" x14ac:dyDescent="0.25">
      <c r="B31" s="19" t="s">
        <v>80</v>
      </c>
      <c r="C31" s="101">
        <v>7.028529E-2</v>
      </c>
    </row>
    <row r="32" spans="1:8" ht="15.75" customHeight="1" x14ac:dyDescent="0.25">
      <c r="B32" s="19" t="s">
        <v>85</v>
      </c>
      <c r="C32" s="101">
        <v>0.146633282</v>
      </c>
    </row>
    <row r="33" spans="2:3" ht="15.75" customHeight="1" x14ac:dyDescent="0.25">
      <c r="B33" s="19" t="s">
        <v>100</v>
      </c>
      <c r="C33" s="101">
        <v>0.12525921100000001</v>
      </c>
    </row>
    <row r="34" spans="2:3" ht="15.75" customHeight="1" x14ac:dyDescent="0.25">
      <c r="B34" s="19" t="s">
        <v>87</v>
      </c>
      <c r="C34" s="101">
        <v>0.169871936</v>
      </c>
    </row>
    <row r="35" spans="2:3" ht="15.75" customHeight="1" x14ac:dyDescent="0.25">
      <c r="B35" s="27" t="s">
        <v>60</v>
      </c>
      <c r="C35" s="48">
        <f>SUM(C26:C34)</f>
        <v>0.99999999900000014</v>
      </c>
    </row>
  </sheetData>
  <sheetProtection algorithmName="SHA-512" hashValue="rd5y2G8MBiI/RMJd6bQxagw+f6Eg/ZMYnjSt9Yt4aK+5RhnH1bJxr09T1oAWfTjwmMF/Z6bMa2O/wwfZUk9CDg==" saltValue="AGjWr9o/9zqFtzQModxbb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0.47748951465880585</v>
      </c>
      <c r="D2" s="52">
        <f>IFERROR(1-_xlfn.NORM.DIST(_xlfn.NORM.INV(SUM(D4:D5), 0, 1) + 1, 0, 1, TRUE), "")</f>
        <v>0.47748951465880585</v>
      </c>
      <c r="E2" s="52">
        <f>IFERROR(1-_xlfn.NORM.DIST(_xlfn.NORM.INV(SUM(E4:E5), 0, 1) + 1, 0, 1, TRUE), "")</f>
        <v>0.44427387128346996</v>
      </c>
      <c r="F2" s="52">
        <f>IFERROR(1-_xlfn.NORM.DIST(_xlfn.NORM.INV(SUM(F4:F5), 0, 1) + 1, 0, 1, TRUE), "")</f>
        <v>0.26835129037057226</v>
      </c>
      <c r="G2" s="52">
        <f>IFERROR(1-_xlfn.NORM.DIST(_xlfn.NORM.INV(SUM(G4:G5), 0, 1) + 1, 0, 1, TRUE), "")</f>
        <v>0.24059967202811738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0.34980927998405176</v>
      </c>
      <c r="D3" s="52">
        <f>IFERROR(_xlfn.NORM.DIST(_xlfn.NORM.INV(SUM(D4:D5), 0, 1) + 1, 0, 1, TRUE) - SUM(D4:D5), "")</f>
        <v>0.34980927998405176</v>
      </c>
      <c r="E3" s="52">
        <f>IFERROR(_xlfn.NORM.DIST(_xlfn.NORM.INV(SUM(E4:E5), 0, 1) + 1, 0, 1, TRUE) - SUM(E4:E5), "")</f>
        <v>0.36079244835938734</v>
      </c>
      <c r="F3" s="52">
        <f>IFERROR(_xlfn.NORM.DIST(_xlfn.NORM.INV(SUM(F4:F5), 0, 1) + 1, 0, 1, TRUE) - SUM(F4:F5), "")</f>
        <v>0.38048960962942774</v>
      </c>
      <c r="G3" s="52">
        <f>IFERROR(_xlfn.NORM.DIST(_xlfn.NORM.INV(SUM(G4:G5), 0, 1) + 1, 0, 1, TRUE) - SUM(G4:G5), "")</f>
        <v>0.37564213332902563</v>
      </c>
    </row>
    <row r="4" spans="1:15" ht="15.75" customHeight="1" x14ac:dyDescent="0.25">
      <c r="B4" s="5" t="s">
        <v>110</v>
      </c>
      <c r="C4" s="45">
        <v>0.100377583928571</v>
      </c>
      <c r="D4" s="53">
        <v>0.100377583928571</v>
      </c>
      <c r="E4" s="53">
        <v>0.120720032142857</v>
      </c>
      <c r="F4" s="53">
        <v>0.206891667857143</v>
      </c>
      <c r="G4" s="53">
        <v>0.224426075</v>
      </c>
    </row>
    <row r="5" spans="1:15" ht="15.75" customHeight="1" x14ac:dyDescent="0.25">
      <c r="B5" s="5" t="s">
        <v>106</v>
      </c>
      <c r="C5" s="45">
        <v>7.2323621428571391E-2</v>
      </c>
      <c r="D5" s="53">
        <v>7.2323621428571391E-2</v>
      </c>
      <c r="E5" s="53">
        <v>7.4213648214285707E-2</v>
      </c>
      <c r="F5" s="53">
        <v>0.14426743214285701</v>
      </c>
      <c r="G5" s="53">
        <v>0.15933211964285701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0.53812653814268863</v>
      </c>
      <c r="D8" s="52">
        <f>IFERROR(1-_xlfn.NORM.DIST(_xlfn.NORM.INV(SUM(D10:D11), 0, 1) + 1, 0, 1, TRUE), "")</f>
        <v>0.53812653814268863</v>
      </c>
      <c r="E8" s="52">
        <f>IFERROR(1-_xlfn.NORM.DIST(_xlfn.NORM.INV(SUM(E10:E11), 0, 1) + 1, 0, 1, TRUE), "")</f>
        <v>0.56035242159650323</v>
      </c>
      <c r="F8" s="52">
        <f>IFERROR(1-_xlfn.NORM.DIST(_xlfn.NORM.INV(SUM(F10:F11), 0, 1) + 1, 0, 1, TRUE), "")</f>
        <v>0.57922762492923829</v>
      </c>
      <c r="G8" s="52">
        <f>IFERROR(1-_xlfn.NORM.DIST(_xlfn.NORM.INV(SUM(G10:G11), 0, 1) + 1, 0, 1, TRUE), "")</f>
        <v>0.65018032637863876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0.32527170471445427</v>
      </c>
      <c r="D9" s="52">
        <f>IFERROR(_xlfn.NORM.DIST(_xlfn.NORM.INV(SUM(D10:D11), 0, 1) + 1, 0, 1, TRUE) - SUM(D10:D11), "")</f>
        <v>0.32527170471445427</v>
      </c>
      <c r="E9" s="52">
        <f>IFERROR(_xlfn.NORM.DIST(_xlfn.NORM.INV(SUM(E10:E11), 0, 1) + 1, 0, 1, TRUE) - SUM(E10:E11), "")</f>
        <v>0.31495884804635388</v>
      </c>
      <c r="F9" s="52">
        <f>IFERROR(_xlfn.NORM.DIST(_xlfn.NORM.INV(SUM(F10:F11), 0, 1) + 1, 0, 1, TRUE) - SUM(F10:F11), "")</f>
        <v>0.3056867714993331</v>
      </c>
      <c r="G9" s="52">
        <f>IFERROR(_xlfn.NORM.DIST(_xlfn.NORM.INV(SUM(G10:G11), 0, 1) + 1, 0, 1, TRUE) - SUM(G10:G11), "")</f>
        <v>0.26691680576421839</v>
      </c>
    </row>
    <row r="10" spans="1:15" ht="15.75" customHeight="1" x14ac:dyDescent="0.25">
      <c r="B10" s="5" t="s">
        <v>107</v>
      </c>
      <c r="C10" s="45">
        <v>8.2879166071428506E-2</v>
      </c>
      <c r="D10" s="53">
        <v>8.2879166071428506E-2</v>
      </c>
      <c r="E10" s="53">
        <v>8.5069555357142904E-2</v>
      </c>
      <c r="F10" s="53">
        <v>8.1781450000000006E-2</v>
      </c>
      <c r="G10" s="53">
        <v>6.1769744642857102E-2</v>
      </c>
    </row>
    <row r="11" spans="1:15" ht="15.75" customHeight="1" x14ac:dyDescent="0.25">
      <c r="B11" s="5" t="s">
        <v>119</v>
      </c>
      <c r="C11" s="45">
        <v>5.3722591071428599E-2</v>
      </c>
      <c r="D11" s="53">
        <v>5.3722591071428599E-2</v>
      </c>
      <c r="E11" s="53">
        <v>3.9619175E-2</v>
      </c>
      <c r="F11" s="53">
        <v>3.3304153571428602E-2</v>
      </c>
      <c r="G11" s="53">
        <v>2.11331232142857E-2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0.29280085350000001</v>
      </c>
      <c r="D14" s="54">
        <v>0.28374893770699999</v>
      </c>
      <c r="E14" s="54">
        <v>0.28374893770699999</v>
      </c>
      <c r="F14" s="54">
        <v>0.220751489922</v>
      </c>
      <c r="G14" s="54">
        <v>0.220751489922</v>
      </c>
      <c r="H14" s="45">
        <v>0.42</v>
      </c>
      <c r="I14" s="55">
        <v>0.42</v>
      </c>
      <c r="J14" s="55">
        <v>0.42</v>
      </c>
      <c r="K14" s="55">
        <v>0.42</v>
      </c>
      <c r="L14" s="45">
        <v>0.28199999999999997</v>
      </c>
      <c r="M14" s="55">
        <v>0.28199999999999997</v>
      </c>
      <c r="N14" s="55">
        <v>0.28199999999999997</v>
      </c>
      <c r="O14" s="55">
        <v>0.28199999999999997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0.17053863631168648</v>
      </c>
      <c r="D15" s="52">
        <f t="shared" si="0"/>
        <v>0.16526644752912734</v>
      </c>
      <c r="E15" s="52">
        <f t="shared" si="0"/>
        <v>0.16526644752912734</v>
      </c>
      <c r="F15" s="52">
        <f t="shared" si="0"/>
        <v>0.12857427703867974</v>
      </c>
      <c r="G15" s="52">
        <f t="shared" si="0"/>
        <v>0.12857427703867974</v>
      </c>
      <c r="H15" s="52">
        <f t="shared" si="0"/>
        <v>0.24462437999999997</v>
      </c>
      <c r="I15" s="52">
        <f t="shared" si="0"/>
        <v>0.24462437999999997</v>
      </c>
      <c r="J15" s="52">
        <f t="shared" si="0"/>
        <v>0.24462437999999997</v>
      </c>
      <c r="K15" s="52">
        <f t="shared" si="0"/>
        <v>0.24462437999999997</v>
      </c>
      <c r="L15" s="52">
        <f t="shared" si="0"/>
        <v>0.16424779799999997</v>
      </c>
      <c r="M15" s="52">
        <f t="shared" si="0"/>
        <v>0.16424779799999997</v>
      </c>
      <c r="N15" s="52">
        <f t="shared" si="0"/>
        <v>0.16424779799999997</v>
      </c>
      <c r="O15" s="52">
        <f t="shared" si="0"/>
        <v>0.16424779799999997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Jrgwi19vhVjZ5G8t9FOuCcErpyVSMD98ONbdDl98kcgCr2CsySmdrnqz4JH2uvcLalP8hysKKSQemchLlT0kvQ==" saltValue="g3UWftiTrrn/KJHwDVAtr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0.66450710000000002</v>
      </c>
      <c r="D2" s="53">
        <v>0.4996447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3.7980600000000003E-2</v>
      </c>
      <c r="D3" s="53">
        <v>7.3969300000000002E-2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0.22020380000000001</v>
      </c>
      <c r="D4" s="53">
        <v>0.2993806</v>
      </c>
      <c r="E4" s="53">
        <v>0.79006569999999998</v>
      </c>
      <c r="F4" s="53">
        <v>0.67291190000000001</v>
      </c>
      <c r="G4" s="53">
        <v>0</v>
      </c>
    </row>
    <row r="5" spans="1:7" x14ac:dyDescent="0.25">
      <c r="B5" s="3" t="s">
        <v>125</v>
      </c>
      <c r="C5" s="52">
        <v>7.7308500000000002E-2</v>
      </c>
      <c r="D5" s="52">
        <v>0.12700549999999999</v>
      </c>
      <c r="E5" s="52">
        <f>1-SUM(E2:E4)</f>
        <v>0.20993430000000002</v>
      </c>
      <c r="F5" s="52">
        <f>1-SUM(F2:F4)</f>
        <v>0.32708809999999999</v>
      </c>
      <c r="G5" s="52">
        <f>1-SUM(G2:G4)</f>
        <v>1</v>
      </c>
    </row>
  </sheetData>
  <sheetProtection algorithmName="SHA-512" hashValue="nhfST9J3MmCKyLNvmf09bAI8hQ7dgcup7MZMzklXfAgrJ7N8yfEN8CfUrDzERvcHcZy5s75Kmo+tnV7P0qZ2Lw==" saltValue="LIJjYWMaU6WkMcpqMK21P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iyBUnM4g4csVfVcYAUxPk+i2D0vi0uYPvHta5AElCNMMW+chyOEHmajDsIAu+PRV9041XLizKcXDbPILL8znXg==" saltValue="F5vuuzXbl4qrHVKe1GNt1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x14ac:dyDescent="0.25">
      <c r="A2" s="8" t="s">
        <v>144</v>
      </c>
      <c r="B2" s="41">
        <v>10</v>
      </c>
    </row>
    <row r="3" spans="1:2" x14ac:dyDescent="0.25">
      <c r="A3" s="8" t="s">
        <v>143</v>
      </c>
      <c r="B3" s="41">
        <v>10</v>
      </c>
    </row>
    <row r="4" spans="1:2" x14ac:dyDescent="0.25">
      <c r="A4" s="8" t="s">
        <v>142</v>
      </c>
      <c r="B4" s="41">
        <v>10</v>
      </c>
    </row>
    <row r="5" spans="1:2" x14ac:dyDescent="0.25">
      <c r="A5" s="8" t="s">
        <v>146</v>
      </c>
      <c r="B5" s="41">
        <v>10</v>
      </c>
    </row>
    <row r="6" spans="1:2" x14ac:dyDescent="0.25">
      <c r="A6" s="8" t="s">
        <v>140</v>
      </c>
      <c r="B6" s="41">
        <v>10</v>
      </c>
    </row>
    <row r="7" spans="1:2" x14ac:dyDescent="0.25">
      <c r="A7" s="8" t="s">
        <v>141</v>
      </c>
      <c r="B7" s="41">
        <v>10</v>
      </c>
    </row>
  </sheetData>
  <sheetProtection algorithmName="SHA-512" hashValue="0DymBTfP4a3xsRM986dWn2kutFsdlmAElLkc9yjRlo4Bd2oFjcK2FHPwO4zTw+PHexR6OF1oroaNp41YfTqTRw==" saltValue="lSFHb0oJUm7Y2/xBJqvNC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x14ac:dyDescent="0.25">
      <c r="B10" s="32" t="s">
        <v>78</v>
      </c>
      <c r="C10" s="47"/>
      <c r="D10" s="47"/>
      <c r="E10" s="38" t="str">
        <f>IF(E$7="","",E$7)</f>
        <v/>
      </c>
    </row>
    <row r="11" spans="1:5" x14ac:dyDescent="0.25">
      <c r="B11" s="32" t="s">
        <v>74</v>
      </c>
      <c r="C11" s="47"/>
      <c r="D11" s="47"/>
      <c r="E11" s="38" t="str">
        <f>IF(E$7="","",E$7)</f>
        <v/>
      </c>
    </row>
    <row r="12" spans="1:5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UVHNmRl1J6c+pkHCwbcXiJeX/KRC7Klomyxl8c/WgzeFB8HZkFMKykd5ONdVApUsXOoGluhA9Kyh8RnT7S0AHw==" saltValue="efGhlknsLZBu2N9q75QAt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c8XZchkJViWK4ad2bf/gp2at4INdS76Px5+kha42+tk8DdhYvjPgCxTnUfVQJfGNOZ2iGXx6GqSSHTw/P7cR/A==" saltValue="uveXhmnFCWCNe/6dOCCPs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64.886871461123533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0.37414230687134797</v>
      </c>
      <c r="C3" s="98">
        <v>0.95</v>
      </c>
      <c r="D3" s="56">
        <v>40.033831858193757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521.91094080463984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1.700161432423168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0.44054339999999997</v>
      </c>
      <c r="C10" s="98">
        <v>0.95</v>
      </c>
      <c r="D10" s="56">
        <v>13.166131301989671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0.44054339999999997</v>
      </c>
      <c r="C11" s="98">
        <v>0.95</v>
      </c>
      <c r="D11" s="56">
        <v>13.166131301989671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0.44054339999999997</v>
      </c>
      <c r="C12" s="98">
        <v>0.95</v>
      </c>
      <c r="D12" s="56">
        <v>13.166131301989671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0.44054339999999997</v>
      </c>
      <c r="C13" s="98">
        <v>0.95</v>
      </c>
      <c r="D13" s="56">
        <v>13.166131301989671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0.44054339999999997</v>
      </c>
      <c r="C14" s="98">
        <v>0.95</v>
      </c>
      <c r="D14" s="56">
        <v>13.166131301989671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0.44054339999999997</v>
      </c>
      <c r="C15" s="98">
        <v>0.95</v>
      </c>
      <c r="D15" s="56">
        <v>13.166131301989671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0.83</v>
      </c>
      <c r="C16" s="98">
        <v>0.95</v>
      </c>
      <c r="D16" s="56">
        <v>0.87289710188501968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0.17784249999999999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0.26173522058646997</v>
      </c>
      <c r="C18" s="98">
        <v>0.95</v>
      </c>
      <c r="D18" s="56">
        <v>11.99955936520508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0.88156880000000004</v>
      </c>
      <c r="C19" s="98">
        <v>0.95</v>
      </c>
      <c r="D19" s="56">
        <v>11.99955936520508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0.22960410000000001</v>
      </c>
      <c r="C21" s="98">
        <v>0.95</v>
      </c>
      <c r="D21" s="56">
        <v>14.37005331994601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22.801258259937519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4.3755575735972823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0.76544640968043798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0.44054339999999997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18.728188384897141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0.63748328044507307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</v>
      </c>
      <c r="C29" s="98">
        <v>0.95</v>
      </c>
      <c r="D29" s="56">
        <v>129.29915294669931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0.62</v>
      </c>
      <c r="C31" s="98">
        <v>0.95</v>
      </c>
      <c r="D31" s="56">
        <v>1.2142779657827909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1.8900764232524481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0.62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0.53925319999999999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0.36092259999999998</v>
      </c>
      <c r="C38" s="98">
        <v>0.95</v>
      </c>
      <c r="D38" s="56">
        <v>3.1240782385195991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EOhlBrtrY5+eHBhrg3w+azYV3BFLXIjPW78fVl4NOpzrI2EwQWFkr2Cg/8dHXBMuGkV7Ai27c2538Cr6I2J+Kw==" saltValue="8bO3vQB1MCU9mUjOLPsyi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x14ac:dyDescent="0.25">
      <c r="A2" s="57" t="s">
        <v>178</v>
      </c>
      <c r="B2" s="47" t="s">
        <v>191</v>
      </c>
      <c r="C2" s="47"/>
    </row>
    <row r="3" spans="1:3" x14ac:dyDescent="0.25">
      <c r="A3" s="57" t="s">
        <v>179</v>
      </c>
      <c r="B3" s="47" t="s">
        <v>191</v>
      </c>
      <c r="C3" s="47"/>
    </row>
    <row r="4" spans="1:3" x14ac:dyDescent="0.25">
      <c r="A4" s="57" t="s">
        <v>193</v>
      </c>
      <c r="B4" s="47" t="s">
        <v>184</v>
      </c>
      <c r="C4" s="47"/>
    </row>
    <row r="5" spans="1:3" x14ac:dyDescent="0.25">
      <c r="A5" s="57" t="s">
        <v>190</v>
      </c>
      <c r="B5" s="47" t="s">
        <v>184</v>
      </c>
      <c r="C5" s="47"/>
    </row>
    <row r="6" spans="1:3" x14ac:dyDescent="0.25">
      <c r="A6" s="57" t="s">
        <v>193</v>
      </c>
      <c r="B6" s="58" t="s">
        <v>204</v>
      </c>
      <c r="C6" s="58"/>
    </row>
    <row r="7" spans="1:3" x14ac:dyDescent="0.25">
      <c r="A7" s="57" t="s">
        <v>190</v>
      </c>
      <c r="B7" s="58" t="s">
        <v>204</v>
      </c>
      <c r="C7" s="58"/>
    </row>
    <row r="8" spans="1:3" x14ac:dyDescent="0.25">
      <c r="A8" s="57" t="s">
        <v>203</v>
      </c>
      <c r="B8" s="58" t="s">
        <v>204</v>
      </c>
      <c r="C8" s="58"/>
    </row>
    <row r="9" spans="1:3" x14ac:dyDescent="0.25">
      <c r="A9" s="57" t="s">
        <v>196</v>
      </c>
      <c r="B9" s="58" t="s">
        <v>204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Zy4pIYIiYZaKXU522nVaV3VmkRx8Qj3FOCMC8fkQiusliGpRiHDaFjgJH5bG/VuawLQ/Hw7ubeEcomMgWW9kDQ==" saltValue="SFDT40GFnjDGvQApMORlU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x14ac:dyDescent="0.25">
      <c r="A2" s="33" t="s">
        <v>170</v>
      </c>
    </row>
    <row r="3" spans="1:1" x14ac:dyDescent="0.25">
      <c r="A3" s="33" t="s">
        <v>180</v>
      </c>
    </row>
    <row r="4" spans="1:1" x14ac:dyDescent="0.25">
      <c r="A4" s="33" t="s">
        <v>185</v>
      </c>
    </row>
    <row r="5" spans="1:1" x14ac:dyDescent="0.25">
      <c r="A5" s="33" t="s">
        <v>197</v>
      </c>
    </row>
    <row r="6" spans="1:1" x14ac:dyDescent="0.25">
      <c r="A6" s="33" t="s">
        <v>198</v>
      </c>
    </row>
    <row r="7" spans="1:1" x14ac:dyDescent="0.25">
      <c r="A7" s="33" t="s">
        <v>199</v>
      </c>
    </row>
    <row r="8" spans="1:1" x14ac:dyDescent="0.25">
      <c r="A8" s="33" t="s">
        <v>200</v>
      </c>
    </row>
    <row r="9" spans="1:1" x14ac:dyDescent="0.25">
      <c r="A9" s="33" t="s">
        <v>201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wWr/sv37tm6J6eHUBMaTU5fC89fV/ZZvAD5jXsa4SUVMyj7wx3BoBaEvR3FlVUrixruCJSAR0TKCLzgVU+U86Q==" saltValue="FLSjufi2I/rKKVmnzAy49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2.4</v>
      </c>
      <c r="C2" s="21">
        <f>'Entradas de población-año base'!C52</f>
        <v>2.4</v>
      </c>
      <c r="D2" s="21">
        <f>'Entradas de población-año base'!C53</f>
        <v>2.4</v>
      </c>
      <c r="E2" s="21">
        <f>'Entradas de población-año base'!C54</f>
        <v>2.4</v>
      </c>
      <c r="F2" s="21">
        <f>'Entradas de población-año base'!C55</f>
        <v>2.4</v>
      </c>
    </row>
    <row r="3" spans="1:6" ht="15.75" customHeight="1" x14ac:dyDescent="0.25">
      <c r="A3" s="3" t="s">
        <v>6</v>
      </c>
      <c r="B3" s="21">
        <f>frac_mam_1month * 2.6</f>
        <v>0.21548583178571412</v>
      </c>
      <c r="C3" s="21">
        <f>frac_mam_1_5months * 2.6</f>
        <v>0.21548583178571412</v>
      </c>
      <c r="D3" s="21">
        <f>frac_mam_6_11months * 2.6</f>
        <v>0.22118084392857157</v>
      </c>
      <c r="E3" s="21">
        <f>frac_mam_12_23months * 2.6</f>
        <v>0.21263177000000003</v>
      </c>
      <c r="F3" s="21">
        <f>frac_mam_24_59months * 2.6</f>
        <v>0.16060133607142846</v>
      </c>
    </row>
    <row r="4" spans="1:6" ht="15.75" customHeight="1" x14ac:dyDescent="0.25">
      <c r="A4" s="3" t="s">
        <v>207</v>
      </c>
      <c r="B4" s="21">
        <f>frac_sam_1month * 2.6</f>
        <v>0.13967873678571435</v>
      </c>
      <c r="C4" s="21">
        <f>frac_sam_1_5months * 2.6</f>
        <v>0.13967873678571435</v>
      </c>
      <c r="D4" s="21">
        <f>frac_sam_6_11months * 2.6</f>
        <v>0.103009855</v>
      </c>
      <c r="E4" s="21">
        <f>frac_sam_12_23months * 2.6</f>
        <v>8.6590799285714365E-2</v>
      </c>
      <c r="F4" s="21">
        <f>frac_sam_24_59months * 2.6</f>
        <v>5.4946120357142823E-2</v>
      </c>
    </row>
  </sheetData>
  <sheetProtection algorithmName="SHA-512" hashValue="JUB5INifHhN1DtV5b+L9ar92Z9Fid7NyFoPtSHthS49qhSbINcvITLChoWkwNi7o1zsVwlWtkS277LeaEG6UzA==" saltValue="2rPt3TzNvwWGCZWQlNKV/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4.5999999999999999E-2</v>
      </c>
      <c r="E2" s="60">
        <f>food_insecure</f>
        <v>4.5999999999999999E-2</v>
      </c>
      <c r="F2" s="60">
        <f>food_insecure</f>
        <v>4.5999999999999999E-2</v>
      </c>
      <c r="G2" s="60">
        <f>food_insecure</f>
        <v>4.5999999999999999E-2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4.5999999999999999E-2</v>
      </c>
      <c r="F5" s="60">
        <f>food_insecure</f>
        <v>4.5999999999999999E-2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4.5999999999999999E-2</v>
      </c>
      <c r="F8" s="60">
        <f>food_insecure</f>
        <v>4.5999999999999999E-2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4.5999999999999999E-2</v>
      </c>
      <c r="F9" s="60">
        <f>food_insecure</f>
        <v>4.5999999999999999E-2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4.5999999999999999E-2</v>
      </c>
      <c r="I15" s="60">
        <f>food_insecure</f>
        <v>4.5999999999999999E-2</v>
      </c>
      <c r="J15" s="60">
        <f>food_insecure</f>
        <v>4.5999999999999999E-2</v>
      </c>
      <c r="K15" s="60">
        <f>food_insecure</f>
        <v>4.5999999999999999E-2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0.10879999999999999</v>
      </c>
      <c r="I19" s="60">
        <f>frac_malaria_risk</f>
        <v>0.10879999999999999</v>
      </c>
      <c r="J19" s="60">
        <f>frac_malaria_risk</f>
        <v>0.10879999999999999</v>
      </c>
      <c r="K19" s="60">
        <f>frac_malaria_risk</f>
        <v>0.10879999999999999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0.314</v>
      </c>
      <c r="M24" s="60">
        <f>famplan_unmet_need</f>
        <v>0.314</v>
      </c>
      <c r="N24" s="60">
        <f>famplan_unmet_need</f>
        <v>0.314</v>
      </c>
      <c r="O24" s="60">
        <f>famplan_unmet_need</f>
        <v>0.314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7.3258103472900529E-2</v>
      </c>
      <c r="M25" s="60">
        <f>(1-food_insecure)*(0.49)+food_insecure*(0.7)</f>
        <v>0.49965999999999999</v>
      </c>
      <c r="N25" s="60">
        <f>(1-food_insecure)*(0.49)+food_insecure*(0.7)</f>
        <v>0.49965999999999999</v>
      </c>
      <c r="O25" s="60">
        <f>(1-food_insecure)*(0.49)+food_insecure*(0.7)</f>
        <v>0.49965999999999999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3.1396330059814508E-2</v>
      </c>
      <c r="M26" s="60">
        <f>(1-food_insecure)*(0.21)+food_insecure*(0.3)</f>
        <v>0.21414</v>
      </c>
      <c r="N26" s="60">
        <f>(1-food_insecure)*(0.21)+food_insecure*(0.3)</f>
        <v>0.21414</v>
      </c>
      <c r="O26" s="60">
        <f>(1-food_insecure)*(0.21)+food_insecure*(0.3)</f>
        <v>0.21414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4.1961472229003975E-2</v>
      </c>
      <c r="M27" s="60">
        <f>(1-food_insecure)*(0.3)</f>
        <v>0.28619999999999995</v>
      </c>
      <c r="N27" s="60">
        <f>(1-food_insecure)*(0.3)</f>
        <v>0.28619999999999995</v>
      </c>
      <c r="O27" s="60">
        <f>(1-food_insecure)*(0.3)</f>
        <v>0.28619999999999995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0.85338409423828099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0.10879999999999999</v>
      </c>
      <c r="D34" s="60">
        <f t="shared" si="3"/>
        <v>0.10879999999999999</v>
      </c>
      <c r="E34" s="60">
        <f t="shared" si="3"/>
        <v>0.10879999999999999</v>
      </c>
      <c r="F34" s="60">
        <f t="shared" si="3"/>
        <v>0.10879999999999999</v>
      </c>
      <c r="G34" s="60">
        <f t="shared" si="3"/>
        <v>0.10879999999999999</v>
      </c>
      <c r="H34" s="60">
        <f t="shared" si="3"/>
        <v>0.10879999999999999</v>
      </c>
      <c r="I34" s="60">
        <f t="shared" si="3"/>
        <v>0.10879999999999999</v>
      </c>
      <c r="J34" s="60">
        <f t="shared" si="3"/>
        <v>0.10879999999999999</v>
      </c>
      <c r="K34" s="60">
        <f t="shared" si="3"/>
        <v>0.10879999999999999</v>
      </c>
      <c r="L34" s="60">
        <f t="shared" si="3"/>
        <v>0.10879999999999999</v>
      </c>
      <c r="M34" s="60">
        <f t="shared" si="3"/>
        <v>0.10879999999999999</v>
      </c>
      <c r="N34" s="60">
        <f t="shared" si="3"/>
        <v>0.10879999999999999</v>
      </c>
      <c r="O34" s="60">
        <f t="shared" si="3"/>
        <v>0.10879999999999999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0sHzZYmBN1d8h8esHbDarm29zGeyrS7TcqTyGr1UOmUiuLfovLDms7uFGgFHe2FTNxT7c7Uvn0rrCy8x4zJjhw==" saltValue="eC8gu1PRV7Lnl9yTSoGwk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gccFEiN215GbRkW7RRdNSTs2MxWVrE5S8YlSavWk4OYpZemvTrGFgMgX099W9OoFn9nIb/U8tWTQPL52a3NtRQ==" saltValue="4TtJm61CeDBR7CH157Ftl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RKlR/C2u7yDg/OoFqXzHB+92Ytu3FgIwGamKzjAfO95zNN7a/gpX2/s6CrnQc1Pce686nX7DZxH7zu71Smk8rg==" saltValue="1IEVO17l/6pnU6zRb7VHJ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chY9hX9LTevMkMCengLl1RJ1jdafxx29uwATrOU1p27X3PhffirSLhuUFxNv5Xd4NZJv1p2Oz9mqelz46qjOuA==" saltValue="Sc+0qA6hXFBy4C8AjBCkD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TL0AMar7BRp88uqVZuW0e/tHXAeHcSXFZvIDaBHJWR0MZfJl0PqX933c7zQ6ava8lx29wmx4GW8mB0uYWzRr1A==" saltValue="gRmbeItivZ9E75bIsa7GK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0J37i3uWisUrzPxp19fjPjKSMs8kvsnlVbvr+73TAuqGLbkrNPPUXaTGzsNpjoQUS5FhlBXXCkgl/62qbA0l9w==" saltValue="eMnWOvFRYaCcL9g1qqV+1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78</v>
      </c>
      <c r="C5" s="8" t="s">
        <v>150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149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74</v>
      </c>
      <c r="C8" s="8" t="s">
        <v>150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149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149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78</v>
      </c>
      <c r="C58" s="8" t="s">
        <v>150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149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74</v>
      </c>
      <c r="C61" s="8" t="s">
        <v>150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149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78</v>
      </c>
      <c r="C111" s="8" t="s">
        <v>150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149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74</v>
      </c>
      <c r="C114" s="8" t="s">
        <v>150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149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77</v>
      </c>
      <c r="C117" s="8" t="s">
        <v>150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149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75</v>
      </c>
      <c r="C120" s="8" t="s">
        <v>150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149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149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78</v>
      </c>
      <c r="C128" s="8" t="s">
        <v>150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149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74</v>
      </c>
      <c r="C131" s="8" t="s">
        <v>150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149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77</v>
      </c>
      <c r="C134" s="8" t="s">
        <v>150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149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75</v>
      </c>
      <c r="C137" s="8" t="s">
        <v>150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149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149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78</v>
      </c>
      <c r="C145" s="8" t="s">
        <v>150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149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74</v>
      </c>
      <c r="C148" s="8" t="s">
        <v>150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149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77</v>
      </c>
      <c r="C151" s="8" t="s">
        <v>150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149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75</v>
      </c>
      <c r="C154" s="8" t="s">
        <v>150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149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PoTiM92kdk8/vTQaOrZ5hiP9qmxPoxQcBsmheGyE3OFfNiZAV2ho2uMM3um7eAD93kmgVEGHGn2kvIDwJHOpkw==" saltValue="YXRFrnjwn9TRLcIqAg4LjQ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+LDSGgAwNjvcN7m3kF+j4ZFJXEDwsc6dZtCg1SmwEk9k/wBEtIbHE900xutWQ1iWk/bVt0JiZ9MmA42AGYSu7g==" saltValue="1lGjI4TP/Nb90ETztPkvW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OJTbGVOnCvDOpzr0u9joGwhSqnehlnUWyTXSIPRU6UpFYPpwFZybpDlSNCOCh7gi9Yrj/Klus5LpHkoxl76TNA==" saltValue="SztK1VKINwW99TC34NnSU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291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105</v>
      </c>
      <c r="B40" s="11" t="s">
        <v>298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288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293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105</v>
      </c>
      <c r="B63" s="11" t="s">
        <v>299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GEl72voCbrTT6VpoQVYVQfgkH8HBDcC0G4Jb9T8Ms9MWWZcDmiWWDv1cTF5Tq0/BCnq8+Rrq7jxsBbIqoeIFDg==" saltValue="Nb7+LE6rwo5ftVXx1aVbv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Yg854HrZAbFmv0K9/+/bvgVh2lr9QabIncieVjRqMzV4ddYXRcXxuinUY4d2Z8/Qw0A5AJjSPl3wFIj9zTnr9w==" saltValue="+/rQa3GEPAcH+Bva4TCjo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174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175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176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177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178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191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172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181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174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175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176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177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178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191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172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181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DpqL3uiEkMMFBmpJqrUcE583FPlwQXeMDP8kqAvg7WRCvdoA/hGT2QNw6cnrLjyrojSviaEqVXkouwVKvtMUbA==" saltValue="GDtNm2UPCH3DUFj724VpY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dmCBnQ3ZP4te0xc7FFvf/qiQ2E/TjnFT8v6kMMEIdnISiyc0JSzJwfbktM69VqY+QuquMFiZ+1TJvRsrU5ZnOg==" saltValue="D/JMMP9WId5kG30dpjCrJ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338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338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W7wrVFrwNuEDxOpXKOErFBD3awH6SdVEotaYdXTEDG0/xgXzLrhPFhm080/BGz+GOq9vCbt2zIzYFb0tRGamCw==" saltValue="IZk+vaxVy70iq33zAd7XV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0vX5poxJ9kzmpnCDHCL9l6EAfN6pnkOFArsUctFOIxkH0hEljy68z5Gc/+2wO7XEKyBTYFq6YQInc3AV9kMsRg==" saltValue="odJ7MTjXs8C8LgjmBTui7w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2024-05-16T23:38:01Z</dcterms:modified>
</cp:coreProperties>
</file>