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60F76997-E6CE-48E8-AE95-8AA5CB75946A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5" i="2" l="1"/>
  <c r="A26" i="2"/>
  <c r="I39" i="2"/>
  <c r="I9" i="2"/>
  <c r="I13" i="2"/>
  <c r="A31" i="2"/>
  <c r="A40" i="2"/>
  <c r="I2" i="2"/>
  <c r="I6" i="2"/>
  <c r="A19" i="2"/>
  <c r="A35" i="2"/>
  <c r="A22" i="2"/>
  <c r="A36" i="2"/>
  <c r="A34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<sst xmlns="http://schemas.openxmlformats.org/spreadsheetml/2006/main" count="2159" uniqueCount="372">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</sst>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6014437.5</v>
      </c>
    </row>
    <row r="8" spans="1:3" ht="15" customHeight="1" x14ac:dyDescent="0.25">
      <c r="B8" s="5" t="s">
        <v>63</v>
      </c>
      <c r="C8" s="44">
        <v>4.5999999999999999E-2</v>
      </c>
    </row>
    <row r="9" spans="1:3" ht="15" customHeight="1" x14ac:dyDescent="0.25">
      <c r="B9" s="5" t="s">
        <v>62</v>
      </c>
      <c r="C9" s="45">
        <v>0.10879999999999999</v>
      </c>
    </row>
    <row r="10" spans="1:3" ht="15" customHeight="1" x14ac:dyDescent="0.25">
      <c r="B10" s="5" t="s">
        <v>75</v>
      </c>
      <c r="C10" s="45">
        <v>0.85338409423828099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7.8600000000000003E-2</v>
      </c>
    </row>
    <row r="24" spans="1:3" ht="15" customHeight="1" x14ac:dyDescent="0.25">
      <c r="B24" s="15" t="s">
        <v>65</v>
      </c>
      <c r="C24" s="45">
        <v>0.51929999999999998</v>
      </c>
    </row>
    <row r="25" spans="1:3" ht="15" customHeight="1" x14ac:dyDescent="0.25">
      <c r="B25" s="15" t="s">
        <v>66</v>
      </c>
      <c r="C25" s="45">
        <v>0.37880000000000003</v>
      </c>
    </row>
    <row r="26" spans="1:3" ht="15" customHeight="1" x14ac:dyDescent="0.25">
      <c r="B26" s="15" t="s">
        <v>67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11.326549999999999</v>
      </c>
    </row>
    <row r="38" spans="1:5" ht="15" customHeight="1" x14ac:dyDescent="0.25">
      <c r="B38" s="11" t="s">
        <v>54</v>
      </c>
      <c r="C38" s="43">
        <v>18.882359999999998</v>
      </c>
      <c r="D38" s="12"/>
      <c r="E38" s="13"/>
    </row>
    <row r="39" spans="1:5" ht="15" customHeight="1" x14ac:dyDescent="0.25">
      <c r="B39" s="11" t="s">
        <v>80</v>
      </c>
      <c r="C39" s="43">
        <v>22.173410000000001</v>
      </c>
      <c r="D39" s="12"/>
      <c r="E39" s="12"/>
    </row>
    <row r="40" spans="1:5" ht="15" customHeight="1" x14ac:dyDescent="0.25">
      <c r="B40" s="11" t="s">
        <v>55</v>
      </c>
      <c r="C40" s="100">
        <v>1.73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78</v>
      </c>
      <c r="C47" s="45">
        <v>7.5150599999999998E-2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</v>
      </c>
      <c r="D51" s="12"/>
    </row>
    <row r="52" spans="1:4" ht="15" customHeight="1" x14ac:dyDescent="0.25">
      <c r="B52" s="11" t="s">
        <v>32</v>
      </c>
      <c r="C52" s="100">
        <v>2.4</v>
      </c>
    </row>
    <row r="53" spans="1:4" ht="15.75" customHeight="1" x14ac:dyDescent="0.25">
      <c r="B53" s="11" t="s">
        <v>35</v>
      </c>
      <c r="C53" s="100">
        <v>2.4</v>
      </c>
    </row>
    <row r="54" spans="1:4" ht="15.75" customHeight="1" x14ac:dyDescent="0.25">
      <c r="B54" s="11" t="s">
        <v>33</v>
      </c>
      <c r="C54" s="100">
        <v>2.4</v>
      </c>
    </row>
    <row r="55" spans="1:4" ht="15.75" customHeight="1" x14ac:dyDescent="0.25">
      <c r="B55" s="11" t="s">
        <v>34</v>
      </c>
      <c r="C55" s="100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0.58243899999999993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4HQ9Rsl0yZHJZnCf484tRYJWGby2/mYJQtF9iP6Z3encpG4VvgywLJ/yOd1K/NOmRQK+3Mvg3kjYBE2ytpE6Q==" saltValue="XbrMr35ZIBiXifKXmY3t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1151057</v>
      </c>
      <c r="C2" s="49">
        <v>3094209</v>
      </c>
      <c r="D2" s="49">
        <v>5875824.5</v>
      </c>
      <c r="E2" s="49">
        <v>8380318.5000000009</v>
      </c>
      <c r="F2" s="49">
        <v>7200214.5</v>
      </c>
      <c r="G2" s="17">
        <f t="shared" ref="G2:G13" si="0">C2+D2+E2+F2</f>
        <v>24550566.5</v>
      </c>
      <c r="H2" s="17">
        <f t="shared" ref="H2:H13" si="1">(B2 + stillbirth*B2/(1000-stillbirth))/(1-abortion)</f>
        <v>1319993.8003408664</v>
      </c>
      <c r="I2" s="17">
        <f t="shared" ref="I2:I13" si="2">G2-H2</f>
        <v>23230572.699659135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1125230</v>
      </c>
      <c r="C3" s="50">
        <v>3162418</v>
      </c>
      <c r="D3" s="50">
        <v>5830532.4999999991</v>
      </c>
      <c r="E3" s="50">
        <v>8127248</v>
      </c>
      <c r="F3" s="50">
        <v>7553258.5</v>
      </c>
      <c r="G3" s="17">
        <f t="shared" si="0"/>
        <v>24673457</v>
      </c>
      <c r="H3" s="17">
        <f t="shared" si="1"/>
        <v>1290376.2576115283</v>
      </c>
      <c r="I3" s="17">
        <f t="shared" si="2"/>
        <v>23383080.742388472</v>
      </c>
    </row>
    <row r="4" spans="1:9" ht="15.75" customHeight="1" x14ac:dyDescent="0.25">
      <c r="A4" s="5">
        <f t="shared" si="3"/>
        <v>2026</v>
      </c>
      <c r="B4" s="49">
        <v>1101751</v>
      </c>
      <c r="C4" s="50">
        <v>3221955</v>
      </c>
      <c r="D4" s="50">
        <v>5823510.5</v>
      </c>
      <c r="E4" s="50">
        <v>7833019.5</v>
      </c>
      <c r="F4" s="50">
        <v>7879219.4999999991</v>
      </c>
      <c r="G4" s="17">
        <f t="shared" si="0"/>
        <v>24757704.5</v>
      </c>
      <c r="H4" s="17">
        <f t="shared" si="1"/>
        <v>1263451.3230181909</v>
      </c>
      <c r="I4" s="17">
        <f t="shared" si="2"/>
        <v>23494253.17698181</v>
      </c>
    </row>
    <row r="5" spans="1:9" ht="15.75" customHeight="1" x14ac:dyDescent="0.25">
      <c r="A5" s="5">
        <f t="shared" si="3"/>
        <v>2027</v>
      </c>
      <c r="B5" s="49">
        <v>1082259</v>
      </c>
      <c r="C5" s="50">
        <v>3281528</v>
      </c>
      <c r="D5" s="50">
        <v>5842965</v>
      </c>
      <c r="E5" s="50">
        <v>7536132</v>
      </c>
      <c r="F5" s="50">
        <v>8156710</v>
      </c>
      <c r="G5" s="17">
        <f t="shared" si="0"/>
        <v>24817335</v>
      </c>
      <c r="H5" s="17">
        <f t="shared" si="1"/>
        <v>1241098.5471293824</v>
      </c>
      <c r="I5" s="17">
        <f t="shared" si="2"/>
        <v>23576236.452870619</v>
      </c>
    </row>
    <row r="6" spans="1:9" ht="15.75" customHeight="1" x14ac:dyDescent="0.25">
      <c r="A6" s="5">
        <f t="shared" si="3"/>
        <v>2028</v>
      </c>
      <c r="B6" s="49">
        <v>1064974</v>
      </c>
      <c r="C6" s="50">
        <v>3350313</v>
      </c>
      <c r="D6" s="50">
        <v>5878416.9999999991</v>
      </c>
      <c r="E6" s="50">
        <v>7250938.5</v>
      </c>
      <c r="F6" s="50">
        <v>8377903</v>
      </c>
      <c r="G6" s="17">
        <f t="shared" si="0"/>
        <v>24857571.5</v>
      </c>
      <c r="H6" s="17">
        <f t="shared" si="1"/>
        <v>1221276.6852764145</v>
      </c>
      <c r="I6" s="17">
        <f t="shared" si="2"/>
        <v>23636294.814723585</v>
      </c>
    </row>
    <row r="7" spans="1:9" ht="15.75" customHeight="1" x14ac:dyDescent="0.25">
      <c r="A7" s="5">
        <f t="shared" si="3"/>
        <v>2029</v>
      </c>
      <c r="B7" s="49">
        <v>1050538</v>
      </c>
      <c r="C7" s="50">
        <v>3430044</v>
      </c>
      <c r="D7" s="50">
        <v>5927809.4999999991</v>
      </c>
      <c r="E7" s="50">
        <v>6960471.5</v>
      </c>
      <c r="F7" s="50">
        <v>8550985.4999999981</v>
      </c>
      <c r="G7" s="17">
        <f t="shared" si="0"/>
        <v>24869310.5</v>
      </c>
      <c r="H7" s="17">
        <f t="shared" si="1"/>
        <v>1204721.9616600161</v>
      </c>
      <c r="I7" s="17">
        <f t="shared" si="2"/>
        <v>23664588.538339984</v>
      </c>
    </row>
    <row r="8" spans="1:9" ht="15.75" customHeight="1" x14ac:dyDescent="0.25">
      <c r="A8" s="5">
        <f t="shared" si="3"/>
        <v>2030</v>
      </c>
      <c r="B8" s="49">
        <v>1037833.0000000001</v>
      </c>
      <c r="C8" s="50">
        <v>3517452</v>
      </c>
      <c r="D8" s="50">
        <v>5993693</v>
      </c>
      <c r="E8" s="50">
        <v>6675670</v>
      </c>
      <c r="F8" s="50">
        <v>8661758.5</v>
      </c>
      <c r="G8" s="17">
        <f t="shared" si="0"/>
        <v>24848573.5</v>
      </c>
      <c r="H8" s="17">
        <f t="shared" si="1"/>
        <v>1190152.2911455841</v>
      </c>
      <c r="I8" s="17">
        <f t="shared" si="2"/>
        <v>23658421.208854415</v>
      </c>
    </row>
    <row r="9" spans="1:9" ht="15.75" customHeight="1" x14ac:dyDescent="0.25">
      <c r="A9" s="5">
        <f t="shared" si="3"/>
        <v>2031</v>
      </c>
      <c r="B9" s="49">
        <v>1029391.0000000001</v>
      </c>
      <c r="C9" s="50">
        <v>3603948</v>
      </c>
      <c r="D9" s="50">
        <v>6075092.5000000009</v>
      </c>
      <c r="E9" s="50">
        <v>6412426.5</v>
      </c>
      <c r="F9" s="50">
        <v>8696412</v>
      </c>
      <c r="G9" s="17">
        <f t="shared" si="0"/>
        <v>24787879</v>
      </c>
      <c r="H9" s="17">
        <f t="shared" si="1"/>
        <v>1180471.2869359944</v>
      </c>
      <c r="I9" s="17">
        <f t="shared" si="2"/>
        <v>23607407.713064007</v>
      </c>
    </row>
    <row r="10" spans="1:9" ht="15.75" customHeight="1" x14ac:dyDescent="0.25">
      <c r="A10" s="5">
        <f t="shared" si="3"/>
        <v>2032</v>
      </c>
      <c r="B10" s="49">
        <v>1024789</v>
      </c>
      <c r="C10" s="50">
        <v>3668356</v>
      </c>
      <c r="D10" s="50">
        <v>6173891</v>
      </c>
      <c r="E10" s="50">
        <v>6192581.5</v>
      </c>
      <c r="F10" s="50">
        <v>8660701.5</v>
      </c>
      <c r="G10" s="17">
        <f t="shared" si="0"/>
        <v>24695530</v>
      </c>
      <c r="H10" s="17">
        <f t="shared" si="1"/>
        <v>1175193.8667307668</v>
      </c>
      <c r="I10" s="17">
        <f t="shared" si="2"/>
        <v>23520336.133269232</v>
      </c>
    </row>
    <row r="11" spans="1:9" ht="15.75" customHeight="1" x14ac:dyDescent="0.25">
      <c r="A11" s="5">
        <f t="shared" si="3"/>
        <v>2033</v>
      </c>
      <c r="B11" s="49">
        <v>1024685.9999999999</v>
      </c>
      <c r="C11" s="50">
        <v>3678753</v>
      </c>
      <c r="D11" s="50">
        <v>6293610.5000000009</v>
      </c>
      <c r="E11" s="50">
        <v>6024056.0000000009</v>
      </c>
      <c r="F11" s="50">
        <v>8549800.5</v>
      </c>
      <c r="G11" s="17">
        <f t="shared" si="0"/>
        <v>24546220</v>
      </c>
      <c r="H11" s="17">
        <f t="shared" si="1"/>
        <v>1175075.7497639828</v>
      </c>
      <c r="I11" s="17">
        <f t="shared" si="2"/>
        <v>23371144.250236016</v>
      </c>
    </row>
    <row r="12" spans="1:9" ht="15.75" customHeight="1" x14ac:dyDescent="0.25">
      <c r="A12" s="5">
        <f t="shared" si="3"/>
        <v>2034</v>
      </c>
      <c r="B12" s="49">
        <v>1027925.9999999999</v>
      </c>
      <c r="C12" s="50">
        <v>3610970</v>
      </c>
      <c r="D12" s="50">
        <v>6432133.5</v>
      </c>
      <c r="E12" s="50">
        <v>5899367</v>
      </c>
      <c r="F12" s="50">
        <v>8350636</v>
      </c>
      <c r="G12" s="17">
        <f t="shared" si="0"/>
        <v>24293106.5</v>
      </c>
      <c r="H12" s="17">
        <f t="shared" si="1"/>
        <v>1178791.2737676634</v>
      </c>
      <c r="I12" s="17">
        <f t="shared" si="2"/>
        <v>23114315.226232335</v>
      </c>
    </row>
    <row r="13" spans="1:9" ht="15.75" customHeight="1" x14ac:dyDescent="0.25">
      <c r="A13" s="5">
        <f t="shared" si="3"/>
        <v>2035</v>
      </c>
      <c r="B13" s="49">
        <v>1031654</v>
      </c>
      <c r="C13" s="50">
        <v>3476854</v>
      </c>
      <c r="D13" s="50">
        <v>6577999</v>
      </c>
      <c r="E13" s="50">
        <v>5825202</v>
      </c>
      <c r="F13" s="50">
        <v>8085290.4999999991</v>
      </c>
      <c r="G13" s="17">
        <f t="shared" si="0"/>
        <v>23965345.5</v>
      </c>
      <c r="H13" s="17">
        <f t="shared" si="1"/>
        <v>1183066.4199052316</v>
      </c>
      <c r="I13" s="17">
        <f t="shared" si="2"/>
        <v>22782279.08009477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10Q7Vu9NhrtSVKtQrt8TdLw1uzhHt+wlZlhmXFtjfZiNT8n22Qis3m5h9ycPbdsml2Gm+4VlU+/EUN5lk3ehw==" saltValue="gqKjtkIMFJ0ZtIc4lzpk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1.738200173820019E-3</v>
      </c>
    </row>
    <row r="4" spans="1:8" ht="15.75" customHeight="1" x14ac:dyDescent="0.25">
      <c r="B4" s="19" t="s">
        <v>116</v>
      </c>
      <c r="C4" s="101">
        <v>5.6959305695930607E-2</v>
      </c>
    </row>
    <row r="5" spans="1:8" ht="15.75" customHeight="1" x14ac:dyDescent="0.25">
      <c r="B5" s="19" t="s">
        <v>114</v>
      </c>
      <c r="C5" s="101">
        <v>3.7975303797530502E-2</v>
      </c>
    </row>
    <row r="6" spans="1:8" ht="15.75" customHeight="1" x14ac:dyDescent="0.25">
      <c r="B6" s="19" t="s">
        <v>110</v>
      </c>
      <c r="C6" s="101">
        <v>0.1868385186838521</v>
      </c>
    </row>
    <row r="7" spans="1:8" ht="15.75" customHeight="1" x14ac:dyDescent="0.25">
      <c r="B7" s="19" t="s">
        <v>115</v>
      </c>
      <c r="C7" s="101">
        <v>0.44315674431567392</v>
      </c>
    </row>
    <row r="8" spans="1:8" ht="15.75" customHeight="1" x14ac:dyDescent="0.25">
      <c r="B8" s="19" t="s">
        <v>117</v>
      </c>
      <c r="C8" s="101">
        <v>4.4720004472000513E-4</v>
      </c>
    </row>
    <row r="9" spans="1:8" ht="15.75" customHeight="1" x14ac:dyDescent="0.25">
      <c r="B9" s="19" t="s">
        <v>111</v>
      </c>
      <c r="C9" s="101">
        <v>0.17596981759698199</v>
      </c>
    </row>
    <row r="10" spans="1:8" ht="15.75" customHeight="1" x14ac:dyDescent="0.25">
      <c r="B10" s="19" t="s">
        <v>113</v>
      </c>
      <c r="C10" s="101">
        <v>9.691490969149115E-2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121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2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109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3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120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98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107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118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4.7996967000000001E-2</v>
      </c>
    </row>
    <row r="27" spans="1:8" ht="15.75" customHeight="1" x14ac:dyDescent="0.25">
      <c r="B27" s="19" t="s">
        <v>108</v>
      </c>
      <c r="C27" s="101">
        <v>1.9231089E-2</v>
      </c>
    </row>
    <row r="28" spans="1:8" ht="15.75" customHeight="1" x14ac:dyDescent="0.25">
      <c r="B28" s="19" t="s">
        <v>122</v>
      </c>
      <c r="C28" s="101">
        <v>0.23147800700000001</v>
      </c>
    </row>
    <row r="29" spans="1:8" ht="15.75" customHeight="1" x14ac:dyDescent="0.25">
      <c r="B29" s="19" t="s">
        <v>105</v>
      </c>
      <c r="C29" s="101">
        <v>0.13894083700000001</v>
      </c>
    </row>
    <row r="30" spans="1:8" ht="15.75" customHeight="1" x14ac:dyDescent="0.25">
      <c r="B30" s="19" t="s">
        <v>4</v>
      </c>
      <c r="C30" s="101">
        <v>5.0303380000000002E-2</v>
      </c>
    </row>
    <row r="31" spans="1:8" ht="15.75" customHeight="1" x14ac:dyDescent="0.25">
      <c r="B31" s="19" t="s">
        <v>99</v>
      </c>
      <c r="C31" s="101">
        <v>7.028529E-2</v>
      </c>
    </row>
    <row r="32" spans="1:8" ht="15.75" customHeight="1" x14ac:dyDescent="0.25">
      <c r="B32" s="19" t="s">
        <v>104</v>
      </c>
      <c r="C32" s="101">
        <v>0.146633282</v>
      </c>
    </row>
    <row r="33" spans="2:3" ht="15.75" customHeight="1" x14ac:dyDescent="0.25">
      <c r="B33" s="19" t="s">
        <v>119</v>
      </c>
      <c r="C33" s="101">
        <v>0.12525921100000001</v>
      </c>
    </row>
    <row r="34" spans="2:3" ht="15.75" customHeight="1" x14ac:dyDescent="0.25">
      <c r="B34" s="19" t="s">
        <v>106</v>
      </c>
      <c r="C34" s="101">
        <v>0.169871936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EutWqKSO78w407r2vtvdeTCNDEg1c4sn2FdudlHi9VIYt9vMluslH75uQUEXFI+3gY7+8R4ASIA3I129JQHwHw==" saltValue="UnCoTEEHoj9G30UI1Wr+9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4JcIOBii2vbKPw+XBwLAi2EvKsqyX57T0k27X3bMqT3wrPSzCcqGUCL0YH+Df+pPh/xmG630PJfb3wVpa3/Sw==" saltValue="sBbddwq/3IRCLIg4giHh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ruGhFVOVEx7Ti4iuJtky5lVQpQ5g+BrDq0LFmzxq9XZq5biPlFxQjr+8idoZtKuBoPKft+FxwxylCS5axqokVA==" saltValue="yubAacnOfW3S24PDotktB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P6qAf+GIUxMhXvHfcjQzvnil6JSsd6BrUzWL7pB3nbs3VYjeGGxhaJclyCrRJpIOEvsKG16DxdS+ai9gKky7Q==" saltValue="G7OVUaxR6OOH2toTwKrC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4669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0.38788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0.15129999999999999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1.5052873196285859E-2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98668.89387</v>
      </c>
      <c r="C22" s="109">
        <v>98501.690709999995</v>
      </c>
      <c r="D22" s="109">
        <v>98328.364010000005</v>
      </c>
      <c r="E22" s="109">
        <v>97954.932090000002</v>
      </c>
      <c r="F22" s="109">
        <v>97493.932499999995</v>
      </c>
      <c r="G22" s="109">
        <v>97040.636689999999</v>
      </c>
      <c r="H22" s="109">
        <v>96551.853510000001</v>
      </c>
      <c r="I22" s="109">
        <v>95970.760250000007</v>
      </c>
      <c r="J22" s="109">
        <v>95198.041230000003</v>
      </c>
      <c r="K22" s="109">
        <v>94090.887640000001</v>
      </c>
      <c r="L22" s="109">
        <v>92323.800889999999</v>
      </c>
      <c r="M22" s="109">
        <v>89514.430829999998</v>
      </c>
      <c r="N22" s="109">
        <v>85122.851819999996</v>
      </c>
      <c r="O22" s="109">
        <v>78672.053169999999</v>
      </c>
    </row>
  </sheetData>
  <sheetProtection algorithmName="SHA-512" hashValue="c2c3TjiEA86u3aXjQ0st+VW4iSvqyxlEhslYipHGc84TO122VHc/wnGCShQjxCeGPApDXup98wITKrf0T4bF3Q==" saltValue="7++fLU4rqLBhKQGgOiul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mLiCXOeVaRtS92L4OYpaygP6Lh/qdZdmMqppC5M6zz/6HxUKoWbuQtfY7TxAaszGic5pRAhfdkJBRJmZbNqbA==" saltValue="W/TsHBhfq46Lvo/udY+/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wd6Mtd1ZbeL2KUoNAWuWhgQhqnVEbFqqzzsYDLArh5+jHtFgS7lwGBzUd5XgXCk2vyyTKYtEelC0X2QPEOHtg==" saltValue="TgaJx/5nLus6gguRMVjIL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0.44054339999999997</v>
      </c>
      <c r="C10" s="98">
        <v>0.95</v>
      </c>
      <c r="D10" s="56">
        <v>13.166131301989671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13.166131301989671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13.166131301989671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13.166131301989671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0.44054339999999997</v>
      </c>
      <c r="C14" s="98">
        <v>0.95</v>
      </c>
      <c r="D14" s="56">
        <v>13.166131301989671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13.166131301989671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1.73413E-2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0.17784249999999999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0.4996447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0.4996447</v>
      </c>
      <c r="C19" s="98">
        <v>0.95</v>
      </c>
      <c r="D19" s="56">
        <v>11.99955936520508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2.2612899999999998E-2</v>
      </c>
      <c r="C23" s="98">
        <v>0.95</v>
      </c>
      <c r="D23" s="56">
        <v>4.3755575735972823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0.61685007638513001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0.44054339999999997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0.36092259999999998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0.53925319999999999</v>
      </c>
      <c r="C29" s="98">
        <v>0.95</v>
      </c>
      <c r="D29" s="56">
        <v>129.29915294669931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0.7898522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0.45606069999999999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1.5928999999999999E-2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0.22960410000000001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nS71ZdLOaxBB5eJ4rbhr3JAXSBBTtRpo3Yq8WW8x0OJQOD7bVcxPx4PtasRiOGwcYmXCnMXvZKZ+2xvgsRnDHw==" saltValue="w7h8KEaYrqgiKbq4RZ3R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GX19sod2Q4xmvGlyz1NsVQ6BxdzhwCtZiVrDiLiK19pUJk6mcQwHkRGdbP5SXTUR1HKtU0Os3E07g3vd05VRQ==" saltValue="h6y7be4QKOlbM+AzE5Tp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CBiGoRcd2DVpCR0Nlyn+n9tzi7f1rBHqussjMHPtczJ2vnxZCMg5b/ZRMbwibd+QcT43wxFKjHtbQyjmXNWFw==" saltValue="KF34vUdHN+j57SPOedtd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5SISMYPNeo5Vm2OD9FNI5AQDdfdsztH45u8DvDB1/7qW2EZpREMdiC0UhDLHnYsrT4rsxBKZRps540Pbv7yv+Q==" saltValue="7IRfqHFIH1d66Ospwvnej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4.5999999999999999E-2</v>
      </c>
      <c r="F2" s="60">
        <f>food_insecure</f>
        <v>4.5999999999999999E-2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4.5999999999999999E-2</v>
      </c>
      <c r="I15" s="60">
        <f t="shared" si="0"/>
        <v>4.5999999999999999E-2</v>
      </c>
      <c r="J15" s="60">
        <f t="shared" si="0"/>
        <v>4.5999999999999999E-2</v>
      </c>
      <c r="K15" s="60">
        <f t="shared" si="0"/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4.5999999999999999E-2</v>
      </c>
      <c r="I16" s="60">
        <f t="shared" si="0"/>
        <v>4.5999999999999999E-2</v>
      </c>
      <c r="J16" s="60">
        <f t="shared" si="0"/>
        <v>4.5999999999999999E-2</v>
      </c>
      <c r="K16" s="60">
        <f t="shared" si="0"/>
        <v>4.5999999999999999E-2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O7Yf1y1XmFNpGv8BKPOs3I6Da4tgSk1deLuV+WNwq2d6f211PDbmqMP/ReCc1456HY+ZFO2XIlKa24eEn0PjA==" saltValue="1IPFs3MTTxbeSPT7c7tZ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ME2CX7UKGbFAwPm0KTDnzsGvoCTmC6hWGCnXaDAS/AbIFkCKPoKGSRJzjJ/NZeMCywE/vLn7B6fvW7OxuNVTw==" saltValue="Uo1xEjAAq69OceE9lY5Sz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XSLOuVDGTmBhVjbpEzQko26mJJ4cxl2CiqHc2pifNIRUkDPcKMESsVcMKur7kdBGBc6fmXM/5AjupqhuGRtlw==" saltValue="5RN3ykrvGDrGfdAnQ1uYi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AvBe0s6aWe+KQQHMHEjlOCCekgOQLDPf/ArmIfEAZqszspb5M2mixMIgAqP1ci28THY+Mh6hGRtVImXiSOhhw==" saltValue="Wkb1+q0j3U9zNcwIsAJW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GZ49V8WoGBSwXJw6Iri5jIVBFLLKSGDdAgzbsBszri8tiiCrwDQ0xDIMUf/zvcnwo+RT90+26YuYP3mRyGlzKw==" saltValue="oSLvnPWGmq4IyhEqIj5TR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jt/f3bWPWeyS2LCqntdxOXuqPILFzPSQjHflWpSrAXQmy6AVnJli6ZBvtNLzfWy+Eep5kiPeRwm8Tq6CzgLBw==" saltValue="CfWkAn5C9zQjYhEHhgrG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Hzp24GnUPbX4WLvNJCvpdJlyiSjJupvCOjkjNPHdvSubct8Wr785L6IYJZDRv9cle+3caC5QJyh8dP6luggpg==" saltValue="nJjYKaUR3GR6j44fZHc1H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/L1VLEp3WLkWd3JcN6xOwnXYmt1df5pGvLYAurKwIJjX+DBvzEbEIsak9Eh1yXGVgSUucGcChuhF7R6RsE3AQ==" saltValue="23oYN+KJUVf3r/OtZzkJ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EFxKosBbp4DEaUtuGcXaHltVoRNDv95AB+8eavr8NU+K3YvfQaRIoXpMITXFPpM6phApcFjD05QxlJ30ONLhLA==" saltValue="/20+hs4RaM7nQ6yuQRL5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SpTV6j+Y7qVkCTPorM7kuc0sYexSQoYBp7M5x/n8qdSEQb1VGXAKFBzzuC5wpAVxpoSkD45CmjkEdnxzArShw==" saltValue="1Fv57vRntSmISLSTUCRc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qwytKoZdqGZFkIjoXsEPVq0RGlEKzmVDcUmDYKrbR/50W51LbwJVP5jjz9jUR7Y7MH00ImKWdLx04DRqh2AUQ==" saltValue="5mipLqteniN1NsZuEfNi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7RviHqxBHCnVLRNgVOSluBvOIpNIPYHz8p+4uiLNGaXCfgDz+BWRVBCUx8AmkXgbRMBI7yKHNu7HkBjzvajSA==" saltValue="HW3PgQ2qc3a+81ngqvds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A10m38XVIWy+S/f7FmdJUEeF//RN5CUw9hglxYYaFt+sDW7mU7VVtbYetNfY1PELyd0/5iV3K2xmlZytOH+sQ==" saltValue="bBZALQ/mYOE9q5AmFn45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+5OqCtZVMVgghR+sduLemwIEKACdskmAzzdoNXTwt0I4qtmalwVEdhEl+gh/DL7VmvLnWcaIm/evXuAiYFa+w==" saltValue="qiX5IVgOtUY5NEOlIkjO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vtIDTOgOv6OtPKTaX2MSida6PlmGuvxfw4OMuexwBgg+QXHaLHSYldy9XQ/SeZJRym2Q24hdTQu/gq3Q2hmHw==" saltValue="rU4UEDBNQHWDgxFQaZz3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