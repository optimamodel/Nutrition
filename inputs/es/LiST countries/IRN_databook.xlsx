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CFB7F8B9-C6A0-48F2-8E33-D6F07C351D78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3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5" i="2"/>
  <c r="A36" i="2"/>
  <c r="I4" i="2"/>
  <c r="I8" i="2"/>
  <c r="I12" i="2"/>
  <c r="A37" i="2"/>
  <c r="A26" i="2"/>
  <c r="I39" i="2"/>
  <c r="I9" i="2"/>
  <c r="I13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<sst xmlns="http://schemas.openxmlformats.org/spreadsheetml/2006/main" count="2169" uniqueCount="373">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</sst>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6014437.5</v>
      </c>
    </row>
    <row r="8" spans="1:3" ht="15" customHeight="1" x14ac:dyDescent="0.25">
      <c r="B8" s="5" t="s">
        <v>63</v>
      </c>
      <c r="C8" s="44">
        <v>4.5999999999999999E-2</v>
      </c>
    </row>
    <row r="9" spans="1:3" ht="15" customHeight="1" x14ac:dyDescent="0.25">
      <c r="B9" s="5" t="s">
        <v>62</v>
      </c>
      <c r="C9" s="45">
        <v>0.10879999999999999</v>
      </c>
    </row>
    <row r="10" spans="1:3" ht="15" customHeight="1" x14ac:dyDescent="0.25">
      <c r="B10" s="5" t="s">
        <v>75</v>
      </c>
      <c r="C10" s="45">
        <v>0.85338409423828099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0.314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7.8600000000000003E-2</v>
      </c>
    </row>
    <row r="24" spans="1:3" ht="15" customHeight="1" x14ac:dyDescent="0.25">
      <c r="B24" s="15" t="s">
        <v>65</v>
      </c>
      <c r="C24" s="45">
        <v>0.51929999999999998</v>
      </c>
    </row>
    <row r="25" spans="1:3" ht="15" customHeight="1" x14ac:dyDescent="0.25">
      <c r="B25" s="15" t="s">
        <v>66</v>
      </c>
      <c r="C25" s="45">
        <v>0.37880000000000003</v>
      </c>
    </row>
    <row r="26" spans="1:3" ht="15" customHeight="1" x14ac:dyDescent="0.25">
      <c r="B26" s="15" t="s">
        <v>67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7">
        <v>2.3858720907234902E-2</v>
      </c>
    </row>
    <row r="31" spans="1:3" ht="14.25" customHeight="1" x14ac:dyDescent="0.25">
      <c r="B31" s="25" t="s">
        <v>29</v>
      </c>
      <c r="C31" s="97">
        <v>3.4342930038455802E-2</v>
      </c>
    </row>
    <row r="32" spans="1:3" ht="14.25" customHeight="1" x14ac:dyDescent="0.25">
      <c r="B32" s="25" t="s">
        <v>30</v>
      </c>
      <c r="C32" s="97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11.326549999999999</v>
      </c>
    </row>
    <row r="38" spans="1:5" ht="15" customHeight="1" x14ac:dyDescent="0.25">
      <c r="B38" s="11" t="s">
        <v>54</v>
      </c>
      <c r="C38" s="43">
        <v>18.882359999999998</v>
      </c>
      <c r="D38" s="12"/>
      <c r="E38" s="13"/>
    </row>
    <row r="39" spans="1:5" ht="15" customHeight="1" x14ac:dyDescent="0.25">
      <c r="B39" s="11" t="s">
        <v>80</v>
      </c>
      <c r="C39" s="43">
        <v>22.173410000000001</v>
      </c>
      <c r="D39" s="12"/>
      <c r="E39" s="12"/>
    </row>
    <row r="40" spans="1:5" ht="15" customHeight="1" x14ac:dyDescent="0.25">
      <c r="B40" s="11" t="s">
        <v>55</v>
      </c>
      <c r="C40" s="98">
        <v>1.73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6.1523000000000003E-3</v>
      </c>
      <c r="D45" s="12"/>
    </row>
    <row r="46" spans="1:5" ht="15.75" customHeight="1" x14ac:dyDescent="0.25">
      <c r="B46" s="11" t="s">
        <v>70</v>
      </c>
      <c r="C46" s="45">
        <v>6.6105700000000003E-2</v>
      </c>
      <c r="D46" s="12"/>
    </row>
    <row r="47" spans="1:5" ht="15.75" customHeight="1" x14ac:dyDescent="0.25">
      <c r="B47" s="11" t="s">
        <v>78</v>
      </c>
      <c r="C47" s="45">
        <v>7.5150599999999998E-2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2.4</v>
      </c>
      <c r="D51" s="12"/>
    </row>
    <row r="52" spans="1:4" ht="15" customHeight="1" x14ac:dyDescent="0.25">
      <c r="B52" s="11" t="s">
        <v>32</v>
      </c>
      <c r="C52" s="98">
        <v>2.4</v>
      </c>
    </row>
    <row r="53" spans="1:4" ht="15.75" customHeight="1" x14ac:dyDescent="0.25">
      <c r="B53" s="11" t="s">
        <v>35</v>
      </c>
      <c r="C53" s="98">
        <v>2.4</v>
      </c>
    </row>
    <row r="54" spans="1:4" ht="15.75" customHeight="1" x14ac:dyDescent="0.25">
      <c r="B54" s="11" t="s">
        <v>33</v>
      </c>
      <c r="C54" s="98">
        <v>2.4</v>
      </c>
    </row>
    <row r="55" spans="1:4" ht="15.75" customHeight="1" x14ac:dyDescent="0.25">
      <c r="B55" s="11" t="s">
        <v>34</v>
      </c>
      <c r="C55" s="98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0.58243899999999993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lliWE9TtfLHLLdgH0ugldSDeahizbO9jLR2e6ygsY2a2rb7chefHgib6KZ7aqDp95wN8mEsaW+lh+AHb0oC3Bg==" saltValue="N+Ao7lSNS64JhgIj/zNG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1151057</v>
      </c>
      <c r="C2" s="49">
        <v>3094209</v>
      </c>
      <c r="D2" s="49">
        <v>5875824.5</v>
      </c>
      <c r="E2" s="49">
        <v>8380318.5000000009</v>
      </c>
      <c r="F2" s="49">
        <v>7200214.5</v>
      </c>
      <c r="G2" s="17">
        <f t="shared" ref="G2:G13" si="0">C2+D2+E2+F2</f>
        <v>24550566.5</v>
      </c>
      <c r="H2" s="17">
        <f t="shared" ref="H2:H13" si="1">(B2 + stillbirth*B2/(1000-stillbirth))/(1-abortion)</f>
        <v>1319993.8003408664</v>
      </c>
      <c r="I2" s="17">
        <f t="shared" ref="I2:I13" si="2">G2-H2</f>
        <v>23230572.699659135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1125230</v>
      </c>
      <c r="C3" s="50">
        <v>3162418</v>
      </c>
      <c r="D3" s="50">
        <v>5830532.4999999991</v>
      </c>
      <c r="E3" s="50">
        <v>8127248</v>
      </c>
      <c r="F3" s="50">
        <v>7553258.5</v>
      </c>
      <c r="G3" s="17">
        <f t="shared" si="0"/>
        <v>24673457</v>
      </c>
      <c r="H3" s="17">
        <f t="shared" si="1"/>
        <v>1290376.2576115283</v>
      </c>
      <c r="I3" s="17">
        <f t="shared" si="2"/>
        <v>23383080.742388472</v>
      </c>
    </row>
    <row r="4" spans="1:9" ht="15.75" customHeight="1" x14ac:dyDescent="0.25">
      <c r="A4" s="5">
        <f t="shared" si="3"/>
        <v>2026</v>
      </c>
      <c r="B4" s="49">
        <v>1101751</v>
      </c>
      <c r="C4" s="50">
        <v>3221955</v>
      </c>
      <c r="D4" s="50">
        <v>5823510.5</v>
      </c>
      <c r="E4" s="50">
        <v>7833019.5</v>
      </c>
      <c r="F4" s="50">
        <v>7879219.4999999991</v>
      </c>
      <c r="G4" s="17">
        <f t="shared" si="0"/>
        <v>24757704.5</v>
      </c>
      <c r="H4" s="17">
        <f t="shared" si="1"/>
        <v>1263451.3230181909</v>
      </c>
      <c r="I4" s="17">
        <f t="shared" si="2"/>
        <v>23494253.17698181</v>
      </c>
    </row>
    <row r="5" spans="1:9" ht="15.75" customHeight="1" x14ac:dyDescent="0.25">
      <c r="A5" s="5">
        <f t="shared" si="3"/>
        <v>2027</v>
      </c>
      <c r="B5" s="49">
        <v>1082259</v>
      </c>
      <c r="C5" s="50">
        <v>3281528</v>
      </c>
      <c r="D5" s="50">
        <v>5842965</v>
      </c>
      <c r="E5" s="50">
        <v>7536132</v>
      </c>
      <c r="F5" s="50">
        <v>8156710</v>
      </c>
      <c r="G5" s="17">
        <f t="shared" si="0"/>
        <v>24817335</v>
      </c>
      <c r="H5" s="17">
        <f t="shared" si="1"/>
        <v>1241098.5471293824</v>
      </c>
      <c r="I5" s="17">
        <f t="shared" si="2"/>
        <v>23576236.452870619</v>
      </c>
    </row>
    <row r="6" spans="1:9" ht="15.75" customHeight="1" x14ac:dyDescent="0.25">
      <c r="A6" s="5">
        <f t="shared" si="3"/>
        <v>2028</v>
      </c>
      <c r="B6" s="49">
        <v>1064974</v>
      </c>
      <c r="C6" s="50">
        <v>3350313</v>
      </c>
      <c r="D6" s="50">
        <v>5878416.9999999991</v>
      </c>
      <c r="E6" s="50">
        <v>7250938.5</v>
      </c>
      <c r="F6" s="50">
        <v>8377903</v>
      </c>
      <c r="G6" s="17">
        <f t="shared" si="0"/>
        <v>24857571.5</v>
      </c>
      <c r="H6" s="17">
        <f t="shared" si="1"/>
        <v>1221276.6852764145</v>
      </c>
      <c r="I6" s="17">
        <f t="shared" si="2"/>
        <v>23636294.814723585</v>
      </c>
    </row>
    <row r="7" spans="1:9" ht="15.75" customHeight="1" x14ac:dyDescent="0.25">
      <c r="A7" s="5">
        <f t="shared" si="3"/>
        <v>2029</v>
      </c>
      <c r="B7" s="49">
        <v>1050538</v>
      </c>
      <c r="C7" s="50">
        <v>3430044</v>
      </c>
      <c r="D7" s="50">
        <v>5927809.4999999991</v>
      </c>
      <c r="E7" s="50">
        <v>6960471.5</v>
      </c>
      <c r="F7" s="50">
        <v>8550985.4999999981</v>
      </c>
      <c r="G7" s="17">
        <f t="shared" si="0"/>
        <v>24869310.5</v>
      </c>
      <c r="H7" s="17">
        <f t="shared" si="1"/>
        <v>1204721.9616600161</v>
      </c>
      <c r="I7" s="17">
        <f t="shared" si="2"/>
        <v>23664588.538339984</v>
      </c>
    </row>
    <row r="8" spans="1:9" ht="15.75" customHeight="1" x14ac:dyDescent="0.25">
      <c r="A8" s="5">
        <f t="shared" si="3"/>
        <v>2030</v>
      </c>
      <c r="B8" s="49">
        <v>1037833.0000000001</v>
      </c>
      <c r="C8" s="50">
        <v>3517452</v>
      </c>
      <c r="D8" s="50">
        <v>5993693</v>
      </c>
      <c r="E8" s="50">
        <v>6675670</v>
      </c>
      <c r="F8" s="50">
        <v>8661758.5</v>
      </c>
      <c r="G8" s="17">
        <f t="shared" si="0"/>
        <v>24848573.5</v>
      </c>
      <c r="H8" s="17">
        <f t="shared" si="1"/>
        <v>1190152.2911455841</v>
      </c>
      <c r="I8" s="17">
        <f t="shared" si="2"/>
        <v>23658421.208854415</v>
      </c>
    </row>
    <row r="9" spans="1:9" ht="15.75" customHeight="1" x14ac:dyDescent="0.25">
      <c r="A9" s="5">
        <f t="shared" si="3"/>
        <v>2031</v>
      </c>
      <c r="B9" s="49">
        <v>1029391.0000000001</v>
      </c>
      <c r="C9" s="50">
        <v>3603948</v>
      </c>
      <c r="D9" s="50">
        <v>6075092.5000000009</v>
      </c>
      <c r="E9" s="50">
        <v>6412426.5</v>
      </c>
      <c r="F9" s="50">
        <v>8696412</v>
      </c>
      <c r="G9" s="17">
        <f t="shared" si="0"/>
        <v>24787879</v>
      </c>
      <c r="H9" s="17">
        <f t="shared" si="1"/>
        <v>1180471.2869359944</v>
      </c>
      <c r="I9" s="17">
        <f t="shared" si="2"/>
        <v>23607407.713064007</v>
      </c>
    </row>
    <row r="10" spans="1:9" ht="15.75" customHeight="1" x14ac:dyDescent="0.25">
      <c r="A10" s="5">
        <f t="shared" si="3"/>
        <v>2032</v>
      </c>
      <c r="B10" s="49">
        <v>1024789</v>
      </c>
      <c r="C10" s="50">
        <v>3668356</v>
      </c>
      <c r="D10" s="50">
        <v>6173891</v>
      </c>
      <c r="E10" s="50">
        <v>6192581.5</v>
      </c>
      <c r="F10" s="50">
        <v>8660701.5</v>
      </c>
      <c r="G10" s="17">
        <f t="shared" si="0"/>
        <v>24695530</v>
      </c>
      <c r="H10" s="17">
        <f t="shared" si="1"/>
        <v>1175193.8667307668</v>
      </c>
      <c r="I10" s="17">
        <f t="shared" si="2"/>
        <v>23520336.133269232</v>
      </c>
    </row>
    <row r="11" spans="1:9" ht="15.75" customHeight="1" x14ac:dyDescent="0.25">
      <c r="A11" s="5">
        <f t="shared" si="3"/>
        <v>2033</v>
      </c>
      <c r="B11" s="49">
        <v>1024685.9999999999</v>
      </c>
      <c r="C11" s="50">
        <v>3678753</v>
      </c>
      <c r="D11" s="50">
        <v>6293610.5000000009</v>
      </c>
      <c r="E11" s="50">
        <v>6024056.0000000009</v>
      </c>
      <c r="F11" s="50">
        <v>8549800.5</v>
      </c>
      <c r="G11" s="17">
        <f t="shared" si="0"/>
        <v>24546220</v>
      </c>
      <c r="H11" s="17">
        <f t="shared" si="1"/>
        <v>1175075.7497639828</v>
      </c>
      <c r="I11" s="17">
        <f t="shared" si="2"/>
        <v>23371144.250236016</v>
      </c>
    </row>
    <row r="12" spans="1:9" ht="15.75" customHeight="1" x14ac:dyDescent="0.25">
      <c r="A12" s="5">
        <f t="shared" si="3"/>
        <v>2034</v>
      </c>
      <c r="B12" s="49">
        <v>1027925.9999999999</v>
      </c>
      <c r="C12" s="50">
        <v>3610970</v>
      </c>
      <c r="D12" s="50">
        <v>6432133.5</v>
      </c>
      <c r="E12" s="50">
        <v>5899367</v>
      </c>
      <c r="F12" s="50">
        <v>8350636</v>
      </c>
      <c r="G12" s="17">
        <f t="shared" si="0"/>
        <v>24293106.5</v>
      </c>
      <c r="H12" s="17">
        <f t="shared" si="1"/>
        <v>1178791.2737676634</v>
      </c>
      <c r="I12" s="17">
        <f t="shared" si="2"/>
        <v>23114315.226232335</v>
      </c>
    </row>
    <row r="13" spans="1:9" ht="15.75" customHeight="1" x14ac:dyDescent="0.25">
      <c r="A13" s="5">
        <f t="shared" si="3"/>
        <v>2035</v>
      </c>
      <c r="B13" s="49">
        <v>1031654</v>
      </c>
      <c r="C13" s="50">
        <v>3476854</v>
      </c>
      <c r="D13" s="50">
        <v>6577999</v>
      </c>
      <c r="E13" s="50">
        <v>5825202</v>
      </c>
      <c r="F13" s="50">
        <v>8085290.4999999991</v>
      </c>
      <c r="G13" s="17">
        <f t="shared" si="0"/>
        <v>23965345.5</v>
      </c>
      <c r="H13" s="17">
        <f t="shared" si="1"/>
        <v>1183066.4199052316</v>
      </c>
      <c r="I13" s="17">
        <f t="shared" si="2"/>
        <v>22782279.08009477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/U7nW0S1vol0XxWX/E1LNivBJhG/fJeLp64YmMQRCnoEkCNNX+SnH4+Q/zJ8truFGZErY5KY23gkGKCvC1UMw==" saltValue="X78T3y+3EKiVrb4KQ/xYC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1.738200173820019E-3</v>
      </c>
    </row>
    <row r="4" spans="1:8" ht="15.75" customHeight="1" x14ac:dyDescent="0.25">
      <c r="B4" s="19" t="s">
        <v>116</v>
      </c>
      <c r="C4" s="99">
        <v>5.6959305695930607E-2</v>
      </c>
    </row>
    <row r="5" spans="1:8" ht="15.75" customHeight="1" x14ac:dyDescent="0.25">
      <c r="B5" s="19" t="s">
        <v>114</v>
      </c>
      <c r="C5" s="99">
        <v>3.7975303797530502E-2</v>
      </c>
    </row>
    <row r="6" spans="1:8" ht="15.75" customHeight="1" x14ac:dyDescent="0.25">
      <c r="B6" s="19" t="s">
        <v>110</v>
      </c>
      <c r="C6" s="99">
        <v>0.1868385186838521</v>
      </c>
    </row>
    <row r="7" spans="1:8" ht="15.75" customHeight="1" x14ac:dyDescent="0.25">
      <c r="B7" s="19" t="s">
        <v>115</v>
      </c>
      <c r="C7" s="99">
        <v>0.44315674431567392</v>
      </c>
    </row>
    <row r="8" spans="1:8" ht="15.75" customHeight="1" x14ac:dyDescent="0.25">
      <c r="B8" s="19" t="s">
        <v>117</v>
      </c>
      <c r="C8" s="99">
        <v>4.4720004472000513E-4</v>
      </c>
    </row>
    <row r="9" spans="1:8" ht="15.75" customHeight="1" x14ac:dyDescent="0.25">
      <c r="B9" s="19" t="s">
        <v>111</v>
      </c>
      <c r="C9" s="99">
        <v>0.17596981759698199</v>
      </c>
    </row>
    <row r="10" spans="1:8" ht="15.75" customHeight="1" x14ac:dyDescent="0.25">
      <c r="B10" s="19" t="s">
        <v>113</v>
      </c>
      <c r="C10" s="99">
        <v>9.691490969149115E-2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121</v>
      </c>
      <c r="C15" s="99">
        <v>0.1041664226509775</v>
      </c>
      <c r="D15" s="99">
        <v>0.1041664226509775</v>
      </c>
      <c r="E15" s="99">
        <v>0.1041664226509775</v>
      </c>
      <c r="F15" s="99">
        <v>0.1041664226509775</v>
      </c>
    </row>
    <row r="16" spans="1:8" ht="15.75" customHeight="1" x14ac:dyDescent="0.25">
      <c r="B16" s="19" t="s">
        <v>2</v>
      </c>
      <c r="C16" s="99">
        <v>1.051281860064689E-2</v>
      </c>
      <c r="D16" s="99">
        <v>1.051281860064689E-2</v>
      </c>
      <c r="E16" s="99">
        <v>1.051281860064689E-2</v>
      </c>
      <c r="F16" s="99">
        <v>1.051281860064689E-2</v>
      </c>
    </row>
    <row r="17" spans="1:8" ht="15.75" customHeight="1" x14ac:dyDescent="0.25">
      <c r="B17" s="19" t="s">
        <v>109</v>
      </c>
      <c r="C17" s="99">
        <v>2.740749590882348E-3</v>
      </c>
      <c r="D17" s="99">
        <v>2.740749590882348E-3</v>
      </c>
      <c r="E17" s="99">
        <v>2.740749590882348E-3</v>
      </c>
      <c r="F17" s="99">
        <v>2.740749590882348E-3</v>
      </c>
    </row>
    <row r="18" spans="1:8" ht="15.75" customHeight="1" x14ac:dyDescent="0.25">
      <c r="B18" s="19" t="s">
        <v>3</v>
      </c>
      <c r="C18" s="99">
        <v>8.5856697536406783E-3</v>
      </c>
      <c r="D18" s="99">
        <v>8.5856697536406783E-3</v>
      </c>
      <c r="E18" s="99">
        <v>8.5856697536406783E-3</v>
      </c>
      <c r="F18" s="99">
        <v>8.5856697536406783E-3</v>
      </c>
    </row>
    <row r="19" spans="1:8" ht="15.75" customHeight="1" x14ac:dyDescent="0.25">
      <c r="B19" s="19" t="s">
        <v>120</v>
      </c>
      <c r="C19" s="99">
        <v>3.85459091454761E-2</v>
      </c>
      <c r="D19" s="99">
        <v>3.85459091454761E-2</v>
      </c>
      <c r="E19" s="99">
        <v>3.85459091454761E-2</v>
      </c>
      <c r="F19" s="99">
        <v>3.85459091454761E-2</v>
      </c>
    </row>
    <row r="20" spans="1:8" ht="15.75" customHeight="1" x14ac:dyDescent="0.25">
      <c r="B20" s="19" t="s">
        <v>98</v>
      </c>
      <c r="C20" s="99">
        <v>3.5060893629497103E-2</v>
      </c>
      <c r="D20" s="99">
        <v>3.5060893629497103E-2</v>
      </c>
      <c r="E20" s="99">
        <v>3.5060893629497103E-2</v>
      </c>
      <c r="F20" s="99">
        <v>3.5060893629497103E-2</v>
      </c>
    </row>
    <row r="21" spans="1:8" ht="15.75" customHeight="1" x14ac:dyDescent="0.25">
      <c r="B21" s="19" t="s">
        <v>107</v>
      </c>
      <c r="C21" s="99">
        <v>0.36168149328917881</v>
      </c>
      <c r="D21" s="99">
        <v>0.36168149328917881</v>
      </c>
      <c r="E21" s="99">
        <v>0.36168149328917881</v>
      </c>
      <c r="F21" s="99">
        <v>0.36168149328917881</v>
      </c>
    </row>
    <row r="22" spans="1:8" ht="15.75" customHeight="1" x14ac:dyDescent="0.25">
      <c r="B22" s="19" t="s">
        <v>118</v>
      </c>
      <c r="C22" s="99">
        <v>0.3123160913597593</v>
      </c>
      <c r="D22" s="99">
        <v>0.3123160913597593</v>
      </c>
      <c r="E22" s="99">
        <v>0.3123160913597593</v>
      </c>
      <c r="F22" s="99">
        <v>0.3123160913597593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4.7996967000000001E-2</v>
      </c>
    </row>
    <row r="27" spans="1:8" ht="15.75" customHeight="1" x14ac:dyDescent="0.25">
      <c r="B27" s="19" t="s">
        <v>108</v>
      </c>
      <c r="C27" s="99">
        <v>1.9231089E-2</v>
      </c>
    </row>
    <row r="28" spans="1:8" ht="15.75" customHeight="1" x14ac:dyDescent="0.25">
      <c r="B28" s="19" t="s">
        <v>122</v>
      </c>
      <c r="C28" s="99">
        <v>0.23147800700000001</v>
      </c>
    </row>
    <row r="29" spans="1:8" ht="15.75" customHeight="1" x14ac:dyDescent="0.25">
      <c r="B29" s="19" t="s">
        <v>105</v>
      </c>
      <c r="C29" s="99">
        <v>0.13894083700000001</v>
      </c>
    </row>
    <row r="30" spans="1:8" ht="15.75" customHeight="1" x14ac:dyDescent="0.25">
      <c r="B30" s="19" t="s">
        <v>4</v>
      </c>
      <c r="C30" s="99">
        <v>5.0303380000000002E-2</v>
      </c>
    </row>
    <row r="31" spans="1:8" ht="15.75" customHeight="1" x14ac:dyDescent="0.25">
      <c r="B31" s="19" t="s">
        <v>99</v>
      </c>
      <c r="C31" s="99">
        <v>7.028529E-2</v>
      </c>
    </row>
    <row r="32" spans="1:8" ht="15.75" customHeight="1" x14ac:dyDescent="0.25">
      <c r="B32" s="19" t="s">
        <v>104</v>
      </c>
      <c r="C32" s="99">
        <v>0.146633282</v>
      </c>
    </row>
    <row r="33" spans="2:3" ht="15.75" customHeight="1" x14ac:dyDescent="0.25">
      <c r="B33" s="19" t="s">
        <v>119</v>
      </c>
      <c r="C33" s="99">
        <v>0.12525921100000001</v>
      </c>
    </row>
    <row r="34" spans="2:3" ht="15.75" customHeight="1" x14ac:dyDescent="0.25">
      <c r="B34" s="19" t="s">
        <v>106</v>
      </c>
      <c r="C34" s="99">
        <v>0.169871936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9zffUlH8HY/YPyRSEFH+bhrn9YDklD8y/Q/drHw9ULIyRUP26aDWZ01AtijuYK8glro4jF362AxSe/E8HFpC6Q==" saltValue="THG4poPjqtO7BGvhvdUDK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0.29280085350000001</v>
      </c>
      <c r="D14" s="54">
        <v>0.28374893770699999</v>
      </c>
      <c r="E14" s="54">
        <v>0.28374893770699999</v>
      </c>
      <c r="F14" s="54">
        <v>0.220751489922</v>
      </c>
      <c r="G14" s="54">
        <v>0.220751489922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0.17053863631168648</v>
      </c>
      <c r="D15" s="52">
        <f t="shared" si="0"/>
        <v>0.16526644752912734</v>
      </c>
      <c r="E15" s="52">
        <f t="shared" si="0"/>
        <v>0.16526644752912734</v>
      </c>
      <c r="F15" s="52">
        <f t="shared" si="0"/>
        <v>0.12857427703867974</v>
      </c>
      <c r="G15" s="52">
        <f t="shared" si="0"/>
        <v>0.12857427703867974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RWGFdf0W6EjmOYHTXPpK0ZvOF5qpexQE5K/hb8lckHLQegb4lIocz7v1iwuhtu4QNt/ZUimV27DmiAn+68rAA==" saltValue="zd/xqvdc1gAhFcQQxdOY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7.7308500000000002E-2</v>
      </c>
      <c r="D5" s="52">
        <f t="shared" si="0"/>
        <v>0.12700540000000005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FF+Coh8LyKrvjIBr5o7gFML+zgQ4C4TTDMZzuHRwv3SMrYiImb5cK7CiNGVA+ux+Ln6AwLpXjP+8RrFoCLCBqQ==" saltValue="F16dcOmHVuRd8ZSdxVjiQ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euu3t+3JTsrI8itz8Dc8FL+12BUu2JD2PO3F+EFfHNVkr2tAzuDo0854QQ/+PMFyz98i2muufGnSAEu2AMcMw==" saltValue="eQbVbISD9sDLuvTRagnZt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4669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0.38788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0.15129999999999999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1.5052873196285859E-2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98668.89387</v>
      </c>
      <c r="C22" s="107">
        <v>98501.690709999995</v>
      </c>
      <c r="D22" s="107">
        <v>98328.364010000005</v>
      </c>
      <c r="E22" s="107">
        <v>97954.932090000002</v>
      </c>
      <c r="F22" s="107">
        <v>97493.932499999995</v>
      </c>
      <c r="G22" s="107">
        <v>97040.636689999999</v>
      </c>
      <c r="H22" s="107">
        <v>96551.853510000001</v>
      </c>
      <c r="I22" s="107">
        <v>95970.760250000007</v>
      </c>
      <c r="J22" s="107">
        <v>95198.041230000003</v>
      </c>
      <c r="K22" s="107">
        <v>94090.887640000001</v>
      </c>
      <c r="L22" s="107">
        <v>92323.800889999999</v>
      </c>
      <c r="M22" s="107">
        <v>89514.430829999998</v>
      </c>
      <c r="N22" s="107">
        <v>85122.851819999996</v>
      </c>
      <c r="O22" s="107">
        <v>78672.053169999999</v>
      </c>
    </row>
  </sheetData>
  <sheetProtection algorithmName="SHA-512" hashValue="SDHS7C6P12ARFx4BQlkbUMnkkEV1CGbtDhUeey4PBGvspf5R+oNaxco9IkF5FAKagB0biocpCxtYv1Ola3w9Ww==" saltValue="JO4AKrYQ0SRxpHTtANnGn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mpK0XWUezmFdF2+AeVLzHSN+3EqKL8R80C6XLbuhlLi/wcy9ZpGW/16cog12JMS2mNl9TGgLJwJwYLVQuAxAqA==" saltValue="PVAetodEJqam9eXPEkKQd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tBPV5B/1kmiz0XY+Pd70HdMn/uSGwXG4QJpI78M7Oz5hUYzh9H0z/R9srFGQ2Q3Lpy8JolJcteWtc7S126zdA==" saltValue="rRGGEDLcBLHTDIPXOWd4H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0.44054339999999997</v>
      </c>
      <c r="C10" s="96">
        <v>0.95</v>
      </c>
      <c r="D10" s="56">
        <v>13.166131301989671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13.166131301989671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13.166131301989671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13.166131301989671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0.44054339999999997</v>
      </c>
      <c r="C14" s="96">
        <v>0.95</v>
      </c>
      <c r="D14" s="56">
        <v>13.166131301989671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13.166131301989671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1.73413E-2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0.17784249999999999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0.4996447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0.4996447</v>
      </c>
      <c r="C19" s="96">
        <v>0.95</v>
      </c>
      <c r="D19" s="56">
        <v>11.99955936520508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2.2612899999999998E-2</v>
      </c>
      <c r="C23" s="96">
        <v>0.95</v>
      </c>
      <c r="D23" s="56">
        <v>4.3755575735972823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0.61685007638513001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0.44054339999999997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0.36092259999999998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0.53925319999999999</v>
      </c>
      <c r="C29" s="96">
        <v>0.95</v>
      </c>
      <c r="D29" s="56">
        <v>129.29915294669931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0.7898522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0.45606069999999999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1.5928999999999999E-2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0.22960410000000001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z5CSamuNTUXKXlDnWvfZWPWIid/j/cqmfW6sQTsUEYLdFa643fONOkULUhLlpUHIyL+yDHTnqtQ6IFCSHZiTtg==" saltValue="jJNhdzWDQIf2As/eAMDm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4OgQGIp+RPzrguH4lvyect15/NjEC9tmS9HlgPR1jlVZ8ScrNIPflwGLWIVtOyNDyzqO8mqUNIxbabCQ6n8RVg==" saltValue="sVAj+2DnjEHyOmf7+RaT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ipOUgiHgtb0cm6Yg43a1SsdNDGSrF9MOttSyAdRJ0GRhu9R4k+DJn8OP4OTKJc9okLvdwRoR/ZNzI5aqADgqA==" saltValue="w+ccJBQOCpkuopvp7fBT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pOBxkLmFoZCnvi2i5qoDmqPxnLr/2cnzVh3mSU4bEG+UZ/sP7hjsDABG+utI7a47dfbqAJO2J4tG3hpOaK5EdQ==" saltValue="FwzY8scXq3j4N2/hd18HA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4.5999999999999999E-2</v>
      </c>
      <c r="F2" s="60">
        <f>food_insecure</f>
        <v>4.5999999999999999E-2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4.5999999999999999E-2</v>
      </c>
      <c r="I15" s="60">
        <f t="shared" si="0"/>
        <v>4.5999999999999999E-2</v>
      </c>
      <c r="J15" s="60">
        <f t="shared" si="0"/>
        <v>4.5999999999999999E-2</v>
      </c>
      <c r="K15" s="60">
        <f t="shared" si="0"/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4.5999999999999999E-2</v>
      </c>
      <c r="I16" s="60">
        <f t="shared" si="0"/>
        <v>4.5999999999999999E-2</v>
      </c>
      <c r="J16" s="60">
        <f t="shared" si="0"/>
        <v>4.5999999999999999E-2</v>
      </c>
      <c r="K16" s="60">
        <f t="shared" si="0"/>
        <v>4.5999999999999999E-2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0.314</v>
      </c>
      <c r="M24" s="60">
        <f>famplan_unmet_need</f>
        <v>0.314</v>
      </c>
      <c r="N24" s="60">
        <f>famplan_unmet_need</f>
        <v>0.314</v>
      </c>
      <c r="O24" s="60">
        <f>famplan_unmet_need</f>
        <v>0.314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7.3258103472900529E-2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3.1396330059814508E-2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4.1961472229003975E-2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0.85338409423828099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0.10879999999999999</v>
      </c>
      <c r="D34" s="60">
        <f t="shared" si="4"/>
        <v>0.10879999999999999</v>
      </c>
      <c r="E34" s="60">
        <f t="shared" si="4"/>
        <v>0.10879999999999999</v>
      </c>
      <c r="F34" s="60">
        <f t="shared" si="4"/>
        <v>0.10879999999999999</v>
      </c>
      <c r="G34" s="60">
        <f t="shared" si="4"/>
        <v>0.10879999999999999</v>
      </c>
      <c r="H34" s="60">
        <f t="shared" si="4"/>
        <v>0.10879999999999999</v>
      </c>
      <c r="I34" s="60">
        <f t="shared" si="4"/>
        <v>0.10879999999999999</v>
      </c>
      <c r="J34" s="60">
        <f t="shared" si="4"/>
        <v>0.10879999999999999</v>
      </c>
      <c r="K34" s="60">
        <f t="shared" si="4"/>
        <v>0.10879999999999999</v>
      </c>
      <c r="L34" s="60">
        <f t="shared" si="4"/>
        <v>0.10879999999999999</v>
      </c>
      <c r="M34" s="60">
        <f t="shared" si="4"/>
        <v>0.10879999999999999</v>
      </c>
      <c r="N34" s="60">
        <f t="shared" si="4"/>
        <v>0.10879999999999999</v>
      </c>
      <c r="O34" s="60">
        <f t="shared" si="4"/>
        <v>0.10879999999999999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fHa8QV0ov/G8WsuPNYzx8aH50vZl6c9gMZcf2JRcW/SDTDoidGgdlouohEiz0Pm6nHqO9YVQYOUSGa25z3bLw==" saltValue="FJWD+P6uwLPJ36p8PIiIi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+RVXmkl7myeI36r77OdnLFr1V9lS6g+X8uKv4d/tryqJU8HUG4K1BtUB8DuZffOivQyFD7PdEFZMAkGorw09+g==" saltValue="Wa4JHjqFqVFHCTlugSC0W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THd2ELwQdu+52aRIT97r9QwslmKLcGftJiB39AY429GwkdwuiwNZd7EuYtUKrVRjUwjsll7lr3r7+oQQi0bzA==" saltValue="hyyV0uhTxkOushcxP99/v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9dK/Gzc75dIeNeMqHOwCqTTnnPfKoLqhMzWzqG1k+jzLxJni8R9OXl1FU0UbRcvecN9yJcvE4NPDY+iFnvKkA==" saltValue="jkI70d+QFVgr5Lk4xePT+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S3bnYGbzJnagHnPSr7Iygn3od9NxBIxpuJkeesG82wIiKw0VloEmBXSpd9mTKz4uJ3+lwzGTRp7mhYGaZU2uYg==" saltValue="80eNx9LfdSzZiTI/JHaJT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jnNrcq9bfFES8EIApvk3VvD9eWP3aZm1wlJ9slphFfeITnxZLkInITLB9xW10LyTBiNbQ1q767nJ9II3rfU8KQ==" saltValue="qBHsqF3MwbgE6BtPv0E4T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7+9W3c4MzWbZ6DTni88B8d6oc0LnSorLQbgvl+tCmGpdgOEUb/AOlx9Jh9OAgQB2DVsxYvSHwFTD4oBcSyaM3Q==" saltValue="dAKYV6PCHqTALRGvniEV5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aMST9ASj4qLUAImGCWSSUO+i1B+Ur5BJOwyskyzVf5vzAou/M6/QSDNE+Ap8uCaU+KcH6mNAjCx/Fgo9k3qLLQ==" saltValue="bVHOc+PcMkzyM30abml4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uTnNaCl+k0Zo1y76bIJF73eKHAwxyEt2O9s1zw5QPGe5OSdpkjs8m8YYIb/Rp4vMEnfcn31wdF61pdrnfAJnQ==" saltValue="Bs7iKcSNhNp3DoPI2naE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DF+aGByuJzJhm89A14Umtx40jndQqyqWwTjipkwF7S/GdeC9XBw6qhljmqbq+SrxT8oGiKl4vrDT4Py3g7zHQ==" saltValue="TDNO2ngaoIQQkE/1B8EC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bqW95ga3lcqYFTqHWQ3aZDVC9zhwQ/1XCnelrslTYgO2a33AoImmJm7PzvDiGm5YpTv5Bd+owu/MbgywIzbnw==" saltValue="bVAjv4XmwwPaJzF/Q3UW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2u1Yb2FxRLaju1LyKLgJM4gboua5JfibkjSFRYrwBj/GlNB9Y2A30LBoT6HOm8CF3MGw2GdQrAOwLZTJdcbpkA==" saltValue="0Jgg1ccApOxcpCh0Eq6P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e2OJA9IuEQYBSSo3JF4tFL6DjRWFi9AuY6GSbOXj/mGCqogSvZtyTl8zI15WT6hhcCjZBtX1qGMWUdAqZDA/Q==" saltValue="YhYGVaVRROhHPWiCuZty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IUDy72y46Hj1GURefiX7145c5KEeR56zgMZNEAeMybhFaQGjaLWBzmcYc/rIVSlRo3uXlntp05ry7lhc9+BTw==" saltValue="5GxdQQws1wJn1ktQloWq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1uEQLqd6mVHGDn2IkVGrWOSfs5HTR/PMUGqtcF7VIjzrFFQMzpnKbcx5fpy1j8Blfy9lyYgTjLw34fXy/U9Ong==" saltValue="Vo51wZQX4Uuqr8nywWd1a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2025-07-30T00:09:16Z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