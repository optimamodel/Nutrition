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1591556B-17CB-4FE9-8C39-3BB267DC807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5" i="2" l="1"/>
  <c r="I39" i="2"/>
  <c r="A19" i="2"/>
  <c r="A34" i="2"/>
  <c r="I6" i="2"/>
  <c r="I12" i="2"/>
  <c r="A35" i="2"/>
  <c r="A36" i="2"/>
  <c r="I7" i="2"/>
  <c r="I13" i="2"/>
  <c r="A37" i="2"/>
  <c r="A22" i="2"/>
  <c r="I3" i="2"/>
  <c r="I9" i="2"/>
  <c r="A23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<sst xmlns="http://schemas.openxmlformats.org/spreadsheetml/2006/main" count="2169" uniqueCount="373">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</sst>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35834</v>
      </c>
    </row>
    <row r="8" spans="1:3" ht="15" customHeight="1" x14ac:dyDescent="0.25">
      <c r="B8" s="5" t="s">
        <v>63</v>
      </c>
      <c r="C8" s="44">
        <v>0.377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0.75754359999999998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</v>
      </c>
    </row>
    <row r="24" spans="1:3" ht="15" customHeight="1" x14ac:dyDescent="0.25">
      <c r="B24" s="15" t="s">
        <v>65</v>
      </c>
      <c r="C24" s="45">
        <v>0.51100000000000001</v>
      </c>
    </row>
    <row r="25" spans="1:3" ht="15" customHeight="1" x14ac:dyDescent="0.25">
      <c r="B25" s="15" t="s">
        <v>66</v>
      </c>
      <c r="C25" s="45">
        <v>0.26350000000000001</v>
      </c>
    </row>
    <row r="26" spans="1:3" ht="15" customHeight="1" x14ac:dyDescent="0.25">
      <c r="B26" s="15" t="s">
        <v>67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0.27342300031322098</v>
      </c>
    </row>
    <row r="30" spans="1:3" ht="14.25" customHeight="1" x14ac:dyDescent="0.25">
      <c r="B30" s="25" t="s">
        <v>82</v>
      </c>
      <c r="C30" s="97">
        <v>5.2040607424200101E-2</v>
      </c>
    </row>
    <row r="31" spans="1:3" ht="14.25" customHeight="1" x14ac:dyDescent="0.25">
      <c r="B31" s="25" t="s">
        <v>29</v>
      </c>
      <c r="C31" s="97">
        <v>6.8435949585570102E-2</v>
      </c>
    </row>
    <row r="32" spans="1:3" ht="14.25" customHeight="1" x14ac:dyDescent="0.25">
      <c r="B32" s="25" t="s">
        <v>30</v>
      </c>
      <c r="C32" s="97">
        <v>0.60610044267700902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8.3748699999999996</v>
      </c>
    </row>
    <row r="38" spans="1:5" ht="15" customHeight="1" x14ac:dyDescent="0.25">
      <c r="B38" s="11" t="s">
        <v>54</v>
      </c>
      <c r="C38" s="43">
        <v>11.663259999999999</v>
      </c>
      <c r="D38" s="12"/>
      <c r="E38" s="13"/>
    </row>
    <row r="39" spans="1:5" ht="15" customHeight="1" x14ac:dyDescent="0.25">
      <c r="B39" s="11" t="s">
        <v>80</v>
      </c>
      <c r="C39" s="43">
        <v>13.54884</v>
      </c>
      <c r="D39" s="12"/>
      <c r="E39" s="12"/>
    </row>
    <row r="40" spans="1:5" ht="15" customHeight="1" x14ac:dyDescent="0.25">
      <c r="B40" s="11" t="s">
        <v>55</v>
      </c>
      <c r="C40" s="98">
        <v>0.42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7.9498999999999993E-3</v>
      </c>
      <c r="D45" s="12"/>
    </row>
    <row r="46" spans="1:5" ht="15.75" customHeight="1" x14ac:dyDescent="0.25">
      <c r="B46" s="11" t="s">
        <v>70</v>
      </c>
      <c r="C46" s="45">
        <v>8.5420099999999999E-2</v>
      </c>
      <c r="D46" s="12"/>
    </row>
    <row r="47" spans="1:5" ht="15.75" customHeight="1" x14ac:dyDescent="0.25">
      <c r="B47" s="11" t="s">
        <v>78</v>
      </c>
      <c r="C47" s="45">
        <v>7.3440500000000006E-2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0.478043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VQXe3Q/P65IXLH+p5mT/HKSFnfUfyHouPLly6kasMUONqlgxy2lzk7kBXMXcVkoV5nUXAIO1zszMfUuQnh6SQ==" saltValue="gLsNqk+JcIAXxaiw4Hvs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6415</v>
      </c>
      <c r="C2" s="49">
        <v>23066.5</v>
      </c>
      <c r="D2" s="49">
        <v>40418</v>
      </c>
      <c r="E2" s="49">
        <v>44170.500000000007</v>
      </c>
      <c r="F2" s="49">
        <v>30383</v>
      </c>
      <c r="G2" s="17">
        <f t="shared" ref="G2:G13" si="0">C2+D2+E2+F2</f>
        <v>138038</v>
      </c>
      <c r="H2" s="17">
        <f t="shared" ref="H2:H13" si="1">(B2 + stillbirth*B2/(1000-stillbirth))/(1-abortion)</f>
        <v>7356.8293439230647</v>
      </c>
      <c r="I2" s="17">
        <f t="shared" ref="I2:I13" si="2">G2-H2</f>
        <v>130681.17065607694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6364</v>
      </c>
      <c r="C3" s="50">
        <v>23285</v>
      </c>
      <c r="D3" s="50">
        <v>40169.5</v>
      </c>
      <c r="E3" s="50">
        <v>44591</v>
      </c>
      <c r="F3" s="50">
        <v>31799</v>
      </c>
      <c r="G3" s="17">
        <f t="shared" si="0"/>
        <v>139844.5</v>
      </c>
      <c r="H3" s="17">
        <f t="shared" si="1"/>
        <v>7298.3416905263257</v>
      </c>
      <c r="I3" s="17">
        <f t="shared" si="2"/>
        <v>132546.15830947369</v>
      </c>
    </row>
    <row r="4" spans="1:9" ht="15.75" customHeight="1" x14ac:dyDescent="0.25">
      <c r="A4" s="5">
        <f t="shared" si="3"/>
        <v>2026</v>
      </c>
      <c r="B4" s="49">
        <v>6330</v>
      </c>
      <c r="C4" s="50">
        <v>23461.5</v>
      </c>
      <c r="D4" s="50">
        <v>40158.5</v>
      </c>
      <c r="E4" s="50">
        <v>44677</v>
      </c>
      <c r="F4" s="50">
        <v>33196.5</v>
      </c>
      <c r="G4" s="17">
        <f t="shared" si="0"/>
        <v>141493.5</v>
      </c>
      <c r="H4" s="17">
        <f t="shared" si="1"/>
        <v>7259.3499215951679</v>
      </c>
      <c r="I4" s="17">
        <f t="shared" si="2"/>
        <v>134234.15007840484</v>
      </c>
    </row>
    <row r="5" spans="1:9" ht="15.75" customHeight="1" x14ac:dyDescent="0.25">
      <c r="A5" s="5">
        <f t="shared" si="3"/>
        <v>2027</v>
      </c>
      <c r="B5" s="49">
        <v>6300</v>
      </c>
      <c r="C5" s="50">
        <v>23607.5</v>
      </c>
      <c r="D5" s="50">
        <v>40435.500000000007</v>
      </c>
      <c r="E5" s="50">
        <v>44325.500000000007</v>
      </c>
      <c r="F5" s="50">
        <v>34678.5</v>
      </c>
      <c r="G5" s="17">
        <f t="shared" si="0"/>
        <v>143047</v>
      </c>
      <c r="H5" s="17">
        <f t="shared" si="1"/>
        <v>7224.9454195970866</v>
      </c>
      <c r="I5" s="17">
        <f t="shared" si="2"/>
        <v>135822.05458040291</v>
      </c>
    </row>
    <row r="6" spans="1:9" ht="15.75" customHeight="1" x14ac:dyDescent="0.25">
      <c r="A6" s="5">
        <f t="shared" si="3"/>
        <v>2028</v>
      </c>
      <c r="B6" s="49">
        <v>6272</v>
      </c>
      <c r="C6" s="50">
        <v>23704</v>
      </c>
      <c r="D6" s="50">
        <v>40949.5</v>
      </c>
      <c r="E6" s="50">
        <v>43617.5</v>
      </c>
      <c r="F6" s="50">
        <v>36293.5</v>
      </c>
      <c r="G6" s="17">
        <f t="shared" si="0"/>
        <v>144564.5</v>
      </c>
      <c r="H6" s="17">
        <f t="shared" si="1"/>
        <v>7192.8345510655436</v>
      </c>
      <c r="I6" s="17">
        <f t="shared" si="2"/>
        <v>137371.66544893445</v>
      </c>
    </row>
    <row r="7" spans="1:9" ht="15.75" customHeight="1" x14ac:dyDescent="0.25">
      <c r="A7" s="5">
        <f t="shared" si="3"/>
        <v>2029</v>
      </c>
      <c r="B7" s="49">
        <v>6252</v>
      </c>
      <c r="C7" s="50">
        <v>23734</v>
      </c>
      <c r="D7" s="50">
        <v>41635.499999999993</v>
      </c>
      <c r="E7" s="50">
        <v>42728.5</v>
      </c>
      <c r="F7" s="50">
        <v>37878.5</v>
      </c>
      <c r="G7" s="17">
        <f t="shared" si="0"/>
        <v>145976.5</v>
      </c>
      <c r="H7" s="17">
        <f t="shared" si="1"/>
        <v>7169.8982164001563</v>
      </c>
      <c r="I7" s="17">
        <f t="shared" si="2"/>
        <v>138806.60178359985</v>
      </c>
    </row>
    <row r="8" spans="1:9" ht="15.75" customHeight="1" x14ac:dyDescent="0.25">
      <c r="A8" s="5">
        <f t="shared" si="3"/>
        <v>2030</v>
      </c>
      <c r="B8" s="49">
        <v>6236</v>
      </c>
      <c r="C8" s="50">
        <v>23718.5</v>
      </c>
      <c r="D8" s="50">
        <v>42493.5</v>
      </c>
      <c r="E8" s="50">
        <v>41744</v>
      </c>
      <c r="F8" s="50">
        <v>39272.5</v>
      </c>
      <c r="G8" s="17">
        <f t="shared" si="0"/>
        <v>147228.5</v>
      </c>
      <c r="H8" s="17">
        <f t="shared" si="1"/>
        <v>7151.5491486678457</v>
      </c>
      <c r="I8" s="17">
        <f t="shared" si="2"/>
        <v>140076.95085133216</v>
      </c>
    </row>
    <row r="9" spans="1:9" ht="15.75" customHeight="1" x14ac:dyDescent="0.25">
      <c r="A9" s="5">
        <f t="shared" si="3"/>
        <v>2031</v>
      </c>
      <c r="B9" s="49">
        <v>6227</v>
      </c>
      <c r="C9" s="50">
        <v>23689</v>
      </c>
      <c r="D9" s="50">
        <v>43439.499999999993</v>
      </c>
      <c r="E9" s="50">
        <v>40680.499999999993</v>
      </c>
      <c r="F9" s="50">
        <v>40488</v>
      </c>
      <c r="G9" s="17">
        <f t="shared" si="0"/>
        <v>148297</v>
      </c>
      <c r="H9" s="17">
        <f t="shared" si="1"/>
        <v>7141.2277980684221</v>
      </c>
      <c r="I9" s="17">
        <f t="shared" si="2"/>
        <v>141155.77220193157</v>
      </c>
    </row>
    <row r="10" spans="1:9" ht="15.75" customHeight="1" x14ac:dyDescent="0.25">
      <c r="A10" s="5">
        <f t="shared" si="3"/>
        <v>2032</v>
      </c>
      <c r="B10" s="49">
        <v>6230</v>
      </c>
      <c r="C10" s="50">
        <v>23654</v>
      </c>
      <c r="D10" s="50">
        <v>44277.5</v>
      </c>
      <c r="E10" s="50">
        <v>39724.999999999993</v>
      </c>
      <c r="F10" s="50">
        <v>41540</v>
      </c>
      <c r="G10" s="17">
        <f t="shared" si="0"/>
        <v>149196.5</v>
      </c>
      <c r="H10" s="17">
        <f t="shared" si="1"/>
        <v>7144.668248268229</v>
      </c>
      <c r="I10" s="17">
        <f t="shared" si="2"/>
        <v>142051.83175173178</v>
      </c>
    </row>
    <row r="11" spans="1:9" ht="15.75" customHeight="1" x14ac:dyDescent="0.25">
      <c r="A11" s="5">
        <f t="shared" si="3"/>
        <v>2033</v>
      </c>
      <c r="B11" s="49">
        <v>6231</v>
      </c>
      <c r="C11" s="50">
        <v>23583.5</v>
      </c>
      <c r="D11" s="50">
        <v>44855.000000000007</v>
      </c>
      <c r="E11" s="50">
        <v>39065</v>
      </c>
      <c r="F11" s="50">
        <v>42373.5</v>
      </c>
      <c r="G11" s="17">
        <f t="shared" si="0"/>
        <v>149877</v>
      </c>
      <c r="H11" s="17">
        <f t="shared" si="1"/>
        <v>7145.8150650014986</v>
      </c>
      <c r="I11" s="17">
        <f t="shared" si="2"/>
        <v>142731.18493499851</v>
      </c>
    </row>
    <row r="12" spans="1:9" ht="15.75" customHeight="1" x14ac:dyDescent="0.25">
      <c r="A12" s="5">
        <f t="shared" si="3"/>
        <v>2034</v>
      </c>
      <c r="B12" s="49">
        <v>6244</v>
      </c>
      <c r="C12" s="50">
        <v>23407.5</v>
      </c>
      <c r="D12" s="50">
        <v>45194.500000000007</v>
      </c>
      <c r="E12" s="50">
        <v>38656</v>
      </c>
      <c r="F12" s="50">
        <v>43001.5</v>
      </c>
      <c r="G12" s="17">
        <f t="shared" si="0"/>
        <v>150259.5</v>
      </c>
      <c r="H12" s="17">
        <f t="shared" si="1"/>
        <v>7160.7236825340005</v>
      </c>
      <c r="I12" s="17">
        <f t="shared" si="2"/>
        <v>143098.77631746599</v>
      </c>
    </row>
    <row r="13" spans="1:9" ht="15.75" customHeight="1" x14ac:dyDescent="0.25">
      <c r="A13" s="5">
        <f t="shared" si="3"/>
        <v>2035</v>
      </c>
      <c r="B13" s="49">
        <v>6246</v>
      </c>
      <c r="C13" s="50">
        <v>23012</v>
      </c>
      <c r="D13" s="50">
        <v>45419</v>
      </c>
      <c r="E13" s="50">
        <v>38446</v>
      </c>
      <c r="F13" s="50">
        <v>43436.5</v>
      </c>
      <c r="G13" s="17">
        <f t="shared" si="0"/>
        <v>150313.5</v>
      </c>
      <c r="H13" s="17">
        <f t="shared" si="1"/>
        <v>7163.0173160005397</v>
      </c>
      <c r="I13" s="17">
        <f t="shared" si="2"/>
        <v>143150.48268399946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rCkd+/ZbIxZsHH1pD8mIiOIraQoe6HHBDEeIS668MOtWdFBDgrzxeNpZMiGKSAxf623KqbJKIqiBa+FwLy75Q==" saltValue="otU3GzIMopsqEKJ506o/5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2.3714377321137239E-4</v>
      </c>
    </row>
    <row r="4" spans="1:8" ht="15.75" customHeight="1" x14ac:dyDescent="0.25">
      <c r="B4" s="19" t="s">
        <v>116</v>
      </c>
      <c r="C4" s="99">
        <v>6.8990142437228216E-2</v>
      </c>
    </row>
    <row r="5" spans="1:8" ht="15.75" customHeight="1" x14ac:dyDescent="0.25">
      <c r="B5" s="19" t="s">
        <v>114</v>
      </c>
      <c r="C5" s="99">
        <v>2.154879078170566E-2</v>
      </c>
    </row>
    <row r="6" spans="1:8" ht="15.75" customHeight="1" x14ac:dyDescent="0.25">
      <c r="B6" s="19" t="s">
        <v>110</v>
      </c>
      <c r="C6" s="99">
        <v>0.1476192994640973</v>
      </c>
    </row>
    <row r="7" spans="1:8" ht="15.75" customHeight="1" x14ac:dyDescent="0.25">
      <c r="B7" s="19" t="s">
        <v>115</v>
      </c>
      <c r="C7" s="99">
        <v>0.4627929717863894</v>
      </c>
    </row>
    <row r="8" spans="1:8" ht="15.75" customHeight="1" x14ac:dyDescent="0.25">
      <c r="B8" s="19" t="s">
        <v>117</v>
      </c>
      <c r="C8" s="99">
        <v>8.2448451472156015E-3</v>
      </c>
    </row>
    <row r="9" spans="1:8" ht="15.75" customHeight="1" x14ac:dyDescent="0.25">
      <c r="B9" s="19" t="s">
        <v>111</v>
      </c>
      <c r="C9" s="99">
        <v>0.21754911910386021</v>
      </c>
    </row>
    <row r="10" spans="1:8" ht="15.75" customHeight="1" x14ac:dyDescent="0.25">
      <c r="B10" s="19" t="s">
        <v>113</v>
      </c>
      <c r="C10" s="99">
        <v>7.3017687506292284E-2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121</v>
      </c>
      <c r="C15" s="99">
        <v>0.4050345629371549</v>
      </c>
      <c r="D15" s="99">
        <v>0.4050345629371549</v>
      </c>
      <c r="E15" s="99">
        <v>0.4050345629371549</v>
      </c>
      <c r="F15" s="99">
        <v>0.4050345629371549</v>
      </c>
    </row>
    <row r="16" spans="1:8" ht="15.75" customHeight="1" x14ac:dyDescent="0.25">
      <c r="B16" s="19" t="s">
        <v>2</v>
      </c>
      <c r="C16" s="99">
        <v>4.0658347197660587E-2</v>
      </c>
      <c r="D16" s="99">
        <v>4.0658347197660587E-2</v>
      </c>
      <c r="E16" s="99">
        <v>4.0658347197660587E-2</v>
      </c>
      <c r="F16" s="99">
        <v>4.0658347197660587E-2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1.085726120409349E-2</v>
      </c>
      <c r="D19" s="99">
        <v>1.085726120409349E-2</v>
      </c>
      <c r="E19" s="99">
        <v>1.085726120409349E-2</v>
      </c>
      <c r="F19" s="99">
        <v>1.085726120409349E-2</v>
      </c>
    </row>
    <row r="20" spans="1:8" ht="15.75" customHeight="1" x14ac:dyDescent="0.25">
      <c r="B20" s="19" t="s">
        <v>98</v>
      </c>
      <c r="C20" s="99">
        <v>5.2607638499198479E-2</v>
      </c>
      <c r="D20" s="99">
        <v>5.2607638499198479E-2</v>
      </c>
      <c r="E20" s="99">
        <v>5.2607638499198479E-2</v>
      </c>
      <c r="F20" s="99">
        <v>5.2607638499198479E-2</v>
      </c>
    </row>
    <row r="21" spans="1:8" ht="15.75" customHeight="1" x14ac:dyDescent="0.25">
      <c r="B21" s="19" t="s">
        <v>107</v>
      </c>
      <c r="C21" s="99">
        <v>0.2133313545305191</v>
      </c>
      <c r="D21" s="99">
        <v>0.2133313545305191</v>
      </c>
      <c r="E21" s="99">
        <v>0.2133313545305191</v>
      </c>
      <c r="F21" s="99">
        <v>0.2133313545305191</v>
      </c>
    </row>
    <row r="22" spans="1:8" ht="15.75" customHeight="1" x14ac:dyDescent="0.25">
      <c r="B22" s="19" t="s">
        <v>118</v>
      </c>
      <c r="C22" s="99">
        <v>7.8928588245065115E-2</v>
      </c>
      <c r="D22" s="99">
        <v>7.8928588245065115E-2</v>
      </c>
      <c r="E22" s="99">
        <v>7.8928588245065115E-2</v>
      </c>
      <c r="F22" s="99">
        <v>7.8928588245065115E-2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8.8581064000000001E-2</v>
      </c>
    </row>
    <row r="27" spans="1:8" ht="15.75" customHeight="1" x14ac:dyDescent="0.25">
      <c r="B27" s="19" t="s">
        <v>108</v>
      </c>
      <c r="C27" s="99">
        <v>8.3095249999999999E-3</v>
      </c>
    </row>
    <row r="28" spans="1:8" ht="15.75" customHeight="1" x14ac:dyDescent="0.25">
      <c r="B28" s="19" t="s">
        <v>122</v>
      </c>
      <c r="C28" s="99">
        <v>0.157741201</v>
      </c>
    </row>
    <row r="29" spans="1:8" ht="15.75" customHeight="1" x14ac:dyDescent="0.25">
      <c r="B29" s="19" t="s">
        <v>105</v>
      </c>
      <c r="C29" s="99">
        <v>0.16874623</v>
      </c>
    </row>
    <row r="30" spans="1:8" ht="15.75" customHeight="1" x14ac:dyDescent="0.25">
      <c r="B30" s="19" t="s">
        <v>4</v>
      </c>
      <c r="C30" s="99">
        <v>0.10641809300000001</v>
      </c>
    </row>
    <row r="31" spans="1:8" ht="15.75" customHeight="1" x14ac:dyDescent="0.25">
      <c r="B31" s="19" t="s">
        <v>99</v>
      </c>
      <c r="C31" s="99">
        <v>0.109242019</v>
      </c>
    </row>
    <row r="32" spans="1:8" ht="15.75" customHeight="1" x14ac:dyDescent="0.25">
      <c r="B32" s="19" t="s">
        <v>104</v>
      </c>
      <c r="C32" s="99">
        <v>1.8835845E-2</v>
      </c>
    </row>
    <row r="33" spans="2:3" ht="15.75" customHeight="1" x14ac:dyDescent="0.25">
      <c r="B33" s="19" t="s">
        <v>119</v>
      </c>
      <c r="C33" s="99">
        <v>8.4593191999999998E-2</v>
      </c>
    </row>
    <row r="34" spans="2:3" ht="15.75" customHeight="1" x14ac:dyDescent="0.25">
      <c r="B34" s="19" t="s">
        <v>106</v>
      </c>
      <c r="C34" s="99">
        <v>0.25753283100000002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TR40CEKYGYMw0+ftNsff226D4vynkSPHZxArstBd5Y04KNdqPYQv0UPlH6E7sGZ1yc8tUZJVIq/z/W4GB1o5/Q==" saltValue="+yJtFlSKhdqwllDqdPJh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129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125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126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138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rOSejsEUmCW2YEXCKh9CdadMBEeNpVtHM20KSVRMLxrY6zaVWkF6xxxZIfOVK2tus0qoRAXwFNP9D+GK51lTQ==" saltValue="46tmO2D4L0WZos+HRaaO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0.64601180000000002</v>
      </c>
      <c r="D5" s="52">
        <f t="shared" si="0"/>
        <v>0.37872989999999995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MYtWGOoY064ZMgetkfWj4x6CoczEjTY9noQks9tuuxMVZ5+t9YYP6G5YS5+WhRW0ogY20VcND5epuPuesFj4Kg==" saltValue="y/nMYEONl72T4K0xJalr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QKRR5YJx5RFFqHaFDcGJ/zfOLVXLsYBBv30+PaL3JBnJrbTRxrsxz3pRhLWoIOHHMVu+8gRRgTTFlPjdss1HQ==" saltValue="YvLe2cdR/QmbOAyTYbdrF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3754.30479371603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0.48497000000000001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0.55269999999999997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1.6162364333987871E-2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98495.671459999998</v>
      </c>
      <c r="C22" s="107">
        <v>98410.294580000002</v>
      </c>
      <c r="D22" s="107">
        <v>98307.087520000001</v>
      </c>
      <c r="E22" s="107">
        <v>97948.233840000001</v>
      </c>
      <c r="F22" s="107">
        <v>97485.087079999998</v>
      </c>
      <c r="G22" s="107">
        <v>96995.274579999998</v>
      </c>
      <c r="H22" s="107">
        <v>96380.298909999998</v>
      </c>
      <c r="I22" s="107">
        <v>95510.098729999998</v>
      </c>
      <c r="J22" s="107">
        <v>94194.423190000001</v>
      </c>
      <c r="K22" s="107">
        <v>92141.764009999999</v>
      </c>
      <c r="L22" s="107">
        <v>89156.305470000007</v>
      </c>
      <c r="M22" s="107">
        <v>84903.098700000002</v>
      </c>
      <c r="N22" s="107">
        <v>78874.317160000006</v>
      </c>
      <c r="O22" s="107">
        <v>70402.71961</v>
      </c>
    </row>
  </sheetData>
  <sheetProtection algorithmName="SHA-512" hashValue="BvBfhPPgSvTeCsZyXjYJcHp3bG7HITALPeLkuqkzoQ8ZKqnbFm20Oy/ODYr3pSIrLKkrpiA6KvJ6ULVofs+Fgg==" saltValue="YpWm/py1RdUHWGkvacWs1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YRlTs2Pa0NFpeu3/OAtm/CSM0y0m+xIniSXfI7KPVrtZC0GZx+DSbw8Pk1BzBHh8mWAxrdrw+Y/KFgb5UOdnw==" saltValue="U+i7pycbSY0Es+zdR918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K5OrQuBJuIWN+CuaKK1EfpdNOqFgpnF4v3rxsUsSqLVLb5/teMqJkgW7SnDbEVOzxDOc2hLbWpxdB0SK6NGEA==" saltValue="KpIi1KZRAKwMyHboelUB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99.99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99.99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0.10199999999999999</v>
      </c>
      <c r="C10" s="96">
        <v>0.95</v>
      </c>
      <c r="D10" s="56">
        <v>12.84855225372141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12.84855225372141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12.84855225372141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12.84855225372141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0.10199999999999999</v>
      </c>
      <c r="C14" s="96">
        <v>0.95</v>
      </c>
      <c r="D14" s="56">
        <v>12.84855225372141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12.84855225372141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0.33777333333333298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6.3108300000000006E-2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6.3108300000000006E-2</v>
      </c>
      <c r="C19" s="96">
        <v>0.95</v>
      </c>
      <c r="D19" s="56">
        <v>6.9453945454574351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4.1770706684296162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0.55416948499999996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0.10199999999999999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96.960746737260479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0.89980549999999992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q7+G7AGEFSj1auqgScqo9X/+B4+ypYsIQ2wWOVX2wVNttJNk7vgLJBox1J6YWCqPGJeNs2Krgxt7JroWCaVWNg==" saltValue="k0hiMUsKDg+p/yqoNl2x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9Rl1OQKvo6pYlZIHUN/LtUETeenMyxSwJ58LsN1MZ7mQb2FTPRRL2VXPRFqbeIZYC8XtmtZVcr+lYEMzNUA7Q==" saltValue="N6EzFr0AYKW7+QP2ljiY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NgBrLKBvXBnyz7pPpKh5dFny2NZWjlr44XNN7qcm/6NBRJwxSVTLRubd1n3RzZrAPdlAViRZ61HmDt38HFnDA==" saltValue="7yoAf1HpLlEyjibSSPV9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236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AkEmT1t6P8kqjRV7qrJ13OMpjFmpHRbpI9G5n1O4NIoc9kq9ErN8LRVEu/hb6w7H/7d3rI22FpT6ub0XhpLrmw==" saltValue="xmucg3QqhCs0q3/SSyAQ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0.377</v>
      </c>
      <c r="F2" s="60">
        <f>food_insecure</f>
        <v>0.377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0.377</v>
      </c>
      <c r="F5" s="60">
        <f>food_insecure</f>
        <v>0.377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0.377</v>
      </c>
      <c r="F8" s="60">
        <f>food_insecure</f>
        <v>0.377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0.377</v>
      </c>
      <c r="F9" s="60">
        <f>food_insecure</f>
        <v>0.377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0.377</v>
      </c>
      <c r="I15" s="60">
        <f t="shared" si="0"/>
        <v>0.377</v>
      </c>
      <c r="J15" s="60">
        <f t="shared" si="0"/>
        <v>0.377</v>
      </c>
      <c r="K15" s="60">
        <f t="shared" si="0"/>
        <v>0.377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0.377</v>
      </c>
      <c r="I16" s="60">
        <f t="shared" si="0"/>
        <v>0.377</v>
      </c>
      <c r="J16" s="60">
        <f t="shared" si="0"/>
        <v>0.377</v>
      </c>
      <c r="K16" s="60">
        <f t="shared" si="0"/>
        <v>0.377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0.13799890918800001</v>
      </c>
      <c r="M25" s="60">
        <f>(1-food_insecure)*(0.49)+food_insecure*(0.7)</f>
        <v>0.56916999999999995</v>
      </c>
      <c r="N25" s="60">
        <f>(1-food_insecure)*(0.49)+food_insecure*(0.7)</f>
        <v>0.56916999999999995</v>
      </c>
      <c r="O25" s="60">
        <f>(1-food_insecure)*(0.49)+food_insecure*(0.7)</f>
        <v>0.56916999999999995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5.9142389652000006E-2</v>
      </c>
      <c r="M26" s="60">
        <f>(1-food_insecure)*(0.21)+food_insecure*(0.3)</f>
        <v>0.24392999999999998</v>
      </c>
      <c r="N26" s="60">
        <f>(1-food_insecure)*(0.21)+food_insecure*(0.3)</f>
        <v>0.24392999999999998</v>
      </c>
      <c r="O26" s="60">
        <f>(1-food_insecure)*(0.21)+food_insecure*(0.3)</f>
        <v>0.24392999999999998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4.5315101159999996E-2</v>
      </c>
      <c r="M27" s="60">
        <f>(1-food_insecure)*(0.3)</f>
        <v>0.18689999999999998</v>
      </c>
      <c r="N27" s="60">
        <f>(1-food_insecure)*(0.3)</f>
        <v>0.18689999999999998</v>
      </c>
      <c r="O27" s="60">
        <f>(1-food_insecure)*(0.3)</f>
        <v>0.18689999999999998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0.75754359999999998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bqcIz9bmNe/KGZq2NlZVTM7mYYpSCy4nhG0hgYm9h5oFU/UBeJWaJF3VqSSFDNqtC7VGRPm+EkvfKrqe9m3eQ==" saltValue="O9+mg2Zopnbd7khiMhgs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0X6qRvg0Emg8jYZTzZajVWtUNknUldstBp+I4NdGnFMmgxI9hrBkOGdXR15Vr6ERJmXIEr/JO/9LrnILqFQZ9w==" saltValue="onyQzqLJGL4vmHEVPtfT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LfFdPCB+t8UC3hgri2QHzC2RAsJUcq8YdIvLyOVXLAoRnKWLeKjZqLKLqZswMh8rH4/zSbyY0CQ91CXReRl/g==" saltValue="mj3pPJ/gqgY6aFOMNy6q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T046cNG/+WmyqFSEVmHsYHoCiOcHxZaz5jcQ8hy2PwddLh4oHeZgewBdB0dKp1qoL/7ZqrzyWL8YOS/OrQZFg==" saltValue="VzF/Jv5S2hGZrvsgxhik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V9IPUkpnXr3diuKm0c6maZ7HEhAKs7xGm9cWAK1JkO/hplW8ocajnffGZ7VAszLXx9LWW8TGzwwXRO1TSOl0mg==" saltValue="pJULs1bYB2YnhZRD/zye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N7dMk7dAbqn6wx4JeVO/SKREisvTbhD+JqDbsYmJ8QzcF7unAE0NOgD2+1lQvnjwP/afIqowcqb7VhzABvlPEw==" saltValue="srzAyKucRacPpDWT/801r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6wE2TcCZEiu5GGUBr94ejJto9ZaRxHs6Md7AC0VvcDbmFjeC12362vtsfnMZhxINU4prjHu/+yrJmB8Mpv8kA==" saltValue="X9bjKOaNQtMqjo12Bgyd3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OURxNLuRCtybAD7SgHA6V/U0+/RkK51l+Hmk1L+o/PFipgqWkJWlu/pSvtwUUouNTF/Qf8a0VQtsNnusySFSQ==" saltValue="fLz7RqaLK7W3jSG0Hgr6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cpbSdAQ9UF0gHhSblTj63cDhJqAbmMWyaKFK/k814SSDp8iTvqAk1VKktVsaXXYlkqqBUTK6qR9Ozs0O6xRRA==" saltValue="xSzMIgHHr4zEMoDaeAHJ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r018v4gt2mF7LZGaM8lUR9BCIecCIAMh4DyCkLhmB3LE+vZs3KV0+z8ldB9q/p2YH+WjDmKatKSDCCX8Sbdjw==" saltValue="KQ1UZoVulZVJA9uGhGtE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1Iq/XR/A7fv0fuK0R1wKUWbwNsuBQ2dGSh+4/MJbmNIG2pAsxReoPcxw68C9mNEveTUahjQWfTH2fKQ4alsQw==" saltValue="Lno1kXfgQVKzhKylpwzj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a7RWVUBHiFsZBOziM2haU3kGG2CO2v/mvXswbtuCUfHNf1hv8RdJ8Pd+AQRRB5eHkoI8fZdNa0dflmIQsnlfw==" saltValue="d1R8dZWFFxzrLXr+4kYQ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vXAdrSw9HRIclAfoFmW5QYct6gtTQG1RSOPoZLJcOX1AQFmD6mYBfT3lFnAdi8zAFKyQiWfll1z+gFJonnFpA==" saltValue="3/ArJhneQMiVn9mRFWO5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uAkHDdVYKXsRRh9t+oCw7ssrN5EfnyFx3iI7N48L9SruovwFWhwwjFg64oFw/ZKbzwNR1EKsjmcwPe5klb5cw==" saltValue="L68SZI/lGC1CAZdET7tQ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5K0uVVvA8Synxcb+FCVADKz/t9JJSlQAydyk8mXGvbltd7Smmaopm1wEbihmto0HNRkmJqSav3wA8rThhsH2g==" saltValue="SGAlPKocHI4Ksj17m6m20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