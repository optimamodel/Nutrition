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F95A9D0-3623-477A-8BA8-195BFE63771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I40" i="2"/>
  <c r="H40" i="2"/>
  <c r="G40" i="2"/>
  <c r="H39" i="2"/>
  <c r="G39" i="2"/>
  <c r="I39" i="2" s="1"/>
  <c r="H38" i="2"/>
  <c r="I38" i="2" s="1"/>
  <c r="G38" i="2"/>
  <c r="H13" i="2"/>
  <c r="G13" i="2"/>
  <c r="H12" i="2"/>
  <c r="I12" i="2" s="1"/>
  <c r="G12" i="2"/>
  <c r="H11" i="2"/>
  <c r="G11" i="2"/>
  <c r="I11" i="2" s="1"/>
  <c r="I10" i="2"/>
  <c r="H10" i="2"/>
  <c r="G10" i="2"/>
  <c r="H9" i="2"/>
  <c r="G9" i="2"/>
  <c r="I9" i="2" s="1"/>
  <c r="H8" i="2"/>
  <c r="I8" i="2" s="1"/>
  <c r="G8" i="2"/>
  <c r="H7" i="2"/>
  <c r="G7" i="2"/>
  <c r="H6" i="2"/>
  <c r="I6" i="2" s="1"/>
  <c r="G6" i="2"/>
  <c r="H5" i="2"/>
  <c r="G5" i="2"/>
  <c r="I5" i="2" s="1"/>
  <c r="H4" i="2"/>
  <c r="I4" i="2" s="1"/>
  <c r="G4" i="2"/>
  <c r="H3" i="2"/>
  <c r="G3" i="2"/>
  <c r="H2" i="2"/>
  <c r="I2" i="2" s="1"/>
  <c r="G2" i="2"/>
  <c r="A2" i="2"/>
  <c r="A40" i="2" s="1"/>
  <c r="C33" i="1"/>
  <c r="C20" i="1"/>
  <c r="I3" i="2" l="1"/>
  <c r="A24" i="2"/>
  <c r="A35" i="2"/>
  <c r="A28" i="2"/>
  <c r="A18" i="2"/>
  <c r="A19" i="2"/>
  <c r="A34" i="2"/>
  <c r="I13" i="2"/>
  <c r="A25" i="2"/>
  <c r="A36" i="2"/>
  <c r="A16" i="2"/>
  <c r="A27" i="2"/>
  <c r="A17" i="2"/>
  <c r="A32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0" i="2"/>
  <c r="I7" i="2"/>
  <c r="A26" i="2"/>
  <c r="A15" i="2"/>
  <c r="A23" i="2"/>
  <c r="A31" i="2"/>
  <c r="A39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<sst xmlns="http://schemas.openxmlformats.org/spreadsheetml/2006/main" count="2101" uniqueCount="341">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</sst>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48375.50732421875</v>
      </c>
    </row>
    <row r="8" spans="1:3" ht="15" customHeight="1" x14ac:dyDescent="0.25">
      <c r="B8" s="5" t="s">
        <v>44</v>
      </c>
      <c r="C8" s="44">
        <v>3.2000000000000001E-2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0.67868072509765598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0.16</v>
      </c>
    </row>
    <row r="24" spans="1:3" ht="15" customHeight="1" x14ac:dyDescent="0.25">
      <c r="B24" s="15" t="s">
        <v>46</v>
      </c>
      <c r="C24" s="45">
        <v>0.51100000000000001</v>
      </c>
    </row>
    <row r="25" spans="1:3" ht="15" customHeight="1" x14ac:dyDescent="0.25">
      <c r="B25" s="15" t="s">
        <v>47</v>
      </c>
      <c r="C25" s="45">
        <v>0.26350000000000001</v>
      </c>
    </row>
    <row r="26" spans="1:3" ht="15" customHeight="1" x14ac:dyDescent="0.25">
      <c r="B26" s="15" t="s">
        <v>48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0.27342300031322098</v>
      </c>
    </row>
    <row r="30" spans="1:3" ht="14.25" customHeight="1" x14ac:dyDescent="0.25">
      <c r="B30" s="25" t="s">
        <v>63</v>
      </c>
      <c r="C30" s="99">
        <v>5.2040607424200101E-2</v>
      </c>
    </row>
    <row r="31" spans="1:3" ht="14.25" customHeight="1" x14ac:dyDescent="0.25">
      <c r="B31" s="25" t="s">
        <v>10</v>
      </c>
      <c r="C31" s="99">
        <v>6.8435949585570102E-2</v>
      </c>
    </row>
    <row r="32" spans="1:3" ht="14.25" customHeight="1" x14ac:dyDescent="0.25">
      <c r="B32" s="25" t="s">
        <v>11</v>
      </c>
      <c r="C32" s="99">
        <v>0.60610044267700902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8.3748699999999996</v>
      </c>
    </row>
    <row r="38" spans="1:5" ht="15" customHeight="1" x14ac:dyDescent="0.25">
      <c r="B38" s="11" t="s">
        <v>35</v>
      </c>
      <c r="C38" s="43">
        <v>11.663259999999999</v>
      </c>
      <c r="D38" s="12"/>
      <c r="E38" s="13"/>
    </row>
    <row r="39" spans="1:5" ht="15" customHeight="1" x14ac:dyDescent="0.25">
      <c r="B39" s="11" t="s">
        <v>61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7.9498999999999993E-3</v>
      </c>
      <c r="D45" s="12"/>
    </row>
    <row r="46" spans="1:5" ht="15.75" customHeight="1" x14ac:dyDescent="0.25">
      <c r="B46" s="11" t="s">
        <v>51</v>
      </c>
      <c r="C46" s="45">
        <v>8.5420099999999999E-2</v>
      </c>
      <c r="D46" s="12"/>
    </row>
    <row r="47" spans="1:5" ht="15.75" customHeight="1" x14ac:dyDescent="0.25">
      <c r="B47" s="11" t="s">
        <v>59</v>
      </c>
      <c r="C47" s="45">
        <v>7.3440500000000006E-2</v>
      </c>
      <c r="D47" s="12"/>
      <c r="E47" s="13"/>
    </row>
    <row r="48" spans="1:5" ht="15" customHeight="1" x14ac:dyDescent="0.25">
      <c r="B48" s="11" t="s">
        <v>58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0.478043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RJyT5otlSEcnwQFesupPvYr99v9bxeWlRTeOg+TY1dlZcI+50EJCaT8ec6BuZgIceJAdMYo/dShLG7A7UYqOg==" saltValue="uqlVjEvUMIYZLPtk9GV6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5yMGi/TZqEK5qEiHVnd1fwwicFbCD7dWTk7OMghLd8POxvCOEknzHbGZ8XHaGw8qRKm6aEQDSp21v9nAw69Yw==" saltValue="5ezOCDCO0hKw9tmm5viQ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2.3714377321137239E-4</v>
      </c>
    </row>
    <row r="4" spans="1:8" ht="15.75" customHeight="1" x14ac:dyDescent="0.25">
      <c r="B4" s="19" t="s">
        <v>97</v>
      </c>
      <c r="C4" s="101">
        <v>6.8990142437228216E-2</v>
      </c>
    </row>
    <row r="5" spans="1:8" ht="15.75" customHeight="1" x14ac:dyDescent="0.25">
      <c r="B5" s="19" t="s">
        <v>95</v>
      </c>
      <c r="C5" s="101">
        <v>2.154879078170566E-2</v>
      </c>
    </row>
    <row r="6" spans="1:8" ht="15.75" customHeight="1" x14ac:dyDescent="0.25">
      <c r="B6" s="19" t="s">
        <v>91</v>
      </c>
      <c r="C6" s="101">
        <v>0.1476192994640973</v>
      </c>
    </row>
    <row r="7" spans="1:8" ht="15.75" customHeight="1" x14ac:dyDescent="0.25">
      <c r="B7" s="19" t="s">
        <v>96</v>
      </c>
      <c r="C7" s="101">
        <v>0.4627929717863894</v>
      </c>
    </row>
    <row r="8" spans="1:8" ht="15.75" customHeight="1" x14ac:dyDescent="0.25">
      <c r="B8" s="19" t="s">
        <v>98</v>
      </c>
      <c r="C8" s="101">
        <v>8.2448451472156015E-3</v>
      </c>
    </row>
    <row r="9" spans="1:8" ht="15.75" customHeight="1" x14ac:dyDescent="0.25">
      <c r="B9" s="19" t="s">
        <v>92</v>
      </c>
      <c r="C9" s="101">
        <v>0.21754911910386021</v>
      </c>
    </row>
    <row r="10" spans="1:8" ht="15.75" customHeight="1" x14ac:dyDescent="0.25">
      <c r="B10" s="19" t="s">
        <v>94</v>
      </c>
      <c r="C10" s="101">
        <v>7.3017687506292284E-2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102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2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79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99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8.8581064000000001E-2</v>
      </c>
    </row>
    <row r="27" spans="1:8" ht="15.75" customHeight="1" x14ac:dyDescent="0.25">
      <c r="B27" s="19" t="s">
        <v>89</v>
      </c>
      <c r="C27" s="101">
        <v>8.3095249999999999E-3</v>
      </c>
    </row>
    <row r="28" spans="1:8" ht="15.75" customHeight="1" x14ac:dyDescent="0.25">
      <c r="B28" s="19" t="s">
        <v>103</v>
      </c>
      <c r="C28" s="101">
        <v>0.157741201</v>
      </c>
    </row>
    <row r="29" spans="1:8" ht="15.75" customHeight="1" x14ac:dyDescent="0.25">
      <c r="B29" s="19" t="s">
        <v>86</v>
      </c>
      <c r="C29" s="101">
        <v>0.16874623</v>
      </c>
    </row>
    <row r="30" spans="1:8" ht="15.75" customHeight="1" x14ac:dyDescent="0.25">
      <c r="B30" s="19" t="s">
        <v>4</v>
      </c>
      <c r="C30" s="101">
        <v>0.10641809300000001</v>
      </c>
    </row>
    <row r="31" spans="1:8" ht="15.75" customHeight="1" x14ac:dyDescent="0.25">
      <c r="B31" s="19" t="s">
        <v>80</v>
      </c>
      <c r="C31" s="101">
        <v>0.109242019</v>
      </c>
    </row>
    <row r="32" spans="1:8" ht="15.75" customHeight="1" x14ac:dyDescent="0.25">
      <c r="B32" s="19" t="s">
        <v>85</v>
      </c>
      <c r="C32" s="101">
        <v>1.8835845E-2</v>
      </c>
    </row>
    <row r="33" spans="2:3" ht="15.75" customHeight="1" x14ac:dyDescent="0.25">
      <c r="B33" s="19" t="s">
        <v>100</v>
      </c>
      <c r="C33" s="101">
        <v>8.4593191999999998E-2</v>
      </c>
    </row>
    <row r="34" spans="2:3" ht="15.75" customHeight="1" x14ac:dyDescent="0.25">
      <c r="B34" s="19" t="s">
        <v>87</v>
      </c>
      <c r="C34" s="101">
        <v>0.25753283100000002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bAv1MxY4IPl6XUwrAK2IIc6uXMa98pbPJo9H1FLjqBtaer58TnFjLaZHG6rtRUY+JDfI6Mvs1+xAPDz1lzEntg==" saltValue="g1zzACQn9Vj3YGUTUfLi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110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106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119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+2kzv3sGk2mXgeB/cwPX7sRJh6335xEtvs0ySgrDaenHcolousO0+e6eCPdJIQN6N+voaNE3GTxlLfZfgjo6A==" saltValue="kJds/NMeq18vygThrX0c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125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0BUw9jniF6SxdieXWVd5XcJLQyN2mpu4EX7GuAO6nwM9kwE2PzFwg6Pn1QMI7RuEA+meYdn5ubDD2K93Tj6PXg==" saltValue="CDtklvIqk6EMV6e8i2yq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NcFyhRkz5BFdPc2WCzCtfwxhXPa/XFiEpDgNhyeQbX7Lczm74zfN8u614utK2vFXYYMuq+70CGjir4nsO3png==" saltValue="26jw4Ht81KHwD9X8bL4k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FIjmnHw5G7r2zw0DQwu2PrLMA1dAPB1IRMUpvrIj05NqqgrQcMrMP5hhQyS8o3PBPCHyKcM9ODpdpcqhyHxuHA==" saltValue="Ldqa1LISAYHnyrT1+k8m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VDHw1n/Bh56hGQBH/jBiIeCDComYy+smZ95Hf6cceRCsSss/nxwM/fD839rq8OFEc/jX5KDi5wra3DmQPGoLg==" saltValue="MLmZucr198lJHQxVBgW7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qm4P1XMXeKZEuJ2QKyJDjwba3A9FIl38p6SYsJcDe6TCSnpzKHT/8C6aI9BUpJiRoL+ZwsLyHIUOORMM14WYQ==" saltValue="uMSpPh46O2I3sidvZGAv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50.717962815851763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39.716252809925493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299.77526795353111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1.028663060260697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0.10199999999999999</v>
      </c>
      <c r="C10" s="98">
        <v>0.95</v>
      </c>
      <c r="D10" s="56">
        <v>12.84855225372141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12.84855225372141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12.84855225372141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12.84855225372141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0.10199999999999999</v>
      </c>
      <c r="C14" s="98">
        <v>0.95</v>
      </c>
      <c r="D14" s="56">
        <v>12.84855225372141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12.84855225372141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0.55531805361675357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0.33777333333333298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6.3108300000000006E-2</v>
      </c>
      <c r="C18" s="98">
        <v>0.95</v>
      </c>
      <c r="D18" s="56">
        <v>6.9453945454574351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6.3108300000000006E-2</v>
      </c>
      <c r="C19" s="98">
        <v>0.95</v>
      </c>
      <c r="D19" s="56">
        <v>6.9453945454574351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9.4911885685343371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0.55416948499999996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0.10199999999999999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18.30380770317878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96.960746737260479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2.3752360395467411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1.1755235646488491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0.89980549999999992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2.5879090305551942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h+q2G0i6KfJ/qBuZM0AWh3IwDktImIHUoEHWZ93OdV/5xtKSmGGe+m4pyojmEk8BnuwDBsexv6VZhGXcPkZKQ==" saltValue="ZbGzrtCOE/SE288FyeYX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W+HMWvb4jMGToIiDzpXR/ozrIycmhAcFb4CBaryaV4U3u2QleRoF0qFM/439JDCHt94clfLinZ5eY3VJDP8gg==" saltValue="E1oRbpgbxaObkVBNNSpj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0qttQpV+brKanubREdbaRAyGx6FUkVGt8o58tUbXr+H26Pjqgjd2hSjk+iXd05skD2eCKJ1OaldX7zqzWtgSQ==" saltValue="QykM9fHYuqvROxRKar5r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joiLk3REYsw52MdiTQDCFZ63Zk/QT6cIsli5b3LIFlhDQV2pIaVuR9GFiApuW78HhkStxyaMFHGYSHywfGwp8Q==" saltValue="OMSsGmgbj02tek3RW9dk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+EZ66mYVhJTxLcjT3sbavRVyWoge7Nda6n6TcUMTqNet/3V/h6HZdDN3kl7zD+KqdyHsVdCQ5GdHY13QN5p0g==" saltValue="DQyujX2LMnRW5d6tdfOp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a8QcoeDJKgxHonqfTPgJz4nHUlZB8NcVNxka49QL3M8TNEy0NBSit+UntzwknwFUne5O5/2SFPwwGD4DZgqGCg==" saltValue="YV0aenIIH/wNRhanXIiC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OmudKB6te1+Ufa6T7r5z5ldYRk58DVKBdhINmXz0OTnBPKwYn3y8Ic9d1w3B/odOtF7IH/MII1ZzfK5O3lifw==" saltValue="mgebFlOTv6LfzpMOZguV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8Ei9OIPaIZJyLAyiziuIDRTz7ZR22tP9+7OgnCbS4uUWc4/jtaJubMvnbzJsBkHQyx/H1XPu5lQJVpxlB3PMw==" saltValue="nm4ohAoyJvHGWbYeX+Zk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SSpj6cOzIdrqrhn3+HQ4WWpXjca5rDLT8EK4JysbAMaK/j38ojQkiuYuL/vZr4Abm7EWIiQ7zjOsE1kRgVZZw==" saltValue="58s2bg3IFqyRpE7ozd1v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E2X+I2DZBRI2AvRRyC1+S3CjTSapG8YLdfXZc4anv/nh0Dzio1emoYtiukjaNguQ8u0wTpDwU4AspyUrYe+vA==" saltValue="5IfZgf7Q967wB9sCmbSb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u369D+OdT9O030iYIMgCVTDybw6M46fiyuReGxJevaIBxEtJJ5oFe/Kjv7QbCUOML8rX612wAMareI3enwzDg==" saltValue="29Z1nneTiU0T9VGvVn1LV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xfhlzxE8TT2wb/MH/kJT2qk3zy3MbkVP7hAuBohzXPlverlJ3Y9rwqNjcbHgAckk2s2F6vBkUJygNMtiy9+6Q==" saltValue="o4dJSwCkJNltsBTzQtw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YsLfN9jUAgQ3///FcRmifNPG+1S7a01GXH3gN0YhgBJdP6/RVmDVQv9SQWy0IXMnNfh+XrTlxl9KDf4vc4cnw==" saltValue="RVjSq96OHo05trIj5XsT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P+WhZenrsrFF5hvD1UnpAvQazOP6GerdnFjE4K0ZouLk2IQ+RyChcVuAPXGYZJaaVBOZ7j/v2QbRGNRU3oi8Q==" saltValue="CMtgzhCUV++KGg64Pivu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8o3o2m3PZDt6kCkE1neizAAUbq0YE/JyMT7uIN5wrR7mTZrH/CxQjVlGyjdkoPPNt2jkumhj1ZpBWahtJeagQ==" saltValue="t+7tuhLmQ2J9t2AQ9QPi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JZT4eJbJxshHKcruXMMGXbuaPvxYOuEu+P7M9wEmOU/LhLRu/3iomC9mrRf2i1mIjgDmOcdu/knniGBr562iQ==" saltValue="/rRt40jwLDFXQZutngC9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xVt3UuOvVko1HbfLWj94u9hdLqJTO4SSEhUUeitWa+mEveyUOOVDm9k/ha/RY+kAVWXqZvY3gaEvGIqISCIpg==" saltValue="6ZSu9j2w50FKiyX3iThv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0.10464021985061334</v>
      </c>
      <c r="G18" s="90">
        <f>MIN(MAX(1-0.89/(1-frac_sam_12_23months+(frac_sam_12_23months*0.89)),0),1)</f>
        <v>0.10579430344369589</v>
      </c>
      <c r="H18" s="90">
        <f>MIN(MAX(1-0.89/(1-frac_sam_24_59months+(frac_sam_24_59months*0.89)),0),1)</f>
        <v>0.10797291671796916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9.970044044997084E-2</v>
      </c>
      <c r="G20" s="90">
        <f>MIN(MAX(1-0.89/(1-frac_mam_12_23months+(frac_mam_12_23months*0.89)),0),1)</f>
        <v>0.10176089059770355</v>
      </c>
      <c r="H20" s="90">
        <f>MIN(MAX(1-0.89/(1-frac_mam_24_59months+(frac_mam_24_59months*0.89)),0),1)</f>
        <v>0.10537269197979415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9.4609509190748398E-3</v>
      </c>
      <c r="G73" s="90">
        <f>MIN(MAX(1-0.99/(1-frac_sam_12_23months+(frac_sam_12_23months*0.99)),0),1)</f>
        <v>9.576524057445579E-3</v>
      </c>
      <c r="H73" s="90">
        <f>MIN(MAX(1-0.99/(1-frac_sam_24_59months+(frac_sam_24_59months*0.99)),0),1)</f>
        <v>9.7954376098877693E-3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8.9693148191467564E-3</v>
      </c>
      <c r="G75" s="90">
        <f>MIN(MAX(1-0.99/(1-frac_mam_12_23months+(frac_mam_12_23months*0.99)),0),1)</f>
        <v>9.1737849290419726E-3</v>
      </c>
      <c r="H75" s="90">
        <f>MIN(MAX(1-0.99/(1-frac_mam_24_59months+(frac_mam_24_59months*0.99)),0),1)</f>
        <v>9.5342712730064338E-3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0.19119702548901507</v>
      </c>
      <c r="G128" s="90">
        <f>MIN(MAX(1-0.8/(1-frac_sam_12_23months+(frac_sam_12_23months*0.8)),0),1)</f>
        <v>0.19309986478292651</v>
      </c>
      <c r="H128" s="90">
        <f>MIN(MAX(1-0.8/(1-frac_sam_24_59months+(frac_sam_24_59months*0.8)),0),1)</f>
        <v>0.19668091060796145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0.1830063125368252</v>
      </c>
      <c r="G130" s="90">
        <f>MIN(MAX(1-0.8/(1-frac_mam_12_23months+(frac_mam_12_23months*0.8)),0),1)</f>
        <v>0.18643188425466561</v>
      </c>
      <c r="H130" s="90">
        <f>MIN(MAX(1-0.8/(1-frac_mam_24_59months+(frac_mam_24_59months*0.8)),0),1)</f>
        <v>0.19240518690713748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ObyFnQQnMrYfVX12fHZY/NwanAed+1uamUfHR5zKJ8zDkaAVgyp5baAPn42wf2ZE4OZmGKnC2LqGa+eZs/wbQ==" saltValue="Npjnj1A9nuDi8XiM7dlz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Jhrwo8OIFwZ3n/K+UOBNkjuybsZAk1WmI2M6E0Ma9qTb6dzXe6dbUNx1r3NwckcO7LpXmys1DrYrUFhxj2GEw==" saltValue="T0dlDzV4zog/Jl7fZfrrp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2024-08-06T07:30:23Z</dcterms:modified>
</cp:coreProperties>
</file>