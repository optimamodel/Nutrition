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A936146D-56AE-413B-8946-E12F161436B2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I6" i="2" s="1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A19" i="2" l="1"/>
  <c r="A23" i="2"/>
  <c r="A35" i="2"/>
  <c r="A37" i="2"/>
  <c r="I4" i="2"/>
  <c r="I8" i="2"/>
  <c r="A25" i="2"/>
  <c r="A26" i="2"/>
  <c r="I39" i="2"/>
  <c r="A31" i="2"/>
  <c r="A34" i="2"/>
  <c r="A40" i="2"/>
  <c r="A22" i="2"/>
  <c r="A36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<sst xmlns="http://schemas.openxmlformats.org/spreadsheetml/2006/main" count="2159" uniqueCount="372">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</sst>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35834</v>
      </c>
    </row>
    <row r="8" spans="1:3" ht="15" customHeight="1" x14ac:dyDescent="0.25">
      <c r="B8" s="5" t="s">
        <v>63</v>
      </c>
      <c r="C8" s="44">
        <v>0.377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0.75754359999999998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0.52200000000000002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0.16</v>
      </c>
    </row>
    <row r="24" spans="1:3" ht="15" customHeight="1" x14ac:dyDescent="0.25">
      <c r="B24" s="15" t="s">
        <v>65</v>
      </c>
      <c r="C24" s="45">
        <v>0.51100000000000001</v>
      </c>
    </row>
    <row r="25" spans="1:3" ht="15" customHeight="1" x14ac:dyDescent="0.25">
      <c r="B25" s="15" t="s">
        <v>66</v>
      </c>
      <c r="C25" s="45">
        <v>0.26350000000000001</v>
      </c>
    </row>
    <row r="26" spans="1:3" ht="15" customHeight="1" x14ac:dyDescent="0.25">
      <c r="B26" s="15" t="s">
        <v>67</v>
      </c>
      <c r="C26" s="45">
        <v>6.5500000000000003E-2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0.27342300031322098</v>
      </c>
    </row>
    <row r="30" spans="1:3" ht="14.25" customHeight="1" x14ac:dyDescent="0.25">
      <c r="B30" s="25" t="s">
        <v>82</v>
      </c>
      <c r="C30" s="99">
        <v>5.2040607424200101E-2</v>
      </c>
    </row>
    <row r="31" spans="1:3" ht="14.25" customHeight="1" x14ac:dyDescent="0.25">
      <c r="B31" s="25" t="s">
        <v>29</v>
      </c>
      <c r="C31" s="99">
        <v>6.8435949585570102E-2</v>
      </c>
    </row>
    <row r="32" spans="1:3" ht="14.25" customHeight="1" x14ac:dyDescent="0.25">
      <c r="B32" s="25" t="s">
        <v>30</v>
      </c>
      <c r="C32" s="99">
        <v>0.60610044267700902</v>
      </c>
    </row>
    <row r="33" spans="1:5" ht="13.25" customHeight="1" x14ac:dyDescent="0.25">
      <c r="B33" s="27" t="s">
        <v>79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8.3748699999999996</v>
      </c>
    </row>
    <row r="38" spans="1:5" ht="15" customHeight="1" x14ac:dyDescent="0.25">
      <c r="B38" s="11" t="s">
        <v>54</v>
      </c>
      <c r="C38" s="43">
        <v>11.663259999999999</v>
      </c>
      <c r="D38" s="12"/>
      <c r="E38" s="13"/>
    </row>
    <row r="39" spans="1:5" ht="15" customHeight="1" x14ac:dyDescent="0.25">
      <c r="B39" s="11" t="s">
        <v>80</v>
      </c>
      <c r="C39" s="43">
        <v>13.54884</v>
      </c>
      <c r="D39" s="12"/>
      <c r="E39" s="12"/>
    </row>
    <row r="40" spans="1:5" ht="15" customHeight="1" x14ac:dyDescent="0.25">
      <c r="B40" s="11" t="s">
        <v>55</v>
      </c>
      <c r="C40" s="100">
        <v>0.42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9.1148799999999994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7.9498999999999993E-3</v>
      </c>
      <c r="D45" s="12"/>
    </row>
    <row r="46" spans="1:5" ht="15.75" customHeight="1" x14ac:dyDescent="0.25">
      <c r="B46" s="11" t="s">
        <v>70</v>
      </c>
      <c r="C46" s="45">
        <v>8.5420099999999999E-2</v>
      </c>
      <c r="D46" s="12"/>
    </row>
    <row r="47" spans="1:5" ht="15.75" customHeight="1" x14ac:dyDescent="0.25">
      <c r="B47" s="11" t="s">
        <v>78</v>
      </c>
      <c r="C47" s="45">
        <v>7.3440500000000006E-2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3.3</v>
      </c>
      <c r="D51" s="12"/>
    </row>
    <row r="52" spans="1:4" ht="15" customHeight="1" x14ac:dyDescent="0.25">
      <c r="B52" s="11" t="s">
        <v>32</v>
      </c>
      <c r="C52" s="100">
        <v>3.3</v>
      </c>
    </row>
    <row r="53" spans="1:4" ht="15.75" customHeight="1" x14ac:dyDescent="0.25">
      <c r="B53" s="11" t="s">
        <v>35</v>
      </c>
      <c r="C53" s="100">
        <v>3.3</v>
      </c>
    </row>
    <row r="54" spans="1:4" ht="15.75" customHeight="1" x14ac:dyDescent="0.25">
      <c r="B54" s="11" t="s">
        <v>33</v>
      </c>
      <c r="C54" s="100">
        <v>3.3</v>
      </c>
    </row>
    <row r="55" spans="1:4" ht="15.75" customHeight="1" x14ac:dyDescent="0.25">
      <c r="B55" s="11" t="s">
        <v>34</v>
      </c>
      <c r="C55" s="100">
        <v>3.3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0.478043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uEEivpWai3HSPkrnX/X4l9cDsB58w1UG6SCFThNTibG739Om0+c7sFh14FdBR1R2y6A8ClfSXEk05JGGgJlG5Q==" saltValue="sVMTEcZyzMxNvH+NGZ8Al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6415</v>
      </c>
      <c r="C2" s="49">
        <v>23066.5</v>
      </c>
      <c r="D2" s="49">
        <v>40418</v>
      </c>
      <c r="E2" s="49">
        <v>44170.500000000007</v>
      </c>
      <c r="F2" s="49">
        <v>30383</v>
      </c>
      <c r="G2" s="17">
        <f t="shared" ref="G2:G13" si="0">C2+D2+E2+F2</f>
        <v>138038</v>
      </c>
      <c r="H2" s="17">
        <f t="shared" ref="H2:H13" si="1">(B2 + stillbirth*B2/(1000-stillbirth))/(1-abortion)</f>
        <v>7356.8293439230647</v>
      </c>
      <c r="I2" s="17">
        <f t="shared" ref="I2:I13" si="2">G2-H2</f>
        <v>130681.17065607694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6364</v>
      </c>
      <c r="C3" s="50">
        <v>23285</v>
      </c>
      <c r="D3" s="50">
        <v>40169.5</v>
      </c>
      <c r="E3" s="50">
        <v>44591</v>
      </c>
      <c r="F3" s="50">
        <v>31799</v>
      </c>
      <c r="G3" s="17">
        <f t="shared" si="0"/>
        <v>139844.5</v>
      </c>
      <c r="H3" s="17">
        <f t="shared" si="1"/>
        <v>7298.3416905263257</v>
      </c>
      <c r="I3" s="17">
        <f t="shared" si="2"/>
        <v>132546.15830947369</v>
      </c>
    </row>
    <row r="4" spans="1:9" ht="15.75" customHeight="1" x14ac:dyDescent="0.25">
      <c r="A4" s="5">
        <f t="shared" si="3"/>
        <v>2026</v>
      </c>
      <c r="B4" s="49">
        <v>6330</v>
      </c>
      <c r="C4" s="50">
        <v>23461.5</v>
      </c>
      <c r="D4" s="50">
        <v>40158.5</v>
      </c>
      <c r="E4" s="50">
        <v>44677</v>
      </c>
      <c r="F4" s="50">
        <v>33196.5</v>
      </c>
      <c r="G4" s="17">
        <f t="shared" si="0"/>
        <v>141493.5</v>
      </c>
      <c r="H4" s="17">
        <f t="shared" si="1"/>
        <v>7259.3499215951679</v>
      </c>
      <c r="I4" s="17">
        <f t="shared" si="2"/>
        <v>134234.15007840484</v>
      </c>
    </row>
    <row r="5" spans="1:9" ht="15.75" customHeight="1" x14ac:dyDescent="0.25">
      <c r="A5" s="5">
        <f t="shared" si="3"/>
        <v>2027</v>
      </c>
      <c r="B5" s="49">
        <v>6300</v>
      </c>
      <c r="C5" s="50">
        <v>23607.5</v>
      </c>
      <c r="D5" s="50">
        <v>40435.500000000007</v>
      </c>
      <c r="E5" s="50">
        <v>44325.500000000007</v>
      </c>
      <c r="F5" s="50">
        <v>34678.5</v>
      </c>
      <c r="G5" s="17">
        <f t="shared" si="0"/>
        <v>143047</v>
      </c>
      <c r="H5" s="17">
        <f t="shared" si="1"/>
        <v>7224.9454195970866</v>
      </c>
      <c r="I5" s="17">
        <f t="shared" si="2"/>
        <v>135822.05458040291</v>
      </c>
    </row>
    <row r="6" spans="1:9" ht="15.75" customHeight="1" x14ac:dyDescent="0.25">
      <c r="A6" s="5">
        <f t="shared" si="3"/>
        <v>2028</v>
      </c>
      <c r="B6" s="49">
        <v>6272</v>
      </c>
      <c r="C6" s="50">
        <v>23704</v>
      </c>
      <c r="D6" s="50">
        <v>40949.5</v>
      </c>
      <c r="E6" s="50">
        <v>43617.5</v>
      </c>
      <c r="F6" s="50">
        <v>36293.5</v>
      </c>
      <c r="G6" s="17">
        <f t="shared" si="0"/>
        <v>144564.5</v>
      </c>
      <c r="H6" s="17">
        <f t="shared" si="1"/>
        <v>7192.8345510655436</v>
      </c>
      <c r="I6" s="17">
        <f t="shared" si="2"/>
        <v>137371.66544893445</v>
      </c>
    </row>
    <row r="7" spans="1:9" ht="15.75" customHeight="1" x14ac:dyDescent="0.25">
      <c r="A7" s="5">
        <f t="shared" si="3"/>
        <v>2029</v>
      </c>
      <c r="B7" s="49">
        <v>6252</v>
      </c>
      <c r="C7" s="50">
        <v>23734</v>
      </c>
      <c r="D7" s="50">
        <v>41635.499999999993</v>
      </c>
      <c r="E7" s="50">
        <v>42728.5</v>
      </c>
      <c r="F7" s="50">
        <v>37878.5</v>
      </c>
      <c r="G7" s="17">
        <f t="shared" si="0"/>
        <v>145976.5</v>
      </c>
      <c r="H7" s="17">
        <f t="shared" si="1"/>
        <v>7169.8982164001563</v>
      </c>
      <c r="I7" s="17">
        <f t="shared" si="2"/>
        <v>138806.60178359985</v>
      </c>
    </row>
    <row r="8" spans="1:9" ht="15.75" customHeight="1" x14ac:dyDescent="0.25">
      <c r="A8" s="5">
        <f t="shared" si="3"/>
        <v>2030</v>
      </c>
      <c r="B8" s="49">
        <v>6236</v>
      </c>
      <c r="C8" s="50">
        <v>23718.5</v>
      </c>
      <c r="D8" s="50">
        <v>42493.5</v>
      </c>
      <c r="E8" s="50">
        <v>41744</v>
      </c>
      <c r="F8" s="50">
        <v>39272.5</v>
      </c>
      <c r="G8" s="17">
        <f t="shared" si="0"/>
        <v>147228.5</v>
      </c>
      <c r="H8" s="17">
        <f t="shared" si="1"/>
        <v>7151.5491486678457</v>
      </c>
      <c r="I8" s="17">
        <f t="shared" si="2"/>
        <v>140076.95085133216</v>
      </c>
    </row>
    <row r="9" spans="1:9" ht="15.75" customHeight="1" x14ac:dyDescent="0.25">
      <c r="A9" s="5">
        <f t="shared" si="3"/>
        <v>2031</v>
      </c>
      <c r="B9" s="49">
        <v>6227</v>
      </c>
      <c r="C9" s="50">
        <v>23689</v>
      </c>
      <c r="D9" s="50">
        <v>43439.499999999993</v>
      </c>
      <c r="E9" s="50">
        <v>40680.499999999993</v>
      </c>
      <c r="F9" s="50">
        <v>40488</v>
      </c>
      <c r="G9" s="17">
        <f t="shared" si="0"/>
        <v>148297</v>
      </c>
      <c r="H9" s="17">
        <f t="shared" si="1"/>
        <v>7141.2277980684221</v>
      </c>
      <c r="I9" s="17">
        <f t="shared" si="2"/>
        <v>141155.77220193157</v>
      </c>
    </row>
    <row r="10" spans="1:9" ht="15.75" customHeight="1" x14ac:dyDescent="0.25">
      <c r="A10" s="5">
        <f t="shared" si="3"/>
        <v>2032</v>
      </c>
      <c r="B10" s="49">
        <v>6230</v>
      </c>
      <c r="C10" s="50">
        <v>23654</v>
      </c>
      <c r="D10" s="50">
        <v>44277.5</v>
      </c>
      <c r="E10" s="50">
        <v>39724.999999999993</v>
      </c>
      <c r="F10" s="50">
        <v>41540</v>
      </c>
      <c r="G10" s="17">
        <f t="shared" si="0"/>
        <v>149196.5</v>
      </c>
      <c r="H10" s="17">
        <f t="shared" si="1"/>
        <v>7144.668248268229</v>
      </c>
      <c r="I10" s="17">
        <f t="shared" si="2"/>
        <v>142051.83175173178</v>
      </c>
    </row>
    <row r="11" spans="1:9" ht="15.75" customHeight="1" x14ac:dyDescent="0.25">
      <c r="A11" s="5">
        <f t="shared" si="3"/>
        <v>2033</v>
      </c>
      <c r="B11" s="49">
        <v>6231</v>
      </c>
      <c r="C11" s="50">
        <v>23583.5</v>
      </c>
      <c r="D11" s="50">
        <v>44855.000000000007</v>
      </c>
      <c r="E11" s="50">
        <v>39065</v>
      </c>
      <c r="F11" s="50">
        <v>42373.5</v>
      </c>
      <c r="G11" s="17">
        <f t="shared" si="0"/>
        <v>149877</v>
      </c>
      <c r="H11" s="17">
        <f t="shared" si="1"/>
        <v>7145.8150650014986</v>
      </c>
      <c r="I11" s="17">
        <f t="shared" si="2"/>
        <v>142731.18493499851</v>
      </c>
    </row>
    <row r="12" spans="1:9" ht="15.75" customHeight="1" x14ac:dyDescent="0.25">
      <c r="A12" s="5">
        <f t="shared" si="3"/>
        <v>2034</v>
      </c>
      <c r="B12" s="49">
        <v>6244</v>
      </c>
      <c r="C12" s="50">
        <v>23407.5</v>
      </c>
      <c r="D12" s="50">
        <v>45194.500000000007</v>
      </c>
      <c r="E12" s="50">
        <v>38656</v>
      </c>
      <c r="F12" s="50">
        <v>43001.5</v>
      </c>
      <c r="G12" s="17">
        <f t="shared" si="0"/>
        <v>150259.5</v>
      </c>
      <c r="H12" s="17">
        <f t="shared" si="1"/>
        <v>7160.7236825340005</v>
      </c>
      <c r="I12" s="17">
        <f t="shared" si="2"/>
        <v>143098.77631746599</v>
      </c>
    </row>
    <row r="13" spans="1:9" ht="15.75" customHeight="1" x14ac:dyDescent="0.25">
      <c r="A13" s="5">
        <f t="shared" si="3"/>
        <v>2035</v>
      </c>
      <c r="B13" s="49">
        <v>6246</v>
      </c>
      <c r="C13" s="50">
        <v>23012</v>
      </c>
      <c r="D13" s="50">
        <v>45419</v>
      </c>
      <c r="E13" s="50">
        <v>38446</v>
      </c>
      <c r="F13" s="50">
        <v>43436.5</v>
      </c>
      <c r="G13" s="17">
        <f t="shared" si="0"/>
        <v>150313.5</v>
      </c>
      <c r="H13" s="17">
        <f t="shared" si="1"/>
        <v>7163.0173160005397</v>
      </c>
      <c r="I13" s="17">
        <f t="shared" si="2"/>
        <v>143150.48268399946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imxe+x5MBZvwZKjhhvki0lxjPuwDQC0ZLZfRy1ji4VMhmjxAG3RPYSmCMiBiFayGCzMUKWtU4mi0LtHSOEvjwQ==" saltValue="akf0dTuVakCSHvuPDcgp+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2.3714377321137239E-4</v>
      </c>
    </row>
    <row r="4" spans="1:8" ht="15.75" customHeight="1" x14ac:dyDescent="0.25">
      <c r="B4" s="19" t="s">
        <v>116</v>
      </c>
      <c r="C4" s="101">
        <v>6.8990142437228216E-2</v>
      </c>
    </row>
    <row r="5" spans="1:8" ht="15.75" customHeight="1" x14ac:dyDescent="0.25">
      <c r="B5" s="19" t="s">
        <v>114</v>
      </c>
      <c r="C5" s="101">
        <v>2.154879078170566E-2</v>
      </c>
    </row>
    <row r="6" spans="1:8" ht="15.75" customHeight="1" x14ac:dyDescent="0.25">
      <c r="B6" s="19" t="s">
        <v>110</v>
      </c>
      <c r="C6" s="101">
        <v>0.1476192994640973</v>
      </c>
    </row>
    <row r="7" spans="1:8" ht="15.75" customHeight="1" x14ac:dyDescent="0.25">
      <c r="B7" s="19" t="s">
        <v>115</v>
      </c>
      <c r="C7" s="101">
        <v>0.4627929717863894</v>
      </c>
    </row>
    <row r="8" spans="1:8" ht="15.75" customHeight="1" x14ac:dyDescent="0.25">
      <c r="B8" s="19" t="s">
        <v>117</v>
      </c>
      <c r="C8" s="101">
        <v>8.2448451472156015E-3</v>
      </c>
    </row>
    <row r="9" spans="1:8" ht="15.75" customHeight="1" x14ac:dyDescent="0.25">
      <c r="B9" s="19" t="s">
        <v>111</v>
      </c>
      <c r="C9" s="101">
        <v>0.21754911910386021</v>
      </c>
    </row>
    <row r="10" spans="1:8" ht="15.75" customHeight="1" x14ac:dyDescent="0.25">
      <c r="B10" s="19" t="s">
        <v>113</v>
      </c>
      <c r="C10" s="101">
        <v>7.3017687506292284E-2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0.19858224738630861</v>
      </c>
      <c r="D14" s="55">
        <v>0.19858224738630861</v>
      </c>
      <c r="E14" s="55">
        <v>0.19858224738630861</v>
      </c>
      <c r="F14" s="55">
        <v>0.19858224738630861</v>
      </c>
    </row>
    <row r="15" spans="1:8" ht="15.75" customHeight="1" x14ac:dyDescent="0.25">
      <c r="B15" s="19" t="s">
        <v>121</v>
      </c>
      <c r="C15" s="101">
        <v>0.4050345629371549</v>
      </c>
      <c r="D15" s="101">
        <v>0.4050345629371549</v>
      </c>
      <c r="E15" s="101">
        <v>0.4050345629371549</v>
      </c>
      <c r="F15" s="101">
        <v>0.4050345629371549</v>
      </c>
    </row>
    <row r="16" spans="1:8" ht="15.75" customHeight="1" x14ac:dyDescent="0.25">
      <c r="B16" s="19" t="s">
        <v>2</v>
      </c>
      <c r="C16" s="101">
        <v>4.0658347197660587E-2</v>
      </c>
      <c r="D16" s="101">
        <v>4.0658347197660587E-2</v>
      </c>
      <c r="E16" s="101">
        <v>4.0658347197660587E-2</v>
      </c>
      <c r="F16" s="101">
        <v>4.0658347197660587E-2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1.085726120409349E-2</v>
      </c>
      <c r="D19" s="101">
        <v>1.085726120409349E-2</v>
      </c>
      <c r="E19" s="101">
        <v>1.085726120409349E-2</v>
      </c>
      <c r="F19" s="101">
        <v>1.085726120409349E-2</v>
      </c>
    </row>
    <row r="20" spans="1:8" ht="15.75" customHeight="1" x14ac:dyDescent="0.25">
      <c r="B20" s="19" t="s">
        <v>98</v>
      </c>
      <c r="C20" s="101">
        <v>5.2607638499198479E-2</v>
      </c>
      <c r="D20" s="101">
        <v>5.2607638499198479E-2</v>
      </c>
      <c r="E20" s="101">
        <v>5.2607638499198479E-2</v>
      </c>
      <c r="F20" s="101">
        <v>5.2607638499198479E-2</v>
      </c>
    </row>
    <row r="21" spans="1:8" ht="15.75" customHeight="1" x14ac:dyDescent="0.25">
      <c r="B21" s="19" t="s">
        <v>107</v>
      </c>
      <c r="C21" s="101">
        <v>0.2133313545305191</v>
      </c>
      <c r="D21" s="101">
        <v>0.2133313545305191</v>
      </c>
      <c r="E21" s="101">
        <v>0.2133313545305191</v>
      </c>
      <c r="F21" s="101">
        <v>0.2133313545305191</v>
      </c>
    </row>
    <row r="22" spans="1:8" ht="15.75" customHeight="1" x14ac:dyDescent="0.25">
      <c r="B22" s="19" t="s">
        <v>118</v>
      </c>
      <c r="C22" s="101">
        <v>7.8928588245065115E-2</v>
      </c>
      <c r="D22" s="101">
        <v>7.8928588245065115E-2</v>
      </c>
      <c r="E22" s="101">
        <v>7.8928588245065115E-2</v>
      </c>
      <c r="F22" s="101">
        <v>7.8928588245065115E-2</v>
      </c>
    </row>
    <row r="23" spans="1:8" ht="15.75" customHeight="1" x14ac:dyDescent="0.25">
      <c r="B23" s="27" t="s">
        <v>79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8.8581064000000001E-2</v>
      </c>
    </row>
    <row r="27" spans="1:8" ht="15.75" customHeight="1" x14ac:dyDescent="0.25">
      <c r="B27" s="19" t="s">
        <v>108</v>
      </c>
      <c r="C27" s="101">
        <v>8.3095249999999999E-3</v>
      </c>
    </row>
    <row r="28" spans="1:8" ht="15.75" customHeight="1" x14ac:dyDescent="0.25">
      <c r="B28" s="19" t="s">
        <v>122</v>
      </c>
      <c r="C28" s="101">
        <v>0.157741201</v>
      </c>
    </row>
    <row r="29" spans="1:8" ht="15.75" customHeight="1" x14ac:dyDescent="0.25">
      <c r="B29" s="19" t="s">
        <v>105</v>
      </c>
      <c r="C29" s="101">
        <v>0.16874623</v>
      </c>
    </row>
    <row r="30" spans="1:8" ht="15.75" customHeight="1" x14ac:dyDescent="0.25">
      <c r="B30" s="19" t="s">
        <v>4</v>
      </c>
      <c r="C30" s="101">
        <v>0.10641809300000001</v>
      </c>
    </row>
    <row r="31" spans="1:8" ht="15.75" customHeight="1" x14ac:dyDescent="0.25">
      <c r="B31" s="19" t="s">
        <v>99</v>
      </c>
      <c r="C31" s="101">
        <v>0.109242019</v>
      </c>
    </row>
    <row r="32" spans="1:8" ht="15.75" customHeight="1" x14ac:dyDescent="0.25">
      <c r="B32" s="19" t="s">
        <v>104</v>
      </c>
      <c r="C32" s="101">
        <v>1.8835845E-2</v>
      </c>
    </row>
    <row r="33" spans="2:3" ht="15.75" customHeight="1" x14ac:dyDescent="0.25">
      <c r="B33" s="19" t="s">
        <v>119</v>
      </c>
      <c r="C33" s="101">
        <v>8.4593191999999998E-2</v>
      </c>
    </row>
    <row r="34" spans="2:3" ht="15.75" customHeight="1" x14ac:dyDescent="0.25">
      <c r="B34" s="19" t="s">
        <v>106</v>
      </c>
      <c r="C34" s="101">
        <v>0.25753283100000002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043WplVMXGPDRhqdQqrD5B0ohspN1Em0zUEJPlUJhubFWo5mKKQHq1teMnHYO6+XCDbhtHYOnTm+NobHLHr8Ng==" saltValue="4A1En2RsKZPt4b+9SqD69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0.50953995542750519</v>
      </c>
      <c r="D2" s="52">
        <f>IFERROR(1-_xlfn.NORM.DIST(_xlfn.NORM.INV(SUM(D4:D5), 0, 1) + 1, 0, 1, TRUE), "")</f>
        <v>0.50953995542750519</v>
      </c>
      <c r="E2" s="52">
        <f>IFERROR(1-_xlfn.NORM.DIST(_xlfn.NORM.INV(SUM(E4:E5), 0, 1) + 1, 0, 1, TRUE), "")</f>
        <v>0.45726442673768541</v>
      </c>
      <c r="F2" s="52">
        <f>IFERROR(1-_xlfn.NORM.DIST(_xlfn.NORM.INV(SUM(F4:F5), 0, 1) + 1, 0, 1, TRUE), "")</f>
        <v>0.273217895604146</v>
      </c>
      <c r="G2" s="52">
        <f>IFERROR(1-_xlfn.NORM.DIST(_xlfn.NORM.INV(SUM(G4:G5), 0, 1) + 1, 0, 1, TRUE), "")</f>
        <v>0.24689419187813511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0.33752242709676672</v>
      </c>
      <c r="D3" s="52">
        <f>IFERROR(_xlfn.NORM.DIST(_xlfn.NORM.INV(SUM(D4:D5), 0, 1) + 1, 0, 1, TRUE) - SUM(D4:D5), "")</f>
        <v>0.33752242709676672</v>
      </c>
      <c r="E3" s="52">
        <f>IFERROR(_xlfn.NORM.DIST(_xlfn.NORM.INV(SUM(E4:E5), 0, 1) + 1, 0, 1, TRUE) - SUM(E4:E5), "")</f>
        <v>0.3567191761749357</v>
      </c>
      <c r="F3" s="52">
        <f>IFERROR(_xlfn.NORM.DIST(_xlfn.NORM.INV(SUM(F4:F5), 0, 1) + 1, 0, 1, TRUE) - SUM(F4:F5), "")</f>
        <v>0.38105796847352402</v>
      </c>
      <c r="G3" s="52">
        <f>IFERROR(_xlfn.NORM.DIST(_xlfn.NORM.INV(SUM(G4:G5), 0, 1) + 1, 0, 1, TRUE) - SUM(G4:G5), "")</f>
        <v>0.3769922799665249</v>
      </c>
    </row>
    <row r="4" spans="1:15" ht="15.75" customHeight="1" x14ac:dyDescent="0.25">
      <c r="B4" s="5" t="s">
        <v>129</v>
      </c>
      <c r="C4" s="45">
        <v>8.6413381553398005E-2</v>
      </c>
      <c r="D4" s="53">
        <v>8.6413381553398005E-2</v>
      </c>
      <c r="E4" s="53">
        <v>0.109043224271845</v>
      </c>
      <c r="F4" s="53">
        <v>0.19479344854368899</v>
      </c>
      <c r="G4" s="53">
        <v>0.20103954563106799</v>
      </c>
    </row>
    <row r="5" spans="1:15" ht="15.75" customHeight="1" x14ac:dyDescent="0.25">
      <c r="B5" s="5" t="s">
        <v>125</v>
      </c>
      <c r="C5" s="45">
        <v>6.6524235922330102E-2</v>
      </c>
      <c r="D5" s="53">
        <v>6.6524235922330102E-2</v>
      </c>
      <c r="E5" s="53">
        <v>7.6973172815533897E-2</v>
      </c>
      <c r="F5" s="53">
        <v>0.15093068737864099</v>
      </c>
      <c r="G5" s="53">
        <v>0.175073982524272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0.56574426610890027</v>
      </c>
      <c r="D8" s="52">
        <f>IFERROR(1-_xlfn.NORM.DIST(_xlfn.NORM.INV(SUM(D10:D11), 0, 1) + 1, 0, 1, TRUE), "")</f>
        <v>0.56574426610890027</v>
      </c>
      <c r="E8" s="52">
        <f>IFERROR(1-_xlfn.NORM.DIST(_xlfn.NORM.INV(SUM(E10:E11), 0, 1) + 1, 0, 1, TRUE), "")</f>
        <v>0.50038622545710587</v>
      </c>
      <c r="F8" s="52">
        <f>IFERROR(1-_xlfn.NORM.DIST(_xlfn.NORM.INV(SUM(F10:F11), 0, 1) + 1, 0, 1, TRUE), "")</f>
        <v>0.5575703209535523</v>
      </c>
      <c r="G8" s="52">
        <f>IFERROR(1-_xlfn.NORM.DIST(_xlfn.NORM.INV(SUM(G10:G11), 0, 1) + 1, 0, 1, TRUE), "")</f>
        <v>0.68909847974462624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0.31235742224061419</v>
      </c>
      <c r="D9" s="52">
        <f>IFERROR(_xlfn.NORM.DIST(_xlfn.NORM.INV(SUM(D10:D11), 0, 1) + 1, 0, 1, TRUE) - SUM(D10:D11), "")</f>
        <v>0.31235742224061419</v>
      </c>
      <c r="E9" s="52">
        <f>IFERROR(_xlfn.NORM.DIST(_xlfn.NORM.INV(SUM(E10:E11), 0, 1) + 1, 0, 1, TRUE) - SUM(E10:E11), "")</f>
        <v>0.34119266483415678</v>
      </c>
      <c r="F9" s="52">
        <f>IFERROR(_xlfn.NORM.DIST(_xlfn.NORM.INV(SUM(F10:F11), 0, 1) + 1, 0, 1, TRUE) - SUM(F10:F11), "")</f>
        <v>0.31628614409499123</v>
      </c>
      <c r="G9" s="52">
        <f>IFERROR(_xlfn.NORM.DIST(_xlfn.NORM.INV(SUM(G10:G11), 0, 1) + 1, 0, 1, TRUE) - SUM(G10:G11), "")</f>
        <v>0.24322173578935435</v>
      </c>
    </row>
    <row r="10" spans="1:15" ht="15.75" customHeight="1" x14ac:dyDescent="0.25">
      <c r="B10" s="5" t="s">
        <v>126</v>
      </c>
      <c r="C10" s="45">
        <v>7.2982497087378709E-2</v>
      </c>
      <c r="D10" s="53">
        <v>7.2982497087378709E-2</v>
      </c>
      <c r="E10" s="53">
        <v>0.104001338834951</v>
      </c>
      <c r="F10" s="53">
        <v>8.3386476699029211E-2</v>
      </c>
      <c r="G10" s="53">
        <v>4.7021185436893202E-2</v>
      </c>
    </row>
    <row r="11" spans="1:15" ht="15.75" customHeight="1" x14ac:dyDescent="0.25">
      <c r="B11" s="5" t="s">
        <v>138</v>
      </c>
      <c r="C11" s="45">
        <v>4.8915814563106813E-2</v>
      </c>
      <c r="D11" s="53">
        <v>4.8915814563106813E-2</v>
      </c>
      <c r="E11" s="53">
        <v>5.4419770873786397E-2</v>
      </c>
      <c r="F11" s="53">
        <v>4.2757058252427198E-2</v>
      </c>
      <c r="G11" s="53">
        <v>2.0658599029126201E-2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0.46033876800000001</v>
      </c>
      <c r="D14" s="54">
        <v>0.44014876555400001</v>
      </c>
      <c r="E14" s="54">
        <v>0.44014876555400001</v>
      </c>
      <c r="F14" s="54">
        <v>0.382676710483</v>
      </c>
      <c r="G14" s="54">
        <v>0.382676710483</v>
      </c>
      <c r="H14" s="45">
        <v>0.42899999999999999</v>
      </c>
      <c r="I14" s="55">
        <v>0.42899999999999999</v>
      </c>
      <c r="J14" s="55">
        <v>0.42899999999999999</v>
      </c>
      <c r="K14" s="55">
        <v>0.42899999999999999</v>
      </c>
      <c r="L14" s="45">
        <v>0.32800000000000001</v>
      </c>
      <c r="M14" s="55">
        <v>0.32800000000000001</v>
      </c>
      <c r="N14" s="55">
        <v>0.32800000000000001</v>
      </c>
      <c r="O14" s="55">
        <v>0.32800000000000001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0.220061725671024</v>
      </c>
      <c r="D15" s="52">
        <f t="shared" si="0"/>
        <v>0.21041003633173083</v>
      </c>
      <c r="E15" s="52">
        <f t="shared" si="0"/>
        <v>0.21041003633173083</v>
      </c>
      <c r="F15" s="52">
        <f t="shared" si="0"/>
        <v>0.18293592270942477</v>
      </c>
      <c r="G15" s="52">
        <f t="shared" si="0"/>
        <v>0.18293592270942477</v>
      </c>
      <c r="H15" s="52">
        <f t="shared" si="0"/>
        <v>0.205080447</v>
      </c>
      <c r="I15" s="52">
        <f t="shared" si="0"/>
        <v>0.205080447</v>
      </c>
      <c r="J15" s="52">
        <f t="shared" si="0"/>
        <v>0.205080447</v>
      </c>
      <c r="K15" s="52">
        <f t="shared" si="0"/>
        <v>0.205080447</v>
      </c>
      <c r="L15" s="52">
        <f t="shared" si="0"/>
        <v>0.15679810399999999</v>
      </c>
      <c r="M15" s="52">
        <f t="shared" si="0"/>
        <v>0.15679810399999999</v>
      </c>
      <c r="N15" s="52">
        <f t="shared" si="0"/>
        <v>0.15679810399999999</v>
      </c>
      <c r="O15" s="52">
        <f t="shared" si="0"/>
        <v>0.15679810399999999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Au45k8DdBleM4o+vFvCt6q+/asHNz9NTMSzOsRKpN26HQLOJSo+WNfQNNZYfm0b4qo3pdLjpdN0+f9ALetMJ2g==" saltValue="4sl5KWoIRSmmQInR0uMc6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9.2236899999999997E-2</v>
      </c>
      <c r="D2" s="53">
        <v>6.3108300000000006E-2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0.1138975</v>
      </c>
      <c r="D3" s="53">
        <v>0.11909740000000001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0.14785380000000001</v>
      </c>
      <c r="D4" s="53">
        <v>0.43906440000000002</v>
      </c>
      <c r="E4" s="53">
        <v>0.83675640000000007</v>
      </c>
      <c r="F4" s="53">
        <v>0.38914690000000002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0.64601180000000002</v>
      </c>
      <c r="D5" s="52">
        <f t="shared" si="0"/>
        <v>0.37872989999999995</v>
      </c>
      <c r="E5" s="52">
        <f>1-SUM(E2:E4)</f>
        <v>0.16324359999999993</v>
      </c>
      <c r="F5" s="52">
        <f>1-SUM(F2:F4)</f>
        <v>0.61085309999999993</v>
      </c>
      <c r="G5" s="52">
        <f>1-SUM(G2:G4)</f>
        <v>1</v>
      </c>
    </row>
  </sheetData>
  <sheetProtection algorithmName="SHA-512" hashValue="J77YL7PtbuhtzzoM/fUUPFIEQj7o36G+sOTPmhw68+XuYKLaOfACkwOGS3QqvRIvN3f3otmm0+QadJA4I/p2nQ==" saltValue="JU7Wa/UQ4OySzicNXvJwx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Lyv8uqZKIua8W4fRNm6wvbl9BXb1bw5KKspsQi8lbgKfGazRyy7XRjAuyX13xFwsH5s3nfZpNaq4qArsKObDsw==" saltValue="qX/uc61MEKWexEp7ZYy6S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3754.30479371603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0.48497000000000001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0.55269999999999997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1.6162364333987871E-2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98495.671459999998</v>
      </c>
      <c r="C22" s="109">
        <v>98410.294580000002</v>
      </c>
      <c r="D22" s="109">
        <v>98307.087520000001</v>
      </c>
      <c r="E22" s="109">
        <v>97948.233840000001</v>
      </c>
      <c r="F22" s="109">
        <v>97485.087079999998</v>
      </c>
      <c r="G22" s="109">
        <v>96995.274579999998</v>
      </c>
      <c r="H22" s="109">
        <v>96380.298909999998</v>
      </c>
      <c r="I22" s="109">
        <v>95510.098729999998</v>
      </c>
      <c r="J22" s="109">
        <v>94194.423190000001</v>
      </c>
      <c r="K22" s="109">
        <v>92141.764009999999</v>
      </c>
      <c r="L22" s="109">
        <v>89156.305470000007</v>
      </c>
      <c r="M22" s="109">
        <v>84903.098700000002</v>
      </c>
      <c r="N22" s="109">
        <v>78874.317160000006</v>
      </c>
      <c r="O22" s="109">
        <v>70402.71961</v>
      </c>
    </row>
  </sheetData>
  <sheetProtection algorithmName="SHA-512" hashValue="gnxkD7ecNsQiwc9cVJF54g1z5D1kem1hdVt3BPlq2Qk9BzvPakiJHkOgJgrJgEo3fnrT1wdQx02tXmbkCi7Weg==" saltValue="/bQO54k8AmrrhNpyeoJGQ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duRNk3OoKukX3KD/7aKrGdeVALKCGnJG3w65g/5qZP9atbHsSAk/9ol1OzMWWJyelIe6+IyQLj+IcGBLzpzv4A==" saltValue="2ANCYc/+SRt2OMW2aC0im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PlRaPhPGh1lIFHvE4fcbiV1Q+PN1g4Z/Ow88QWHd5w+b5O4rItPTbnVnolMJypp3x/zA7KISQMrX5SUeQHDxkw==" saltValue="sJiOPOoYCi1Q7k8ewcLcs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18.025735670419653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18.025735670419653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5.2668836507008754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0.56149571024496792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99.99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99.99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0.23003335421429147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0.10199999999999999</v>
      </c>
      <c r="C10" s="98">
        <v>0.95</v>
      </c>
      <c r="D10" s="56">
        <v>12.84855225372141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12.84855225372141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12.84855225372141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12.84855225372141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0.10199999999999999</v>
      </c>
      <c r="C14" s="98">
        <v>0.95</v>
      </c>
      <c r="D14" s="56">
        <v>12.84855225372141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12.84855225372141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2.8407188685968858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0.33777333333333298</v>
      </c>
      <c r="C17" s="98">
        <v>0.95</v>
      </c>
      <c r="D17" s="56">
        <v>0.35500000000000004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6.3108300000000006E-2</v>
      </c>
      <c r="C18" s="98">
        <v>0.95</v>
      </c>
      <c r="D18" s="56">
        <v>5.2668836507008754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6.3108300000000006E-2</v>
      </c>
      <c r="C19" s="98">
        <v>0.95</v>
      </c>
      <c r="D19" s="56">
        <v>6.9453945454574351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2.1939130069251829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5.2668836507008754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4.1770706684296162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0.55416948499999996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0.10199999999999999</v>
      </c>
      <c r="C26" s="98">
        <v>0.95</v>
      </c>
      <c r="D26" s="56">
        <v>3.8681355531509101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13.457928721749347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0.998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</v>
      </c>
      <c r="C29" s="98">
        <v>0.95</v>
      </c>
      <c r="D29" s="56">
        <v>96.960746737260479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44.783843336315748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126.62714253872848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</v>
      </c>
      <c r="C32" s="98">
        <v>0.95</v>
      </c>
      <c r="D32" s="56">
        <v>0.46210405728622134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0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0.89980549999999992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</v>
      </c>
      <c r="C38" s="98">
        <v>0.95</v>
      </c>
      <c r="D38" s="56">
        <v>4.0706758054007581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3.4125000000000001</v>
      </c>
      <c r="E39" s="56" t="s">
        <v>212</v>
      </c>
      <c r="F39" s="98">
        <v>1</v>
      </c>
      <c r="G39" s="98">
        <v>1</v>
      </c>
    </row>
  </sheetData>
  <sheetProtection algorithmName="SHA-512" hashValue="QtBgwR/+Q4S/bVw37i7I5C0C28x+2SvaR3OdMu0DwhKDE05bP8HJGQdn+SgWof02WBp5n/0egmj4eCug5ZKCsQ==" saltValue="/jiB/H7koRiDVHzHcmwZe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4R6T5oids8L+EBjBlmmITO5p04Fzffvsakw9tek8Ew+fN6gzIDH7Kxl7ICm1spXVHmHpFbiJMEQGqkRx6uAJyg==" saltValue="0r5djrEWQCbr1FXXsmCpk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50qVnzGC3QOr9uS7hOsKRgBEMHvM5TwDJ+x/v1FbyhOQbB1o/alIwo3rBSAa3aLpmvyl6mtpthD+NejbSni7Pg==" saltValue="PvpOFGzZCnsA6bf+WfBCi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0.18975449242718465</v>
      </c>
      <c r="C3" s="21">
        <f>frac_mam_1_5months * 2.6</f>
        <v>0.18975449242718465</v>
      </c>
      <c r="D3" s="21">
        <f>frac_mam_6_11months * 2.6</f>
        <v>0.27040348097087258</v>
      </c>
      <c r="E3" s="21">
        <f>frac_mam_12_23months * 2.6</f>
        <v>0.21680483941747594</v>
      </c>
      <c r="F3" s="21">
        <f>frac_mam_24_59months * 2.6</f>
        <v>0.12225508213592233</v>
      </c>
    </row>
    <row r="4" spans="1:6" ht="15.75" customHeight="1" x14ac:dyDescent="0.25">
      <c r="A4" s="3" t="s">
        <v>236</v>
      </c>
      <c r="B4" s="21">
        <f>frac_sam_1month * 2.6</f>
        <v>0.12718111786407771</v>
      </c>
      <c r="C4" s="21">
        <f>frac_sam_1_5months * 2.6</f>
        <v>0.12718111786407771</v>
      </c>
      <c r="D4" s="21">
        <f>frac_sam_6_11months * 2.6</f>
        <v>0.14149140427184465</v>
      </c>
      <c r="E4" s="21">
        <f>frac_sam_12_23months * 2.6</f>
        <v>0.11116835145631072</v>
      </c>
      <c r="F4" s="21">
        <f>frac_sam_24_59months * 2.6</f>
        <v>5.3712357475728126E-2</v>
      </c>
    </row>
  </sheetData>
  <sheetProtection algorithmName="SHA-512" hashValue="yi67dgdz4XajjpJjpLEZ0gHsYMU5wGjr76MX8jPfv0TUzFR7s3ltIZ3/zf0T+6xdKooVbOk+yyY9/0zFtQXK6g==" saltValue="kDaGXdP/0tnKfImU0z4h9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0.377</v>
      </c>
      <c r="F2" s="60">
        <f>food_insecure</f>
        <v>0.377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0.377</v>
      </c>
      <c r="F5" s="60">
        <f>food_insecure</f>
        <v>0.377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0.377</v>
      </c>
      <c r="F8" s="60">
        <f>food_insecure</f>
        <v>0.377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0.377</v>
      </c>
      <c r="F9" s="60">
        <f>food_insecure</f>
        <v>0.377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0.377</v>
      </c>
      <c r="I15" s="60">
        <f t="shared" si="0"/>
        <v>0.377</v>
      </c>
      <c r="J15" s="60">
        <f t="shared" si="0"/>
        <v>0.377</v>
      </c>
      <c r="K15" s="60">
        <f t="shared" si="0"/>
        <v>0.377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0.377</v>
      </c>
      <c r="I16" s="60">
        <f t="shared" si="0"/>
        <v>0.377</v>
      </c>
      <c r="J16" s="60">
        <f t="shared" si="0"/>
        <v>0.377</v>
      </c>
      <c r="K16" s="60">
        <f t="shared" si="0"/>
        <v>0.377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0.52200000000000002</v>
      </c>
      <c r="M24" s="60">
        <f>famplan_unmet_need</f>
        <v>0.52200000000000002</v>
      </c>
      <c r="N24" s="60">
        <f>famplan_unmet_need</f>
        <v>0.52200000000000002</v>
      </c>
      <c r="O24" s="60">
        <f>famplan_unmet_need</f>
        <v>0.52200000000000002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0.13799890918800001</v>
      </c>
      <c r="M25" s="60">
        <f>(1-food_insecure)*(0.49)+food_insecure*(0.7)</f>
        <v>0.56916999999999995</v>
      </c>
      <c r="N25" s="60">
        <f>(1-food_insecure)*(0.49)+food_insecure*(0.7)</f>
        <v>0.56916999999999995</v>
      </c>
      <c r="O25" s="60">
        <f>(1-food_insecure)*(0.49)+food_insecure*(0.7)</f>
        <v>0.56916999999999995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5.9142389652000006E-2</v>
      </c>
      <c r="M26" s="60">
        <f>(1-food_insecure)*(0.21)+food_insecure*(0.3)</f>
        <v>0.24392999999999998</v>
      </c>
      <c r="N26" s="60">
        <f>(1-food_insecure)*(0.21)+food_insecure*(0.3)</f>
        <v>0.24392999999999998</v>
      </c>
      <c r="O26" s="60">
        <f>(1-food_insecure)*(0.21)+food_insecure*(0.3)</f>
        <v>0.24392999999999998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4.5315101159999996E-2</v>
      </c>
      <c r="M27" s="60">
        <f>(1-food_insecure)*(0.3)</f>
        <v>0.18689999999999998</v>
      </c>
      <c r="N27" s="60">
        <f>(1-food_insecure)*(0.3)</f>
        <v>0.18689999999999998</v>
      </c>
      <c r="O27" s="60">
        <f>(1-food_insecure)*(0.3)</f>
        <v>0.18689999999999998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0.75754359999999998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APgO4KC6vuo2Lz+PpgE+Mabq/mCIQpJLeEvb7X5IHhDmHKGuD6p7klVBV6hKiUbKmAF/7Jh7+Rz5cfyCkxtRrg==" saltValue="83p/iGlhzj5WlsjHgP9q5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pkYq+7K1VmWzaIsnwNA1E0zAnYvSGd3TWHQI64YopzxCyDj+gvvs93Wteq15Ql6Vr8j/PdcNqLO/WgZuS4FUrA==" saltValue="5UveqdK+9d2NMkkvugzQs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u7Xg84reTPmbng2BiKbc4NTcc2k7gWEVvYnwkluXs+pXcEeJ1J4bw2FsYvxFaV/PaeOoWfmGe8EYKsHO3XKmPg==" saltValue="d1rbOK7SH2yRkaw8XqcbF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Ue0PfgxFjkKUn0YxxjixeGsoNdatTT/Pm1JB4YKDdAWwDf5aSHh4SkSC0IZgoIrIO8U3MgMX6rn6Nb4hhtOQBg==" saltValue="CVxipb79pfMo0eCbqkAqr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X5PiXYzUaE2GEHO278ut3sMpCcLgFZNO2WzbstaIo1CxCkuom1fl0A6/bK5C5q885ZaRABv/Ror+eHtpbSOSFQ==" saltValue="yPTKf3FwQU4nnvctm/AtA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uSvjCGsfeoKHhyCwXQOtxufAYh16kNA8qf65WXeMS6UtvP5YsRpE+ggS3jUnYdZP2TBgDAYH61dVsueA5cniIw==" saltValue="cE1rCkukrV+v0F7VLZ+QB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FLrI/OGMzOvWo8ckNJJgUH+ZGyUcpLlsO7/WKmLcC2SSorSOBi7unKMe1Fz6tKTKP9AoBakBA0B4G1n2E1ydaQ==" saltValue="Np2VUP+fhl9f0bJwsCwXM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3A9D0uZVHB+eTEcneNviMPPCrDHxF4J8LvQ0egEsTegHy7CPxub4FErDqVAHY6yVe6z61QTG7MurqtQASBaxjw==" saltValue="/cMLWPuqZasGLEREXPsW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dnIk9ZNeEMjZ/W6ysDxRqRATbEbunYP4qExZWTp7xXaA9w0d9XVPCE0gGepyFxlNBaOVVDuTl9eK9JmMSMqbEQ==" saltValue="/N9shRp6u96feJyV6v9U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nV3dO/rNPXK7KNaB1Nu1jiZZqACBa4DrqCKmYesk2aYB3qiLeO+NNWgZ7Wwg0aihcm236dyl1Fq5RJ76mU2H1g==" saltValue="aV2RrcTWPnJA9fCN1EsZ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WnjixS6uXDleXR8/D80RjFGBbV4uQnc7DzV84dX/fi836ds4kflvRT4h0PJ3IPfKQRbPnTy2q68JSdfYfmKtbA==" saltValue="tLGLX2mjnlQ100mHUOUG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F0HNZviwXmdJIOLDIGvDLDKMTKsCyaUjecC4yR+Vj5pHx9E63L6gPonq0wFQD94j8TdKBgaghoEi3UFV8qPwIw==" saltValue="anCdq6J8Hhyx1Mg07/1r6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DS/q9J2SlS5iaBFQBjLwJR6ueGNmV7Cjot1JSTAMZmK796VBGPn6g7dt+H03FFNMYl0khJj7mvVZ8IsJ3WkmQ==" saltValue="NIb2gR7As2SaWvSoCiLbe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++iJflspKUc3ivnCNLJgmyX9OVBPJHucnxyI+CrJuXrf0QY/sObEzGRfSeYx5trPcScvT21tAC/dJXpfejyWMA==" saltValue="6oEZURO/qR0st0te/eTu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8dtlGsZoHMxqghRwkMXjiAXtAGbfztO3bCZd9zzmYeG/jH74pqta+19q8epGTTqqSbwFeZ5PA1hDyfx1Uk083w==" saltValue="lDrn4BJlCH8TiBUUoAGQA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2025-07-04T00:59:59Z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