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4D284300-FC35-4F8A-ABCE-A9D57AB1669D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<sst xmlns="http://schemas.openxmlformats.org/spreadsheetml/2006/main" count="2102" uniqueCount="341">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</sst>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48375.50732421875</v>
      </c>
    </row>
    <row r="8" spans="1:3" ht="15" customHeight="1" x14ac:dyDescent="0.25">
      <c r="B8" s="5" t="s">
        <v>44</v>
      </c>
      <c r="C8" s="44">
        <v>3.2000000000000001E-2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0.67868072509765598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0.52200000000000002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0.16</v>
      </c>
    </row>
    <row r="24" spans="1:3" ht="15" customHeight="1" x14ac:dyDescent="0.25">
      <c r="B24" s="15" t="s">
        <v>46</v>
      </c>
      <c r="C24" s="45">
        <v>0.51100000000000001</v>
      </c>
    </row>
    <row r="25" spans="1:3" ht="15" customHeight="1" x14ac:dyDescent="0.25">
      <c r="B25" s="15" t="s">
        <v>47</v>
      </c>
      <c r="C25" s="45">
        <v>0.26350000000000001</v>
      </c>
    </row>
    <row r="26" spans="1:3" ht="15" customHeight="1" x14ac:dyDescent="0.25">
      <c r="B26" s="15" t="s">
        <v>48</v>
      </c>
      <c r="C26" s="45">
        <v>6.5500000000000003E-2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0.27342300031322098</v>
      </c>
    </row>
    <row r="30" spans="1:3" ht="14.25" customHeight="1" x14ac:dyDescent="0.25">
      <c r="B30" s="25" t="s">
        <v>63</v>
      </c>
      <c r="C30" s="99">
        <v>5.2040607424200101E-2</v>
      </c>
    </row>
    <row r="31" spans="1:3" ht="14.25" customHeight="1" x14ac:dyDescent="0.25">
      <c r="B31" s="25" t="s">
        <v>10</v>
      </c>
      <c r="C31" s="99">
        <v>6.8435949585570102E-2</v>
      </c>
    </row>
    <row r="32" spans="1:3" ht="14.25" customHeight="1" x14ac:dyDescent="0.25">
      <c r="B32" s="25" t="s">
        <v>11</v>
      </c>
      <c r="C32" s="99">
        <v>0.60610044267700902</v>
      </c>
    </row>
    <row r="33" spans="1:5" ht="13" customHeight="1" x14ac:dyDescent="0.25">
      <c r="B33" s="27" t="s">
        <v>60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8.3748699999999996</v>
      </c>
    </row>
    <row r="38" spans="1:5" ht="15" customHeight="1" x14ac:dyDescent="0.25">
      <c r="B38" s="11" t="s">
        <v>35</v>
      </c>
      <c r="C38" s="43">
        <v>11.663259999999999</v>
      </c>
      <c r="D38" s="12"/>
      <c r="E38" s="13"/>
    </row>
    <row r="39" spans="1:5" ht="15" customHeight="1" x14ac:dyDescent="0.25">
      <c r="B39" s="11" t="s">
        <v>61</v>
      </c>
      <c r="C39" s="43">
        <v>13.54884</v>
      </c>
      <c r="D39" s="12"/>
      <c r="E39" s="12"/>
    </row>
    <row r="40" spans="1:5" ht="15" customHeight="1" x14ac:dyDescent="0.25">
      <c r="B40" s="11" t="s">
        <v>36</v>
      </c>
      <c r="C40" s="100">
        <v>0.42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9.1148799999999994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7.9498999999999993E-3</v>
      </c>
      <c r="D45" s="12"/>
    </row>
    <row r="46" spans="1:5" ht="15.75" customHeight="1" x14ac:dyDescent="0.25">
      <c r="B46" s="11" t="s">
        <v>51</v>
      </c>
      <c r="C46" s="45">
        <v>8.5420099999999999E-2</v>
      </c>
      <c r="D46" s="12"/>
    </row>
    <row r="47" spans="1:5" ht="15.75" customHeight="1" x14ac:dyDescent="0.25">
      <c r="B47" s="11" t="s">
        <v>59</v>
      </c>
      <c r="C47" s="45">
        <v>7.3440500000000006E-2</v>
      </c>
      <c r="D47" s="12"/>
      <c r="E47" s="13"/>
    </row>
    <row r="48" spans="1:5" ht="15" customHeight="1" x14ac:dyDescent="0.25">
      <c r="B48" s="11" t="s">
        <v>58</v>
      </c>
      <c r="C48" s="46">
        <v>0.83318950000000003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0.478043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XFAajSxDdc18FSoCka2UR/dQLCkVsNSdtgnL3tMcsC+XAKvMPgTsElLh+9m2vlO0KySajFiNkArTBkfmwYq05g==" saltValue="SZ6DDKcTVcaMSM7B+Vvo0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9763</v>
      </c>
      <c r="C2" s="49">
        <v>31527.5</v>
      </c>
      <c r="D2" s="49">
        <v>53634</v>
      </c>
      <c r="E2" s="49">
        <v>52833.5</v>
      </c>
      <c r="F2" s="49">
        <v>30866.5</v>
      </c>
      <c r="G2" s="17">
        <f t="shared" ref="G2:G13" si="0">C2+D2+E2+F2</f>
        <v>168861.5</v>
      </c>
      <c r="H2" s="17">
        <f t="shared" ref="H2:H13" si="1">(B2 + stillbirth*B2/(1000-stillbirth))/(1-abortion)</f>
        <v>11196.371766908944</v>
      </c>
      <c r="I2" s="17">
        <f t="shared" ref="I2:I13" si="2">G2-H2</f>
        <v>157665.12823309106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9652</v>
      </c>
      <c r="C3" s="50">
        <v>31657</v>
      </c>
      <c r="D3" s="50">
        <v>52720.5</v>
      </c>
      <c r="E3" s="50">
        <v>53963.999999999993</v>
      </c>
      <c r="F3" s="50">
        <v>32312.5</v>
      </c>
      <c r="G3" s="17">
        <f t="shared" si="0"/>
        <v>170654</v>
      </c>
      <c r="H3" s="17">
        <f t="shared" si="1"/>
        <v>11069.075109516043</v>
      </c>
      <c r="I3" s="17">
        <f t="shared" si="2"/>
        <v>159584.92489048396</v>
      </c>
    </row>
    <row r="4" spans="1:9" ht="15.75" customHeight="1" x14ac:dyDescent="0.25">
      <c r="A4" s="5">
        <f t="shared" si="3"/>
        <v>2026</v>
      </c>
      <c r="B4" s="49">
        <v>9623</v>
      </c>
      <c r="C4" s="50">
        <v>31614</v>
      </c>
      <c r="D4" s="50">
        <v>52091.5</v>
      </c>
      <c r="E4" s="50">
        <v>54724.5</v>
      </c>
      <c r="F4" s="50">
        <v>33850.5</v>
      </c>
      <c r="G4" s="17">
        <f t="shared" si="0"/>
        <v>172280.5</v>
      </c>
      <c r="H4" s="17">
        <f t="shared" si="1"/>
        <v>11035.817424251232</v>
      </c>
      <c r="I4" s="17">
        <f t="shared" si="2"/>
        <v>161244.68257574877</v>
      </c>
    </row>
    <row r="5" spans="1:9" ht="15.75" customHeight="1" x14ac:dyDescent="0.25">
      <c r="A5" s="5">
        <f t="shared" si="3"/>
        <v>2027</v>
      </c>
      <c r="B5" s="49">
        <v>9585</v>
      </c>
      <c r="C5" s="50">
        <v>31355</v>
      </c>
      <c r="D5" s="50">
        <v>51704.5</v>
      </c>
      <c r="E5" s="50">
        <v>55135.5</v>
      </c>
      <c r="F5" s="50">
        <v>35438</v>
      </c>
      <c r="G5" s="17">
        <f t="shared" si="0"/>
        <v>173633</v>
      </c>
      <c r="H5" s="17">
        <f t="shared" si="1"/>
        <v>10992.238388386995</v>
      </c>
      <c r="I5" s="17">
        <f t="shared" si="2"/>
        <v>162640.76161161301</v>
      </c>
    </row>
    <row r="6" spans="1:9" ht="15.75" customHeight="1" x14ac:dyDescent="0.25">
      <c r="A6" s="5">
        <f t="shared" si="3"/>
        <v>2028</v>
      </c>
      <c r="B6" s="49">
        <v>9521</v>
      </c>
      <c r="C6" s="50">
        <v>31118</v>
      </c>
      <c r="D6" s="50">
        <v>51406</v>
      </c>
      <c r="E6" s="50">
        <v>55303</v>
      </c>
      <c r="F6" s="50">
        <v>37007</v>
      </c>
      <c r="G6" s="17">
        <f t="shared" si="0"/>
        <v>174834</v>
      </c>
      <c r="H6" s="17">
        <f t="shared" si="1"/>
        <v>10918.842117457754</v>
      </c>
      <c r="I6" s="17">
        <f t="shared" si="2"/>
        <v>163915.15788254223</v>
      </c>
    </row>
    <row r="7" spans="1:9" ht="15.75" customHeight="1" x14ac:dyDescent="0.25">
      <c r="A7" s="5">
        <f t="shared" si="3"/>
        <v>2029</v>
      </c>
      <c r="B7" s="49">
        <v>9453</v>
      </c>
      <c r="C7" s="50">
        <v>30950</v>
      </c>
      <c r="D7" s="50">
        <v>51082</v>
      </c>
      <c r="E7" s="50">
        <v>55299.5</v>
      </c>
      <c r="F7" s="50">
        <v>38552</v>
      </c>
      <c r="G7" s="17">
        <f t="shared" si="0"/>
        <v>175883.5</v>
      </c>
      <c r="H7" s="17">
        <f t="shared" si="1"/>
        <v>10840.858579595439</v>
      </c>
      <c r="I7" s="17">
        <f t="shared" si="2"/>
        <v>165042.64142040457</v>
      </c>
    </row>
    <row r="8" spans="1:9" ht="15.75" customHeight="1" x14ac:dyDescent="0.25">
      <c r="A8" s="5">
        <f t="shared" si="3"/>
        <v>2030</v>
      </c>
      <c r="B8" s="49">
        <v>9398</v>
      </c>
      <c r="C8" s="50">
        <v>30794</v>
      </c>
      <c r="D8" s="50">
        <v>50848</v>
      </c>
      <c r="E8" s="50">
        <v>55099.5</v>
      </c>
      <c r="F8" s="50">
        <v>40102</v>
      </c>
      <c r="G8" s="17">
        <f t="shared" si="0"/>
        <v>176843.5</v>
      </c>
      <c r="H8" s="17">
        <f t="shared" si="1"/>
        <v>10777.783659265622</v>
      </c>
      <c r="I8" s="17">
        <f t="shared" si="2"/>
        <v>166065.71634073439</v>
      </c>
    </row>
    <row r="9" spans="1:9" ht="15.75" customHeight="1" x14ac:dyDescent="0.25">
      <c r="A9" s="5">
        <f t="shared" si="3"/>
        <v>2031</v>
      </c>
      <c r="B9" s="49">
        <v>9315</v>
      </c>
      <c r="C9" s="50">
        <v>30568</v>
      </c>
      <c r="D9" s="50">
        <v>50894.5</v>
      </c>
      <c r="E9" s="50">
        <v>54612</v>
      </c>
      <c r="F9" s="50">
        <v>41636</v>
      </c>
      <c r="G9" s="17">
        <f t="shared" si="0"/>
        <v>177710.5</v>
      </c>
      <c r="H9" s="17">
        <f t="shared" si="1"/>
        <v>10682.597870404263</v>
      </c>
      <c r="I9" s="17">
        <f t="shared" si="2"/>
        <v>167027.90212959575</v>
      </c>
    </row>
    <row r="10" spans="1:9" ht="15.75" customHeight="1" x14ac:dyDescent="0.25">
      <c r="A10" s="5">
        <f t="shared" si="3"/>
        <v>2032</v>
      </c>
      <c r="B10" s="49">
        <v>9281</v>
      </c>
      <c r="C10" s="50">
        <v>30302</v>
      </c>
      <c r="D10" s="50">
        <v>50999.5</v>
      </c>
      <c r="E10" s="50">
        <v>53839</v>
      </c>
      <c r="F10" s="50">
        <v>43112.5</v>
      </c>
      <c r="G10" s="17">
        <f t="shared" si="0"/>
        <v>178253</v>
      </c>
      <c r="H10" s="17">
        <f t="shared" si="1"/>
        <v>10643.606101473106</v>
      </c>
      <c r="I10" s="17">
        <f t="shared" si="2"/>
        <v>167609.39389852691</v>
      </c>
    </row>
    <row r="11" spans="1:9" ht="15.75" customHeight="1" x14ac:dyDescent="0.25">
      <c r="A11" s="5">
        <f t="shared" si="3"/>
        <v>2033</v>
      </c>
      <c r="B11" s="49">
        <v>9208</v>
      </c>
      <c r="C11" s="50">
        <v>30078.5</v>
      </c>
      <c r="D11" s="50">
        <v>50971.5</v>
      </c>
      <c r="E11" s="50">
        <v>52911.5</v>
      </c>
      <c r="F11" s="50">
        <v>44540.5</v>
      </c>
      <c r="G11" s="17">
        <f t="shared" si="0"/>
        <v>178502</v>
      </c>
      <c r="H11" s="17">
        <f t="shared" si="1"/>
        <v>10559.888479944439</v>
      </c>
      <c r="I11" s="17">
        <f t="shared" si="2"/>
        <v>167942.11152005557</v>
      </c>
    </row>
    <row r="12" spans="1:9" ht="15.75" customHeight="1" x14ac:dyDescent="0.25">
      <c r="A12" s="5">
        <f t="shared" si="3"/>
        <v>2034</v>
      </c>
      <c r="B12" s="49">
        <v>9126</v>
      </c>
      <c r="C12" s="50">
        <v>29838.5</v>
      </c>
      <c r="D12" s="50">
        <v>50917</v>
      </c>
      <c r="E12" s="50">
        <v>51957.5</v>
      </c>
      <c r="F12" s="50">
        <v>45902</v>
      </c>
      <c r="G12" s="17">
        <f t="shared" si="0"/>
        <v>178615</v>
      </c>
      <c r="H12" s="17">
        <f t="shared" si="1"/>
        <v>10465.849507816351</v>
      </c>
      <c r="I12" s="17">
        <f t="shared" si="2"/>
        <v>168149.15049218366</v>
      </c>
    </row>
    <row r="13" spans="1:9" ht="15.75" customHeight="1" x14ac:dyDescent="0.25">
      <c r="A13" s="5">
        <f t="shared" si="3"/>
        <v>2035</v>
      </c>
      <c r="B13" s="49">
        <v>9093</v>
      </c>
      <c r="C13" s="50">
        <v>29571</v>
      </c>
      <c r="D13" s="50">
        <v>50807.5</v>
      </c>
      <c r="E13" s="50">
        <v>51138</v>
      </c>
      <c r="F13" s="50">
        <v>47128</v>
      </c>
      <c r="G13" s="17">
        <f t="shared" si="0"/>
        <v>178644.5</v>
      </c>
      <c r="H13" s="17">
        <f t="shared" si="1"/>
        <v>10428.004555618461</v>
      </c>
      <c r="I13" s="17">
        <f t="shared" si="2"/>
        <v>168216.49544438155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6VLD9/urwwaqtBtAJ5oumgSj1xlw0jrcK6z+RSKZr0UaJ03aIXZIQL/yOOdA08xFj8v9ns94WtjKcnYFFn+MNA==" saltValue="er2Jf3DIr9yTnWkhXaIjw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2.3714377321137239E-4</v>
      </c>
    </row>
    <row r="4" spans="1:8" ht="15.75" customHeight="1" x14ac:dyDescent="0.25">
      <c r="B4" s="19" t="s">
        <v>97</v>
      </c>
      <c r="C4" s="101">
        <v>6.8990142437228216E-2</v>
      </c>
    </row>
    <row r="5" spans="1:8" ht="15.75" customHeight="1" x14ac:dyDescent="0.25">
      <c r="B5" s="19" t="s">
        <v>95</v>
      </c>
      <c r="C5" s="101">
        <v>2.154879078170566E-2</v>
      </c>
    </row>
    <row r="6" spans="1:8" ht="15.75" customHeight="1" x14ac:dyDescent="0.25">
      <c r="B6" s="19" t="s">
        <v>91</v>
      </c>
      <c r="C6" s="101">
        <v>0.1476192994640973</v>
      </c>
    </row>
    <row r="7" spans="1:8" ht="15.75" customHeight="1" x14ac:dyDescent="0.25">
      <c r="B7" s="19" t="s">
        <v>96</v>
      </c>
      <c r="C7" s="101">
        <v>0.4627929717863894</v>
      </c>
    </row>
    <row r="8" spans="1:8" ht="15.75" customHeight="1" x14ac:dyDescent="0.25">
      <c r="B8" s="19" t="s">
        <v>98</v>
      </c>
      <c r="C8" s="101">
        <v>8.2448451472156015E-3</v>
      </c>
    </row>
    <row r="9" spans="1:8" ht="15.75" customHeight="1" x14ac:dyDescent="0.25">
      <c r="B9" s="19" t="s">
        <v>92</v>
      </c>
      <c r="C9" s="101">
        <v>0.21754911910386021</v>
      </c>
    </row>
    <row r="10" spans="1:8" ht="15.75" customHeight="1" x14ac:dyDescent="0.25">
      <c r="B10" s="19" t="s">
        <v>94</v>
      </c>
      <c r="C10" s="101">
        <v>7.3017687506292284E-2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0.19858224738630861</v>
      </c>
      <c r="D14" s="55">
        <v>0.19858224738630861</v>
      </c>
      <c r="E14" s="55">
        <v>0.19858224738630861</v>
      </c>
      <c r="F14" s="55">
        <v>0.19858224738630861</v>
      </c>
    </row>
    <row r="15" spans="1:8" ht="15.75" customHeight="1" x14ac:dyDescent="0.25">
      <c r="B15" s="19" t="s">
        <v>102</v>
      </c>
      <c r="C15" s="101">
        <v>0.4050345629371549</v>
      </c>
      <c r="D15" s="101">
        <v>0.4050345629371549</v>
      </c>
      <c r="E15" s="101">
        <v>0.4050345629371549</v>
      </c>
      <c r="F15" s="101">
        <v>0.4050345629371549</v>
      </c>
    </row>
    <row r="16" spans="1:8" ht="15.75" customHeight="1" x14ac:dyDescent="0.25">
      <c r="B16" s="19" t="s">
        <v>2</v>
      </c>
      <c r="C16" s="101">
        <v>4.0658347197660587E-2</v>
      </c>
      <c r="D16" s="101">
        <v>4.0658347197660587E-2</v>
      </c>
      <c r="E16" s="101">
        <v>4.0658347197660587E-2</v>
      </c>
      <c r="F16" s="101">
        <v>4.0658347197660587E-2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1.085726120409349E-2</v>
      </c>
      <c r="D19" s="101">
        <v>1.085726120409349E-2</v>
      </c>
      <c r="E19" s="101">
        <v>1.085726120409349E-2</v>
      </c>
      <c r="F19" s="101">
        <v>1.085726120409349E-2</v>
      </c>
    </row>
    <row r="20" spans="1:8" ht="15.75" customHeight="1" x14ac:dyDescent="0.25">
      <c r="B20" s="19" t="s">
        <v>79</v>
      </c>
      <c r="C20" s="101">
        <v>5.2607638499198479E-2</v>
      </c>
      <c r="D20" s="101">
        <v>5.2607638499198479E-2</v>
      </c>
      <c r="E20" s="101">
        <v>5.2607638499198479E-2</v>
      </c>
      <c r="F20" s="101">
        <v>5.2607638499198479E-2</v>
      </c>
    </row>
    <row r="21" spans="1:8" ht="15.75" customHeight="1" x14ac:dyDescent="0.25">
      <c r="B21" s="19" t="s">
        <v>88</v>
      </c>
      <c r="C21" s="101">
        <v>0.2133313545305191</v>
      </c>
      <c r="D21" s="101">
        <v>0.2133313545305191</v>
      </c>
      <c r="E21" s="101">
        <v>0.2133313545305191</v>
      </c>
      <c r="F21" s="101">
        <v>0.2133313545305191</v>
      </c>
    </row>
    <row r="22" spans="1:8" ht="15.75" customHeight="1" x14ac:dyDescent="0.25">
      <c r="B22" s="19" t="s">
        <v>99</v>
      </c>
      <c r="C22" s="101">
        <v>7.8928588245065115E-2</v>
      </c>
      <c r="D22" s="101">
        <v>7.8928588245065115E-2</v>
      </c>
      <c r="E22" s="101">
        <v>7.8928588245065115E-2</v>
      </c>
      <c r="F22" s="101">
        <v>7.8928588245065115E-2</v>
      </c>
    </row>
    <row r="23" spans="1:8" ht="15.75" customHeight="1" x14ac:dyDescent="0.25">
      <c r="B23" s="27" t="s">
        <v>60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8.8581064000000001E-2</v>
      </c>
    </row>
    <row r="27" spans="1:8" ht="15.75" customHeight="1" x14ac:dyDescent="0.25">
      <c r="B27" s="19" t="s">
        <v>89</v>
      </c>
      <c r="C27" s="101">
        <v>8.3095249999999999E-3</v>
      </c>
    </row>
    <row r="28" spans="1:8" ht="15.75" customHeight="1" x14ac:dyDescent="0.25">
      <c r="B28" s="19" t="s">
        <v>103</v>
      </c>
      <c r="C28" s="101">
        <v>0.157741201</v>
      </c>
    </row>
    <row r="29" spans="1:8" ht="15.75" customHeight="1" x14ac:dyDescent="0.25">
      <c r="B29" s="19" t="s">
        <v>86</v>
      </c>
      <c r="C29" s="101">
        <v>0.16874623</v>
      </c>
    </row>
    <row r="30" spans="1:8" ht="15.75" customHeight="1" x14ac:dyDescent="0.25">
      <c r="B30" s="19" t="s">
        <v>4</v>
      </c>
      <c r="C30" s="101">
        <v>0.10641809300000001</v>
      </c>
    </row>
    <row r="31" spans="1:8" ht="15.75" customHeight="1" x14ac:dyDescent="0.25">
      <c r="B31" s="19" t="s">
        <v>80</v>
      </c>
      <c r="C31" s="101">
        <v>0.109242019</v>
      </c>
    </row>
    <row r="32" spans="1:8" ht="15.75" customHeight="1" x14ac:dyDescent="0.25">
      <c r="B32" s="19" t="s">
        <v>85</v>
      </c>
      <c r="C32" s="101">
        <v>1.8835845E-2</v>
      </c>
    </row>
    <row r="33" spans="2:3" ht="15.75" customHeight="1" x14ac:dyDescent="0.25">
      <c r="B33" s="19" t="s">
        <v>100</v>
      </c>
      <c r="C33" s="101">
        <v>8.4593191999999998E-2</v>
      </c>
    </row>
    <row r="34" spans="2:3" ht="15.75" customHeight="1" x14ac:dyDescent="0.25">
      <c r="B34" s="19" t="s">
        <v>87</v>
      </c>
      <c r="C34" s="101">
        <v>0.25753283100000002</v>
      </c>
    </row>
    <row r="35" spans="2:3" ht="15.75" customHeight="1" x14ac:dyDescent="0.25">
      <c r="B35" s="27" t="s">
        <v>60</v>
      </c>
      <c r="C35" s="48">
        <f>SUM(C26:C34)</f>
        <v>1</v>
      </c>
    </row>
  </sheetData>
  <sheetProtection algorithmName="SHA-512" hashValue="6WfScvIdbQgw+la2H/6KmoDe9oWEZyTPOxo+P4t3dp1IpbeONOR3pt1gQ10cWbBAen/TmYx3MnQYHNAoCiY5hA==" saltValue="oR2TdrH5I332Gwqa9ED7j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110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106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107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119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0.46033876800000001</v>
      </c>
      <c r="D14" s="54">
        <v>0.44014876555400001</v>
      </c>
      <c r="E14" s="54">
        <v>0.44014876555400001</v>
      </c>
      <c r="F14" s="54">
        <v>0.382676710483</v>
      </c>
      <c r="G14" s="54">
        <v>0.382676710483</v>
      </c>
      <c r="H14" s="45">
        <v>0.42899999999999999</v>
      </c>
      <c r="I14" s="55">
        <v>0.42899999999999999</v>
      </c>
      <c r="J14" s="55">
        <v>0.42899999999999999</v>
      </c>
      <c r="K14" s="55">
        <v>0.42899999999999999</v>
      </c>
      <c r="L14" s="45">
        <v>0.32800000000000001</v>
      </c>
      <c r="M14" s="55">
        <v>0.32800000000000001</v>
      </c>
      <c r="N14" s="55">
        <v>0.32800000000000001</v>
      </c>
      <c r="O14" s="55">
        <v>0.32800000000000001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0.220061725671024</v>
      </c>
      <c r="D15" s="52">
        <f t="shared" si="0"/>
        <v>0.21041003633173083</v>
      </c>
      <c r="E15" s="52">
        <f t="shared" si="0"/>
        <v>0.21041003633173083</v>
      </c>
      <c r="F15" s="52">
        <f t="shared" si="0"/>
        <v>0.18293592270942477</v>
      </c>
      <c r="G15" s="52">
        <f t="shared" si="0"/>
        <v>0.18293592270942477</v>
      </c>
      <c r="H15" s="52">
        <f t="shared" si="0"/>
        <v>0.205080447</v>
      </c>
      <c r="I15" s="52">
        <f t="shared" si="0"/>
        <v>0.205080447</v>
      </c>
      <c r="J15" s="52">
        <f t="shared" si="0"/>
        <v>0.205080447</v>
      </c>
      <c r="K15" s="52">
        <f t="shared" si="0"/>
        <v>0.205080447</v>
      </c>
      <c r="L15" s="52">
        <f t="shared" si="0"/>
        <v>0.15679810399999999</v>
      </c>
      <c r="M15" s="52">
        <f t="shared" si="0"/>
        <v>0.15679810399999999</v>
      </c>
      <c r="N15" s="52">
        <f t="shared" si="0"/>
        <v>0.15679810399999999</v>
      </c>
      <c r="O15" s="52">
        <f t="shared" si="0"/>
        <v>0.15679810399999999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EjVURzerHg2XsWmC7a91JySND5aWdG3yuaJS6hWeg+1NW3YYFYf10iilJwnTcISb8GID3RXb1G7Y3gp3tlyDw==" saltValue="jTBngDgch4HsPeMEasQQ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9.2236899999999997E-2</v>
      </c>
      <c r="D2" s="53">
        <v>6.3108300000000006E-2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0.1138975</v>
      </c>
      <c r="D3" s="53">
        <v>0.11909740000000001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0.14785380000000001</v>
      </c>
      <c r="D4" s="53">
        <v>0.43906440000000002</v>
      </c>
      <c r="E4" s="53">
        <v>0.83675640000000007</v>
      </c>
      <c r="F4" s="53">
        <v>0.38914690000000002</v>
      </c>
      <c r="G4" s="53">
        <v>0</v>
      </c>
    </row>
    <row r="5" spans="1:7" x14ac:dyDescent="0.25">
      <c r="B5" s="3" t="s">
        <v>125</v>
      </c>
      <c r="C5" s="52">
        <v>0.64601169999999997</v>
      </c>
      <c r="D5" s="52">
        <v>0.37872990000000001</v>
      </c>
      <c r="E5" s="52">
        <f>1-SUM(E2:E4)</f>
        <v>0.16324359999999993</v>
      </c>
      <c r="F5" s="52">
        <f>1-SUM(F2:F4)</f>
        <v>0.61085309999999993</v>
      </c>
      <c r="G5" s="52">
        <f>1-SUM(G2:G4)</f>
        <v>1</v>
      </c>
    </row>
  </sheetData>
  <sheetProtection algorithmName="SHA-512" hashValue="vjpFnLefYnew+e16mz5dBErTQuHBdfPcqqrlDUCPqfbC5GXMxZ+bVVCHpp8Og0jwzkuBqpm11MpCY6uGI9Gc9Q==" saltValue="fMZN38/RbGNOe8Yo9lcxF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FnPkFT+W3nbeoJeuKlV/IZGWXn4OjE+2OusPrmhDpMWPhYweL/r++UhJyinQdb7vZZX7mCpWR3gLgfgWG7cpQg==" saltValue="kcYqPqwPyUi53mrSHjZ+6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x14ac:dyDescent="0.25">
      <c r="A2" s="8" t="s">
        <v>144</v>
      </c>
      <c r="B2" s="41">
        <v>10</v>
      </c>
    </row>
    <row r="3" spans="1:2" x14ac:dyDescent="0.25">
      <c r="A3" s="8" t="s">
        <v>143</v>
      </c>
      <c r="B3" s="41">
        <v>10</v>
      </c>
    </row>
    <row r="4" spans="1:2" x14ac:dyDescent="0.25">
      <c r="A4" s="8" t="s">
        <v>142</v>
      </c>
      <c r="B4" s="41">
        <v>10</v>
      </c>
    </row>
    <row r="5" spans="1:2" x14ac:dyDescent="0.25">
      <c r="A5" s="8" t="s">
        <v>146</v>
      </c>
      <c r="B5" s="41">
        <v>10</v>
      </c>
    </row>
    <row r="6" spans="1:2" x14ac:dyDescent="0.25">
      <c r="A6" s="8" t="s">
        <v>140</v>
      </c>
      <c r="B6" s="41">
        <v>10</v>
      </c>
    </row>
    <row r="7" spans="1:2" x14ac:dyDescent="0.25">
      <c r="A7" s="8" t="s">
        <v>141</v>
      </c>
      <c r="B7" s="41">
        <v>10</v>
      </c>
    </row>
  </sheetData>
  <sheetProtection algorithmName="SHA-512" hashValue="kOh3wWlyL8cybeH/NMNjQpeW7G/R59sNnUJ6jT5ohzd1DZMDRYvVC98IbR2BBRrtZPVGAbqQ0zek88kbK2HTNw==" saltValue="P83xKCzzT8SrSEtTQPKHy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x14ac:dyDescent="0.25">
      <c r="B10" s="32" t="s">
        <v>78</v>
      </c>
      <c r="C10" s="47"/>
      <c r="D10" s="47"/>
      <c r="E10" s="38" t="str">
        <f>IF(E$7="","",E$7)</f>
        <v/>
      </c>
    </row>
    <row r="11" spans="1:5" x14ac:dyDescent="0.25">
      <c r="B11" s="32" t="s">
        <v>74</v>
      </c>
      <c r="C11" s="47"/>
      <c r="D11" s="47"/>
      <c r="E11" s="38" t="str">
        <f>IF(E$7="","",E$7)</f>
        <v/>
      </c>
    </row>
    <row r="12" spans="1:5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W0KQGvQEtwPV6n7azS2nbiXvLOwwR6blZRXdpcCIXkgUcZ1+Rk6ecfaywJ4h1kRK9Saq7/LTx5f0zJvSZqHD7g==" saltValue="z0j/gUmURme1Jec68fvAb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S2als9vMm0WM8oqMZXjQ/JdQrlz9d4k3YImj0tQWjSkH9O7bEp4rxDwLhuUD2AOGSPVzWaL+UeV4DGMZpA4yog==" saltValue="V8WnG9qx5bjnKKQbnAax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50.717962815851763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0.22250339999999999</v>
      </c>
      <c r="C3" s="98">
        <v>0.95</v>
      </c>
      <c r="D3" s="56">
        <v>39.716252809925493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299.77526795353111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1.028663060260697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0.10199999999999999</v>
      </c>
      <c r="C10" s="98">
        <v>0.95</v>
      </c>
      <c r="D10" s="56">
        <v>12.84855225372141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0.10199999999999999</v>
      </c>
      <c r="C11" s="98">
        <v>0.95</v>
      </c>
      <c r="D11" s="56">
        <v>12.84855225372141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0.10199999999999999</v>
      </c>
      <c r="C12" s="98">
        <v>0.95</v>
      </c>
      <c r="D12" s="56">
        <v>12.84855225372141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0.10199999999999999</v>
      </c>
      <c r="C13" s="98">
        <v>0.95</v>
      </c>
      <c r="D13" s="56">
        <v>12.84855225372141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0.10199999999999999</v>
      </c>
      <c r="C14" s="98">
        <v>0.95</v>
      </c>
      <c r="D14" s="56">
        <v>12.84855225372141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0.10199999999999999</v>
      </c>
      <c r="C15" s="98">
        <v>0.95</v>
      </c>
      <c r="D15" s="56">
        <v>12.84855225372141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0.96</v>
      </c>
      <c r="C16" s="98">
        <v>0.95</v>
      </c>
      <c r="D16" s="56">
        <v>0.55531805361675357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0.33777333333333298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9.7595052500000001E-2</v>
      </c>
      <c r="C18" s="98">
        <v>0.95</v>
      </c>
      <c r="D18" s="56">
        <v>6.9453945454574351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0.830453</v>
      </c>
      <c r="C19" s="98">
        <v>0.95</v>
      </c>
      <c r="D19" s="56">
        <v>6.9453945454574351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0.89980549999999992</v>
      </c>
      <c r="C21" s="98">
        <v>0.95</v>
      </c>
      <c r="D21" s="56">
        <v>9.4911885685343371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22.086705401333919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4.1770706684296162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0.73954312999999994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0.10199999999999999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18.30380770317878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0.57994807749999999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</v>
      </c>
      <c r="C29" s="98">
        <v>0.95</v>
      </c>
      <c r="D29" s="56">
        <v>96.960746737260479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2.3752360395467411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</v>
      </c>
      <c r="C32" s="98">
        <v>0.95</v>
      </c>
      <c r="D32" s="56">
        <v>1.1755235646488491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0.998</v>
      </c>
      <c r="C38" s="98">
        <v>0.95</v>
      </c>
      <c r="D38" s="56">
        <v>2.5879090305551942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Xa5BprRPBiFxWJl/YsZPzDIzE9e6ync7iQ2lMeR+tbdsmoRIKhPViXozg17LcFTtlk9pyZN8LdilfC5ckUe1Vw==" saltValue="PkHROTDU9a2OUHO4X73d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x14ac:dyDescent="0.25">
      <c r="A2" s="57" t="s">
        <v>178</v>
      </c>
      <c r="B2" s="47" t="s">
        <v>191</v>
      </c>
      <c r="C2" s="47"/>
    </row>
    <row r="3" spans="1:3" x14ac:dyDescent="0.25">
      <c r="A3" s="57" t="s">
        <v>179</v>
      </c>
      <c r="B3" s="47" t="s">
        <v>191</v>
      </c>
      <c r="C3" s="47"/>
    </row>
    <row r="4" spans="1:3" x14ac:dyDescent="0.25">
      <c r="A4" s="57" t="s">
        <v>193</v>
      </c>
      <c r="B4" s="47" t="s">
        <v>184</v>
      </c>
      <c r="C4" s="47"/>
    </row>
    <row r="5" spans="1:3" x14ac:dyDescent="0.25">
      <c r="A5" s="57" t="s">
        <v>190</v>
      </c>
      <c r="B5" s="47" t="s">
        <v>184</v>
      </c>
      <c r="C5" s="47"/>
    </row>
    <row r="6" spans="1:3" x14ac:dyDescent="0.25">
      <c r="A6" s="57" t="s">
        <v>193</v>
      </c>
      <c r="B6" s="58" t="s">
        <v>204</v>
      </c>
      <c r="C6" s="58"/>
    </row>
    <row r="7" spans="1:3" x14ac:dyDescent="0.25">
      <c r="A7" s="57" t="s">
        <v>190</v>
      </c>
      <c r="B7" s="58" t="s">
        <v>204</v>
      </c>
      <c r="C7" s="58"/>
    </row>
    <row r="8" spans="1:3" x14ac:dyDescent="0.25">
      <c r="A8" s="57" t="s">
        <v>203</v>
      </c>
      <c r="B8" s="58" t="s">
        <v>204</v>
      </c>
      <c r="C8" s="58"/>
    </row>
    <row r="9" spans="1:3" x14ac:dyDescent="0.25">
      <c r="A9" s="57" t="s">
        <v>196</v>
      </c>
      <c r="B9" s="58" t="s">
        <v>204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tAIHQ8ZWwPN54zqx3js+RisvWeNepJK6fs9t4OBRxocgM/aBcGWYNzjPwmvJGBVT6WtnuvzppTZ7GPnBykXrUA==" saltValue="ptv/YC6LQv3LTpasOzt9S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x14ac:dyDescent="0.25">
      <c r="A2" s="33" t="s">
        <v>170</v>
      </c>
    </row>
    <row r="3" spans="1:1" x14ac:dyDescent="0.25">
      <c r="A3" s="33" t="s">
        <v>180</v>
      </c>
    </row>
    <row r="4" spans="1:1" x14ac:dyDescent="0.25">
      <c r="A4" s="33" t="s">
        <v>185</v>
      </c>
    </row>
    <row r="5" spans="1:1" x14ac:dyDescent="0.25">
      <c r="A5" s="33" t="s">
        <v>197</v>
      </c>
    </row>
    <row r="6" spans="1:1" x14ac:dyDescent="0.25">
      <c r="A6" s="33" t="s">
        <v>198</v>
      </c>
    </row>
    <row r="7" spans="1:1" x14ac:dyDescent="0.25">
      <c r="A7" s="33" t="s">
        <v>199</v>
      </c>
    </row>
    <row r="8" spans="1:1" x14ac:dyDescent="0.25">
      <c r="A8" s="33" t="s">
        <v>200</v>
      </c>
    </row>
    <row r="9" spans="1:1" x14ac:dyDescent="0.25">
      <c r="A9" s="33" t="s">
        <v>201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QvtwfVHfqcOoX15XcphWV42FjIvThU3NvcwsOFSNINC/V1gNbwnVnYYBIp3WQObDiRiqcgeoNRhqz98VlfIDqg==" saltValue="2x29eldx60aRfODlAHBV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207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sheetProtection algorithmName="SHA-512" hashValue="Ozje8q/u6pcSFFKG10Wghu1x4MLPqLocCvTcxA2NjSK8jUmqLPGvRQYDf3c97NFk0pM/vFiALEhCzxz9MARn3Q==" saltValue="v7b+PpKdf/wHgT5phXjV3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3.2000000000000001E-2</v>
      </c>
      <c r="E2" s="60">
        <f>food_insecure</f>
        <v>3.2000000000000001E-2</v>
      </c>
      <c r="F2" s="60">
        <f>food_insecure</f>
        <v>3.2000000000000001E-2</v>
      </c>
      <c r="G2" s="60">
        <f>food_insecure</f>
        <v>3.2000000000000001E-2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3.2000000000000001E-2</v>
      </c>
      <c r="F5" s="60">
        <f>food_insecure</f>
        <v>3.2000000000000001E-2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3.2000000000000001E-2</v>
      </c>
      <c r="F8" s="60">
        <f>food_insecure</f>
        <v>3.2000000000000001E-2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3.2000000000000001E-2</v>
      </c>
      <c r="F9" s="60">
        <f>food_insecure</f>
        <v>3.2000000000000001E-2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3.2000000000000001E-2</v>
      </c>
      <c r="I15" s="60">
        <f>food_insecure</f>
        <v>3.2000000000000001E-2</v>
      </c>
      <c r="J15" s="60">
        <f>food_insecure</f>
        <v>3.2000000000000001E-2</v>
      </c>
      <c r="K15" s="60">
        <f>food_insecure</f>
        <v>3.2000000000000001E-2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0.52200000000000002</v>
      </c>
      <c r="M24" s="60">
        <f>famplan_unmet_need</f>
        <v>0.52200000000000002</v>
      </c>
      <c r="N24" s="60">
        <f>famplan_unmet_need</f>
        <v>0.52200000000000002</v>
      </c>
      <c r="O24" s="60">
        <f>famplan_unmet_need</f>
        <v>0.52200000000000002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0.1596057102294923</v>
      </c>
      <c r="M25" s="60">
        <f>(1-food_insecure)*(0.49)+food_insecure*(0.7)</f>
        <v>0.49671999999999994</v>
      </c>
      <c r="N25" s="60">
        <f>(1-food_insecure)*(0.49)+food_insecure*(0.7)</f>
        <v>0.49671999999999994</v>
      </c>
      <c r="O25" s="60">
        <f>(1-food_insecure)*(0.49)+food_insecure*(0.7)</f>
        <v>0.49671999999999994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6.8402447241210987E-2</v>
      </c>
      <c r="M26" s="60">
        <f>(1-food_insecure)*(0.21)+food_insecure*(0.3)</f>
        <v>0.21287999999999999</v>
      </c>
      <c r="N26" s="60">
        <f>(1-food_insecure)*(0.21)+food_insecure*(0.3)</f>
        <v>0.21287999999999999</v>
      </c>
      <c r="O26" s="60">
        <f>(1-food_insecure)*(0.21)+food_insecure*(0.3)</f>
        <v>0.21287999999999999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9.3311117431640694E-2</v>
      </c>
      <c r="M27" s="60">
        <f>(1-food_insecure)*(0.3)</f>
        <v>0.29039999999999999</v>
      </c>
      <c r="N27" s="60">
        <f>(1-food_insecure)*(0.3)</f>
        <v>0.29039999999999999</v>
      </c>
      <c r="O27" s="60">
        <f>(1-food_insecure)*(0.3)</f>
        <v>0.29039999999999999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0.67868072509765598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86ZdWlUe1RYGUu82KYxgJes9RmJ6k5ncHTKrymISc+tkBH4UTmBKC2Hc1zjpJeRrq0hkpZle0s0WHIbSiuT3yQ==" saltValue="BuIE/LTClWJ4oiemCpkv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Ls9E9GnLirRrehXXO2A61QI2/GxvUnncSoxUouTRLFlAyfnVBf5uOdZJ2z1H7Mi32G7UhFRvPoYBHCiwjXVZtg==" saltValue="/FWqWK7rJX1Dt393o2a3T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Z/9FePa1I+ZVpHVmbTn3PjxSY5UWTweRbc+iJnyurA1Kozxo3jSsgVRuAbO+DND8Ke7b2OMtADns9H3XtbQjJg==" saltValue="yqww78f4vH65BqWHLkyn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645m/f6Ln6C1dXjJjj5DVKZ1QeEz0z//v/H4bonpn/ajMMbVVhcpEGRp1AUOjBwVpss3s5bEiP0Qo/6Vy4lvA==" saltValue="WQXwnMBhu9kxXUWsJtM84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R81R7TdOSNqs6MCpfMCPIdlGDL0hy//jtRKpEWB3vJ4Nqkz3wVSaIJ0iUIf6Ua8gOhRUZQDAG3eun3nS0opZ0A==" saltValue="JVON1vmUmwPGNO0aVR8o6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y51fX3eM5oJo4lsJbo6pWY7+vdtFPqTekFDf6yREFaPfqFO5zRjQhHBs9bE+ZueORfVAhCh0fD2EiPeCbWiwyg==" saltValue="PpmabmOj/0orDfUWtAHyU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78</v>
      </c>
      <c r="C5" s="8" t="s">
        <v>150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149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74</v>
      </c>
      <c r="C8" s="8" t="s">
        <v>150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149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149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78</v>
      </c>
      <c r="C58" s="8" t="s">
        <v>150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149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74</v>
      </c>
      <c r="C61" s="8" t="s">
        <v>150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149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78</v>
      </c>
      <c r="C111" s="8" t="s">
        <v>150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149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74</v>
      </c>
      <c r="C114" s="8" t="s">
        <v>150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149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77</v>
      </c>
      <c r="C117" s="8" t="s">
        <v>150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149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75</v>
      </c>
      <c r="C120" s="8" t="s">
        <v>150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149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149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78</v>
      </c>
      <c r="C128" s="8" t="s">
        <v>150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149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74</v>
      </c>
      <c r="C131" s="8" t="s">
        <v>150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149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77</v>
      </c>
      <c r="C134" s="8" t="s">
        <v>150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149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75</v>
      </c>
      <c r="C137" s="8" t="s">
        <v>150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149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149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78</v>
      </c>
      <c r="C145" s="8" t="s">
        <v>150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149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74</v>
      </c>
      <c r="C148" s="8" t="s">
        <v>150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149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77</v>
      </c>
      <c r="C151" s="8" t="s">
        <v>150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149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75</v>
      </c>
      <c r="C154" s="8" t="s">
        <v>150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149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vMXHauaWKeoveJBN8kN6Geb96ari1gMlziueqyZ0pymXx4Qr8fr8yeplM4KARExnK+fthmaS3upStP1batfcJw==" saltValue="gTnxK2JjLUmZQgdqVdL/f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adWjwUClfH7t8ik8zyaz9hDKe1XytCLUz6/sdeT7JQJ8ArJE2+XiYn7Etw1XcZOaHemBTsXLJrAO7YIyrsnQQ==" saltValue="MiRRvSOPAFENJGidtyTH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uRKRzPtDyC2FlNb1bTElTby45xvqAu3oU/6S/vlPv1zih5WWzGN2ZcfaZ21+hS+WToStMXAcZASBnGFtOpYYw==" saltValue="TDYwctCWaAySHj0em/c4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291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105</v>
      </c>
      <c r="B40" s="11" t="s">
        <v>298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288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293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105</v>
      </c>
      <c r="B63" s="11" t="s">
        <v>299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1KC8Z/N46arlTEWqo78oXy+RCG2V3ag3BQTKRNPvYVyT9T2Nl0Z6do10FltfMurcE1Af7QtGlnsuXu3ezR9Asg==" saltValue="N3ZuMfFsYfh1GZYKggUl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ZvAWRh8T6wQ8JqFovrC8iQ352PZT5xgoHfhPJ8H/VqzgdYuKEEYG8CMI4JsxEw8FcOlNkackOx3VsTMjYsmPRg==" saltValue="hgSIh7zkhNx0E8TUiI1y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174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175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176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177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178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191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172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181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174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175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176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177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178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191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172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181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5SNfvcSvqVSgpeKbczMFetaVTFlIhHY6WbS36881Sh5XhFUAUHz8OVplivN4xlbJ8EY1FdVkUAKtDiDwHSbQOw==" saltValue="MZot4cJZcunTGHNwk8Ue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LIx5bCp6qERB7GXMqP1/m0MhqkFjgF7Sk1C5pzSKKdQY6y95z0ozDRQGa67/IjRRHCjIfM9YTzEp2NmoF4C8A==" saltValue="cxK38j5S94dJvi7Crrvy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338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338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53auVbzSB/qp8gMGPMHdF5TjIOb6ZplKMvXgR3qkpO5pYibFbJVKBhpFcwFGn6DxYvHmMU/IYV4PXZ1Tfy3VyA==" saltValue="WBNygPGodkOW7YBRlbacN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QHw3zNGJc3I3YCYzwtd6Nrf5WHw5Nnjmpv9oEH2K0UZNu4quptPPvxj//xOr5ky9X9l6A1Y/xyL5vOGycuGHXg==" saltValue="twkB+dgf5xuRSwqHqmORG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2024-05-16T23:27:57Z</dcterms:modified>
</cp:coreProperties>
</file>