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B771B192-180C-4DF9-B88E-99A0485890BB}" xr6:coauthVersionLast="47" xr6:coauthVersionMax="47" xr10:uidLastSave="{00000000-0000-0000-0000-000000000000}"/>
  <bookViews>
    <workbookView xWindow="20" yWindow="20" windowWidth="19180" windowHeight="10180" tabRatio="961" firstSheet="4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4" i="2" l="1"/>
  <c r="A31" i="2"/>
  <c r="A25" i="2"/>
  <c r="A26" i="2"/>
  <c r="I39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<sst xmlns="http://schemas.openxmlformats.org/spreadsheetml/2006/main" count="2159" uniqueCount="372">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</sst>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897373</v>
      </c>
    </row>
    <row r="8" spans="1:3" ht="15" customHeight="1" x14ac:dyDescent="0.25">
      <c r="B8" s="5" t="s">
        <v>63</v>
      </c>
      <c r="C8" s="44">
        <v>0.79900000000000004</v>
      </c>
    </row>
    <row r="9" spans="1:3" ht="15" customHeight="1" x14ac:dyDescent="0.25">
      <c r="B9" s="5" t="s">
        <v>62</v>
      </c>
      <c r="C9" s="45">
        <v>1</v>
      </c>
    </row>
    <row r="10" spans="1:3" ht="15" customHeight="1" x14ac:dyDescent="0.25">
      <c r="B10" s="5" t="s">
        <v>75</v>
      </c>
      <c r="C10" s="45">
        <v>0.32603321079999997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0.61499999999999999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0.1235</v>
      </c>
    </row>
    <row r="24" spans="1:3" ht="15" customHeight="1" x14ac:dyDescent="0.25">
      <c r="B24" s="15" t="s">
        <v>65</v>
      </c>
      <c r="C24" s="45">
        <v>0.49630000000000002</v>
      </c>
    </row>
    <row r="25" spans="1:3" ht="15" customHeight="1" x14ac:dyDescent="0.25">
      <c r="B25" s="15" t="s">
        <v>66</v>
      </c>
      <c r="C25" s="45">
        <v>0.30649999999999999</v>
      </c>
    </row>
    <row r="26" spans="1:3" ht="15" customHeight="1" x14ac:dyDescent="0.25">
      <c r="B26" s="15" t="s">
        <v>67</v>
      </c>
      <c r="C26" s="45">
        <v>7.3700000000000002E-2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0.252977860168906</v>
      </c>
    </row>
    <row r="30" spans="1:3" ht="14.25" customHeight="1" x14ac:dyDescent="0.25">
      <c r="B30" s="25" t="s">
        <v>82</v>
      </c>
      <c r="C30" s="99">
        <v>3.7612008018149699E-2</v>
      </c>
    </row>
    <row r="31" spans="1:3" ht="14.25" customHeight="1" x14ac:dyDescent="0.25">
      <c r="B31" s="25" t="s">
        <v>29</v>
      </c>
      <c r="C31" s="99">
        <v>7.1064506079706297E-2</v>
      </c>
    </row>
    <row r="32" spans="1:3" ht="14.25" customHeight="1" x14ac:dyDescent="0.25">
      <c r="B32" s="25" t="s">
        <v>30</v>
      </c>
      <c r="C32" s="99">
        <v>0.63834562573323805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18.408550000000002</v>
      </c>
    </row>
    <row r="38" spans="1:5" ht="15" customHeight="1" x14ac:dyDescent="0.25">
      <c r="B38" s="11" t="s">
        <v>54</v>
      </c>
      <c r="C38" s="43">
        <v>31.978870000000001</v>
      </c>
      <c r="D38" s="12"/>
      <c r="E38" s="13"/>
    </row>
    <row r="39" spans="1:5" ht="15" customHeight="1" x14ac:dyDescent="0.25">
      <c r="B39" s="11" t="s">
        <v>80</v>
      </c>
      <c r="C39" s="43">
        <v>42.967860000000002</v>
      </c>
      <c r="D39" s="12"/>
      <c r="E39" s="12"/>
    </row>
    <row r="40" spans="1:5" ht="15" customHeight="1" x14ac:dyDescent="0.25">
      <c r="B40" s="11" t="s">
        <v>55</v>
      </c>
      <c r="C40" s="100">
        <v>2.82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15.75264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7.9503999999999998E-3</v>
      </c>
      <c r="D45" s="12"/>
    </row>
    <row r="46" spans="1:5" ht="15.75" customHeight="1" x14ac:dyDescent="0.25">
      <c r="B46" s="11" t="s">
        <v>70</v>
      </c>
      <c r="C46" s="45">
        <v>8.5425500000000001E-2</v>
      </c>
      <c r="D46" s="12"/>
    </row>
    <row r="47" spans="1:5" ht="15.75" customHeight="1" x14ac:dyDescent="0.25">
      <c r="B47" s="11" t="s">
        <v>78</v>
      </c>
      <c r="C47" s="45">
        <v>7.3440000000000005E-2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2.2360000000000002</v>
      </c>
      <c r="D51" s="12"/>
    </row>
    <row r="52" spans="1:4" ht="15" customHeight="1" x14ac:dyDescent="0.25">
      <c r="B52" s="11" t="s">
        <v>32</v>
      </c>
      <c r="C52" s="100">
        <v>2.2360000000000002</v>
      </c>
    </row>
    <row r="53" spans="1:4" ht="15.75" customHeight="1" x14ac:dyDescent="0.25">
      <c r="B53" s="11" t="s">
        <v>35</v>
      </c>
      <c r="C53" s="100">
        <v>6.5259999999999998</v>
      </c>
    </row>
    <row r="54" spans="1:4" ht="15.75" customHeight="1" x14ac:dyDescent="0.25">
      <c r="B54" s="11" t="s">
        <v>33</v>
      </c>
      <c r="C54" s="100">
        <v>8.84</v>
      </c>
    </row>
    <row r="55" spans="1:4" ht="15.75" customHeight="1" x14ac:dyDescent="0.25">
      <c r="B55" s="11" t="s">
        <v>34</v>
      </c>
      <c r="C55" s="100">
        <v>3.5880000000000001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0.43557299999999988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0.11611162999999899</v>
      </c>
    </row>
    <row r="63" spans="1:4" ht="15.75" customHeight="1" x14ac:dyDescent="0.3">
      <c r="A63" s="4"/>
    </row>
  </sheetData>
  <sheetProtection algorithmName="SHA-512" hashValue="SRDCwG2KQpOdOifUn4dpZ5kyYjr5wT9j1T98hTQ3yod6venm2a/U2FpR2v5KtFSZaa6kORFLGg/Ww1AfKHk8UQ==" saltValue="BzKHfkzYvIt5eqTwtYy9E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192673</v>
      </c>
      <c r="C2" s="49">
        <v>335189</v>
      </c>
      <c r="D2" s="49">
        <v>494807.5</v>
      </c>
      <c r="E2" s="49">
        <v>384955.00000000006</v>
      </c>
      <c r="F2" s="49">
        <v>306256</v>
      </c>
      <c r="G2" s="17">
        <f t="shared" ref="G2:G13" si="0">C2+D2+E2+F2</f>
        <v>1521207.5</v>
      </c>
      <c r="H2" s="17">
        <f t="shared" ref="H2:H13" si="1">(B2 + stillbirth*B2/(1000-stillbirth))/(1-abortion)</f>
        <v>222450.77793156684</v>
      </c>
      <c r="I2" s="17">
        <f t="shared" ref="I2:I13" si="2">G2-H2</f>
        <v>1298756.7220684332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195536</v>
      </c>
      <c r="C3" s="50">
        <v>351017</v>
      </c>
      <c r="D3" s="50">
        <v>511512.5</v>
      </c>
      <c r="E3" s="50">
        <v>390581</v>
      </c>
      <c r="F3" s="50">
        <v>313741</v>
      </c>
      <c r="G3" s="17">
        <f t="shared" si="0"/>
        <v>1566851.5</v>
      </c>
      <c r="H3" s="17">
        <f t="shared" si="1"/>
        <v>225756.25704497698</v>
      </c>
      <c r="I3" s="17">
        <f t="shared" si="2"/>
        <v>1341095.242955023</v>
      </c>
    </row>
    <row r="4" spans="1:9" ht="15.75" customHeight="1" x14ac:dyDescent="0.25">
      <c r="A4" s="5">
        <f t="shared" si="3"/>
        <v>2026</v>
      </c>
      <c r="B4" s="49">
        <v>198689</v>
      </c>
      <c r="C4" s="50">
        <v>367403</v>
      </c>
      <c r="D4" s="50">
        <v>529550.5</v>
      </c>
      <c r="E4" s="50">
        <v>396818</v>
      </c>
      <c r="F4" s="50">
        <v>320599</v>
      </c>
      <c r="G4" s="17">
        <f t="shared" si="0"/>
        <v>1614370.5</v>
      </c>
      <c r="H4" s="17">
        <f t="shared" si="1"/>
        <v>229396.55590791177</v>
      </c>
      <c r="I4" s="17">
        <f t="shared" si="2"/>
        <v>1384973.9440920881</v>
      </c>
    </row>
    <row r="5" spans="1:9" ht="15.75" customHeight="1" x14ac:dyDescent="0.25">
      <c r="A5" s="5">
        <f t="shared" si="3"/>
        <v>2027</v>
      </c>
      <c r="B5" s="49">
        <v>202096</v>
      </c>
      <c r="C5" s="50">
        <v>382450.5</v>
      </c>
      <c r="D5" s="50">
        <v>549106</v>
      </c>
      <c r="E5" s="50">
        <v>403957.99999999994</v>
      </c>
      <c r="F5" s="50">
        <v>327050</v>
      </c>
      <c r="G5" s="17">
        <f t="shared" si="0"/>
        <v>1662564.5</v>
      </c>
      <c r="H5" s="17">
        <f t="shared" si="1"/>
        <v>233330.11068939566</v>
      </c>
      <c r="I5" s="17">
        <f t="shared" si="2"/>
        <v>1429234.3893106044</v>
      </c>
    </row>
    <row r="6" spans="1:9" ht="15.75" customHeight="1" x14ac:dyDescent="0.25">
      <c r="A6" s="5">
        <f t="shared" si="3"/>
        <v>2028</v>
      </c>
      <c r="B6" s="49">
        <v>205842</v>
      </c>
      <c r="C6" s="50">
        <v>394789</v>
      </c>
      <c r="D6" s="50">
        <v>570992</v>
      </c>
      <c r="E6" s="50">
        <v>411713</v>
      </c>
      <c r="F6" s="50">
        <v>333315.00000000006</v>
      </c>
      <c r="G6" s="17">
        <f t="shared" si="0"/>
        <v>1710809</v>
      </c>
      <c r="H6" s="17">
        <f t="shared" si="1"/>
        <v>237655.05821256523</v>
      </c>
      <c r="I6" s="17">
        <f t="shared" si="2"/>
        <v>1473153.9417874347</v>
      </c>
    </row>
    <row r="7" spans="1:9" ht="15.75" customHeight="1" x14ac:dyDescent="0.25">
      <c r="A7" s="5">
        <f t="shared" si="3"/>
        <v>2029</v>
      </c>
      <c r="B7" s="49">
        <v>209900</v>
      </c>
      <c r="C7" s="50">
        <v>403613</v>
      </c>
      <c r="D7" s="50">
        <v>595401.5</v>
      </c>
      <c r="E7" s="50">
        <v>419992</v>
      </c>
      <c r="F7" s="50">
        <v>339559.99999999994</v>
      </c>
      <c r="G7" s="17">
        <f t="shared" si="0"/>
        <v>1758566.5</v>
      </c>
      <c r="H7" s="17">
        <f t="shared" si="1"/>
        <v>242340.22560418886</v>
      </c>
      <c r="I7" s="17">
        <f t="shared" si="2"/>
        <v>1516226.2743958111</v>
      </c>
    </row>
    <row r="8" spans="1:9" ht="15.75" customHeight="1" x14ac:dyDescent="0.25">
      <c r="A8" s="5">
        <f t="shared" si="3"/>
        <v>2030</v>
      </c>
      <c r="B8" s="49">
        <v>213921</v>
      </c>
      <c r="C8" s="50">
        <v>408637</v>
      </c>
      <c r="D8" s="50">
        <v>622443</v>
      </c>
      <c r="E8" s="50">
        <v>429129</v>
      </c>
      <c r="F8" s="50">
        <v>345598</v>
      </c>
      <c r="G8" s="17">
        <f t="shared" si="0"/>
        <v>1805807</v>
      </c>
      <c r="H8" s="17">
        <f t="shared" si="1"/>
        <v>246982.67461397656</v>
      </c>
      <c r="I8" s="17">
        <f t="shared" si="2"/>
        <v>1558824.3253860234</v>
      </c>
    </row>
    <row r="9" spans="1:9" ht="15.75" customHeight="1" x14ac:dyDescent="0.25">
      <c r="A9" s="5">
        <f t="shared" si="3"/>
        <v>2031</v>
      </c>
      <c r="B9" s="49">
        <v>217584</v>
      </c>
      <c r="C9" s="50">
        <v>410841.5</v>
      </c>
      <c r="D9" s="50">
        <v>650524.5</v>
      </c>
      <c r="E9" s="50">
        <v>440170.5</v>
      </c>
      <c r="F9" s="50">
        <v>351379</v>
      </c>
      <c r="G9" s="17">
        <f t="shared" si="0"/>
        <v>1852915.5</v>
      </c>
      <c r="H9" s="17">
        <f t="shared" si="1"/>
        <v>251211.79441573046</v>
      </c>
      <c r="I9" s="17">
        <f t="shared" si="2"/>
        <v>1601703.7055842695</v>
      </c>
    </row>
    <row r="10" spans="1:9" ht="15.75" customHeight="1" x14ac:dyDescent="0.25">
      <c r="A10" s="5">
        <f t="shared" si="3"/>
        <v>2032</v>
      </c>
      <c r="B10" s="49">
        <v>221480</v>
      </c>
      <c r="C10" s="50">
        <v>412129</v>
      </c>
      <c r="D10" s="50">
        <v>677436.5</v>
      </c>
      <c r="E10" s="50">
        <v>453405.5</v>
      </c>
      <c r="F10" s="50">
        <v>357271.5</v>
      </c>
      <c r="G10" s="17">
        <f t="shared" si="0"/>
        <v>1900242.5</v>
      </c>
      <c r="H10" s="17">
        <f t="shared" si="1"/>
        <v>255709.92456796448</v>
      </c>
      <c r="I10" s="17">
        <f t="shared" si="2"/>
        <v>1644532.5754320356</v>
      </c>
    </row>
    <row r="11" spans="1:9" ht="15.75" customHeight="1" x14ac:dyDescent="0.25">
      <c r="A11" s="5">
        <f t="shared" si="3"/>
        <v>2033</v>
      </c>
      <c r="B11" s="49">
        <v>224919</v>
      </c>
      <c r="C11" s="50">
        <v>413431</v>
      </c>
      <c r="D11" s="50">
        <v>702943</v>
      </c>
      <c r="E11" s="50">
        <v>467858</v>
      </c>
      <c r="F11" s="50">
        <v>363512.5</v>
      </c>
      <c r="G11" s="17">
        <f t="shared" si="0"/>
        <v>1947744.5</v>
      </c>
      <c r="H11" s="17">
        <f t="shared" si="1"/>
        <v>259680.42497698215</v>
      </c>
      <c r="I11" s="17">
        <f t="shared" si="2"/>
        <v>1688064.0750230178</v>
      </c>
    </row>
    <row r="12" spans="1:9" ht="15.75" customHeight="1" x14ac:dyDescent="0.25">
      <c r="A12" s="5">
        <f t="shared" si="3"/>
        <v>2034</v>
      </c>
      <c r="B12" s="49">
        <v>227967</v>
      </c>
      <c r="C12" s="50">
        <v>415340</v>
      </c>
      <c r="D12" s="50">
        <v>726276.00000000012</v>
      </c>
      <c r="E12" s="50">
        <v>483484</v>
      </c>
      <c r="F12" s="50">
        <v>369545.5</v>
      </c>
      <c r="G12" s="17">
        <f t="shared" si="0"/>
        <v>1994645.5</v>
      </c>
      <c r="H12" s="17">
        <f t="shared" si="1"/>
        <v>263199.49599957175</v>
      </c>
      <c r="I12" s="17">
        <f t="shared" si="2"/>
        <v>1731446.0040004281</v>
      </c>
    </row>
    <row r="13" spans="1:9" ht="15.75" customHeight="1" x14ac:dyDescent="0.25">
      <c r="A13" s="5">
        <f t="shared" si="3"/>
        <v>2035</v>
      </c>
      <c r="B13" s="49">
        <v>230963</v>
      </c>
      <c r="C13" s="50">
        <v>418031</v>
      </c>
      <c r="D13" s="50">
        <v>747063.5</v>
      </c>
      <c r="E13" s="50">
        <v>500429.99999999994</v>
      </c>
      <c r="F13" s="50">
        <v>375418.5</v>
      </c>
      <c r="G13" s="17">
        <f t="shared" si="0"/>
        <v>2040943</v>
      </c>
      <c r="H13" s="17">
        <f t="shared" si="1"/>
        <v>266658.53037741908</v>
      </c>
      <c r="I13" s="17">
        <f t="shared" si="2"/>
        <v>1774284.4696225808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Zvda3EJ0g8BL9A0UlQ2Q/rXrpr+QKNnJBi2atVcEW8LVUWWQSzhBX5cxgaEuQqUs03Z64mDNnwsUpv5ingcarg==" saltValue="LzP//MZoXNA/+mFbIR8+F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8.4456983108603251E-3</v>
      </c>
    </row>
    <row r="4" spans="1:8" ht="15.75" customHeight="1" x14ac:dyDescent="0.25">
      <c r="B4" s="19" t="s">
        <v>116</v>
      </c>
      <c r="C4" s="101">
        <v>5.1272189745562052E-2</v>
      </c>
    </row>
    <row r="5" spans="1:8" ht="15.75" customHeight="1" x14ac:dyDescent="0.25">
      <c r="B5" s="19" t="s">
        <v>114</v>
      </c>
      <c r="C5" s="101">
        <v>6.2944087411182431E-2</v>
      </c>
    </row>
    <row r="6" spans="1:8" ht="15.75" customHeight="1" x14ac:dyDescent="0.25">
      <c r="B6" s="19" t="s">
        <v>110</v>
      </c>
      <c r="C6" s="101">
        <v>0.2355956528808697</v>
      </c>
    </row>
    <row r="7" spans="1:8" ht="15.75" customHeight="1" x14ac:dyDescent="0.25">
      <c r="B7" s="19" t="s">
        <v>115</v>
      </c>
      <c r="C7" s="101">
        <v>0.43809161238167749</v>
      </c>
    </row>
    <row r="8" spans="1:8" ht="15.75" customHeight="1" x14ac:dyDescent="0.25">
      <c r="B8" s="19" t="s">
        <v>117</v>
      </c>
      <c r="C8" s="101">
        <v>1.970299605940075E-3</v>
      </c>
    </row>
    <row r="9" spans="1:8" ht="15.75" customHeight="1" x14ac:dyDescent="0.25">
      <c r="B9" s="19" t="s">
        <v>111</v>
      </c>
      <c r="C9" s="101">
        <v>8.9744082051183616E-2</v>
      </c>
    </row>
    <row r="10" spans="1:8" ht="15.75" customHeight="1" x14ac:dyDescent="0.25">
      <c r="B10" s="19" t="s">
        <v>113</v>
      </c>
      <c r="C10" s="101">
        <v>0.11193637761272431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0.1123927478131716</v>
      </c>
      <c r="D14" s="55">
        <v>0.1123927478131716</v>
      </c>
      <c r="E14" s="55">
        <v>0.1123927478131716</v>
      </c>
      <c r="F14" s="55">
        <v>0.1123927478131716</v>
      </c>
    </row>
    <row r="15" spans="1:8" ht="15.75" customHeight="1" x14ac:dyDescent="0.25">
      <c r="B15" s="19" t="s">
        <v>121</v>
      </c>
      <c r="C15" s="101">
        <v>0.15326983056447999</v>
      </c>
      <c r="D15" s="101">
        <v>0.15326983056447999</v>
      </c>
      <c r="E15" s="101">
        <v>0.15326983056447999</v>
      </c>
      <c r="F15" s="101">
        <v>0.15326983056447999</v>
      </c>
    </row>
    <row r="16" spans="1:8" ht="15.75" customHeight="1" x14ac:dyDescent="0.25">
      <c r="B16" s="19" t="s">
        <v>2</v>
      </c>
      <c r="C16" s="101">
        <v>2.2268862061500989E-2</v>
      </c>
      <c r="D16" s="101">
        <v>2.2268862061500989E-2</v>
      </c>
      <c r="E16" s="101">
        <v>2.2268862061500989E-2</v>
      </c>
      <c r="F16" s="101">
        <v>2.2268862061500989E-2</v>
      </c>
    </row>
    <row r="17" spans="1:8" ht="15.75" customHeight="1" x14ac:dyDescent="0.25">
      <c r="B17" s="19" t="s">
        <v>109</v>
      </c>
      <c r="C17" s="101">
        <v>2.7332395914931262E-2</v>
      </c>
      <c r="D17" s="101">
        <v>2.7332395914931262E-2</v>
      </c>
      <c r="E17" s="101">
        <v>2.7332395914931262E-2</v>
      </c>
      <c r="F17" s="101">
        <v>2.7332395914931262E-2</v>
      </c>
    </row>
    <row r="18" spans="1:8" ht="15.75" customHeight="1" x14ac:dyDescent="0.25">
      <c r="B18" s="19" t="s">
        <v>3</v>
      </c>
      <c r="C18" s="101">
        <v>0.15284026308006871</v>
      </c>
      <c r="D18" s="101">
        <v>0.15284026308006871</v>
      </c>
      <c r="E18" s="101">
        <v>0.15284026308006871</v>
      </c>
      <c r="F18" s="101">
        <v>0.15284026308006871</v>
      </c>
    </row>
    <row r="19" spans="1:8" ht="15.75" customHeight="1" x14ac:dyDescent="0.25">
      <c r="B19" s="19" t="s">
        <v>120</v>
      </c>
      <c r="C19" s="101">
        <v>2.7502017073007649E-2</v>
      </c>
      <c r="D19" s="101">
        <v>2.7502017073007649E-2</v>
      </c>
      <c r="E19" s="101">
        <v>2.7502017073007649E-2</v>
      </c>
      <c r="F19" s="101">
        <v>2.7502017073007649E-2</v>
      </c>
    </row>
    <row r="20" spans="1:8" ht="15.75" customHeight="1" x14ac:dyDescent="0.25">
      <c r="B20" s="19" t="s">
        <v>98</v>
      </c>
      <c r="C20" s="101">
        <v>0.30937499952642422</v>
      </c>
      <c r="D20" s="101">
        <v>0.30937499952642422</v>
      </c>
      <c r="E20" s="101">
        <v>0.30937499952642422</v>
      </c>
      <c r="F20" s="101">
        <v>0.30937499952642422</v>
      </c>
    </row>
    <row r="21" spans="1:8" ht="15.75" customHeight="1" x14ac:dyDescent="0.25">
      <c r="B21" s="19" t="s">
        <v>107</v>
      </c>
      <c r="C21" s="101">
        <v>7.6789989334270656E-2</v>
      </c>
      <c r="D21" s="101">
        <v>7.6789989334270656E-2</v>
      </c>
      <c r="E21" s="101">
        <v>7.6789989334270656E-2</v>
      </c>
      <c r="F21" s="101">
        <v>7.6789989334270656E-2</v>
      </c>
    </row>
    <row r="22" spans="1:8" ht="15.75" customHeight="1" x14ac:dyDescent="0.25">
      <c r="B22" s="19" t="s">
        <v>118</v>
      </c>
      <c r="C22" s="101">
        <v>0.118228894632145</v>
      </c>
      <c r="D22" s="101">
        <v>0.118228894632145</v>
      </c>
      <c r="E22" s="101">
        <v>0.118228894632145</v>
      </c>
      <c r="F22" s="101">
        <v>0.118228894632145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8.7242721000000009E-2</v>
      </c>
    </row>
    <row r="27" spans="1:8" ht="15.75" customHeight="1" x14ac:dyDescent="0.25">
      <c r="B27" s="19" t="s">
        <v>108</v>
      </c>
      <c r="C27" s="101">
        <v>8.310329E-3</v>
      </c>
    </row>
    <row r="28" spans="1:8" ht="15.75" customHeight="1" x14ac:dyDescent="0.25">
      <c r="B28" s="19" t="s">
        <v>122</v>
      </c>
      <c r="C28" s="101">
        <v>0.15469581399999999</v>
      </c>
    </row>
    <row r="29" spans="1:8" ht="15.75" customHeight="1" x14ac:dyDescent="0.25">
      <c r="B29" s="19" t="s">
        <v>105</v>
      </c>
      <c r="C29" s="101">
        <v>0.16579052899999999</v>
      </c>
    </row>
    <row r="30" spans="1:8" ht="15.75" customHeight="1" x14ac:dyDescent="0.25">
      <c r="B30" s="19" t="s">
        <v>4</v>
      </c>
      <c r="C30" s="101">
        <v>0.104526494</v>
      </c>
    </row>
    <row r="31" spans="1:8" ht="15.75" customHeight="1" x14ac:dyDescent="0.25">
      <c r="B31" s="19" t="s">
        <v>99</v>
      </c>
      <c r="C31" s="101">
        <v>0.110420331</v>
      </c>
    </row>
    <row r="32" spans="1:8" ht="15.75" customHeight="1" x14ac:dyDescent="0.25">
      <c r="B32" s="19" t="s">
        <v>104</v>
      </c>
      <c r="C32" s="101">
        <v>1.8469151999999999E-2</v>
      </c>
    </row>
    <row r="33" spans="2:3" ht="15.75" customHeight="1" x14ac:dyDescent="0.25">
      <c r="B33" s="19" t="s">
        <v>119</v>
      </c>
      <c r="C33" s="101">
        <v>8.2794389999999995E-2</v>
      </c>
    </row>
    <row r="34" spans="2:3" ht="15.75" customHeight="1" x14ac:dyDescent="0.25">
      <c r="B34" s="19" t="s">
        <v>106</v>
      </c>
      <c r="C34" s="101">
        <v>0.267750241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UH0M9kgybZHUV08A5mGntUl7crgyBrZfPgzv2nJV7RZ6s8dfWsua3NBsY6CKtCPTF54gjQine6LhJYlfekmMww==" saltValue="PDn96g7VztFqtbaXLinVn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0.48270869608812705</v>
      </c>
      <c r="D2" s="52">
        <f>IFERROR(1-_xlfn.NORM.DIST(_xlfn.NORM.INV(SUM(D4:D5), 0, 1) + 1, 0, 1, TRUE), "")</f>
        <v>0.48270869608812705</v>
      </c>
      <c r="E2" s="52">
        <f>IFERROR(1-_xlfn.NORM.DIST(_xlfn.NORM.INV(SUM(E4:E5), 0, 1) + 1, 0, 1, TRUE), "")</f>
        <v>0.498055716174997</v>
      </c>
      <c r="F2" s="52">
        <f>IFERROR(1-_xlfn.NORM.DIST(_xlfn.NORM.INV(SUM(F4:F5), 0, 1) + 1, 0, 1, TRUE), "")</f>
        <v>0.36750162542661646</v>
      </c>
      <c r="G2" s="52">
        <f>IFERROR(1-_xlfn.NORM.DIST(_xlfn.NORM.INV(SUM(G4:G5), 0, 1) + 1, 0, 1, TRUE), "")</f>
        <v>0.41458123488376053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0.34791770391187293</v>
      </c>
      <c r="D3" s="52">
        <f>IFERROR(_xlfn.NORM.DIST(_xlfn.NORM.INV(SUM(D4:D5), 0, 1) + 1, 0, 1, TRUE) - SUM(D4:D5), "")</f>
        <v>0.34791770391187293</v>
      </c>
      <c r="E3" s="52">
        <f>IFERROR(_xlfn.NORM.DIST(_xlfn.NORM.INV(SUM(E4:E5), 0, 1) + 1, 0, 1, TRUE) - SUM(E4:E5), "")</f>
        <v>0.34210688382500298</v>
      </c>
      <c r="F3" s="52">
        <f>IFERROR(_xlfn.NORM.DIST(_xlfn.NORM.INV(SUM(F4:F5), 0, 1) + 1, 0, 1, TRUE) - SUM(F4:F5), "")</f>
        <v>0.37835967457338354</v>
      </c>
      <c r="G3" s="52">
        <f>IFERROR(_xlfn.NORM.DIST(_xlfn.NORM.INV(SUM(G4:G5), 0, 1) + 1, 0, 1, TRUE) - SUM(G4:G5), "")</f>
        <v>0.36896446511623948</v>
      </c>
    </row>
    <row r="4" spans="1:15" ht="15.75" customHeight="1" x14ac:dyDescent="0.25">
      <c r="B4" s="5" t="s">
        <v>129</v>
      </c>
      <c r="C4" s="45">
        <v>8.6367200000000005E-2</v>
      </c>
      <c r="D4" s="53">
        <v>8.6367200000000005E-2</v>
      </c>
      <c r="E4" s="53">
        <v>9.8844899999999999E-2</v>
      </c>
      <c r="F4" s="53">
        <v>0.1599563</v>
      </c>
      <c r="G4" s="53">
        <v>0.1336146</v>
      </c>
    </row>
    <row r="5" spans="1:15" ht="15.75" customHeight="1" x14ac:dyDescent="0.25">
      <c r="B5" s="5" t="s">
        <v>125</v>
      </c>
      <c r="C5" s="45">
        <v>8.3006399999999994E-2</v>
      </c>
      <c r="D5" s="53">
        <v>8.3006399999999994E-2</v>
      </c>
      <c r="E5" s="53">
        <v>6.0992499999999998E-2</v>
      </c>
      <c r="F5" s="53">
        <v>9.4182400000000013E-2</v>
      </c>
      <c r="G5" s="53">
        <v>8.2839700000000002E-2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0.59428256100402543</v>
      </c>
      <c r="D8" s="52">
        <f>IFERROR(1-_xlfn.NORM.DIST(_xlfn.NORM.INV(SUM(D10:D11), 0, 1) + 1, 0, 1, TRUE), "")</f>
        <v>0.59428256100402543</v>
      </c>
      <c r="E8" s="52">
        <f>IFERROR(1-_xlfn.NORM.DIST(_xlfn.NORM.INV(SUM(E10:E11), 0, 1) + 1, 0, 1, TRUE), "")</f>
        <v>0.53278074796459707</v>
      </c>
      <c r="F8" s="52">
        <f>IFERROR(1-_xlfn.NORM.DIST(_xlfn.NORM.INV(SUM(F10:F11), 0, 1) + 1, 0, 1, TRUE), "")</f>
        <v>0.61007710559188455</v>
      </c>
      <c r="G8" s="52">
        <f>IFERROR(1-_xlfn.NORM.DIST(_xlfn.NORM.INV(SUM(G10:G11), 0, 1) + 1, 0, 1, TRUE), "")</f>
        <v>0.70760477137776123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0.29796603899597451</v>
      </c>
      <c r="D9" s="52">
        <f>IFERROR(_xlfn.NORM.DIST(_xlfn.NORM.INV(SUM(D10:D11), 0, 1) + 1, 0, 1, TRUE) - SUM(D10:D11), "")</f>
        <v>0.29796603899597451</v>
      </c>
      <c r="E9" s="52">
        <f>IFERROR(_xlfn.NORM.DIST(_xlfn.NORM.INV(SUM(E10:E11), 0, 1) + 1, 0, 1, TRUE) - SUM(E10:E11), "")</f>
        <v>0.32765115203540296</v>
      </c>
      <c r="F9" s="52">
        <f>IFERROR(_xlfn.NORM.DIST(_xlfn.NORM.INV(SUM(F10:F11), 0, 1) + 1, 0, 1, TRUE) - SUM(F10:F11), "")</f>
        <v>0.28956589440811542</v>
      </c>
      <c r="G9" s="52">
        <f>IFERROR(_xlfn.NORM.DIST(_xlfn.NORM.INV(SUM(G10:G11), 0, 1) + 1, 0, 1, TRUE) - SUM(G10:G11), "")</f>
        <v>0.23139132862223877</v>
      </c>
    </row>
    <row r="10" spans="1:15" ht="15.75" customHeight="1" x14ac:dyDescent="0.25">
      <c r="B10" s="5" t="s">
        <v>126</v>
      </c>
      <c r="C10" s="45">
        <v>5.7529700000000003E-2</v>
      </c>
      <c r="D10" s="53">
        <v>5.7529700000000003E-2</v>
      </c>
      <c r="E10" s="53">
        <v>0.1063573</v>
      </c>
      <c r="F10" s="53">
        <v>7.1620900000000001E-2</v>
      </c>
      <c r="G10" s="53">
        <v>4.0063399999999999E-2</v>
      </c>
    </row>
    <row r="11" spans="1:15" ht="15.75" customHeight="1" x14ac:dyDescent="0.25">
      <c r="B11" s="5" t="s">
        <v>138</v>
      </c>
      <c r="C11" s="45">
        <v>5.0221700000000001E-2</v>
      </c>
      <c r="D11" s="53">
        <v>5.0221700000000001E-2</v>
      </c>
      <c r="E11" s="53">
        <v>3.3210799999999999E-2</v>
      </c>
      <c r="F11" s="53">
        <v>2.8736100000000001E-2</v>
      </c>
      <c r="G11" s="53">
        <v>2.0940500000000001E-2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0.79055180075000009</v>
      </c>
      <c r="D14" s="54">
        <v>0.79020438761099998</v>
      </c>
      <c r="E14" s="54">
        <v>0.79020438761099998</v>
      </c>
      <c r="F14" s="54">
        <v>0.561116893728</v>
      </c>
      <c r="G14" s="54">
        <v>0.561116893728</v>
      </c>
      <c r="H14" s="45">
        <v>0.57200000000000006</v>
      </c>
      <c r="I14" s="55">
        <v>0.57200000000000006</v>
      </c>
      <c r="J14" s="55">
        <v>0.57200000000000006</v>
      </c>
      <c r="K14" s="55">
        <v>0.57200000000000006</v>
      </c>
      <c r="L14" s="45">
        <v>0.51300000000000001</v>
      </c>
      <c r="M14" s="55">
        <v>0.51300000000000001</v>
      </c>
      <c r="N14" s="55">
        <v>0.51300000000000001</v>
      </c>
      <c r="O14" s="55">
        <v>0.51300000000000001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0.34434301950807972</v>
      </c>
      <c r="D15" s="52">
        <f t="shared" si="0"/>
        <v>0.344191695724886</v>
      </c>
      <c r="E15" s="52">
        <f t="shared" si="0"/>
        <v>0.344191695724886</v>
      </c>
      <c r="F15" s="52">
        <f t="shared" si="0"/>
        <v>0.24440736875178606</v>
      </c>
      <c r="G15" s="52">
        <f t="shared" si="0"/>
        <v>0.24440736875178606</v>
      </c>
      <c r="H15" s="52">
        <f t="shared" si="0"/>
        <v>0.24914775599999997</v>
      </c>
      <c r="I15" s="52">
        <f t="shared" si="0"/>
        <v>0.24914775599999997</v>
      </c>
      <c r="J15" s="52">
        <f t="shared" si="0"/>
        <v>0.24914775599999997</v>
      </c>
      <c r="K15" s="52">
        <f t="shared" si="0"/>
        <v>0.24914775599999997</v>
      </c>
      <c r="L15" s="52">
        <f t="shared" si="0"/>
        <v>0.22344894899999995</v>
      </c>
      <c r="M15" s="52">
        <f t="shared" si="0"/>
        <v>0.22344894899999995</v>
      </c>
      <c r="N15" s="52">
        <f t="shared" si="0"/>
        <v>0.22344894899999995</v>
      </c>
      <c r="O15" s="52">
        <f t="shared" si="0"/>
        <v>0.22344894899999995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MkLQe/aV0lxNbYdZ+jVRqw9x5tatskFB/F4Uf997Wm2ThmQG64PwExwQzDvq5LQNVIuki0umTrNs40PrUkb86g==" saltValue="yrf05Pji4hzTjkuHFE43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0.55745990000000001</v>
      </c>
      <c r="D2" s="53">
        <v>0.31738060000000001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0.28768739999999998</v>
      </c>
      <c r="D3" s="53">
        <v>0.29307539999999999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0.15165500000000001</v>
      </c>
      <c r="D4" s="53">
        <v>0.36726730000000002</v>
      </c>
      <c r="E4" s="53">
        <v>0.90440189999999998</v>
      </c>
      <c r="F4" s="53">
        <v>0.32328810000000002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3.19769999999997E-3</v>
      </c>
      <c r="D5" s="52">
        <f t="shared" si="0"/>
        <v>2.2276699999999927E-2</v>
      </c>
      <c r="E5" s="52">
        <f>1-SUM(E2:E4)</f>
        <v>9.5598100000000019E-2</v>
      </c>
      <c r="F5" s="52">
        <f>1-SUM(F2:F4)</f>
        <v>0.67671189999999992</v>
      </c>
      <c r="G5" s="52">
        <f>1-SUM(G2:G4)</f>
        <v>1</v>
      </c>
    </row>
  </sheetData>
  <sheetProtection algorithmName="SHA-512" hashValue="t86UosDVKJDeB81aqql4atbZvFiLGg0T6VAORhHnH5YpTB0MWNc7lH+5mudaQcdOF6HdGwiHhcr/LsLHrABwEg==" saltValue="iY7wHcMZ7zc6JlFS8M5n8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u1w1kytwb8AKWm4xXCDNQuNJjZsQc+PqU7hv+2T+8+ch2DpelkgxiVjMA8TYxGS4j36/Z/4cdOiC/pm31v+o2Q==" saltValue="xyLch9dQF2cMEeAa4F5mo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2649.2250223064202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0.43927999999999995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0.67626999999999993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1.5615930975167995E-2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95128.978910000005</v>
      </c>
      <c r="C22" s="109">
        <v>94732.496950000001</v>
      </c>
      <c r="D22" s="109">
        <v>94379.575119999994</v>
      </c>
      <c r="E22" s="109">
        <v>93709.278040000005</v>
      </c>
      <c r="F22" s="109">
        <v>92848.231100000005</v>
      </c>
      <c r="G22" s="109">
        <v>91727.163610000003</v>
      </c>
      <c r="H22" s="109">
        <v>90243.724119999999</v>
      </c>
      <c r="I22" s="109">
        <v>88144.963329999999</v>
      </c>
      <c r="J22" s="109">
        <v>85189.271840000001</v>
      </c>
      <c r="K22" s="109">
        <v>81207.520340000003</v>
      </c>
      <c r="L22" s="109">
        <v>76029.161550000004</v>
      </c>
      <c r="M22" s="109">
        <v>69399.805600000007</v>
      </c>
      <c r="N22" s="109">
        <v>60914.607210000002</v>
      </c>
      <c r="O22" s="109">
        <v>50551.708339999997</v>
      </c>
    </row>
  </sheetData>
  <sheetProtection algorithmName="SHA-512" hashValue="7jvUuPf1NyFKZyF9nXz/I36scrpttdpaftAKslxpJWZoj14JIzfCYuVi1dSUO7HqNOf7mnOiYMg6UqyDBT+b7g==" saltValue="fi37rxjJquzEMVlp5AJ5I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UD2+U+DYdf59RUVriXRBzOPsT17DrKf+ayPWLkwWTTw3oksSrXYhmKH/Wm4EQj2DgMbxx5NeALfdKB5deNRGZA==" saltValue="5gmTmo688oy5ivF1wlYBP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4lfLgvYWjIrC2zpjiOKU+LJVvRQ4hPqsy6EoHir1UjwoWhdtCODfijUGZb+3SfSqutxbFYXoJWAaOx8TAgqPOw==" saltValue="YfndLitiNCaVAcclukS21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18.025735670419653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18.025735670419653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5.2668836507008754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0.56149571024496792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0.10284547803181469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0.19283348666053357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0.42889809999999989</v>
      </c>
      <c r="C10" s="98">
        <v>0.95</v>
      </c>
      <c r="D10" s="56">
        <v>14.30595882155956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14.30595882155956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14.30595882155956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14.30595882155956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0.42889809999999989</v>
      </c>
      <c r="C14" s="98">
        <v>0.95</v>
      </c>
      <c r="D14" s="56">
        <v>14.30595882155956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14.30595882155956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0.58754410000000001</v>
      </c>
      <c r="C16" s="98">
        <v>0.95</v>
      </c>
      <c r="D16" s="56">
        <v>2.8407188685968858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0.38756666666666711</v>
      </c>
      <c r="C17" s="98">
        <v>0.95</v>
      </c>
      <c r="D17" s="56">
        <v>0.35500000000000004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0.38700000000000001</v>
      </c>
      <c r="C18" s="98">
        <v>0.95</v>
      </c>
      <c r="D18" s="56">
        <v>5.2668836507008754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0.31738060000000001</v>
      </c>
      <c r="C19" s="98">
        <v>0.95</v>
      </c>
      <c r="D19" s="56">
        <v>7.2861200073283072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2.1939130069251829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5.2668836507008754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0.65203509999999998</v>
      </c>
      <c r="C23" s="98">
        <v>0.95</v>
      </c>
      <c r="D23" s="56">
        <v>4.7315906611949723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0.69423244819630592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0.42889809999999989</v>
      </c>
      <c r="C26" s="98">
        <v>0.95</v>
      </c>
      <c r="D26" s="56">
        <v>3.8681355531509101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13.457928721749347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0.26856679999999999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0.13747470000000001</v>
      </c>
      <c r="C29" s="98">
        <v>0.95</v>
      </c>
      <c r="D29" s="56">
        <v>88.005851455993124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44.783843336315748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1.0200000000000001E-2</v>
      </c>
      <c r="C31" s="98">
        <v>0.95</v>
      </c>
      <c r="D31" s="56">
        <v>126.62714253872848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0.06</v>
      </c>
      <c r="C32" s="98">
        <v>0.95</v>
      </c>
      <c r="D32" s="56">
        <v>0.46210405728622134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0.4818578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0.62813980000000003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1.5841299999999999E-2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0.55470759999999997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0.16031409999999999</v>
      </c>
      <c r="C38" s="98">
        <v>0.95</v>
      </c>
      <c r="D38" s="56">
        <v>4.0706758054007581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3.4125000000000001</v>
      </c>
      <c r="E39" s="56" t="s">
        <v>212</v>
      </c>
      <c r="F39" s="98">
        <v>1</v>
      </c>
      <c r="G39" s="98">
        <v>1</v>
      </c>
    </row>
  </sheetData>
  <sheetProtection algorithmName="SHA-512" hashValue="a19yVV5lisq+tvm1JRvJ+baBKSF7PDBYeIg25cmFUJNp0allf1I9kwMYUC5WUW3/GNXjq4qjAClLAQVdfLwnkA==" saltValue="w5kcos8iPvbQvwyRo+PW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r6TxHku37AibSEhoHcl5HvSDtlrFlA/cI/bR4R9VA+LCbY9gOhFEk28o1miGeJtk9Rvkd7ykxXlXZaONXTDpRg==" saltValue="KS8DysTVvsXXSbZh5+lL1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gwQUvmSZ0kWJeh94g4ing9Hlenh2KKHGpz+KggePdtf6LOxYK/RouMwr2jr1vYN2UmuOD13F3IUNtfg2m8Sbqg==" saltValue="Psym8Jwu1Gb8Lagp0Zhgu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2.2360000000000002</v>
      </c>
      <c r="C2" s="21">
        <f>'Entradas de población-año base'!C52</f>
        <v>2.2360000000000002</v>
      </c>
      <c r="D2" s="21">
        <f>'Entradas de población-año base'!C53</f>
        <v>6.5259999999999998</v>
      </c>
      <c r="E2" s="21">
        <f>'Entradas de población-año base'!C54</f>
        <v>8.84</v>
      </c>
      <c r="F2" s="21">
        <f>'Entradas de población-año base'!C55</f>
        <v>3.5880000000000001</v>
      </c>
    </row>
    <row r="3" spans="1:6" ht="15.75" customHeight="1" x14ac:dyDescent="0.25">
      <c r="A3" s="3" t="s">
        <v>6</v>
      </c>
      <c r="B3" s="21">
        <f>frac_mam_1month * 2.6</f>
        <v>0.14957722000000001</v>
      </c>
      <c r="C3" s="21">
        <f>frac_mam_1_5months * 2.6</f>
        <v>0.14957722000000001</v>
      </c>
      <c r="D3" s="21">
        <f>frac_mam_6_11months * 2.6</f>
        <v>0.27652898000000004</v>
      </c>
      <c r="E3" s="21">
        <f>frac_mam_12_23months * 2.6</f>
        <v>0.18621434000000001</v>
      </c>
      <c r="F3" s="21">
        <f>frac_mam_24_59months * 2.6</f>
        <v>0.10416483999999999</v>
      </c>
    </row>
    <row r="4" spans="1:6" ht="15.75" customHeight="1" x14ac:dyDescent="0.25">
      <c r="A4" s="3" t="s">
        <v>236</v>
      </c>
      <c r="B4" s="21">
        <f>frac_sam_1month * 2.6</f>
        <v>0.13057642</v>
      </c>
      <c r="C4" s="21">
        <f>frac_sam_1_5months * 2.6</f>
        <v>0.13057642</v>
      </c>
      <c r="D4" s="21">
        <f>frac_sam_6_11months * 2.6</f>
        <v>8.6348079999999994E-2</v>
      </c>
      <c r="E4" s="21">
        <f>frac_sam_12_23months * 2.6</f>
        <v>7.4713860000000007E-2</v>
      </c>
      <c r="F4" s="21">
        <f>frac_sam_24_59months * 2.6</f>
        <v>5.4445300000000002E-2</v>
      </c>
    </row>
  </sheetData>
  <sheetProtection algorithmName="SHA-512" hashValue="0SdQX2l0WhJpCN185Ekak7Q91VKmeqz24oD5b/DETuW6aQTMgqubRPW9cFqRyxMC8WiTj3UIkTzyM46z3a7lMg==" saltValue="/3vStvmMA4edBoZ/kD9Hj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0.79900000000000004</v>
      </c>
      <c r="F2" s="60">
        <f>food_insecure</f>
        <v>0.79900000000000004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0.79900000000000004</v>
      </c>
      <c r="F5" s="60">
        <f>food_insecure</f>
        <v>0.79900000000000004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4.8785454545454555E-2</v>
      </c>
      <c r="D7" s="60">
        <f>diarrhoea_1_5mo*frac_diarrhea_severe</f>
        <v>4.8785454545454555E-2</v>
      </c>
      <c r="E7" s="60">
        <f>diarrhoea_6_11mo*frac_diarrhea_severe</f>
        <v>0.14238545454545457</v>
      </c>
      <c r="F7" s="60">
        <f>diarrhoea_12_23mo*frac_diarrhea_severe</f>
        <v>0.19287272727272728</v>
      </c>
      <c r="G7" s="60">
        <f>diarrhoea_24_59mo*frac_diarrhea_severe</f>
        <v>7.8283636363636375E-2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0.79900000000000004</v>
      </c>
      <c r="F8" s="60">
        <f>food_insecure</f>
        <v>0.79900000000000004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0.79900000000000004</v>
      </c>
      <c r="F9" s="60">
        <f>food_insecure</f>
        <v>0.79900000000000004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4.8785454545454555E-2</v>
      </c>
      <c r="D12" s="60">
        <f>diarrhoea_1_5mo*frac_diarrhea_severe</f>
        <v>4.8785454545454555E-2</v>
      </c>
      <c r="E12" s="60">
        <f>diarrhoea_6_11mo*frac_diarrhea_severe</f>
        <v>0.14238545454545457</v>
      </c>
      <c r="F12" s="60">
        <f>diarrhoea_12_23mo*frac_diarrhea_severe</f>
        <v>0.19287272727272728</v>
      </c>
      <c r="G12" s="60">
        <f>diarrhoea_24_59mo*frac_diarrhea_severe</f>
        <v>7.8283636363636375E-2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0.79900000000000004</v>
      </c>
      <c r="I15" s="60">
        <f t="shared" si="0"/>
        <v>0.79900000000000004</v>
      </c>
      <c r="J15" s="60">
        <f t="shared" si="0"/>
        <v>0.79900000000000004</v>
      </c>
      <c r="K15" s="60">
        <f t="shared" si="0"/>
        <v>0.79900000000000004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0.79900000000000004</v>
      </c>
      <c r="I16" s="60">
        <f t="shared" si="0"/>
        <v>0.79900000000000004</v>
      </c>
      <c r="J16" s="60">
        <f t="shared" si="0"/>
        <v>0.79900000000000004</v>
      </c>
      <c r="K16" s="60">
        <f t="shared" si="0"/>
        <v>0.79900000000000004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0.61499999999999999</v>
      </c>
      <c r="M24" s="60">
        <f>famplan_unmet_need</f>
        <v>0.61499999999999999</v>
      </c>
      <c r="N24" s="60">
        <f>famplan_unmet_need</f>
        <v>0.61499999999999999</v>
      </c>
      <c r="O24" s="60">
        <f>famplan_unmet_need</f>
        <v>0.61499999999999999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0.44332861426786807</v>
      </c>
      <c r="M25" s="60">
        <f>(1-food_insecure)*(0.49)+food_insecure*(0.7)</f>
        <v>0.65778999999999999</v>
      </c>
      <c r="N25" s="60">
        <f>(1-food_insecure)*(0.49)+food_insecure*(0.7)</f>
        <v>0.65778999999999999</v>
      </c>
      <c r="O25" s="60">
        <f>(1-food_insecure)*(0.49)+food_insecure*(0.7)</f>
        <v>0.65778999999999999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0.189997977543372</v>
      </c>
      <c r="M26" s="60">
        <f>(1-food_insecure)*(0.21)+food_insecure*(0.3)</f>
        <v>0.28190999999999999</v>
      </c>
      <c r="N26" s="60">
        <f>(1-food_insecure)*(0.21)+food_insecure*(0.3)</f>
        <v>0.28190999999999999</v>
      </c>
      <c r="O26" s="60">
        <f>(1-food_insecure)*(0.21)+food_insecure*(0.3)</f>
        <v>0.28190999999999999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4.0640197388759992E-2</v>
      </c>
      <c r="M27" s="60">
        <f>(1-food_insecure)*(0.3)</f>
        <v>6.0299999999999986E-2</v>
      </c>
      <c r="N27" s="60">
        <f>(1-food_insecure)*(0.3)</f>
        <v>6.0299999999999986E-2</v>
      </c>
      <c r="O27" s="60">
        <f>(1-food_insecure)*(0.3)</f>
        <v>6.0299999999999986E-2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1</v>
      </c>
      <c r="D34" s="60">
        <f t="shared" si="4"/>
        <v>1</v>
      </c>
      <c r="E34" s="60">
        <f t="shared" si="4"/>
        <v>1</v>
      </c>
      <c r="F34" s="60">
        <f t="shared" si="4"/>
        <v>1</v>
      </c>
      <c r="G34" s="60">
        <f t="shared" si="4"/>
        <v>1</v>
      </c>
      <c r="H34" s="60">
        <f t="shared" si="4"/>
        <v>1</v>
      </c>
      <c r="I34" s="60">
        <f t="shared" si="4"/>
        <v>1</v>
      </c>
      <c r="J34" s="60">
        <f t="shared" si="4"/>
        <v>1</v>
      </c>
      <c r="K34" s="60">
        <f t="shared" si="4"/>
        <v>1</v>
      </c>
      <c r="L34" s="60">
        <f t="shared" si="4"/>
        <v>1</v>
      </c>
      <c r="M34" s="60">
        <f t="shared" si="4"/>
        <v>1</v>
      </c>
      <c r="N34" s="60">
        <f t="shared" si="4"/>
        <v>1</v>
      </c>
      <c r="O34" s="60">
        <f t="shared" si="4"/>
        <v>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MIYg7lyDLIY8VxxA5ClBmqBmDhGCK+O2radS1NORWyru1Ah15hO0a0rtmeDgo2zEH9HQefraWaUtLSu1XA/PXA==" saltValue="sLHeTx2XhyJlEC+uviHfd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ToBO9z7KxtmIYrtRZw1NnZrIKdu6SqhFqlIwnGBOAHjxcFJA4BrfKIGx+5W/2L2A1W8VXkCKg0uq5Xfp3UZ6sw==" saltValue="77D7GPJRIvo8ugoeuhnoU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8uIMEziNhEV1RnwoFzRoG1MKbmxlrwiIikNLoDSrHTHPgo5pyxC9BOw/ts0QF5Hs7b/qznX9L6igcqQTOich9w==" saltValue="o2O1tCwrklbkO02u8XJ+A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B/15V6Fj1nzVHc/Ae26sEeIQodLeGWAMWuTq1axEYaYxjdi6B2Jyg6GWMUeQtuAc+lB7rSe2ajOvcPkcyP+RbQ==" saltValue="Pyj7JnRN+S+TXELvdzHF4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1pNRhRZldtGAtFGS1S1e2mUv6I+j9WNvSNs0s9DO3x+Hgkq7TAi92BlWohFxmidEIgy3b/NWdL4TmPsTCUTgEA==" saltValue="SRtCtqL1eQflYIxpXucuQ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QrgHfRR0aY2TZLSKfONaO2BkMRMEIPOusBZ/lC8k0OLYVBfZuiwzvFjJpxuk/OZIbIpS65v3OZN7V+LIviCQww==" saltValue="Fq1fC0QvwdXRpfIPNpQol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7y5UNtyDS5Ta2oG9NaXu5KgmEAZBxkuQ9au8d4io96vNVHy6h0+AO9djISkD3qujZgxs/Vq31Yw3Wd4dYuwwVQ==" saltValue="vYGu3451xmqiEWAgDAqAd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A314HPeRCESUMAtwBtfed8HfFCqk5nrsQl20pJWLgFdgA+aNrpnouGpurmbF+ArrQ+cHrIWdCMlY8v3cjDO1Bg==" saltValue="cZiOUkMkmuf5JoNzfesmx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aHhfKrkGhb7xlVLpxFlbg140oZAv6qaVmG8uzH+VrtNCVQ7NhzbHWDXnnBIJuvHM5CLMkpmmt4oLZ3R1q+T3TQ==" saltValue="M2hC46OTl2OOBs+mBs2A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fe2L1IqLvmDBwpVfkATWRVb3CCtVt6Z6mMQ//JoFEa8kSYQ7YcQryJr7GdKES0FmTIqKnjFBsFG011lHICUg/A==" saltValue="eqIvNiV1eECYRRvKoxkN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IvN9y9tH+BxcgJBY963Klq5R00rH2iJZdQYNldSj896IzzldIhpTMVTtv75iFHwMbMlElY3P2ksyCcS2w6GyFg==" saltValue="kBHl5WPzdwgBVbSmnSkj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kPSj4uH/erS/UQM/GvnAlO43JZedZAOo+f2zQe4MwsdDNnN0nSQPEoLRoEZXE4YRY4R5VcLb1fshFsIu0zH2Xw==" saltValue="exDzn2yojw6bXzKDFVm8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90B0AwwBgU40ZwFUfDU8n8yh12wxYvbeyUzwBenbVqiK2DwLVCXZ3HLpkBL+bhIJXcmNLFEJXbO1CdRlYDx7zA==" saltValue="5xLqiRh7ZsiPAQmo+yQS/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BS9I8+YayO+GdgqXXgQYibYVsQGQk/3QHJAoiIbCSmO0fNR4qpuBEe9PJO6XDYVNws+6nz1I0fX3nGuFaL98AQ==" saltValue="jajSffJ7j6zoqbg0UPO4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02UiAqbwNAJe2TnuZF9HHTN3TGfEWnFg4LlLtT90U3bI511VT4Lk/CiZGnMFPvoCfZ8YSBE1LOTBFnu7gTCOJA==" saltValue="WiQL9ukHqCr/q7DFpx9fE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2025-07-08T03:14:07Z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