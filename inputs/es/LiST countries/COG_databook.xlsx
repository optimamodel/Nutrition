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D7C6698-7720-4056-9E5C-EC8A382ACAC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7" i="2" l="1"/>
  <c r="A36" i="2"/>
  <c r="A31" i="2"/>
  <c r="I6" i="2"/>
  <c r="I12" i="2"/>
  <c r="A35" i="2"/>
  <c r="I2" i="2"/>
  <c r="I8" i="2"/>
  <c r="A19" i="2"/>
  <c r="A22" i="2"/>
  <c r="A24" i="2"/>
  <c r="A40" i="2"/>
  <c r="A23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<sst xmlns="http://schemas.openxmlformats.org/spreadsheetml/2006/main" count="2169" uniqueCount="373">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</sst>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897373</v>
      </c>
    </row>
    <row r="8" spans="1:3" ht="15" customHeight="1" x14ac:dyDescent="0.25">
      <c r="B8" s="5" t="s">
        <v>63</v>
      </c>
      <c r="C8" s="44">
        <v>0.79900000000000004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0.1235</v>
      </c>
    </row>
    <row r="24" spans="1:3" ht="15" customHeight="1" x14ac:dyDescent="0.25">
      <c r="B24" s="15" t="s">
        <v>65</v>
      </c>
      <c r="C24" s="45">
        <v>0.49630000000000002</v>
      </c>
    </row>
    <row r="25" spans="1:3" ht="15" customHeight="1" x14ac:dyDescent="0.25">
      <c r="B25" s="15" t="s">
        <v>66</v>
      </c>
      <c r="C25" s="45">
        <v>0.30649999999999999</v>
      </c>
    </row>
    <row r="26" spans="1:3" ht="15" customHeight="1" x14ac:dyDescent="0.25">
      <c r="B26" s="15" t="s">
        <v>67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0.252977860168906</v>
      </c>
    </row>
    <row r="30" spans="1:3" ht="14.25" customHeight="1" x14ac:dyDescent="0.25">
      <c r="B30" s="25" t="s">
        <v>82</v>
      </c>
      <c r="C30" s="97">
        <v>3.7612008018149699E-2</v>
      </c>
    </row>
    <row r="31" spans="1:3" ht="14.25" customHeight="1" x14ac:dyDescent="0.25">
      <c r="B31" s="25" t="s">
        <v>29</v>
      </c>
      <c r="C31" s="97">
        <v>7.1064506079706297E-2</v>
      </c>
    </row>
    <row r="32" spans="1:3" ht="14.25" customHeight="1" x14ac:dyDescent="0.25">
      <c r="B32" s="25" t="s">
        <v>30</v>
      </c>
      <c r="C32" s="97">
        <v>0.63834562573323805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18.408550000000002</v>
      </c>
    </row>
    <row r="38" spans="1:5" ht="15" customHeight="1" x14ac:dyDescent="0.25">
      <c r="B38" s="11" t="s">
        <v>54</v>
      </c>
      <c r="C38" s="43">
        <v>31.978870000000001</v>
      </c>
      <c r="D38" s="12"/>
      <c r="E38" s="13"/>
    </row>
    <row r="39" spans="1:5" ht="15" customHeight="1" x14ac:dyDescent="0.25">
      <c r="B39" s="11" t="s">
        <v>80</v>
      </c>
      <c r="C39" s="43">
        <v>42.967860000000002</v>
      </c>
      <c r="D39" s="12"/>
      <c r="E39" s="12"/>
    </row>
    <row r="40" spans="1:5" ht="15" customHeight="1" x14ac:dyDescent="0.25">
      <c r="B40" s="11" t="s">
        <v>55</v>
      </c>
      <c r="C40" s="98">
        <v>2.82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78</v>
      </c>
      <c r="C47" s="45">
        <v>7.3440000000000005E-2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2.2360000000000002</v>
      </c>
      <c r="D51" s="12"/>
    </row>
    <row r="52" spans="1:4" ht="15" customHeight="1" x14ac:dyDescent="0.25">
      <c r="B52" s="11" t="s">
        <v>32</v>
      </c>
      <c r="C52" s="98">
        <v>2.2360000000000002</v>
      </c>
    </row>
    <row r="53" spans="1:4" ht="15.75" customHeight="1" x14ac:dyDescent="0.25">
      <c r="B53" s="11" t="s">
        <v>35</v>
      </c>
      <c r="C53" s="98">
        <v>6.5259999999999998</v>
      </c>
    </row>
    <row r="54" spans="1:4" ht="15.75" customHeight="1" x14ac:dyDescent="0.25">
      <c r="B54" s="11" t="s">
        <v>33</v>
      </c>
      <c r="C54" s="98">
        <v>8.84</v>
      </c>
    </row>
    <row r="55" spans="1:4" ht="15.75" customHeight="1" x14ac:dyDescent="0.25">
      <c r="B55" s="11" t="s">
        <v>34</v>
      </c>
      <c r="C55" s="98">
        <v>3.5880000000000001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0.43557299999999988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TPJpa6RkFPbClebzcJwPamwTdm3QsPGS0EEgocUO2XcC95+8FfmkfUBfEPeOj/LnRjLpSQa9wAAzg8peIbmc3A==" saltValue="KWP91eeDkAVyPa9EXGQt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+SA43/okzBnbMhVwdGS57hLLqPTkibNYUChfUK7HCXIPDGfkVq2JYS/Ir2RGqYhft+R2HIJ1ei5B/S4xR2yHg==" saltValue="GnccRjodCzFxlNcyO0mI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8.4456983108603251E-3</v>
      </c>
    </row>
    <row r="4" spans="1:8" ht="15.75" customHeight="1" x14ac:dyDescent="0.25">
      <c r="B4" s="19" t="s">
        <v>116</v>
      </c>
      <c r="C4" s="99">
        <v>5.1272189745562052E-2</v>
      </c>
    </row>
    <row r="5" spans="1:8" ht="15.75" customHeight="1" x14ac:dyDescent="0.25">
      <c r="B5" s="19" t="s">
        <v>114</v>
      </c>
      <c r="C5" s="99">
        <v>6.2944087411182431E-2</v>
      </c>
    </row>
    <row r="6" spans="1:8" ht="15.75" customHeight="1" x14ac:dyDescent="0.25">
      <c r="B6" s="19" t="s">
        <v>110</v>
      </c>
      <c r="C6" s="99">
        <v>0.2355956528808697</v>
      </c>
    </row>
    <row r="7" spans="1:8" ht="15.75" customHeight="1" x14ac:dyDescent="0.25">
      <c r="B7" s="19" t="s">
        <v>115</v>
      </c>
      <c r="C7" s="99">
        <v>0.43809161238167749</v>
      </c>
    </row>
    <row r="8" spans="1:8" ht="15.75" customHeight="1" x14ac:dyDescent="0.25">
      <c r="B8" s="19" t="s">
        <v>117</v>
      </c>
      <c r="C8" s="99">
        <v>1.970299605940075E-3</v>
      </c>
    </row>
    <row r="9" spans="1:8" ht="15.75" customHeight="1" x14ac:dyDescent="0.25">
      <c r="B9" s="19" t="s">
        <v>111</v>
      </c>
      <c r="C9" s="99">
        <v>8.9744082051183616E-2</v>
      </c>
    </row>
    <row r="10" spans="1:8" ht="15.75" customHeight="1" x14ac:dyDescent="0.25">
      <c r="B10" s="19" t="s">
        <v>113</v>
      </c>
      <c r="C10" s="99">
        <v>0.11193637761272431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121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2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109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3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120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98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107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118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8.7242721000000009E-2</v>
      </c>
    </row>
    <row r="27" spans="1:8" ht="15.75" customHeight="1" x14ac:dyDescent="0.25">
      <c r="B27" s="19" t="s">
        <v>108</v>
      </c>
      <c r="C27" s="99">
        <v>8.310329E-3</v>
      </c>
    </row>
    <row r="28" spans="1:8" ht="15.75" customHeight="1" x14ac:dyDescent="0.25">
      <c r="B28" s="19" t="s">
        <v>122</v>
      </c>
      <c r="C28" s="99">
        <v>0.15469581399999999</v>
      </c>
    </row>
    <row r="29" spans="1:8" ht="15.75" customHeight="1" x14ac:dyDescent="0.25">
      <c r="B29" s="19" t="s">
        <v>105</v>
      </c>
      <c r="C29" s="99">
        <v>0.16579052899999999</v>
      </c>
    </row>
    <row r="30" spans="1:8" ht="15.75" customHeight="1" x14ac:dyDescent="0.25">
      <c r="B30" s="19" t="s">
        <v>4</v>
      </c>
      <c r="C30" s="99">
        <v>0.104526494</v>
      </c>
    </row>
    <row r="31" spans="1:8" ht="15.75" customHeight="1" x14ac:dyDescent="0.25">
      <c r="B31" s="19" t="s">
        <v>99</v>
      </c>
      <c r="C31" s="99">
        <v>0.110420331</v>
      </c>
    </row>
    <row r="32" spans="1:8" ht="15.75" customHeight="1" x14ac:dyDescent="0.25">
      <c r="B32" s="19" t="s">
        <v>104</v>
      </c>
      <c r="C32" s="99">
        <v>1.8469151999999999E-2</v>
      </c>
    </row>
    <row r="33" spans="2:3" ht="15.75" customHeight="1" x14ac:dyDescent="0.25">
      <c r="B33" s="19" t="s">
        <v>119</v>
      </c>
      <c r="C33" s="99">
        <v>8.2794389999999995E-2</v>
      </c>
    </row>
    <row r="34" spans="2:3" ht="15.75" customHeight="1" x14ac:dyDescent="0.25">
      <c r="B34" s="19" t="s">
        <v>106</v>
      </c>
      <c r="C34" s="99">
        <v>0.267750241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LdunVN2MF5q37lxuTGRdEHnVUlwrPD5/JxdI8jxk9haAAOs0+QGhbLuJLetTnxwn1H3B0MYoEu8Jzu5yMeh92w==" saltValue="THr4RinD1CCioiBVIvoJ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129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125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126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bdL2WuQ8eoYMf3JO2IuGgzMGwYTAFg8LENfxJDGonuuM92VaacrtuzfK/yYI57YDYZa0HfR56QKqiX+bhl9dw==" saltValue="IH+LXJYyl3LnEzvGi4mg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FeJSM6DRUG+VdlXnoGv4KqOftQdqekdsv0txUeAdvq5amLlAftlFSfXyBa4P2ycczmscZNS7VayTQV9Y7q8wUw==" saltValue="FFZfcYYc8wPtBJTAp7k/B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+uC7rzD7Sk8OPvwkwV0ZNXjyiYCVD5/6QCDwMapRBgjZgl6IGzRcb87PIEP6+0q4U5ZWPx8xYG/zNwWIzUsjA==" saltValue="5bsemKrjgqdppNN5QhQN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algorithmName="SHA-512" hashValue="ZjPFKVio49XKtHlLQSpmlo5HITEPYqTPdFoyrJlKc7JORQZX89nEkCnKcNkMsIm0w5tZ4Ww0hwDyUQh1Kj4ZCw==" saltValue="uwzv1b+sv4Nvt4smvGNl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1QHseDnUhH/LS6U666P4bw9JQqz1jT2juLr4OtPaeq0ksxU0515SgHLxiCSMZ7TCsch22trh/hD1oI+nBpd3A==" saltValue="C8RHHrXVZ1doJbKewO4D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SGoPwuHm+7GobViBAr1t6X8XGHDDJzHs0T2HXm5UKYjFyOcxpmi7nrEl0XXdywywWpN9A+pAcmXZI2MYFpKvg==" saltValue="5fhUz956Lp3s3tbnBM8Q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0.19283348666053357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0.42889809999999989</v>
      </c>
      <c r="C10" s="96">
        <v>0.95</v>
      </c>
      <c r="D10" s="56">
        <v>14.30595882155956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14.30595882155956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14.30595882155956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14.30595882155956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0.42889809999999989</v>
      </c>
      <c r="C14" s="96">
        <v>0.95</v>
      </c>
      <c r="D14" s="56">
        <v>14.30595882155956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14.30595882155956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0.58754410000000001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0.38756666666666711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0.38700000000000001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0.31738060000000001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0.65203509999999998</v>
      </c>
      <c r="C23" s="96">
        <v>0.95</v>
      </c>
      <c r="D23" s="56">
        <v>4.7315906611949723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0.69423244819630592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0.42889809999999989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0.26856679999999999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0.13747470000000001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1.0200000000000001E-2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0.06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0.4818578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0.62813980000000003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1.5841299999999999E-2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0.55470759999999997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0.16031409999999999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WBReekcFr8L/kQBczi/GMJmRONWNzrUORaiHTQCcP4vuBSxTZVInWzGs1xLWEdZ0tQr/BvMxYn8Rj4jEh9r8DQ==" saltValue="eXXu4KFT49a2Qe+XDKV8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OdpJagYw8wCm4TObTh3SDdEmREKIdfPmplU8EsFduhcRUZ5oX4FlUPPgKW5EEmRGWJ4hLkp8uZmY82Hj+ir+Q==" saltValue="A4ODEwwV/hVIswEGJUUj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W6hpZtCbMKjKU+bUKcCtd9Oenm+15vZIeGCNFNzdKdJdBggHkqX2yUXmE95v1H/gftfMDL8QiHw5/463bUNvw==" saltValue="vJeVQfC5aX6RkSkZp1zK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2.2360000000000002</v>
      </c>
      <c r="C2" s="21">
        <f>'Entradas de población-año base'!C52</f>
        <v>2.2360000000000002</v>
      </c>
      <c r="D2" s="21">
        <f>'Entradas de población-año base'!C53</f>
        <v>6.5259999999999998</v>
      </c>
      <c r="E2" s="21">
        <f>'Entradas de población-año base'!C54</f>
        <v>8.84</v>
      </c>
      <c r="F2" s="21">
        <f>'Entradas de población-año base'!C55</f>
        <v>3.5880000000000001</v>
      </c>
    </row>
    <row r="3" spans="1:6" ht="15.75" customHeight="1" x14ac:dyDescent="0.25">
      <c r="A3" s="3" t="s">
        <v>6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236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xC0WhyolIIrxEvTdbazIyoBUH7iPhEwkdvrx71jeL3tYO3aYVm3luaXed5rN9FXNMqDNBh6dAIQmdjRxBaSkTA==" saltValue="hwXLAF8d9gXI6CRR3IBU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RDxs4fyQpXCGZuYYVxwKmVFHH2yGZ5d7ay91gWK3VqqB7bXfjCXJY3d0rE4vZr+GxXzQkwpjFr88i161fGvpw==" saltValue="LQfeG5wzilAZ7ClWnOxK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yv8kPFYxzZFlXhmHnsJFmF3MGRMC3QjRUS6iAz04NmgGJHHtIg1yN8dtXLeHrJlPM00/XXcbHVt5zCdLcmGgQ==" saltValue="1xz5ofIirXUr3aSct9li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IqyoPnE/LXJTATF8qoKSKUZjyFYKg9+SAOSHkVvWukHXmbzfaBEAh1u6M5NAvS1DPYu7vbKfiKv/4cRALfLWA==" saltValue="VP9sNzj/56pUtXdA/hq4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UIFiOJLpOVAK9qaZdnfzDwMKyrZTlMCvdf/tbwvGuqwxvNjmuTGFOyDxIEHBu4Y5AS53kcPsVCRPzYb+i8SEg==" saltValue="aXlCbS+ZENoWBXFBcHWF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9H0TAjsZFPOE9OrnDwcvMAz6XemHVll8H/vABS38hvh5c+zEW/aVTKZvS2psnOB6ecJIZY2RKF7JhPdChcISdg==" saltValue="1zIqABSKg7rhigyy9gIU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gYlp7sz79O5I9bdz9PP2dpKrsxebIVVhfgVskhDTDYwD3Oy7s8/HrqutxCRzXF1rvVBW32SLkqVcn95VndUqw==" saltValue="QfeZAk/xJmnr4uQAAZ8r5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aACGyhbttAOIgafYCPP/CimHcFREbhNZJK5amecONClbYeQMeBB3YXSnBcA9PKliAbxLT0fmKYzkuy6PNXeuw==" saltValue="QJ0WCvcSzLK4B8oN3cqmz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+iop5dCOfSncQZydfRDowhwgTdPvW73JGqAZZE+O8cJO/g79Wh8788XGQclbykiqs+gfpH2Y7y8XGExclxM1A==" saltValue="wW3bXCbZeX9RTHH8ShiU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yN3P8ZJqC2WskmNuJiVL6dC39aK4PqIInZ4t1CNYoRQkI0bQP//hqMgwG8dsMTPJ8huyBw0cGxIJ/VaRfck9w==" saltValue="NYsil+/m71qRe5aw7fys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E0qR8Iji+4IlUHnqBTQyITdOwHKjET6zlq9GeCO2gnt+M6Hf1rz5TeRnv9d78KXcexfiS8NAA0pGE9dWYQViQ==" saltValue="QFvJmpiInAvzU6a4rTSD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gOJNBvvJOOkE7pdFP6gSinItDBPuwqgwNw/H/Zb2xaA912KrvvUmX2y7a7in3edEPpLrNRTpZ/Q1sdm97zoDg==" saltValue="3B4YnXg1DEMZMpIWjSFz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CivpkDMAb4c4gPwpj5mvW7k68hq4Y06UGC7dl3JGeVgDX5vqICbzboRfbYwjUZIBqZRonrJQSUBpIS9RdYGwg==" saltValue="ihH1+1VmBtUvPG9JuqLy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EI7I2ivsQsjlHVV4/fAdL1vYrnPTPNrBCK99GQeKwUiFYYMDKXgI78VQ7Kx+oyL0cwC02ycpZgmMZS88uT2Dg==" saltValue="g4o5bF0MxFoye7LIZnog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3KIKDYWKqALh0lNC6Xct9/loq9HUIw4mmkH8WubEU++NhC570OckPftmHOkfDxoWcdqkITEorbcvAJQ57TkVw==" saltValue="zPhoJBJGI/SvuXNWBwAf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owbINC2h/Ua1PPsGD09jPy72VARO60qC6C3pK7kK7q1q51giQaUrxqrWmakhKanYlV2sPv1vPBpRvoVGyYbPw==" saltValue="rH8O3+ETarbxZ1+eftZ9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