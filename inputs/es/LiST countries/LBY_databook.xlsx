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AE1509F0-4C2D-45C5-8E5F-E63B2604F02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A24" i="2"/>
  <c r="A23" i="2"/>
  <c r="A31" i="2"/>
  <c r="I4" i="2"/>
  <c r="I8" i="2"/>
  <c r="I12" i="2"/>
  <c r="A25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<sst xmlns="http://schemas.openxmlformats.org/spreadsheetml/2006/main" count="2159" uniqueCount="372">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</sst>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588941</v>
      </c>
    </row>
    <row r="8" spans="1:3" ht="15" customHeight="1" x14ac:dyDescent="0.25">
      <c r="B8" s="5" t="s">
        <v>63</v>
      </c>
      <c r="C8" s="44">
        <v>0.40899999999999997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0.40200000000000002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1.2699999999999999E-2</v>
      </c>
    </row>
    <row r="24" spans="1:3" ht="15" customHeight="1" x14ac:dyDescent="0.25">
      <c r="B24" s="15" t="s">
        <v>65</v>
      </c>
      <c r="C24" s="45">
        <v>0.32469999999999999</v>
      </c>
    </row>
    <row r="25" spans="1:3" ht="15" customHeight="1" x14ac:dyDescent="0.25">
      <c r="B25" s="15" t="s">
        <v>66</v>
      </c>
      <c r="C25" s="45">
        <v>0.53369999999999995</v>
      </c>
    </row>
    <row r="26" spans="1:3" ht="15" customHeight="1" x14ac:dyDescent="0.25">
      <c r="B26" s="15" t="s">
        <v>67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0.26912377197565901</v>
      </c>
    </row>
    <row r="30" spans="1:3" ht="14.25" customHeight="1" x14ac:dyDescent="0.25">
      <c r="B30" s="25" t="s">
        <v>82</v>
      </c>
      <c r="C30" s="99">
        <v>4.10301351064883E-2</v>
      </c>
    </row>
    <row r="31" spans="1:3" ht="14.25" customHeight="1" x14ac:dyDescent="0.25">
      <c r="B31" s="25" t="s">
        <v>29</v>
      </c>
      <c r="C31" s="99">
        <v>6.6332842080041601E-2</v>
      </c>
    </row>
    <row r="32" spans="1:3" ht="14.25" customHeight="1" x14ac:dyDescent="0.25">
      <c r="B32" s="25" t="s">
        <v>30</v>
      </c>
      <c r="C32" s="99">
        <v>0.62351325083781095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29.927250000000001</v>
      </c>
    </row>
    <row r="38" spans="1:5" ht="15" customHeight="1" x14ac:dyDescent="0.25">
      <c r="B38" s="11" t="s">
        <v>54</v>
      </c>
      <c r="C38" s="43">
        <v>56.723050000000001</v>
      </c>
      <c r="D38" s="12"/>
      <c r="E38" s="13"/>
    </row>
    <row r="39" spans="1:5" ht="15" customHeight="1" x14ac:dyDescent="0.25">
      <c r="B39" s="11" t="s">
        <v>80</v>
      </c>
      <c r="C39" s="43">
        <v>76.040170000000003</v>
      </c>
      <c r="D39" s="12"/>
      <c r="E39" s="12"/>
    </row>
    <row r="40" spans="1:5" ht="15" customHeight="1" x14ac:dyDescent="0.25">
      <c r="B40" s="11" t="s">
        <v>55</v>
      </c>
      <c r="C40" s="100">
        <v>6.52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78</v>
      </c>
      <c r="C47" s="45">
        <v>7.3475499999999999E-2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0.44132399999999999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0.14607059</v>
      </c>
    </row>
    <row r="63" spans="1:4" ht="15.75" customHeight="1" x14ac:dyDescent="0.3">
      <c r="A63" s="4"/>
    </row>
  </sheetData>
  <sheetProtection algorithmName="SHA-512" hashValue="35ZhfiwxJEl2u1FTkXrDJ12UQrfcmlPJCR93y0D0OG2a8Mf6lcRZwMsp2XcdkVbPK40w8KMQkaotcGfOzIxlxg==" saltValue="NwlijotzC6M1jTk76ZzV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PcSyab5xa4YrSUCuTBtKXhVxCh6Gz+8sj6aqT5fr+jOSHvrirJ6Ko0r6iCdp41LL1zRhYCohC9fjFF0HUXtNQ==" saltValue="i2eFLg0JVKnE6PJ2W5v4K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2.0916002091600189E-2</v>
      </c>
    </row>
    <row r="4" spans="1:8" ht="15.75" customHeight="1" x14ac:dyDescent="0.25">
      <c r="B4" s="19" t="s">
        <v>116</v>
      </c>
      <c r="C4" s="101">
        <v>6.5774706577470685E-2</v>
      </c>
    </row>
    <row r="5" spans="1:8" ht="15.75" customHeight="1" x14ac:dyDescent="0.25">
      <c r="B5" s="19" t="s">
        <v>114</v>
      </c>
      <c r="C5" s="101">
        <v>9.6632509663250973E-2</v>
      </c>
    </row>
    <row r="6" spans="1:8" ht="15.75" customHeight="1" x14ac:dyDescent="0.25">
      <c r="B6" s="19" t="s">
        <v>110</v>
      </c>
      <c r="C6" s="101">
        <v>0.25245662524566231</v>
      </c>
    </row>
    <row r="7" spans="1:8" ht="15.75" customHeight="1" x14ac:dyDescent="0.25">
      <c r="B7" s="19" t="s">
        <v>115</v>
      </c>
      <c r="C7" s="101">
        <v>0.39333373933337429</v>
      </c>
    </row>
    <row r="8" spans="1:8" ht="15.75" customHeight="1" x14ac:dyDescent="0.25">
      <c r="B8" s="19" t="s">
        <v>117</v>
      </c>
      <c r="C8" s="101">
        <v>3.4550003455000359E-3</v>
      </c>
    </row>
    <row r="9" spans="1:8" ht="15.75" customHeight="1" x14ac:dyDescent="0.25">
      <c r="B9" s="19" t="s">
        <v>111</v>
      </c>
      <c r="C9" s="101">
        <v>5.8309405830940547E-2</v>
      </c>
    </row>
    <row r="10" spans="1:8" ht="15.75" customHeight="1" x14ac:dyDescent="0.25">
      <c r="B10" s="19" t="s">
        <v>113</v>
      </c>
      <c r="C10" s="101">
        <v>0.1091220109122009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121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2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109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3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120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98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107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118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8.7635818000000004E-2</v>
      </c>
    </row>
    <row r="27" spans="1:8" ht="15.75" customHeight="1" x14ac:dyDescent="0.25">
      <c r="B27" s="19" t="s">
        <v>108</v>
      </c>
      <c r="C27" s="101">
        <v>8.6621349999999996E-3</v>
      </c>
    </row>
    <row r="28" spans="1:8" ht="15.75" customHeight="1" x14ac:dyDescent="0.25">
      <c r="B28" s="19" t="s">
        <v>122</v>
      </c>
      <c r="C28" s="101">
        <v>0.15441808500000001</v>
      </c>
    </row>
    <row r="29" spans="1:8" ht="15.75" customHeight="1" x14ac:dyDescent="0.25">
      <c r="B29" s="19" t="s">
        <v>105</v>
      </c>
      <c r="C29" s="101">
        <v>0.167759189</v>
      </c>
    </row>
    <row r="30" spans="1:8" ht="15.75" customHeight="1" x14ac:dyDescent="0.25">
      <c r="B30" s="19" t="s">
        <v>4</v>
      </c>
      <c r="C30" s="101">
        <v>0.10583751800000001</v>
      </c>
    </row>
    <row r="31" spans="1:8" ht="15.75" customHeight="1" x14ac:dyDescent="0.25">
      <c r="B31" s="19" t="s">
        <v>99</v>
      </c>
      <c r="C31" s="101">
        <v>0.109709026</v>
      </c>
    </row>
    <row r="32" spans="1:8" ht="15.75" customHeight="1" x14ac:dyDescent="0.25">
      <c r="B32" s="19" t="s">
        <v>104</v>
      </c>
      <c r="C32" s="101">
        <v>1.8596574000000001E-2</v>
      </c>
    </row>
    <row r="33" spans="2:3" ht="15.75" customHeight="1" x14ac:dyDescent="0.25">
      <c r="B33" s="19" t="s">
        <v>119</v>
      </c>
      <c r="C33" s="101">
        <v>8.3747772999999998E-2</v>
      </c>
    </row>
    <row r="34" spans="2:3" ht="15.75" customHeight="1" x14ac:dyDescent="0.25">
      <c r="B34" s="19" t="s">
        <v>106</v>
      </c>
      <c r="C34" s="101">
        <v>0.26363388300000001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Ld+Y68FUcMLhj7twZnRiQg+aN5R5n6Fhfy5nIyLVZpHjbS7iteLxf/GUPz9IDVW2SiDz/udtZlW1DmZzYh4EOg==" saltValue="AF3CjtZygR4iNK/BH7CHw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129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125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126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nDG60KoEilgMCLXHlRsvJG82RQ635MqJhU1flWdjWEtah/FBgxym1iEq9WwiXYthuhzioQrdOMkpbAs80pk9g==" saltValue="aWfB/vaMwTV8P+/h6liZ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MmaN/PqQzw2hmqWaoocLZwsZjBVp//J2sORCp+TKB3z54jUWpPzPZIQzNxo2c4TMKYAj1K/bkoIZ59h7MpevCA==" saltValue="UoUnB4j9BtIU8+7pn3ft8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qk9oUcMcbH85eXSiukDb+cvui699IuHwjrf80YeAltNfYM/o1benqZ0Yb6u2uA+0IitUBey0JPjj4F1xncGgw==" saltValue="pFXqvMHzgwcqo3K3syls+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6716.0959846232799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0.40487000000000001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0.36991999999999997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1.0567949644444418E-2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98807.089730000007</v>
      </c>
      <c r="C22" s="109">
        <v>98628.64129</v>
      </c>
      <c r="D22" s="109">
        <v>98396.81005</v>
      </c>
      <c r="E22" s="109">
        <v>98002.189859999999</v>
      </c>
      <c r="F22" s="109">
        <v>97420.469469999996</v>
      </c>
      <c r="G22" s="109">
        <v>96823.648279999994</v>
      </c>
      <c r="H22" s="109">
        <v>96104.379369999995</v>
      </c>
      <c r="I22" s="109">
        <v>95202.783769999995</v>
      </c>
      <c r="J22" s="109">
        <v>94023.532319999998</v>
      </c>
      <c r="K22" s="109">
        <v>92269.896710000001</v>
      </c>
      <c r="L22" s="109">
        <v>89884.668460000001</v>
      </c>
      <c r="M22" s="109">
        <v>86369.482889999999</v>
      </c>
      <c r="N22" s="109">
        <v>80715.421700000006</v>
      </c>
      <c r="O22" s="109">
        <v>72640.698099999994</v>
      </c>
    </row>
  </sheetData>
  <sheetProtection algorithmName="SHA-512" hashValue="/+MJT/YYw/6ZbmOG1dMeFa8RYMQABtRw6Fkgv+PE1Qe1mkqBQTj1mihYO3M+Qru8jIgJLCejYyXKSpiv5ycLBA==" saltValue="1aYDo0zGyegQELfnA6HEe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5kF2ME1xSasVEkKQbsjeHAtXRlXXM8zvYCHJggG5u65X4Qx/J8VlWHRXjjYIbL0P23RC6uJOQk6ZnB69vgJi7A==" saltValue="0czGQGcQMXhbpMZi8Hvsq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T5SmWPJgoTjSX78iDaF5P24COSVLKUNJp74bL33zyQ+DN7p6LX8Q8WnwTstBlDOr8T0a46R/wMEh75hZJP6xA==" saltValue="SeOHpC5nejH0+Mfc8mNX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0.42978100000000002</v>
      </c>
      <c r="C10" s="98">
        <v>0.95</v>
      </c>
      <c r="D10" s="56">
        <v>13.152774049592161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13.152774049592161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13.152774049592161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13.152774049592161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0.42978100000000002</v>
      </c>
      <c r="C14" s="98">
        <v>0.95</v>
      </c>
      <c r="D14" s="56">
        <v>13.152774049592161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13.152774049592161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0.69226200000000004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0.157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0.51254100000000002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0.51254100000000002</v>
      </c>
      <c r="C19" s="98">
        <v>0.95</v>
      </c>
      <c r="D19" s="56">
        <v>11.78698314040644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0.53483530000000001</v>
      </c>
      <c r="C23" s="98">
        <v>0.95</v>
      </c>
      <c r="D23" s="56">
        <v>4.3672092908488347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0.57084762680907997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0.54128999999999994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8.6074300000000006E-2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0.15140000000000001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3.4401899999999999E-2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0.1875019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1.9946800000000001E-2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5.4970400000000003E-2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0.2335767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yVcIoJarhs/G5nO2hQcuPgbAgK2DWKoFcbPqqIpwFV2h7vVme8xjoKUT7lhIH3HyDUEqLpkuB4jDJ7kGY904Vg==" saltValue="ZOv8juQBFJZpOjLwKnGU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GrFJdgMFtrmCM2BLF7TNTI0UD76HZPEOEzZ+Pd2b5USIz7aTuRyVbT6MBCCQdfhNfqbTr9H6SdpzuQmSWnlug==" saltValue="68ciwWVnEbRPcdy5aDJA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8yWutzYoXcx63G+ZxQGlJbAQM8NGzQlM85hSz/sMhAhtY0//Ni8UdLlmE6Ce+sQoLuGfo8J/9QUMJls5S9OmA==" saltValue="qakxHZ8E5Sv37J3pXR9f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236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r+4uvXbV//uT7tbU+p+BOVDXJf7vUXO3UCic2Eqcc9mcwCCn7rp7EBFFejYbihJL4MON3Hw+j4y7dUIr0tWEpg==" saltValue="1W5oONBTGOvPDSV4Gd6N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0.40200000000000002</v>
      </c>
      <c r="M24" s="60">
        <f>famplan_unmet_need</f>
        <v>0.40200000000000002</v>
      </c>
      <c r="N24" s="60">
        <f>famplan_unmet_need</f>
        <v>0.40200000000000002</v>
      </c>
      <c r="O24" s="60">
        <f>famplan_unmet_need</f>
        <v>0.40200000000000002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Drfj8VUtwmYX6MiuDmUpSrcfooNOhUQ0PmeSSPg+9rESLrxxLo/kcWHPlK/qAvySoB31+zRgTwBxw7DEhXfaw==" saltValue="cKEdpXiDx0qrr+Kd19QY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U2mUsuvFJ+rVOmA+qDD/QRY+XHvf4Nv4q4QhiEsYeztFe+gEvCA3oAVuv1nAm78JsxufSnnvBUFARuWt5XqOw==" saltValue="B4RWo6MZlc5zSijrUquSb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Z0RJePB476ohhpAbe+KbwvPIpMewHsnPjVsFXyqdzPHg6eL1oOJS8ZtxkfvSPWx+4o77vfrNXJHHFVj9f3IyA==" saltValue="ABgaxkoKg9jL0JTl5O9K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0fZOXkS2f6jIlMTSKN74xrTr7ImOwoS6eO5+qQRGgZ0hnzMy53KkEHUc+SoA6iX3WI2T7EGhCvQsPnICyx9FA==" saltValue="1hdYKFeM3210nvqZ4696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h6FaqFT/ARIV/7xQPmkM4QrFFYrGUdzK5p2fNqNfERaKZlx0kXlNr3mg59H/V55pQ0M/w79Wh4T1+u7cQ6EUhQ==" saltValue="5Wh9md/X7ecd8qQoY3bnh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KwcCfeljgXqeu992IrrqWRJcmGTA8dbvWAlGBkYCTwOWtcXBe64kkPNi8SbwjSY8cEQ+JtV/+yJEXGg8MQKIqQ==" saltValue="3q7pTeN5WinJEcwigDAR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dxaAKgfHO/J4EcgAuoK9GiJ/TmD97UG4xafzIu1cyOAl+LhX+h/D3JzA5MZRUKRluDM3zCakL23ecHXFqTnXQ==" saltValue="b+zBKkuyM5JyVQWzUomSf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LJNYGRyExGNnhojHiqIaozzu7tSD/UmE9Zu//25r9A5UzLjVDp4jhV/2EAoGgkT7CL25yzT3PRS+tX77fov1g==" saltValue="jn1yIYTKYqEjjSd12cOQ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/aDJEGjlpukbAdVwbDunuV/+gi80gGfayFMfa3xVICJr7x+x6LgJ/xBalF8c62vPX3pJbciBOGueJN7Z/V5zA==" saltValue="qD4+ftS6fCrSStbqpncS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ZOnkBtbnRe/3xEOQZFy+4bD8EeNgAbQlH8yaYT0SeW1Zt7LPpTia85hPIZU+sI1T/KHvYZwhsH1kTAoIr81mQ==" saltValue="pf6/dtqkZRAbMog6k4Gx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/9SaBS2cXqbo05Bqs30ZA3YYTAbO7j8XgSn7q00RYLSdKf1t4n1Y+asc3uocqwu9y9eSEoUfGd5y5lIJM75PQ==" saltValue="QS9FykfBG5P9zYJ3SMQg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N4CcKFFhWa72PLW9NMazDdi4O9Ciq1pPKuTM86RNZHYjFbFBysJBDnlyf5D2v/ofKVkp/tIyKqEdDds2IeH8Q==" saltValue="eQV0jBLWNU6HiYcuIL0w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+h+mugD8a3q/KLhsK67SpWLIoYeB+x4RrKfLA9Xe4bAbycJh1V2QwBFURk4c0Ipz4L+QRlrpg83fV2veXMmtQ==" saltValue="TrmtSV+jwaGsPSTN1EzV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dSbgGlXeJj1HJgKOnqG9k4mY0o66SD4HOMFxs9AO8P8PZ3xuFnQeH+s/sRepRDNIfrfhQCwySpEkvTDEwGptg==" saltValue="gbOTjUvNlIvp/kfa1TGH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OIAxpDGQiFcSpWnoMs8jZd/l0l8rZCSSIes36NVetYilj3qPwzbK/QawSSpBajI9uLNbP2cx2JS/j3YZ3qX/g==" saltValue="IK/LAY/4ZY2dsDOQPORrf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2025-07-04T01:47:49Z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