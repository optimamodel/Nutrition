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0D36FBDA-7331-43BC-86AE-5FCC091C1C9C}" xr6:coauthVersionLast="47" xr6:coauthVersionMax="47" xr10:uidLastSave="{00000000-0000-0000-0000-000000000000}"/>
  <bookViews>
    <workbookView xWindow="-110" yWindow="-110" windowWidth="19420" windowHeight="1042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9" i="2" l="1"/>
  <c r="I13" i="2"/>
  <c r="A24" i="2"/>
  <c r="A23" i="2"/>
  <c r="A31" i="2"/>
  <c r="I4" i="2"/>
  <c r="I8" i="2"/>
  <c r="I12" i="2"/>
  <c r="A25" i="2"/>
  <c r="A26" i="2"/>
  <c r="I39" i="2"/>
  <c r="A34" i="2"/>
  <c r="A40" i="2"/>
  <c r="I2" i="2"/>
  <c r="I6" i="2"/>
  <c r="A19" i="2"/>
  <c r="A35" i="2"/>
  <c r="A22" i="2"/>
  <c r="A36" i="2"/>
  <c r="I3" i="2"/>
  <c r="I7" i="2"/>
  <c r="I1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<sst xmlns="http://schemas.openxmlformats.org/spreadsheetml/2006/main" count="2159" uniqueCount="372">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</sst>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588941</v>
      </c>
    </row>
    <row r="8" spans="1:3" ht="15" customHeight="1" x14ac:dyDescent="0.25">
      <c r="B8" s="5" t="s">
        <v>63</v>
      </c>
      <c r="C8" s="44">
        <v>0.40899999999999997</v>
      </c>
    </row>
    <row r="9" spans="1:3" ht="15" customHeight="1" x14ac:dyDescent="0.25">
      <c r="B9" s="5" t="s">
        <v>62</v>
      </c>
      <c r="C9" s="45">
        <v>1</v>
      </c>
    </row>
    <row r="10" spans="1:3" ht="15" customHeight="1" x14ac:dyDescent="0.25">
      <c r="B10" s="5" t="s">
        <v>75</v>
      </c>
      <c r="C10" s="45">
        <v>0.68451698300000008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0.40200000000000002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1.2699999999999999E-2</v>
      </c>
    </row>
    <row r="24" spans="1:3" ht="15" customHeight="1" x14ac:dyDescent="0.25">
      <c r="B24" s="15" t="s">
        <v>65</v>
      </c>
      <c r="C24" s="45">
        <v>0.32469999999999999</v>
      </c>
    </row>
    <row r="25" spans="1:3" ht="15" customHeight="1" x14ac:dyDescent="0.25">
      <c r="B25" s="15" t="s">
        <v>66</v>
      </c>
      <c r="C25" s="45">
        <v>0.53369999999999995</v>
      </c>
    </row>
    <row r="26" spans="1:3" ht="15" customHeight="1" x14ac:dyDescent="0.25">
      <c r="B26" s="15" t="s">
        <v>67</v>
      </c>
      <c r="C26" s="45">
        <v>0.12889999999999999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0.26912377197565901</v>
      </c>
    </row>
    <row r="30" spans="1:3" ht="14.25" customHeight="1" x14ac:dyDescent="0.25">
      <c r="B30" s="25" t="s">
        <v>82</v>
      </c>
      <c r="C30" s="99">
        <v>4.10301351064883E-2</v>
      </c>
    </row>
    <row r="31" spans="1:3" ht="14.25" customHeight="1" x14ac:dyDescent="0.25">
      <c r="B31" s="25" t="s">
        <v>29</v>
      </c>
      <c r="C31" s="99">
        <v>6.6332842080041601E-2</v>
      </c>
    </row>
    <row r="32" spans="1:3" ht="14.25" customHeight="1" x14ac:dyDescent="0.25">
      <c r="B32" s="25" t="s">
        <v>30</v>
      </c>
      <c r="C32" s="99">
        <v>0.62351325083781095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29.927250000000001</v>
      </c>
    </row>
    <row r="38" spans="1:5" ht="15" customHeight="1" x14ac:dyDescent="0.25">
      <c r="B38" s="11" t="s">
        <v>54</v>
      </c>
      <c r="C38" s="43">
        <v>56.723050000000001</v>
      </c>
      <c r="D38" s="12"/>
      <c r="E38" s="13"/>
    </row>
    <row r="39" spans="1:5" ht="15" customHeight="1" x14ac:dyDescent="0.25">
      <c r="B39" s="11" t="s">
        <v>80</v>
      </c>
      <c r="C39" s="43">
        <v>76.040170000000003</v>
      </c>
      <c r="D39" s="12"/>
      <c r="E39" s="12"/>
    </row>
    <row r="40" spans="1:5" ht="15" customHeight="1" x14ac:dyDescent="0.25">
      <c r="B40" s="11" t="s">
        <v>55</v>
      </c>
      <c r="C40" s="100">
        <v>6.52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7.9130999999999993E-3</v>
      </c>
      <c r="D45" s="12"/>
    </row>
    <row r="46" spans="1:5" ht="15.75" customHeight="1" x14ac:dyDescent="0.25">
      <c r="B46" s="11" t="s">
        <v>70</v>
      </c>
      <c r="C46" s="45">
        <v>8.50249E-2</v>
      </c>
      <c r="D46" s="12"/>
    </row>
    <row r="47" spans="1:5" ht="15.75" customHeight="1" x14ac:dyDescent="0.25">
      <c r="B47" s="11" t="s">
        <v>78</v>
      </c>
      <c r="C47" s="45">
        <v>7.3475499999999999E-2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3.3</v>
      </c>
      <c r="D51" s="12"/>
    </row>
    <row r="52" spans="1:4" ht="15" customHeight="1" x14ac:dyDescent="0.25">
      <c r="B52" s="11" t="s">
        <v>32</v>
      </c>
      <c r="C52" s="100">
        <v>3.3</v>
      </c>
    </row>
    <row r="53" spans="1:4" ht="15.75" customHeight="1" x14ac:dyDescent="0.25">
      <c r="B53" s="11" t="s">
        <v>35</v>
      </c>
      <c r="C53" s="100">
        <v>3.3</v>
      </c>
    </row>
    <row r="54" spans="1:4" ht="15.75" customHeight="1" x14ac:dyDescent="0.25">
      <c r="B54" s="11" t="s">
        <v>33</v>
      </c>
      <c r="C54" s="100">
        <v>3.3</v>
      </c>
    </row>
    <row r="55" spans="1:4" ht="15.75" customHeight="1" x14ac:dyDescent="0.25">
      <c r="B55" s="11" t="s">
        <v>34</v>
      </c>
      <c r="C55" s="100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0.44132399999999999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0.14607059</v>
      </c>
    </row>
    <row r="63" spans="1:4" ht="15.75" customHeight="1" x14ac:dyDescent="0.3">
      <c r="A63" s="4"/>
    </row>
  </sheetData>
  <sheetProtection algorithmName="SHA-512" hashValue="35ZhfiwxJEl2u1FTkXrDJ12UQrfcmlPJCR93y0D0OG2a8Mf6lcRZwMsp2XcdkVbPK40w8KMQkaotcGfOzIxlxg==" saltValue="NwlijotzC6M1jTk76ZzV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115149</v>
      </c>
      <c r="C2" s="49">
        <v>386859.49999999988</v>
      </c>
      <c r="D2" s="49">
        <v>554924.50000000012</v>
      </c>
      <c r="E2" s="49">
        <v>463811.99999999988</v>
      </c>
      <c r="F2" s="49">
        <v>447610.5</v>
      </c>
      <c r="G2" s="17">
        <f t="shared" ref="G2:G13" si="0">C2+D2+E2+F2</f>
        <v>1853206.5</v>
      </c>
      <c r="H2" s="17">
        <f t="shared" ref="H2:H13" si="1">(B2 + stillbirth*B2/(1000-stillbirth))/(1-abortion)</f>
        <v>133912.66101093445</v>
      </c>
      <c r="I2" s="17">
        <f t="shared" ref="I2:I13" si="2">G2-H2</f>
        <v>1719293.8389890655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114639</v>
      </c>
      <c r="C3" s="50">
        <v>391606</v>
      </c>
      <c r="D3" s="50">
        <v>567647.5</v>
      </c>
      <c r="E3" s="50">
        <v>464652.5</v>
      </c>
      <c r="F3" s="50">
        <v>446755</v>
      </c>
      <c r="G3" s="17">
        <f t="shared" si="0"/>
        <v>1870661</v>
      </c>
      <c r="H3" s="17">
        <f t="shared" si="1"/>
        <v>133319.55592868818</v>
      </c>
      <c r="I3" s="17">
        <f t="shared" si="2"/>
        <v>1737341.4440713117</v>
      </c>
    </row>
    <row r="4" spans="1:9" ht="15.75" customHeight="1" x14ac:dyDescent="0.25">
      <c r="A4" s="5">
        <f t="shared" si="3"/>
        <v>2026</v>
      </c>
      <c r="B4" s="49">
        <v>114387</v>
      </c>
      <c r="C4" s="50">
        <v>393041</v>
      </c>
      <c r="D4" s="50">
        <v>579470</v>
      </c>
      <c r="E4" s="50">
        <v>467664.5</v>
      </c>
      <c r="F4" s="50">
        <v>444431.5</v>
      </c>
      <c r="G4" s="17">
        <f t="shared" si="0"/>
        <v>1884607</v>
      </c>
      <c r="H4" s="17">
        <f t="shared" si="1"/>
        <v>133026.49224099002</v>
      </c>
      <c r="I4" s="17">
        <f t="shared" si="2"/>
        <v>1751580.50775901</v>
      </c>
    </row>
    <row r="5" spans="1:9" ht="15.75" customHeight="1" x14ac:dyDescent="0.25">
      <c r="A5" s="5">
        <f t="shared" si="3"/>
        <v>2027</v>
      </c>
      <c r="B5" s="49">
        <v>114330</v>
      </c>
      <c r="C5" s="50">
        <v>390780.99999999988</v>
      </c>
      <c r="D5" s="50">
        <v>590497</v>
      </c>
      <c r="E5" s="50">
        <v>473004.5</v>
      </c>
      <c r="F5" s="50">
        <v>440761.5</v>
      </c>
      <c r="G5" s="17">
        <f t="shared" si="0"/>
        <v>1895044</v>
      </c>
      <c r="H5" s="17">
        <f t="shared" si="1"/>
        <v>132960.20402591545</v>
      </c>
      <c r="I5" s="17">
        <f t="shared" si="2"/>
        <v>1762083.7959740846</v>
      </c>
    </row>
    <row r="6" spans="1:9" ht="15.75" customHeight="1" x14ac:dyDescent="0.25">
      <c r="A6" s="5">
        <f t="shared" si="3"/>
        <v>2028</v>
      </c>
      <c r="B6" s="49">
        <v>114162</v>
      </c>
      <c r="C6" s="50">
        <v>389071.50000000012</v>
      </c>
      <c r="D6" s="50">
        <v>600692.5</v>
      </c>
      <c r="E6" s="50">
        <v>480057.5</v>
      </c>
      <c r="F6" s="50">
        <v>435785.5</v>
      </c>
      <c r="G6" s="17">
        <f t="shared" si="0"/>
        <v>1905607</v>
      </c>
      <c r="H6" s="17">
        <f t="shared" si="1"/>
        <v>132764.82823411663</v>
      </c>
      <c r="I6" s="17">
        <f t="shared" si="2"/>
        <v>1772842.1717658835</v>
      </c>
    </row>
    <row r="7" spans="1:9" ht="15.75" customHeight="1" x14ac:dyDescent="0.25">
      <c r="A7" s="5">
        <f t="shared" si="3"/>
        <v>2029</v>
      </c>
      <c r="B7" s="49">
        <v>114692</v>
      </c>
      <c r="C7" s="50">
        <v>387244.49999999988</v>
      </c>
      <c r="D7" s="50">
        <v>610065.5</v>
      </c>
      <c r="E7" s="50">
        <v>488487.00000000012</v>
      </c>
      <c r="F7" s="50">
        <v>429646</v>
      </c>
      <c r="G7" s="17">
        <f t="shared" si="0"/>
        <v>1915443</v>
      </c>
      <c r="H7" s="17">
        <f t="shared" si="1"/>
        <v>133381.19233919613</v>
      </c>
      <c r="I7" s="17">
        <f t="shared" si="2"/>
        <v>1782061.8076608039</v>
      </c>
    </row>
    <row r="8" spans="1:9" ht="15.75" customHeight="1" x14ac:dyDescent="0.25">
      <c r="A8" s="5">
        <f t="shared" si="3"/>
        <v>2030</v>
      </c>
      <c r="B8" s="49">
        <v>115296</v>
      </c>
      <c r="C8" s="50">
        <v>383428.5</v>
      </c>
      <c r="D8" s="50">
        <v>619598.5</v>
      </c>
      <c r="E8" s="50">
        <v>498065.5</v>
      </c>
      <c r="F8" s="50">
        <v>423264.5</v>
      </c>
      <c r="G8" s="17">
        <f t="shared" si="0"/>
        <v>1924357</v>
      </c>
      <c r="H8" s="17">
        <f t="shared" si="1"/>
        <v>134083.61482875838</v>
      </c>
      <c r="I8" s="17">
        <f t="shared" si="2"/>
        <v>1790273.3851712416</v>
      </c>
    </row>
    <row r="9" spans="1:9" ht="15.75" customHeight="1" x14ac:dyDescent="0.25">
      <c r="A9" s="5">
        <f t="shared" si="3"/>
        <v>2031</v>
      </c>
      <c r="B9" s="49">
        <v>115418</v>
      </c>
      <c r="C9" s="50">
        <v>376885.50000000012</v>
      </c>
      <c r="D9" s="50">
        <v>629807.5</v>
      </c>
      <c r="E9" s="50">
        <v>508835</v>
      </c>
      <c r="F9" s="50">
        <v>417293.5</v>
      </c>
      <c r="G9" s="17">
        <f t="shared" si="0"/>
        <v>1932821.5</v>
      </c>
      <c r="H9" s="17">
        <f t="shared" si="1"/>
        <v>134225.49486804081</v>
      </c>
      <c r="I9" s="17">
        <f t="shared" si="2"/>
        <v>1798596.0051319592</v>
      </c>
    </row>
    <row r="10" spans="1:9" ht="15.75" customHeight="1" x14ac:dyDescent="0.25">
      <c r="A10" s="5">
        <f t="shared" si="3"/>
        <v>2032</v>
      </c>
      <c r="B10" s="49">
        <v>116138</v>
      </c>
      <c r="C10" s="50">
        <v>372042.5</v>
      </c>
      <c r="D10" s="50">
        <v>635915.5</v>
      </c>
      <c r="E10" s="50">
        <v>520771.5</v>
      </c>
      <c r="F10" s="50">
        <v>411987</v>
      </c>
      <c r="G10" s="17">
        <f t="shared" si="0"/>
        <v>1940716.5</v>
      </c>
      <c r="H10" s="17">
        <f t="shared" si="1"/>
        <v>135062.81969003557</v>
      </c>
      <c r="I10" s="17">
        <f t="shared" si="2"/>
        <v>1805653.6803099643</v>
      </c>
    </row>
    <row r="11" spans="1:9" ht="15.75" customHeight="1" x14ac:dyDescent="0.25">
      <c r="A11" s="5">
        <f t="shared" si="3"/>
        <v>2033</v>
      </c>
      <c r="B11" s="49">
        <v>116501</v>
      </c>
      <c r="C11" s="50">
        <v>369242.5</v>
      </c>
      <c r="D11" s="50">
        <v>637500.5</v>
      </c>
      <c r="E11" s="50">
        <v>533541.5</v>
      </c>
      <c r="F11" s="50">
        <v>408668.5</v>
      </c>
      <c r="G11" s="17">
        <f t="shared" si="0"/>
        <v>1948953</v>
      </c>
      <c r="H11" s="17">
        <f t="shared" si="1"/>
        <v>135484.97095445791</v>
      </c>
      <c r="I11" s="17">
        <f t="shared" si="2"/>
        <v>1813468.029045542</v>
      </c>
    </row>
    <row r="12" spans="1:9" ht="15.75" customHeight="1" x14ac:dyDescent="0.25">
      <c r="A12" s="5">
        <f t="shared" si="3"/>
        <v>2034</v>
      </c>
      <c r="B12" s="49">
        <v>117064</v>
      </c>
      <c r="C12" s="50">
        <v>364623.00000000012</v>
      </c>
      <c r="D12" s="50">
        <v>638616.5</v>
      </c>
      <c r="E12" s="50">
        <v>546670</v>
      </c>
      <c r="F12" s="50">
        <v>407111.5</v>
      </c>
      <c r="G12" s="17">
        <f t="shared" si="0"/>
        <v>1957021</v>
      </c>
      <c r="H12" s="17">
        <f t="shared" si="1"/>
        <v>136139.71244721214</v>
      </c>
      <c r="I12" s="17">
        <f t="shared" si="2"/>
        <v>1820881.2875527879</v>
      </c>
    </row>
    <row r="13" spans="1:9" ht="15.75" customHeight="1" x14ac:dyDescent="0.25">
      <c r="A13" s="5">
        <f t="shared" si="3"/>
        <v>2035</v>
      </c>
      <c r="B13" s="49">
        <v>117746</v>
      </c>
      <c r="C13" s="50">
        <v>359218</v>
      </c>
      <c r="D13" s="50">
        <v>638866</v>
      </c>
      <c r="E13" s="50">
        <v>559347</v>
      </c>
      <c r="F13" s="50">
        <v>406674</v>
      </c>
      <c r="G13" s="17">
        <f t="shared" si="0"/>
        <v>1964105</v>
      </c>
      <c r="H13" s="17">
        <f t="shared" si="1"/>
        <v>136932.84512582381</v>
      </c>
      <c r="I13" s="17">
        <f t="shared" si="2"/>
        <v>1827172.1548741763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iPcSyab5xa4YrSUCuTBtKXhVxCh6Gz+8sj6aqT5fr+jOSHvrirJ6Ko0r6iCdp41LL1zRhYCohC9fjFF0HUXtNQ==" saltValue="i2eFLg0JVKnE6PJ2W5v4K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2.0916002091600189E-2</v>
      </c>
    </row>
    <row r="4" spans="1:8" ht="15.75" customHeight="1" x14ac:dyDescent="0.25">
      <c r="B4" s="19" t="s">
        <v>116</v>
      </c>
      <c r="C4" s="101">
        <v>6.5774706577470685E-2</v>
      </c>
    </row>
    <row r="5" spans="1:8" ht="15.75" customHeight="1" x14ac:dyDescent="0.25">
      <c r="B5" s="19" t="s">
        <v>114</v>
      </c>
      <c r="C5" s="101">
        <v>9.6632509663250973E-2</v>
      </c>
    </row>
    <row r="6" spans="1:8" ht="15.75" customHeight="1" x14ac:dyDescent="0.25">
      <c r="B6" s="19" t="s">
        <v>110</v>
      </c>
      <c r="C6" s="101">
        <v>0.25245662524566231</v>
      </c>
    </row>
    <row r="7" spans="1:8" ht="15.75" customHeight="1" x14ac:dyDescent="0.25">
      <c r="B7" s="19" t="s">
        <v>115</v>
      </c>
      <c r="C7" s="101">
        <v>0.39333373933337429</v>
      </c>
    </row>
    <row r="8" spans="1:8" ht="15.75" customHeight="1" x14ac:dyDescent="0.25">
      <c r="B8" s="19" t="s">
        <v>117</v>
      </c>
      <c r="C8" s="101">
        <v>3.4550003455000359E-3</v>
      </c>
    </row>
    <row r="9" spans="1:8" ht="15.75" customHeight="1" x14ac:dyDescent="0.25">
      <c r="B9" s="19" t="s">
        <v>111</v>
      </c>
      <c r="C9" s="101">
        <v>5.8309405830940547E-2</v>
      </c>
    </row>
    <row r="10" spans="1:8" ht="15.75" customHeight="1" x14ac:dyDescent="0.25">
      <c r="B10" s="19" t="s">
        <v>113</v>
      </c>
      <c r="C10" s="101">
        <v>0.1091220109122009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121</v>
      </c>
      <c r="C15" s="101">
        <v>0.1345887809257377</v>
      </c>
      <c r="D15" s="101">
        <v>0.1345887809257377</v>
      </c>
      <c r="E15" s="101">
        <v>0.1345887809257377</v>
      </c>
      <c r="F15" s="101">
        <v>0.1345887809257377</v>
      </c>
    </row>
    <row r="16" spans="1:8" ht="15.75" customHeight="1" x14ac:dyDescent="0.25">
      <c r="B16" s="19" t="s">
        <v>2</v>
      </c>
      <c r="C16" s="101">
        <v>1.8017639370382608E-2</v>
      </c>
      <c r="D16" s="101">
        <v>1.8017639370382608E-2</v>
      </c>
      <c r="E16" s="101">
        <v>1.8017639370382608E-2</v>
      </c>
      <c r="F16" s="101">
        <v>1.8017639370382608E-2</v>
      </c>
    </row>
    <row r="17" spans="1:8" ht="15.75" customHeight="1" x14ac:dyDescent="0.25">
      <c r="B17" s="19" t="s">
        <v>109</v>
      </c>
      <c r="C17" s="101">
        <v>0.2417018345573996</v>
      </c>
      <c r="D17" s="101">
        <v>0.2417018345573996</v>
      </c>
      <c r="E17" s="101">
        <v>0.2417018345573996</v>
      </c>
      <c r="F17" s="101">
        <v>0.2417018345573996</v>
      </c>
    </row>
    <row r="18" spans="1:8" ht="15.75" customHeight="1" x14ac:dyDescent="0.25">
      <c r="B18" s="19" t="s">
        <v>3</v>
      </c>
      <c r="C18" s="101">
        <v>0.33724276611699389</v>
      </c>
      <c r="D18" s="101">
        <v>0.33724276611699389</v>
      </c>
      <c r="E18" s="101">
        <v>0.33724276611699389</v>
      </c>
      <c r="F18" s="101">
        <v>0.33724276611699389</v>
      </c>
    </row>
    <row r="19" spans="1:8" ht="15.75" customHeight="1" x14ac:dyDescent="0.25">
      <c r="B19" s="19" t="s">
        <v>120</v>
      </c>
      <c r="C19" s="101">
        <v>1.3011294343433301E-2</v>
      </c>
      <c r="D19" s="101">
        <v>1.3011294343433301E-2</v>
      </c>
      <c r="E19" s="101">
        <v>1.3011294343433301E-2</v>
      </c>
      <c r="F19" s="101">
        <v>1.3011294343433301E-2</v>
      </c>
    </row>
    <row r="20" spans="1:8" ht="15.75" customHeight="1" x14ac:dyDescent="0.25">
      <c r="B20" s="19" t="s">
        <v>98</v>
      </c>
      <c r="C20" s="101">
        <v>1.8809148277049541E-2</v>
      </c>
      <c r="D20" s="101">
        <v>1.8809148277049541E-2</v>
      </c>
      <c r="E20" s="101">
        <v>1.8809148277049541E-2</v>
      </c>
      <c r="F20" s="101">
        <v>1.8809148277049541E-2</v>
      </c>
    </row>
    <row r="21" spans="1:8" ht="15.75" customHeight="1" x14ac:dyDescent="0.25">
      <c r="B21" s="19" t="s">
        <v>107</v>
      </c>
      <c r="C21" s="101">
        <v>5.8069678944985201E-2</v>
      </c>
      <c r="D21" s="101">
        <v>5.8069678944985201E-2</v>
      </c>
      <c r="E21" s="101">
        <v>5.8069678944985201E-2</v>
      </c>
      <c r="F21" s="101">
        <v>5.8069678944985201E-2</v>
      </c>
    </row>
    <row r="22" spans="1:8" ht="15.75" customHeight="1" x14ac:dyDescent="0.25">
      <c r="B22" s="19" t="s">
        <v>118</v>
      </c>
      <c r="C22" s="101">
        <v>8.585191933485864E-2</v>
      </c>
      <c r="D22" s="101">
        <v>8.585191933485864E-2</v>
      </c>
      <c r="E22" s="101">
        <v>8.585191933485864E-2</v>
      </c>
      <c r="F22" s="101">
        <v>8.585191933485864E-2</v>
      </c>
    </row>
    <row r="23" spans="1:8" ht="15.75" customHeight="1" x14ac:dyDescent="0.25">
      <c r="B23" s="27" t="s">
        <v>79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8.7635818000000004E-2</v>
      </c>
    </row>
    <row r="27" spans="1:8" ht="15.75" customHeight="1" x14ac:dyDescent="0.25">
      <c r="B27" s="19" t="s">
        <v>108</v>
      </c>
      <c r="C27" s="101">
        <v>8.6621349999999996E-3</v>
      </c>
    </row>
    <row r="28" spans="1:8" ht="15.75" customHeight="1" x14ac:dyDescent="0.25">
      <c r="B28" s="19" t="s">
        <v>122</v>
      </c>
      <c r="C28" s="101">
        <v>0.15441808500000001</v>
      </c>
    </row>
    <row r="29" spans="1:8" ht="15.75" customHeight="1" x14ac:dyDescent="0.25">
      <c r="B29" s="19" t="s">
        <v>105</v>
      </c>
      <c r="C29" s="101">
        <v>0.167759189</v>
      </c>
    </row>
    <row r="30" spans="1:8" ht="15.75" customHeight="1" x14ac:dyDescent="0.25">
      <c r="B30" s="19" t="s">
        <v>4</v>
      </c>
      <c r="C30" s="101">
        <v>0.10583751800000001</v>
      </c>
    </row>
    <row r="31" spans="1:8" ht="15.75" customHeight="1" x14ac:dyDescent="0.25">
      <c r="B31" s="19" t="s">
        <v>99</v>
      </c>
      <c r="C31" s="101">
        <v>0.109709026</v>
      </c>
    </row>
    <row r="32" spans="1:8" ht="15.75" customHeight="1" x14ac:dyDescent="0.25">
      <c r="B32" s="19" t="s">
        <v>104</v>
      </c>
      <c r="C32" s="101">
        <v>1.8596574000000001E-2</v>
      </c>
    </row>
    <row r="33" spans="2:3" ht="15.75" customHeight="1" x14ac:dyDescent="0.25">
      <c r="B33" s="19" t="s">
        <v>119</v>
      </c>
      <c r="C33" s="101">
        <v>8.3747772999999998E-2</v>
      </c>
    </row>
    <row r="34" spans="2:3" ht="15.75" customHeight="1" x14ac:dyDescent="0.25">
      <c r="B34" s="19" t="s">
        <v>106</v>
      </c>
      <c r="C34" s="101">
        <v>0.26363388300000001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Ld+Y68FUcMLhj7twZnRiQg+aN5R5n6Fhfy5nIyLVZpHjbS7iteLxf/GUPz9IDVW2SiDz/udtZlW1DmZzYh4EOg==" saltValue="AF3CjtZygR4iNK/BH7CHw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129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125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126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138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0.34717774225000009</v>
      </c>
      <c r="D14" s="54">
        <v>0.336716783849</v>
      </c>
      <c r="E14" s="54">
        <v>0.336716783849</v>
      </c>
      <c r="F14" s="54">
        <v>0.25295648786800001</v>
      </c>
      <c r="G14" s="54">
        <v>0.25295648786800001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0.15321786992073905</v>
      </c>
      <c r="D15" s="52">
        <f t="shared" si="0"/>
        <v>0.14860119791537607</v>
      </c>
      <c r="E15" s="52">
        <f t="shared" si="0"/>
        <v>0.14860119791537607</v>
      </c>
      <c r="F15" s="52">
        <f t="shared" si="0"/>
        <v>0.11163576905185724</v>
      </c>
      <c r="G15" s="52">
        <f t="shared" si="0"/>
        <v>0.11163576905185724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MnDG60KoEilgMCLXHlRsvJG82RQ635MqJhU1flWdjWEtah/FBgxym1iEq9WwiXYthuhzioQrdOMkpbAs80pk9g==" saltValue="aWfB/vaMwTV8P+/h6liZ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2.1700700000000017E-2</v>
      </c>
      <c r="D5" s="52">
        <f t="shared" si="0"/>
        <v>6.7366600000000054E-2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MmaN/PqQzw2hmqWaoocLZwsZjBVp//J2sORCp+TKB3z54jUWpPzPZIQzNxo2c4TMKYAj1K/bkoIZ59h7MpevCA==" saltValue="UoUnB4j9BtIU8+7pn3ft8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qk9oUcMcbH85eXSiukDb+cvui699IuHwjrf80YeAltNfYM/o1benqZ0Yb6u2uA+0IitUBey0JPjj4F1xncGgw==" saltValue="pFXqvMHzgwcqo3K3syls+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6716.0959846232799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0.40487000000000001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0.36991999999999997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1.0567949644444418E-2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98807.089730000007</v>
      </c>
      <c r="C22" s="109">
        <v>98628.64129</v>
      </c>
      <c r="D22" s="109">
        <v>98396.81005</v>
      </c>
      <c r="E22" s="109">
        <v>98002.189859999999</v>
      </c>
      <c r="F22" s="109">
        <v>97420.469469999996</v>
      </c>
      <c r="G22" s="109">
        <v>96823.648279999994</v>
      </c>
      <c r="H22" s="109">
        <v>96104.379369999995</v>
      </c>
      <c r="I22" s="109">
        <v>95202.783769999995</v>
      </c>
      <c r="J22" s="109">
        <v>94023.532319999998</v>
      </c>
      <c r="K22" s="109">
        <v>92269.896710000001</v>
      </c>
      <c r="L22" s="109">
        <v>89884.668460000001</v>
      </c>
      <c r="M22" s="109">
        <v>86369.482889999999</v>
      </c>
      <c r="N22" s="109">
        <v>80715.421700000006</v>
      </c>
      <c r="O22" s="109">
        <v>72640.698099999994</v>
      </c>
    </row>
  </sheetData>
  <sheetProtection algorithmName="SHA-512" hashValue="/+MJT/YYw/6ZbmOG1dMeFa8RYMQABtRw6Fkgv+PE1Qe1mkqBQTj1mihYO3M+Qru8jIgJLCejYyXKSpiv5ycLBA==" saltValue="1aYDo0zGyegQELfnA6HEe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5kF2ME1xSasVEkKQbsjeHAtXRlXXM8zvYCHJggG5u65X4Qx/J8VlWHRXjjYIbL0P23RC6uJOQk6ZnB69vgJi7A==" saltValue="0czGQGcQMXhbpMZi8Hvsq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mT5SmWPJgoTjSX78iDaF5P24COSVLKUNJp74bL33zyQ+DN7p6LX8Q8WnwTstBlDOr8T0a46R/wMEh75hZJP6xA==" saltValue="SeOHpC5nejH0+Mfc8mNXM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7.4289688625382997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0.10284547803181469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0.4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0.42978100000000002</v>
      </c>
      <c r="C10" s="98">
        <v>0.95</v>
      </c>
      <c r="D10" s="56">
        <v>13.152774049592161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13.152774049592161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13.152774049592161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13.152774049592161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0.42978100000000002</v>
      </c>
      <c r="C14" s="98">
        <v>0.95</v>
      </c>
      <c r="D14" s="56">
        <v>13.152774049592161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13.152774049592161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0.69226200000000004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0.157</v>
      </c>
      <c r="C17" s="98">
        <v>0.95</v>
      </c>
      <c r="D17" s="56">
        <v>7.992352075384429E-2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0.51254100000000002</v>
      </c>
      <c r="C18" s="98">
        <v>0.95</v>
      </c>
      <c r="D18" s="56">
        <v>7.4289688625382997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0.51254100000000002</v>
      </c>
      <c r="C19" s="98">
        <v>0.95</v>
      </c>
      <c r="D19" s="56">
        <v>11.78698314040644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7.4289688625382997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0.53483530000000001</v>
      </c>
      <c r="C23" s="98">
        <v>0.95</v>
      </c>
      <c r="D23" s="56">
        <v>4.3672092908488347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0.57084762680907997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2.9567118730808599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17.846880984952122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0.54128999999999994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8.6074300000000006E-2</v>
      </c>
      <c r="C29" s="98">
        <v>0.95</v>
      </c>
      <c r="D29" s="56">
        <v>193.6128732031849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0.15140000000000001</v>
      </c>
      <c r="C31" s="98">
        <v>0.95</v>
      </c>
      <c r="D31" s="56">
        <v>173.50469037871034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0.5</v>
      </c>
      <c r="C32" s="98">
        <v>0.95</v>
      </c>
      <c r="D32" s="56">
        <v>0.53033228587019021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3.4401899999999999E-2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0.1875019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1.9946800000000001E-2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5.4970400000000003E-2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0.2335767</v>
      </c>
      <c r="C38" s="98">
        <v>0.95</v>
      </c>
      <c r="D38" s="56">
        <v>2.6612563971340846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yVcIoJarhs/G5nO2hQcuPgbAgK2DWKoFcbPqqIpwFV2h7vVme8xjoKUT7lhIH3HyDUEqLpkuB4jDJ7kGY904Vg==" saltValue="ZOv8juQBFJZpOjLwKnGU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GGrFJdgMFtrmCM2BLF7TNTI0UD76HZPEOEzZ+Pd2b5USIz7aTuRyVbT6MBCCQdfhNfqbTr9H6SdpzuQmSWnlug==" saltValue="68ciwWVnEbRPcdy5aDJAo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08yWutzYoXcx63G+ZxQGlJbAQM8NGzQlM85hSz/sMhAhtY0//Ni8UdLlmE6Ce+sQoLuGfo8J/9QUMJls5S9OmA==" saltValue="qakxHZ8E5Sv37J3pXR9fd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236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sheetProtection algorithmName="SHA-512" hashValue="r+4uvXbV//uT7tbU+p+BOVDXJf7vUXO3UCic2Eqcc9mcwCCn7rp7EBFFejYbihJL4MON3Hw+j4y7dUIr0tWEpg==" saltValue="1W5oONBTGOvPDSV4Gd6Nr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0.40899999999999997</v>
      </c>
      <c r="F2" s="60">
        <f>food_insecure</f>
        <v>0.40899999999999997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0.40899999999999997</v>
      </c>
      <c r="F5" s="60">
        <f>food_insecure</f>
        <v>0.40899999999999997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0.40899999999999997</v>
      </c>
      <c r="F8" s="60">
        <f>food_insecure</f>
        <v>0.40899999999999997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0.40899999999999997</v>
      </c>
      <c r="F9" s="60">
        <f>food_insecure</f>
        <v>0.40899999999999997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0.40899999999999997</v>
      </c>
      <c r="I15" s="60">
        <f t="shared" si="0"/>
        <v>0.40899999999999997</v>
      </c>
      <c r="J15" s="60">
        <f t="shared" si="0"/>
        <v>0.40899999999999997</v>
      </c>
      <c r="K15" s="60">
        <f t="shared" si="0"/>
        <v>0.40899999999999997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0.40899999999999997</v>
      </c>
      <c r="I16" s="60">
        <f t="shared" si="0"/>
        <v>0.40899999999999997</v>
      </c>
      <c r="J16" s="60">
        <f t="shared" si="0"/>
        <v>0.40899999999999997</v>
      </c>
      <c r="K16" s="60">
        <f t="shared" si="0"/>
        <v>0.40899999999999997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0.40200000000000002</v>
      </c>
      <c r="M24" s="60">
        <f>famplan_unmet_need</f>
        <v>0.40200000000000002</v>
      </c>
      <c r="N24" s="60">
        <f>famplan_unmet_need</f>
        <v>0.40200000000000002</v>
      </c>
      <c r="O24" s="60">
        <f>famplan_unmet_need</f>
        <v>0.40200000000000002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0.18168351466012991</v>
      </c>
      <c r="M25" s="60">
        <f>(1-food_insecure)*(0.49)+food_insecure*(0.7)</f>
        <v>0.5758899999999999</v>
      </c>
      <c r="N25" s="60">
        <f>(1-food_insecure)*(0.49)+food_insecure*(0.7)</f>
        <v>0.5758899999999999</v>
      </c>
      <c r="O25" s="60">
        <f>(1-food_insecure)*(0.49)+food_insecure*(0.7)</f>
        <v>0.5758899999999999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7.7864363425769967E-2</v>
      </c>
      <c r="M26" s="60">
        <f>(1-food_insecure)*(0.21)+food_insecure*(0.3)</f>
        <v>0.24680999999999997</v>
      </c>
      <c r="N26" s="60">
        <f>(1-food_insecure)*(0.21)+food_insecure*(0.3)</f>
        <v>0.24680999999999997</v>
      </c>
      <c r="O26" s="60">
        <f>(1-food_insecure)*(0.21)+food_insecure*(0.3)</f>
        <v>0.24680999999999997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5.5935138914099979E-2</v>
      </c>
      <c r="M27" s="60">
        <f>(1-food_insecure)*(0.3)</f>
        <v>0.17729999999999999</v>
      </c>
      <c r="N27" s="60">
        <f>(1-food_insecure)*(0.3)</f>
        <v>0.17729999999999999</v>
      </c>
      <c r="O27" s="60">
        <f>(1-food_insecure)*(0.3)</f>
        <v>0.17729999999999999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0.68451698299999997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Drfj8VUtwmYX6MiuDmUpSrcfooNOhUQ0PmeSSPg+9rESLrxxLo/kcWHPlK/qAvySoB31+zRgTwBxw7DEhXfaw==" saltValue="cKEdpXiDx0qrr+Kd19QYR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JU2mUsuvFJ+rVOmA+qDD/QRY+XHvf4Nv4q4QhiEsYeztFe+gEvCA3oAVuv1nAm78JsxufSnnvBUFARuWt5XqOw==" saltValue="B4RWo6MZlc5zSijrUquSb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nZ0RJePB476ohhpAbe+KbwvPIpMewHsnPjVsFXyqdzPHg6eL1oOJS8ZtxkfvSPWx+4o77vfrNXJHHFVj9f3IyA==" saltValue="ABgaxkoKg9jL0JTl5O9KK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20fZOXkS2f6jIlMTSKN74xrTr7ImOwoS6eO5+qQRGgZ0hnzMy53KkEHUc+SoA6iX3WI2T7EGhCvQsPnICyx9FA==" saltValue="1hdYKFeM3210nvqZ4696R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h6FaqFT/ARIV/7xQPmkM4QrFFYrGUdzK5p2fNqNfERaKZlx0kXlNr3mg59H/V55pQ0M/w79Wh4T1+u7cQ6EUhQ==" saltValue="5Wh9md/X7ecd8qQoY3bnh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KwcCfeljgXqeu992IrrqWRJcmGTA8dbvWAlGBkYCTwOWtcXBe64kkPNi8SbwjSY8cEQ+JtV/+yJEXGg8MQKIqQ==" saltValue="3q7pTeN5WinJEcwigDARb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XdxaAKgfHO/J4EcgAuoK9GiJ/TmD97UG4xafzIu1cyOAl+LhX+h/D3JzA5MZRUKRluDM3zCakL23ecHXFqTnXQ==" saltValue="b+zBKkuyM5JyVQWzUomSf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CLJNYGRyExGNnhojHiqIaozzu7tSD/UmE9Zu//25r9A5UzLjVDp4jhV/2EAoGgkT7CL25yzT3PRS+tX77fov1g==" saltValue="jn1yIYTKYqEjjSd12cOQ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D/aDJEGjlpukbAdVwbDunuV/+gi80gGfayFMfa3xVICJr7x+x6LgJ/xBalF8c62vPX3pJbciBOGueJN7Z/V5zA==" saltValue="qD4+ftS6fCrSStbqpncS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QZOnkBtbnRe/3xEOQZFy+4bD8EeNgAbQlH8yaYT0SeW1Zt7LPpTia85hPIZU+sI1T/KHvYZwhsH1kTAoIr81mQ==" saltValue="pf6/dtqkZRAbMog6k4Gx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6/9SaBS2cXqbo05Bqs30ZA3YYTAbO7j8XgSn7q00RYLSdKf1t4n1Y+asc3uocqwu9y9eSEoUfGd5y5lIJM75PQ==" saltValue="QS9FykfBG5P9zYJ3SMQg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N4CcKFFhWa72PLW9NMazDdi4O9Ciq1pPKuTM86RNZHYjFbFBysJBDnlyf5D2v/ofKVkp/tIyKqEdDds2IeH8Q==" saltValue="eQV0jBLWNU6HiYcuIL0w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/+h+mugD8a3q/KLhsK67SpWLIoYeB+x4RrKfLA9Xe4bAbycJh1V2QwBFURk4c0Ipz4L+QRlrpg83fV2veXMmtQ==" saltValue="TrmtSV+jwaGsPSTN1EzVz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pdSbgGlXeJj1HJgKOnqG9k4mY0o66SD4HOMFxs9AO8P8PZ3xuFnQeH+s/sRepRDNIfrfhQCwySpEkvTDEwGptg==" saltValue="gbOTjUvNlIvp/kfa1TGH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DOIAxpDGQiFcSpWnoMs8jZd/l0l8rZCSSIes36NVetYilj3qPwzbK/QawSSpBajI9uLNbP2cx2JS/j3YZ3qX/g==" saltValue="IK/LAY/4ZY2dsDOQPORrf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2025-07-08T03:25:26Z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