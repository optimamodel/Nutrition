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390D626B-0C5D-4D06-8476-B09FFC39EB16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<sst xmlns="http://schemas.openxmlformats.org/spreadsheetml/2006/main" count="2102" uniqueCount="341">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</sst>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77464.384765625</v>
      </c>
    </row>
    <row r="8" spans="1:3" ht="15" customHeight="1" x14ac:dyDescent="0.25">
      <c r="B8" s="5" t="s">
        <v>44</v>
      </c>
      <c r="C8" s="44">
        <v>0.14000000000000001</v>
      </c>
    </row>
    <row r="9" spans="1:3" ht="15" customHeight="1" x14ac:dyDescent="0.25">
      <c r="B9" s="5" t="s">
        <v>43</v>
      </c>
      <c r="C9" s="45">
        <v>0.01</v>
      </c>
    </row>
    <row r="10" spans="1:3" ht="15" customHeight="1" x14ac:dyDescent="0.25">
      <c r="B10" s="5" t="s">
        <v>56</v>
      </c>
      <c r="C10" s="45">
        <v>0.85866676330566405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0.47499999999999998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0.17369999999999999</v>
      </c>
    </row>
    <row r="24" spans="1:3" ht="15" customHeight="1" x14ac:dyDescent="0.25">
      <c r="B24" s="15" t="s">
        <v>46</v>
      </c>
      <c r="C24" s="45">
        <v>0.52529999999999999</v>
      </c>
    </row>
    <row r="25" spans="1:3" ht="15" customHeight="1" x14ac:dyDescent="0.25">
      <c r="B25" s="15" t="s">
        <v>47</v>
      </c>
      <c r="C25" s="45">
        <v>0.26540000000000002</v>
      </c>
    </row>
    <row r="26" spans="1:3" ht="15" customHeight="1" x14ac:dyDescent="0.25">
      <c r="B26" s="15" t="s">
        <v>48</v>
      </c>
      <c r="C26" s="45">
        <v>3.5600000000000007E-2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0.33107179923216201</v>
      </c>
    </row>
    <row r="30" spans="1:3" ht="14.25" customHeight="1" x14ac:dyDescent="0.25">
      <c r="B30" s="25" t="s">
        <v>63</v>
      </c>
      <c r="C30" s="99">
        <v>6.1996951349659497E-2</v>
      </c>
    </row>
    <row r="31" spans="1:3" ht="14.25" customHeight="1" x14ac:dyDescent="0.25">
      <c r="B31" s="25" t="s">
        <v>10</v>
      </c>
      <c r="C31" s="99">
        <v>0.10389744297197299</v>
      </c>
    </row>
    <row r="32" spans="1:3" ht="14.25" customHeight="1" x14ac:dyDescent="0.25">
      <c r="B32" s="25" t="s">
        <v>11</v>
      </c>
      <c r="C32" s="99">
        <v>0.50303380644620499</v>
      </c>
    </row>
    <row r="33" spans="1:5" ht="13" customHeight="1" x14ac:dyDescent="0.25">
      <c r="B33" s="27" t="s">
        <v>60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16.85031</v>
      </c>
    </row>
    <row r="38" spans="1:5" ht="15" customHeight="1" x14ac:dyDescent="0.25">
      <c r="B38" s="11" t="s">
        <v>35</v>
      </c>
      <c r="C38" s="43">
        <v>23.219449999999998</v>
      </c>
      <c r="D38" s="12"/>
      <c r="E38" s="13"/>
    </row>
    <row r="39" spans="1:5" ht="15" customHeight="1" x14ac:dyDescent="0.25">
      <c r="B39" s="11" t="s">
        <v>61</v>
      </c>
      <c r="C39" s="43">
        <v>27.678370000000001</v>
      </c>
      <c r="D39" s="12"/>
      <c r="E39" s="12"/>
    </row>
    <row r="40" spans="1:5" ht="15" customHeight="1" x14ac:dyDescent="0.25">
      <c r="B40" s="11" t="s">
        <v>36</v>
      </c>
      <c r="C40" s="100">
        <v>1.1200000000000001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13.08864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9.8307999999999989E-3</v>
      </c>
      <c r="D45" s="12"/>
    </row>
    <row r="46" spans="1:5" ht="15.75" customHeight="1" x14ac:dyDescent="0.25">
      <c r="B46" s="11" t="s">
        <v>51</v>
      </c>
      <c r="C46" s="45">
        <v>0.1056308</v>
      </c>
      <c r="D46" s="12"/>
    </row>
    <row r="47" spans="1:5" ht="15.75" customHeight="1" x14ac:dyDescent="0.25">
      <c r="B47" s="11" t="s">
        <v>59</v>
      </c>
      <c r="C47" s="45">
        <v>7.1650999999999992E-2</v>
      </c>
      <c r="D47" s="12"/>
      <c r="E47" s="13"/>
    </row>
    <row r="48" spans="1:5" ht="15" customHeight="1" x14ac:dyDescent="0.25">
      <c r="B48" s="11" t="s">
        <v>58</v>
      </c>
      <c r="C48" s="46">
        <v>0.81288740000000004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3.2</v>
      </c>
      <c r="D51" s="12"/>
    </row>
    <row r="52" spans="1:4" ht="15" customHeight="1" x14ac:dyDescent="0.25">
      <c r="B52" s="11" t="s">
        <v>13</v>
      </c>
      <c r="C52" s="100">
        <v>3.2</v>
      </c>
    </row>
    <row r="53" spans="1:4" ht="15.75" customHeight="1" x14ac:dyDescent="0.25">
      <c r="B53" s="11" t="s">
        <v>16</v>
      </c>
      <c r="C53" s="100">
        <v>3.2</v>
      </c>
    </row>
    <row r="54" spans="1:4" ht="15.75" customHeight="1" x14ac:dyDescent="0.25">
      <c r="B54" s="11" t="s">
        <v>14</v>
      </c>
      <c r="C54" s="100">
        <v>3.2</v>
      </c>
    </row>
    <row r="55" spans="1:4" ht="15.75" customHeight="1" x14ac:dyDescent="0.25">
      <c r="B55" s="11" t="s">
        <v>15</v>
      </c>
      <c r="C55" s="100">
        <v>3.2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1.9375E-2</v>
      </c>
    </row>
    <row r="59" spans="1:4" ht="15.75" customHeight="1" x14ac:dyDescent="0.25">
      <c r="B59" s="11" t="s">
        <v>40</v>
      </c>
      <c r="C59" s="45">
        <v>0.56878600000000001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0.15618451</v>
      </c>
    </row>
    <row r="63" spans="1:4" ht="15.75" customHeight="1" x14ac:dyDescent="0.3">
      <c r="A63" s="4"/>
    </row>
  </sheetData>
  <sheetProtection algorithmName="SHA-512" hashValue="ETafR511MM7v5V2bfyRpu/5PDNtkv9wOHdxoPJLeP7+YfRvZzzviLJo2ednyn6YFfGb37xPnx/Rc/xajR0ev0w==" saltValue="oVpEeQcmbBiYj+DFeCaJD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15743</v>
      </c>
      <c r="C2" s="49">
        <v>42956.5</v>
      </c>
      <c r="D2" s="49">
        <v>71006</v>
      </c>
      <c r="E2" s="49">
        <v>59262</v>
      </c>
      <c r="F2" s="49">
        <v>43092.5</v>
      </c>
      <c r="G2" s="17">
        <f t="shared" ref="G2:G13" si="0">C2+D2+E2+F2</f>
        <v>216317</v>
      </c>
      <c r="H2" s="17">
        <f t="shared" ref="H2:H13" si="1">(B2 + stillbirth*B2/(1000-stillbirth))/(1-abortion)</f>
        <v>18127.030909110952</v>
      </c>
      <c r="I2" s="17">
        <f t="shared" ref="I2:I13" si="2">G2-H2</f>
        <v>198189.96909088903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15547</v>
      </c>
      <c r="C3" s="50">
        <v>43129</v>
      </c>
      <c r="D3" s="50">
        <v>69724.5</v>
      </c>
      <c r="E3" s="50">
        <v>60939</v>
      </c>
      <c r="F3" s="50">
        <v>42760</v>
      </c>
      <c r="G3" s="17">
        <f t="shared" si="0"/>
        <v>216552.5</v>
      </c>
      <c r="H3" s="17">
        <f t="shared" si="1"/>
        <v>17901.349777294545</v>
      </c>
      <c r="I3" s="17">
        <f t="shared" si="2"/>
        <v>198651.15022270544</v>
      </c>
    </row>
    <row r="4" spans="1:9" ht="15.75" customHeight="1" x14ac:dyDescent="0.25">
      <c r="A4" s="5">
        <f t="shared" si="3"/>
        <v>2026</v>
      </c>
      <c r="B4" s="49">
        <v>15355</v>
      </c>
      <c r="C4" s="50">
        <v>43340.5</v>
      </c>
      <c r="D4" s="50">
        <v>68466.5</v>
      </c>
      <c r="E4" s="50">
        <v>62492.5</v>
      </c>
      <c r="F4" s="50">
        <v>42420</v>
      </c>
      <c r="G4" s="17">
        <f t="shared" si="0"/>
        <v>216719.5</v>
      </c>
      <c r="H4" s="17">
        <f t="shared" si="1"/>
        <v>17680.274382862139</v>
      </c>
      <c r="I4" s="17">
        <f t="shared" si="2"/>
        <v>199039.22561713785</v>
      </c>
    </row>
    <row r="5" spans="1:9" ht="15.75" customHeight="1" x14ac:dyDescent="0.25">
      <c r="A5" s="5">
        <f t="shared" si="3"/>
        <v>2027</v>
      </c>
      <c r="B5" s="49">
        <v>15169</v>
      </c>
      <c r="C5" s="50">
        <v>43547</v>
      </c>
      <c r="D5" s="50">
        <v>67304</v>
      </c>
      <c r="E5" s="50">
        <v>63823</v>
      </c>
      <c r="F5" s="50">
        <v>42167.5</v>
      </c>
      <c r="G5" s="17">
        <f t="shared" si="0"/>
        <v>216841.5</v>
      </c>
      <c r="H5" s="17">
        <f t="shared" si="1"/>
        <v>17466.107594505753</v>
      </c>
      <c r="I5" s="17">
        <f t="shared" si="2"/>
        <v>199375.39240549423</v>
      </c>
    </row>
    <row r="6" spans="1:9" ht="15.75" customHeight="1" x14ac:dyDescent="0.25">
      <c r="A6" s="5">
        <f t="shared" si="3"/>
        <v>2028</v>
      </c>
      <c r="B6" s="49">
        <v>15012</v>
      </c>
      <c r="C6" s="50">
        <v>43749</v>
      </c>
      <c r="D6" s="50">
        <v>66281</v>
      </c>
      <c r="E6" s="50">
        <v>64860.5</v>
      </c>
      <c r="F6" s="50">
        <v>42072.5</v>
      </c>
      <c r="G6" s="17">
        <f t="shared" si="0"/>
        <v>216963</v>
      </c>
      <c r="H6" s="17">
        <f t="shared" si="1"/>
        <v>17285.332402183423</v>
      </c>
      <c r="I6" s="17">
        <f t="shared" si="2"/>
        <v>199677.66759781659</v>
      </c>
    </row>
    <row r="7" spans="1:9" ht="15.75" customHeight="1" x14ac:dyDescent="0.25">
      <c r="A7" s="5">
        <f t="shared" si="3"/>
        <v>2029</v>
      </c>
      <c r="B7" s="49">
        <v>14847</v>
      </c>
      <c r="C7" s="50">
        <v>43935</v>
      </c>
      <c r="D7" s="50">
        <v>65443</v>
      </c>
      <c r="E7" s="50">
        <v>65530.5</v>
      </c>
      <c r="F7" s="50">
        <v>42196</v>
      </c>
      <c r="G7" s="17">
        <f t="shared" si="0"/>
        <v>217104.5</v>
      </c>
      <c r="H7" s="17">
        <f t="shared" si="1"/>
        <v>17095.345735093077</v>
      </c>
      <c r="I7" s="17">
        <f t="shared" si="2"/>
        <v>200009.15426490692</v>
      </c>
    </row>
    <row r="8" spans="1:9" ht="15.75" customHeight="1" x14ac:dyDescent="0.25">
      <c r="A8" s="5">
        <f t="shared" si="3"/>
        <v>2030</v>
      </c>
      <c r="B8" s="49">
        <v>14675</v>
      </c>
      <c r="C8" s="50">
        <v>44073.5</v>
      </c>
      <c r="D8" s="50">
        <v>64844</v>
      </c>
      <c r="E8" s="50">
        <v>65762</v>
      </c>
      <c r="F8" s="50">
        <v>42605</v>
      </c>
      <c r="G8" s="17">
        <f t="shared" si="0"/>
        <v>217284.5</v>
      </c>
      <c r="H8" s="17">
        <f t="shared" si="1"/>
        <v>16897.299027580717</v>
      </c>
      <c r="I8" s="17">
        <f t="shared" si="2"/>
        <v>200387.20097241929</v>
      </c>
    </row>
    <row r="9" spans="1:9" ht="15.75" customHeight="1" x14ac:dyDescent="0.25">
      <c r="A9" s="5">
        <f t="shared" si="3"/>
        <v>2031</v>
      </c>
      <c r="B9" s="49">
        <v>14442</v>
      </c>
      <c r="C9" s="50">
        <v>44153</v>
      </c>
      <c r="D9" s="50">
        <v>64517</v>
      </c>
      <c r="E9" s="50">
        <v>65407.000000000007</v>
      </c>
      <c r="F9" s="50">
        <v>43353</v>
      </c>
      <c r="G9" s="17">
        <f t="shared" si="0"/>
        <v>217430</v>
      </c>
      <c r="H9" s="17">
        <f t="shared" si="1"/>
        <v>16629.014824962229</v>
      </c>
      <c r="I9" s="17">
        <f t="shared" si="2"/>
        <v>200800.98517503776</v>
      </c>
    </row>
    <row r="10" spans="1:9" ht="15.75" customHeight="1" x14ac:dyDescent="0.25">
      <c r="A10" s="5">
        <f t="shared" si="3"/>
        <v>2032</v>
      </c>
      <c r="B10" s="49">
        <v>14276</v>
      </c>
      <c r="C10" s="50">
        <v>44207</v>
      </c>
      <c r="D10" s="50">
        <v>64450</v>
      </c>
      <c r="E10" s="50">
        <v>64543</v>
      </c>
      <c r="F10" s="50">
        <v>44560</v>
      </c>
      <c r="G10" s="17">
        <f t="shared" si="0"/>
        <v>217760</v>
      </c>
      <c r="H10" s="17">
        <f t="shared" si="1"/>
        <v>16437.876723525882</v>
      </c>
      <c r="I10" s="17">
        <f t="shared" si="2"/>
        <v>201322.12327647413</v>
      </c>
    </row>
    <row r="11" spans="1:9" ht="15.75" customHeight="1" x14ac:dyDescent="0.25">
      <c r="A11" s="5">
        <f t="shared" si="3"/>
        <v>2033</v>
      </c>
      <c r="B11" s="49">
        <v>14148</v>
      </c>
      <c r="C11" s="50">
        <v>44364.5</v>
      </c>
      <c r="D11" s="50">
        <v>64555.5</v>
      </c>
      <c r="E11" s="50">
        <v>63450.5</v>
      </c>
      <c r="F11" s="50">
        <v>46109</v>
      </c>
      <c r="G11" s="17">
        <f t="shared" si="0"/>
        <v>218479.5</v>
      </c>
      <c r="H11" s="17">
        <f t="shared" si="1"/>
        <v>16290.493127237614</v>
      </c>
      <c r="I11" s="17">
        <f t="shared" si="2"/>
        <v>202189.00687276237</v>
      </c>
    </row>
    <row r="12" spans="1:9" ht="15.75" customHeight="1" x14ac:dyDescent="0.25">
      <c r="A12" s="5">
        <f t="shared" si="3"/>
        <v>2034</v>
      </c>
      <c r="B12" s="49">
        <v>13955</v>
      </c>
      <c r="C12" s="50">
        <v>44522.999999999993</v>
      </c>
      <c r="D12" s="50">
        <v>64751.000000000007</v>
      </c>
      <c r="E12" s="50">
        <v>62250</v>
      </c>
      <c r="F12" s="50">
        <v>47744.500000000007</v>
      </c>
      <c r="G12" s="17">
        <f t="shared" si="0"/>
        <v>219268.5</v>
      </c>
      <c r="H12" s="17">
        <f t="shared" si="1"/>
        <v>16068.266298459212</v>
      </c>
      <c r="I12" s="17">
        <f t="shared" si="2"/>
        <v>203200.2337015408</v>
      </c>
    </row>
    <row r="13" spans="1:9" ht="15.75" customHeight="1" x14ac:dyDescent="0.25">
      <c r="A13" s="5">
        <f t="shared" si="3"/>
        <v>2035</v>
      </c>
      <c r="B13" s="49">
        <v>13793</v>
      </c>
      <c r="C13" s="50">
        <v>44566</v>
      </c>
      <c r="D13" s="50">
        <v>65005.5</v>
      </c>
      <c r="E13" s="50">
        <v>61004</v>
      </c>
      <c r="F13" s="50">
        <v>49387.5</v>
      </c>
      <c r="G13" s="17">
        <f t="shared" si="0"/>
        <v>219963</v>
      </c>
      <c r="H13" s="17">
        <f t="shared" si="1"/>
        <v>15881.733934406871</v>
      </c>
      <c r="I13" s="17">
        <f t="shared" si="2"/>
        <v>204081.26606559314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/dtpEFO+M5hC8DsLXajlvQ0DTRTekirj56fCe0FaE/FVp1cWnZaAOgPaJ5aq4opMyVz4JL+/SgCeEDDGJrb+Fg==" saltValue="iG4ofHgmYuIpW3b9yU7jm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0</v>
      </c>
    </row>
    <row r="4" spans="1:8" ht="15.75" customHeight="1" x14ac:dyDescent="0.25">
      <c r="B4" s="19" t="s">
        <v>97</v>
      </c>
      <c r="C4" s="101">
        <v>0.10673638932636099</v>
      </c>
    </row>
    <row r="5" spans="1:8" ht="15.75" customHeight="1" x14ac:dyDescent="0.25">
      <c r="B5" s="19" t="s">
        <v>95</v>
      </c>
      <c r="C5" s="101">
        <v>0.14920298507970139</v>
      </c>
    </row>
    <row r="6" spans="1:8" ht="15.75" customHeight="1" x14ac:dyDescent="0.25">
      <c r="B6" s="19" t="s">
        <v>91</v>
      </c>
      <c r="C6" s="101">
        <v>0.17029788297021189</v>
      </c>
    </row>
    <row r="7" spans="1:8" ht="15.75" customHeight="1" x14ac:dyDescent="0.25">
      <c r="B7" s="19" t="s">
        <v>96</v>
      </c>
      <c r="C7" s="101">
        <v>0.36466676353332361</v>
      </c>
    </row>
    <row r="8" spans="1:8" ht="15.75" customHeight="1" x14ac:dyDescent="0.25">
      <c r="B8" s="19" t="s">
        <v>98</v>
      </c>
      <c r="C8" s="101">
        <v>0</v>
      </c>
    </row>
    <row r="9" spans="1:8" ht="15.75" customHeight="1" x14ac:dyDescent="0.25">
      <c r="B9" s="19" t="s">
        <v>92</v>
      </c>
      <c r="C9" s="101">
        <v>0.13035388696461131</v>
      </c>
    </row>
    <row r="10" spans="1:8" ht="15.75" customHeight="1" x14ac:dyDescent="0.25">
      <c r="B10" s="19" t="s">
        <v>94</v>
      </c>
      <c r="C10" s="101">
        <v>7.8742092125790683E-2</v>
      </c>
    </row>
    <row r="11" spans="1:8" ht="15.75" customHeight="1" x14ac:dyDescent="0.25">
      <c r="B11" s="27" t="s">
        <v>60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0.1381909780135985</v>
      </c>
      <c r="D14" s="55">
        <v>0.1381909780135985</v>
      </c>
      <c r="E14" s="55">
        <v>0.1381909780135985</v>
      </c>
      <c r="F14" s="55">
        <v>0.1381909780135985</v>
      </c>
    </row>
    <row r="15" spans="1:8" ht="15.75" customHeight="1" x14ac:dyDescent="0.25">
      <c r="B15" s="19" t="s">
        <v>102</v>
      </c>
      <c r="C15" s="101">
        <v>0.2353941846260775</v>
      </c>
      <c r="D15" s="101">
        <v>0.2353941846260775</v>
      </c>
      <c r="E15" s="101">
        <v>0.2353941846260775</v>
      </c>
      <c r="F15" s="101">
        <v>0.2353941846260775</v>
      </c>
    </row>
    <row r="16" spans="1:8" ht="15.75" customHeight="1" x14ac:dyDescent="0.25">
      <c r="B16" s="19" t="s">
        <v>2</v>
      </c>
      <c r="C16" s="101">
        <v>4.4784880476669023E-2</v>
      </c>
      <c r="D16" s="101">
        <v>4.4784880476669023E-2</v>
      </c>
      <c r="E16" s="101">
        <v>4.4784880476669023E-2</v>
      </c>
      <c r="F16" s="101">
        <v>4.4784880476669023E-2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5.9933805013520101E-2</v>
      </c>
      <c r="D18" s="101">
        <v>5.9933805013520101E-2</v>
      </c>
      <c r="E18" s="101">
        <v>5.9933805013520101E-2</v>
      </c>
      <c r="F18" s="101">
        <v>5.9933805013520101E-2</v>
      </c>
    </row>
    <row r="19" spans="1:8" ht="15.75" customHeight="1" x14ac:dyDescent="0.25">
      <c r="B19" s="19" t="s">
        <v>101</v>
      </c>
      <c r="C19" s="101">
        <v>0</v>
      </c>
      <c r="D19" s="101">
        <v>0</v>
      </c>
      <c r="E19" s="101">
        <v>0</v>
      </c>
      <c r="F19" s="101">
        <v>0</v>
      </c>
    </row>
    <row r="20" spans="1:8" ht="15.75" customHeight="1" x14ac:dyDescent="0.25">
      <c r="B20" s="19" t="s">
        <v>79</v>
      </c>
      <c r="C20" s="101">
        <v>9.8836406755454131E-2</v>
      </c>
      <c r="D20" s="101">
        <v>9.8836406755454131E-2</v>
      </c>
      <c r="E20" s="101">
        <v>9.8836406755454131E-2</v>
      </c>
      <c r="F20" s="101">
        <v>9.8836406755454131E-2</v>
      </c>
    </row>
    <row r="21" spans="1:8" ht="15.75" customHeight="1" x14ac:dyDescent="0.25">
      <c r="B21" s="19" t="s">
        <v>88</v>
      </c>
      <c r="C21" s="101">
        <v>0.2833137125298032</v>
      </c>
      <c r="D21" s="101">
        <v>0.2833137125298032</v>
      </c>
      <c r="E21" s="101">
        <v>0.2833137125298032</v>
      </c>
      <c r="F21" s="101">
        <v>0.2833137125298032</v>
      </c>
    </row>
    <row r="22" spans="1:8" ht="15.75" customHeight="1" x14ac:dyDescent="0.25">
      <c r="B22" s="19" t="s">
        <v>99</v>
      </c>
      <c r="C22" s="101">
        <v>0.13954603258487749</v>
      </c>
      <c r="D22" s="101">
        <v>0.13954603258487749</v>
      </c>
      <c r="E22" s="101">
        <v>0.13954603258487749</v>
      </c>
      <c r="F22" s="101">
        <v>0.13954603258487749</v>
      </c>
    </row>
    <row r="23" spans="1:8" ht="15.75" customHeight="1" x14ac:dyDescent="0.25">
      <c r="B23" s="27" t="s">
        <v>60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5.6908684000000001E-2</v>
      </c>
    </row>
    <row r="27" spans="1:8" ht="15.75" customHeight="1" x14ac:dyDescent="0.25">
      <c r="B27" s="19" t="s">
        <v>89</v>
      </c>
      <c r="C27" s="101">
        <v>0.147893197</v>
      </c>
    </row>
    <row r="28" spans="1:8" ht="15.75" customHeight="1" x14ac:dyDescent="0.25">
      <c r="B28" s="19" t="s">
        <v>103</v>
      </c>
      <c r="C28" s="101">
        <v>0.14146481499999999</v>
      </c>
    </row>
    <row r="29" spans="1:8" ht="15.75" customHeight="1" x14ac:dyDescent="0.25">
      <c r="B29" s="19" t="s">
        <v>86</v>
      </c>
      <c r="C29" s="101">
        <v>0.127987182</v>
      </c>
    </row>
    <row r="30" spans="1:8" ht="15.75" customHeight="1" x14ac:dyDescent="0.25">
      <c r="B30" s="19" t="s">
        <v>4</v>
      </c>
      <c r="C30" s="101">
        <v>5.0805205000000013E-2</v>
      </c>
    </row>
    <row r="31" spans="1:8" ht="15.75" customHeight="1" x14ac:dyDescent="0.25">
      <c r="B31" s="19" t="s">
        <v>80</v>
      </c>
      <c r="C31" s="101">
        <v>0.14241514399999999</v>
      </c>
    </row>
    <row r="32" spans="1:8" ht="15.75" customHeight="1" x14ac:dyDescent="0.25">
      <c r="B32" s="19" t="s">
        <v>85</v>
      </c>
      <c r="C32" s="101">
        <v>2.5668638000000001E-2</v>
      </c>
    </row>
    <row r="33" spans="2:3" ht="15.75" customHeight="1" x14ac:dyDescent="0.25">
      <c r="B33" s="19" t="s">
        <v>100</v>
      </c>
      <c r="C33" s="101">
        <v>0.108201272</v>
      </c>
    </row>
    <row r="34" spans="2:3" ht="15.75" customHeight="1" x14ac:dyDescent="0.25">
      <c r="B34" s="19" t="s">
        <v>87</v>
      </c>
      <c r="C34" s="101">
        <v>0.19865586199999999</v>
      </c>
    </row>
    <row r="35" spans="2:3" ht="15.75" customHeight="1" x14ac:dyDescent="0.25">
      <c r="B35" s="27" t="s">
        <v>60</v>
      </c>
      <c r="C35" s="48">
        <f>SUM(C26:C34)</f>
        <v>0.99999999899999992</v>
      </c>
    </row>
  </sheetData>
  <sheetProtection algorithmName="SHA-512" hashValue="o9dhAYKdgiO5QqQ/oI0mEujo2hhONqAchJsX7rQCTfktnKc/rYWg5vgbjk5lF6idvormujjHqyLXtswFZGhbnw==" saltValue="4525zr6g5KOqFZQOqMtko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0.54057462583763716</v>
      </c>
      <c r="D2" s="52">
        <f>IFERROR(1-_xlfn.NORM.DIST(_xlfn.NORM.INV(SUM(D4:D5), 0, 1) + 1, 0, 1, TRUE), "")</f>
        <v>0.54057462583763716</v>
      </c>
      <c r="E2" s="52">
        <f>IFERROR(1-_xlfn.NORM.DIST(_xlfn.NORM.INV(SUM(E4:E5), 0, 1) + 1, 0, 1, TRUE), "")</f>
        <v>0.7029535077498299</v>
      </c>
      <c r="F2" s="52">
        <f>IFERROR(1-_xlfn.NORM.DIST(_xlfn.NORM.INV(SUM(F4:F5), 0, 1) + 1, 0, 1, TRUE), "")</f>
        <v>0.52839302398010557</v>
      </c>
      <c r="G2" s="52">
        <f>IFERROR(1-_xlfn.NORM.DIST(_xlfn.NORM.INV(SUM(G4:G5), 0, 1) + 1, 0, 1, TRUE), "")</f>
        <v>0.65521607595634679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0.32416877416236284</v>
      </c>
      <c r="D3" s="52">
        <f>IFERROR(_xlfn.NORM.DIST(_xlfn.NORM.INV(SUM(D4:D5), 0, 1) + 1, 0, 1, TRUE) - SUM(D4:D5), "")</f>
        <v>0.32416877416236284</v>
      </c>
      <c r="E3" s="52">
        <f>IFERROR(_xlfn.NORM.DIST(_xlfn.NORM.INV(SUM(E4:E5), 0, 1) + 1, 0, 1, TRUE) - SUM(E4:E5), "")</f>
        <v>0.23439799225017016</v>
      </c>
      <c r="F3" s="52">
        <f>IFERROR(_xlfn.NORM.DIST(_xlfn.NORM.INV(SUM(F4:F5), 0, 1) + 1, 0, 1, TRUE) - SUM(F4:F5), "")</f>
        <v>0.32957417601989436</v>
      </c>
      <c r="G3" s="52">
        <f>IFERROR(_xlfn.NORM.DIST(_xlfn.NORM.INV(SUM(G4:G5), 0, 1) + 1, 0, 1, TRUE) - SUM(G4:G5), "")</f>
        <v>0.26394362404365312</v>
      </c>
    </row>
    <row r="4" spans="1:15" ht="15.75" customHeight="1" x14ac:dyDescent="0.25">
      <c r="B4" s="5" t="s">
        <v>110</v>
      </c>
      <c r="C4" s="45">
        <v>9.3425999999999995E-2</v>
      </c>
      <c r="D4" s="53">
        <v>9.3425999999999995E-2</v>
      </c>
      <c r="E4" s="53">
        <v>4.45937E-2</v>
      </c>
      <c r="F4" s="53">
        <v>9.1402900000000009E-2</v>
      </c>
      <c r="G4" s="53">
        <v>6.11955E-2</v>
      </c>
    </row>
    <row r="5" spans="1:15" ht="15.75" customHeight="1" x14ac:dyDescent="0.25">
      <c r="B5" s="5" t="s">
        <v>106</v>
      </c>
      <c r="C5" s="45">
        <v>4.1830600000000003E-2</v>
      </c>
      <c r="D5" s="53">
        <v>4.1830600000000003E-2</v>
      </c>
      <c r="E5" s="53">
        <v>1.8054799999999999E-2</v>
      </c>
      <c r="F5" s="53">
        <v>5.0629899999999999E-2</v>
      </c>
      <c r="G5" s="53">
        <v>1.96448E-2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0.50103203834345922</v>
      </c>
      <c r="D8" s="52">
        <f>IFERROR(1-_xlfn.NORM.DIST(_xlfn.NORM.INV(SUM(D10:D11), 0, 1) + 1, 0, 1, TRUE), "")</f>
        <v>0.50103203834345922</v>
      </c>
      <c r="E8" s="52">
        <f>IFERROR(1-_xlfn.NORM.DIST(_xlfn.NORM.INV(SUM(E10:E11), 0, 1) + 1, 0, 1, TRUE), "")</f>
        <v>0.64690748625615746</v>
      </c>
      <c r="F8" s="52">
        <f>IFERROR(1-_xlfn.NORM.DIST(_xlfn.NORM.INV(SUM(F10:F11), 0, 1) + 1, 0, 1, TRUE), "")</f>
        <v>0.74282560257230168</v>
      </c>
      <c r="G8" s="52">
        <f>IFERROR(1-_xlfn.NORM.DIST(_xlfn.NORM.INV(SUM(G10:G11), 0, 1) + 1, 0, 1, TRUE), "")</f>
        <v>0.72471861636851709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0.34093786165654083</v>
      </c>
      <c r="D9" s="52">
        <f>IFERROR(_xlfn.NORM.DIST(_xlfn.NORM.INV(SUM(D10:D11), 0, 1) + 1, 0, 1, TRUE) - SUM(D10:D11), "")</f>
        <v>0.34093786165654083</v>
      </c>
      <c r="E9" s="52">
        <f>IFERROR(_xlfn.NORM.DIST(_xlfn.NORM.INV(SUM(E10:E11), 0, 1) + 1, 0, 1, TRUE) - SUM(E10:E11), "")</f>
        <v>0.26883401374384253</v>
      </c>
      <c r="F9" s="52">
        <f>IFERROR(_xlfn.NORM.DIST(_xlfn.NORM.INV(SUM(F10:F11), 0, 1) + 1, 0, 1, TRUE) - SUM(F10:F11), "")</f>
        <v>0.20791539742769832</v>
      </c>
      <c r="G9" s="52">
        <f>IFERROR(_xlfn.NORM.DIST(_xlfn.NORM.INV(SUM(G10:G11), 0, 1) + 1, 0, 1, TRUE) - SUM(G10:G11), "")</f>
        <v>0.22013928363148291</v>
      </c>
    </row>
    <row r="10" spans="1:15" ht="15.75" customHeight="1" x14ac:dyDescent="0.25">
      <c r="B10" s="5" t="s">
        <v>107</v>
      </c>
      <c r="C10" s="45">
        <v>7.7093899999999993E-2</v>
      </c>
      <c r="D10" s="53">
        <v>7.7093899999999993E-2</v>
      </c>
      <c r="E10" s="53">
        <v>4.1849299999999999E-2</v>
      </c>
      <c r="F10" s="53">
        <v>3.5613899999999997E-2</v>
      </c>
      <c r="G10" s="53">
        <v>4.6911300000000003E-2</v>
      </c>
    </row>
    <row r="11" spans="1:15" ht="15.75" customHeight="1" x14ac:dyDescent="0.25">
      <c r="B11" s="5" t="s">
        <v>119</v>
      </c>
      <c r="C11" s="45">
        <v>8.09362E-2</v>
      </c>
      <c r="D11" s="53">
        <v>8.09362E-2</v>
      </c>
      <c r="E11" s="53">
        <v>4.2409200000000001E-2</v>
      </c>
      <c r="F11" s="53">
        <v>1.36451E-2</v>
      </c>
      <c r="G11" s="53">
        <v>8.2307999999999999E-3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0.60847067900000007</v>
      </c>
      <c r="D14" s="54">
        <v>0.58133804313699999</v>
      </c>
      <c r="E14" s="54">
        <v>0.58133804313699999</v>
      </c>
      <c r="F14" s="54">
        <v>0.34640304007799999</v>
      </c>
      <c r="G14" s="54">
        <v>0.34640304007799999</v>
      </c>
      <c r="H14" s="45">
        <v>0.29099999999999998</v>
      </c>
      <c r="I14" s="55">
        <v>0.29099999999999998</v>
      </c>
      <c r="J14" s="55">
        <v>0.29099999999999998</v>
      </c>
      <c r="K14" s="55">
        <v>0.29099999999999998</v>
      </c>
      <c r="L14" s="45">
        <v>0.32500000000000001</v>
      </c>
      <c r="M14" s="55">
        <v>0.32500000000000001</v>
      </c>
      <c r="N14" s="55">
        <v>0.32500000000000001</v>
      </c>
      <c r="O14" s="55">
        <v>0.32500000000000001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0.34608960362569408</v>
      </c>
      <c r="D15" s="52">
        <f t="shared" si="0"/>
        <v>0.33065694020372166</v>
      </c>
      <c r="E15" s="52">
        <f t="shared" si="0"/>
        <v>0.33065694020372166</v>
      </c>
      <c r="F15" s="52">
        <f t="shared" si="0"/>
        <v>0.1970291995538053</v>
      </c>
      <c r="G15" s="52">
        <f t="shared" si="0"/>
        <v>0.1970291995538053</v>
      </c>
      <c r="H15" s="52">
        <f t="shared" si="0"/>
        <v>0.165516726</v>
      </c>
      <c r="I15" s="52">
        <f t="shared" si="0"/>
        <v>0.165516726</v>
      </c>
      <c r="J15" s="52">
        <f t="shared" si="0"/>
        <v>0.165516726</v>
      </c>
      <c r="K15" s="52">
        <f t="shared" si="0"/>
        <v>0.165516726</v>
      </c>
      <c r="L15" s="52">
        <f t="shared" si="0"/>
        <v>0.18485545</v>
      </c>
      <c r="M15" s="52">
        <f t="shared" si="0"/>
        <v>0.18485545</v>
      </c>
      <c r="N15" s="52">
        <f t="shared" si="0"/>
        <v>0.18485545</v>
      </c>
      <c r="O15" s="52">
        <f t="shared" si="0"/>
        <v>0.18485545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UtRLCRU7mEs6+qDzQ75ajDEINKu/RPhNOLUng3siLUGYrvz7IvaeP1pGn4z2yuSZP6FcvzFyWA+B9wXOe27JQw==" saltValue="JBbDHJP4opFMOp8qEGkea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0.35552159999999999</v>
      </c>
      <c r="D2" s="53">
        <v>0.33231739999999999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0.1800283</v>
      </c>
      <c r="D3" s="53">
        <v>0.1106779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0.29858469999999998</v>
      </c>
      <c r="D4" s="53">
        <v>0.34923300000000002</v>
      </c>
      <c r="E4" s="53">
        <v>0.68055690000000002</v>
      </c>
      <c r="F4" s="53">
        <v>0.52035169999999997</v>
      </c>
      <c r="G4" s="53">
        <v>0</v>
      </c>
    </row>
    <row r="5" spans="1:7" x14ac:dyDescent="0.25">
      <c r="B5" s="3" t="s">
        <v>125</v>
      </c>
      <c r="C5" s="52">
        <v>0.1658654</v>
      </c>
      <c r="D5" s="52">
        <v>0.2077717</v>
      </c>
      <c r="E5" s="52">
        <f>1-SUM(E2:E4)</f>
        <v>0.31944309999999998</v>
      </c>
      <c r="F5" s="52">
        <f>1-SUM(F2:F4)</f>
        <v>0.47964830000000003</v>
      </c>
      <c r="G5" s="52">
        <f>1-SUM(G2:G4)</f>
        <v>1</v>
      </c>
    </row>
  </sheetData>
  <sheetProtection algorithmName="SHA-512" hashValue="lGdztYd0qTQKvXT4ppbPS6TF/yyQEHYrK8bNerKJ0MAnyO0N0qcZy+t3nbtKs4iPTho9ph0JG1h2csLRD367uQ==" saltValue="WZlTNPVpkhF+Xm9H/YbSn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XjApSDR0N2cRf3nxx99E8ennB9lSMOyIi6JT5wRzZhry2RFVI5NSTaNFjqmPzb0Iab8JKGToIvF5WfZ7qmx6wg==" saltValue="4AIaDhFFTY5ShS07xk/Di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x14ac:dyDescent="0.25">
      <c r="A2" s="8" t="s">
        <v>144</v>
      </c>
      <c r="B2" s="41">
        <v>10</v>
      </c>
    </row>
    <row r="3" spans="1:2" x14ac:dyDescent="0.25">
      <c r="A3" s="8" t="s">
        <v>143</v>
      </c>
      <c r="B3" s="41">
        <v>10</v>
      </c>
    </row>
    <row r="4" spans="1:2" x14ac:dyDescent="0.25">
      <c r="A4" s="8" t="s">
        <v>142</v>
      </c>
      <c r="B4" s="41">
        <v>10</v>
      </c>
    </row>
    <row r="5" spans="1:2" x14ac:dyDescent="0.25">
      <c r="A5" s="8" t="s">
        <v>146</v>
      </c>
      <c r="B5" s="41">
        <v>10</v>
      </c>
    </row>
    <row r="6" spans="1:2" x14ac:dyDescent="0.25">
      <c r="A6" s="8" t="s">
        <v>140</v>
      </c>
      <c r="B6" s="41">
        <v>10</v>
      </c>
    </row>
    <row r="7" spans="1:2" x14ac:dyDescent="0.25">
      <c r="A7" s="8" t="s">
        <v>141</v>
      </c>
      <c r="B7" s="41">
        <v>10</v>
      </c>
    </row>
  </sheetData>
  <sheetProtection algorithmName="SHA-512" hashValue="o/rVhr1Mw6HGtfU4o5WZkOJ4C7M3zWimuZlcZnsb5mwIfgp/I/ewrwQNDHHSjfgc9n41KBJw6McQ2Stj6F+KuQ==" saltValue="wFWRveZtBOB7bmX+cGMqF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x14ac:dyDescent="0.25">
      <c r="B10" s="32" t="s">
        <v>78</v>
      </c>
      <c r="C10" s="47"/>
      <c r="D10" s="47"/>
      <c r="E10" s="38" t="str">
        <f>IF(E$7="","",E$7)</f>
        <v/>
      </c>
    </row>
    <row r="11" spans="1:5" x14ac:dyDescent="0.25">
      <c r="B11" s="32" t="s">
        <v>74</v>
      </c>
      <c r="C11" s="47"/>
      <c r="D11" s="47"/>
      <c r="E11" s="38" t="str">
        <f>IF(E$7="","",E$7)</f>
        <v/>
      </c>
    </row>
    <row r="12" spans="1:5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b9OtUUiYpbm4fp2QvichpX+cApzNkDBYHA7QketrRuIs7Zl32rWOEKTwuirr8e1ZaOCUogGRyX8eTs/Kw4B7YQ==" saltValue="F3gQBu7V1SXI3V3WScXYp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F+xrlfUe8nDXzekhvrIWGuprh3WthlodpytT0m4yJWr8+nPlmuXrBJAnbWpsfGrW3nMEygFoRqJAgzdH5O/N0w==" saltValue="jFEnE99IpjKJU+LmPxRa7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60.485902574974247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0.22034640788630999</v>
      </c>
      <c r="C3" s="98">
        <v>0.95</v>
      </c>
      <c r="D3" s="56">
        <v>39.935189433056237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452.91394116290678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0.75185731651381305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99.99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99.99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99.99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0.34227999999999997</v>
      </c>
      <c r="C10" s="98">
        <v>0.95</v>
      </c>
      <c r="D10" s="56">
        <v>13.067488876852151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0.34227999999999997</v>
      </c>
      <c r="C11" s="98">
        <v>0.95</v>
      </c>
      <c r="D11" s="56">
        <v>13.067488876852151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0.34227999999999997</v>
      </c>
      <c r="C12" s="98">
        <v>0.95</v>
      </c>
      <c r="D12" s="56">
        <v>13.067488876852151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0.34227999999999997</v>
      </c>
      <c r="C13" s="98">
        <v>0.95</v>
      </c>
      <c r="D13" s="56">
        <v>13.067488876852151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0.34227999999999997</v>
      </c>
      <c r="C14" s="98">
        <v>0.95</v>
      </c>
      <c r="D14" s="56">
        <v>13.067488876852151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0.34227999999999997</v>
      </c>
      <c r="C15" s="98">
        <v>0.95</v>
      </c>
      <c r="D15" s="56">
        <v>13.067488876852151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0.99</v>
      </c>
      <c r="C16" s="98">
        <v>0.95</v>
      </c>
      <c r="D16" s="56">
        <v>0.77775449539503461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0.14036206455</v>
      </c>
      <c r="C18" s="98">
        <v>0.95</v>
      </c>
      <c r="D18" s="56">
        <v>10.429698010738489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0.90989199999999992</v>
      </c>
      <c r="C19" s="98">
        <v>0.95</v>
      </c>
      <c r="D19" s="56">
        <v>10.429698010738489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0.70111239999999997</v>
      </c>
      <c r="C21" s="98">
        <v>0.95</v>
      </c>
      <c r="D21" s="56">
        <v>7.1524381906876151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22.579312803378102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4.3139060578863351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0.93203534576457003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0.34227999999999997</v>
      </c>
      <c r="C26" s="98">
        <v>0.95</v>
      </c>
      <c r="D26" s="56">
        <v>99.99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18.690391823443861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0.73091813298543007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</v>
      </c>
      <c r="C29" s="98">
        <v>0.95</v>
      </c>
      <c r="D29" s="56">
        <v>119.254602366377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</v>
      </c>
      <c r="C31" s="98">
        <v>0.95</v>
      </c>
      <c r="D31" s="56">
        <v>1.867912036673709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</v>
      </c>
      <c r="C32" s="98">
        <v>0.95</v>
      </c>
      <c r="D32" s="56">
        <v>1.6681309666930351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0.40319179999999999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0.39697460000000001</v>
      </c>
      <c r="C38" s="98">
        <v>0.95</v>
      </c>
      <c r="D38" s="56">
        <v>2.4011122949653489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99.99</v>
      </c>
      <c r="E39" s="56" t="s">
        <v>183</v>
      </c>
      <c r="F39" s="98">
        <v>1</v>
      </c>
      <c r="G39" s="98">
        <v>1</v>
      </c>
    </row>
  </sheetData>
  <sheetProtection algorithmName="SHA-512" hashValue="Nz2xWRHUHeWbjIOf+BPmX90pu6WwBY+MHakS6G+4ymP8gNk/tF2mTnSx92sIwBlTfC+ihCfpSJGd9iqE6Z0paQ==" saltValue="/NU0vGmsPN7PBsG2JO2Gw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x14ac:dyDescent="0.25">
      <c r="A2" s="57" t="s">
        <v>178</v>
      </c>
      <c r="B2" s="47" t="s">
        <v>191</v>
      </c>
      <c r="C2" s="47"/>
    </row>
    <row r="3" spans="1:3" x14ac:dyDescent="0.25">
      <c r="A3" s="57" t="s">
        <v>179</v>
      </c>
      <c r="B3" s="47" t="s">
        <v>191</v>
      </c>
      <c r="C3" s="47"/>
    </row>
    <row r="4" spans="1:3" x14ac:dyDescent="0.25">
      <c r="A4" s="57" t="s">
        <v>193</v>
      </c>
      <c r="B4" s="47" t="s">
        <v>184</v>
      </c>
      <c r="C4" s="47"/>
    </row>
    <row r="5" spans="1:3" x14ac:dyDescent="0.25">
      <c r="A5" s="57" t="s">
        <v>190</v>
      </c>
      <c r="B5" s="47" t="s">
        <v>184</v>
      </c>
      <c r="C5" s="47"/>
    </row>
    <row r="6" spans="1:3" x14ac:dyDescent="0.25">
      <c r="A6" s="57" t="s">
        <v>193</v>
      </c>
      <c r="B6" s="58" t="s">
        <v>204</v>
      </c>
      <c r="C6" s="58"/>
    </row>
    <row r="7" spans="1:3" x14ac:dyDescent="0.25">
      <c r="A7" s="57" t="s">
        <v>190</v>
      </c>
      <c r="B7" s="58" t="s">
        <v>204</v>
      </c>
      <c r="C7" s="58"/>
    </row>
    <row r="8" spans="1:3" x14ac:dyDescent="0.25">
      <c r="A8" s="57" t="s">
        <v>203</v>
      </c>
      <c r="B8" s="58" t="s">
        <v>204</v>
      </c>
      <c r="C8" s="58"/>
    </row>
    <row r="9" spans="1:3" x14ac:dyDescent="0.25">
      <c r="A9" s="57" t="s">
        <v>196</v>
      </c>
      <c r="B9" s="58" t="s">
        <v>204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X1iZREz9iFHJMgckyUOCTfuEfqL3mxdGFv8+/sknnPXDKJEiOFxuRJagnyHwJjG0DdoE1p3mJ6qN2ZrfC4UBPw==" saltValue="Se2wpWOa1kN9RTNX0rAkl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x14ac:dyDescent="0.25">
      <c r="A2" s="33" t="s">
        <v>170</v>
      </c>
    </row>
    <row r="3" spans="1:1" x14ac:dyDescent="0.25">
      <c r="A3" s="33" t="s">
        <v>180</v>
      </c>
    </row>
    <row r="4" spans="1:1" x14ac:dyDescent="0.25">
      <c r="A4" s="33" t="s">
        <v>185</v>
      </c>
    </row>
    <row r="5" spans="1:1" x14ac:dyDescent="0.25">
      <c r="A5" s="33" t="s">
        <v>197</v>
      </c>
    </row>
    <row r="6" spans="1:1" x14ac:dyDescent="0.25">
      <c r="A6" s="33" t="s">
        <v>198</v>
      </c>
    </row>
    <row r="7" spans="1:1" x14ac:dyDescent="0.25">
      <c r="A7" s="33" t="s">
        <v>199</v>
      </c>
    </row>
    <row r="8" spans="1:1" x14ac:dyDescent="0.25">
      <c r="A8" s="33" t="s">
        <v>200</v>
      </c>
    </row>
    <row r="9" spans="1:1" x14ac:dyDescent="0.25">
      <c r="A9" s="33" t="s">
        <v>201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rjXxmUOXt47FXRxVVBvZf7q0Zb0GoK2OwVSv9fK6EWYwVicyQ04g2/NHYtj7KNcNmm4MWOaxpM4Ixror7mhqAw==" saltValue="+7p1E/YSDSiRKj/WECXnt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3.2</v>
      </c>
      <c r="C2" s="21">
        <f>'Entradas de población-año base'!C52</f>
        <v>3.2</v>
      </c>
      <c r="D2" s="21">
        <f>'Entradas de población-año base'!C53</f>
        <v>3.2</v>
      </c>
      <c r="E2" s="21">
        <f>'Entradas de población-año base'!C54</f>
        <v>3.2</v>
      </c>
      <c r="F2" s="21">
        <f>'Entradas de población-año base'!C55</f>
        <v>3.2</v>
      </c>
    </row>
    <row r="3" spans="1:6" ht="15.75" customHeight="1" x14ac:dyDescent="0.25">
      <c r="A3" s="3" t="s">
        <v>6</v>
      </c>
      <c r="B3" s="21">
        <f>frac_mam_1month * 2.6</f>
        <v>0.20044413999999999</v>
      </c>
      <c r="C3" s="21">
        <f>frac_mam_1_5months * 2.6</f>
        <v>0.20044413999999999</v>
      </c>
      <c r="D3" s="21">
        <f>frac_mam_6_11months * 2.6</f>
        <v>0.10880818</v>
      </c>
      <c r="E3" s="21">
        <f>frac_mam_12_23months * 2.6</f>
        <v>9.2596139999999993E-2</v>
      </c>
      <c r="F3" s="21">
        <f>frac_mam_24_59months * 2.6</f>
        <v>0.12196938000000002</v>
      </c>
    </row>
    <row r="4" spans="1:6" ht="15.75" customHeight="1" x14ac:dyDescent="0.25">
      <c r="A4" s="3" t="s">
        <v>207</v>
      </c>
      <c r="B4" s="21">
        <f>frac_sam_1month * 2.6</f>
        <v>0.21043412</v>
      </c>
      <c r="C4" s="21">
        <f>frac_sam_1_5months * 2.6</f>
        <v>0.21043412</v>
      </c>
      <c r="D4" s="21">
        <f>frac_sam_6_11months * 2.6</f>
        <v>0.11026392</v>
      </c>
      <c r="E4" s="21">
        <f>frac_sam_12_23months * 2.6</f>
        <v>3.5477260000000004E-2</v>
      </c>
      <c r="F4" s="21">
        <f>frac_sam_24_59months * 2.6</f>
        <v>2.1400080000000002E-2</v>
      </c>
    </row>
  </sheetData>
  <sheetProtection algorithmName="SHA-512" hashValue="QP6x+g6c2slV75gEVX8iSc8SydvWSZ8zG3A5aIGS49k49YiJpPOAuVX7bWj60XqrbT08Di7hPK/8dNqJBNUprg==" saltValue="HcfgbGkTK0k69wSxkA50S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0.14000000000000001</v>
      </c>
      <c r="E2" s="60">
        <f>food_insecure</f>
        <v>0.14000000000000001</v>
      </c>
      <c r="F2" s="60">
        <f>food_insecure</f>
        <v>0.14000000000000001</v>
      </c>
      <c r="G2" s="60">
        <f>food_insecure</f>
        <v>0.14000000000000001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0.14000000000000001</v>
      </c>
      <c r="F5" s="60">
        <f>food_insecure</f>
        <v>0.14000000000000001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0.14000000000000001</v>
      </c>
      <c r="F8" s="60">
        <f>food_insecure</f>
        <v>0.14000000000000001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0.14000000000000001</v>
      </c>
      <c r="F9" s="60">
        <f>food_insecure</f>
        <v>0.14000000000000001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0.14000000000000001</v>
      </c>
      <c r="I15" s="60">
        <f>food_insecure</f>
        <v>0.14000000000000001</v>
      </c>
      <c r="J15" s="60">
        <f>food_insecure</f>
        <v>0.14000000000000001</v>
      </c>
      <c r="K15" s="60">
        <f>food_insecure</f>
        <v>0.14000000000000001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0.47499999999999998</v>
      </c>
      <c r="M24" s="60">
        <f>famplan_unmet_need</f>
        <v>0.47499999999999998</v>
      </c>
      <c r="N24" s="60">
        <f>famplan_unmet_need</f>
        <v>0.47499999999999998</v>
      </c>
      <c r="O24" s="60">
        <f>famplan_unmet_need</f>
        <v>0.47499999999999998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7.3408483139038097E-2</v>
      </c>
      <c r="M25" s="60">
        <f>(1-food_insecure)*(0.49)+food_insecure*(0.7)</f>
        <v>0.51939999999999997</v>
      </c>
      <c r="N25" s="60">
        <f>(1-food_insecure)*(0.49)+food_insecure*(0.7)</f>
        <v>0.51939999999999997</v>
      </c>
      <c r="O25" s="60">
        <f>(1-food_insecure)*(0.49)+food_insecure*(0.7)</f>
        <v>0.51939999999999997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3.1460778488159181E-2</v>
      </c>
      <c r="M26" s="60">
        <f>(1-food_insecure)*(0.21)+food_insecure*(0.3)</f>
        <v>0.22259999999999999</v>
      </c>
      <c r="N26" s="60">
        <f>(1-food_insecure)*(0.21)+food_insecure*(0.3)</f>
        <v>0.22259999999999999</v>
      </c>
      <c r="O26" s="60">
        <f>(1-food_insecure)*(0.21)+food_insecure*(0.3)</f>
        <v>0.22259999999999999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3.6463975067138679E-2</v>
      </c>
      <c r="M27" s="60">
        <f>(1-food_insecure)*(0.3)</f>
        <v>0.25800000000000001</v>
      </c>
      <c r="N27" s="60">
        <f>(1-food_insecure)*(0.3)</f>
        <v>0.25800000000000001</v>
      </c>
      <c r="O27" s="60">
        <f>(1-food_insecure)*(0.3)</f>
        <v>0.25800000000000001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0.85866676330566405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PjOWtyhD9vus/iWqs/yC+N7pZP5AZ6reTpeC11QzeUGlcV2v3X8NPqpfk38/4uYHPTqiqC4WhDSdBfGwSO/mvg==" saltValue="8/t0K6ba8eXMG78U/oDKg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fFIxnjdgtI5d/+8liCyx5rufjdsg1f4rF77GipY59/BCJJ+ERhADn2HlqDKBPLvamS4OsPz1x7fbI2PWu+saIg==" saltValue="l/SqRlZ7XYxLVHHrBbNWz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nu/FdE7FlXyxD6GIWke+WAmGHvbnty9EBdl+bQqoFyCaNp77qal+5claGP2rc3TJANeMMtiz0JREicep4dowMg==" saltValue="m/G70wITIQ4AohAkeNeNX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EDlV5KzP7GClMwMT11pIYS4pWE5KxRqmjmKJQtTKoDBMcmcT+6ijhDr1z4/HlLboe5DpDaN4uZw3/WsSlIH/kA==" saltValue="2JxFe0ssigztvynOwl/ml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29k4qa03NVHbnaikpa0tq6Rq7GQScQSoqEqxS3ThRhNLyfK0AZYmkI6eeXF7di4SVxRNKMBiRldR94OG65KinA==" saltValue="BnV1+l46blynwiJyV6hes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110T/tOUsfk2EnZMmE7+dd0Ay+rvRs8HDY4hg/y+mf3jY5oOyDBNG+sOUbViyTWXeZqXhLOclYhW7oer1cA/ig==" saltValue="KGGkNhfIFulbsx8/aofwL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78</v>
      </c>
      <c r="C5" s="8" t="s">
        <v>150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149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74</v>
      </c>
      <c r="C8" s="8" t="s">
        <v>150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149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149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78</v>
      </c>
      <c r="C58" s="8" t="s">
        <v>150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149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74</v>
      </c>
      <c r="C61" s="8" t="s">
        <v>150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149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78</v>
      </c>
      <c r="C111" s="8" t="s">
        <v>150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149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74</v>
      </c>
      <c r="C114" s="8" t="s">
        <v>150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149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77</v>
      </c>
      <c r="C117" s="8" t="s">
        <v>150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149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75</v>
      </c>
      <c r="C120" s="8" t="s">
        <v>150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149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149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78</v>
      </c>
      <c r="C128" s="8" t="s">
        <v>150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149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74</v>
      </c>
      <c r="C131" s="8" t="s">
        <v>150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149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77</v>
      </c>
      <c r="C134" s="8" t="s">
        <v>150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149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75</v>
      </c>
      <c r="C137" s="8" t="s">
        <v>150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149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149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78</v>
      </c>
      <c r="C145" s="8" t="s">
        <v>150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149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74</v>
      </c>
      <c r="C148" s="8" t="s">
        <v>150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149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77</v>
      </c>
      <c r="C151" s="8" t="s">
        <v>150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149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75</v>
      </c>
      <c r="C154" s="8" t="s">
        <v>150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149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/ai/UywBRq75UQ4Le3ZQ/jc6CTFefRU42lZM1GItdDi0sSxV/h9yH+Bh/pKJ9CzdJguH6OnianmZU1U7hMupzw==" saltValue="igY2oaOw15tNMLT4E5m5kA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9bwO1FKqCt7GZgyY2xJGUoqFt4HZfWmBY50c9yKuJRPWMEO7TrqN+6qtbKetfLZPcmOocWFa/cVgMf/SetIp5w==" saltValue="obFd5l2+qwTC9u3eOMtBE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+2AWVwoMOoVcrqlHWg8p9DC5yGReZ+eHx06ZRo++y7kXr3jSwc/blX9bgBXLMDNiW4KRoPV0LZwAAEnKsLYIrA==" saltValue="BbGG0geGhrYoQdFgOxJMY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291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105</v>
      </c>
      <c r="B40" s="11" t="s">
        <v>298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288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293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105</v>
      </c>
      <c r="B63" s="11" t="s">
        <v>299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iLJV4wvUZwngLWh1wVPOmdRrjfIEnQ/ICobesLDAEa1pPSM+xyKzbdB09Zcj9tb1AVfWctis16y71tx1uoxBOA==" saltValue="4d/a+FxFd39wEzSJ6x7N6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ysmtSJ7hWAhxxtnZIbJf+sEvQZJ1nGst/q9xuwOwMPK5AiMTQrEu4Vxa5dy/CT3KPCDnAStpvX31Fio/P6E85g==" saltValue="Hg95qccGACfe9/sS1B75t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174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175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176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177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178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191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172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181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174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175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176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177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178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191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172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181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QUFK3NZGL1eryv3uVdq9x0ybxw1VE7nZiRoQokSXFooeJAxWVr14JUd659nVRkSPqqdehsc6xQBZosoJy8Hbww==" saltValue="dyHRdtN3oxAEw8AxqL4Ew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/3F48Swe3mEyI1e7DL5a5fT0ZuwrafaIUnMg+HdXQQ+KC5Is1wzTcfLuZv6cV5qcOa5vj3mSC+dHEXvv9H1PDA==" saltValue="eNw7/rYOz7n/qz9lWMnXV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338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338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K4FBYgcxh1413J/wjs38esGD2QNIOB/MVIc6yGfRQ+1yYQAmfpPOyB7A9S2yA/O+zt/O0CKYmdDTOsEb5jcC+w==" saltValue="o4vdxKZGuS9Gxz2WGG+OZ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4rvtzKZERevHaGBUp+9p9oFROa0Gf565yEXphzux8/xrdHAhO8m4PXWa1+4GL/OpZVKozC7LK30p1ls9TjndMQ==" saltValue="btKosXD7BWDWr8DiIkJ+BQ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2024-05-16T23:35:32Z</dcterms:modified>
</cp:coreProperties>
</file>