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C8730FC-88BE-464B-85E2-AEFE72D808F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A25" i="2"/>
  <c r="I6" i="2"/>
  <c r="I12" i="2"/>
  <c r="A35" i="2"/>
  <c r="A36" i="2"/>
  <c r="I7" i="2"/>
  <c r="I13" i="2"/>
  <c r="A37" i="2"/>
  <c r="I38" i="2"/>
  <c r="A19" i="2"/>
  <c r="A22" i="2"/>
  <c r="I3" i="2"/>
  <c r="I9" i="2"/>
  <c r="A23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<sst xmlns="http://schemas.openxmlformats.org/spreadsheetml/2006/main" count="2169" uniqueCount="373">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</sst>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113100739.5</v>
      </c>
    </row>
    <row r="8" spans="1:3" ht="15" customHeight="1" x14ac:dyDescent="0.25">
      <c r="B8" s="5" t="s">
        <v>63</v>
      </c>
      <c r="C8" s="44">
        <v>0.21199999999999999</v>
      </c>
    </row>
    <row r="9" spans="1:3" ht="15" customHeight="1" x14ac:dyDescent="0.25">
      <c r="B9" s="5" t="s">
        <v>62</v>
      </c>
      <c r="C9" s="45">
        <v>0.1323</v>
      </c>
    </row>
    <row r="10" spans="1:3" ht="15" customHeight="1" x14ac:dyDescent="0.25">
      <c r="B10" s="5" t="s">
        <v>75</v>
      </c>
      <c r="C10" s="45">
        <v>0.62193199157714796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</v>
      </c>
    </row>
    <row r="24" spans="1:3" ht="15" customHeight="1" x14ac:dyDescent="0.25">
      <c r="B24" s="15" t="s">
        <v>65</v>
      </c>
      <c r="C24" s="45">
        <v>0.6835</v>
      </c>
    </row>
    <row r="25" spans="1:3" ht="15" customHeight="1" x14ac:dyDescent="0.25">
      <c r="B25" s="15" t="s">
        <v>66</v>
      </c>
      <c r="C25" s="45">
        <v>0.1807</v>
      </c>
    </row>
    <row r="26" spans="1:3" ht="15" customHeight="1" x14ac:dyDescent="0.25">
      <c r="B26" s="15" t="s">
        <v>67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0.39483629874449699</v>
      </c>
    </row>
    <row r="30" spans="1:3" ht="14.25" customHeight="1" x14ac:dyDescent="0.25">
      <c r="B30" s="25" t="s">
        <v>82</v>
      </c>
      <c r="C30" s="97">
        <v>6.4915878276872702E-2</v>
      </c>
    </row>
    <row r="31" spans="1:3" ht="14.25" customHeight="1" x14ac:dyDescent="0.25">
      <c r="B31" s="25" t="s">
        <v>29</v>
      </c>
      <c r="C31" s="97">
        <v>0.100475847605401</v>
      </c>
    </row>
    <row r="32" spans="1:3" ht="14.25" customHeight="1" x14ac:dyDescent="0.25">
      <c r="B32" s="25" t="s">
        <v>30</v>
      </c>
      <c r="C32" s="97">
        <v>0.43977197537322998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19.11843</v>
      </c>
    </row>
    <row r="38" spans="1:5" ht="15" customHeight="1" x14ac:dyDescent="0.25">
      <c r="B38" s="11" t="s">
        <v>54</v>
      </c>
      <c r="C38" s="43">
        <v>25.487660000000002</v>
      </c>
      <c r="D38" s="12"/>
      <c r="E38" s="13"/>
    </row>
    <row r="39" spans="1:5" ht="15" customHeight="1" x14ac:dyDescent="0.25">
      <c r="B39" s="11" t="s">
        <v>80</v>
      </c>
      <c r="C39" s="43">
        <v>30.619209999999999</v>
      </c>
      <c r="D39" s="12"/>
      <c r="E39" s="12"/>
    </row>
    <row r="40" spans="1:5" ht="15" customHeight="1" x14ac:dyDescent="0.25">
      <c r="B40" s="11" t="s">
        <v>55</v>
      </c>
      <c r="C40" s="98">
        <v>1.03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78</v>
      </c>
      <c r="C47" s="45">
        <v>0.40419500000000003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2.08</v>
      </c>
      <c r="D51" s="12"/>
    </row>
    <row r="52" spans="1:4" ht="15" customHeight="1" x14ac:dyDescent="0.25">
      <c r="B52" s="11" t="s">
        <v>32</v>
      </c>
      <c r="C52" s="98">
        <v>2.08</v>
      </c>
    </row>
    <row r="53" spans="1:4" ht="15.75" customHeight="1" x14ac:dyDescent="0.25">
      <c r="B53" s="11" t="s">
        <v>35</v>
      </c>
      <c r="C53" s="98">
        <v>3.3279999999999998</v>
      </c>
    </row>
    <row r="54" spans="1:4" ht="15.75" customHeight="1" x14ac:dyDescent="0.25">
      <c r="B54" s="11" t="s">
        <v>33</v>
      </c>
      <c r="C54" s="98">
        <v>2.6</v>
      </c>
    </row>
    <row r="55" spans="1:4" ht="15.75" customHeight="1" x14ac:dyDescent="0.25">
      <c r="B55" s="11" t="s">
        <v>34</v>
      </c>
      <c r="C55" s="98">
        <v>1.412666666666667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0.45378299999999999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i1cGasdajlzw7OHzwBRBih0TcOrk2bOE3q8wFc6qXIAEpxUrKa9AgqR69YklU+B4Sj2qysNCeh17gcXQjHDJXg==" saltValue="G8j2DK7F38jSgsZ7CKJn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zjS49ivI6UbwD4s8QjV/OmVC2auIoIp90kRPGIVG/9tlvzoZk+y6YALpJYh8fA8HNLebJ+/V8n6hTpPU/mNIg==" saltValue="gkmCtUirhFSJW0DaGwWY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1.1802901180290121E-2</v>
      </c>
    </row>
    <row r="4" spans="1:8" ht="15.75" customHeight="1" x14ac:dyDescent="0.25">
      <c r="B4" s="19" t="s">
        <v>116</v>
      </c>
      <c r="C4" s="99">
        <v>4.7839204783920453E-2</v>
      </c>
    </row>
    <row r="5" spans="1:8" ht="15.75" customHeight="1" x14ac:dyDescent="0.25">
      <c r="B5" s="19" t="s">
        <v>114</v>
      </c>
      <c r="C5" s="99">
        <v>6.8903006890300683E-2</v>
      </c>
    </row>
    <row r="6" spans="1:8" ht="15.75" customHeight="1" x14ac:dyDescent="0.25">
      <c r="B6" s="19" t="s">
        <v>110</v>
      </c>
      <c r="C6" s="99">
        <v>0.2147846214784627</v>
      </c>
    </row>
    <row r="7" spans="1:8" ht="15.75" customHeight="1" x14ac:dyDescent="0.25">
      <c r="B7" s="19" t="s">
        <v>115</v>
      </c>
      <c r="C7" s="99">
        <v>0.3863576386357635</v>
      </c>
    </row>
    <row r="8" spans="1:8" ht="15.75" customHeight="1" x14ac:dyDescent="0.25">
      <c r="B8" s="19" t="s">
        <v>117</v>
      </c>
      <c r="C8" s="99">
        <v>1.4752001475200141E-3</v>
      </c>
    </row>
    <row r="9" spans="1:8" ht="15.75" customHeight="1" x14ac:dyDescent="0.25">
      <c r="B9" s="19" t="s">
        <v>111</v>
      </c>
      <c r="C9" s="99">
        <v>8.9832408983240783E-2</v>
      </c>
    </row>
    <row r="10" spans="1:8" ht="15.75" customHeight="1" x14ac:dyDescent="0.25">
      <c r="B10" s="19" t="s">
        <v>113</v>
      </c>
      <c r="C10" s="99">
        <v>0.17900501790050191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121</v>
      </c>
      <c r="C15" s="99">
        <v>0.230872333632888</v>
      </c>
      <c r="D15" s="99">
        <v>0.230872333632888</v>
      </c>
      <c r="E15" s="99">
        <v>0.230872333632888</v>
      </c>
      <c r="F15" s="99">
        <v>0.230872333632888</v>
      </c>
    </row>
    <row r="16" spans="1:8" ht="15.75" customHeight="1" x14ac:dyDescent="0.25">
      <c r="B16" s="19" t="s">
        <v>2</v>
      </c>
      <c r="C16" s="99">
        <v>3.8348142011340389E-2</v>
      </c>
      <c r="D16" s="99">
        <v>3.8348142011340389E-2</v>
      </c>
      <c r="E16" s="99">
        <v>3.8348142011340389E-2</v>
      </c>
      <c r="F16" s="99">
        <v>3.8348142011340389E-2</v>
      </c>
    </row>
    <row r="17" spans="1:8" ht="15.75" customHeight="1" x14ac:dyDescent="0.25">
      <c r="B17" s="19" t="s">
        <v>109</v>
      </c>
      <c r="C17" s="99">
        <v>3.5408397605315653E-2</v>
      </c>
      <c r="D17" s="99">
        <v>3.5408397605315653E-2</v>
      </c>
      <c r="E17" s="99">
        <v>3.5408397605315653E-2</v>
      </c>
      <c r="F17" s="99">
        <v>3.5408397605315653E-2</v>
      </c>
    </row>
    <row r="18" spans="1:8" ht="15.75" customHeight="1" x14ac:dyDescent="0.25">
      <c r="B18" s="19" t="s">
        <v>3</v>
      </c>
      <c r="C18" s="99">
        <v>7.1410678096298971E-3</v>
      </c>
      <c r="D18" s="99">
        <v>7.1410678096298971E-3</v>
      </c>
      <c r="E18" s="99">
        <v>7.1410678096298971E-3</v>
      </c>
      <c r="F18" s="99">
        <v>7.1410678096298971E-3</v>
      </c>
    </row>
    <row r="19" spans="1:8" ht="15.75" customHeight="1" x14ac:dyDescent="0.25">
      <c r="B19" s="19" t="s">
        <v>120</v>
      </c>
      <c r="C19" s="99">
        <v>2.6687220192693512E-2</v>
      </c>
      <c r="D19" s="99">
        <v>2.6687220192693512E-2</v>
      </c>
      <c r="E19" s="99">
        <v>2.6687220192693512E-2</v>
      </c>
      <c r="F19" s="99">
        <v>2.6687220192693512E-2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0.14546560647395049</v>
      </c>
      <c r="D21" s="99">
        <v>0.14546560647395049</v>
      </c>
      <c r="E21" s="99">
        <v>0.14546560647395049</v>
      </c>
      <c r="F21" s="99">
        <v>0.14546560647395049</v>
      </c>
    </row>
    <row r="22" spans="1:8" ht="15.75" customHeight="1" x14ac:dyDescent="0.25">
      <c r="B22" s="19" t="s">
        <v>118</v>
      </c>
      <c r="C22" s="99">
        <v>0.32471813177277092</v>
      </c>
      <c r="D22" s="99">
        <v>0.32471813177277092</v>
      </c>
      <c r="E22" s="99">
        <v>0.32471813177277092</v>
      </c>
      <c r="F22" s="99">
        <v>0.32471813177277092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3.4359752E-2</v>
      </c>
    </row>
    <row r="27" spans="1:8" ht="15.75" customHeight="1" x14ac:dyDescent="0.25">
      <c r="B27" s="19" t="s">
        <v>108</v>
      </c>
      <c r="C27" s="99">
        <v>1.0551130000000001E-3</v>
      </c>
    </row>
    <row r="28" spans="1:8" ht="15.75" customHeight="1" x14ac:dyDescent="0.25">
      <c r="B28" s="19" t="s">
        <v>122</v>
      </c>
      <c r="C28" s="99">
        <v>0.250608724</v>
      </c>
    </row>
    <row r="29" spans="1:8" ht="15.75" customHeight="1" x14ac:dyDescent="0.25">
      <c r="B29" s="19" t="s">
        <v>105</v>
      </c>
      <c r="C29" s="99">
        <v>9.0697442000000003E-2</v>
      </c>
    </row>
    <row r="30" spans="1:8" ht="15.75" customHeight="1" x14ac:dyDescent="0.25">
      <c r="B30" s="19" t="s">
        <v>4</v>
      </c>
      <c r="C30" s="99">
        <v>0.16739261999999999</v>
      </c>
    </row>
    <row r="31" spans="1:8" ht="15.75" customHeight="1" x14ac:dyDescent="0.25">
      <c r="B31" s="19" t="s">
        <v>99</v>
      </c>
      <c r="C31" s="99">
        <v>6.9589346999999982E-2</v>
      </c>
    </row>
    <row r="32" spans="1:8" ht="15.75" customHeight="1" x14ac:dyDescent="0.25">
      <c r="B32" s="19" t="s">
        <v>104</v>
      </c>
      <c r="C32" s="99">
        <v>1.8007848999999999E-2</v>
      </c>
    </row>
    <row r="33" spans="2:3" ht="15.75" customHeight="1" x14ac:dyDescent="0.25">
      <c r="B33" s="19" t="s">
        <v>119</v>
      </c>
      <c r="C33" s="99">
        <v>4.5114976999999987E-2</v>
      </c>
    </row>
    <row r="34" spans="2:3" ht="15.75" customHeight="1" x14ac:dyDescent="0.25">
      <c r="B34" s="19" t="s">
        <v>106</v>
      </c>
      <c r="C34" s="99">
        <v>0.32317417500000001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GH4Bev4K/DQ5275S8kVeQQK0w73QMOm56GR4Iw1fD/8iXeMq/5yyOxMxZSdJ+sIQViQgRjwmO1kFyL1pgzmsdQ==" saltValue="uOg5RligteHVplFeiYvC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129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125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126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RDicyC3KYu9HW9UIDUH9Cnm0c4XHuPY3x1k+QBpilFDc4UuLkTGssI7aX/YzKcqfyTBVBBpnhVmVmGZrZ9sJw==" saltValue="Fh6nLD6EzF3uVMqXPtZf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uwLMInMde2on2W/Ef9mE47kd2PycYZnInXvnqlLtPH7apJhikcwshBBI3Qzr9cm80Uw/I2gS1vnCLRqCalTZRw==" saltValue="rnl+Y4cl+p0Jr1aFOnXR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BQzCnaE6lB/VdJALxEC19GCYt+wyWioWxPT6wF6lC97EqIA0W4l57pdceC9DxZ2gL9ND8IyCOw/AP44v9u6JA==" saltValue="HLI5wcwZBFxddTAJFTZW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2410.8880207068901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0.56893000000000005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0.29924000000000001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2.3635785231880653E-2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96616.471839999998</v>
      </c>
      <c r="C22" s="107">
        <v>96347.135309999998</v>
      </c>
      <c r="D22" s="107">
        <v>96086.182459999996</v>
      </c>
      <c r="E22" s="107">
        <v>95684.075379999995</v>
      </c>
      <c r="F22" s="107">
        <v>95063.562330000001</v>
      </c>
      <c r="G22" s="107">
        <v>94353.994089999993</v>
      </c>
      <c r="H22" s="107">
        <v>93458.443530000004</v>
      </c>
      <c r="I22" s="107">
        <v>92275.410969999997</v>
      </c>
      <c r="J22" s="107">
        <v>90738.570909999995</v>
      </c>
      <c r="K22" s="107">
        <v>88590.875839999993</v>
      </c>
      <c r="L22" s="107">
        <v>85203.152830000006</v>
      </c>
      <c r="M22" s="107">
        <v>80325.686430000002</v>
      </c>
      <c r="N22" s="107">
        <v>73568.673049999998</v>
      </c>
      <c r="O22" s="107">
        <v>64391.779889999998</v>
      </c>
    </row>
  </sheetData>
  <sheetProtection algorithmName="SHA-512" hashValue="yIcOBAGnKbMZnGZ5eEQ+aISOwYg9fwQWnkacnqHmjJQn0Qgso8/iQX5cDq8EPH4mqqJpTe6AQl+V2s+n2w35fQ==" saltValue="OTsNFPv72jzUNnx7RQpBQ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ASN365ZwOxFphAj9EMk3RqNsrIZXYjtHA5VMKyw0cxDTtIyF6qTuCw9YVSKKFi+fZhqwnMGp0ZD8QYC1TXSIA==" saltValue="LUfQ5UPpe4OIAHeRp1s4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HjfC4lWFwsOuPqytxmgkzKGO3dAHDgFEDk2N+Tp/WFcAsoHAyPMNvkDtnXav+URl1DzvVNnLsvivmxMmmt3Ew==" saltValue="eI6n2SBjNR1o5JXGMhCc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14.302968270214945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14.302968270214945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1.5426821704772209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8.3433981576253854E-2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0.52523580000000003</v>
      </c>
      <c r="C10" s="96">
        <v>0.95</v>
      </c>
      <c r="D10" s="56">
        <v>12.664388720547789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12.664388720547789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12.664388720547789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12.664388720547789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0.52523580000000003</v>
      </c>
      <c r="C14" s="96">
        <v>0.95</v>
      </c>
      <c r="D14" s="56">
        <v>12.664388720547789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12.664388720547789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0.17549090000000001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2.6852323958333302E-3</v>
      </c>
      <c r="C17" s="96">
        <v>0.95</v>
      </c>
      <c r="D17" s="56">
        <v>5.9595701125895607E-2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0.56000000000000005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0.60997190000000001</v>
      </c>
      <c r="C19" s="96">
        <v>0.95</v>
      </c>
      <c r="D19" s="56">
        <v>4.0144932296368099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0.25387939999999998</v>
      </c>
      <c r="C23" s="96">
        <v>0.95</v>
      </c>
      <c r="D23" s="56">
        <v>4.0619684601961064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0.63353828607887197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21.89376196990424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0.60628720000000003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0.23551420000000001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127.53480040941659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0.54</v>
      </c>
      <c r="C32" s="96">
        <v>0.95</v>
      </c>
      <c r="D32" s="56">
        <v>8.3433981576253854E-2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0.76264790000000005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0.36646840000000003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6.6521999999999998E-2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0.44826470000000002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0.23499999999999999</v>
      </c>
      <c r="C38" s="96">
        <v>0.95</v>
      </c>
      <c r="D38" s="56">
        <v>0.7628249744114638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2ydrD3Rl+KBDdaA7JQ0UIYQfOhpLrkfHlnIqFbhEjXC6sAe0WFGEAmpolggnhBMjL/vZ4XAc3SpCDBH5aaRs9A==" saltValue="A9RJLgs1oRzBpL+i5od6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REQEXZCmZ4NzhPvLJBViMRpjagMI4BQdFPSZqTzsn41kkUZ50BO/6CbhZ+xfrHdHIRN/4+teyu72dwZv9YNXA==" saltValue="+sV5m5m3Mbe5TD9RfjUI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9TAjtiFPLuwkOxy208mbmjg3ihhdXe9MfFX8JlgaYzkE9D/oArnzNr/rocpfenhMRjZWqTwke7ocmlxFfuvpQ==" saltValue="hckULaaZd4IZY4OpC4F7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2.08</v>
      </c>
      <c r="C2" s="21">
        <f>'Entradas de población-año base'!C52</f>
        <v>2.08</v>
      </c>
      <c r="D2" s="21">
        <f>'Entradas de población-año base'!C53</f>
        <v>3.3279999999999998</v>
      </c>
      <c r="E2" s="21">
        <f>'Entradas de población-año base'!C54</f>
        <v>2.6</v>
      </c>
      <c r="F2" s="21">
        <f>'Entradas de población-año base'!C55</f>
        <v>1.412666666666667</v>
      </c>
    </row>
    <row r="3" spans="1:6" ht="15.75" customHeight="1" x14ac:dyDescent="0.25">
      <c r="A3" s="3" t="s">
        <v>6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236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9AXFK7Hkd+lB3phGMS5kcnM0LmOcedFm/SOaIOVb0yqamcLsG616GZH3CinjKGAQGxy6vHfDKqgg1pOFdJM3IA==" saltValue="HHbXmRminUavOtVqYbL8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gngyXNnc0zacbkeXO3rO/LdMzN6d9z2JCutrs+b3USifqpb8QcbDm9tO8m5oM3gQZu5cuLKlp3umQCJHLmpEA==" saltValue="8vxzwzlUAUqnYb5zeVD/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JFe7vOgTst6YFTdq3V7u1CT5gI0L7UggPMXf6K+d3dNIB/DJx5P2dVuwpXQ0J2P9j9bTKmU4nLb/qCMnaZVzQ==" saltValue="eOlh1DkA9ZIPbPTzciERI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KqAXAanskIIbPJ25TNtWX2G1qPy235B4Z0dJscNcggByFt6AF2SBt1MfyuOH+xmMJKZTd7enN7vZEgk398v4A==" saltValue="2K7b8f23kj+yDjyYaW3e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81FZmNAqY3HEV9z2itzpqgVQZb8VTvBkdKGMlUpAs3UcYLgHuJn1SvH4PVZSUJTF98qSIwLV4+Hg5w4KZ2BVg==" saltValue="ChEPKXyShJkNacFX9JGl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+9cwtLyQPKRNahchxQIy629IyyLYwC02fFHe3gxLvwEuSrWfVvXKOiwtBYrbLtNh2/KrGd2Oh2zwNc6WoLeMg==" saltValue="N1NVJvaCMK6w9K5wVe3Mw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DsVZO8GPwmuLLZ7hwV9W6uyIjJ60CH67K8wV4xPH003YDMWKEBBBtIK9kFgLRBg7/FXkOm0j9ycfkKJPQdS7Q==" saltValue="6iExJ/8eLSJpoYwgxU1n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g23JDB9mVGEuLZvUvJNSXIZDbxTMRSQEp32Ti30LMVBvhQOWHyRLa2nEsm971VD10vtisbQcOlb+YomYxb92A==" saltValue="kDdgvS1d2/UrHh7x9Fri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A+FPSupH6HhSUd4yDMFqEqd7dyPDOlizI8gV6Fw8o5VbxHn/yRygroQ2g8Ekkdw7He6mLWNChJkJSGqTpZwmw==" saltValue="q1ZpIitb/4Qp8xhal4QY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6uPkxRUAtHTJHEC7rfSDxuj1r8T/f6FBwUV1SHJvcYAtQpZPh38b4mON265jLTIAYsgST7f47/7ktRImsbwYg==" saltValue="PFosZ1cNw9U2nYgTZo9I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tumpInKYQUipjl9MGjBQXsHhbtjpG7OWdIbw+DZWcEVfdclq/3xnk9nXq+NOAUYFKPAtz0nrrDvm3OzIH14kQ==" saltValue="Kw9TYqH3cbekBwkicrBQ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kauugJE9UQ9eX4AQM4OCL9LFQ/TavjmhGpM8EDOeL0ITvzxGLhVSlUnTBaJeGULxDOnej5NT6Gr9m3kVi1xWA==" saltValue="GhJYmZmbFY03PfEmd6L9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+C/SyoqhCLWsmdl5ARDRZ/l4w71Wj7KiBcZZr0Nl4JFgmlgKhfz7TYDHF0bYy9vPsH74I0sbJRY6TwF7tXvAg==" saltValue="dGK8EBMyC+93EgXJIQEj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VpSPmgRISQ+nG1cQfK2BqzSgyAwAE+GrvCKyd8PekMCM3ksfaCpTAmFp0cvkxNkct8Lxj+8Ra4iE7rK4syGAA==" saltValue="5kYna7sldhw6OOYtp9U/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LMZ/5B5IyM6m6/eLy999a9r8ckG9EsAeDrUlFI+vbfyfEglJxjinyw9DmlYIEyPhIsvQuNP5a097cOKZA5lzg==" saltValue="sk6u5Jr3zs3IMH/Dhukt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PCD28YpKkb44LXAIgz+27l6kPJLAJCH3DzMy7/Lq2bGZ9/62g/37F5Flw6irIsQpHOSN3FSqYGxtrHc8PG8kw==" saltValue="TlgC3pnJJLThsisPNwqzy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