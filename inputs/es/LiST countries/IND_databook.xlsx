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DB2AA9A-63EC-480D-B033-20BD65F6629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1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I5" i="2" s="1"/>
  <c r="H4" i="2"/>
  <c r="G4" i="2"/>
  <c r="I4" i="2" s="1"/>
  <c r="H3" i="2"/>
  <c r="G3" i="2"/>
  <c r="I3" i="2" s="1"/>
  <c r="H2" i="2"/>
  <c r="G2" i="2"/>
  <c r="A2" i="2"/>
  <c r="A40" i="2" s="1"/>
  <c r="C33" i="1"/>
  <c r="C20" i="1"/>
  <c r="I2" i="2" l="1"/>
  <c r="I6" i="2"/>
  <c r="I10" i="2"/>
  <c r="A15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<sst xmlns="http://schemas.openxmlformats.org/spreadsheetml/2006/main" count="2101" uniqueCount="341">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</sst>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111855402</v>
      </c>
    </row>
    <row r="8" spans="1:3" ht="15" customHeight="1" x14ac:dyDescent="0.25">
      <c r="B8" s="5" t="s">
        <v>44</v>
      </c>
      <c r="C8" s="44">
        <v>0.21199999999999999</v>
      </c>
    </row>
    <row r="9" spans="1:3" ht="15" customHeight="1" x14ac:dyDescent="0.25">
      <c r="B9" s="5" t="s">
        <v>43</v>
      </c>
      <c r="C9" s="45">
        <v>0.1323</v>
      </c>
    </row>
    <row r="10" spans="1:3" ht="15" customHeight="1" x14ac:dyDescent="0.25">
      <c r="B10" s="5" t="s">
        <v>56</v>
      </c>
      <c r="C10" s="45">
        <v>0.62193199157714796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0.115</v>
      </c>
    </row>
    <row r="24" spans="1:3" ht="15" customHeight="1" x14ac:dyDescent="0.25">
      <c r="B24" s="15" t="s">
        <v>46</v>
      </c>
      <c r="C24" s="45">
        <v>0.6835</v>
      </c>
    </row>
    <row r="25" spans="1:3" ht="15" customHeight="1" x14ac:dyDescent="0.25">
      <c r="B25" s="15" t="s">
        <v>47</v>
      </c>
      <c r="C25" s="45">
        <v>0.1807</v>
      </c>
    </row>
    <row r="26" spans="1:3" ht="15" customHeight="1" x14ac:dyDescent="0.25">
      <c r="B26" s="15" t="s">
        <v>48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0.39483629874449699</v>
      </c>
    </row>
    <row r="30" spans="1:3" ht="14.25" customHeight="1" x14ac:dyDescent="0.25">
      <c r="B30" s="25" t="s">
        <v>63</v>
      </c>
      <c r="C30" s="99">
        <v>6.4915878276872702E-2</v>
      </c>
    </row>
    <row r="31" spans="1:3" ht="14.25" customHeight="1" x14ac:dyDescent="0.25">
      <c r="B31" s="25" t="s">
        <v>10</v>
      </c>
      <c r="C31" s="99">
        <v>0.100475847605401</v>
      </c>
    </row>
    <row r="32" spans="1:3" ht="14.25" customHeight="1" x14ac:dyDescent="0.25">
      <c r="B32" s="25" t="s">
        <v>11</v>
      </c>
      <c r="C32" s="99">
        <v>0.43977197537322998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19.11843</v>
      </c>
    </row>
    <row r="38" spans="1:5" ht="15" customHeight="1" x14ac:dyDescent="0.25">
      <c r="B38" s="11" t="s">
        <v>35</v>
      </c>
      <c r="C38" s="43">
        <v>25.487660000000002</v>
      </c>
      <c r="D38" s="12"/>
      <c r="E38" s="13"/>
    </row>
    <row r="39" spans="1:5" ht="15" customHeight="1" x14ac:dyDescent="0.25">
      <c r="B39" s="11" t="s">
        <v>61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1.8195699999999999E-2</v>
      </c>
      <c r="D45" s="12"/>
    </row>
    <row r="46" spans="1:5" ht="15.75" customHeight="1" x14ac:dyDescent="0.25">
      <c r="B46" s="11" t="s">
        <v>51</v>
      </c>
      <c r="C46" s="45">
        <v>0.1121805</v>
      </c>
      <c r="D46" s="12"/>
    </row>
    <row r="47" spans="1:5" ht="15.75" customHeight="1" x14ac:dyDescent="0.25">
      <c r="B47" s="11" t="s">
        <v>59</v>
      </c>
      <c r="C47" s="45">
        <v>0.40419500000000003</v>
      </c>
      <c r="D47" s="12"/>
      <c r="E47" s="13"/>
    </row>
    <row r="48" spans="1:5" ht="15" customHeight="1" x14ac:dyDescent="0.25">
      <c r="B48" s="11" t="s">
        <v>58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0.45378299999999999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iRsEgYmaFNzY0Ztx5hjVkvrgF0GablTPeG6LJSpb//ESPqIFsBoypXf2je2OFqm6w/Y3wU3BTfmE555KBIjUA==" saltValue="PLqSQvTMiKuByam+1fHn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Q1J6LeKgkH+IaNUxyYn/mDRX9uy95K4OrOLQF+R9J0BYkD3ReJpavmZxl8xm7NRUwfP0TvcA+aT8fEsMRD67A==" saltValue="k+VpdhGYEtcIAzfELOqr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1.1802901180290121E-2</v>
      </c>
    </row>
    <row r="4" spans="1:8" ht="15.75" customHeight="1" x14ac:dyDescent="0.25">
      <c r="B4" s="19" t="s">
        <v>97</v>
      </c>
      <c r="C4" s="101">
        <v>4.7839204783920453E-2</v>
      </c>
    </row>
    <row r="5" spans="1:8" ht="15.75" customHeight="1" x14ac:dyDescent="0.25">
      <c r="B5" s="19" t="s">
        <v>95</v>
      </c>
      <c r="C5" s="101">
        <v>6.8903006890300683E-2</v>
      </c>
    </row>
    <row r="6" spans="1:8" ht="15.75" customHeight="1" x14ac:dyDescent="0.25">
      <c r="B6" s="19" t="s">
        <v>91</v>
      </c>
      <c r="C6" s="101">
        <v>0.2147846214784627</v>
      </c>
    </row>
    <row r="7" spans="1:8" ht="15.75" customHeight="1" x14ac:dyDescent="0.25">
      <c r="B7" s="19" t="s">
        <v>96</v>
      </c>
      <c r="C7" s="101">
        <v>0.3863576386357635</v>
      </c>
    </row>
    <row r="8" spans="1:8" ht="15.75" customHeight="1" x14ac:dyDescent="0.25">
      <c r="B8" s="19" t="s">
        <v>98</v>
      </c>
      <c r="C8" s="101">
        <v>1.4752001475200141E-3</v>
      </c>
    </row>
    <row r="9" spans="1:8" ht="15.75" customHeight="1" x14ac:dyDescent="0.25">
      <c r="B9" s="19" t="s">
        <v>92</v>
      </c>
      <c r="C9" s="101">
        <v>8.9832408983240783E-2</v>
      </c>
    </row>
    <row r="10" spans="1:8" ht="15.75" customHeight="1" x14ac:dyDescent="0.25">
      <c r="B10" s="19" t="s">
        <v>94</v>
      </c>
      <c r="C10" s="101">
        <v>0.17900501790050191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102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2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90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3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101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99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3.4359752E-2</v>
      </c>
    </row>
    <row r="27" spans="1:8" ht="15.75" customHeight="1" x14ac:dyDescent="0.25">
      <c r="B27" s="19" t="s">
        <v>89</v>
      </c>
      <c r="C27" s="101">
        <v>1.0551130000000001E-3</v>
      </c>
    </row>
    <row r="28" spans="1:8" ht="15.75" customHeight="1" x14ac:dyDescent="0.25">
      <c r="B28" s="19" t="s">
        <v>103</v>
      </c>
      <c r="C28" s="101">
        <v>0.250608724</v>
      </c>
    </row>
    <row r="29" spans="1:8" ht="15.75" customHeight="1" x14ac:dyDescent="0.25">
      <c r="B29" s="19" t="s">
        <v>86</v>
      </c>
      <c r="C29" s="101">
        <v>9.0697442000000003E-2</v>
      </c>
    </row>
    <row r="30" spans="1:8" ht="15.75" customHeight="1" x14ac:dyDescent="0.25">
      <c r="B30" s="19" t="s">
        <v>4</v>
      </c>
      <c r="C30" s="101">
        <v>0.16739261999999999</v>
      </c>
    </row>
    <row r="31" spans="1:8" ht="15.75" customHeight="1" x14ac:dyDescent="0.25">
      <c r="B31" s="19" t="s">
        <v>80</v>
      </c>
      <c r="C31" s="101">
        <v>6.9589346999999982E-2</v>
      </c>
    </row>
    <row r="32" spans="1:8" ht="15.75" customHeight="1" x14ac:dyDescent="0.25">
      <c r="B32" s="19" t="s">
        <v>85</v>
      </c>
      <c r="C32" s="101">
        <v>1.8007848999999999E-2</v>
      </c>
    </row>
    <row r="33" spans="2:3" ht="15.75" customHeight="1" x14ac:dyDescent="0.25">
      <c r="B33" s="19" t="s">
        <v>100</v>
      </c>
      <c r="C33" s="101">
        <v>4.5114976999999987E-2</v>
      </c>
    </row>
    <row r="34" spans="2:3" ht="15.75" customHeight="1" x14ac:dyDescent="0.25">
      <c r="B34" s="19" t="s">
        <v>87</v>
      </c>
      <c r="C34" s="101">
        <v>0.32317417500000001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iTPVY/DJKud2i2EeGdltiUAcl8j9AAV5VynOs98Tf/ojRoYb94Ct6XoxWPmFJMai7YvtmAbjbKyi5l/rWIEltA==" saltValue="vpU13sy2gthDL2O8F67rL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110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106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107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119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gjmn/ZjrsuETzSFcIGNLmZYmXo3I3e6Wx73IlVkpjsPa0v9oKliSNvfvvoc+fDfCtUrW1dpVd2QFTN/K59Ryg==" saltValue="pe13HxnWweQE4aMEphrP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125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AzukFJqya+clUc8G9Ff/8ml3scQ6hOKRHTTlbVQMTo9r6pIrPZ/Rvb3Qn36w/5toYHmqaBQn1Zr++iyBPzg32Q==" saltValue="0ObtMVzqfpytGt18bza/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mInnIuBqHSCfy56BcCG/KDhc1BvCeU/DgUe2h2YL3JhsjZb4bE7/iN9APNx5gZgR9hnvqn/TBTZsyBoVjPtZQ==" saltValue="WL/VNw/zfQDa4baVcjlv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x5lsDuEqXBuPdSQ1F/RcDTj7RaMio0IB0S8w+z6VnhYLxI1KzTN8/TuOlNOhRvNjFtloaMmgimE8jrMRCM2T/Q==" saltValue="X96LQo2mU26UxItbVU/v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oSlgGcw72dYGFQLPwPmYiggzBBT+Im86gbP1Z3Tl9eeftjQzjANp684sorkbel/nuipu8XSRaGu/PngGo1p2w==" saltValue="N0ysvBA25LpiO6xsQFhfF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ik/eutIfoJEieXXpe7YGubFgeFbdM90uNo/vxKuR0w1THJh+jbC4bDJmm7zLCyyxGTLBAaiMuBU+SvoZPbQwNg==" saltValue="vterGV9g6Lkt+B3LLpAR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53.840370779395258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18.272400739448379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5.5316310965581978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1.549491731967531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1.5426821704772209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0.25</v>
      </c>
      <c r="C9" s="98">
        <v>0.95</v>
      </c>
      <c r="D9" s="56">
        <v>0.65135469420149339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0.52523580000000003</v>
      </c>
      <c r="C10" s="98">
        <v>0.95</v>
      </c>
      <c r="D10" s="56">
        <v>12.664388720547789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12.664388720547789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12.664388720547789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12.664388720547789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0.52523580000000003</v>
      </c>
      <c r="C14" s="98">
        <v>0.95</v>
      </c>
      <c r="D14" s="56">
        <v>12.664388720547789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12.664388720547789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0.17549090000000001</v>
      </c>
      <c r="C16" s="98">
        <v>0.95</v>
      </c>
      <c r="D16" s="56">
        <v>0.37115452044313663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2.6852323958333302E-3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0.56000000000000005</v>
      </c>
      <c r="C18" s="98">
        <v>0.95</v>
      </c>
      <c r="D18" s="56">
        <v>5.5316310965581978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0.60997190000000001</v>
      </c>
      <c r="C19" s="98">
        <v>0.95</v>
      </c>
      <c r="D19" s="56">
        <v>5.5316310965581978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0.25387939999999998</v>
      </c>
      <c r="C23" s="98">
        <v>0.95</v>
      </c>
      <c r="D23" s="56">
        <v>4.0619684601961064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0.63353828607887197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0.52523580000000003</v>
      </c>
      <c r="C26" s="98">
        <v>0.95</v>
      </c>
      <c r="D26" s="56">
        <v>8.7121114042606536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21.40464706262247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0.60628720000000003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0.23551420000000001</v>
      </c>
      <c r="C29" s="98">
        <v>0.95</v>
      </c>
      <c r="D29" s="56">
        <v>26.81689264396762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124.95507750751879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0.54</v>
      </c>
      <c r="C32" s="98">
        <v>0.95</v>
      </c>
      <c r="D32" s="56">
        <v>0.11570116278579159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0.76264790000000005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0.36646840000000003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6.6521999999999998E-2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0.44826470000000002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0.23499999999999999</v>
      </c>
      <c r="C38" s="98">
        <v>0.95</v>
      </c>
      <c r="D38" s="56">
        <v>4.8321970599589923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EzMoF7jbpZe/SWrTwWJFvNODuvcle8+tUFWrRLJVEx83hn19qEVHB4Vb4sYPdd4PCu1yBpmm9iqwY5AWpDehZA==" saltValue="9/v4XYFV82bPw9zdgjxb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fqgTFhti08OCU4hTf2nn7RaiHfGnD4O+F1SpHd2I3btyDtAFrlXb6hU9MiPGoaMf6fGEJ3GH/hCRU2KjOnhRg==" saltValue="TA0KenOFM+8E38ftszgA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LxNGY8f4PrXzn4S8oq28Rr+3OhUFO3bRLdMCqx5HGHPSnoG5Pe/l07pRy75usSqPn9ing3N9KPU4g1SISKZuDQ==" saltValue="kZ6QvQ1OOm6+fz8yv2bB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207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7Uh8aCaldVgoX74cKjMFmYl3OxwUuvRxuzI3fLEec71j4W6agysaIEfkO1cFtXZFJOykFAPLWRcy4efz7JWqIw==" saltValue="QNm/u8dTWYWPqJfosIchL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0VHYoyXcMbLJljpd9723C4qEBx2kZqNSrGPngxAu5J0g8Ou7rZ9O6NnZCPfnDgTiVe/qmAJzxbyKMSPdiqedQ==" saltValue="gSVKbgf6Q8FL8sR5nKLW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/+6TA6pOSJzi31IsqzH8VYYBrU8tUlIJAnIroUl55EcgVPLXhLyYZb+QJeRd90/SN9K1divKyWsB773eNV+jQ==" saltValue="4mrSSg9EGpH8TppMRanT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wxcR34BXDN1VZXnH7mskkrB+pGcvSdg5pe8v98lOqV6kvmGl+L7PxCuhIUDLx9zGGGJrRDXyVZ2pf8YsQP5+Q==" saltValue="U3YHI+JW1E6Cfxd6FAvF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gue1U1uDqENAqhnbMRk6/ehUqIHhCK9Hllbb2aKViUVZUdXNO3eft39itYuhiyyK632Zn5L8efxzdN73mGvbQ==" saltValue="KwMWVTmAHm7sE/0agXuW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Vb1Fs2E7d4uNeGZYWCCFCiEytzHS7OpqBUe4Gh1jPVhiBiWP9GA7JVgRXN0rZQL/CYZ7A7gWNB1YjFq3KdrWw==" saltValue="evLfWsml/glzzWl3k7+n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EwXYTEETuC+qzZH0FODP9CV4YWp6lTzCx11f7iSk68rd2q4HivRCiqRy+JMOqAAEMo5qj9rhtcKZN993/XTNw==" saltValue="Ly7MMeTEnYD8teTjXNPB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zK6m6oBiQ5GSksDiJsgrLPWfQIRWbDYLJ2tXguyGmY4AK62vc7ZhsFxmU+yif0P8FeRrA6JE88PsyQyAPOrDw==" saltValue="eKvZR9kzBkhQVQd6HSls3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++zGwHdFCfjAlC4j1IMvlq2WTNBH16hBXOSwM5yp+GsIHHg4wb8rd/h2sVChkPXyelUoeWuh/meT50bQ3LqGA==" saltValue="58EKqw99Znlb0g6zrnhg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Ln8wJWjzfeEQ/aP1CQ5BbK8rcu8fsOYilPwpwu6EFGQRRi2BUjkHFIOD94GZnsjKCjCajjFSBsJ06Bafgd4tw==" saltValue="YBvTXZFxXNR7agkm0eV8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/snWSEj354vd98/wQibNFQ4HfOuWxDaSrZLId5wwDBqp9cr2ye/ozIyjWs+f8ocR3f2DHzG7WU/ieZX+x/cxg==" saltValue="Kqpm9JSBVBGPZE6athXJ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C0tmoYY1wjjDd/7uJBHdWOt+URI9MIthe38g2NPPs5TYr8fUHyL1fCOgm7sxgTK6W+UAUp5RbFGF32iQtZRcw==" saltValue="BRRp71zfHwlIkwXlc7TJ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pye878CIIBWXXf/FcdvcGAFGhKKz7Icr8bnQ3YtSru/AVg1P67ijoQ5J4BmxQlFm5IG0SazNew4jXUfKYU9cQ==" saltValue="XuhxNUUGbQjKVKQUX3k4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GA75ktfYw+O1z3F9H3HvA+xFzdUGMvwnN7V3un2wylPNHF7HB4v+W4ehBJT30p6HrIqEhhOCCWX5kuCmDha1A==" saltValue="B9rFMLxXKJfqn3a3JJKD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0.10092932359651097</v>
      </c>
      <c r="G18" s="90">
        <f>MIN(MAX(1-0.89/(1-frac_sam_12_23months+(frac_sam_12_23months*0.89)),0),1)</f>
        <v>0.10212679498460497</v>
      </c>
      <c r="H18" s="90">
        <f>MIN(MAX(1-0.89/(1-frac_sam_24_59months+(frac_sam_24_59months*0.89)),0),1)</f>
        <v>0.10372320961830428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9.6635769596871812E-2</v>
      </c>
      <c r="G20" s="90">
        <f>MIN(MAX(1-0.89/(1-frac_mam_12_23months+(frac_mam_12_23months*0.89)),0),1)</f>
        <v>9.9067047992106194E-2</v>
      </c>
      <c r="H20" s="90">
        <f>MIN(MAX(1-0.89/(1-frac_mam_24_59months+(frac_mam_24_59months*0.89)),0),1)</f>
        <v>9.9564440805443688E-2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9.0911612039594747E-3</v>
      </c>
      <c r="G73" s="90">
        <f>MIN(MAX(1-0.99/(1-frac_sam_12_23months+(frac_sam_12_23months*0.99)),0),1)</f>
        <v>9.2101849634149691E-3</v>
      </c>
      <c r="H73" s="90">
        <f>MIN(MAX(1-0.99/(1-frac_sam_24_59months+(frac_sam_24_59months*0.99)),0),1)</f>
        <v>9.3693120005930997E-3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8.666760883378255E-3</v>
      </c>
      <c r="G75" s="90">
        <f>MIN(MAX(1-0.99/(1-frac_mam_12_23months+(frac_mam_12_23months*0.99)),0),1)</f>
        <v>8.9066307505107911E-3</v>
      </c>
      <c r="H75" s="90">
        <f>MIN(MAX(1-0.99/(1-frac_mam_24_59months+(frac_mam_24_59months*0.99)),0),1)</f>
        <v>8.9558487658336627E-3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0.18505094949408263</v>
      </c>
      <c r="G128" s="90">
        <f>MIN(MAX(1-0.8/(1-frac_sam_12_23months+(frac_sam_12_23months*0.8)),0),1)</f>
        <v>0.18703884651543401</v>
      </c>
      <c r="H128" s="90">
        <f>MIN(MAX(1-0.8/(1-frac_sam_24_59months+(frac_sam_24_59months*0.8)),0),1)</f>
        <v>0.18968217450895286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0.1778868836065608</v>
      </c>
      <c r="G130" s="90">
        <f>MIN(MAX(1-0.8/(1-frac_mam_12_23months+(frac_mam_12_23months*0.8)),0),1)</f>
        <v>0.18195064074227341</v>
      </c>
      <c r="H130" s="90">
        <f>MIN(MAX(1-0.8/(1-frac_mam_24_59months+(frac_mam_24_59months*0.8)),0),1)</f>
        <v>0.18277974731263757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KaUaQMgmCNUL5Kt/+kxSrMOF8RFvLZ/xq+IYt7DukU15S0ymVNQXCKSuO2P/glnZ5ezGJRVaWytR5Cw+xtLNw==" saltValue="SSKWYTSSdZTiUXh+uR/0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3rTyGj8U79nhRCk3PQeLZyLtEnKg0QELCTD0rs9VQ/yyp8d/KARtoYBFM1GRmvdiHA5GByb7gJcEnuyn9ABuA==" saltValue="BjYbBS71vObHkVhVByuyg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2024-08-06T07:45:13Z</dcterms:modified>
</cp:coreProperties>
</file>