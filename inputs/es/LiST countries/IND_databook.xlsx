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1E499972-0E2B-4730-9747-742754104DC2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<sst xmlns="http://schemas.openxmlformats.org/spreadsheetml/2006/main" count="2159" uniqueCount="372">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</sst>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113100739.5</v>
      </c>
    </row>
    <row r="8" spans="1:3" ht="15" customHeight="1" x14ac:dyDescent="0.25">
      <c r="B8" s="5" t="s">
        <v>63</v>
      </c>
      <c r="C8" s="44">
        <v>0.21199999999999999</v>
      </c>
    </row>
    <row r="9" spans="1:3" ht="15" customHeight="1" x14ac:dyDescent="0.25">
      <c r="B9" s="5" t="s">
        <v>62</v>
      </c>
      <c r="C9" s="45">
        <v>0.1323</v>
      </c>
    </row>
    <row r="10" spans="1:3" ht="15" customHeight="1" x14ac:dyDescent="0.25">
      <c r="B10" s="5" t="s">
        <v>75</v>
      </c>
      <c r="C10" s="45">
        <v>0.62193199157714796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</v>
      </c>
    </row>
    <row r="24" spans="1:3" ht="15" customHeight="1" x14ac:dyDescent="0.25">
      <c r="B24" s="15" t="s">
        <v>65</v>
      </c>
      <c r="C24" s="45">
        <v>0.6835</v>
      </c>
    </row>
    <row r="25" spans="1:3" ht="15" customHeight="1" x14ac:dyDescent="0.25">
      <c r="B25" s="15" t="s">
        <v>66</v>
      </c>
      <c r="C25" s="45">
        <v>0.1807</v>
      </c>
    </row>
    <row r="26" spans="1:3" ht="15" customHeight="1" x14ac:dyDescent="0.25">
      <c r="B26" s="15" t="s">
        <v>67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0.39483629874449699</v>
      </c>
    </row>
    <row r="30" spans="1:3" ht="14.25" customHeight="1" x14ac:dyDescent="0.25">
      <c r="B30" s="25" t="s">
        <v>82</v>
      </c>
      <c r="C30" s="99">
        <v>6.4915878276872702E-2</v>
      </c>
    </row>
    <row r="31" spans="1:3" ht="14.25" customHeight="1" x14ac:dyDescent="0.25">
      <c r="B31" s="25" t="s">
        <v>29</v>
      </c>
      <c r="C31" s="99">
        <v>0.100475847605401</v>
      </c>
    </row>
    <row r="32" spans="1:3" ht="14.25" customHeight="1" x14ac:dyDescent="0.25">
      <c r="B32" s="25" t="s">
        <v>30</v>
      </c>
      <c r="C32" s="99">
        <v>0.43977197537322998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19.11843</v>
      </c>
    </row>
    <row r="38" spans="1:5" ht="15" customHeight="1" x14ac:dyDescent="0.25">
      <c r="B38" s="11" t="s">
        <v>54</v>
      </c>
      <c r="C38" s="43">
        <v>25.487660000000002</v>
      </c>
      <c r="D38" s="12"/>
      <c r="E38" s="13"/>
    </row>
    <row r="39" spans="1:5" ht="15" customHeight="1" x14ac:dyDescent="0.25">
      <c r="B39" s="11" t="s">
        <v>80</v>
      </c>
      <c r="C39" s="43">
        <v>30.619209999999999</v>
      </c>
      <c r="D39" s="12"/>
      <c r="E39" s="12"/>
    </row>
    <row r="40" spans="1:5" ht="15" customHeight="1" x14ac:dyDescent="0.25">
      <c r="B40" s="11" t="s">
        <v>55</v>
      </c>
      <c r="C40" s="100">
        <v>1.03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1.8195699999999999E-2</v>
      </c>
      <c r="D45" s="12"/>
    </row>
    <row r="46" spans="1:5" ht="15.75" customHeight="1" x14ac:dyDescent="0.25">
      <c r="B46" s="11" t="s">
        <v>70</v>
      </c>
      <c r="C46" s="45">
        <v>0.1121805</v>
      </c>
      <c r="D46" s="12"/>
    </row>
    <row r="47" spans="1:5" ht="15.75" customHeight="1" x14ac:dyDescent="0.25">
      <c r="B47" s="11" t="s">
        <v>78</v>
      </c>
      <c r="C47" s="45">
        <v>0.40419500000000003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2.08</v>
      </c>
      <c r="D51" s="12"/>
    </row>
    <row r="52" spans="1:4" ht="15" customHeight="1" x14ac:dyDescent="0.25">
      <c r="B52" s="11" t="s">
        <v>32</v>
      </c>
      <c r="C52" s="100">
        <v>2.08</v>
      </c>
    </row>
    <row r="53" spans="1:4" ht="15.75" customHeight="1" x14ac:dyDescent="0.25">
      <c r="B53" s="11" t="s">
        <v>35</v>
      </c>
      <c r="C53" s="100">
        <v>3.3279999999999998</v>
      </c>
    </row>
    <row r="54" spans="1:4" ht="15.75" customHeight="1" x14ac:dyDescent="0.25">
      <c r="B54" s="11" t="s">
        <v>33</v>
      </c>
      <c r="C54" s="100">
        <v>2.6</v>
      </c>
    </row>
    <row r="55" spans="1:4" ht="15.75" customHeight="1" x14ac:dyDescent="0.25">
      <c r="B55" s="11" t="s">
        <v>34</v>
      </c>
      <c r="C55" s="100">
        <v>1.412666666666667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0.45378299999999999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cnZaqZPBeQVjDZ8VpsmWxMRN4dvWY81I7vS1y2SjGQG4sFghBcfOrruCFojXJNDZvxGGE7TUhZjNgD/wpOLWNg==" saltValue="m+m9K1ulcMWSglrZxsUn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C8UKl1mci90kt738EltqUnYVTQIsWCIn/dCma1H7N2KvvJDOX/tj0izrgJsMMeEGYM8wVU6uBXiO5+sQCpo8Q==" saltValue="pyq/EDS/6LPB5ZU2t6Cq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1.1802901180290121E-2</v>
      </c>
    </row>
    <row r="4" spans="1:8" ht="15.75" customHeight="1" x14ac:dyDescent="0.25">
      <c r="B4" s="19" t="s">
        <v>116</v>
      </c>
      <c r="C4" s="101">
        <v>4.7839204783920453E-2</v>
      </c>
    </row>
    <row r="5" spans="1:8" ht="15.75" customHeight="1" x14ac:dyDescent="0.25">
      <c r="B5" s="19" t="s">
        <v>114</v>
      </c>
      <c r="C5" s="101">
        <v>6.8903006890300683E-2</v>
      </c>
    </row>
    <row r="6" spans="1:8" ht="15.75" customHeight="1" x14ac:dyDescent="0.25">
      <c r="B6" s="19" t="s">
        <v>110</v>
      </c>
      <c r="C6" s="101">
        <v>0.2147846214784627</v>
      </c>
    </row>
    <row r="7" spans="1:8" ht="15.75" customHeight="1" x14ac:dyDescent="0.25">
      <c r="B7" s="19" t="s">
        <v>115</v>
      </c>
      <c r="C7" s="101">
        <v>0.3863576386357635</v>
      </c>
    </row>
    <row r="8" spans="1:8" ht="15.75" customHeight="1" x14ac:dyDescent="0.25">
      <c r="B8" s="19" t="s">
        <v>117</v>
      </c>
      <c r="C8" s="101">
        <v>1.4752001475200141E-3</v>
      </c>
    </row>
    <row r="9" spans="1:8" ht="15.75" customHeight="1" x14ac:dyDescent="0.25">
      <c r="B9" s="19" t="s">
        <v>111</v>
      </c>
      <c r="C9" s="101">
        <v>8.9832408983240783E-2</v>
      </c>
    </row>
    <row r="10" spans="1:8" ht="15.75" customHeight="1" x14ac:dyDescent="0.25">
      <c r="B10" s="19" t="s">
        <v>113</v>
      </c>
      <c r="C10" s="101">
        <v>0.17900501790050191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121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2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109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3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120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118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3.4359752E-2</v>
      </c>
    </row>
    <row r="27" spans="1:8" ht="15.75" customHeight="1" x14ac:dyDescent="0.25">
      <c r="B27" s="19" t="s">
        <v>108</v>
      </c>
      <c r="C27" s="101">
        <v>1.0551130000000001E-3</v>
      </c>
    </row>
    <row r="28" spans="1:8" ht="15.75" customHeight="1" x14ac:dyDescent="0.25">
      <c r="B28" s="19" t="s">
        <v>122</v>
      </c>
      <c r="C28" s="101">
        <v>0.250608724</v>
      </c>
    </row>
    <row r="29" spans="1:8" ht="15.75" customHeight="1" x14ac:dyDescent="0.25">
      <c r="B29" s="19" t="s">
        <v>105</v>
      </c>
      <c r="C29" s="101">
        <v>9.0697442000000003E-2</v>
      </c>
    </row>
    <row r="30" spans="1:8" ht="15.75" customHeight="1" x14ac:dyDescent="0.25">
      <c r="B30" s="19" t="s">
        <v>4</v>
      </c>
      <c r="C30" s="101">
        <v>0.16739261999999999</v>
      </c>
    </row>
    <row r="31" spans="1:8" ht="15.75" customHeight="1" x14ac:dyDescent="0.25">
      <c r="B31" s="19" t="s">
        <v>99</v>
      </c>
      <c r="C31" s="101">
        <v>6.9589346999999982E-2</v>
      </c>
    </row>
    <row r="32" spans="1:8" ht="15.75" customHeight="1" x14ac:dyDescent="0.25">
      <c r="B32" s="19" t="s">
        <v>104</v>
      </c>
      <c r="C32" s="101">
        <v>1.8007848999999999E-2</v>
      </c>
    </row>
    <row r="33" spans="2:3" ht="15.75" customHeight="1" x14ac:dyDescent="0.25">
      <c r="B33" s="19" t="s">
        <v>119</v>
      </c>
      <c r="C33" s="101">
        <v>4.5114976999999987E-2</v>
      </c>
    </row>
    <row r="34" spans="2:3" ht="15.75" customHeight="1" x14ac:dyDescent="0.25">
      <c r="B34" s="19" t="s">
        <v>106</v>
      </c>
      <c r="C34" s="101">
        <v>0.32317417500000001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2Da1CzV/VH5jF6YA64JbeLpBlimdOh84E80t8efH3buU3dJrF3Bwc3TCzXB5dh8X4Ia6rKbyw7a+CmRPIOEM6A==" saltValue="ejbKu7T7VLpJajDWwLfC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129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125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126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138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97xYvPF7XC7Lv/QOAK1ijjGmn25e+XXj2Mc6X/ZMEcr57ksimknpOzz9XaS8SAkFYHdqpEUZPgcgjzvtTMqcg==" saltValue="4l+d1fgjO+fYqDzW6PgJ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s2VMYrxHF9SePY8lRsA69PhzranHmc6Mx28dyoa1e6MLaOc7Kc6KgZY8mqbQb6RPUruYSeco7SQ9jKMCysvRfg==" saltValue="e6FADyrtIaCHWlbKyJEJ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oVpShho7VOvimXH1d1SusiV1QATKh9L7XKcwGhwl9thPfEIWeAaRB5dCx01blfv3vdM1s+aemmT5uxIINfHMg==" saltValue="V7bK5tz9sV0hxp65zjYd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2410.8880207068901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0.56893000000000005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0.29924000000000001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2.3635785231880653E-2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96616.471839999998</v>
      </c>
      <c r="C22" s="109">
        <v>96347.135309999998</v>
      </c>
      <c r="D22" s="109">
        <v>96086.182459999996</v>
      </c>
      <c r="E22" s="109">
        <v>95684.075379999995</v>
      </c>
      <c r="F22" s="109">
        <v>95063.562330000001</v>
      </c>
      <c r="G22" s="109">
        <v>94353.994089999993</v>
      </c>
      <c r="H22" s="109">
        <v>93458.443530000004</v>
      </c>
      <c r="I22" s="109">
        <v>92275.410969999997</v>
      </c>
      <c r="J22" s="109">
        <v>90738.570909999995</v>
      </c>
      <c r="K22" s="109">
        <v>88590.875839999993</v>
      </c>
      <c r="L22" s="109">
        <v>85203.152830000006</v>
      </c>
      <c r="M22" s="109">
        <v>80325.686430000002</v>
      </c>
      <c r="N22" s="109">
        <v>73568.673049999998</v>
      </c>
      <c r="O22" s="109">
        <v>64391.779889999998</v>
      </c>
    </row>
  </sheetData>
  <sheetProtection algorithmName="SHA-512" hashValue="YcT0WwCIpzsX+nj3REociKroXpaLOUa7jnl+1hO9sAyAZi6fA+vmxA0WZeKY/z8aTn0uV5SS29zV5Yn+g8Vlow==" saltValue="6y3wG5l1Wmg9EYE6YWGg4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k/jdOmR1QH5POBQn1ezRkh2HAgAoqfAUgTem3tsHtTnomqLhsOA1jR1YAwqO1/ePJIv5wUDh+tQHPXQxWCumQ==" saltValue="pEUME/FUZ5Fd8nE7L+4G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IvhPnuGiDO8s1Gn8an7WnXFMqsECFzYZI/G9yMGrRYX9IkpM2ZtT0YPG4M8RJcqVBV+d0T8QtX2aw7CjcE9pA==" saltValue="88OOnN1ruKPgY/SKv81k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14.302968270214945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14.302968270214945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1.5426821704772209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8.3433981576253854E-2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0.52523580000000003</v>
      </c>
      <c r="C10" s="98">
        <v>0.95</v>
      </c>
      <c r="D10" s="56">
        <v>12.664388720547789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12.664388720547789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12.664388720547789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12.664388720547789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0.52523580000000003</v>
      </c>
      <c r="C14" s="98">
        <v>0.95</v>
      </c>
      <c r="D14" s="56">
        <v>12.664388720547789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12.664388720547789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0.17549090000000001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2.6852323958333302E-3</v>
      </c>
      <c r="C17" s="98">
        <v>0.95</v>
      </c>
      <c r="D17" s="56">
        <v>5.9595701125895607E-2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0.56000000000000005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0.60997190000000001</v>
      </c>
      <c r="C19" s="98">
        <v>0.95</v>
      </c>
      <c r="D19" s="56">
        <v>4.0144932296368099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0.25387939999999998</v>
      </c>
      <c r="C23" s="98">
        <v>0.95</v>
      </c>
      <c r="D23" s="56">
        <v>4.0619684601961064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0.63353828607887197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21.89376196990424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0.60628720000000003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0.23551420000000001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127.53480040941659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0.54</v>
      </c>
      <c r="C32" s="98">
        <v>0.95</v>
      </c>
      <c r="D32" s="56">
        <v>8.3433981576253854E-2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0.76264790000000005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0.36646840000000003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6.6521999999999998E-2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0.44826470000000002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0.23499999999999999</v>
      </c>
      <c r="C38" s="98">
        <v>0.95</v>
      </c>
      <c r="D38" s="56">
        <v>0.7628249744114638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Dbd0xAz8CYS1PvA5aH5e9dq03cgTDN1f3Pn8r6T6DjrsI1QuOVMqnV9uvzwjfpaEVLrkY3qxhfsCEN1D0nqg+Q==" saltValue="0co2wOJJBLhMZSSX/GM7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9WS+6SS5HP+43mFmQxQSDjbklyFIhALeZmh7AVq8KPf8XesE1Z6Ba5gobhF0EHa0x4X+7nLpIbCixokKBF0dA==" saltValue="9554XMEmQ+8f41E2mCRy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VZhSFmgnxdkzJDvIkmsZ0lo72U7OhuY33Z06SgYeXndZrmOR4KlS1VmQfFGy5lFYp1N5Z/vrcvYeD7mLKw2dw==" saltValue="DQCTf+mYtmnO3qbUqEO4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2.08</v>
      </c>
      <c r="C2" s="21">
        <f>'Entradas de población-año base'!C52</f>
        <v>2.08</v>
      </c>
      <c r="D2" s="21">
        <f>'Entradas de población-año base'!C53</f>
        <v>3.3279999999999998</v>
      </c>
      <c r="E2" s="21">
        <f>'Entradas de población-año base'!C54</f>
        <v>2.6</v>
      </c>
      <c r="F2" s="21">
        <f>'Entradas de población-año base'!C55</f>
        <v>1.412666666666667</v>
      </c>
    </row>
    <row r="3" spans="1:6" ht="15.75" customHeight="1" x14ac:dyDescent="0.25">
      <c r="A3" s="3" t="s">
        <v>6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236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UhQ+Lcw/5TqOaCMUXtuy0NZHFET0qIjBKoPlKgeKizPgO3iuXQsaoE2wbpawAqv6W5gkEOY6sGfOuXqznh5lww==" saltValue="EclnjySYFxGmjanpyn6F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EAu0cwXKB96Zdq16mmPwo3pJ+fSSsn5bpXW+rVFl1zE4eM6jYo590BDEpG1epndCcGqSwa+3bWbMsK7uCYZrA==" saltValue="MBylMajyZ+lbUXGlLDpd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AOc5Fi0lzS/tY1KDddeD+B0H1fwoFRDCqTcl7ln2cU2R/1z0aGWcs8fSpJXi1lmATUwz4fbSYZhS569TwwvJA==" saltValue="D+1MfTh9qlwdWbVIHgU87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4wrdbm2oOlgOjWkVDi+hY7I2HP7GfQNaUngbFN0GmTvQ7zHh8u6XjCD5OcCd87quJf46QeEj9GgL1J9D5StmA==" saltValue="NVi56ubMSrmsyNiDJhu/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W1/pp1vmIJFDrGF4EOjTmUmyo1GCFlcOqKchfVbVZZnllcu8gW3cC8ugfcvAVrH22ihlz2TBiGUjDhmTu8/UA==" saltValue="fQbSru8lb/yslrzcvu8b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YIZmS1brRcIM3GVbwOeAAIb7V/vT2taWK53Pja5h2uxOVgwQdKC9d6v46HcVc1+YJk664GOqrYPAIZ6PHlNFg==" saltValue="IUm6dYdPAaazuPvG1fKK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0ByLAE/Ts+nB0Kz1RevXdeiZM2QebQ81viy1lSknL0AKLP7RbG8z0QMsdLmDCwOrqGpQMc6dvLh3GMbOAAdng==" saltValue="PhTGpJCjwVg8yNHw1Qa75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P1Wh5ZClq3Znc6BRrm/sl/GnLgfob5b9b2QzqBarBt27TkdITOC3+OWNKi0LOsq1kA6bHFMV5LsRvWkmCJcrA==" saltValue="62lEKt4xzxomB47WcKuMA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vyCEDE/EqqwEOHFlBfwFgT3c5Gi/at82v4qa9qbhjI57WQFy4pMDXrRqGlkiqQBrB98GTpL+jp9iNo7Ug+WXA==" saltValue="IjrfgDtnVZZeXN0iBoZ4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ma0PVWBtIslEF4oFM4a5biacAkKHDIdLPX602Du7nDGwgDdGxgpwsQd3zwHvC47IoE7DUbexM6bMQXH0sLe3A==" saltValue="pdg5zD4iTnvsoSAq2yu5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RNSPqhO2gpGYUqlaJqLIcWi/R/D0RUOJTwwr4o6hpNXua/v1I8pvP7roJx/Op65TQl7r2LyK8NDz6QPwt0dPQ==" saltValue="zTQZUXwUovgNM1Eak/8G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UlZPGcHpGA/SZFrGstN4qAgaZFAtfZ4djyDF9J9K0/ZwcnPaj+4bmB4wIpn6hj8DOkWh/uKoNixs3e0oo7L7Q==" saltValue="AJDVDJqlanni8lmSYwNA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yS/hfqLu6QZz27PRMCvIQvq5SmS+F2e9ZjBDp9i/bXnqw2Axk3AE435LD8wRr9PNZL7IpPS3CIzi2jlUCF4CQ==" saltValue="KXOpPv+tG9+hpuXQhZx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dfXFTTjlEXF8RX2xv1O3sfODmLThVcP5XtuBFntMfdHAiIxOdGLliWpScGkfgt/EJ5SipcBbiMFR7mr73dHew==" saltValue="crFAf5f20voiFYBTADon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aECsFAZ2a0GKhM8lwcGjBrgAzTH3rEsZoHnshDaeLTnXGmBwHPGCduRUJ8FXV6wKra4bbJOGTOMjtBTL4DX/g==" saltValue="EuKmpHyHu5IFlAY/uHE9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5+hgTxxn1PuiMU68VgI0hzem5JtAKCK1nPWQgPCs6PUxW7FDunbUcCXyx826pW9ssqY+x98TledieC5u6DdtA==" saltValue="WdZLhCRwLmgVc5/+jHc9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