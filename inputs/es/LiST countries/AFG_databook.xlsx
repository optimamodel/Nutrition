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7C80BF14-8D7E-42E5-AFFE-8367994896E9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6" i="2" l="1"/>
  <c r="I39" i="2"/>
  <c r="A31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<sst xmlns="http://schemas.openxmlformats.org/spreadsheetml/2006/main" count="2169" uniqueCount="373">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</sst>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6897832.5</v>
      </c>
    </row>
    <row r="8" spans="1:3" ht="15" customHeight="1" x14ac:dyDescent="0.25">
      <c r="B8" s="5" t="s">
        <v>63</v>
      </c>
      <c r="C8" s="44">
        <v>0.54500000000000004</v>
      </c>
    </row>
    <row r="9" spans="1:3" ht="15" customHeight="1" x14ac:dyDescent="0.25">
      <c r="B9" s="5" t="s">
        <v>62</v>
      </c>
      <c r="C9" s="45">
        <v>3.2400000000000012E-2</v>
      </c>
    </row>
    <row r="10" spans="1:3" ht="15" customHeight="1" x14ac:dyDescent="0.25">
      <c r="B10" s="5" t="s">
        <v>75</v>
      </c>
      <c r="C10" s="45">
        <v>0.36695270000000002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0.24465346500792601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8.48E-2</v>
      </c>
    </row>
    <row r="24" spans="1:3" ht="15" customHeight="1" x14ac:dyDescent="0.25">
      <c r="B24" s="15" t="s">
        <v>65</v>
      </c>
      <c r="C24" s="45">
        <v>0.49769999999999998</v>
      </c>
    </row>
    <row r="25" spans="1:3" ht="15" customHeight="1" x14ac:dyDescent="0.25">
      <c r="B25" s="15" t="s">
        <v>66</v>
      </c>
      <c r="C25" s="45">
        <v>0.3468</v>
      </c>
    </row>
    <row r="26" spans="1:3" ht="15" customHeight="1" x14ac:dyDescent="0.25">
      <c r="B26" s="15" t="s">
        <v>67</v>
      </c>
      <c r="C26" s="45">
        <v>7.0699999999999999E-2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0.19234081473040299</v>
      </c>
    </row>
    <row r="30" spans="1:3" ht="14.25" customHeight="1" x14ac:dyDescent="0.25">
      <c r="B30" s="25" t="s">
        <v>82</v>
      </c>
      <c r="C30" s="97">
        <v>9.4472202810495898E-2</v>
      </c>
    </row>
    <row r="31" spans="1:3" ht="14.25" customHeight="1" x14ac:dyDescent="0.25">
      <c r="B31" s="25" t="s">
        <v>29</v>
      </c>
      <c r="C31" s="97">
        <v>0.16743043577463701</v>
      </c>
    </row>
    <row r="32" spans="1:3" ht="14.25" customHeight="1" x14ac:dyDescent="0.25">
      <c r="B32" s="25" t="s">
        <v>30</v>
      </c>
      <c r="C32" s="97">
        <v>0.54575654668446394</v>
      </c>
    </row>
    <row r="33" spans="1:5" ht="13.25" customHeight="1" x14ac:dyDescent="0.25">
      <c r="B33" s="27" t="s">
        <v>79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34.087879999999998</v>
      </c>
    </row>
    <row r="38" spans="1:5" ht="15" customHeight="1" x14ac:dyDescent="0.25">
      <c r="B38" s="11" t="s">
        <v>54</v>
      </c>
      <c r="C38" s="43">
        <v>43.391629999999999</v>
      </c>
      <c r="D38" s="12"/>
      <c r="E38" s="13"/>
    </row>
    <row r="39" spans="1:5" ht="15" customHeight="1" x14ac:dyDescent="0.25">
      <c r="B39" s="11" t="s">
        <v>80</v>
      </c>
      <c r="C39" s="43">
        <v>55.65748</v>
      </c>
      <c r="D39" s="12"/>
      <c r="E39" s="12"/>
    </row>
    <row r="40" spans="1:5" ht="15" customHeight="1" x14ac:dyDescent="0.25">
      <c r="B40" s="11" t="s">
        <v>55</v>
      </c>
      <c r="C40" s="98">
        <v>6.2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25.68103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1.77188E-2</v>
      </c>
      <c r="D45" s="12"/>
    </row>
    <row r="46" spans="1:5" ht="15.75" customHeight="1" x14ac:dyDescent="0.25">
      <c r="B46" s="11" t="s">
        <v>70</v>
      </c>
      <c r="C46" s="45">
        <v>0.1052503</v>
      </c>
      <c r="D46" s="12"/>
    </row>
    <row r="47" spans="1:5" ht="15.75" customHeight="1" x14ac:dyDescent="0.25">
      <c r="B47" s="11" t="s">
        <v>78</v>
      </c>
      <c r="C47" s="45">
        <v>0.40861540000000002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5.4080000000000004</v>
      </c>
      <c r="D51" s="12"/>
    </row>
    <row r="52" spans="1:4" ht="15" customHeight="1" x14ac:dyDescent="0.25">
      <c r="B52" s="11" t="s">
        <v>32</v>
      </c>
      <c r="C52" s="98">
        <v>5.4080000000000004</v>
      </c>
    </row>
    <row r="53" spans="1:4" ht="15.75" customHeight="1" x14ac:dyDescent="0.25">
      <c r="B53" s="11" t="s">
        <v>35</v>
      </c>
      <c r="C53" s="98">
        <v>8.9960000000000004</v>
      </c>
    </row>
    <row r="54" spans="1:4" ht="15.75" customHeight="1" x14ac:dyDescent="0.25">
      <c r="B54" s="11" t="s">
        <v>33</v>
      </c>
      <c r="C54" s="98">
        <v>9.8539999999999992</v>
      </c>
    </row>
    <row r="55" spans="1:4" ht="15.75" customHeight="1" x14ac:dyDescent="0.25">
      <c r="B55" s="11" t="s">
        <v>34</v>
      </c>
      <c r="C55" s="98">
        <v>6.7773333333333339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2.1363636363636359E-2</v>
      </c>
    </row>
    <row r="59" spans="1:4" ht="15.75" customHeight="1" x14ac:dyDescent="0.25">
      <c r="B59" s="11" t="s">
        <v>59</v>
      </c>
      <c r="C59" s="45">
        <v>0.48581400000000002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2xl33RH9+oPthTdlV/CIhLJnCv53Yto7OoSAlHbvqXCGBIZBih5Txtu6g4BrRNSxlPTGX9iTG/b218vO87BHKg==" saltValue="yGXCjGS/GuujvZV5Lzsg5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1492956</v>
      </c>
      <c r="C2" s="49">
        <v>2326734.5</v>
      </c>
      <c r="D2" s="49">
        <v>3863890.5</v>
      </c>
      <c r="E2" s="49">
        <v>2481050.5000000005</v>
      </c>
      <c r="F2" s="49">
        <v>1553000</v>
      </c>
      <c r="G2" s="17">
        <f t="shared" ref="G2:G13" si="0">C2+D2+E2+F2</f>
        <v>10224675.5</v>
      </c>
      <c r="H2" s="17">
        <f t="shared" ref="H2:H13" si="1">(B2 + stillbirth*B2/(1000-stillbirth))/(1-abortion)</f>
        <v>1741258.2135098008</v>
      </c>
      <c r="I2" s="17">
        <f t="shared" ref="I2:I13" si="2">G2-H2</f>
        <v>8483417.2864901982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1507838</v>
      </c>
      <c r="C3" s="50">
        <v>2375400</v>
      </c>
      <c r="D3" s="50">
        <v>3964439.5</v>
      </c>
      <c r="E3" s="50">
        <v>2606111</v>
      </c>
      <c r="F3" s="50">
        <v>1605715.4999999998</v>
      </c>
      <c r="G3" s="17">
        <f t="shared" si="0"/>
        <v>10551666</v>
      </c>
      <c r="H3" s="17">
        <f t="shared" si="1"/>
        <v>1758615.3256641126</v>
      </c>
      <c r="I3" s="17">
        <f t="shared" si="2"/>
        <v>8793050.6743358877</v>
      </c>
    </row>
    <row r="4" spans="1:9" ht="15.75" customHeight="1" x14ac:dyDescent="0.25">
      <c r="A4" s="5">
        <f t="shared" si="3"/>
        <v>2026</v>
      </c>
      <c r="B4" s="49">
        <v>1520756</v>
      </c>
      <c r="C4" s="50">
        <v>2430777.5</v>
      </c>
      <c r="D4" s="50">
        <v>4058221</v>
      </c>
      <c r="E4" s="50">
        <v>2732908.5</v>
      </c>
      <c r="F4" s="50">
        <v>1664395</v>
      </c>
      <c r="G4" s="17">
        <f t="shared" si="0"/>
        <v>10886302</v>
      </c>
      <c r="H4" s="17">
        <f t="shared" si="1"/>
        <v>1773681.7935319664</v>
      </c>
      <c r="I4" s="17">
        <f t="shared" si="2"/>
        <v>9112620.2064680345</v>
      </c>
    </row>
    <row r="5" spans="1:9" ht="15.75" customHeight="1" x14ac:dyDescent="0.25">
      <c r="A5" s="5">
        <f t="shared" si="3"/>
        <v>2027</v>
      </c>
      <c r="B5" s="49">
        <v>1539697</v>
      </c>
      <c r="C5" s="50">
        <v>2492984</v>
      </c>
      <c r="D5" s="50">
        <v>4145817.5</v>
      </c>
      <c r="E5" s="50">
        <v>2861008.5</v>
      </c>
      <c r="F5" s="50">
        <v>1728600</v>
      </c>
      <c r="G5" s="17">
        <f t="shared" si="0"/>
        <v>11228410</v>
      </c>
      <c r="H5" s="17">
        <f t="shared" si="1"/>
        <v>1795772.9816326799</v>
      </c>
      <c r="I5" s="17">
        <f t="shared" si="2"/>
        <v>9432637.0183673203</v>
      </c>
    </row>
    <row r="6" spans="1:9" ht="15.75" customHeight="1" x14ac:dyDescent="0.25">
      <c r="A6" s="5">
        <f t="shared" si="3"/>
        <v>2028</v>
      </c>
      <c r="B6" s="49">
        <v>1554635</v>
      </c>
      <c r="C6" s="50">
        <v>2557830.5</v>
      </c>
      <c r="D6" s="50">
        <v>4229964</v>
      </c>
      <c r="E6" s="50">
        <v>2988540</v>
      </c>
      <c r="F6" s="50">
        <v>1798054</v>
      </c>
      <c r="G6" s="17">
        <f t="shared" si="0"/>
        <v>11574388.5</v>
      </c>
      <c r="H6" s="17">
        <f t="shared" si="1"/>
        <v>1813195.4074733676</v>
      </c>
      <c r="I6" s="17">
        <f t="shared" si="2"/>
        <v>9761193.0925266333</v>
      </c>
    </row>
    <row r="7" spans="1:9" ht="15.75" customHeight="1" x14ac:dyDescent="0.25">
      <c r="A7" s="5">
        <f t="shared" si="3"/>
        <v>2029</v>
      </c>
      <c r="B7" s="49">
        <v>1560603</v>
      </c>
      <c r="C7" s="50">
        <v>2624343</v>
      </c>
      <c r="D7" s="50">
        <v>4321056.0000000009</v>
      </c>
      <c r="E7" s="50">
        <v>3119636.9999999995</v>
      </c>
      <c r="F7" s="50">
        <v>1875383.5</v>
      </c>
      <c r="G7" s="17">
        <f t="shared" si="0"/>
        <v>11940419.5</v>
      </c>
      <c r="H7" s="17">
        <f t="shared" si="1"/>
        <v>1820155.9803356801</v>
      </c>
      <c r="I7" s="17">
        <f t="shared" si="2"/>
        <v>10120263.519664319</v>
      </c>
    </row>
    <row r="8" spans="1:9" ht="15.75" customHeight="1" x14ac:dyDescent="0.25">
      <c r="A8" s="5">
        <f t="shared" si="3"/>
        <v>2030</v>
      </c>
      <c r="B8" s="49">
        <v>1576405</v>
      </c>
      <c r="C8" s="50">
        <v>2691896</v>
      </c>
      <c r="D8" s="50">
        <v>4421091.5</v>
      </c>
      <c r="E8" s="50">
        <v>3255702</v>
      </c>
      <c r="F8" s="50">
        <v>1961017.5</v>
      </c>
      <c r="G8" s="17">
        <f t="shared" si="0"/>
        <v>12329707</v>
      </c>
      <c r="H8" s="17">
        <f t="shared" si="1"/>
        <v>1838586.1030518764</v>
      </c>
      <c r="I8" s="17">
        <f t="shared" si="2"/>
        <v>10491120.896948123</v>
      </c>
    </row>
    <row r="9" spans="1:9" ht="15.75" customHeight="1" x14ac:dyDescent="0.25">
      <c r="A9" s="5">
        <f t="shared" si="3"/>
        <v>2031</v>
      </c>
      <c r="B9" s="49">
        <v>1593559</v>
      </c>
      <c r="C9" s="50">
        <v>2757447</v>
      </c>
      <c r="D9" s="50">
        <v>4525759</v>
      </c>
      <c r="E9" s="50">
        <v>3390794</v>
      </c>
      <c r="F9" s="50">
        <v>2055281.5</v>
      </c>
      <c r="G9" s="17">
        <f t="shared" si="0"/>
        <v>12729281.5</v>
      </c>
      <c r="H9" s="17">
        <f t="shared" si="1"/>
        <v>1858593.0847677123</v>
      </c>
      <c r="I9" s="17">
        <f t="shared" si="2"/>
        <v>10870688.415232288</v>
      </c>
    </row>
    <row r="10" spans="1:9" ht="15.75" customHeight="1" x14ac:dyDescent="0.25">
      <c r="A10" s="5">
        <f t="shared" si="3"/>
        <v>2032</v>
      </c>
      <c r="B10" s="49">
        <v>1608835</v>
      </c>
      <c r="C10" s="50">
        <v>2820816.5</v>
      </c>
      <c r="D10" s="50">
        <v>4631233</v>
      </c>
      <c r="E10" s="50">
        <v>3519977</v>
      </c>
      <c r="F10" s="50">
        <v>2159015</v>
      </c>
      <c r="G10" s="17">
        <f t="shared" si="0"/>
        <v>13131041.5</v>
      </c>
      <c r="H10" s="17">
        <f t="shared" si="1"/>
        <v>1876409.7253583095</v>
      </c>
      <c r="I10" s="17">
        <f t="shared" si="2"/>
        <v>11254631.774641691</v>
      </c>
    </row>
    <row r="11" spans="1:9" ht="15.75" customHeight="1" x14ac:dyDescent="0.25">
      <c r="A11" s="5">
        <f t="shared" si="3"/>
        <v>2033</v>
      </c>
      <c r="B11" s="49">
        <v>1623191</v>
      </c>
      <c r="C11" s="50">
        <v>2882470</v>
      </c>
      <c r="D11" s="50">
        <v>4740344.9999999991</v>
      </c>
      <c r="E11" s="50">
        <v>3642069.5</v>
      </c>
      <c r="F11" s="50">
        <v>2272171.5</v>
      </c>
      <c r="G11" s="17">
        <f t="shared" si="0"/>
        <v>13537056</v>
      </c>
      <c r="H11" s="17">
        <f t="shared" si="1"/>
        <v>1893153.355387022</v>
      </c>
      <c r="I11" s="17">
        <f t="shared" si="2"/>
        <v>11643902.644612977</v>
      </c>
    </row>
    <row r="12" spans="1:9" ht="15.75" customHeight="1" x14ac:dyDescent="0.25">
      <c r="A12" s="5">
        <f t="shared" si="3"/>
        <v>2034</v>
      </c>
      <c r="B12" s="49">
        <v>1644283</v>
      </c>
      <c r="C12" s="50">
        <v>2941787.5</v>
      </c>
      <c r="D12" s="50">
        <v>4849573</v>
      </c>
      <c r="E12" s="50">
        <v>3753401.5</v>
      </c>
      <c r="F12" s="50">
        <v>2391860.5</v>
      </c>
      <c r="G12" s="17">
        <f t="shared" si="0"/>
        <v>13936622.5</v>
      </c>
      <c r="H12" s="17">
        <f t="shared" si="1"/>
        <v>1917753.2888340552</v>
      </c>
      <c r="I12" s="17">
        <f t="shared" si="2"/>
        <v>12018869.211165944</v>
      </c>
    </row>
    <row r="13" spans="1:9" ht="15.75" customHeight="1" x14ac:dyDescent="0.25">
      <c r="A13" s="5">
        <f t="shared" si="3"/>
        <v>2035</v>
      </c>
      <c r="B13" s="49">
        <v>1656173</v>
      </c>
      <c r="C13" s="50">
        <v>3000087</v>
      </c>
      <c r="D13" s="50">
        <v>4956934.4999999991</v>
      </c>
      <c r="E13" s="50">
        <v>3854324.0000000005</v>
      </c>
      <c r="F13" s="50">
        <v>2514811.5</v>
      </c>
      <c r="G13" s="17">
        <f t="shared" si="0"/>
        <v>14326157</v>
      </c>
      <c r="H13" s="17">
        <f t="shared" si="1"/>
        <v>1931620.7840305855</v>
      </c>
      <c r="I13" s="17">
        <f t="shared" si="2"/>
        <v>12394536.215969414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2QQQ/I5zf6fzkzFpS5aqkNfkple3n6L45l1MTjHAwrG6jbUdNkOqUhu6unJ0bPGEmJaSozzJvy7d+LawaE5FFA==" saltValue="mBnyrru/Pk4Wjz66B33nf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1.9534098046590211E-2</v>
      </c>
    </row>
    <row r="4" spans="1:8" ht="15.75" customHeight="1" x14ac:dyDescent="0.25">
      <c r="B4" s="19" t="s">
        <v>116</v>
      </c>
      <c r="C4" s="99">
        <v>6.1386493861350512E-2</v>
      </c>
    </row>
    <row r="5" spans="1:8" ht="15.75" customHeight="1" x14ac:dyDescent="0.25">
      <c r="B5" s="19" t="s">
        <v>114</v>
      </c>
      <c r="C5" s="99">
        <v>8.0232691976730747E-2</v>
      </c>
    </row>
    <row r="6" spans="1:8" ht="15.75" customHeight="1" x14ac:dyDescent="0.25">
      <c r="B6" s="19" t="s">
        <v>110</v>
      </c>
      <c r="C6" s="99">
        <v>0.1940574805942524</v>
      </c>
    </row>
    <row r="7" spans="1:8" ht="15.75" customHeight="1" x14ac:dyDescent="0.25">
      <c r="B7" s="19" t="s">
        <v>115</v>
      </c>
      <c r="C7" s="99">
        <v>0.38271406172859451</v>
      </c>
    </row>
    <row r="8" spans="1:8" ht="15.75" customHeight="1" x14ac:dyDescent="0.25">
      <c r="B8" s="19" t="s">
        <v>117</v>
      </c>
      <c r="C8" s="99">
        <v>5.6656994334300581E-3</v>
      </c>
    </row>
    <row r="9" spans="1:8" ht="15.75" customHeight="1" x14ac:dyDescent="0.25">
      <c r="B9" s="19" t="s">
        <v>111</v>
      </c>
      <c r="C9" s="99">
        <v>5.6122894387710467E-2</v>
      </c>
    </row>
    <row r="10" spans="1:8" ht="15.75" customHeight="1" x14ac:dyDescent="0.25">
      <c r="B10" s="19" t="s">
        <v>113</v>
      </c>
      <c r="C10" s="99">
        <v>0.20028657997134119</v>
      </c>
    </row>
    <row r="11" spans="1:8" ht="15.75" customHeight="1" x14ac:dyDescent="0.25">
      <c r="B11" s="27" t="s">
        <v>79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0.14813738001346069</v>
      </c>
      <c r="D14" s="55">
        <v>0.14813738001346069</v>
      </c>
      <c r="E14" s="55">
        <v>0.14813738001346069</v>
      </c>
      <c r="F14" s="55">
        <v>0.14813738001346069</v>
      </c>
    </row>
    <row r="15" spans="1:8" ht="15.75" customHeight="1" x14ac:dyDescent="0.25">
      <c r="B15" s="19" t="s">
        <v>121</v>
      </c>
      <c r="C15" s="99">
        <v>0.34578053216219262</v>
      </c>
      <c r="D15" s="99">
        <v>0.34578053216219262</v>
      </c>
      <c r="E15" s="99">
        <v>0.34578053216219262</v>
      </c>
      <c r="F15" s="99">
        <v>0.34578053216219262</v>
      </c>
    </row>
    <row r="16" spans="1:8" ht="15.75" customHeight="1" x14ac:dyDescent="0.25">
      <c r="B16" s="19" t="s">
        <v>2</v>
      </c>
      <c r="C16" s="99">
        <v>3.4655738467156229E-2</v>
      </c>
      <c r="D16" s="99">
        <v>3.4655738467156229E-2</v>
      </c>
      <c r="E16" s="99">
        <v>3.4655738467156229E-2</v>
      </c>
      <c r="F16" s="99">
        <v>3.4655738467156229E-2</v>
      </c>
    </row>
    <row r="17" spans="1:8" ht="15.75" customHeight="1" x14ac:dyDescent="0.25">
      <c r="B17" s="19" t="s">
        <v>109</v>
      </c>
      <c r="C17" s="99">
        <v>1.1276825226316831E-2</v>
      </c>
      <c r="D17" s="99">
        <v>1.1276825226316831E-2</v>
      </c>
      <c r="E17" s="99">
        <v>1.1276825226316831E-2</v>
      </c>
      <c r="F17" s="99">
        <v>1.1276825226316831E-2</v>
      </c>
    </row>
    <row r="18" spans="1:8" ht="15.75" customHeight="1" x14ac:dyDescent="0.25">
      <c r="B18" s="19" t="s">
        <v>3</v>
      </c>
      <c r="C18" s="99">
        <v>1.698333737350857E-3</v>
      </c>
      <c r="D18" s="99">
        <v>1.698333737350857E-3</v>
      </c>
      <c r="E18" s="99">
        <v>1.698333737350857E-3</v>
      </c>
      <c r="F18" s="99">
        <v>1.698333737350857E-3</v>
      </c>
    </row>
    <row r="19" spans="1:8" ht="15.75" customHeight="1" x14ac:dyDescent="0.25">
      <c r="B19" s="19" t="s">
        <v>120</v>
      </c>
      <c r="C19" s="99">
        <v>2.5823030204128981E-2</v>
      </c>
      <c r="D19" s="99">
        <v>2.5823030204128981E-2</v>
      </c>
      <c r="E19" s="99">
        <v>2.5823030204128981E-2</v>
      </c>
      <c r="F19" s="99">
        <v>2.5823030204128981E-2</v>
      </c>
    </row>
    <row r="20" spans="1:8" ht="15.75" customHeight="1" x14ac:dyDescent="0.25">
      <c r="B20" s="19" t="s">
        <v>98</v>
      </c>
      <c r="C20" s="99">
        <v>3.3022044559235918E-3</v>
      </c>
      <c r="D20" s="99">
        <v>3.3022044559235918E-3</v>
      </c>
      <c r="E20" s="99">
        <v>3.3022044559235918E-3</v>
      </c>
      <c r="F20" s="99">
        <v>3.3022044559235918E-3</v>
      </c>
    </row>
    <row r="21" spans="1:8" ht="15.75" customHeight="1" x14ac:dyDescent="0.25">
      <c r="B21" s="19" t="s">
        <v>107</v>
      </c>
      <c r="C21" s="99">
        <v>0.2312457864158497</v>
      </c>
      <c r="D21" s="99">
        <v>0.2312457864158497</v>
      </c>
      <c r="E21" s="99">
        <v>0.2312457864158497</v>
      </c>
      <c r="F21" s="99">
        <v>0.2312457864158497</v>
      </c>
    </row>
    <row r="22" spans="1:8" ht="15.75" customHeight="1" x14ac:dyDescent="0.25">
      <c r="B22" s="19" t="s">
        <v>118</v>
      </c>
      <c r="C22" s="99">
        <v>0.1980801693176206</v>
      </c>
      <c r="D22" s="99">
        <v>0.1980801693176206</v>
      </c>
      <c r="E22" s="99">
        <v>0.1980801693176206</v>
      </c>
      <c r="F22" s="99">
        <v>0.1980801693176206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5.6316962999999998E-2</v>
      </c>
    </row>
    <row r="27" spans="1:8" ht="15.75" customHeight="1" x14ac:dyDescent="0.25">
      <c r="B27" s="19" t="s">
        <v>108</v>
      </c>
      <c r="C27" s="99">
        <v>9.746111E-3</v>
      </c>
    </row>
    <row r="28" spans="1:8" ht="15.75" customHeight="1" x14ac:dyDescent="0.25">
      <c r="B28" s="19" t="s">
        <v>122</v>
      </c>
      <c r="C28" s="99">
        <v>0.40384162200000001</v>
      </c>
    </row>
    <row r="29" spans="1:8" ht="15.75" customHeight="1" x14ac:dyDescent="0.25">
      <c r="B29" s="19" t="s">
        <v>105</v>
      </c>
      <c r="C29" s="99">
        <v>0.15108449600000001</v>
      </c>
    </row>
    <row r="30" spans="1:8" ht="15.75" customHeight="1" x14ac:dyDescent="0.25">
      <c r="B30" s="19" t="s">
        <v>4</v>
      </c>
      <c r="C30" s="99">
        <v>5.3471453999999988E-2</v>
      </c>
    </row>
    <row r="31" spans="1:8" ht="15.75" customHeight="1" x14ac:dyDescent="0.25">
      <c r="B31" s="19" t="s">
        <v>99</v>
      </c>
      <c r="C31" s="99">
        <v>2.1151507E-2</v>
      </c>
    </row>
    <row r="32" spans="1:8" ht="15.75" customHeight="1" x14ac:dyDescent="0.25">
      <c r="B32" s="19" t="s">
        <v>104</v>
      </c>
      <c r="C32" s="99">
        <v>7.030825000000001E-3</v>
      </c>
    </row>
    <row r="33" spans="2:3" ht="15.75" customHeight="1" x14ac:dyDescent="0.25">
      <c r="B33" s="19" t="s">
        <v>119</v>
      </c>
      <c r="C33" s="99">
        <v>0.17616351399999999</v>
      </c>
    </row>
    <row r="34" spans="2:3" ht="15.75" customHeight="1" x14ac:dyDescent="0.25">
      <c r="B34" s="19" t="s">
        <v>106</v>
      </c>
      <c r="C34" s="99">
        <v>0.12119350800000001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MdrDp0a0TvEzxjVPnTn5prxWuggYeGFuR9Rocngh92YBaGxPO7nF2My0IkwOPg6ZZijMDx8eOOq20uDx0qqJRQ==" saltValue="UAXzB48gFmOoAmOIfKMVp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129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125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126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138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0.53504786775000002</v>
      </c>
      <c r="D14" s="54">
        <v>0.55257860089599997</v>
      </c>
      <c r="E14" s="54">
        <v>0.55257860089599997</v>
      </c>
      <c r="F14" s="54">
        <v>0.36355796776299998</v>
      </c>
      <c r="G14" s="54">
        <v>0.36355796776299998</v>
      </c>
      <c r="H14" s="45">
        <v>0.38200000000000001</v>
      </c>
      <c r="I14" s="55">
        <v>0.38200000000000001</v>
      </c>
      <c r="J14" s="55">
        <v>0.38200000000000001</v>
      </c>
      <c r="K14" s="55">
        <v>0.38200000000000001</v>
      </c>
      <c r="L14" s="45">
        <v>0.42399999999999999</v>
      </c>
      <c r="M14" s="55">
        <v>0.42399999999999999</v>
      </c>
      <c r="N14" s="55">
        <v>0.42399999999999999</v>
      </c>
      <c r="O14" s="55">
        <v>0.42399999999999999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0.2599337448230985</v>
      </c>
      <c r="D15" s="52">
        <f t="shared" si="0"/>
        <v>0.26845042041568934</v>
      </c>
      <c r="E15" s="52">
        <f t="shared" si="0"/>
        <v>0.26845042041568934</v>
      </c>
      <c r="F15" s="52">
        <f t="shared" si="0"/>
        <v>0.17662155055081408</v>
      </c>
      <c r="G15" s="52">
        <f t="shared" si="0"/>
        <v>0.17662155055081408</v>
      </c>
      <c r="H15" s="52">
        <f t="shared" si="0"/>
        <v>0.18558094800000002</v>
      </c>
      <c r="I15" s="52">
        <f t="shared" si="0"/>
        <v>0.18558094800000002</v>
      </c>
      <c r="J15" s="52">
        <f t="shared" si="0"/>
        <v>0.18558094800000002</v>
      </c>
      <c r="K15" s="52">
        <f t="shared" si="0"/>
        <v>0.18558094800000002</v>
      </c>
      <c r="L15" s="52">
        <f t="shared" si="0"/>
        <v>0.20598513600000001</v>
      </c>
      <c r="M15" s="52">
        <f t="shared" si="0"/>
        <v>0.20598513600000001</v>
      </c>
      <c r="N15" s="52">
        <f t="shared" si="0"/>
        <v>0.20598513600000001</v>
      </c>
      <c r="O15" s="52">
        <f t="shared" si="0"/>
        <v>0.20598513600000001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IQCuYzmgqj1sHyl6S62tPPVgdajrnlfXLwza24CGE7ojWEuPdKL8tGFve/OGiaJ07QD0VDr8cs2XT8J5arbkBQ==" saltValue="v7rL4bXvRPAUtWKodKTY9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0.5678782</v>
      </c>
      <c r="D2" s="53">
        <v>0.41937809999999998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6.9442400000000001E-2</v>
      </c>
      <c r="D3" s="53">
        <v>0.1167952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0.34549809999999997</v>
      </c>
      <c r="D4" s="53">
        <v>0.42585460000000003</v>
      </c>
      <c r="E4" s="53">
        <v>0.90376299999999998</v>
      </c>
      <c r="F4" s="53">
        <v>0.73807869999999998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1.7181300000000066E-2</v>
      </c>
      <c r="D5" s="52">
        <f t="shared" si="0"/>
        <v>3.7972099999999953E-2</v>
      </c>
      <c r="E5" s="52">
        <f>1-SUM(E2:E4)</f>
        <v>9.6237000000000017E-2</v>
      </c>
      <c r="F5" s="52">
        <f>1-SUM(F2:F4)</f>
        <v>0.26192130000000002</v>
      </c>
      <c r="G5" s="52">
        <f>1-SUM(G2:G4)</f>
        <v>1</v>
      </c>
    </row>
  </sheetData>
  <sheetProtection algorithmName="SHA-512" hashValue="q8Xwsrp1peVEuCP9dfnzBqC/8PoK/6u997mQm0ujtBCB+US5uolZeO+Ie4aDAQyd9izrEquwDqfTaTsYFN5MMg==" saltValue="2ANRbLkhvKP4zI/TEK/RX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d4ZhLTyROufbj2/vdUiF2eNAJCAwz9YQgyqt5uTV1IGc9uC3qt/g495dRNYKYbxyPrkWH2esGrafe5Q/0nEr6Q==" saltValue="G+HynPd8ff6XaDzDzeNsW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355.77782639264802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0.39456000000000002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5.3419999999999995E-2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2.2956430786622462E-2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94009.684729999994</v>
      </c>
      <c r="C22" s="107">
        <v>93793.063160000005</v>
      </c>
      <c r="D22" s="107">
        <v>93619.879589999997</v>
      </c>
      <c r="E22" s="107">
        <v>93002.658559999996</v>
      </c>
      <c r="F22" s="107">
        <v>92072.362380000006</v>
      </c>
      <c r="G22" s="107">
        <v>90934.833880000006</v>
      </c>
      <c r="H22" s="107">
        <v>89533.178140000004</v>
      </c>
      <c r="I22" s="107">
        <v>87597.276540000006</v>
      </c>
      <c r="J22" s="107">
        <v>84803.133549999999</v>
      </c>
      <c r="K22" s="107">
        <v>80890.356390000001</v>
      </c>
      <c r="L22" s="107">
        <v>75378.861269999994</v>
      </c>
      <c r="M22" s="107">
        <v>67914.972120000006</v>
      </c>
      <c r="N22" s="107">
        <v>58238.404139999999</v>
      </c>
      <c r="O22" s="107">
        <v>46723.694889999999</v>
      </c>
    </row>
  </sheetData>
  <sheetProtection algorithmName="SHA-512" hashValue="ibsfj1+vPb0f4lOAOMuhrSNsmu+xY3/mLVJdkstfIy+2jaLcSX533ByHUd5f/DmkxWMi4mLKrjYtDiRgKAUHkA==" saltValue="SHMym9elxlvWUXwGx7+xC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eNG8hyzjEXrolNgsZeKluJ5zXi2Irk511AHnW9nCgc6hxPnz/4Q7V3YhqtYpY/jWEzNo7uBARjgzFuqBpm+NVA==" saltValue="6ot7u5UOJfOwfIwhfoyT4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jwp+iy69ET1zFOP3W44bD/VK4QVOPNb6wU5298It5oqXqaRKvVtwMoyGfTd031+/q6vNTN4Ea0rfwqV1nQEFtw==" saltValue="hUvPnR4BMGjmEbfaPeZd0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12.644775143090762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0.10284547803181469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0.4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6.7892599999999997E-2</v>
      </c>
      <c r="C10" s="96">
        <v>0.95</v>
      </c>
      <c r="D10" s="56">
        <v>17.330280382167182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17.330280382167182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17.330280382167182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17.330280382167182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6.7892599999999997E-2</v>
      </c>
      <c r="C14" s="96">
        <v>0.95</v>
      </c>
      <c r="D14" s="56">
        <v>17.330280382167182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17.330280382167182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3.8198900000000001E-2</v>
      </c>
      <c r="C16" s="96">
        <v>0.95</v>
      </c>
      <c r="D16" s="56">
        <v>2.5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6.5675947999999998E-2</v>
      </c>
      <c r="C17" s="96">
        <v>0.95</v>
      </c>
      <c r="D17" s="56">
        <v>2.5391114745162171E-2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0.27200000000000002</v>
      </c>
      <c r="C18" s="96">
        <v>0.95</v>
      </c>
      <c r="D18" s="56">
        <v>12.644775143090762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0.41937809999999998</v>
      </c>
      <c r="C19" s="96">
        <v>0.95</v>
      </c>
      <c r="D19" s="56">
        <v>1.4029197158578659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12.644775143090762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0.2491554</v>
      </c>
      <c r="C23" s="96">
        <v>0.95</v>
      </c>
      <c r="D23" s="56">
        <v>5.6396812437985204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0.34541283892014002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2.9567118730808599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17.846880984952122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0.46226600000000001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0.220586</v>
      </c>
      <c r="C29" s="96">
        <v>0.95</v>
      </c>
      <c r="D29" s="56">
        <v>26.81689264396762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9.2499999999999999E-2</v>
      </c>
      <c r="C31" s="96">
        <v>0.95</v>
      </c>
      <c r="D31" s="56">
        <v>173.50469037871034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0.57999999999999996</v>
      </c>
      <c r="C32" s="96">
        <v>0.95</v>
      </c>
      <c r="D32" s="56">
        <v>0.76173344235486506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0.48214689999999999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0.30872719999999998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8.1247000000000003E-3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0.23417370000000001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7.0999999999999994E-2</v>
      </c>
      <c r="C38" s="96">
        <v>0.95</v>
      </c>
      <c r="D38" s="56">
        <v>2.6612563971340846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6txPMHZEyzGXgOdpjahxz6smdDuKtlsZsCJZmAikccWJBb/fCKOI5bw703ox9iEoUS66gIK05UhxNfwvV6RY4A==" saltValue="Y9oVACBhhkus+qbIEa7P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QSfzyeY/IGMH26a15rm870sJR/xocEEWqxjfJEmYeJYry9XhcsjbXtbLEQvUOZ8h0hXlcR6ZS+E/+B1OFL2uYg==" saltValue="lqfdjUA12D4AgJdNJjG65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maEKmpHhl2KPHsOLtJPVeC9hBSIwIT31EWTO9pHEZwdA4ir4MCdvYBc8EJmaYR3Mq7On9MqQy3Uc8X6+vNV/iw==" saltValue="5BSh8LzJ3R8s69ipWc8t9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5.4080000000000004</v>
      </c>
      <c r="C2" s="21">
        <f>'Entradas de población-año base'!C52</f>
        <v>5.4080000000000004</v>
      </c>
      <c r="D2" s="21">
        <f>'Entradas de población-año base'!C53</f>
        <v>8.9960000000000004</v>
      </c>
      <c r="E2" s="21">
        <f>'Entradas de población-año base'!C54</f>
        <v>9.8539999999999992</v>
      </c>
      <c r="F2" s="21">
        <f>'Entradas de población-año base'!C55</f>
        <v>6.7773333333333339</v>
      </c>
    </row>
    <row r="3" spans="1:6" ht="15.75" customHeight="1" x14ac:dyDescent="0.25">
      <c r="A3" s="3" t="s">
        <v>6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236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sheetProtection algorithmName="SHA-512" hashValue="P7yTinCB0ug8EylPN3xbSTvhOLp0EuAv6L+rn3cBWmhYXTfINSbnbdTTCL4vdbJbScN7nB4sw6fePZDmIeJheg==" saltValue="BDUG2iBsL8a4b5tySoMiL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0.54500000000000004</v>
      </c>
      <c r="F2" s="60">
        <f>food_insecure</f>
        <v>0.54500000000000004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0.54500000000000004</v>
      </c>
      <c r="F5" s="60">
        <f>food_insecure</f>
        <v>0.54500000000000004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0.11553454545454543</v>
      </c>
      <c r="D7" s="60">
        <f>diarrhoea_1_5mo*frac_diarrhea_severe</f>
        <v>0.11553454545454543</v>
      </c>
      <c r="E7" s="60">
        <f>diarrhoea_6_11mo*frac_diarrhea_severe</f>
        <v>0.19218727272727271</v>
      </c>
      <c r="F7" s="60">
        <f>diarrhoea_12_23mo*frac_diarrhea_severe</f>
        <v>0.21051727272727266</v>
      </c>
      <c r="G7" s="60">
        <f>diarrhoea_24_59mo*frac_diarrhea_severe</f>
        <v>0.14478848484848483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0.54500000000000004</v>
      </c>
      <c r="F8" s="60">
        <f>food_insecure</f>
        <v>0.54500000000000004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0.54500000000000004</v>
      </c>
      <c r="F9" s="60">
        <f>food_insecure</f>
        <v>0.54500000000000004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0.11553454545454543</v>
      </c>
      <c r="D12" s="60">
        <f>diarrhoea_1_5mo*frac_diarrhea_severe</f>
        <v>0.11553454545454543</v>
      </c>
      <c r="E12" s="60">
        <f>diarrhoea_6_11mo*frac_diarrhea_severe</f>
        <v>0.19218727272727271</v>
      </c>
      <c r="F12" s="60">
        <f>diarrhoea_12_23mo*frac_diarrhea_severe</f>
        <v>0.21051727272727266</v>
      </c>
      <c r="G12" s="60">
        <f>diarrhoea_24_59mo*frac_diarrhea_severe</f>
        <v>0.14478848484848483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0.54500000000000004</v>
      </c>
      <c r="I15" s="60">
        <f t="shared" si="0"/>
        <v>0.54500000000000004</v>
      </c>
      <c r="J15" s="60">
        <f t="shared" si="0"/>
        <v>0.54500000000000004</v>
      </c>
      <c r="K15" s="60">
        <f t="shared" si="0"/>
        <v>0.54500000000000004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0.54500000000000004</v>
      </c>
      <c r="I16" s="60">
        <f t="shared" si="0"/>
        <v>0.54500000000000004</v>
      </c>
      <c r="J16" s="60">
        <f t="shared" si="0"/>
        <v>0.54500000000000004</v>
      </c>
      <c r="K16" s="60">
        <f t="shared" si="0"/>
        <v>0.54500000000000004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3.2400000000000012E-2</v>
      </c>
      <c r="I19" s="60">
        <f>frac_malaria_risk</f>
        <v>3.2400000000000012E-2</v>
      </c>
      <c r="J19" s="60">
        <f>frac_malaria_risk</f>
        <v>3.2400000000000012E-2</v>
      </c>
      <c r="K19" s="60">
        <f>frac_malaria_risk</f>
        <v>3.2400000000000012E-2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0.24465346500792601</v>
      </c>
      <c r="M24" s="60">
        <f>famplan_unmet_need</f>
        <v>0.24465346500792601</v>
      </c>
      <c r="N24" s="60">
        <f>famplan_unmet_need</f>
        <v>0.24465346500792601</v>
      </c>
      <c r="O24" s="60">
        <f>famplan_unmet_need</f>
        <v>0.24465346500792601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0.38264544048499993</v>
      </c>
      <c r="M25" s="60">
        <f>(1-food_insecure)*(0.49)+food_insecure*(0.7)</f>
        <v>0.60444999999999993</v>
      </c>
      <c r="N25" s="60">
        <f>(1-food_insecure)*(0.49)+food_insecure*(0.7)</f>
        <v>0.60444999999999993</v>
      </c>
      <c r="O25" s="60">
        <f>(1-food_insecure)*(0.49)+food_insecure*(0.7)</f>
        <v>0.60444999999999993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0.163990903065</v>
      </c>
      <c r="M26" s="60">
        <f>(1-food_insecure)*(0.21)+food_insecure*(0.3)</f>
        <v>0.25905</v>
      </c>
      <c r="N26" s="60">
        <f>(1-food_insecure)*(0.21)+food_insecure*(0.3)</f>
        <v>0.25905</v>
      </c>
      <c r="O26" s="60">
        <f>(1-food_insecure)*(0.21)+food_insecure*(0.3)</f>
        <v>0.25905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8.6410956449999993E-2</v>
      </c>
      <c r="M27" s="60">
        <f>(1-food_insecure)*(0.3)</f>
        <v>0.13649999999999998</v>
      </c>
      <c r="N27" s="60">
        <f>(1-food_insecure)*(0.3)</f>
        <v>0.13649999999999998</v>
      </c>
      <c r="O27" s="60">
        <f>(1-food_insecure)*(0.3)</f>
        <v>0.13649999999999998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0.36695270000000002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3.2400000000000012E-2</v>
      </c>
      <c r="D34" s="60">
        <f t="shared" si="4"/>
        <v>3.2400000000000012E-2</v>
      </c>
      <c r="E34" s="60">
        <f t="shared" si="4"/>
        <v>3.2400000000000012E-2</v>
      </c>
      <c r="F34" s="60">
        <f t="shared" si="4"/>
        <v>3.2400000000000012E-2</v>
      </c>
      <c r="G34" s="60">
        <f t="shared" si="4"/>
        <v>3.2400000000000012E-2</v>
      </c>
      <c r="H34" s="60">
        <f t="shared" si="4"/>
        <v>3.2400000000000012E-2</v>
      </c>
      <c r="I34" s="60">
        <f t="shared" si="4"/>
        <v>3.2400000000000012E-2</v>
      </c>
      <c r="J34" s="60">
        <f t="shared" si="4"/>
        <v>3.2400000000000012E-2</v>
      </c>
      <c r="K34" s="60">
        <f t="shared" si="4"/>
        <v>3.2400000000000012E-2</v>
      </c>
      <c r="L34" s="60">
        <f t="shared" si="4"/>
        <v>3.2400000000000012E-2</v>
      </c>
      <c r="M34" s="60">
        <f t="shared" si="4"/>
        <v>3.2400000000000012E-2</v>
      </c>
      <c r="N34" s="60">
        <f t="shared" si="4"/>
        <v>3.2400000000000012E-2</v>
      </c>
      <c r="O34" s="60">
        <f t="shared" si="4"/>
        <v>3.2400000000000012E-2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lXDxz3eGa+WPRdDuuV6t7VyrM49L5UDV+5ev/xFkg+MyZCHbbOFCjt2auZSXiZNpLV357shGgRpRRuJOdG3YJQ==" saltValue="MxHvZuLhZy5T2oDbcjrOv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iaA1/suDOhHz1JDIp7Rgp+qCN23k811MKdPF1aLm6no55BKta0QnvqHTknaKjxBPU19ebfqDeRukz49tmvsWgw==" saltValue="/n7LMP+2MZnV9k1osfIxM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jXvNP6sbSdhsZCthweGe+ir5A2cFvVhXxazc99mg0J39f/zM3rLBjdM4jxJj4DvdrnzGzITsxvf51B3ZB0eBmA==" saltValue="w9CJTh78cxJ06Mx4RR9rJ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5xXd7qiRCk2Cib3kdGIY/22cld/7Ceeb9YV0mUeLr+WXjppDDgo41G9BbzidzQ+f0hi+v9ZfjcsQuUz0m7YcDA==" saltValue="/iaAk5ab7NMwv2Jf1Lxpp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sNDlTSWG2EaVMkUJI5fqYTgf2JGrIBQZGKegjnsMfwua1kKap2DHAbSR3EBBs7OKKMYCmyhT19D5wA9p41z3eg==" saltValue="TkfVEonqzz/Nk2S2OIu8Z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et7G837/BcSwvSw0q/7isc/ER9jEFQvjC9Zt/XxQRgguya8ygL9kyfkiNMm/SkzmjSX9/1jeAA2YNUCbDY3/bQ==" saltValue="qGnF9Z68U+cFC7Hnt928A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8BTs2bPdrsJnfAXZ3bieI6HVxYU9Qa5o4F2Klsda/lj1R6z/SkCkI77gwjVR1IeWVJemOqvgTEmtEjQzIafx5g==" saltValue="ewB3np6TyA8ZIJ+HG6YE+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N85SnC5mqzhUv7AcZidkmMFPda7D1a75JljB6vYQHQc+QWIHV/2CP+5leqTxLmtgyApP7Dhf4Mbep9L1vzzi3w==" saltValue="cliZeWrInaSyW3T37STj6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YD0ozW2oeQpAzNRKc4I7xCerUDrRSDvpN93BJVMhYlXGqfGf8ATOKFwMf6j9BrbmigljPRQObW5q6zcIse24Jw==" saltValue="lH7Ex0tZT+0HDaLE65NE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FZyX5mg1ejfO3n69B3kAt8kVxFgzq0Ma7GSNCT1+jY/O0gtBDAWb5IH8+R6B+ozvdoIIAxJdn4Sp+Rc/FI+53g==" saltValue="UpFX7sGXpUBwoZ3NEZtN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PQF6CGgcjO2vi5XPLpl4fcr0yf/qhWFZqJ4pqviEFthGQohpcf103ZdRbYWUGKCZ8p7U5BqKeSnp6j1ArByVyQ==" saltValue="ReCb6Q450qW8HmaJu6W1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jCbv6cBifsLuKxL8a7dTJ2AZoq9m42TVRWeyfD2XYWxWsoV20brYPdQAeq19hVFUz0VTq84PtOuf+1crjYPbrw==" saltValue="/hi6tSYKsDfmvEtNxeGdV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dXk4Tz5TQKGyf8nFKX4mbUZvSuOEWV6u2N8MixXUzk+qpttQwO2ZsJC/snkGzWjrWHH5XZgF/CjOCabacY4vqA==" saltValue="oWR9pAaRU1T6zAC89hJv6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67Ev6tKMvkqrRAFhZYP3J7s9oKIoHN2oRtdhB4ZyHQnzoBjnCrff3+An0wmOan7ci2chRKOQiT+xL88/Kviy7g==" saltValue="DXOCIeJjdeDmKeBEbFdK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SElUFjA6IaXALrbsk5lrnQfoY+N3yRcZY17pdDnJRlzZxQ2wXQGPsk4bqfEj+iGGfv/BH/ZVkNpFzS4LH0q5Xw==" saltValue="y5Lwm2044v0I/sZVLK9j7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2025-07-29T23:19:15Z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