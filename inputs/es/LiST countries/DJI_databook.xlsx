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5E673FD-521F-4E3B-AA76-E5EBA0419E6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<sst xmlns="http://schemas.openxmlformats.org/spreadsheetml/2006/main" count="2102" uniqueCount="341">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</sst>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117886.263671875</v>
      </c>
    </row>
    <row r="8" spans="1:3" ht="15" customHeight="1" x14ac:dyDescent="0.25">
      <c r="B8" s="5" t="s">
        <v>44</v>
      </c>
      <c r="C8" s="44">
        <v>0.17100000000000001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0.31655279159545902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3.44E-2</v>
      </c>
    </row>
    <row r="24" spans="1:3" ht="15" customHeight="1" x14ac:dyDescent="0.25">
      <c r="B24" s="15" t="s">
        <v>46</v>
      </c>
      <c r="C24" s="45">
        <v>0.33629999999999999</v>
      </c>
    </row>
    <row r="25" spans="1:3" ht="15" customHeight="1" x14ac:dyDescent="0.25">
      <c r="B25" s="15" t="s">
        <v>47</v>
      </c>
      <c r="C25" s="45">
        <v>0.51450000000000007</v>
      </c>
    </row>
    <row r="26" spans="1:3" ht="15" customHeight="1" x14ac:dyDescent="0.25">
      <c r="B26" s="15" t="s">
        <v>48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0.18812535867607999</v>
      </c>
    </row>
    <row r="30" spans="1:3" ht="14.25" customHeight="1" x14ac:dyDescent="0.25">
      <c r="B30" s="25" t="s">
        <v>63</v>
      </c>
      <c r="C30" s="99">
        <v>7.529214782846369E-2</v>
      </c>
    </row>
    <row r="31" spans="1:3" ht="14.25" customHeight="1" x14ac:dyDescent="0.25">
      <c r="B31" s="25" t="s">
        <v>10</v>
      </c>
      <c r="C31" s="99">
        <v>0.10030682254742999</v>
      </c>
    </row>
    <row r="32" spans="1:3" ht="14.25" customHeight="1" x14ac:dyDescent="0.25">
      <c r="B32" s="25" t="s">
        <v>11</v>
      </c>
      <c r="C32" s="99">
        <v>0.63627567094802595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29.55951</v>
      </c>
    </row>
    <row r="38" spans="1:5" ht="15" customHeight="1" x14ac:dyDescent="0.25">
      <c r="B38" s="11" t="s">
        <v>35</v>
      </c>
      <c r="C38" s="43">
        <v>45.850830000000002</v>
      </c>
      <c r="D38" s="12"/>
      <c r="E38" s="13"/>
    </row>
    <row r="39" spans="1:5" ht="15" customHeight="1" x14ac:dyDescent="0.25">
      <c r="B39" s="11" t="s">
        <v>61</v>
      </c>
      <c r="C39" s="43">
        <v>54.14123</v>
      </c>
      <c r="D39" s="12"/>
      <c r="E39" s="12"/>
    </row>
    <row r="40" spans="1:5" ht="15" customHeight="1" x14ac:dyDescent="0.25">
      <c r="B40" s="11" t="s">
        <v>36</v>
      </c>
      <c r="C40" s="100">
        <v>2.34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7.9539999999999993E-3</v>
      </c>
      <c r="D45" s="12"/>
    </row>
    <row r="46" spans="1:5" ht="15.75" customHeight="1" x14ac:dyDescent="0.25">
      <c r="B46" s="11" t="s">
        <v>51</v>
      </c>
      <c r="C46" s="45">
        <v>8.5464499999999999E-2</v>
      </c>
      <c r="D46" s="12"/>
    </row>
    <row r="47" spans="1:5" ht="15.75" customHeight="1" x14ac:dyDescent="0.25">
      <c r="B47" s="11" t="s">
        <v>59</v>
      </c>
      <c r="C47" s="45">
        <v>7.3436600000000005E-2</v>
      </c>
      <c r="D47" s="12"/>
      <c r="E47" s="13"/>
    </row>
    <row r="48" spans="1:5" ht="15" customHeight="1" x14ac:dyDescent="0.25">
      <c r="B48" s="11" t="s">
        <v>58</v>
      </c>
      <c r="C48" s="46">
        <v>0.83314490000000008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0.53184900000000002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Uc8asY6DyudhXr7pY/ibo9ST7BupObDiz7twyNeP8q23VMa4xsAAHL+Pej78NC5ReBMLRVvMRTV5uLybsk+4aA==" saltValue="KSA/iD3MQceiMnTojLY7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SXofN4JO9LLiPN/yjL9uV66qJJUB/+4o4Lw7a4BfNVxn761nqMcGyLSsMLIO1ywRTs44eAetAM+5Fh0CXndwA==" saltValue="eCfFwRPp5HJQ+M4tzeDKL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8.8169999999999932E-3</v>
      </c>
    </row>
    <row r="4" spans="1:8" ht="15.75" customHeight="1" x14ac:dyDescent="0.25">
      <c r="B4" s="19" t="s">
        <v>97</v>
      </c>
      <c r="C4" s="101">
        <v>5.5100499999999913E-2</v>
      </c>
    </row>
    <row r="5" spans="1:8" ht="15.75" customHeight="1" x14ac:dyDescent="0.25">
      <c r="B5" s="19" t="s">
        <v>95</v>
      </c>
      <c r="C5" s="101">
        <v>6.986630000000002E-2</v>
      </c>
    </row>
    <row r="6" spans="1:8" ht="15.75" customHeight="1" x14ac:dyDescent="0.25">
      <c r="B6" s="19" t="s">
        <v>91</v>
      </c>
      <c r="C6" s="101">
        <v>0.24833930000000001</v>
      </c>
    </row>
    <row r="7" spans="1:8" ht="15.75" customHeight="1" x14ac:dyDescent="0.25">
      <c r="B7" s="19" t="s">
        <v>96</v>
      </c>
      <c r="C7" s="101">
        <v>0.4203207000000001</v>
      </c>
    </row>
    <row r="8" spans="1:8" ht="15.75" customHeight="1" x14ac:dyDescent="0.25">
      <c r="B8" s="19" t="s">
        <v>98</v>
      </c>
      <c r="C8" s="101">
        <v>1.5927000000000001E-3</v>
      </c>
    </row>
    <row r="9" spans="1:8" ht="15.75" customHeight="1" x14ac:dyDescent="0.25">
      <c r="B9" s="19" t="s">
        <v>92</v>
      </c>
      <c r="C9" s="101">
        <v>7.7598499999999945E-2</v>
      </c>
    </row>
    <row r="10" spans="1:8" ht="15.75" customHeight="1" x14ac:dyDescent="0.25">
      <c r="B10" s="19" t="s">
        <v>94</v>
      </c>
      <c r="C10" s="101">
        <v>0.1183649999999999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102</v>
      </c>
      <c r="C15" s="101">
        <v>0.2649449053983835</v>
      </c>
      <c r="D15" s="101">
        <v>0.2649449053983835</v>
      </c>
      <c r="E15" s="101">
        <v>0.2649449053983835</v>
      </c>
      <c r="F15" s="101">
        <v>0.2649449053983835</v>
      </c>
    </row>
    <row r="16" spans="1:8" ht="15.75" customHeight="1" x14ac:dyDescent="0.25">
      <c r="B16" s="19" t="s">
        <v>2</v>
      </c>
      <c r="C16" s="101">
        <v>2.1128147976965089E-2</v>
      </c>
      <c r="D16" s="101">
        <v>2.1128147976965089E-2</v>
      </c>
      <c r="E16" s="101">
        <v>2.1128147976965089E-2</v>
      </c>
      <c r="F16" s="101">
        <v>2.1128147976965089E-2</v>
      </c>
    </row>
    <row r="17" spans="1:8" ht="15.75" customHeight="1" x14ac:dyDescent="0.25">
      <c r="B17" s="19" t="s">
        <v>90</v>
      </c>
      <c r="C17" s="101">
        <v>4.0492182920467542E-3</v>
      </c>
      <c r="D17" s="101">
        <v>4.0492182920467542E-3</v>
      </c>
      <c r="E17" s="101">
        <v>4.0492182920467542E-3</v>
      </c>
      <c r="F17" s="101">
        <v>4.0492182920467542E-3</v>
      </c>
    </row>
    <row r="18" spans="1:8" ht="15.75" customHeight="1" x14ac:dyDescent="0.25">
      <c r="B18" s="19" t="s">
        <v>3</v>
      </c>
      <c r="C18" s="101">
        <v>6.9602010278532786E-2</v>
      </c>
      <c r="D18" s="101">
        <v>6.9602010278532786E-2</v>
      </c>
      <c r="E18" s="101">
        <v>6.9602010278532786E-2</v>
      </c>
      <c r="F18" s="101">
        <v>6.9602010278532786E-2</v>
      </c>
    </row>
    <row r="19" spans="1:8" ht="15.75" customHeight="1" x14ac:dyDescent="0.25">
      <c r="B19" s="19" t="s">
        <v>101</v>
      </c>
      <c r="C19" s="101">
        <v>7.8603843456375461E-3</v>
      </c>
      <c r="D19" s="101">
        <v>7.8603843456375461E-3</v>
      </c>
      <c r="E19" s="101">
        <v>7.8603843456375461E-3</v>
      </c>
      <c r="F19" s="101">
        <v>7.8603843456375461E-3</v>
      </c>
    </row>
    <row r="20" spans="1:8" ht="15.75" customHeight="1" x14ac:dyDescent="0.25">
      <c r="B20" s="19" t="s">
        <v>79</v>
      </c>
      <c r="C20" s="101">
        <v>3.9660599476444458E-2</v>
      </c>
      <c r="D20" s="101">
        <v>3.9660599476444458E-2</v>
      </c>
      <c r="E20" s="101">
        <v>3.9660599476444458E-2</v>
      </c>
      <c r="F20" s="101">
        <v>3.9660599476444458E-2</v>
      </c>
    </row>
    <row r="21" spans="1:8" ht="15.75" customHeight="1" x14ac:dyDescent="0.25">
      <c r="B21" s="19" t="s">
        <v>88</v>
      </c>
      <c r="C21" s="101">
        <v>0.1392684087204811</v>
      </c>
      <c r="D21" s="101">
        <v>0.1392684087204811</v>
      </c>
      <c r="E21" s="101">
        <v>0.1392684087204811</v>
      </c>
      <c r="F21" s="101">
        <v>0.1392684087204811</v>
      </c>
    </row>
    <row r="22" spans="1:8" ht="15.75" customHeight="1" x14ac:dyDescent="0.25">
      <c r="B22" s="19" t="s">
        <v>99</v>
      </c>
      <c r="C22" s="101">
        <v>0.26102568987437541</v>
      </c>
      <c r="D22" s="101">
        <v>0.26102568987437541</v>
      </c>
      <c r="E22" s="101">
        <v>0.26102568987437541</v>
      </c>
      <c r="F22" s="101">
        <v>0.26102568987437541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4.4741791000000003E-2</v>
      </c>
    </row>
    <row r="27" spans="1:8" ht="15.75" customHeight="1" x14ac:dyDescent="0.25">
      <c r="B27" s="19" t="s">
        <v>89</v>
      </c>
      <c r="C27" s="101">
        <v>2.6038460999999999E-2</v>
      </c>
    </row>
    <row r="28" spans="1:8" ht="15.75" customHeight="1" x14ac:dyDescent="0.25">
      <c r="B28" s="19" t="s">
        <v>103</v>
      </c>
      <c r="C28" s="101">
        <v>0.189573254</v>
      </c>
    </row>
    <row r="29" spans="1:8" ht="15.75" customHeight="1" x14ac:dyDescent="0.25">
      <c r="B29" s="19" t="s">
        <v>86</v>
      </c>
      <c r="C29" s="101">
        <v>0.14647354200000001</v>
      </c>
    </row>
    <row r="30" spans="1:8" ht="15.75" customHeight="1" x14ac:dyDescent="0.25">
      <c r="B30" s="19" t="s">
        <v>4</v>
      </c>
      <c r="C30" s="101">
        <v>4.8331328999999999E-2</v>
      </c>
    </row>
    <row r="31" spans="1:8" ht="15.75" customHeight="1" x14ac:dyDescent="0.25">
      <c r="B31" s="19" t="s">
        <v>80</v>
      </c>
      <c r="C31" s="101">
        <v>2.9691288999999999E-2</v>
      </c>
    </row>
    <row r="32" spans="1:8" ht="15.75" customHeight="1" x14ac:dyDescent="0.25">
      <c r="B32" s="19" t="s">
        <v>85</v>
      </c>
      <c r="C32" s="101">
        <v>8.2147682999999999E-2</v>
      </c>
    </row>
    <row r="33" spans="2:3" ht="15.75" customHeight="1" x14ac:dyDescent="0.25">
      <c r="B33" s="19" t="s">
        <v>100</v>
      </c>
      <c r="C33" s="101">
        <v>0.16250015100000001</v>
      </c>
    </row>
    <row r="34" spans="2:3" ht="15.75" customHeight="1" x14ac:dyDescent="0.25">
      <c r="B34" s="19" t="s">
        <v>87</v>
      </c>
      <c r="C34" s="101">
        <v>0.27050250100000001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jQmDUP4UNXORUk9UHksSqePLuxK9VemhPw/SQaxVgiHKWYDEropkDEsA69mwgF1H+wsQdcbpi0DYeDfRTeH/bQ==" saltValue="jO9DuSvFOEYw2MVO4EZ/+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110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106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107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119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zzxc/uK8sLXsE0PO6/avXz4UvGynuTyDcBV1hoE4lcJTt8o3vkePmJJCkose49fBDqkj/CU6tOORVID78deVg==" saltValue="edjtjor/ihFXWkP4/Gic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125</v>
      </c>
      <c r="C5" s="52">
        <v>6.5475599999999995E-2</v>
      </c>
      <c r="D5" s="52">
        <v>8.8723700000000003E-2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Vx9+N+icQMO30UzIYkzDEdvjfZKm4sad1v22HC7+YRxzSUe+1vR57YdolPPbCav8tGLrWBaUj1r9c6CjLK8OQQ==" saltValue="CagvMrAs9PXYFEsWENI91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WG4iwSUHzzRMb9c7MdOPGvasBvl+e23q3v3M2EI5RZVBQBbw9j6M1+NtWQDSMuTFb2wEVAgTHFJZtBTpTsLWQ==" saltValue="W57U/tzLR1B0Q7ra6Do3/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PXWYkuswglgCAJGEqSx15IcOGnUB582KhLVRrgbstj6obvtYYcuK7VkOUu2AgGb3VH4+ehVznsK2jmFcHEMKeg==" saltValue="V8yRHyngVxg3j9O+ZsbD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ODPnBiCO5blaAAGmz3xjZMKvijhZAnpd51kMfEH3RlNXNYS00pHlPYPbKRLSqJslVBgkeaf1DPkQDmwDJ0Stw==" saltValue="5zgUasxPqWB94IQZrduw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3eZjJS8fP2kNXZRB17ncaeIqJ9BqXL4MYKVYG43XxbzkYIf0vYLAQ5OQmw646rEA9LthGLjrlpPlzbMvr86KKg==" saltValue="j4MoF/GXY6FzWtExG7Nv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43.538824130096224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5.5873076000000001E-2</v>
      </c>
      <c r="C3" s="98">
        <v>0.95</v>
      </c>
      <c r="D3" s="56">
        <v>39.555341049656008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187.22300000000001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0.47937144420386901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12.687640493451919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12.687640493451919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12.687640493451919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12.687640493451919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12.687640493451919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12.687640493451919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0.99</v>
      </c>
      <c r="C16" s="98">
        <v>0.95</v>
      </c>
      <c r="D16" s="56">
        <v>0.39440629334727351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0.90249999999999997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0.11008927186433</v>
      </c>
      <c r="C18" s="98">
        <v>0.95</v>
      </c>
      <c r="D18" s="56">
        <v>4.3845374540579991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0.66905209999999993</v>
      </c>
      <c r="C19" s="98">
        <v>0.95</v>
      </c>
      <c r="D19" s="56">
        <v>4.3845374540579991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0.83361079999999999</v>
      </c>
      <c r="C21" s="98">
        <v>0.95</v>
      </c>
      <c r="D21" s="56">
        <v>4.3947620614430702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21.724653940727581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4.0765008182611906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0.83422020490196003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18.207243489598099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0.65419362903763001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80.575440792660984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0.78</v>
      </c>
      <c r="C31" s="98">
        <v>0.95</v>
      </c>
      <c r="D31" s="56">
        <v>7.6024020713157681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0.81346282995132901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0.78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0.23100000000000001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0.61573460000000002</v>
      </c>
      <c r="C38" s="98">
        <v>0.95</v>
      </c>
      <c r="D38" s="56">
        <v>2.5817575544536639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7PewELpGrXy3IKdg7H18wAqc4AUD2KcefPpXYex10VbZ9N/5HcggbdjQCjNukeWhmLR4c6rhTndAwwAzSW5y8Q==" saltValue="i33RH1t9/vzQ1VQ/7+b6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4q4OBOCZ7qeTKTnetIMVY8GHIagd0q9ymL1V5s+esSX5LUCYqizsvkwycuiV5zpFf43yoOq14N2Ytl8vNtK0A==" saltValue="fxdnULRyed5Z7jIXk4Eu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ljz6hvlWs9KG0GFLu7Vvkdyqe/EnStV8zDAd+EhKUF/EUABzoulQDcmqRdud8YEVkt2D4pxo8OGBSKdJJQqaw==" saltValue="gEuLYE7RlMP7iS7a6qV/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207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sheetProtection algorithmName="SHA-512" hashValue="2PZTB1BkfQl/KhuwpYuzUERnCpIDRpZMgiF3R07VhVeJKUJvVnmyD/UpfmlCXazu7oObyp2MvYaa/KxYGKuiQg==" saltValue="SPkizIG3vpXWOfxCT7QI1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0.17100000000000001</v>
      </c>
      <c r="E2" s="60">
        <f>food_insecure</f>
        <v>0.17100000000000001</v>
      </c>
      <c r="F2" s="60">
        <f>food_insecure</f>
        <v>0.17100000000000001</v>
      </c>
      <c r="G2" s="60">
        <f>food_insecure</f>
        <v>0.17100000000000001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0.17100000000000001</v>
      </c>
      <c r="F5" s="60">
        <f>food_insecure</f>
        <v>0.17100000000000001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0.17100000000000001</v>
      </c>
      <c r="F8" s="60">
        <f>food_insecure</f>
        <v>0.17100000000000001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0.17100000000000001</v>
      </c>
      <c r="F9" s="60">
        <f>food_insecure</f>
        <v>0.17100000000000001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0.17100000000000001</v>
      </c>
      <c r="I15" s="60">
        <f>food_insecure</f>
        <v>0.17100000000000001</v>
      </c>
      <c r="J15" s="60">
        <f>food_insecure</f>
        <v>0.17100000000000001</v>
      </c>
      <c r="K15" s="60">
        <f>food_insecure</f>
        <v>0.17100000000000001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0.35943172137203216</v>
      </c>
      <c r="M25" s="60">
        <f>(1-food_insecure)*(0.49)+food_insecure*(0.7)</f>
        <v>0.52590999999999999</v>
      </c>
      <c r="N25" s="60">
        <f>(1-food_insecure)*(0.49)+food_insecure*(0.7)</f>
        <v>0.52590999999999999</v>
      </c>
      <c r="O25" s="60">
        <f>(1-food_insecure)*(0.49)+food_insecure*(0.7)</f>
        <v>0.52590999999999999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0.1540421663022995</v>
      </c>
      <c r="M26" s="60">
        <f>(1-food_insecure)*(0.21)+food_insecure*(0.3)</f>
        <v>0.22539000000000001</v>
      </c>
      <c r="N26" s="60">
        <f>(1-food_insecure)*(0.21)+food_insecure*(0.3)</f>
        <v>0.22539000000000001</v>
      </c>
      <c r="O26" s="60">
        <f>(1-food_insecure)*(0.21)+food_insecure*(0.3)</f>
        <v>0.22539000000000001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0.16997332073020932</v>
      </c>
      <c r="M27" s="60">
        <f>(1-food_insecure)*(0.3)</f>
        <v>0.24869999999999998</v>
      </c>
      <c r="N27" s="60">
        <f>(1-food_insecure)*(0.3)</f>
        <v>0.24869999999999998</v>
      </c>
      <c r="O27" s="60">
        <f>(1-food_insecure)*(0.3)</f>
        <v>0.24869999999999998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0.31655279159545902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2ma92r28Sp4v4DizEjP5hpeu4oXnFBVRmwupE3oZ/fcRwcfd1eWKIMjY9QvPHwY8BfawmsdhFswD2yIG0cNGQ==" saltValue="6jiSrt2Uyt4nCaLHFzcum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8T6GK9uR/YbLZMR3Mql9wpx6/8zd8BlVe4EU8gGmxXZdhlOG/wEwxxgrWslFJ19KKaPy0wiEM2WnYhAEbA1uuw==" saltValue="WnmTPbO1xhDkIPhRaGhFz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QlI/4uStplryjgGxyfYchJQaCbtA13HnHho7z9kYRWSOopIzVRJK2IiLBiuwXmEJxAjrygCCrqZv1HD4F+C1g==" saltValue="KI/oayKx2Pn1ZCNTSMZ/q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BNKhFYwIoMv88b5azcf4N7O70BMOpkPfQxxe06uCytsBRkZxPgPRgdWgH3VZY1NXFiniKdqffL4ndgJE3Og2w==" saltValue="pTdGByp0Pu7/ySg01PlyF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PqUivAtsMpjY3d9ExfVCbAssiGv2Vc6A4zc/3c3u2EaIkx8Z/er9yKFzK+7BGJE1sV055PQqm+bDlhdIFoGLA==" saltValue="52lReI9zr3Nnh6krqCmks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a/uOLOYmNaPudaWJpqk/FwVBYtxLsVzOPqtRVJU7WK0YwzzuAUPBdp1YPkmguwhtgYAjrhN9oWRG0B+EVWUPjQ==" saltValue="J3o8vg3CGReCo4A/WMAGP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QDCDb4um5MlsLZ1rSpUWyMOSt+ivVvpToAvPlk/mSbjIuPIb/8X2sYKQbHlbr5aNJ07Hr+DxI2XYSr2IwWBQQ==" saltValue="RNLAd/XsV/13gJF45xX20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l/twAcP0FBbMeVF7HWbbstO/cvt1EbLNp4+hJ0jBHnKtNAxgPPmv0zw8jiCW+w7uS/dtVj3fBfqSuK9x1tumA==" saltValue="EJ/6Chdsgz3DM4eGxzki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QOtzYdB0/W4lrHOMFmlsbku5WOCI5zyd5dX58V1D6iZ07y9pqGsfeW0+e3S2Gk9tCVli2S6WNBGT8zXHfEuow==" saltValue="gHgXQsVLoKnOJTsVmIJ0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HoGsS4NJO5S+JgYCegmRuMp2sQZZFUpqnxcTqNa3On9ZryItP46bRKDphZPlSwP/LRGwKL7q9C97f3kmboCRA==" saltValue="20KiQ66mYfIplGXmVj2A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yOZeVsGmb+CvQm9BQagg5EKId9DLFI3CqMN0NAB+iG/fS7ajJQOTRtk3fnq0ACD8CZ8b0S68XLKdeB4EtNJvQ==" saltValue="OiN+e1ntHslkfoHeQZ6O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j26n4bWkRVD0iH6G2QKUILT3QElB++RKC1oYxKn2rU/TzFWln8SL7WVq2BwhpoRwLhNunOjzUQ4WsDKyQriBA==" saltValue="vuDBWFc1+ivV82KPLoWw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e3PLljkBqwXeos8LlyrLaFfEWQy2VhLa7AVRU9voJ6I5cLL4PHZC8dOrg8/2kVgo8SvLsOQ3SVd9/M/d5pNBw==" saltValue="zB02d1Iys5JXKP8/jYUs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Cgl25Wt870OTldoWNVh57JoCFnqlIw7w/mhgnMQ2wHuUH1YJooDyX6cZPQyxySGzOuhczqhVfaIzWBpA44sPw==" saltValue="alZ0zegTsKToYKNXmOBG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8VvpSzY4ynw7mf2OALOPY+DYXYwU240oBbm36QR3FweMze4c8u5lFiq4HM3muZHWNaCjpJ1rX4EGM96QGPjqw==" saltValue="hlMgoyPbOR9sL8bmeSbh4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2024-05-16T23:28:16Z</dcterms:modified>
</cp:coreProperties>
</file>