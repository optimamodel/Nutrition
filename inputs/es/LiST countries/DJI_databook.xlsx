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C6ABA05-3EB1-4AB7-939B-0071FD6F897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3" i="2" l="1"/>
  <c r="A25" i="2"/>
  <c r="A22" i="2"/>
  <c r="A24" i="2"/>
  <c r="A36" i="2"/>
  <c r="A37" i="2"/>
  <c r="I9" i="2"/>
  <c r="I13" i="2"/>
  <c r="I38" i="2"/>
  <c r="A26" i="2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<sst xmlns="http://schemas.openxmlformats.org/spreadsheetml/2006/main" count="2169" uniqueCount="373">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</sst>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117835.5</v>
      </c>
    </row>
    <row r="8" spans="1:3" ht="15" customHeight="1" x14ac:dyDescent="0.25">
      <c r="B8" s="5" t="s">
        <v>63</v>
      </c>
      <c r="C8" s="44">
        <v>0.21099999999999999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0.37275469999999999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3.44E-2</v>
      </c>
    </row>
    <row r="24" spans="1:3" ht="15" customHeight="1" x14ac:dyDescent="0.25">
      <c r="B24" s="15" t="s">
        <v>65</v>
      </c>
      <c r="C24" s="45">
        <v>0.33629999999999999</v>
      </c>
    </row>
    <row r="25" spans="1:3" ht="15" customHeight="1" x14ac:dyDescent="0.25">
      <c r="B25" s="15" t="s">
        <v>66</v>
      </c>
      <c r="C25" s="45">
        <v>0.51450000000000007</v>
      </c>
    </row>
    <row r="26" spans="1:3" ht="15" customHeight="1" x14ac:dyDescent="0.25">
      <c r="B26" s="15" t="s">
        <v>67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0.18812535867607999</v>
      </c>
    </row>
    <row r="30" spans="1:3" ht="14.25" customHeight="1" x14ac:dyDescent="0.25">
      <c r="B30" s="25" t="s">
        <v>82</v>
      </c>
      <c r="C30" s="97">
        <v>7.529214782846369E-2</v>
      </c>
    </row>
    <row r="31" spans="1:3" ht="14.25" customHeight="1" x14ac:dyDescent="0.25">
      <c r="B31" s="25" t="s">
        <v>29</v>
      </c>
      <c r="C31" s="97">
        <v>0.10030682254742999</v>
      </c>
    </row>
    <row r="32" spans="1:3" ht="14.25" customHeight="1" x14ac:dyDescent="0.25">
      <c r="B32" s="25" t="s">
        <v>30</v>
      </c>
      <c r="C32" s="97">
        <v>0.63627567094802595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29.55951</v>
      </c>
    </row>
    <row r="38" spans="1:5" ht="15" customHeight="1" x14ac:dyDescent="0.25">
      <c r="B38" s="11" t="s">
        <v>54</v>
      </c>
      <c r="C38" s="43">
        <v>45.850830000000002</v>
      </c>
      <c r="D38" s="12"/>
      <c r="E38" s="13"/>
    </row>
    <row r="39" spans="1:5" ht="15" customHeight="1" x14ac:dyDescent="0.25">
      <c r="B39" s="11" t="s">
        <v>80</v>
      </c>
      <c r="C39" s="43">
        <v>54.14123</v>
      </c>
      <c r="D39" s="12"/>
      <c r="E39" s="12"/>
    </row>
    <row r="40" spans="1:5" ht="15" customHeight="1" x14ac:dyDescent="0.25">
      <c r="B40" s="11" t="s">
        <v>55</v>
      </c>
      <c r="C40" s="98">
        <v>2.34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7.9539999999999993E-3</v>
      </c>
      <c r="D45" s="12"/>
    </row>
    <row r="46" spans="1:5" ht="15.75" customHeight="1" x14ac:dyDescent="0.25">
      <c r="B46" s="11" t="s">
        <v>70</v>
      </c>
      <c r="C46" s="45">
        <v>8.5464499999999999E-2</v>
      </c>
      <c r="D46" s="12"/>
    </row>
    <row r="47" spans="1:5" ht="15.75" customHeight="1" x14ac:dyDescent="0.25">
      <c r="B47" s="11" t="s">
        <v>78</v>
      </c>
      <c r="C47" s="45">
        <v>7.3436600000000005E-2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0.53184900000000002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sSbZaqw8RYz8HkGBgQ80XCMFX7XsVJ+gscWsQ2TX63MWmPN6jVIgehu4lGRBK2craQScdfcXrwXAXgUJ3HzFQ==" saltValue="hKyRKV2JkysRaVR7BdRF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usbjazcU+/2Da/h/QjTvmSUtFohPHQYfnxmBi4B+zZ5xo/ap32acWJc6WxIGO0Wq/ISWI2Aj33/tlhziDYJmg==" saltValue="Fw2c69BfQIgrsqqsh0yq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8.8169999999999932E-3</v>
      </c>
    </row>
    <row r="4" spans="1:8" ht="15.75" customHeight="1" x14ac:dyDescent="0.25">
      <c r="B4" s="19" t="s">
        <v>116</v>
      </c>
      <c r="C4" s="99">
        <v>5.5100499999999913E-2</v>
      </c>
    </row>
    <row r="5" spans="1:8" ht="15.75" customHeight="1" x14ac:dyDescent="0.25">
      <c r="B5" s="19" t="s">
        <v>114</v>
      </c>
      <c r="C5" s="99">
        <v>6.986630000000002E-2</v>
      </c>
    </row>
    <row r="6" spans="1:8" ht="15.75" customHeight="1" x14ac:dyDescent="0.25">
      <c r="B6" s="19" t="s">
        <v>110</v>
      </c>
      <c r="C6" s="99">
        <v>0.24833930000000001</v>
      </c>
    </row>
    <row r="7" spans="1:8" ht="15.75" customHeight="1" x14ac:dyDescent="0.25">
      <c r="B7" s="19" t="s">
        <v>115</v>
      </c>
      <c r="C7" s="99">
        <v>0.4203207000000001</v>
      </c>
    </row>
    <row r="8" spans="1:8" ht="15.75" customHeight="1" x14ac:dyDescent="0.25">
      <c r="B8" s="19" t="s">
        <v>117</v>
      </c>
      <c r="C8" s="99">
        <v>1.5927000000000001E-3</v>
      </c>
    </row>
    <row r="9" spans="1:8" ht="15.75" customHeight="1" x14ac:dyDescent="0.25">
      <c r="B9" s="19" t="s">
        <v>111</v>
      </c>
      <c r="C9" s="99">
        <v>7.7598499999999945E-2</v>
      </c>
    </row>
    <row r="10" spans="1:8" ht="15.75" customHeight="1" x14ac:dyDescent="0.25">
      <c r="B10" s="19" t="s">
        <v>113</v>
      </c>
      <c r="C10" s="99">
        <v>0.1183649999999999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121</v>
      </c>
      <c r="C15" s="99">
        <v>0.2649449053983835</v>
      </c>
      <c r="D15" s="99">
        <v>0.2649449053983835</v>
      </c>
      <c r="E15" s="99">
        <v>0.2649449053983835</v>
      </c>
      <c r="F15" s="99">
        <v>0.2649449053983835</v>
      </c>
    </row>
    <row r="16" spans="1:8" ht="15.75" customHeight="1" x14ac:dyDescent="0.25">
      <c r="B16" s="19" t="s">
        <v>2</v>
      </c>
      <c r="C16" s="99">
        <v>2.1128147976965089E-2</v>
      </c>
      <c r="D16" s="99">
        <v>2.1128147976965089E-2</v>
      </c>
      <c r="E16" s="99">
        <v>2.1128147976965089E-2</v>
      </c>
      <c r="F16" s="99">
        <v>2.1128147976965089E-2</v>
      </c>
    </row>
    <row r="17" spans="1:8" ht="15.75" customHeight="1" x14ac:dyDescent="0.25">
      <c r="B17" s="19" t="s">
        <v>109</v>
      </c>
      <c r="C17" s="99">
        <v>4.0492182920467542E-3</v>
      </c>
      <c r="D17" s="99">
        <v>4.0492182920467542E-3</v>
      </c>
      <c r="E17" s="99">
        <v>4.0492182920467542E-3</v>
      </c>
      <c r="F17" s="99">
        <v>4.0492182920467542E-3</v>
      </c>
    </row>
    <row r="18" spans="1:8" ht="15.75" customHeight="1" x14ac:dyDescent="0.25">
      <c r="B18" s="19" t="s">
        <v>3</v>
      </c>
      <c r="C18" s="99">
        <v>6.9602010278532786E-2</v>
      </c>
      <c r="D18" s="99">
        <v>6.9602010278532786E-2</v>
      </c>
      <c r="E18" s="99">
        <v>6.9602010278532786E-2</v>
      </c>
      <c r="F18" s="99">
        <v>6.9602010278532786E-2</v>
      </c>
    </row>
    <row r="19" spans="1:8" ht="15.75" customHeight="1" x14ac:dyDescent="0.25">
      <c r="B19" s="19" t="s">
        <v>120</v>
      </c>
      <c r="C19" s="99">
        <v>7.8603843456375461E-3</v>
      </c>
      <c r="D19" s="99">
        <v>7.8603843456375461E-3</v>
      </c>
      <c r="E19" s="99">
        <v>7.8603843456375461E-3</v>
      </c>
      <c r="F19" s="99">
        <v>7.8603843456375461E-3</v>
      </c>
    </row>
    <row r="20" spans="1:8" ht="15.75" customHeight="1" x14ac:dyDescent="0.25">
      <c r="B20" s="19" t="s">
        <v>98</v>
      </c>
      <c r="C20" s="99">
        <v>3.9660599476444458E-2</v>
      </c>
      <c r="D20" s="99">
        <v>3.9660599476444458E-2</v>
      </c>
      <c r="E20" s="99">
        <v>3.9660599476444458E-2</v>
      </c>
      <c r="F20" s="99">
        <v>3.9660599476444458E-2</v>
      </c>
    </row>
    <row r="21" spans="1:8" ht="15.75" customHeight="1" x14ac:dyDescent="0.25">
      <c r="B21" s="19" t="s">
        <v>107</v>
      </c>
      <c r="C21" s="99">
        <v>0.1392684087204811</v>
      </c>
      <c r="D21" s="99">
        <v>0.1392684087204811</v>
      </c>
      <c r="E21" s="99">
        <v>0.1392684087204811</v>
      </c>
      <c r="F21" s="99">
        <v>0.1392684087204811</v>
      </c>
    </row>
    <row r="22" spans="1:8" ht="15.75" customHeight="1" x14ac:dyDescent="0.25">
      <c r="B22" s="19" t="s">
        <v>118</v>
      </c>
      <c r="C22" s="99">
        <v>0.26102568987437541</v>
      </c>
      <c r="D22" s="99">
        <v>0.26102568987437541</v>
      </c>
      <c r="E22" s="99">
        <v>0.26102568987437541</v>
      </c>
      <c r="F22" s="99">
        <v>0.26102568987437541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4.4741791000000003E-2</v>
      </c>
    </row>
    <row r="27" spans="1:8" ht="15.75" customHeight="1" x14ac:dyDescent="0.25">
      <c r="B27" s="19" t="s">
        <v>108</v>
      </c>
      <c r="C27" s="99">
        <v>2.6038460999999999E-2</v>
      </c>
    </row>
    <row r="28" spans="1:8" ht="15.75" customHeight="1" x14ac:dyDescent="0.25">
      <c r="B28" s="19" t="s">
        <v>122</v>
      </c>
      <c r="C28" s="99">
        <v>0.189573254</v>
      </c>
    </row>
    <row r="29" spans="1:8" ht="15.75" customHeight="1" x14ac:dyDescent="0.25">
      <c r="B29" s="19" t="s">
        <v>105</v>
      </c>
      <c r="C29" s="99">
        <v>0.14647354200000001</v>
      </c>
    </row>
    <row r="30" spans="1:8" ht="15.75" customHeight="1" x14ac:dyDescent="0.25">
      <c r="B30" s="19" t="s">
        <v>4</v>
      </c>
      <c r="C30" s="99">
        <v>4.8331328999999999E-2</v>
      </c>
    </row>
    <row r="31" spans="1:8" ht="15.75" customHeight="1" x14ac:dyDescent="0.25">
      <c r="B31" s="19" t="s">
        <v>99</v>
      </c>
      <c r="C31" s="99">
        <v>2.9691288999999999E-2</v>
      </c>
    </row>
    <row r="32" spans="1:8" ht="15.75" customHeight="1" x14ac:dyDescent="0.25">
      <c r="B32" s="19" t="s">
        <v>104</v>
      </c>
      <c r="C32" s="99">
        <v>8.2147682999999999E-2</v>
      </c>
    </row>
    <row r="33" spans="2:3" ht="15.75" customHeight="1" x14ac:dyDescent="0.25">
      <c r="B33" s="19" t="s">
        <v>119</v>
      </c>
      <c r="C33" s="99">
        <v>0.16250015100000001</v>
      </c>
    </row>
    <row r="34" spans="2:3" ht="15.75" customHeight="1" x14ac:dyDescent="0.25">
      <c r="B34" s="19" t="s">
        <v>106</v>
      </c>
      <c r="C34" s="99">
        <v>0.27050250100000001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NkCBjUbUbIy9Fwcx6Mov06kkDN1JPl4te4Cxy+U2UFs9ECglwiGG5tU432cOviVuCX5+iKBqYPVhju1brRPV2g==" saltValue="MBVPyytEaKWkiK24FRX7+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129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125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126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138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gUCEVDlgSy7y0mysW5MB8gkBys/9WOCtZI799ogMD4VoujpoUGP/fGhg3pwbsHz9v8u2T/pefqQAbNLdraOFQ==" saltValue="FVP7+2R6cksfoLDiIyHV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6.5475600000000078E-2</v>
      </c>
      <c r="D5" s="52">
        <f t="shared" si="0"/>
        <v>8.8723699999999961E-2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A8GRnDFcKQ9iAPfQF/bdRPTIsKMH8D4wyfMHY92/vLRN3nwSDzMmepM4jb6RISzoIpfaU2BCuJddQLhxQCQwiw==" saltValue="no3NcGnHmO2EOSTRZEkdo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B8ujVFLq0m+weVOZRG7km+tR1RrDRnQm0auqvYCg1R1S0oEv0VPQ2lrq3zMbqBXUhXB0psGG+YRSdBtonhvrw==" saltValue="g8Nqf98lIdtKFPUA5iicz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3136.1127680487298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0.41298999999999997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0.19265999999999997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1.2908400254980639E-2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94288.254610000004</v>
      </c>
      <c r="C22" s="107">
        <v>93552.348979999995</v>
      </c>
      <c r="D22" s="107">
        <v>93076.778680000003</v>
      </c>
      <c r="E22" s="107">
        <v>92505.751220000006</v>
      </c>
      <c r="F22" s="107">
        <v>91747.657489999998</v>
      </c>
      <c r="G22" s="107">
        <v>90777.702239999999</v>
      </c>
      <c r="H22" s="107">
        <v>89423.920929999993</v>
      </c>
      <c r="I22" s="107">
        <v>87517.520959999994</v>
      </c>
      <c r="J22" s="107">
        <v>84915.692439999999</v>
      </c>
      <c r="K22" s="107">
        <v>81565.661890000003</v>
      </c>
      <c r="L22" s="107">
        <v>77343.312919999997</v>
      </c>
      <c r="M22" s="107">
        <v>71999.319789999994</v>
      </c>
      <c r="N22" s="107">
        <v>64784.622199999998</v>
      </c>
      <c r="O22" s="107">
        <v>55591.294889999997</v>
      </c>
    </row>
  </sheetData>
  <sheetProtection algorithmName="SHA-512" hashValue="7th8I2pThS28CrE0UzvNIr0qC+ulpxCFRcdV4VX78AvNjfH0SGXY3GQVftUxt0cBUvV/iFpQ8Y+sGK0KFnZj8g==" saltValue="vbO4/sUsQrbyX+46CfHlE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la9285OJooXhxOc6EUoCiZD2k3CIOKlNcv/WYsUFt995ZK0fvj946WGzcV72pSLlKytdO2W9SpCTsumCjMuLQ==" saltValue="zUgpE37nlcfemii2UYMUK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c2i6aODwsFMTHFamcTXGV/+MP0GiEqrSCOl5Mj5gT2WJiPRS+l2Ie1uEhejWp3opMlT28rGjKsyJy0euGia/w==" saltValue="PIRPcLCsplha7WAc7MPjJ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12.687640493451919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12.687640493451919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12.687640493451919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12.687640493451919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12.687640493451919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12.687640493451919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0.90249999999999997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1.41438E-2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1.41438E-2</v>
      </c>
      <c r="C19" s="96">
        <v>0.95</v>
      </c>
      <c r="D19" s="56">
        <v>4.3845374540579991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0.30199999999999999</v>
      </c>
      <c r="C23" s="96">
        <v>0.95</v>
      </c>
      <c r="D23" s="56">
        <v>4.0765008182611906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0.62511483451562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0.61573460000000002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0.23100000000000001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0.3236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0.78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4.3199999999999998E-4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0.83361079999999999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KVdbpallHm6YoTgTABiD9vP27rK0ns6h/nz6WGPv7wWVoTw7oqUbyVXvYpt+lr1UHF/HR+KF5Nk2dRhKX53Zbw==" saltValue="3j/2bp7I6VmcUmYmvWcu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10jnta+RtL3I8e+Sqd2j3pyimyjsHRB+YGXpYMD5UiKKuGZJi0WuD3ETym+devehYMVpLF9SSSWp0PmKJjveg==" saltValue="auBAbKhMnIr8CbYaXI+M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5pNhP6UDvmxtF0ng1fj+/pOCMhTeM9w+kRX5q7/6XWiIH7UtZ9tMkrm7MYf9cSMMXs+VrsHb5awsrYO3aHilg==" saltValue="m7ZiCThzWz8i9n4ZT4lQ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236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sheetProtection algorithmName="SHA-512" hashValue="1gum1s/hP3K1DU0nsTwTayBEGx3n4Vs98Bpr7rNL3kJzZn0NMPfBv0rSYA/GTsuSF5EMLzsfd/VQhaZIvho0Qg==" saltValue="fPVuVXVwYtXf+wDUoG7pN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0.21099999999999999</v>
      </c>
      <c r="F2" s="60">
        <f>food_insecure</f>
        <v>0.21099999999999999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0.21099999999999999</v>
      </c>
      <c r="F5" s="60">
        <f>food_insecure</f>
        <v>0.21099999999999999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0.21099999999999999</v>
      </c>
      <c r="F8" s="60">
        <f>food_insecure</f>
        <v>0.21099999999999999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0.21099999999999999</v>
      </c>
      <c r="F9" s="60">
        <f>food_insecure</f>
        <v>0.21099999999999999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0.21099999999999999</v>
      </c>
      <c r="I15" s="60">
        <f t="shared" si="0"/>
        <v>0.21099999999999999</v>
      </c>
      <c r="J15" s="60">
        <f t="shared" si="0"/>
        <v>0.21099999999999999</v>
      </c>
      <c r="K15" s="60">
        <f t="shared" si="0"/>
        <v>0.21099999999999999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0.21099999999999999</v>
      </c>
      <c r="I16" s="60">
        <f t="shared" si="0"/>
        <v>0.21099999999999999</v>
      </c>
      <c r="J16" s="60">
        <f t="shared" si="0"/>
        <v>0.21099999999999999</v>
      </c>
      <c r="K16" s="60">
        <f t="shared" si="0"/>
        <v>0.21099999999999999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0.33514343624300003</v>
      </c>
      <c r="M25" s="60">
        <f>(1-food_insecure)*(0.49)+food_insecure*(0.7)</f>
        <v>0.53431000000000006</v>
      </c>
      <c r="N25" s="60">
        <f>(1-food_insecure)*(0.49)+food_insecure*(0.7)</f>
        <v>0.53431000000000006</v>
      </c>
      <c r="O25" s="60">
        <f>(1-food_insecure)*(0.49)+food_insecure*(0.7)</f>
        <v>0.53431000000000006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0.14363290124700001</v>
      </c>
      <c r="M26" s="60">
        <f>(1-food_insecure)*(0.21)+food_insecure*(0.3)</f>
        <v>0.22899</v>
      </c>
      <c r="N26" s="60">
        <f>(1-food_insecure)*(0.21)+food_insecure*(0.3)</f>
        <v>0.22899</v>
      </c>
      <c r="O26" s="60">
        <f>(1-food_insecure)*(0.21)+food_insecure*(0.3)</f>
        <v>0.22899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0.14846896251</v>
      </c>
      <c r="M27" s="60">
        <f>(1-food_insecure)*(0.3)</f>
        <v>0.23669999999999999</v>
      </c>
      <c r="N27" s="60">
        <f>(1-food_insecure)*(0.3)</f>
        <v>0.23669999999999999</v>
      </c>
      <c r="O27" s="60">
        <f>(1-food_insecure)*(0.3)</f>
        <v>0.23669999999999999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0.37275469999999999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lfxIdeOw+KwekZJquFZSltRvoyhuRZtxaPUqXxbGLle8EZinXc/RFWAE+6VzlO/NK1VvZ3X33FMHiUwBNgvbA==" saltValue="a4s3W7TBbsG6Gddj/iG1r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DoVghTM3eU9/efwObRmsZY8VZhItAtzJpxjAv8PEp8jj9YIwHh4R5RI+v65/dlyJ834esWwYDxJ0aBZuDuRiVA==" saltValue="STmODZ6MXQxCTADaBZzT/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HJnmK3H+C+tcvwJSzU5ApWxJ9ZxawC/1U/bp8Ocytc1pgZwUBmn8Jusn5PYUxZJGHjneUsKXisM4oW7maR8lQ==" saltValue="WUns4Y6vKVUbIiDNpTG2O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UPjd1QCSeWHvGNzZZ/qpmUaY9GatyIqX8D6MTetp+1+VhucUBx0sELsqCSxycx9H8jbsuWXR6i0+olSeCKk4g==" saltValue="ylNODPqXNhIhwcgyIF6zs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SXJUf9OhOfkiRbBm2gr6suKK5c39vByyua7GlgiUkDBgqZwBduOoTqRQ3ruij5z5IBIquppIqWGj/DrYWnmIVg==" saltValue="4FctWyWACMI66wTL6L+O0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OXTFkYlpT9DXPpJnw8acFl2xRDGLxbRK6oz5Y7BokrcOFWLnJ1mtPAeCNzXTBrpxHCTKhX/gajIFBaB3HBfl3w==" saltValue="oxPzUM6yVGsD46Y5xsn+z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Dbj3mgLa5ZFTPo/HJH51wKfwCvfMD/8mAfAsxtynanNzpmsfgbsl8Y3G4TvEFifMdz9znDWEiUwZhIht277WA==" saltValue="PwmjWUqmqNh+sZlSvLN2G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YdNUl/x4kBSGjo7Adl77TpaRqU8FtNSaWamQbWr2q2IRxSSSgfeXhY9Ht5weg68cTGKJKFWnMsKj439dlnfyXA==" saltValue="2JgD3mQeRsoHdO9+ZBrX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AQk81DMRM3DbSw/z7364pA+l/408E/zyo5BtQ+BhwBGi9E+Nga1b6/t2ToU33A4et+Cx8VW3KRHBcWcb/C2PQ==" saltValue="USnyy0DjkfimRuLF3jqZ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Eu/Ltl5ULCRsAB4+/2B/KqVn9yjl6FiD6QgiQCOcJ0McdiUAbG1A6TV6lPVqgW4EZaywoVqXapbvukUd9hHNA==" saltValue="J6Jdv5D3WuQ3YEOQzESb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sACLitGicgiAywTaib+I2JRHNWISuWl6iDvOXovYqa2HuER+oRkSq++s7mILK0sZRomZwf6y/mK1KNi46/X5A==" saltValue="6kC8sc0O/fw4P/Tniq9F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NxgDFFzwaRgiOu1FgyGdZ/TErcFA3yEwVyLkSthR7+a3qvuczR/JzUarhvEpM0NJiot+AoDA6pyFQlAkbRrlg==" saltValue="EKCL6vYMENvsUMnRAhhC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N4sRosivoG/AF4qwSK9G/zUe7lu/01Lrhh/3rRnLW9VWS0tsGUANsInhv89IuFDgwnKga8rSG5g5etb93JNtg==" saltValue="hFr8cz0e6GQQLiU4Jmrl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0I1q7sC8Tf0Tu8hVZ0smJDpZbIzDVmQX7iG9hSy/u6q/66QHUN2lG8243k2aEI6IIEdaXo7C5Gar1uoC6iul8Q==" saltValue="382Fz5X/2BCXB8QfUlWd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VH4WgvlR3tcuZ6CYB5yx8K4PnMLyHKh03xqaXthM5aUx1rSnQ8Al7D/G8m2ykJ4JmlSeoH2qAK6MKYlsTUmdA==" saltValue="aJkdIr7kWHGk5uraE6bey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2025-07-29T23:50:21Z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