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7F4974DC-CABD-44F0-A4E1-76E87C373E8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G39" i="2"/>
  <c r="I39" i="2" s="1"/>
  <c r="A39" i="2"/>
  <c r="I38" i="2"/>
  <c r="H38" i="2"/>
  <c r="G38" i="2"/>
  <c r="A37" i="2"/>
  <c r="A35" i="2"/>
  <c r="A34" i="2"/>
  <c r="A33" i="2"/>
  <c r="A32" i="2"/>
  <c r="A29" i="2"/>
  <c r="A26" i="2"/>
  <c r="A25" i="2"/>
  <c r="A24" i="2"/>
  <c r="A21" i="2"/>
  <c r="A19" i="2"/>
  <c r="A18" i="2"/>
  <c r="A17" i="2"/>
  <c r="H13" i="2"/>
  <c r="G13" i="2"/>
  <c r="I13" i="2" s="1"/>
  <c r="H12" i="2"/>
  <c r="I12" i="2" s="1"/>
  <c r="G12" i="2"/>
  <c r="H11" i="2"/>
  <c r="G11" i="2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I4" i="2"/>
  <c r="H4" i="2"/>
  <c r="G4" i="2"/>
  <c r="H3" i="2"/>
  <c r="G3" i="2"/>
  <c r="I3" i="2" s="1"/>
  <c r="A3" i="2"/>
  <c r="H2" i="2"/>
  <c r="I2" i="2" s="1"/>
  <c r="G2" i="2"/>
  <c r="A2" i="2"/>
  <c r="A22" i="2" s="1"/>
  <c r="C33" i="1"/>
  <c r="C20" i="1"/>
  <c r="A16" i="2" l="1"/>
  <c r="A27" i="2"/>
  <c r="I1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30" i="2"/>
  <c r="A38" i="2"/>
  <c r="A40" i="2"/>
  <c r="A15" i="2"/>
  <c r="A23" i="2"/>
  <c r="A31" i="2"/>
  <c r="A20" i="2"/>
  <c r="A28" i="2"/>
  <c r="A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<sst xmlns="http://schemas.openxmlformats.org/spreadsheetml/2006/main" count="2101" uniqueCount="341">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</sst>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117886.263671875</v>
      </c>
    </row>
    <row r="8" spans="1:3" ht="15" customHeight="1" x14ac:dyDescent="0.25">
      <c r="B8" s="5" t="s">
        <v>44</v>
      </c>
      <c r="C8" s="44">
        <v>0.17100000000000001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0.31655279159545902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0.36399999999999999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3.44E-2</v>
      </c>
    </row>
    <row r="24" spans="1:3" ht="15" customHeight="1" x14ac:dyDescent="0.25">
      <c r="B24" s="15" t="s">
        <v>46</v>
      </c>
      <c r="C24" s="45">
        <v>0.33629999999999999</v>
      </c>
    </row>
    <row r="25" spans="1:3" ht="15" customHeight="1" x14ac:dyDescent="0.25">
      <c r="B25" s="15" t="s">
        <v>47</v>
      </c>
      <c r="C25" s="45">
        <v>0.51450000000000007</v>
      </c>
    </row>
    <row r="26" spans="1:3" ht="15" customHeight="1" x14ac:dyDescent="0.25">
      <c r="B26" s="15" t="s">
        <v>48</v>
      </c>
      <c r="C26" s="45">
        <v>0.1148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0.18812535867607999</v>
      </c>
    </row>
    <row r="30" spans="1:3" ht="14.25" customHeight="1" x14ac:dyDescent="0.25">
      <c r="B30" s="25" t="s">
        <v>63</v>
      </c>
      <c r="C30" s="99">
        <v>7.529214782846369E-2</v>
      </c>
    </row>
    <row r="31" spans="1:3" ht="14.25" customHeight="1" x14ac:dyDescent="0.25">
      <c r="B31" s="25" t="s">
        <v>10</v>
      </c>
      <c r="C31" s="99">
        <v>0.10030682254742999</v>
      </c>
    </row>
    <row r="32" spans="1:3" ht="14.25" customHeight="1" x14ac:dyDescent="0.25">
      <c r="B32" s="25" t="s">
        <v>11</v>
      </c>
      <c r="C32" s="99">
        <v>0.63627567094802595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29.55951</v>
      </c>
    </row>
    <row r="38" spans="1:5" ht="15" customHeight="1" x14ac:dyDescent="0.25">
      <c r="B38" s="11" t="s">
        <v>35</v>
      </c>
      <c r="C38" s="43">
        <v>45.850830000000002</v>
      </c>
      <c r="D38" s="12"/>
      <c r="E38" s="13"/>
    </row>
    <row r="39" spans="1:5" ht="15" customHeight="1" x14ac:dyDescent="0.25">
      <c r="B39" s="11" t="s">
        <v>61</v>
      </c>
      <c r="C39" s="43">
        <v>54.14123</v>
      </c>
      <c r="D39" s="12"/>
      <c r="E39" s="12"/>
    </row>
    <row r="40" spans="1:5" ht="15" customHeight="1" x14ac:dyDescent="0.25">
      <c r="B40" s="11" t="s">
        <v>36</v>
      </c>
      <c r="C40" s="100">
        <v>2.34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26.74746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7.9539999999999993E-3</v>
      </c>
      <c r="D45" s="12"/>
    </row>
    <row r="46" spans="1:5" ht="15.75" customHeight="1" x14ac:dyDescent="0.25">
      <c r="B46" s="11" t="s">
        <v>51</v>
      </c>
      <c r="C46" s="45">
        <v>8.5464499999999999E-2</v>
      </c>
      <c r="D46" s="12"/>
    </row>
    <row r="47" spans="1:5" ht="15.75" customHeight="1" x14ac:dyDescent="0.25">
      <c r="B47" s="11" t="s">
        <v>59</v>
      </c>
      <c r="C47" s="45">
        <v>7.3436600000000005E-2</v>
      </c>
      <c r="D47" s="12"/>
      <c r="E47" s="13"/>
    </row>
    <row r="48" spans="1:5" ht="15" customHeight="1" x14ac:dyDescent="0.25">
      <c r="B48" s="11" t="s">
        <v>58</v>
      </c>
      <c r="C48" s="46">
        <v>0.83314490000000008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0.53184900000000002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EyG36uJcY5Wl+b9UgMEGO61MPZp/9l0vtYBwga0XtGlvnu5K0AyIRR0RoI4/NI8aTcCpidpg07sVnu5NorsXlw==" saltValue="Vxx2+An8hhQBef5XIBFq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24604</v>
      </c>
      <c r="C2" s="49">
        <v>66778.5</v>
      </c>
      <c r="D2" s="49">
        <v>104236</v>
      </c>
      <c r="E2" s="49">
        <v>85323</v>
      </c>
      <c r="F2" s="49">
        <v>62276</v>
      </c>
      <c r="G2" s="17">
        <f t="shared" ref="G2:G13" si="0">C2+D2+E2+F2</f>
        <v>318613.5</v>
      </c>
      <c r="H2" s="17">
        <f t="shared" ref="H2:H13" si="1">(B2 + stillbirth*B2/(1000-stillbirth))/(1-abortion)</f>
        <v>28727.477977186591</v>
      </c>
      <c r="I2" s="17">
        <f t="shared" ref="I2:I13" si="2">G2-H2</f>
        <v>289886.02202281338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24620</v>
      </c>
      <c r="C3" s="50">
        <v>66388</v>
      </c>
      <c r="D3" s="50">
        <v>105840</v>
      </c>
      <c r="E3" s="50">
        <v>86970</v>
      </c>
      <c r="F3" s="50">
        <v>63203</v>
      </c>
      <c r="G3" s="17">
        <f t="shared" si="0"/>
        <v>322401</v>
      </c>
      <c r="H3" s="17">
        <f t="shared" si="1"/>
        <v>28746.159478065914</v>
      </c>
      <c r="I3" s="17">
        <f t="shared" si="2"/>
        <v>293654.84052193409</v>
      </c>
    </row>
    <row r="4" spans="1:9" ht="15.75" customHeight="1" x14ac:dyDescent="0.25">
      <c r="A4" s="5">
        <f t="shared" si="3"/>
        <v>2026</v>
      </c>
      <c r="B4" s="49">
        <v>24763</v>
      </c>
      <c r="C4" s="50">
        <v>66098.999999999985</v>
      </c>
      <c r="D4" s="50">
        <v>107274.5</v>
      </c>
      <c r="E4" s="50">
        <v>88530.5</v>
      </c>
      <c r="F4" s="50">
        <v>64077.999999999993</v>
      </c>
      <c r="G4" s="17">
        <f t="shared" si="0"/>
        <v>325982</v>
      </c>
      <c r="H4" s="17">
        <f t="shared" si="1"/>
        <v>28913.125392174908</v>
      </c>
      <c r="I4" s="17">
        <f t="shared" si="2"/>
        <v>297068.87460782507</v>
      </c>
    </row>
    <row r="5" spans="1:9" ht="15.75" customHeight="1" x14ac:dyDescent="0.25">
      <c r="A5" s="5">
        <f t="shared" si="3"/>
        <v>2027</v>
      </c>
      <c r="B5" s="49">
        <v>24837</v>
      </c>
      <c r="C5" s="50">
        <v>65932.5</v>
      </c>
      <c r="D5" s="50">
        <v>108570</v>
      </c>
      <c r="E5" s="50">
        <v>89971.500000000015</v>
      </c>
      <c r="F5" s="50">
        <v>64953.5</v>
      </c>
      <c r="G5" s="17">
        <f t="shared" si="0"/>
        <v>329427.5</v>
      </c>
      <c r="H5" s="17">
        <f t="shared" si="1"/>
        <v>28999.527333741804</v>
      </c>
      <c r="I5" s="17">
        <f t="shared" si="2"/>
        <v>300427.97266625823</v>
      </c>
    </row>
    <row r="6" spans="1:9" ht="15.75" customHeight="1" x14ac:dyDescent="0.25">
      <c r="A6" s="5">
        <f t="shared" si="3"/>
        <v>2028</v>
      </c>
      <c r="B6" s="49">
        <v>24909</v>
      </c>
      <c r="C6" s="50">
        <v>65860</v>
      </c>
      <c r="D6" s="50">
        <v>109629.5</v>
      </c>
      <c r="E6" s="50">
        <v>91397</v>
      </c>
      <c r="F6" s="50">
        <v>65876</v>
      </c>
      <c r="G6" s="17">
        <f t="shared" si="0"/>
        <v>332762.5</v>
      </c>
      <c r="H6" s="17">
        <f t="shared" si="1"/>
        <v>29083.594087698777</v>
      </c>
      <c r="I6" s="17">
        <f t="shared" si="2"/>
        <v>303678.90591230121</v>
      </c>
    </row>
    <row r="7" spans="1:9" ht="15.75" customHeight="1" x14ac:dyDescent="0.25">
      <c r="A7" s="5">
        <f t="shared" si="3"/>
        <v>2029</v>
      </c>
      <c r="B7" s="49">
        <v>24901</v>
      </c>
      <c r="C7" s="50">
        <v>65876</v>
      </c>
      <c r="D7" s="50">
        <v>110319</v>
      </c>
      <c r="E7" s="50">
        <v>92950.5</v>
      </c>
      <c r="F7" s="50">
        <v>66879.5</v>
      </c>
      <c r="G7" s="17">
        <f t="shared" si="0"/>
        <v>336025</v>
      </c>
      <c r="H7" s="17">
        <f t="shared" si="1"/>
        <v>29074.253337259113</v>
      </c>
      <c r="I7" s="17">
        <f t="shared" si="2"/>
        <v>306950.74666274089</v>
      </c>
    </row>
    <row r="8" spans="1:9" ht="15.75" customHeight="1" x14ac:dyDescent="0.25">
      <c r="A8" s="5">
        <f t="shared" si="3"/>
        <v>2030</v>
      </c>
      <c r="B8" s="49">
        <v>24941</v>
      </c>
      <c r="C8" s="50">
        <v>65966</v>
      </c>
      <c r="D8" s="50">
        <v>110653</v>
      </c>
      <c r="E8" s="50">
        <v>94640.5</v>
      </c>
      <c r="F8" s="50">
        <v>67992</v>
      </c>
      <c r="G8" s="17">
        <f t="shared" si="0"/>
        <v>339251.5</v>
      </c>
      <c r="H8" s="17">
        <f t="shared" si="1"/>
        <v>29120.957089457435</v>
      </c>
      <c r="I8" s="17">
        <f t="shared" si="2"/>
        <v>310130.54291054257</v>
      </c>
    </row>
    <row r="9" spans="1:9" ht="15.75" customHeight="1" x14ac:dyDescent="0.25">
      <c r="A9" s="5">
        <f t="shared" si="3"/>
        <v>2031</v>
      </c>
      <c r="B9" s="49">
        <v>24962</v>
      </c>
      <c r="C9" s="50">
        <v>66150.5</v>
      </c>
      <c r="D9" s="50">
        <v>110654</v>
      </c>
      <c r="E9" s="50">
        <v>96467</v>
      </c>
      <c r="F9" s="50">
        <v>69231</v>
      </c>
      <c r="G9" s="17">
        <f t="shared" si="0"/>
        <v>342502.5</v>
      </c>
      <c r="H9" s="17">
        <f t="shared" si="1"/>
        <v>29145.476559361552</v>
      </c>
      <c r="I9" s="17">
        <f t="shared" si="2"/>
        <v>313357.02344063844</v>
      </c>
    </row>
    <row r="10" spans="1:9" ht="15.75" customHeight="1" x14ac:dyDescent="0.25">
      <c r="A10" s="5">
        <f t="shared" si="3"/>
        <v>2032</v>
      </c>
      <c r="B10" s="49">
        <v>24922</v>
      </c>
      <c r="C10" s="50">
        <v>66413.000000000015</v>
      </c>
      <c r="D10" s="50">
        <v>110385.5</v>
      </c>
      <c r="E10" s="50">
        <v>98418</v>
      </c>
      <c r="F10" s="50">
        <v>70566</v>
      </c>
      <c r="G10" s="17">
        <f t="shared" si="0"/>
        <v>345782.5</v>
      </c>
      <c r="H10" s="17">
        <f t="shared" si="1"/>
        <v>29098.77280716323</v>
      </c>
      <c r="I10" s="17">
        <f t="shared" si="2"/>
        <v>316683.72719283676</v>
      </c>
    </row>
    <row r="11" spans="1:9" ht="15.75" customHeight="1" x14ac:dyDescent="0.25">
      <c r="A11" s="5">
        <f t="shared" si="3"/>
        <v>2033</v>
      </c>
      <c r="B11" s="49">
        <v>24922</v>
      </c>
      <c r="C11" s="50">
        <v>66713</v>
      </c>
      <c r="D11" s="50">
        <v>109979.5</v>
      </c>
      <c r="E11" s="50">
        <v>100375</v>
      </c>
      <c r="F11" s="50">
        <v>71965</v>
      </c>
      <c r="G11" s="17">
        <f t="shared" si="0"/>
        <v>349032.5</v>
      </c>
      <c r="H11" s="17">
        <f t="shared" si="1"/>
        <v>29098.77280716323</v>
      </c>
      <c r="I11" s="17">
        <f t="shared" si="2"/>
        <v>319933.72719283676</v>
      </c>
    </row>
    <row r="12" spans="1:9" ht="15.75" customHeight="1" x14ac:dyDescent="0.25">
      <c r="A12" s="5">
        <f t="shared" si="3"/>
        <v>2034</v>
      </c>
      <c r="B12" s="49">
        <v>24874</v>
      </c>
      <c r="C12" s="50">
        <v>67055.500000000015</v>
      </c>
      <c r="D12" s="50">
        <v>109597</v>
      </c>
      <c r="E12" s="50">
        <v>102182.5</v>
      </c>
      <c r="F12" s="50">
        <v>73444.5</v>
      </c>
      <c r="G12" s="17">
        <f t="shared" si="0"/>
        <v>352279.5</v>
      </c>
      <c r="H12" s="17">
        <f t="shared" si="1"/>
        <v>29042.728304525248</v>
      </c>
      <c r="I12" s="17">
        <f t="shared" si="2"/>
        <v>323236.77169547474</v>
      </c>
    </row>
    <row r="13" spans="1:9" ht="15.75" customHeight="1" x14ac:dyDescent="0.25">
      <c r="A13" s="5">
        <f t="shared" si="3"/>
        <v>2035</v>
      </c>
      <c r="B13" s="49">
        <v>24806</v>
      </c>
      <c r="C13" s="50">
        <v>67413.5</v>
      </c>
      <c r="D13" s="50">
        <v>109337.5</v>
      </c>
      <c r="E13" s="50">
        <v>103804.5</v>
      </c>
      <c r="F13" s="50">
        <v>74977.5</v>
      </c>
      <c r="G13" s="17">
        <f t="shared" si="0"/>
        <v>355533</v>
      </c>
      <c r="H13" s="17">
        <f t="shared" si="1"/>
        <v>28963.331925788105</v>
      </c>
      <c r="I13" s="17">
        <f t="shared" si="2"/>
        <v>326569.66807421192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Ek+ZYdCDfnS40ucxaJGHheauJkiWVcH/6+x0jElT0bJato9pjwj7QdRAc2GqTeNp8Ctj6GS3wtiznskwzOgVw==" saltValue="xjKBAiP3T+q5oIQpHLjtL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8.8169999999999932E-3</v>
      </c>
    </row>
    <row r="4" spans="1:8" ht="15.75" customHeight="1" x14ac:dyDescent="0.25">
      <c r="B4" s="19" t="s">
        <v>97</v>
      </c>
      <c r="C4" s="101">
        <v>5.5100499999999913E-2</v>
      </c>
    </row>
    <row r="5" spans="1:8" ht="15.75" customHeight="1" x14ac:dyDescent="0.25">
      <c r="B5" s="19" t="s">
        <v>95</v>
      </c>
      <c r="C5" s="101">
        <v>6.986630000000002E-2</v>
      </c>
    </row>
    <row r="6" spans="1:8" ht="15.75" customHeight="1" x14ac:dyDescent="0.25">
      <c r="B6" s="19" t="s">
        <v>91</v>
      </c>
      <c r="C6" s="101">
        <v>0.24833930000000001</v>
      </c>
    </row>
    <row r="7" spans="1:8" ht="15.75" customHeight="1" x14ac:dyDescent="0.25">
      <c r="B7" s="19" t="s">
        <v>96</v>
      </c>
      <c r="C7" s="101">
        <v>0.4203207000000001</v>
      </c>
    </row>
    <row r="8" spans="1:8" ht="15.75" customHeight="1" x14ac:dyDescent="0.25">
      <c r="B8" s="19" t="s">
        <v>98</v>
      </c>
      <c r="C8" s="101">
        <v>1.5927000000000001E-3</v>
      </c>
    </row>
    <row r="9" spans="1:8" ht="15.75" customHeight="1" x14ac:dyDescent="0.25">
      <c r="B9" s="19" t="s">
        <v>92</v>
      </c>
      <c r="C9" s="101">
        <v>7.7598499999999945E-2</v>
      </c>
    </row>
    <row r="10" spans="1:8" ht="15.75" customHeight="1" x14ac:dyDescent="0.25">
      <c r="B10" s="19" t="s">
        <v>94</v>
      </c>
      <c r="C10" s="101">
        <v>0.1183649999999999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0.19246063563713339</v>
      </c>
      <c r="D14" s="55">
        <v>0.19246063563713339</v>
      </c>
      <c r="E14" s="55">
        <v>0.19246063563713339</v>
      </c>
      <c r="F14" s="55">
        <v>0.19246063563713339</v>
      </c>
    </row>
    <row r="15" spans="1:8" ht="15.75" customHeight="1" x14ac:dyDescent="0.25">
      <c r="B15" s="19" t="s">
        <v>102</v>
      </c>
      <c r="C15" s="101">
        <v>0.2649449053983835</v>
      </c>
      <c r="D15" s="101">
        <v>0.2649449053983835</v>
      </c>
      <c r="E15" s="101">
        <v>0.2649449053983835</v>
      </c>
      <c r="F15" s="101">
        <v>0.2649449053983835</v>
      </c>
    </row>
    <row r="16" spans="1:8" ht="15.75" customHeight="1" x14ac:dyDescent="0.25">
      <c r="B16" s="19" t="s">
        <v>2</v>
      </c>
      <c r="C16" s="101">
        <v>2.1128147976965089E-2</v>
      </c>
      <c r="D16" s="101">
        <v>2.1128147976965089E-2</v>
      </c>
      <c r="E16" s="101">
        <v>2.1128147976965089E-2</v>
      </c>
      <c r="F16" s="101">
        <v>2.1128147976965089E-2</v>
      </c>
    </row>
    <row r="17" spans="1:8" ht="15.75" customHeight="1" x14ac:dyDescent="0.25">
      <c r="B17" s="19" t="s">
        <v>90</v>
      </c>
      <c r="C17" s="101">
        <v>4.0492182920467542E-3</v>
      </c>
      <c r="D17" s="101">
        <v>4.0492182920467542E-3</v>
      </c>
      <c r="E17" s="101">
        <v>4.0492182920467542E-3</v>
      </c>
      <c r="F17" s="101">
        <v>4.0492182920467542E-3</v>
      </c>
    </row>
    <row r="18" spans="1:8" ht="15.75" customHeight="1" x14ac:dyDescent="0.25">
      <c r="B18" s="19" t="s">
        <v>3</v>
      </c>
      <c r="C18" s="101">
        <v>6.9602010278532786E-2</v>
      </c>
      <c r="D18" s="101">
        <v>6.9602010278532786E-2</v>
      </c>
      <c r="E18" s="101">
        <v>6.9602010278532786E-2</v>
      </c>
      <c r="F18" s="101">
        <v>6.9602010278532786E-2</v>
      </c>
    </row>
    <row r="19" spans="1:8" ht="15.75" customHeight="1" x14ac:dyDescent="0.25">
      <c r="B19" s="19" t="s">
        <v>101</v>
      </c>
      <c r="C19" s="101">
        <v>7.8603843456375461E-3</v>
      </c>
      <c r="D19" s="101">
        <v>7.8603843456375461E-3</v>
      </c>
      <c r="E19" s="101">
        <v>7.8603843456375461E-3</v>
      </c>
      <c r="F19" s="101">
        <v>7.8603843456375461E-3</v>
      </c>
    </row>
    <row r="20" spans="1:8" ht="15.75" customHeight="1" x14ac:dyDescent="0.25">
      <c r="B20" s="19" t="s">
        <v>79</v>
      </c>
      <c r="C20" s="101">
        <v>3.9660599476444458E-2</v>
      </c>
      <c r="D20" s="101">
        <v>3.9660599476444458E-2</v>
      </c>
      <c r="E20" s="101">
        <v>3.9660599476444458E-2</v>
      </c>
      <c r="F20" s="101">
        <v>3.9660599476444458E-2</v>
      </c>
    </row>
    <row r="21" spans="1:8" ht="15.75" customHeight="1" x14ac:dyDescent="0.25">
      <c r="B21" s="19" t="s">
        <v>88</v>
      </c>
      <c r="C21" s="101">
        <v>0.1392684087204811</v>
      </c>
      <c r="D21" s="101">
        <v>0.1392684087204811</v>
      </c>
      <c r="E21" s="101">
        <v>0.1392684087204811</v>
      </c>
      <c r="F21" s="101">
        <v>0.1392684087204811</v>
      </c>
    </row>
    <row r="22" spans="1:8" ht="15.75" customHeight="1" x14ac:dyDescent="0.25">
      <c r="B22" s="19" t="s">
        <v>99</v>
      </c>
      <c r="C22" s="101">
        <v>0.26102568987437541</v>
      </c>
      <c r="D22" s="101">
        <v>0.26102568987437541</v>
      </c>
      <c r="E22" s="101">
        <v>0.26102568987437541</v>
      </c>
      <c r="F22" s="101">
        <v>0.26102568987437541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4.4741791000000003E-2</v>
      </c>
    </row>
    <row r="27" spans="1:8" ht="15.75" customHeight="1" x14ac:dyDescent="0.25">
      <c r="B27" s="19" t="s">
        <v>89</v>
      </c>
      <c r="C27" s="101">
        <v>2.6038460999999999E-2</v>
      </c>
    </row>
    <row r="28" spans="1:8" ht="15.75" customHeight="1" x14ac:dyDescent="0.25">
      <c r="B28" s="19" t="s">
        <v>103</v>
      </c>
      <c r="C28" s="101">
        <v>0.189573254</v>
      </c>
    </row>
    <row r="29" spans="1:8" ht="15.75" customHeight="1" x14ac:dyDescent="0.25">
      <c r="B29" s="19" t="s">
        <v>86</v>
      </c>
      <c r="C29" s="101">
        <v>0.14647354200000001</v>
      </c>
    </row>
    <row r="30" spans="1:8" ht="15.75" customHeight="1" x14ac:dyDescent="0.25">
      <c r="B30" s="19" t="s">
        <v>4</v>
      </c>
      <c r="C30" s="101">
        <v>4.8331328999999999E-2</v>
      </c>
    </row>
    <row r="31" spans="1:8" ht="15.75" customHeight="1" x14ac:dyDescent="0.25">
      <c r="B31" s="19" t="s">
        <v>80</v>
      </c>
      <c r="C31" s="101">
        <v>2.9691288999999999E-2</v>
      </c>
    </row>
    <row r="32" spans="1:8" ht="15.75" customHeight="1" x14ac:dyDescent="0.25">
      <c r="B32" s="19" t="s">
        <v>85</v>
      </c>
      <c r="C32" s="101">
        <v>8.2147682999999999E-2</v>
      </c>
    </row>
    <row r="33" spans="2:3" ht="15.75" customHeight="1" x14ac:dyDescent="0.25">
      <c r="B33" s="19" t="s">
        <v>100</v>
      </c>
      <c r="C33" s="101">
        <v>0.16250015100000001</v>
      </c>
    </row>
    <row r="34" spans="2:3" ht="15.75" customHeight="1" x14ac:dyDescent="0.25">
      <c r="B34" s="19" t="s">
        <v>87</v>
      </c>
      <c r="C34" s="101">
        <v>0.27050250100000001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LVzWR90OYhYn+G354ZXa95d9jz9tU/VfGpW6x1iNE9EEYD9XUXXLxC8w7E/onTduGbeBnEpLQiz+WxgcN+k74A==" saltValue="DOmSN610OaKVmcr5Hbixo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0.38682505991318183</v>
      </c>
      <c r="D2" s="52">
        <f>IFERROR(1-_xlfn.NORM.DIST(_xlfn.NORM.INV(SUM(D4:D5), 0, 1) + 1, 0, 1, TRUE), "")</f>
        <v>0.38682505991318183</v>
      </c>
      <c r="E2" s="52">
        <f>IFERROR(1-_xlfn.NORM.DIST(_xlfn.NORM.INV(SUM(E4:E5), 0, 1) + 1, 0, 1, TRUE), "")</f>
        <v>0.45166447232247831</v>
      </c>
      <c r="F2" s="52">
        <f>IFERROR(1-_xlfn.NORM.DIST(_xlfn.NORM.INV(SUM(F4:F5), 0, 1) + 1, 0, 1, TRUE), "")</f>
        <v>0.18289189106172676</v>
      </c>
      <c r="G2" s="52">
        <f>IFERROR(1-_xlfn.NORM.DIST(_xlfn.NORM.INV(SUM(G4:G5), 0, 1) + 1, 0, 1, TRUE), "")</f>
        <v>0.30274689464556115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0.37506524008681819</v>
      </c>
      <c r="D3" s="52">
        <f>IFERROR(_xlfn.NORM.DIST(_xlfn.NORM.INV(SUM(D4:D5), 0, 1) + 1, 0, 1, TRUE) - SUM(D4:D5), "")</f>
        <v>0.37506524008681819</v>
      </c>
      <c r="E3" s="52">
        <f>IFERROR(_xlfn.NORM.DIST(_xlfn.NORM.INV(SUM(E4:E5), 0, 1) + 1, 0, 1, TRUE) - SUM(E4:E5), "")</f>
        <v>0.35851092767752168</v>
      </c>
      <c r="F3" s="52">
        <f>IFERROR(_xlfn.NORM.DIST(_xlfn.NORM.INV(SUM(F4:F5), 0, 1) + 1, 0, 1, TRUE) - SUM(F4:F5), "")</f>
        <v>0.35518930893827322</v>
      </c>
      <c r="G3" s="52">
        <f>IFERROR(_xlfn.NORM.DIST(_xlfn.NORM.INV(SUM(G4:G5), 0, 1) + 1, 0, 1, TRUE) - SUM(G4:G5), "")</f>
        <v>0.38287690535443886</v>
      </c>
    </row>
    <row r="4" spans="1:15" ht="15.75" customHeight="1" x14ac:dyDescent="0.25">
      <c r="B4" s="5" t="s">
        <v>110</v>
      </c>
      <c r="C4" s="45">
        <v>7.2689599999999993E-2</v>
      </c>
      <c r="D4" s="53">
        <v>7.2689599999999993E-2</v>
      </c>
      <c r="E4" s="53">
        <v>4.0676999999999998E-2</v>
      </c>
      <c r="F4" s="53">
        <v>0.18425859999999999</v>
      </c>
      <c r="G4" s="53">
        <v>0.11971710000000001</v>
      </c>
    </row>
    <row r="5" spans="1:15" ht="15.75" customHeight="1" x14ac:dyDescent="0.25">
      <c r="B5" s="5" t="s">
        <v>106</v>
      </c>
      <c r="C5" s="45">
        <v>0.16542009999999999</v>
      </c>
      <c r="D5" s="53">
        <v>0.16542009999999999</v>
      </c>
      <c r="E5" s="53">
        <v>0.14914759999999999</v>
      </c>
      <c r="F5" s="53">
        <v>0.27766020000000002</v>
      </c>
      <c r="G5" s="53">
        <v>0.1946591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0.18445850137133024</v>
      </c>
      <c r="D8" s="52">
        <f>IFERROR(1-_xlfn.NORM.DIST(_xlfn.NORM.INV(SUM(D10:D11), 0, 1) + 1, 0, 1, TRUE), "")</f>
        <v>0.18445850137133024</v>
      </c>
      <c r="E8" s="52">
        <f>IFERROR(1-_xlfn.NORM.DIST(_xlfn.NORM.INV(SUM(E10:E11), 0, 1) + 1, 0, 1, TRUE), "")</f>
        <v>0.32662506351033715</v>
      </c>
      <c r="F8" s="52">
        <f>IFERROR(1-_xlfn.NORM.DIST(_xlfn.NORM.INV(SUM(F10:F11), 0, 1) + 1, 0, 1, TRUE), "")</f>
        <v>0.35941781510395909</v>
      </c>
      <c r="G8" s="52">
        <f>IFERROR(1-_xlfn.NORM.DIST(_xlfn.NORM.INV(SUM(G10:G11), 0, 1) + 1, 0, 1, TRUE), "")</f>
        <v>0.39141488892640375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0.35596319862866976</v>
      </c>
      <c r="D9" s="52">
        <f>IFERROR(_xlfn.NORM.DIST(_xlfn.NORM.INV(SUM(D10:D11), 0, 1) + 1, 0, 1, TRUE) - SUM(D10:D11), "")</f>
        <v>0.35596319862866976</v>
      </c>
      <c r="E9" s="52">
        <f>IFERROR(_xlfn.NORM.DIST(_xlfn.NORM.INV(SUM(E10:E11), 0, 1) + 1, 0, 1, TRUE) - SUM(E10:E11), "")</f>
        <v>0.38247183648966282</v>
      </c>
      <c r="F9" s="52">
        <f>IFERROR(_xlfn.NORM.DIST(_xlfn.NORM.INV(SUM(F10:F11), 0, 1) + 1, 0, 1, TRUE) - SUM(F10:F11), "")</f>
        <v>0.37949088489604094</v>
      </c>
      <c r="G9" s="52">
        <f>IFERROR(_xlfn.NORM.DIST(_xlfn.NORM.INV(SUM(G10:G11), 0, 1) + 1, 0, 1, TRUE) - SUM(G10:G11), "")</f>
        <v>0.37416481107359623</v>
      </c>
    </row>
    <row r="10" spans="1:15" ht="15.75" customHeight="1" x14ac:dyDescent="0.25">
      <c r="B10" s="5" t="s">
        <v>107</v>
      </c>
      <c r="C10" s="45">
        <v>0.24267030000000001</v>
      </c>
      <c r="D10" s="53">
        <v>0.24267030000000001</v>
      </c>
      <c r="E10" s="53">
        <v>0.10680630000000001</v>
      </c>
      <c r="F10" s="53">
        <v>8.5183999999999996E-2</v>
      </c>
      <c r="G10" s="53">
        <v>9.2542200000000005E-2</v>
      </c>
    </row>
    <row r="11" spans="1:15" ht="15.75" customHeight="1" x14ac:dyDescent="0.25">
      <c r="B11" s="5" t="s">
        <v>119</v>
      </c>
      <c r="C11" s="45">
        <v>0.21690799999999999</v>
      </c>
      <c r="D11" s="53">
        <v>0.21690799999999999</v>
      </c>
      <c r="E11" s="53">
        <v>0.1840968</v>
      </c>
      <c r="F11" s="53">
        <v>0.17590729999999999</v>
      </c>
      <c r="G11" s="53">
        <v>0.14187810000000001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0.53744121300000003</v>
      </c>
      <c r="D14" s="54">
        <v>0.52109150421700001</v>
      </c>
      <c r="E14" s="54">
        <v>0.52109150421700001</v>
      </c>
      <c r="F14" s="54">
        <v>0.50456223493399999</v>
      </c>
      <c r="G14" s="54">
        <v>0.50456223493399999</v>
      </c>
      <c r="H14" s="45">
        <v>0.376</v>
      </c>
      <c r="I14" s="55">
        <v>0.376</v>
      </c>
      <c r="J14" s="55">
        <v>0.376</v>
      </c>
      <c r="K14" s="55">
        <v>0.376</v>
      </c>
      <c r="L14" s="45">
        <v>0.32400000000000001</v>
      </c>
      <c r="M14" s="55">
        <v>0.32400000000000001</v>
      </c>
      <c r="N14" s="55">
        <v>0.32400000000000001</v>
      </c>
      <c r="O14" s="55">
        <v>0.32400000000000001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0.28583757169283702</v>
      </c>
      <c r="D15" s="52">
        <f t="shared" si="0"/>
        <v>0.27714199542630724</v>
      </c>
      <c r="E15" s="52">
        <f t="shared" si="0"/>
        <v>0.27714199542630724</v>
      </c>
      <c r="F15" s="52">
        <f t="shared" si="0"/>
        <v>0.26835092008741296</v>
      </c>
      <c r="G15" s="52">
        <f t="shared" si="0"/>
        <v>0.26835092008741296</v>
      </c>
      <c r="H15" s="52">
        <f t="shared" si="0"/>
        <v>0.19997522400000001</v>
      </c>
      <c r="I15" s="52">
        <f t="shared" si="0"/>
        <v>0.19997522400000001</v>
      </c>
      <c r="J15" s="52">
        <f t="shared" si="0"/>
        <v>0.19997522400000001</v>
      </c>
      <c r="K15" s="52">
        <f t="shared" si="0"/>
        <v>0.19997522400000001</v>
      </c>
      <c r="L15" s="52">
        <f t="shared" si="0"/>
        <v>0.17231907600000002</v>
      </c>
      <c r="M15" s="52">
        <f t="shared" si="0"/>
        <v>0.17231907600000002</v>
      </c>
      <c r="N15" s="52">
        <f t="shared" si="0"/>
        <v>0.17231907600000002</v>
      </c>
      <c r="O15" s="52">
        <f t="shared" si="0"/>
        <v>0.17231907600000002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p5JLq2njkxWGYdViwyCptoZYbuaf0nRpAz5xxdsAgSXL/jVHTRYNcegVLOrS5Nv/WIB0YxCrL4qO5K/Xfp3Bkw==" saltValue="ZRwX41ptInG+3QVVkQrC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3.7690899999999999E-2</v>
      </c>
      <c r="D2" s="53">
        <v>1.41438E-2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0.17248140000000001</v>
      </c>
      <c r="D3" s="53">
        <v>0.16339989999999999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0.72435209999999994</v>
      </c>
      <c r="D4" s="53">
        <v>0.73373260000000007</v>
      </c>
      <c r="E4" s="53">
        <v>0.68563439999999998</v>
      </c>
      <c r="F4" s="53">
        <v>0.38439060000000003</v>
      </c>
      <c r="G4" s="53">
        <v>0</v>
      </c>
    </row>
    <row r="5" spans="1:7" x14ac:dyDescent="0.25">
      <c r="B5" s="3" t="s">
        <v>125</v>
      </c>
      <c r="C5" s="52">
        <v>6.5475599999999995E-2</v>
      </c>
      <c r="D5" s="52">
        <v>8.8723700000000003E-2</v>
      </c>
      <c r="E5" s="52">
        <f>1-SUM(E2:E4)</f>
        <v>0.31436560000000002</v>
      </c>
      <c r="F5" s="52">
        <f>1-SUM(F2:F4)</f>
        <v>0.61560939999999997</v>
      </c>
      <c r="G5" s="52">
        <f>1-SUM(G2:G4)</f>
        <v>1</v>
      </c>
    </row>
  </sheetData>
  <sheetProtection algorithmName="SHA-512" hashValue="nHX35wDcMQC7Me0xxv4KaDQMXD0pAgHddjfsP3L3zDlyw48CeqlUud9fXGJujfVxeFqxR8d2a+aJx7gP25yFTw==" saltValue="LqvyEGXHmtPWmpnQLWtmr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04OKaRmogeJpXwj5SjHevDEcsbr7X4Ri/C9fBqdlV8SiIU0nfRv5waBBxLwhkWK7pcYwEoSyqccQkkj88qwCA==" saltValue="gq80ApJKxNjk2f7qnFJTF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MQtPL9GxVpvpGg3sxJPfcbdKInuzpWysGmR9x2VKiCp2rgWWsESR0qzy3wbAEE0QhLWhc6Kmc2uHnX748ueElA==" saltValue="moGyzTwMZkWVlAtOm80tE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udHO7R/awtbuB74qV//jHNUGUjPx/gyKGxUy/Nyc7jrNHuYgFurxBvensuwtJLZFEgQ+bjUbZE/Z6f47dNxjBA==" saltValue="w83YdmubIg/E+eP11z7lU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aQFnaeYvBc7mAZ5DoLappNb1SE1zD+qRCmjpUAxWoLIHEt+PsTXT60kglb+/0N7JPPZwYEdrU1hUAJqdLYC64g==" saltValue="1yw8yCkb6tZGq7AZc69ts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144.3361538195548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16.029464016122279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0.47937144420386901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0.10284547803181469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0.18855004305832701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12.687640493451919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12.687640493451919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12.687640493451919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12.687640493451919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12.687640493451919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12.687640493451919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0.252</v>
      </c>
      <c r="C16" s="98">
        <v>0.95</v>
      </c>
      <c r="D16" s="56">
        <v>5.5080133892626542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0.90249999999999997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1.41438E-2</v>
      </c>
      <c r="C18" s="98">
        <v>0.95</v>
      </c>
      <c r="D18" s="56">
        <v>16.029464016122279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1.41438E-2</v>
      </c>
      <c r="C19" s="98">
        <v>0.95</v>
      </c>
      <c r="D19" s="56">
        <v>16.029464016122279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16.46619599914094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21.724653940727581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0.30199999999999999</v>
      </c>
      <c r="C23" s="98">
        <v>0.95</v>
      </c>
      <c r="D23" s="56">
        <v>4.0765008182611906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0.62511483451562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7.6264796156856711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30.36727751762248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0.61573460000000002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0.23100000000000001</v>
      </c>
      <c r="C29" s="98">
        <v>0.95</v>
      </c>
      <c r="D29" s="56">
        <v>193.6128732031849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0.3236</v>
      </c>
      <c r="C31" s="98">
        <v>0.95</v>
      </c>
      <c r="D31" s="56">
        <v>398.07273654067848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0.78</v>
      </c>
      <c r="C32" s="98">
        <v>0.95</v>
      </c>
      <c r="D32" s="56">
        <v>1.4358697255793671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4.3199999999999998E-4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0.83361079999999999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5.3874863984233787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7.541139000710408</v>
      </c>
      <c r="E39" s="56" t="s">
        <v>183</v>
      </c>
      <c r="F39" s="98">
        <v>1</v>
      </c>
      <c r="G39" s="98">
        <v>1</v>
      </c>
    </row>
  </sheetData>
  <sheetProtection algorithmName="SHA-512" hashValue="9pRjwAJbNbQu+zynesWPH10zMzOcZHFp2preBxwP96q3tqcKyMaCSgwrMWVBrO9hU7hAwX9H0Y1c8Vp+kwFyLQ==" saltValue="WPW6x/BWpKp9yxNv5lNP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dfvgob8uc2bwnJnazy8lWe5jXz6z0R7nziKInJ7Mx0LEH5oNasK4K3+BWl/sDq3ywRj2BhKVRXA9ctSicucuQg==" saltValue="J0fjaDMmzCjLUJOkpZs7F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dp01e2cTuG6i82NrZDQOsvwi7g4+6wMA7T31OfYbwiaq3+NwKFT9xsGVmISF3dKymYQtB3gJD0aQXTVBWKXUTQ==" saltValue="KH6tZLgLqcLb7Flacb1mD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0.63094278000000004</v>
      </c>
      <c r="C3" s="21">
        <f>frac_mam_1_5months * 2.6</f>
        <v>0.63094278000000004</v>
      </c>
      <c r="D3" s="21">
        <f>frac_mam_6_11months * 2.6</f>
        <v>0.27769638000000002</v>
      </c>
      <c r="E3" s="21">
        <f>frac_mam_12_23months * 2.6</f>
        <v>0.22147839999999999</v>
      </c>
      <c r="F3" s="21">
        <f>frac_mam_24_59months * 2.6</f>
        <v>0.24060972000000003</v>
      </c>
    </row>
    <row r="4" spans="1:6" ht="15.75" customHeight="1" x14ac:dyDescent="0.25">
      <c r="A4" s="3" t="s">
        <v>207</v>
      </c>
      <c r="B4" s="21">
        <f>frac_sam_1month * 2.6</f>
        <v>0.56396080000000004</v>
      </c>
      <c r="C4" s="21">
        <f>frac_sam_1_5months * 2.6</f>
        <v>0.56396080000000004</v>
      </c>
      <c r="D4" s="21">
        <f>frac_sam_6_11months * 2.6</f>
        <v>0.47865168000000002</v>
      </c>
      <c r="E4" s="21">
        <f>frac_sam_12_23months * 2.6</f>
        <v>0.45735897999999997</v>
      </c>
      <c r="F4" s="21">
        <f>frac_sam_24_59months * 2.6</f>
        <v>0.36888306000000004</v>
      </c>
    </row>
  </sheetData>
  <sheetProtection algorithmName="SHA-512" hashValue="qWdzibnwhXuA0gLjhlI/4jSnMpiOrhmklRTFM0CGYGWKf9q32d/qX8ixDkUKEGbWrWi7HpV79A5WtXrS9DuLHg==" saltValue="7ZlsoEx51kl57xZYZfxwd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0.17100000000000001</v>
      </c>
      <c r="E2" s="60">
        <f>food_insecure</f>
        <v>0.17100000000000001</v>
      </c>
      <c r="F2" s="60">
        <f>food_insecure</f>
        <v>0.17100000000000001</v>
      </c>
      <c r="G2" s="60">
        <f>food_insecure</f>
        <v>0.17100000000000001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0.17100000000000001</v>
      </c>
      <c r="F5" s="60">
        <f>food_insecure</f>
        <v>0.17100000000000001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0.17100000000000001</v>
      </c>
      <c r="F8" s="60">
        <f>food_insecure</f>
        <v>0.17100000000000001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0.17100000000000001</v>
      </c>
      <c r="F9" s="60">
        <f>food_insecure</f>
        <v>0.17100000000000001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0.17100000000000001</v>
      </c>
      <c r="I15" s="60">
        <f>food_insecure</f>
        <v>0.17100000000000001</v>
      </c>
      <c r="J15" s="60">
        <f>food_insecure</f>
        <v>0.17100000000000001</v>
      </c>
      <c r="K15" s="60">
        <f>food_insecure</f>
        <v>0.17100000000000001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0.36399999999999999</v>
      </c>
      <c r="M24" s="60">
        <f>famplan_unmet_need</f>
        <v>0.36399999999999999</v>
      </c>
      <c r="N24" s="60">
        <f>famplan_unmet_need</f>
        <v>0.36399999999999999</v>
      </c>
      <c r="O24" s="60">
        <f>famplan_unmet_need</f>
        <v>0.36399999999999999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0.35943172137203216</v>
      </c>
      <c r="M25" s="60">
        <f>(1-food_insecure)*(0.49)+food_insecure*(0.7)</f>
        <v>0.52590999999999999</v>
      </c>
      <c r="N25" s="60">
        <f>(1-food_insecure)*(0.49)+food_insecure*(0.7)</f>
        <v>0.52590999999999999</v>
      </c>
      <c r="O25" s="60">
        <f>(1-food_insecure)*(0.49)+food_insecure*(0.7)</f>
        <v>0.52590999999999999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0.1540421663022995</v>
      </c>
      <c r="M26" s="60">
        <f>(1-food_insecure)*(0.21)+food_insecure*(0.3)</f>
        <v>0.22539000000000001</v>
      </c>
      <c r="N26" s="60">
        <f>(1-food_insecure)*(0.21)+food_insecure*(0.3)</f>
        <v>0.22539000000000001</v>
      </c>
      <c r="O26" s="60">
        <f>(1-food_insecure)*(0.21)+food_insecure*(0.3)</f>
        <v>0.22539000000000001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0.16997332073020932</v>
      </c>
      <c r="M27" s="60">
        <f>(1-food_insecure)*(0.3)</f>
        <v>0.24869999999999998</v>
      </c>
      <c r="N27" s="60">
        <f>(1-food_insecure)*(0.3)</f>
        <v>0.24869999999999998</v>
      </c>
      <c r="O27" s="60">
        <f>(1-food_insecure)*(0.3)</f>
        <v>0.24869999999999998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0.31655279159545902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l4aoywpccIxeY49AlqcD8yzYG9kUBL/xK/ZWXj2fxjppfk6cjDql6WQgPXEbZu+sEGZ89LtcqOJbjRA0N3ljg==" saltValue="zzavaSQqQEX/IoUR7iJQH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lS6GQcDxlfqpZZVn2LzlqW6Vcn+iXFOKRZWL4lghhMAFBCh6SPSC+5jMI21yYhe250FkAAIAHVs8nor/V6Tw3g==" saltValue="Umt1cmHUP0HyVrDMz5RrN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BdsBVmC6zMbsnLKZrSbAK3bRSJo+inF5GSVIMZhx3NH5DVDyeOJTuw+XQbJ95aObqQcuJmiYl/Yv24goWdnQw==" saltValue="lbPQ3JlTzuAT06UHzTG28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37179XKkwyATJFQ5NCnjew1EPvtIyeG0MrSeZ8iVc2RoTWyqQ9imjiZMxqu66f2UY6Zxdni6sk1q9SydISPbTA==" saltValue="x8+76XEUuc2ZQYhx3Qt75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JDp3jB3LBmPUEfJ7Q94XHqAw6gsMmxYjazcdeoZA8JPVd1AXYHwqgL/BETiQuPW/Af/9NQ2MEynB0p3JK7nI5Q==" saltValue="0x/RE9REsieWJs52INXCL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X3DPEshLGjQo7f0MvJGcTHtkMDgeBD3zG6qkdmNf0zQrTpL4FQDQ3Lf3jUASbuBeZ0+hnSHsytH//W4FTS/4eQ==" saltValue="OZvEqk3ktbWelyjKSXPso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PmPFk/aflePjKzCaenC9RW7VRbkeKuWv2OlIx0oN/JsQM5EOYlHejtTlyfo4q08DzsARmI3Ae/bKAmOxlpSxg==" saltValue="s7tRAQc856bK3VaD8GQ19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iKM4KWAiyI/oOMGpOyfHbOSH/dwDnUGzo8xyl/nlHhFwRiVoJqm10UgY6qjIMVOPNlEeJ6BZ4ySZXHOH9dtEgw==" saltValue="goGEG0G076IV1o3sBS5x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c9Qm7EuLfn5qX9Ihk8pxRmfDt8BmlRVbwGoIZ9cuZgBeMj6M8F0BT0rkeK4OTehZShEhdiR9NGRo0mpYXm5Kw==" saltValue="h/RAuziynYnG6Y0ghrYs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0Z68JBE0AgYHQYozj7TGAb4xXO9FURBdYvQ8GrloP/MuBMZ84U04a1tw9LHxgdG+MXaZZzdkkpmOOw2lhdZCg==" saltValue="by7TGQNtUYUJVY6GUsKb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DeVk1tmpxHqyldyfMBmcBkKZ3RF95tEQAsOTlLSUncZCc8545CgitrB8vz0D21MpzslJx5GJFtDghWiaBlaWpg==" saltValue="4JbloA4RDlAuCLa8p/LN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9oflQmsFZvEEu5ikX8VUalfeSJ+o/PWyT5a5yZBPw1Zokc3FqPHyuCBcKB4//UnRCV1KwKaIwUGPvAm+xM+lg==" saltValue="DOJkJjLvlt9+NDiKU3pX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xj5x1JHJkia4OfrV9T6O3OAecPfplMQNJz5uWFr8vSEsUZRUGsZX6L5iSkUdmh7ZkAUOhl/kFBbhlfLITRFzQ==" saltValue="UAIDqVbpgykSkTzPzpsAR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9.1604400469151748E-2</v>
      </c>
      <c r="G18" s="90">
        <f>MIN(MAX(1-0.89/(1-frac_sam_12_23months+(frac_sam_12_23months*0.89)),0),1)</f>
        <v>9.2438870942275431E-2</v>
      </c>
      <c r="H18" s="90">
        <f>MIN(MAX(1-0.89/(1-frac_sam_24_59months+(frac_sam_24_59months*0.89)),0),1)</f>
        <v>9.588992382211281E-2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9.9419354473972876E-2</v>
      </c>
      <c r="G20" s="90">
        <f>MIN(MAX(1-0.89/(1-frac_mam_12_23months+(frac_mam_12_23months*0.89)),0),1)</f>
        <v>0.10158160400915062</v>
      </c>
      <c r="H20" s="90">
        <f>MIN(MAX(1-0.89/(1-frac_mam_24_59months+(frac_mam_24_59months*0.89)),0),1)</f>
        <v>0.10084694378452053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8.1740802201146767E-3</v>
      </c>
      <c r="G73" s="90">
        <f>MIN(MAX(1-0.99/(1-frac_sam_12_23months+(frac_sam_12_23months*0.99)),0),1)</f>
        <v>8.2554489373285467E-3</v>
      </c>
      <c r="H73" s="90">
        <f>MIN(MAX(1-0.99/(1-frac_sam_24_59months+(frac_sam_24_59months*0.99)),0),1)</f>
        <v>8.5934111684909942E-3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8.9414870715061046E-3</v>
      </c>
      <c r="G75" s="90">
        <f>MIN(MAX(1-0.99/(1-frac_mam_12_23months+(frac_mam_12_23months*0.99)),0),1)</f>
        <v>9.1559594124658306E-3</v>
      </c>
      <c r="H75" s="90">
        <f>MIN(MAX(1-0.99/(1-frac_mam_24_59months+(frac_mam_24_59months*0.99)),0),1)</f>
        <v>9.0829835928424307E-3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0.16941852153506731</v>
      </c>
      <c r="G128" s="90">
        <f>MIN(MAX(1-0.8/(1-frac_sam_12_23months+(frac_sam_12_23months*0.8)),0),1)</f>
        <v>0.17082853735377013</v>
      </c>
      <c r="H128" s="90">
        <f>MIN(MAX(1-0.8/(1-frac_sam_24_59months+(frac_sam_24_59months*0.8)),0),1)</f>
        <v>0.17663655166824854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0.1825379812779534</v>
      </c>
      <c r="G130" s="90">
        <f>MIN(MAX(1-0.8/(1-frac_mam_12_23months+(frac_mam_12_23months*0.8)),0),1)</f>
        <v>0.18613433341146435</v>
      </c>
      <c r="H130" s="90">
        <f>MIN(MAX(1-0.8/(1-frac_mam_24_59months+(frac_mam_24_59months*0.8)),0),1)</f>
        <v>0.18491403023373931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WppBJYKJXEuq5rkdMFuMcKNZOGjdJk+0sSOqKjtp2AlCt8WiYFYay/mkQsTi+3T7WCFQBaYT3KofcwjbSVcQQ==" saltValue="7huER4yfjw2rCoxlYzrI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0JIqfO6nOietdb3EROun6m3EZYB/qxZaUg8svxsoyrW9pDlWx7PUJYQ3L8rV08Vl9ckhN0TiKcayUbbtML/MPg==" saltValue="gzOOzodT1bUzUf3+cH8WV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2024-08-06T07:31:04Z</dcterms:modified>
</cp:coreProperties>
</file>