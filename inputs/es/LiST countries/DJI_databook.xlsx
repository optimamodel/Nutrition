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0B9AEE4B-8312-4883-96FB-4EB93A7A8B7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A19" i="2"/>
  <c r="A37" i="2"/>
  <c r="I4" i="2"/>
  <c r="I8" i="2"/>
  <c r="I12" i="2"/>
  <c r="A25" i="2"/>
  <c r="A34" i="2"/>
  <c r="A40" i="2"/>
  <c r="I2" i="2"/>
  <c r="I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<sst xmlns="http://schemas.openxmlformats.org/spreadsheetml/2006/main" count="2159" uniqueCount="372">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</sst>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117835.5</v>
      </c>
    </row>
    <row r="8" spans="1:3" ht="15" customHeight="1" x14ac:dyDescent="0.25">
      <c r="B8" s="5" t="s">
        <v>63</v>
      </c>
      <c r="C8" s="44">
        <v>0.21099999999999999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0.37275469999999999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3.44E-2</v>
      </c>
    </row>
    <row r="24" spans="1:3" ht="15" customHeight="1" x14ac:dyDescent="0.25">
      <c r="B24" s="15" t="s">
        <v>65</v>
      </c>
      <c r="C24" s="45">
        <v>0.33629999999999999</v>
      </c>
    </row>
    <row r="25" spans="1:3" ht="15" customHeight="1" x14ac:dyDescent="0.25">
      <c r="B25" s="15" t="s">
        <v>66</v>
      </c>
      <c r="C25" s="45">
        <v>0.51450000000000007</v>
      </c>
    </row>
    <row r="26" spans="1:3" ht="15" customHeight="1" x14ac:dyDescent="0.25">
      <c r="B26" s="15" t="s">
        <v>67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0.18812535867607999</v>
      </c>
    </row>
    <row r="30" spans="1:3" ht="14.25" customHeight="1" x14ac:dyDescent="0.25">
      <c r="B30" s="25" t="s">
        <v>82</v>
      </c>
      <c r="C30" s="99">
        <v>7.529214782846369E-2</v>
      </c>
    </row>
    <row r="31" spans="1:3" ht="14.25" customHeight="1" x14ac:dyDescent="0.25">
      <c r="B31" s="25" t="s">
        <v>29</v>
      </c>
      <c r="C31" s="99">
        <v>0.10030682254742999</v>
      </c>
    </row>
    <row r="32" spans="1:3" ht="14.25" customHeight="1" x14ac:dyDescent="0.25">
      <c r="B32" s="25" t="s">
        <v>30</v>
      </c>
      <c r="C32" s="99">
        <v>0.63627567094802595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29.55951</v>
      </c>
    </row>
    <row r="38" spans="1:5" ht="15" customHeight="1" x14ac:dyDescent="0.25">
      <c r="B38" s="11" t="s">
        <v>54</v>
      </c>
      <c r="C38" s="43">
        <v>45.850830000000002</v>
      </c>
      <c r="D38" s="12"/>
      <c r="E38" s="13"/>
    </row>
    <row r="39" spans="1:5" ht="15" customHeight="1" x14ac:dyDescent="0.25">
      <c r="B39" s="11" t="s">
        <v>80</v>
      </c>
      <c r="C39" s="43">
        <v>54.14123</v>
      </c>
      <c r="D39" s="12"/>
      <c r="E39" s="12"/>
    </row>
    <row r="40" spans="1:5" ht="15" customHeight="1" x14ac:dyDescent="0.25">
      <c r="B40" s="11" t="s">
        <v>55</v>
      </c>
      <c r="C40" s="100">
        <v>2.34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7.9539999999999993E-3</v>
      </c>
      <c r="D45" s="12"/>
    </row>
    <row r="46" spans="1:5" ht="15.75" customHeight="1" x14ac:dyDescent="0.25">
      <c r="B46" s="11" t="s">
        <v>70</v>
      </c>
      <c r="C46" s="45">
        <v>8.5464499999999999E-2</v>
      </c>
      <c r="D46" s="12"/>
    </row>
    <row r="47" spans="1:5" ht="15.75" customHeight="1" x14ac:dyDescent="0.25">
      <c r="B47" s="11" t="s">
        <v>78</v>
      </c>
      <c r="C47" s="45">
        <v>7.3436600000000005E-2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0.53184900000000002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eoKgbFaTdFPnnFPV0zwB4tcDCf6prcFuLPrOYS4kj6SAoqwsCtzYKt6+bXVAYpHNPOxSMSmj6FFHT9PmzMiDLg==" saltValue="QPAoMsof7O5eGq6A68TU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/7I0+GJSzBsw0Tn1TNlTdwlJPzozCzFTB2j5VJMULkhhSV49Bejm2gexElvvd9LgomdMdhQcCjOEQ9Kj72A5A==" saltValue="K+6xaqshsLndRtmVeC5Z4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8.8169999999999932E-3</v>
      </c>
    </row>
    <row r="4" spans="1:8" ht="15.75" customHeight="1" x14ac:dyDescent="0.25">
      <c r="B4" s="19" t="s">
        <v>116</v>
      </c>
      <c r="C4" s="101">
        <v>5.5100499999999913E-2</v>
      </c>
    </row>
    <row r="5" spans="1:8" ht="15.75" customHeight="1" x14ac:dyDescent="0.25">
      <c r="B5" s="19" t="s">
        <v>114</v>
      </c>
      <c r="C5" s="101">
        <v>6.986630000000002E-2</v>
      </c>
    </row>
    <row r="6" spans="1:8" ht="15.75" customHeight="1" x14ac:dyDescent="0.25">
      <c r="B6" s="19" t="s">
        <v>110</v>
      </c>
      <c r="C6" s="101">
        <v>0.24833930000000001</v>
      </c>
    </row>
    <row r="7" spans="1:8" ht="15.75" customHeight="1" x14ac:dyDescent="0.25">
      <c r="B7" s="19" t="s">
        <v>115</v>
      </c>
      <c r="C7" s="101">
        <v>0.4203207000000001</v>
      </c>
    </row>
    <row r="8" spans="1:8" ht="15.75" customHeight="1" x14ac:dyDescent="0.25">
      <c r="B8" s="19" t="s">
        <v>117</v>
      </c>
      <c r="C8" s="101">
        <v>1.5927000000000001E-3</v>
      </c>
    </row>
    <row r="9" spans="1:8" ht="15.75" customHeight="1" x14ac:dyDescent="0.25">
      <c r="B9" s="19" t="s">
        <v>111</v>
      </c>
      <c r="C9" s="101">
        <v>7.7598499999999945E-2</v>
      </c>
    </row>
    <row r="10" spans="1:8" ht="15.75" customHeight="1" x14ac:dyDescent="0.25">
      <c r="B10" s="19" t="s">
        <v>113</v>
      </c>
      <c r="C10" s="101">
        <v>0.1183649999999999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121</v>
      </c>
      <c r="C15" s="101">
        <v>0.2649449053983835</v>
      </c>
      <c r="D15" s="101">
        <v>0.2649449053983835</v>
      </c>
      <c r="E15" s="101">
        <v>0.2649449053983835</v>
      </c>
      <c r="F15" s="101">
        <v>0.2649449053983835</v>
      </c>
    </row>
    <row r="16" spans="1:8" ht="15.75" customHeight="1" x14ac:dyDescent="0.25">
      <c r="B16" s="19" t="s">
        <v>2</v>
      </c>
      <c r="C16" s="101">
        <v>2.1128147976965089E-2</v>
      </c>
      <c r="D16" s="101">
        <v>2.1128147976965089E-2</v>
      </c>
      <c r="E16" s="101">
        <v>2.1128147976965089E-2</v>
      </c>
      <c r="F16" s="101">
        <v>2.1128147976965089E-2</v>
      </c>
    </row>
    <row r="17" spans="1:8" ht="15.75" customHeight="1" x14ac:dyDescent="0.25">
      <c r="B17" s="19" t="s">
        <v>109</v>
      </c>
      <c r="C17" s="101">
        <v>4.0492182920467542E-3</v>
      </c>
      <c r="D17" s="101">
        <v>4.0492182920467542E-3</v>
      </c>
      <c r="E17" s="101">
        <v>4.0492182920467542E-3</v>
      </c>
      <c r="F17" s="101">
        <v>4.0492182920467542E-3</v>
      </c>
    </row>
    <row r="18" spans="1:8" ht="15.75" customHeight="1" x14ac:dyDescent="0.25">
      <c r="B18" s="19" t="s">
        <v>3</v>
      </c>
      <c r="C18" s="101">
        <v>6.9602010278532786E-2</v>
      </c>
      <c r="D18" s="101">
        <v>6.9602010278532786E-2</v>
      </c>
      <c r="E18" s="101">
        <v>6.9602010278532786E-2</v>
      </c>
      <c r="F18" s="101">
        <v>6.9602010278532786E-2</v>
      </c>
    </row>
    <row r="19" spans="1:8" ht="15.75" customHeight="1" x14ac:dyDescent="0.25">
      <c r="B19" s="19" t="s">
        <v>120</v>
      </c>
      <c r="C19" s="101">
        <v>7.8603843456375461E-3</v>
      </c>
      <c r="D19" s="101">
        <v>7.8603843456375461E-3</v>
      </c>
      <c r="E19" s="101">
        <v>7.8603843456375461E-3</v>
      </c>
      <c r="F19" s="101">
        <v>7.8603843456375461E-3</v>
      </c>
    </row>
    <row r="20" spans="1:8" ht="15.75" customHeight="1" x14ac:dyDescent="0.25">
      <c r="B20" s="19" t="s">
        <v>98</v>
      </c>
      <c r="C20" s="101">
        <v>3.9660599476444458E-2</v>
      </c>
      <c r="D20" s="101">
        <v>3.9660599476444458E-2</v>
      </c>
      <c r="E20" s="101">
        <v>3.9660599476444458E-2</v>
      </c>
      <c r="F20" s="101">
        <v>3.9660599476444458E-2</v>
      </c>
    </row>
    <row r="21" spans="1:8" ht="15.75" customHeight="1" x14ac:dyDescent="0.25">
      <c r="B21" s="19" t="s">
        <v>107</v>
      </c>
      <c r="C21" s="101">
        <v>0.1392684087204811</v>
      </c>
      <c r="D21" s="101">
        <v>0.1392684087204811</v>
      </c>
      <c r="E21" s="101">
        <v>0.1392684087204811</v>
      </c>
      <c r="F21" s="101">
        <v>0.1392684087204811</v>
      </c>
    </row>
    <row r="22" spans="1:8" ht="15.75" customHeight="1" x14ac:dyDescent="0.25">
      <c r="B22" s="19" t="s">
        <v>118</v>
      </c>
      <c r="C22" s="101">
        <v>0.26102568987437541</v>
      </c>
      <c r="D22" s="101">
        <v>0.26102568987437541</v>
      </c>
      <c r="E22" s="101">
        <v>0.26102568987437541</v>
      </c>
      <c r="F22" s="101">
        <v>0.26102568987437541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4.4741791000000003E-2</v>
      </c>
    </row>
    <row r="27" spans="1:8" ht="15.75" customHeight="1" x14ac:dyDescent="0.25">
      <c r="B27" s="19" t="s">
        <v>108</v>
      </c>
      <c r="C27" s="101">
        <v>2.6038460999999999E-2</v>
      </c>
    </row>
    <row r="28" spans="1:8" ht="15.75" customHeight="1" x14ac:dyDescent="0.25">
      <c r="B28" s="19" t="s">
        <v>122</v>
      </c>
      <c r="C28" s="101">
        <v>0.189573254</v>
      </c>
    </row>
    <row r="29" spans="1:8" ht="15.75" customHeight="1" x14ac:dyDescent="0.25">
      <c r="B29" s="19" t="s">
        <v>105</v>
      </c>
      <c r="C29" s="101">
        <v>0.14647354200000001</v>
      </c>
    </row>
    <row r="30" spans="1:8" ht="15.75" customHeight="1" x14ac:dyDescent="0.25">
      <c r="B30" s="19" t="s">
        <v>4</v>
      </c>
      <c r="C30" s="101">
        <v>4.8331328999999999E-2</v>
      </c>
    </row>
    <row r="31" spans="1:8" ht="15.75" customHeight="1" x14ac:dyDescent="0.25">
      <c r="B31" s="19" t="s">
        <v>99</v>
      </c>
      <c r="C31" s="101">
        <v>2.9691288999999999E-2</v>
      </c>
    </row>
    <row r="32" spans="1:8" ht="15.75" customHeight="1" x14ac:dyDescent="0.25">
      <c r="B32" s="19" t="s">
        <v>104</v>
      </c>
      <c r="C32" s="101">
        <v>8.2147682999999999E-2</v>
      </c>
    </row>
    <row r="33" spans="2:3" ht="15.75" customHeight="1" x14ac:dyDescent="0.25">
      <c r="B33" s="19" t="s">
        <v>119</v>
      </c>
      <c r="C33" s="101">
        <v>0.16250015100000001</v>
      </c>
    </row>
    <row r="34" spans="2:3" ht="15.75" customHeight="1" x14ac:dyDescent="0.25">
      <c r="B34" s="19" t="s">
        <v>106</v>
      </c>
      <c r="C34" s="101">
        <v>0.27050250100000001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5HJADGOPjFOeZ4feiKpheNpfdqwrgQVoRQntmUSkkI1Kx4AyUJQ2NMBMWnY+8BIN0LOnZFMEkF5jvCe9RjXTlw==" saltValue="+0kr14iaDbD03Dztxcty/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129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125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126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138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tUqcQY7mIdVwhSFFHnts45jHa1OpKYAHrTpAsfml7elVbygYIC3aGt28yDTfc2fgnMttyI/EWnAKE5Socl5XA==" saltValue="w2sR9Ld2DpwatP4VG4z6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6.5475600000000078E-2</v>
      </c>
      <c r="D5" s="52">
        <f t="shared" si="0"/>
        <v>8.8723699999999961E-2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6XenR83MMnh6JL7hqZWB+hxwM8tKzZWfNFNeaGzn2UvrZgrGUGSoGqAo3ytqn7bLBrC0TziNXobqSIlMa5fqdQ==" saltValue="IRFCJMCuksTn/Otcx/cis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VbYNEQxTpEodCCjzcla8sDK+ZD/EIwHZpp79QLt1f3vXBYH4oqcOfnrFbG++hus/TsVbLDHo39OjobkngkZdQ==" saltValue="rPZ40whsWflYAwGLlJJOl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3136.1127680487298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0.41298999999999997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0.19265999999999997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1.2908400254980639E-2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94288.254610000004</v>
      </c>
      <c r="C22" s="109">
        <v>93552.348979999995</v>
      </c>
      <c r="D22" s="109">
        <v>93076.778680000003</v>
      </c>
      <c r="E22" s="109">
        <v>92505.751220000006</v>
      </c>
      <c r="F22" s="109">
        <v>91747.657489999998</v>
      </c>
      <c r="G22" s="109">
        <v>90777.702239999999</v>
      </c>
      <c r="H22" s="109">
        <v>89423.920929999993</v>
      </c>
      <c r="I22" s="109">
        <v>87517.520959999994</v>
      </c>
      <c r="J22" s="109">
        <v>84915.692439999999</v>
      </c>
      <c r="K22" s="109">
        <v>81565.661890000003</v>
      </c>
      <c r="L22" s="109">
        <v>77343.312919999997</v>
      </c>
      <c r="M22" s="109">
        <v>71999.319789999994</v>
      </c>
      <c r="N22" s="109">
        <v>64784.622199999998</v>
      </c>
      <c r="O22" s="109">
        <v>55591.294889999997</v>
      </c>
    </row>
  </sheetData>
  <sheetProtection algorithmName="SHA-512" hashValue="rONs2dXOlOC4Jf7RPlVMlHKgliJTNxK00TFdACjR06L/86bnwY0p4iYFXJU2vYoW/AnkadTOohfuQPyAC2UdGQ==" saltValue="OoS5SaKVdx7ydckEoWQf5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/rYK/PqszeCZVScLvlDc9k78aLCh6a+V/S0yaLn6dExa6CKiDb9bShFyh7wgHk5O6qoFsM/MmYvNhhhGZRZ6w==" saltValue="Fx3lSn/TycZ17zkcZHJTw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uvX5bGIgPEIXvrSVNJkeJ+GwEfFbt0F8ZfBmh42nGnU1DlPZ3RcoMFwCbONmgMHhL/fKWU/LiZpzDIUpy7iaYg==" saltValue="51v+yvmIQaKkzp8kdkciE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12.687640493451919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12.687640493451919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12.687640493451919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12.687640493451919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12.687640493451919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12.687640493451919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0.90249999999999997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1.41438E-2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1.41438E-2</v>
      </c>
      <c r="C19" s="98">
        <v>0.95</v>
      </c>
      <c r="D19" s="56">
        <v>4.3845374540579991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0.30199999999999999</v>
      </c>
      <c r="C23" s="98">
        <v>0.95</v>
      </c>
      <c r="D23" s="56">
        <v>4.0765008182611906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0.62511483451562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0.61573460000000002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0.23100000000000001</v>
      </c>
      <c r="C29" s="98">
        <v>0.95</v>
      </c>
      <c r="D29" s="56">
        <v>193.6128732031849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0.3236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0.78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4.3199999999999998E-4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0.83361079999999999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rPi5WEgCaiKDL4bSD3tidNf7dKAELUA5cBHL5OTKdQJbqlclRbztiITvGEY2YG6saBKsddLAzvwJWQtf5Y1+kQ==" saltValue="8GbyhN4NOf1RvFU9CO+r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9kY/mreLESSH47ktQr+meFko7HE9wys1Erga2JfX/EE5/LfOa+zaBfCAhy3um58KgLZEJebjcPCVo37I1E4mw==" saltValue="Z/KeC/y6dzTSnYh6GUSl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wQTE5IlPM4rR3OH9GDF7m691lVyNUKCK6vZm67v780/CHqeDGN3eRY244RuhruvtWDa5C0c4nuLqaTkRLCITg==" saltValue="wYd7PaCcUpBpS9nj//wwR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236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sheetProtection algorithmName="SHA-512" hashValue="RoOHvzG6/j1RQ/yb42Qe6WrORFYR5ylNfxX8eYrsuGLvR56nbRu43oE21jR9djTXLsttrIdvj4pYKhIRo73ubg==" saltValue="bHswwzXVgk2LUFiO4KrbB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0.21099999999999999</v>
      </c>
      <c r="F2" s="60">
        <f>food_insecure</f>
        <v>0.21099999999999999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0.21099999999999999</v>
      </c>
      <c r="F5" s="60">
        <f>food_insecure</f>
        <v>0.21099999999999999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0.21099999999999999</v>
      </c>
      <c r="F8" s="60">
        <f>food_insecure</f>
        <v>0.21099999999999999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0.21099999999999999</v>
      </c>
      <c r="F9" s="60">
        <f>food_insecure</f>
        <v>0.21099999999999999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0.21099999999999999</v>
      </c>
      <c r="I15" s="60">
        <f t="shared" si="0"/>
        <v>0.21099999999999999</v>
      </c>
      <c r="J15" s="60">
        <f t="shared" si="0"/>
        <v>0.21099999999999999</v>
      </c>
      <c r="K15" s="60">
        <f t="shared" si="0"/>
        <v>0.21099999999999999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0.21099999999999999</v>
      </c>
      <c r="I16" s="60">
        <f t="shared" si="0"/>
        <v>0.21099999999999999</v>
      </c>
      <c r="J16" s="60">
        <f t="shared" si="0"/>
        <v>0.21099999999999999</v>
      </c>
      <c r="K16" s="60">
        <f t="shared" si="0"/>
        <v>0.21099999999999999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0.33514343624300003</v>
      </c>
      <c r="M25" s="60">
        <f>(1-food_insecure)*(0.49)+food_insecure*(0.7)</f>
        <v>0.53431000000000006</v>
      </c>
      <c r="N25" s="60">
        <f>(1-food_insecure)*(0.49)+food_insecure*(0.7)</f>
        <v>0.53431000000000006</v>
      </c>
      <c r="O25" s="60">
        <f>(1-food_insecure)*(0.49)+food_insecure*(0.7)</f>
        <v>0.53431000000000006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0.14363290124700001</v>
      </c>
      <c r="M26" s="60">
        <f>(1-food_insecure)*(0.21)+food_insecure*(0.3)</f>
        <v>0.22899</v>
      </c>
      <c r="N26" s="60">
        <f>(1-food_insecure)*(0.21)+food_insecure*(0.3)</f>
        <v>0.22899</v>
      </c>
      <c r="O26" s="60">
        <f>(1-food_insecure)*(0.21)+food_insecure*(0.3)</f>
        <v>0.22899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0.14846896251</v>
      </c>
      <c r="M27" s="60">
        <f>(1-food_insecure)*(0.3)</f>
        <v>0.23669999999999999</v>
      </c>
      <c r="N27" s="60">
        <f>(1-food_insecure)*(0.3)</f>
        <v>0.23669999999999999</v>
      </c>
      <c r="O27" s="60">
        <f>(1-food_insecure)*(0.3)</f>
        <v>0.23669999999999999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0.37275469999999999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Rcoj+VAKzt/umRcr1zOjIOquuv1eirlJdxW715xoU0qId7zake/HiGN0JA52eXFDw4mEb/jxUB57pJEKh4ivw==" saltValue="AAknkV8SPutsuMv5cMAN9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09P7WA7V/9ILfBFlNi2C/5hMtRRS3Q5lD6FnzoX8J8aWOY47Mg81tbhPY1N4K8hAWU9j1pMITj+bpd+lkIRFQ==" saltValue="3b9nzDquyTazPqNwvdvhG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b2tlOcYJJ37Vj9bj1Mklc6heyHxyXLZ4mvI6KYvCHksi28OoDf65h88LiA2FNuzMTNzBGQRzaCzGlrpP5gzhA==" saltValue="vIs6yo7JCdt962jXQuthy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UHaN/GvHEh5XK/4JbEDnK+hSz0cAsSj/Opan5qmj2xMI+X42snc/EY8xUqQJv4AIDmB46/NWOR1JaXRdEQ2kQ==" saltValue="hnsO/GlXCgDwf/YSfvpo4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BrTGLhuACCF7eipEIzRTFCNNLFpmCCcWXmyxGZyFfUN+SEbbsNEdWLCPFY9bk7RcAXOrVagEHCJn1wjBoND6UA==" saltValue="RocPITRspaezHq9Dshf98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0HFKqm7x0JcVS4mxNU5OIOkpfbiUpzQopGRItpdGXh1UsAWiNkKuKNryI0XfXJiqBYgQ3RSXqOk7q/2jwwj+w==" saltValue="+M30vXMJJhdQ4vdktthbt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b1eKvT/JdRt5GVD1/ucsg94FNg8sc2nLQsxLF3Xo8hp2g4waeqzr35OLTTSo5aV7BDW40JPyu+zGc97kT4M/g==" saltValue="438Vb+3FZf0HZvrGEnPdF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lCjxyXAfVdRXE3XWpR8X6oseMXS9fUqI7dcFAcyByRyQxoDVP9eViEacstdArbaZF5yVrWtVRqc8yYWEGxF4WA==" saltValue="Xq9CKnUYLWn1jqSBZl0c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/VVw+Ud3dD+wnQryUbODTSSfY+0MPuNUMCFJ+dbk+f5EGoe1EeJ0EfP+TCq1daFK16HpRNpl/E5dP7/wvz57Pg==" saltValue="4Bhq35MfN7AY3EHIe2re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yIzsxWWGHInZCHxI7N/j9+9uiXuhOHlnhq4LKkaWBPkUxdMYUWiB7WfQb1Xh5ctNfcxZt4EHWpgCH3s1bphOw==" saltValue="9igvTxhZ0AV4gh4XA/3H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vTTed/+X9BpcYD+ahCXgBy4L9gXGmwKQ2KFcNg/e06vbctFFVRols5hQ0elpRueLOVXlBGHYkXgldPexz6N+Q==" saltValue="V6viBd+OSIL/re0LnN6V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v+QdxzBIJAq7LyQiI34PDpjh3nF7+0HIBgkDFa3in33jLk2QPw4We51nAG30nYlhHqrWT5TeQ3Hqor3Vul1ZA==" saltValue="DDlsDjB5P7t7YpivHz+f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IF89PbeocFV2DQwe69HL1AdXQCcymKj8lUhKDSQhyLAR6BBUZzXAvEztXYzTJG2Gnod/3zBn9IpSLZiDSKoaA==" saltValue="Ie+LcKFuyCTuswfYhW6W/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XbYTljqGa9rpP0xTN3p48idoJHvH78WGMjDg0ocr7QKCDjCPfR3KF7ZDhFBhOwa0WzwNjYNZUILBez9liau5w==" saltValue="koQgnDl76leUZAuIresg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Q7ECUzp0z1/68eh56DrgInkv9yd11GF7dqN+qiP/pJ6d8FNAe9LtSpn2OvNNOGZHxFlK/ycivXTFOU7YpgJGDA==" saltValue="E91dj+3iuE2PZcmPkSZ/j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