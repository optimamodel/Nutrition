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3F3022A7-B786-4115-AD12-312291EAB646}" xr6:coauthVersionLast="47" xr6:coauthVersionMax="47" xr10:uidLastSave="{00000000-0000-0000-0000-000000000000}"/>
  <bookViews>
    <workbookView xWindow="20" yWindow="20" windowWidth="19180" windowHeight="1018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5" i="2"/>
  <c r="A31" i="2"/>
  <c r="A26" i="2"/>
  <c r="A24" i="2"/>
  <c r="A23" i="2"/>
  <c r="A22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36" i="2" l="1"/>
  <c r="A19" i="2"/>
  <c r="A37" i="2"/>
  <c r="I4" i="2"/>
  <c r="I8" i="2"/>
  <c r="I12" i="2"/>
  <c r="A25" i="2"/>
  <c r="A34" i="2"/>
  <c r="A40" i="2"/>
  <c r="I2" i="2"/>
  <c r="I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<sst xmlns="http://schemas.openxmlformats.org/spreadsheetml/2006/main" count="2159" uniqueCount="372">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</sst>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117835.5</v>
      </c>
    </row>
    <row r="8" spans="1:3" ht="15" customHeight="1" x14ac:dyDescent="0.25">
      <c r="B8" s="5" t="s">
        <v>63</v>
      </c>
      <c r="C8" s="44">
        <v>0.21099999999999999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0.37275469999999999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0.36399999999999999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3.44E-2</v>
      </c>
    </row>
    <row r="24" spans="1:3" ht="15" customHeight="1" x14ac:dyDescent="0.25">
      <c r="B24" s="15" t="s">
        <v>65</v>
      </c>
      <c r="C24" s="45">
        <v>0.33629999999999999</v>
      </c>
    </row>
    <row r="25" spans="1:3" ht="15" customHeight="1" x14ac:dyDescent="0.25">
      <c r="B25" s="15" t="s">
        <v>66</v>
      </c>
      <c r="C25" s="45">
        <v>0.51450000000000007</v>
      </c>
    </row>
    <row r="26" spans="1:3" ht="15" customHeight="1" x14ac:dyDescent="0.25">
      <c r="B26" s="15" t="s">
        <v>67</v>
      </c>
      <c r="C26" s="45">
        <v>0.1148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0.18812535867607999</v>
      </c>
    </row>
    <row r="30" spans="1:3" ht="14.25" customHeight="1" x14ac:dyDescent="0.25">
      <c r="B30" s="25" t="s">
        <v>82</v>
      </c>
      <c r="C30" s="99">
        <v>7.529214782846369E-2</v>
      </c>
    </row>
    <row r="31" spans="1:3" ht="14.25" customHeight="1" x14ac:dyDescent="0.25">
      <c r="B31" s="25" t="s">
        <v>29</v>
      </c>
      <c r="C31" s="99">
        <v>0.10030682254742999</v>
      </c>
    </row>
    <row r="32" spans="1:3" ht="14.25" customHeight="1" x14ac:dyDescent="0.25">
      <c r="B32" s="25" t="s">
        <v>30</v>
      </c>
      <c r="C32" s="99">
        <v>0.63627567094802595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29.55951</v>
      </c>
    </row>
    <row r="38" spans="1:5" ht="15" customHeight="1" x14ac:dyDescent="0.25">
      <c r="B38" s="11" t="s">
        <v>54</v>
      </c>
      <c r="C38" s="43">
        <v>45.850830000000002</v>
      </c>
      <c r="D38" s="12"/>
      <c r="E38" s="13"/>
    </row>
    <row r="39" spans="1:5" ht="15" customHeight="1" x14ac:dyDescent="0.25">
      <c r="B39" s="11" t="s">
        <v>80</v>
      </c>
      <c r="C39" s="43">
        <v>54.14123</v>
      </c>
      <c r="D39" s="12"/>
      <c r="E39" s="12"/>
    </row>
    <row r="40" spans="1:5" ht="15" customHeight="1" x14ac:dyDescent="0.25">
      <c r="B40" s="11" t="s">
        <v>55</v>
      </c>
      <c r="C40" s="100">
        <v>2.34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26.74746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7.9539999999999993E-3</v>
      </c>
      <c r="D45" s="12"/>
    </row>
    <row r="46" spans="1:5" ht="15.75" customHeight="1" x14ac:dyDescent="0.25">
      <c r="B46" s="11" t="s">
        <v>70</v>
      </c>
      <c r="C46" s="45">
        <v>8.5464499999999999E-2</v>
      </c>
      <c r="D46" s="12"/>
    </row>
    <row r="47" spans="1:5" ht="15.75" customHeight="1" x14ac:dyDescent="0.25">
      <c r="B47" s="11" t="s">
        <v>78</v>
      </c>
      <c r="C47" s="45">
        <v>7.3436600000000005E-2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</v>
      </c>
      <c r="D51" s="12"/>
    </row>
    <row r="52" spans="1:4" ht="15" customHeight="1" x14ac:dyDescent="0.25">
      <c r="B52" s="11" t="s">
        <v>32</v>
      </c>
      <c r="C52" s="100">
        <v>3.3</v>
      </c>
    </row>
    <row r="53" spans="1:4" ht="15.75" customHeight="1" x14ac:dyDescent="0.25">
      <c r="B53" s="11" t="s">
        <v>35</v>
      </c>
      <c r="C53" s="100">
        <v>3.3</v>
      </c>
    </row>
    <row r="54" spans="1:4" ht="15.75" customHeight="1" x14ac:dyDescent="0.25">
      <c r="B54" s="11" t="s">
        <v>33</v>
      </c>
      <c r="C54" s="100">
        <v>3.3</v>
      </c>
    </row>
    <row r="55" spans="1:4" ht="15.75" customHeight="1" x14ac:dyDescent="0.25">
      <c r="B55" s="11" t="s">
        <v>34</v>
      </c>
      <c r="C55" s="100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0.53184900000000002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eoKgbFaTdFPnnFPV0zwB4tcDCf6prcFuLPrOYS4kj6SAoqwsCtzYKt6+bXVAYpHNPOxSMSmj6FFHT9PmzMiDLg==" saltValue="QPAoMsof7O5eGq6A68TU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24604</v>
      </c>
      <c r="C2" s="49">
        <v>66778.5</v>
      </c>
      <c r="D2" s="49">
        <v>104236</v>
      </c>
      <c r="E2" s="49">
        <v>85323</v>
      </c>
      <c r="F2" s="49">
        <v>62276</v>
      </c>
      <c r="G2" s="17">
        <f t="shared" ref="G2:G13" si="0">C2+D2+E2+F2</f>
        <v>318613.5</v>
      </c>
      <c r="H2" s="17">
        <f t="shared" ref="H2:H13" si="1">(B2 + stillbirth*B2/(1000-stillbirth))/(1-abortion)</f>
        <v>28727.477977186591</v>
      </c>
      <c r="I2" s="17">
        <f t="shared" ref="I2:I13" si="2">G2-H2</f>
        <v>289886.02202281338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24620</v>
      </c>
      <c r="C3" s="50">
        <v>66388</v>
      </c>
      <c r="D3" s="50">
        <v>105840</v>
      </c>
      <c r="E3" s="50">
        <v>86970</v>
      </c>
      <c r="F3" s="50">
        <v>63203</v>
      </c>
      <c r="G3" s="17">
        <f t="shared" si="0"/>
        <v>322401</v>
      </c>
      <c r="H3" s="17">
        <f t="shared" si="1"/>
        <v>28746.159478065914</v>
      </c>
      <c r="I3" s="17">
        <f t="shared" si="2"/>
        <v>293654.84052193409</v>
      </c>
    </row>
    <row r="4" spans="1:9" ht="15.75" customHeight="1" x14ac:dyDescent="0.25">
      <c r="A4" s="5">
        <f t="shared" si="3"/>
        <v>2026</v>
      </c>
      <c r="B4" s="49">
        <v>24763</v>
      </c>
      <c r="C4" s="50">
        <v>66098.999999999985</v>
      </c>
      <c r="D4" s="50">
        <v>107274.5</v>
      </c>
      <c r="E4" s="50">
        <v>88530.5</v>
      </c>
      <c r="F4" s="50">
        <v>64077.999999999993</v>
      </c>
      <c r="G4" s="17">
        <f t="shared" si="0"/>
        <v>325982</v>
      </c>
      <c r="H4" s="17">
        <f t="shared" si="1"/>
        <v>28913.125392174908</v>
      </c>
      <c r="I4" s="17">
        <f t="shared" si="2"/>
        <v>297068.87460782507</v>
      </c>
    </row>
    <row r="5" spans="1:9" ht="15.75" customHeight="1" x14ac:dyDescent="0.25">
      <c r="A5" s="5">
        <f t="shared" si="3"/>
        <v>2027</v>
      </c>
      <c r="B5" s="49">
        <v>24837</v>
      </c>
      <c r="C5" s="50">
        <v>65932.5</v>
      </c>
      <c r="D5" s="50">
        <v>108570</v>
      </c>
      <c r="E5" s="50">
        <v>89971.500000000015</v>
      </c>
      <c r="F5" s="50">
        <v>64953.5</v>
      </c>
      <c r="G5" s="17">
        <f t="shared" si="0"/>
        <v>329427.5</v>
      </c>
      <c r="H5" s="17">
        <f t="shared" si="1"/>
        <v>28999.527333741804</v>
      </c>
      <c r="I5" s="17">
        <f t="shared" si="2"/>
        <v>300427.97266625823</v>
      </c>
    </row>
    <row r="6" spans="1:9" ht="15.75" customHeight="1" x14ac:dyDescent="0.25">
      <c r="A6" s="5">
        <f t="shared" si="3"/>
        <v>2028</v>
      </c>
      <c r="B6" s="49">
        <v>24909</v>
      </c>
      <c r="C6" s="50">
        <v>65860</v>
      </c>
      <c r="D6" s="50">
        <v>109629.5</v>
      </c>
      <c r="E6" s="50">
        <v>91397</v>
      </c>
      <c r="F6" s="50">
        <v>65876</v>
      </c>
      <c r="G6" s="17">
        <f t="shared" si="0"/>
        <v>332762.5</v>
      </c>
      <c r="H6" s="17">
        <f t="shared" si="1"/>
        <v>29083.594087698777</v>
      </c>
      <c r="I6" s="17">
        <f t="shared" si="2"/>
        <v>303678.90591230121</v>
      </c>
    </row>
    <row r="7" spans="1:9" ht="15.75" customHeight="1" x14ac:dyDescent="0.25">
      <c r="A7" s="5">
        <f t="shared" si="3"/>
        <v>2029</v>
      </c>
      <c r="B7" s="49">
        <v>24901</v>
      </c>
      <c r="C7" s="50">
        <v>65876</v>
      </c>
      <c r="D7" s="50">
        <v>110319</v>
      </c>
      <c r="E7" s="50">
        <v>92950.5</v>
      </c>
      <c r="F7" s="50">
        <v>66879.5</v>
      </c>
      <c r="G7" s="17">
        <f t="shared" si="0"/>
        <v>336025</v>
      </c>
      <c r="H7" s="17">
        <f t="shared" si="1"/>
        <v>29074.253337259113</v>
      </c>
      <c r="I7" s="17">
        <f t="shared" si="2"/>
        <v>306950.74666274089</v>
      </c>
    </row>
    <row r="8" spans="1:9" ht="15.75" customHeight="1" x14ac:dyDescent="0.25">
      <c r="A8" s="5">
        <f t="shared" si="3"/>
        <v>2030</v>
      </c>
      <c r="B8" s="49">
        <v>24941</v>
      </c>
      <c r="C8" s="50">
        <v>65966</v>
      </c>
      <c r="D8" s="50">
        <v>110653</v>
      </c>
      <c r="E8" s="50">
        <v>94640.5</v>
      </c>
      <c r="F8" s="50">
        <v>67992</v>
      </c>
      <c r="G8" s="17">
        <f t="shared" si="0"/>
        <v>339251.5</v>
      </c>
      <c r="H8" s="17">
        <f t="shared" si="1"/>
        <v>29120.957089457435</v>
      </c>
      <c r="I8" s="17">
        <f t="shared" si="2"/>
        <v>310130.54291054257</v>
      </c>
    </row>
    <row r="9" spans="1:9" ht="15.75" customHeight="1" x14ac:dyDescent="0.25">
      <c r="A9" s="5">
        <f t="shared" si="3"/>
        <v>2031</v>
      </c>
      <c r="B9" s="49">
        <v>24962</v>
      </c>
      <c r="C9" s="50">
        <v>66150.5</v>
      </c>
      <c r="D9" s="50">
        <v>110654</v>
      </c>
      <c r="E9" s="50">
        <v>96467</v>
      </c>
      <c r="F9" s="50">
        <v>69231</v>
      </c>
      <c r="G9" s="17">
        <f t="shared" si="0"/>
        <v>342502.5</v>
      </c>
      <c r="H9" s="17">
        <f t="shared" si="1"/>
        <v>29145.476559361552</v>
      </c>
      <c r="I9" s="17">
        <f t="shared" si="2"/>
        <v>313357.02344063844</v>
      </c>
    </row>
    <row r="10" spans="1:9" ht="15.75" customHeight="1" x14ac:dyDescent="0.25">
      <c r="A10" s="5">
        <f t="shared" si="3"/>
        <v>2032</v>
      </c>
      <c r="B10" s="49">
        <v>24922</v>
      </c>
      <c r="C10" s="50">
        <v>66413.000000000015</v>
      </c>
      <c r="D10" s="50">
        <v>110385.5</v>
      </c>
      <c r="E10" s="50">
        <v>98418</v>
      </c>
      <c r="F10" s="50">
        <v>70566</v>
      </c>
      <c r="G10" s="17">
        <f t="shared" si="0"/>
        <v>345782.5</v>
      </c>
      <c r="H10" s="17">
        <f t="shared" si="1"/>
        <v>29098.77280716323</v>
      </c>
      <c r="I10" s="17">
        <f t="shared" si="2"/>
        <v>316683.72719283676</v>
      </c>
    </row>
    <row r="11" spans="1:9" ht="15.75" customHeight="1" x14ac:dyDescent="0.25">
      <c r="A11" s="5">
        <f t="shared" si="3"/>
        <v>2033</v>
      </c>
      <c r="B11" s="49">
        <v>24922</v>
      </c>
      <c r="C11" s="50">
        <v>66713</v>
      </c>
      <c r="D11" s="50">
        <v>109979.5</v>
      </c>
      <c r="E11" s="50">
        <v>100375</v>
      </c>
      <c r="F11" s="50">
        <v>71965</v>
      </c>
      <c r="G11" s="17">
        <f t="shared" si="0"/>
        <v>349032.5</v>
      </c>
      <c r="H11" s="17">
        <f t="shared" si="1"/>
        <v>29098.77280716323</v>
      </c>
      <c r="I11" s="17">
        <f t="shared" si="2"/>
        <v>319933.72719283676</v>
      </c>
    </row>
    <row r="12" spans="1:9" ht="15.75" customHeight="1" x14ac:dyDescent="0.25">
      <c r="A12" s="5">
        <f t="shared" si="3"/>
        <v>2034</v>
      </c>
      <c r="B12" s="49">
        <v>24874</v>
      </c>
      <c r="C12" s="50">
        <v>67055.500000000015</v>
      </c>
      <c r="D12" s="50">
        <v>109597</v>
      </c>
      <c r="E12" s="50">
        <v>102182.5</v>
      </c>
      <c r="F12" s="50">
        <v>73444.5</v>
      </c>
      <c r="G12" s="17">
        <f t="shared" si="0"/>
        <v>352279.5</v>
      </c>
      <c r="H12" s="17">
        <f t="shared" si="1"/>
        <v>29042.728304525248</v>
      </c>
      <c r="I12" s="17">
        <f t="shared" si="2"/>
        <v>323236.77169547474</v>
      </c>
    </row>
    <row r="13" spans="1:9" ht="15.75" customHeight="1" x14ac:dyDescent="0.25">
      <c r="A13" s="5">
        <f t="shared" si="3"/>
        <v>2035</v>
      </c>
      <c r="B13" s="49">
        <v>24806</v>
      </c>
      <c r="C13" s="50">
        <v>67413.5</v>
      </c>
      <c r="D13" s="50">
        <v>109337.5</v>
      </c>
      <c r="E13" s="50">
        <v>103804.5</v>
      </c>
      <c r="F13" s="50">
        <v>74977.5</v>
      </c>
      <c r="G13" s="17">
        <f t="shared" si="0"/>
        <v>355533</v>
      </c>
      <c r="H13" s="17">
        <f t="shared" si="1"/>
        <v>28963.331925788105</v>
      </c>
      <c r="I13" s="17">
        <f t="shared" si="2"/>
        <v>326569.66807421192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F/7I0+GJSzBsw0Tn1TNlTdwlJPzozCzFTB2j5VJMULkhhSV49Bejm2gexElvvd9LgomdMdhQcCjOEQ9Kj72A5A==" saltValue="K+6xaqshsLndRtmVeC5Z4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8.8169999999999932E-3</v>
      </c>
    </row>
    <row r="4" spans="1:8" ht="15.75" customHeight="1" x14ac:dyDescent="0.25">
      <c r="B4" s="19" t="s">
        <v>116</v>
      </c>
      <c r="C4" s="101">
        <v>5.5100499999999913E-2</v>
      </c>
    </row>
    <row r="5" spans="1:8" ht="15.75" customHeight="1" x14ac:dyDescent="0.25">
      <c r="B5" s="19" t="s">
        <v>114</v>
      </c>
      <c r="C5" s="101">
        <v>6.986630000000002E-2</v>
      </c>
    </row>
    <row r="6" spans="1:8" ht="15.75" customHeight="1" x14ac:dyDescent="0.25">
      <c r="B6" s="19" t="s">
        <v>110</v>
      </c>
      <c r="C6" s="101">
        <v>0.24833930000000001</v>
      </c>
    </row>
    <row r="7" spans="1:8" ht="15.75" customHeight="1" x14ac:dyDescent="0.25">
      <c r="B7" s="19" t="s">
        <v>115</v>
      </c>
      <c r="C7" s="101">
        <v>0.4203207000000001</v>
      </c>
    </row>
    <row r="8" spans="1:8" ht="15.75" customHeight="1" x14ac:dyDescent="0.25">
      <c r="B8" s="19" t="s">
        <v>117</v>
      </c>
      <c r="C8" s="101">
        <v>1.5927000000000001E-3</v>
      </c>
    </row>
    <row r="9" spans="1:8" ht="15.75" customHeight="1" x14ac:dyDescent="0.25">
      <c r="B9" s="19" t="s">
        <v>111</v>
      </c>
      <c r="C9" s="101">
        <v>7.7598499999999945E-2</v>
      </c>
    </row>
    <row r="10" spans="1:8" ht="15.75" customHeight="1" x14ac:dyDescent="0.25">
      <c r="B10" s="19" t="s">
        <v>113</v>
      </c>
      <c r="C10" s="101">
        <v>0.1183649999999999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0.19246063563713339</v>
      </c>
      <c r="D14" s="55">
        <v>0.19246063563713339</v>
      </c>
      <c r="E14" s="55">
        <v>0.19246063563713339</v>
      </c>
      <c r="F14" s="55">
        <v>0.19246063563713339</v>
      </c>
    </row>
    <row r="15" spans="1:8" ht="15.75" customHeight="1" x14ac:dyDescent="0.25">
      <c r="B15" s="19" t="s">
        <v>121</v>
      </c>
      <c r="C15" s="101">
        <v>0.2649449053983835</v>
      </c>
      <c r="D15" s="101">
        <v>0.2649449053983835</v>
      </c>
      <c r="E15" s="101">
        <v>0.2649449053983835</v>
      </c>
      <c r="F15" s="101">
        <v>0.2649449053983835</v>
      </c>
    </row>
    <row r="16" spans="1:8" ht="15.75" customHeight="1" x14ac:dyDescent="0.25">
      <c r="B16" s="19" t="s">
        <v>2</v>
      </c>
      <c r="C16" s="101">
        <v>2.1128147976965089E-2</v>
      </c>
      <c r="D16" s="101">
        <v>2.1128147976965089E-2</v>
      </c>
      <c r="E16" s="101">
        <v>2.1128147976965089E-2</v>
      </c>
      <c r="F16" s="101">
        <v>2.1128147976965089E-2</v>
      </c>
    </row>
    <row r="17" spans="1:8" ht="15.75" customHeight="1" x14ac:dyDescent="0.25">
      <c r="B17" s="19" t="s">
        <v>109</v>
      </c>
      <c r="C17" s="101">
        <v>4.0492182920467542E-3</v>
      </c>
      <c r="D17" s="101">
        <v>4.0492182920467542E-3</v>
      </c>
      <c r="E17" s="101">
        <v>4.0492182920467542E-3</v>
      </c>
      <c r="F17" s="101">
        <v>4.0492182920467542E-3</v>
      </c>
    </row>
    <row r="18" spans="1:8" ht="15.75" customHeight="1" x14ac:dyDescent="0.25">
      <c r="B18" s="19" t="s">
        <v>3</v>
      </c>
      <c r="C18" s="101">
        <v>6.9602010278532786E-2</v>
      </c>
      <c r="D18" s="101">
        <v>6.9602010278532786E-2</v>
      </c>
      <c r="E18" s="101">
        <v>6.9602010278532786E-2</v>
      </c>
      <c r="F18" s="101">
        <v>6.9602010278532786E-2</v>
      </c>
    </row>
    <row r="19" spans="1:8" ht="15.75" customHeight="1" x14ac:dyDescent="0.25">
      <c r="B19" s="19" t="s">
        <v>120</v>
      </c>
      <c r="C19" s="101">
        <v>7.8603843456375461E-3</v>
      </c>
      <c r="D19" s="101">
        <v>7.8603843456375461E-3</v>
      </c>
      <c r="E19" s="101">
        <v>7.8603843456375461E-3</v>
      </c>
      <c r="F19" s="101">
        <v>7.8603843456375461E-3</v>
      </c>
    </row>
    <row r="20" spans="1:8" ht="15.75" customHeight="1" x14ac:dyDescent="0.25">
      <c r="B20" s="19" t="s">
        <v>98</v>
      </c>
      <c r="C20" s="101">
        <v>3.9660599476444458E-2</v>
      </c>
      <c r="D20" s="101">
        <v>3.9660599476444458E-2</v>
      </c>
      <c r="E20" s="101">
        <v>3.9660599476444458E-2</v>
      </c>
      <c r="F20" s="101">
        <v>3.9660599476444458E-2</v>
      </c>
    </row>
    <row r="21" spans="1:8" ht="15.75" customHeight="1" x14ac:dyDescent="0.25">
      <c r="B21" s="19" t="s">
        <v>107</v>
      </c>
      <c r="C21" s="101">
        <v>0.1392684087204811</v>
      </c>
      <c r="D21" s="101">
        <v>0.1392684087204811</v>
      </c>
      <c r="E21" s="101">
        <v>0.1392684087204811</v>
      </c>
      <c r="F21" s="101">
        <v>0.1392684087204811</v>
      </c>
    </row>
    <row r="22" spans="1:8" ht="15.75" customHeight="1" x14ac:dyDescent="0.25">
      <c r="B22" s="19" t="s">
        <v>118</v>
      </c>
      <c r="C22" s="101">
        <v>0.26102568987437541</v>
      </c>
      <c r="D22" s="101">
        <v>0.26102568987437541</v>
      </c>
      <c r="E22" s="101">
        <v>0.26102568987437541</v>
      </c>
      <c r="F22" s="101">
        <v>0.26102568987437541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4.4741791000000003E-2</v>
      </c>
    </row>
    <row r="27" spans="1:8" ht="15.75" customHeight="1" x14ac:dyDescent="0.25">
      <c r="B27" s="19" t="s">
        <v>108</v>
      </c>
      <c r="C27" s="101">
        <v>2.6038460999999999E-2</v>
      </c>
    </row>
    <row r="28" spans="1:8" ht="15.75" customHeight="1" x14ac:dyDescent="0.25">
      <c r="B28" s="19" t="s">
        <v>122</v>
      </c>
      <c r="C28" s="101">
        <v>0.189573254</v>
      </c>
    </row>
    <row r="29" spans="1:8" ht="15.75" customHeight="1" x14ac:dyDescent="0.25">
      <c r="B29" s="19" t="s">
        <v>105</v>
      </c>
      <c r="C29" s="101">
        <v>0.14647354200000001</v>
      </c>
    </row>
    <row r="30" spans="1:8" ht="15.75" customHeight="1" x14ac:dyDescent="0.25">
      <c r="B30" s="19" t="s">
        <v>4</v>
      </c>
      <c r="C30" s="101">
        <v>4.8331328999999999E-2</v>
      </c>
    </row>
    <row r="31" spans="1:8" ht="15.75" customHeight="1" x14ac:dyDescent="0.25">
      <c r="B31" s="19" t="s">
        <v>99</v>
      </c>
      <c r="C31" s="101">
        <v>2.9691288999999999E-2</v>
      </c>
    </row>
    <row r="32" spans="1:8" ht="15.75" customHeight="1" x14ac:dyDescent="0.25">
      <c r="B32" s="19" t="s">
        <v>104</v>
      </c>
      <c r="C32" s="101">
        <v>8.2147682999999999E-2</v>
      </c>
    </row>
    <row r="33" spans="2:3" ht="15.75" customHeight="1" x14ac:dyDescent="0.25">
      <c r="B33" s="19" t="s">
        <v>119</v>
      </c>
      <c r="C33" s="101">
        <v>0.16250015100000001</v>
      </c>
    </row>
    <row r="34" spans="2:3" ht="15.75" customHeight="1" x14ac:dyDescent="0.25">
      <c r="B34" s="19" t="s">
        <v>106</v>
      </c>
      <c r="C34" s="101">
        <v>0.27050250100000001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5HJADGOPjFOeZ4feiKpheNpfdqwrgQVoRQntmUSkkI1Kx4AyUJQ2NMBMWnY+8BIN0LOnZFMEkF5jvCe9RjXTlw==" saltValue="+0kr14iaDbD03Dztxcty/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0.38682505991318183</v>
      </c>
      <c r="D2" s="52">
        <f>IFERROR(1-_xlfn.NORM.DIST(_xlfn.NORM.INV(SUM(D4:D5), 0, 1) + 1, 0, 1, TRUE), "")</f>
        <v>0.38682505991318183</v>
      </c>
      <c r="E2" s="52">
        <f>IFERROR(1-_xlfn.NORM.DIST(_xlfn.NORM.INV(SUM(E4:E5), 0, 1) + 1, 0, 1, TRUE), "")</f>
        <v>0.45166447232247831</v>
      </c>
      <c r="F2" s="52">
        <f>IFERROR(1-_xlfn.NORM.DIST(_xlfn.NORM.INV(SUM(F4:F5), 0, 1) + 1, 0, 1, TRUE), "")</f>
        <v>0.18289189106172676</v>
      </c>
      <c r="G2" s="52">
        <f>IFERROR(1-_xlfn.NORM.DIST(_xlfn.NORM.INV(SUM(G4:G5), 0, 1) + 1, 0, 1, TRUE), "")</f>
        <v>0.30274689464556115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0.37506524008681819</v>
      </c>
      <c r="D3" s="52">
        <f>IFERROR(_xlfn.NORM.DIST(_xlfn.NORM.INV(SUM(D4:D5), 0, 1) + 1, 0, 1, TRUE) - SUM(D4:D5), "")</f>
        <v>0.37506524008681819</v>
      </c>
      <c r="E3" s="52">
        <f>IFERROR(_xlfn.NORM.DIST(_xlfn.NORM.INV(SUM(E4:E5), 0, 1) + 1, 0, 1, TRUE) - SUM(E4:E5), "")</f>
        <v>0.35851092767752168</v>
      </c>
      <c r="F3" s="52">
        <f>IFERROR(_xlfn.NORM.DIST(_xlfn.NORM.INV(SUM(F4:F5), 0, 1) + 1, 0, 1, TRUE) - SUM(F4:F5), "")</f>
        <v>0.35518930893827322</v>
      </c>
      <c r="G3" s="52">
        <f>IFERROR(_xlfn.NORM.DIST(_xlfn.NORM.INV(SUM(G4:G5), 0, 1) + 1, 0, 1, TRUE) - SUM(G4:G5), "")</f>
        <v>0.38287690535443886</v>
      </c>
    </row>
    <row r="4" spans="1:15" ht="15.75" customHeight="1" x14ac:dyDescent="0.25">
      <c r="B4" s="5" t="s">
        <v>129</v>
      </c>
      <c r="C4" s="45">
        <v>7.2689599999999993E-2</v>
      </c>
      <c r="D4" s="53">
        <v>7.2689599999999993E-2</v>
      </c>
      <c r="E4" s="53">
        <v>4.0676999999999998E-2</v>
      </c>
      <c r="F4" s="53">
        <v>0.18425859999999999</v>
      </c>
      <c r="G4" s="53">
        <v>0.11971710000000001</v>
      </c>
    </row>
    <row r="5" spans="1:15" ht="15.75" customHeight="1" x14ac:dyDescent="0.25">
      <c r="B5" s="5" t="s">
        <v>125</v>
      </c>
      <c r="C5" s="45">
        <v>0.16542009999999999</v>
      </c>
      <c r="D5" s="53">
        <v>0.16542009999999999</v>
      </c>
      <c r="E5" s="53">
        <v>0.14914759999999999</v>
      </c>
      <c r="F5" s="53">
        <v>0.27766020000000002</v>
      </c>
      <c r="G5" s="53">
        <v>0.1946591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0.18445850137133024</v>
      </c>
      <c r="D8" s="52">
        <f>IFERROR(1-_xlfn.NORM.DIST(_xlfn.NORM.INV(SUM(D10:D11), 0, 1) + 1, 0, 1, TRUE), "")</f>
        <v>0.18445850137133024</v>
      </c>
      <c r="E8" s="52">
        <f>IFERROR(1-_xlfn.NORM.DIST(_xlfn.NORM.INV(SUM(E10:E11), 0, 1) + 1, 0, 1, TRUE), "")</f>
        <v>0.32662506351033715</v>
      </c>
      <c r="F8" s="52">
        <f>IFERROR(1-_xlfn.NORM.DIST(_xlfn.NORM.INV(SUM(F10:F11), 0, 1) + 1, 0, 1, TRUE), "")</f>
        <v>0.35941781510395909</v>
      </c>
      <c r="G8" s="52">
        <f>IFERROR(1-_xlfn.NORM.DIST(_xlfn.NORM.INV(SUM(G10:G11), 0, 1) + 1, 0, 1, TRUE), "")</f>
        <v>0.39141488892640375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0.35596319862866976</v>
      </c>
      <c r="D9" s="52">
        <f>IFERROR(_xlfn.NORM.DIST(_xlfn.NORM.INV(SUM(D10:D11), 0, 1) + 1, 0, 1, TRUE) - SUM(D10:D11), "")</f>
        <v>0.35596319862866976</v>
      </c>
      <c r="E9" s="52">
        <f>IFERROR(_xlfn.NORM.DIST(_xlfn.NORM.INV(SUM(E10:E11), 0, 1) + 1, 0, 1, TRUE) - SUM(E10:E11), "")</f>
        <v>0.38247183648966282</v>
      </c>
      <c r="F9" s="52">
        <f>IFERROR(_xlfn.NORM.DIST(_xlfn.NORM.INV(SUM(F10:F11), 0, 1) + 1, 0, 1, TRUE) - SUM(F10:F11), "")</f>
        <v>0.37949088489604094</v>
      </c>
      <c r="G9" s="52">
        <f>IFERROR(_xlfn.NORM.DIST(_xlfn.NORM.INV(SUM(G10:G11), 0, 1) + 1, 0, 1, TRUE) - SUM(G10:G11), "")</f>
        <v>0.37416481107359623</v>
      </c>
    </row>
    <row r="10" spans="1:15" ht="15.75" customHeight="1" x14ac:dyDescent="0.25">
      <c r="B10" s="5" t="s">
        <v>126</v>
      </c>
      <c r="C10" s="45">
        <v>0.24267030000000001</v>
      </c>
      <c r="D10" s="53">
        <v>0.24267030000000001</v>
      </c>
      <c r="E10" s="53">
        <v>0.10680630000000001</v>
      </c>
      <c r="F10" s="53">
        <v>8.5183999999999996E-2</v>
      </c>
      <c r="G10" s="53">
        <v>9.2542200000000005E-2</v>
      </c>
    </row>
    <row r="11" spans="1:15" ht="15.75" customHeight="1" x14ac:dyDescent="0.25">
      <c r="B11" s="5" t="s">
        <v>138</v>
      </c>
      <c r="C11" s="45">
        <v>0.21690799999999999</v>
      </c>
      <c r="D11" s="53">
        <v>0.21690799999999999</v>
      </c>
      <c r="E11" s="53">
        <v>0.1840968</v>
      </c>
      <c r="F11" s="53">
        <v>0.17590729999999999</v>
      </c>
      <c r="G11" s="53">
        <v>0.14187810000000001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0.53744121300000003</v>
      </c>
      <c r="D14" s="54">
        <v>0.52109150421700001</v>
      </c>
      <c r="E14" s="54">
        <v>0.52109150421700001</v>
      </c>
      <c r="F14" s="54">
        <v>0.50456223493399999</v>
      </c>
      <c r="G14" s="54">
        <v>0.50456223493399999</v>
      </c>
      <c r="H14" s="45">
        <v>0.376</v>
      </c>
      <c r="I14" s="55">
        <v>0.376</v>
      </c>
      <c r="J14" s="55">
        <v>0.376</v>
      </c>
      <c r="K14" s="55">
        <v>0.376</v>
      </c>
      <c r="L14" s="45">
        <v>0.32400000000000001</v>
      </c>
      <c r="M14" s="55">
        <v>0.32400000000000001</v>
      </c>
      <c r="N14" s="55">
        <v>0.32400000000000001</v>
      </c>
      <c r="O14" s="55">
        <v>0.32400000000000001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0.28583757169283702</v>
      </c>
      <c r="D15" s="52">
        <f t="shared" si="0"/>
        <v>0.27714199542630724</v>
      </c>
      <c r="E15" s="52">
        <f t="shared" si="0"/>
        <v>0.27714199542630724</v>
      </c>
      <c r="F15" s="52">
        <f t="shared" si="0"/>
        <v>0.26835092008741296</v>
      </c>
      <c r="G15" s="52">
        <f t="shared" si="0"/>
        <v>0.26835092008741296</v>
      </c>
      <c r="H15" s="52">
        <f t="shared" si="0"/>
        <v>0.19997522400000001</v>
      </c>
      <c r="I15" s="52">
        <f t="shared" si="0"/>
        <v>0.19997522400000001</v>
      </c>
      <c r="J15" s="52">
        <f t="shared" si="0"/>
        <v>0.19997522400000001</v>
      </c>
      <c r="K15" s="52">
        <f t="shared" si="0"/>
        <v>0.19997522400000001</v>
      </c>
      <c r="L15" s="52">
        <f t="shared" si="0"/>
        <v>0.17231907600000002</v>
      </c>
      <c r="M15" s="52">
        <f t="shared" si="0"/>
        <v>0.17231907600000002</v>
      </c>
      <c r="N15" s="52">
        <f t="shared" si="0"/>
        <v>0.17231907600000002</v>
      </c>
      <c r="O15" s="52">
        <f t="shared" si="0"/>
        <v>0.17231907600000002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jtUqcQY7mIdVwhSFFHnts45jHa1OpKYAHrTpAsfml7elVbygYIC3aGt28yDTfc2fgnMttyI/EWnAKE5Socl5XA==" saltValue="w2sR9Ld2DpwatP4VG4z6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3.7690899999999999E-2</v>
      </c>
      <c r="D2" s="53">
        <v>1.41438E-2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0.17248140000000001</v>
      </c>
      <c r="D3" s="53">
        <v>0.16339989999999999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0.72435209999999994</v>
      </c>
      <c r="D4" s="53">
        <v>0.73373260000000007</v>
      </c>
      <c r="E4" s="53">
        <v>0.68563439999999998</v>
      </c>
      <c r="F4" s="53">
        <v>0.38439060000000003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6.5475600000000078E-2</v>
      </c>
      <c r="D5" s="52">
        <f t="shared" si="0"/>
        <v>8.8723699999999961E-2</v>
      </c>
      <c r="E5" s="52">
        <f>1-SUM(E2:E4)</f>
        <v>0.31436560000000002</v>
      </c>
      <c r="F5" s="52">
        <f>1-SUM(F2:F4)</f>
        <v>0.61560939999999997</v>
      </c>
      <c r="G5" s="52">
        <f>1-SUM(G2:G4)</f>
        <v>1</v>
      </c>
    </row>
  </sheetData>
  <sheetProtection algorithmName="SHA-512" hashValue="6XenR83MMnh6JL7hqZWB+hxwM8tKzZWfNFNeaGzn2UvrZgrGUGSoGqAo3ytqn7bLBrC0TziNXobqSIlMa5fqdQ==" saltValue="IRFCJMCuksTn/Otcx/cis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VbYNEQxTpEodCCjzcla8sDK+ZD/EIwHZpp79QLt1f3vXBYH4oqcOfnrFbG++hus/TsVbLDHo39OjobkngkZdQ==" saltValue="rPZ40whsWflYAwGLlJJOl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3136.1127680487298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0.41298999999999997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0.19265999999999997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1.2908400254980639E-2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94288.254610000004</v>
      </c>
      <c r="C22" s="109">
        <v>93552.348979999995</v>
      </c>
      <c r="D22" s="109">
        <v>93076.778680000003</v>
      </c>
      <c r="E22" s="109">
        <v>92505.751220000006</v>
      </c>
      <c r="F22" s="109">
        <v>91747.657489999998</v>
      </c>
      <c r="G22" s="109">
        <v>90777.702239999999</v>
      </c>
      <c r="H22" s="109">
        <v>89423.920929999993</v>
      </c>
      <c r="I22" s="109">
        <v>87517.520959999994</v>
      </c>
      <c r="J22" s="109">
        <v>84915.692439999999</v>
      </c>
      <c r="K22" s="109">
        <v>81565.661890000003</v>
      </c>
      <c r="L22" s="109">
        <v>77343.312919999997</v>
      </c>
      <c r="M22" s="109">
        <v>71999.319789999994</v>
      </c>
      <c r="N22" s="109">
        <v>64784.622199999998</v>
      </c>
      <c r="O22" s="109">
        <v>55591.294889999997</v>
      </c>
    </row>
  </sheetData>
  <sheetProtection algorithmName="SHA-512" hashValue="rONs2dXOlOC4Jf7RPlVMlHKgliJTNxK00TFdACjR06L/86bnwY0p4iYFXJU2vYoW/AnkadTOohfuQPyAC2UdGQ==" saltValue="OoS5SaKVdx7ydckEoWQf5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x/rYK/PqszeCZVScLvlDc9k78aLCh6a+V/S0yaLn6dExa6CKiDb9bShFyh7wgHk5O6qoFsM/MmYvNhhhGZRZ6w==" saltValue="Fx3lSn/TycZ17zkcZHJTw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uvX5bGIgPEIXvrSVNJkeJ+GwEfFbt0F8ZfBmh42nGnU1DlPZ3RcoMFwCbONmgMHhL/fKWU/LiZpzDIUpy7iaYg==" saltValue="51v+yvmIQaKkzp8kdkciE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7.4289688625382997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0.4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12.687640493451919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12.687640493451919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12.687640493451919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12.687640493451919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12.687640493451919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12.687640493451919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0.90249999999999997</v>
      </c>
      <c r="C17" s="98">
        <v>0.95</v>
      </c>
      <c r="D17" s="56">
        <v>7.992352075384429E-2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1.41438E-2</v>
      </c>
      <c r="C18" s="98">
        <v>0.95</v>
      </c>
      <c r="D18" s="56">
        <v>7.4289688625382997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1.41438E-2</v>
      </c>
      <c r="C19" s="98">
        <v>0.95</v>
      </c>
      <c r="D19" s="56">
        <v>4.3845374540579991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7.4289688625382997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0.30199999999999999</v>
      </c>
      <c r="C23" s="98">
        <v>0.95</v>
      </c>
      <c r="D23" s="56">
        <v>4.0765008182611906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0.62511483451562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2.9567118730808599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0.61573460000000002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0.23100000000000001</v>
      </c>
      <c r="C29" s="98">
        <v>0.95</v>
      </c>
      <c r="D29" s="56">
        <v>193.6128732031849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0.3236</v>
      </c>
      <c r="C31" s="98">
        <v>0.95</v>
      </c>
      <c r="D31" s="56">
        <v>173.50469037871034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0.78</v>
      </c>
      <c r="C32" s="98">
        <v>0.95</v>
      </c>
      <c r="D32" s="56">
        <v>0.53033228587019021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4.3199999999999998E-4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0.83361079999999999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2.6612563971340846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rPi5WEgCaiKDL4bSD3tidNf7dKAELUA5cBHL5OTKdQJbqlclRbztiITvGEY2YG6saBKsddLAzvwJWQtf5Y1+kQ==" saltValue="8GbyhN4NOf1RvFU9CO+r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v9kY/mreLESSH47ktQr+meFko7HE9wys1Erga2JfX/EE5/LfOa+zaBfCAhy3um58KgLZEJebjcPCVo37I1E4mw==" saltValue="Z/KeC/y6dzTSnYh6GUSlJ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wQTE5IlPM4rR3OH9GDF7m691lVyNUKCK6vZm67v780/CHqeDGN3eRY244RuhruvtWDa5C0c4nuLqaTkRLCITg==" saltValue="wYd7PaCcUpBpS9nj//wwR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0.63094278000000004</v>
      </c>
      <c r="C3" s="21">
        <f>frac_mam_1_5months * 2.6</f>
        <v>0.63094278000000004</v>
      </c>
      <c r="D3" s="21">
        <f>frac_mam_6_11months * 2.6</f>
        <v>0.27769638000000002</v>
      </c>
      <c r="E3" s="21">
        <f>frac_mam_12_23months * 2.6</f>
        <v>0.22147839999999999</v>
      </c>
      <c r="F3" s="21">
        <f>frac_mam_24_59months * 2.6</f>
        <v>0.24060972000000003</v>
      </c>
    </row>
    <row r="4" spans="1:6" ht="15.75" customHeight="1" x14ac:dyDescent="0.25">
      <c r="A4" s="3" t="s">
        <v>236</v>
      </c>
      <c r="B4" s="21">
        <f>frac_sam_1month * 2.6</f>
        <v>0.56396080000000004</v>
      </c>
      <c r="C4" s="21">
        <f>frac_sam_1_5months * 2.6</f>
        <v>0.56396080000000004</v>
      </c>
      <c r="D4" s="21">
        <f>frac_sam_6_11months * 2.6</f>
        <v>0.47865168000000002</v>
      </c>
      <c r="E4" s="21">
        <f>frac_sam_12_23months * 2.6</f>
        <v>0.45735897999999997</v>
      </c>
      <c r="F4" s="21">
        <f>frac_sam_24_59months * 2.6</f>
        <v>0.36888306000000004</v>
      </c>
    </row>
  </sheetData>
  <sheetProtection algorithmName="SHA-512" hashValue="RoOHvzG6/j1RQ/yb42Qe6WrORFYR5ylNfxX8eYrsuGLvR56nbRu43oE21jR9djTXLsttrIdvj4pYKhIRo73ubg==" saltValue="bHswwzXVgk2LUFiO4KrbB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0.21099999999999999</v>
      </c>
      <c r="F2" s="60">
        <f>food_insecure</f>
        <v>0.21099999999999999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0.21099999999999999</v>
      </c>
      <c r="F5" s="60">
        <f>food_insecure</f>
        <v>0.21099999999999999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0.21099999999999999</v>
      </c>
      <c r="F8" s="60">
        <f>food_insecure</f>
        <v>0.21099999999999999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0.21099999999999999</v>
      </c>
      <c r="F9" s="60">
        <f>food_insecure</f>
        <v>0.21099999999999999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0.21099999999999999</v>
      </c>
      <c r="I15" s="60">
        <f t="shared" si="0"/>
        <v>0.21099999999999999</v>
      </c>
      <c r="J15" s="60">
        <f t="shared" si="0"/>
        <v>0.21099999999999999</v>
      </c>
      <c r="K15" s="60">
        <f t="shared" si="0"/>
        <v>0.21099999999999999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0.21099999999999999</v>
      </c>
      <c r="I16" s="60">
        <f t="shared" si="0"/>
        <v>0.21099999999999999</v>
      </c>
      <c r="J16" s="60">
        <f t="shared" si="0"/>
        <v>0.21099999999999999</v>
      </c>
      <c r="K16" s="60">
        <f t="shared" si="0"/>
        <v>0.21099999999999999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0.36399999999999999</v>
      </c>
      <c r="M24" s="60">
        <f>famplan_unmet_need</f>
        <v>0.36399999999999999</v>
      </c>
      <c r="N24" s="60">
        <f>famplan_unmet_need</f>
        <v>0.36399999999999999</v>
      </c>
      <c r="O24" s="60">
        <f>famplan_unmet_need</f>
        <v>0.36399999999999999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0.33514343624300003</v>
      </c>
      <c r="M25" s="60">
        <f>(1-food_insecure)*(0.49)+food_insecure*(0.7)</f>
        <v>0.53431000000000006</v>
      </c>
      <c r="N25" s="60">
        <f>(1-food_insecure)*(0.49)+food_insecure*(0.7)</f>
        <v>0.53431000000000006</v>
      </c>
      <c r="O25" s="60">
        <f>(1-food_insecure)*(0.49)+food_insecure*(0.7)</f>
        <v>0.53431000000000006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0.14363290124700001</v>
      </c>
      <c r="M26" s="60">
        <f>(1-food_insecure)*(0.21)+food_insecure*(0.3)</f>
        <v>0.22899</v>
      </c>
      <c r="N26" s="60">
        <f>(1-food_insecure)*(0.21)+food_insecure*(0.3)</f>
        <v>0.22899</v>
      </c>
      <c r="O26" s="60">
        <f>(1-food_insecure)*(0.21)+food_insecure*(0.3)</f>
        <v>0.22899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0.14846896251</v>
      </c>
      <c r="M27" s="60">
        <f>(1-food_insecure)*(0.3)</f>
        <v>0.23669999999999999</v>
      </c>
      <c r="N27" s="60">
        <f>(1-food_insecure)*(0.3)</f>
        <v>0.23669999999999999</v>
      </c>
      <c r="O27" s="60">
        <f>(1-food_insecure)*(0.3)</f>
        <v>0.23669999999999999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0.37275469999999999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5Rcoj+VAKzt/umRcr1zOjIOquuv1eirlJdxW715xoU0qId7zake/HiGN0JA52eXFDw4mEb/jxUB57pJEKh4ivw==" saltValue="AAknkV8SPutsuMv5cMAN9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K09P7WA7V/9ILfBFlNi2C/5hMtRRS3Q5lD6FnzoX8J8aWOY47Mg81tbhPY1N4K8hAWU9j1pMITj+bpd+lkIRFQ==" saltValue="3b9nzDquyTazPqNwvdvhG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kb2tlOcYJJ37Vj9bj1Mklc6heyHxyXLZ4mvI6KYvCHksi28OoDf65h88LiA2FNuzMTNzBGQRzaCzGlrpP5gzhA==" saltValue="vIs6yo7JCdt962jXQuthy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UHaN/GvHEh5XK/4JbEDnK+hSz0cAsSj/Opan5qmj2xMI+X42snc/EY8xUqQJv4AIDmB46/NWOR1JaXRdEQ2kQ==" saltValue="hnsO/GlXCgDwf/YSfvpo4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BrTGLhuACCF7eipEIzRTFCNNLFpmCCcWXmyxGZyFfUN+SEbbsNEdWLCPFY9bk7RcAXOrVagEHCJn1wjBoND6UA==" saltValue="RocPITRspaezHq9Dshf98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s0HFKqm7x0JcVS4mxNU5OIOkpfbiUpzQopGRItpdGXh1UsAWiNkKuKNryI0XfXJiqBYgQ3RSXqOk7q/2jwwj+w==" saltValue="+M30vXMJJhdQ4vdktthbt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tb1eKvT/JdRt5GVD1/ucsg94FNg8sc2nLQsxLF3Xo8hp2g4waeqzr35OLTTSo5aV7BDW40JPyu+zGc97kT4M/g==" saltValue="438Vb+3FZf0HZvrGEnPdF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lCjxyXAfVdRXE3XWpR8X6oseMXS9fUqI7dcFAcyByRyQxoDVP9eViEacstdArbaZF5yVrWtVRqc8yYWEGxF4WA==" saltValue="Xq9CKnUYLWn1jqSBZl0c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/VVw+Ud3dD+wnQryUbODTSSfY+0MPuNUMCFJ+dbk+f5EGoe1EeJ0EfP+TCq1daFK16HpRNpl/E5dP7/wvz57Pg==" saltValue="4Bhq35MfN7AY3EHIe2re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yIzsxWWGHInZCHxI7N/j9+9uiXuhOHlnhq4LKkaWBPkUxdMYUWiB7WfQb1Xh5ctNfcxZt4EHWpgCH3s1bphOw==" saltValue="9igvTxhZ0AV4gh4XA/3H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vTTed/+X9BpcYD+ahCXgBy4L9gXGmwKQ2KFcNg/e06vbctFFVRols5hQ0elpRueLOVXlBGHYkXgldPexz6N+Q==" saltValue="V6viBd+OSIL/re0LnN6V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xv+QdxzBIJAq7LyQiI34PDpjh3nF7+0HIBgkDFa3in33jLk2QPw4We51nAG30nYlhHqrWT5TeQ3Hqor3Vul1ZA==" saltValue="DDlsDjB5P7t7YpivHz+f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IF89PbeocFV2DQwe69HL1AdXQCcymKj8lUhKDSQhyLAR6BBUZzXAvEztXYzTJG2Gnod/3zBn9IpSLZiDSKoaA==" saltValue="Ie+LcKFuyCTuswfYhW6W/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TXbYTljqGa9rpP0xTN3p48idoJHvH78WGMjDg0ocr7QKCDjCPfR3KF7ZDhFBhOwa0WzwNjYNZUILBez9liau5w==" saltValue="koQgnDl76leUZAuIresg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Q7ECUzp0z1/68eh56DrgInkv9yd11GF7dqN+qiP/pJ6d8FNAe9LtSpn2OvNNOGZHxFlK/ycivXTFOU7YpgJGDA==" saltValue="E91dj+3iuE2PZcmPkSZ/j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