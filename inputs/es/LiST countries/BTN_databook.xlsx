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890A7BD3-0F3D-456B-B270-3B62481596D5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6" i="2" l="1"/>
  <c r="I4" i="2"/>
  <c r="I8" i="2"/>
  <c r="I12" i="2"/>
  <c r="A25" i="2"/>
  <c r="I9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<sst xmlns="http://schemas.openxmlformats.org/spreadsheetml/2006/main" count="2159" uniqueCount="372">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</sst>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48777.5</v>
      </c>
    </row>
    <row r="8" spans="1:3" ht="15" customHeight="1" x14ac:dyDescent="0.25">
      <c r="B8" s="5" t="s">
        <v>63</v>
      </c>
      <c r="C8" s="44">
        <v>1.4999999999999999E-2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0.70886222839355495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0.154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7.22E-2</v>
      </c>
    </row>
    <row r="24" spans="1:3" ht="15" customHeight="1" x14ac:dyDescent="0.25">
      <c r="B24" s="15" t="s">
        <v>65</v>
      </c>
      <c r="C24" s="45">
        <v>0.55390000000000006</v>
      </c>
    </row>
    <row r="25" spans="1:3" ht="15" customHeight="1" x14ac:dyDescent="0.25">
      <c r="B25" s="15" t="s">
        <v>66</v>
      </c>
      <c r="C25" s="45">
        <v>0.31580000000000003</v>
      </c>
    </row>
    <row r="26" spans="1:3" ht="15" customHeight="1" x14ac:dyDescent="0.25">
      <c r="B26" s="15" t="s">
        <v>67</v>
      </c>
      <c r="C26" s="45">
        <v>5.8100000000000013E-2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0.41227810089419697</v>
      </c>
    </row>
    <row r="30" spans="1:3" ht="14.25" customHeight="1" x14ac:dyDescent="0.25">
      <c r="B30" s="25" t="s">
        <v>82</v>
      </c>
      <c r="C30" s="99">
        <v>4.1696555750580601E-2</v>
      </c>
    </row>
    <row r="31" spans="1:3" ht="14.25" customHeight="1" x14ac:dyDescent="0.25">
      <c r="B31" s="25" t="s">
        <v>29</v>
      </c>
      <c r="C31" s="99">
        <v>7.5022305717839008E-2</v>
      </c>
    </row>
    <row r="32" spans="1:3" ht="14.25" customHeight="1" x14ac:dyDescent="0.25">
      <c r="B32" s="25" t="s">
        <v>30</v>
      </c>
      <c r="C32" s="99">
        <v>0.47100303763738299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14.832380000000001</v>
      </c>
    </row>
    <row r="38" spans="1:5" ht="15" customHeight="1" x14ac:dyDescent="0.25">
      <c r="B38" s="11" t="s">
        <v>54</v>
      </c>
      <c r="C38" s="43">
        <v>22.452369999999998</v>
      </c>
      <c r="D38" s="12"/>
      <c r="E38" s="13"/>
    </row>
    <row r="39" spans="1:5" ht="15" customHeight="1" x14ac:dyDescent="0.25">
      <c r="B39" s="11" t="s">
        <v>80</v>
      </c>
      <c r="C39" s="43">
        <v>26.68741</v>
      </c>
      <c r="D39" s="12"/>
      <c r="E39" s="12"/>
    </row>
    <row r="40" spans="1:5" ht="15" customHeight="1" x14ac:dyDescent="0.25">
      <c r="B40" s="11" t="s">
        <v>55</v>
      </c>
      <c r="C40" s="100">
        <v>0.6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9.01539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1.7845300000000001E-2</v>
      </c>
      <c r="D45" s="12"/>
    </row>
    <row r="46" spans="1:5" ht="15.75" customHeight="1" x14ac:dyDescent="0.25">
      <c r="B46" s="11" t="s">
        <v>70</v>
      </c>
      <c r="C46" s="45">
        <v>0.1060015</v>
      </c>
      <c r="D46" s="12"/>
    </row>
    <row r="47" spans="1:5" ht="15.75" customHeight="1" x14ac:dyDescent="0.25">
      <c r="B47" s="11" t="s">
        <v>78</v>
      </c>
      <c r="C47" s="45">
        <v>0.40820650000000003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2.4</v>
      </c>
      <c r="D51" s="12"/>
    </row>
    <row r="52" spans="1:4" ht="15" customHeight="1" x14ac:dyDescent="0.25">
      <c r="B52" s="11" t="s">
        <v>32</v>
      </c>
      <c r="C52" s="100">
        <v>2.4</v>
      </c>
    </row>
    <row r="53" spans="1:4" ht="15.75" customHeight="1" x14ac:dyDescent="0.25">
      <c r="B53" s="11" t="s">
        <v>35</v>
      </c>
      <c r="C53" s="100">
        <v>2.4</v>
      </c>
    </row>
    <row r="54" spans="1:4" ht="15.75" customHeight="1" x14ac:dyDescent="0.25">
      <c r="B54" s="11" t="s">
        <v>33</v>
      </c>
      <c r="C54" s="100">
        <v>2.4</v>
      </c>
    </row>
    <row r="55" spans="1:4" ht="15.75" customHeight="1" x14ac:dyDescent="0.25">
      <c r="B55" s="11" t="s">
        <v>34</v>
      </c>
      <c r="C55" s="100">
        <v>2.4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2.1666666666666671E-2</v>
      </c>
    </row>
    <row r="59" spans="1:4" ht="15.75" customHeight="1" x14ac:dyDescent="0.25">
      <c r="B59" s="11" t="s">
        <v>59</v>
      </c>
      <c r="C59" s="45">
        <v>0.48878400000000011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0.11662965</v>
      </c>
    </row>
    <row r="63" spans="1:4" ht="15.75" customHeight="1" x14ac:dyDescent="0.3">
      <c r="A63" s="4"/>
    </row>
  </sheetData>
  <sheetProtection algorithmName="SHA-512" hashValue="vmbOy4U57XheQXrFY/SCNqnTnRN4siGcf0DLQ2GliSKSAWPhcKPHruPMxpFi6fOvXElBH1k0Hfd1ci0m+2esgw==" saltValue="JeOgMzf8rdymgOvJGzj6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9914</v>
      </c>
      <c r="C2" s="49">
        <v>32519.5</v>
      </c>
      <c r="D2" s="49">
        <v>68863</v>
      </c>
      <c r="E2" s="49">
        <v>69154</v>
      </c>
      <c r="F2" s="49">
        <v>49026.5</v>
      </c>
      <c r="G2" s="17">
        <f t="shared" ref="G2:G13" si="0">C2+D2+E2+F2</f>
        <v>219563</v>
      </c>
      <c r="H2" s="17">
        <f t="shared" ref="H2:H13" si="1">(B2 + stillbirth*B2/(1000-stillbirth))/(1-abortion)</f>
        <v>11368.399647406322</v>
      </c>
      <c r="I2" s="17">
        <f t="shared" ref="I2:I13" si="2">G2-H2</f>
        <v>208194.60035259367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9836</v>
      </c>
      <c r="C3" s="50">
        <v>31838</v>
      </c>
      <c r="D3" s="50">
        <v>69018.5</v>
      </c>
      <c r="E3" s="50">
        <v>69732</v>
      </c>
      <c r="F3" s="50">
        <v>51090.500000000007</v>
      </c>
      <c r="G3" s="17">
        <f t="shared" si="0"/>
        <v>221679</v>
      </c>
      <c r="H3" s="17">
        <f t="shared" si="1"/>
        <v>11278.956922724286</v>
      </c>
      <c r="I3" s="17">
        <f t="shared" si="2"/>
        <v>210400.04307727571</v>
      </c>
    </row>
    <row r="4" spans="1:9" ht="15.75" customHeight="1" x14ac:dyDescent="0.25">
      <c r="A4" s="5">
        <f t="shared" si="3"/>
        <v>2026</v>
      </c>
      <c r="B4" s="49">
        <v>9783</v>
      </c>
      <c r="C4" s="50">
        <v>31352</v>
      </c>
      <c r="D4" s="50">
        <v>69237</v>
      </c>
      <c r="E4" s="50">
        <v>69916</v>
      </c>
      <c r="F4" s="50">
        <v>53180.499999999993</v>
      </c>
      <c r="G4" s="17">
        <f t="shared" si="0"/>
        <v>223685.5</v>
      </c>
      <c r="H4" s="17">
        <f t="shared" si="1"/>
        <v>11218.181738004443</v>
      </c>
      <c r="I4" s="17">
        <f t="shared" si="2"/>
        <v>212467.31826199556</v>
      </c>
    </row>
    <row r="5" spans="1:9" ht="15.75" customHeight="1" x14ac:dyDescent="0.25">
      <c r="A5" s="5">
        <f t="shared" si="3"/>
        <v>2027</v>
      </c>
      <c r="B5" s="49">
        <v>9747</v>
      </c>
      <c r="C5" s="50">
        <v>31086.5</v>
      </c>
      <c r="D5" s="50">
        <v>69304</v>
      </c>
      <c r="E5" s="50">
        <v>69673</v>
      </c>
      <c r="F5" s="50">
        <v>55236.000000000007</v>
      </c>
      <c r="G5" s="17">
        <f t="shared" si="0"/>
        <v>225299.5</v>
      </c>
      <c r="H5" s="17">
        <f t="shared" si="1"/>
        <v>11176.900480458889</v>
      </c>
      <c r="I5" s="17">
        <f t="shared" si="2"/>
        <v>214122.59951954111</v>
      </c>
    </row>
    <row r="6" spans="1:9" ht="15.75" customHeight="1" x14ac:dyDescent="0.25">
      <c r="A6" s="5">
        <f t="shared" si="3"/>
        <v>2028</v>
      </c>
      <c r="B6" s="49">
        <v>9698</v>
      </c>
      <c r="C6" s="50">
        <v>30932.5</v>
      </c>
      <c r="D6" s="50">
        <v>69156.5</v>
      </c>
      <c r="E6" s="50">
        <v>69083.5</v>
      </c>
      <c r="F6" s="50">
        <v>57251.999999999993</v>
      </c>
      <c r="G6" s="17">
        <f t="shared" si="0"/>
        <v>226424.5</v>
      </c>
      <c r="H6" s="17">
        <f t="shared" si="1"/>
        <v>11120.712102132995</v>
      </c>
      <c r="I6" s="17">
        <f t="shared" si="2"/>
        <v>215303.78789786701</v>
      </c>
    </row>
    <row r="7" spans="1:9" ht="15.75" customHeight="1" x14ac:dyDescent="0.25">
      <c r="A7" s="5">
        <f t="shared" si="3"/>
        <v>2029</v>
      </c>
      <c r="B7" s="49">
        <v>9668</v>
      </c>
      <c r="C7" s="50">
        <v>30662.5</v>
      </c>
      <c r="D7" s="50">
        <v>68841.000000000015</v>
      </c>
      <c r="E7" s="50">
        <v>68323.5</v>
      </c>
      <c r="F7" s="50">
        <v>59227.500000000007</v>
      </c>
      <c r="G7" s="17">
        <f t="shared" si="0"/>
        <v>227054.5</v>
      </c>
      <c r="H7" s="17">
        <f t="shared" si="1"/>
        <v>11086.311054178366</v>
      </c>
      <c r="I7" s="17">
        <f t="shared" si="2"/>
        <v>215968.18894582163</v>
      </c>
    </row>
    <row r="8" spans="1:9" ht="15.75" customHeight="1" x14ac:dyDescent="0.25">
      <c r="A8" s="5">
        <f t="shared" si="3"/>
        <v>2030</v>
      </c>
      <c r="B8" s="49">
        <v>9625</v>
      </c>
      <c r="C8" s="50">
        <v>30070.5</v>
      </c>
      <c r="D8" s="50">
        <v>68412</v>
      </c>
      <c r="E8" s="50">
        <v>67573.000000000015</v>
      </c>
      <c r="F8" s="50">
        <v>61128.5</v>
      </c>
      <c r="G8" s="17">
        <f t="shared" si="0"/>
        <v>227184</v>
      </c>
      <c r="H8" s="17">
        <f t="shared" si="1"/>
        <v>11037.002885443399</v>
      </c>
      <c r="I8" s="17">
        <f t="shared" si="2"/>
        <v>216146.99711455661</v>
      </c>
    </row>
    <row r="9" spans="1:9" ht="15.75" customHeight="1" x14ac:dyDescent="0.25">
      <c r="A9" s="5">
        <f t="shared" si="3"/>
        <v>2031</v>
      </c>
      <c r="B9" s="49">
        <v>9598</v>
      </c>
      <c r="C9" s="50">
        <v>29250</v>
      </c>
      <c r="D9" s="50">
        <v>67947.499999999985</v>
      </c>
      <c r="E9" s="50">
        <v>66979.5</v>
      </c>
      <c r="F9" s="50">
        <v>62922.5</v>
      </c>
      <c r="G9" s="17">
        <f t="shared" si="0"/>
        <v>227099.5</v>
      </c>
      <c r="H9" s="17">
        <f t="shared" si="1"/>
        <v>11006.041942284231</v>
      </c>
      <c r="I9" s="17">
        <f t="shared" si="2"/>
        <v>216093.45805771576</v>
      </c>
    </row>
    <row r="10" spans="1:9" ht="15.75" customHeight="1" x14ac:dyDescent="0.25">
      <c r="A10" s="5">
        <f t="shared" si="3"/>
        <v>2032</v>
      </c>
      <c r="B10" s="49">
        <v>9573</v>
      </c>
      <c r="C10" s="50">
        <v>28212</v>
      </c>
      <c r="D10" s="50">
        <v>67413.5</v>
      </c>
      <c r="E10" s="50">
        <v>66604</v>
      </c>
      <c r="F10" s="50">
        <v>64524</v>
      </c>
      <c r="G10" s="17">
        <f t="shared" si="0"/>
        <v>226753.5</v>
      </c>
      <c r="H10" s="17">
        <f t="shared" si="1"/>
        <v>10977.374402322041</v>
      </c>
      <c r="I10" s="17">
        <f t="shared" si="2"/>
        <v>215776.12559767795</v>
      </c>
    </row>
    <row r="11" spans="1:9" ht="15.75" customHeight="1" x14ac:dyDescent="0.25">
      <c r="A11" s="5">
        <f t="shared" si="3"/>
        <v>2033</v>
      </c>
      <c r="B11" s="49">
        <v>9548</v>
      </c>
      <c r="C11" s="50">
        <v>26920</v>
      </c>
      <c r="D11" s="50">
        <v>66707.500000000015</v>
      </c>
      <c r="E11" s="50">
        <v>66465</v>
      </c>
      <c r="F11" s="50">
        <v>65844</v>
      </c>
      <c r="G11" s="17">
        <f t="shared" si="0"/>
        <v>225936.5</v>
      </c>
      <c r="H11" s="17">
        <f t="shared" si="1"/>
        <v>10948.70686235985</v>
      </c>
      <c r="I11" s="17">
        <f t="shared" si="2"/>
        <v>214987.79313764014</v>
      </c>
    </row>
    <row r="12" spans="1:9" ht="15.75" customHeight="1" x14ac:dyDescent="0.25">
      <c r="A12" s="5">
        <f t="shared" si="3"/>
        <v>2034</v>
      </c>
      <c r="B12" s="49">
        <v>9509</v>
      </c>
      <c r="C12" s="50">
        <v>25616</v>
      </c>
      <c r="D12" s="50">
        <v>65704.5</v>
      </c>
      <c r="E12" s="50">
        <v>66489</v>
      </c>
      <c r="F12" s="50">
        <v>66811</v>
      </c>
      <c r="G12" s="17">
        <f t="shared" si="0"/>
        <v>224620.5</v>
      </c>
      <c r="H12" s="17">
        <f t="shared" si="1"/>
        <v>10903.985500018835</v>
      </c>
      <c r="I12" s="17">
        <f t="shared" si="2"/>
        <v>213716.51449998116</v>
      </c>
    </row>
    <row r="13" spans="1:9" ht="15.75" customHeight="1" x14ac:dyDescent="0.25">
      <c r="A13" s="5">
        <f t="shared" si="3"/>
        <v>2035</v>
      </c>
      <c r="B13" s="49">
        <v>9449</v>
      </c>
      <c r="C13" s="50">
        <v>24696</v>
      </c>
      <c r="D13" s="50">
        <v>64461</v>
      </c>
      <c r="E13" s="50">
        <v>66633.5</v>
      </c>
      <c r="F13" s="50">
        <v>67383.5</v>
      </c>
      <c r="G13" s="17">
        <f t="shared" si="0"/>
        <v>223174</v>
      </c>
      <c r="H13" s="17">
        <f t="shared" si="1"/>
        <v>10835.183404109575</v>
      </c>
      <c r="I13" s="17">
        <f t="shared" si="2"/>
        <v>212338.81659589041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E6Yfc5Is9X/oZ/HCUSQW7wYaPutQEUnaT3IwzQzcp12ELGg/cvKpLf/Aq3ALzvWtzYueG/Jdj5fAN4sk0HY/VA==" saltValue="epl1QezqpvG6HaKqayBsD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8.1525008152500862E-3</v>
      </c>
    </row>
    <row r="4" spans="1:8" ht="15.75" customHeight="1" x14ac:dyDescent="0.25">
      <c r="B4" s="19" t="s">
        <v>116</v>
      </c>
      <c r="C4" s="101">
        <v>4.5061404506140379E-2</v>
      </c>
    </row>
    <row r="5" spans="1:8" ht="15.75" customHeight="1" x14ac:dyDescent="0.25">
      <c r="B5" s="19" t="s">
        <v>114</v>
      </c>
      <c r="C5" s="101">
        <v>4.9024504902450451E-2</v>
      </c>
    </row>
    <row r="6" spans="1:8" ht="15.75" customHeight="1" x14ac:dyDescent="0.25">
      <c r="B6" s="19" t="s">
        <v>110</v>
      </c>
      <c r="C6" s="101">
        <v>0.2038836203883623</v>
      </c>
    </row>
    <row r="7" spans="1:8" ht="15.75" customHeight="1" x14ac:dyDescent="0.25">
      <c r="B7" s="19" t="s">
        <v>115</v>
      </c>
      <c r="C7" s="101">
        <v>0.43088424308842432</v>
      </c>
    </row>
    <row r="8" spans="1:8" ht="15.75" customHeight="1" x14ac:dyDescent="0.25">
      <c r="B8" s="19" t="s">
        <v>117</v>
      </c>
      <c r="C8" s="101">
        <v>8.3170008317000766E-4</v>
      </c>
    </row>
    <row r="9" spans="1:8" ht="15.75" customHeight="1" x14ac:dyDescent="0.25">
      <c r="B9" s="19" t="s">
        <v>111</v>
      </c>
      <c r="C9" s="101">
        <v>0.14651341465134141</v>
      </c>
    </row>
    <row r="10" spans="1:8" ht="15.75" customHeight="1" x14ac:dyDescent="0.25">
      <c r="B10" s="19" t="s">
        <v>113</v>
      </c>
      <c r="C10" s="101">
        <v>0.1156486115648612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0.31382186343452262</v>
      </c>
      <c r="D14" s="55">
        <v>0.31382186343452262</v>
      </c>
      <c r="E14" s="55">
        <v>0.31382186343452262</v>
      </c>
      <c r="F14" s="55">
        <v>0.31382186343452262</v>
      </c>
    </row>
    <row r="15" spans="1:8" ht="15.75" customHeight="1" x14ac:dyDescent="0.25">
      <c r="B15" s="19" t="s">
        <v>121</v>
      </c>
      <c r="C15" s="101">
        <v>0.31591331032326309</v>
      </c>
      <c r="D15" s="101">
        <v>0.31591331032326309</v>
      </c>
      <c r="E15" s="101">
        <v>0.31591331032326309</v>
      </c>
      <c r="F15" s="101">
        <v>0.31591331032326309</v>
      </c>
    </row>
    <row r="16" spans="1:8" ht="15.75" customHeight="1" x14ac:dyDescent="0.25">
      <c r="B16" s="19" t="s">
        <v>2</v>
      </c>
      <c r="C16" s="101">
        <v>2.7449882388342828E-2</v>
      </c>
      <c r="D16" s="101">
        <v>2.7449882388342828E-2</v>
      </c>
      <c r="E16" s="101">
        <v>2.7449882388342828E-2</v>
      </c>
      <c r="F16" s="101">
        <v>2.7449882388342828E-2</v>
      </c>
    </row>
    <row r="17" spans="1:8" ht="15.75" customHeight="1" x14ac:dyDescent="0.25">
      <c r="B17" s="19" t="s">
        <v>109</v>
      </c>
      <c r="C17" s="101">
        <v>1.390932477875465E-2</v>
      </c>
      <c r="D17" s="101">
        <v>1.390932477875465E-2</v>
      </c>
      <c r="E17" s="101">
        <v>1.390932477875465E-2</v>
      </c>
      <c r="F17" s="101">
        <v>1.390932477875465E-2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1.1055711336886291E-2</v>
      </c>
      <c r="D19" s="101">
        <v>1.1055711336886291E-2</v>
      </c>
      <c r="E19" s="101">
        <v>1.1055711336886291E-2</v>
      </c>
      <c r="F19" s="101">
        <v>1.1055711336886291E-2</v>
      </c>
    </row>
    <row r="20" spans="1:8" ht="15.75" customHeight="1" x14ac:dyDescent="0.25">
      <c r="B20" s="19" t="s">
        <v>98</v>
      </c>
      <c r="C20" s="101">
        <v>2.0022801128055979E-2</v>
      </c>
      <c r="D20" s="101">
        <v>2.0022801128055979E-2</v>
      </c>
      <c r="E20" s="101">
        <v>2.0022801128055979E-2</v>
      </c>
      <c r="F20" s="101">
        <v>2.0022801128055979E-2</v>
      </c>
    </row>
    <row r="21" spans="1:8" ht="15.75" customHeight="1" x14ac:dyDescent="0.25">
      <c r="B21" s="19" t="s">
        <v>107</v>
      </c>
      <c r="C21" s="101">
        <v>0.1369566895751991</v>
      </c>
      <c r="D21" s="101">
        <v>0.1369566895751991</v>
      </c>
      <c r="E21" s="101">
        <v>0.1369566895751991</v>
      </c>
      <c r="F21" s="101">
        <v>0.1369566895751991</v>
      </c>
    </row>
    <row r="22" spans="1:8" ht="15.75" customHeight="1" x14ac:dyDescent="0.25">
      <c r="B22" s="19" t="s">
        <v>118</v>
      </c>
      <c r="C22" s="101">
        <v>0.16087041703497551</v>
      </c>
      <c r="D22" s="101">
        <v>0.16087041703497551</v>
      </c>
      <c r="E22" s="101">
        <v>0.16087041703497551</v>
      </c>
      <c r="F22" s="101">
        <v>0.16087041703497551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2.0391851999999999E-2</v>
      </c>
    </row>
    <row r="27" spans="1:8" ht="15.75" customHeight="1" x14ac:dyDescent="0.25">
      <c r="B27" s="19" t="s">
        <v>108</v>
      </c>
      <c r="C27" s="101">
        <v>1.2112826E-2</v>
      </c>
    </row>
    <row r="28" spans="1:8" ht="15.75" customHeight="1" x14ac:dyDescent="0.25">
      <c r="B28" s="19" t="s">
        <v>122</v>
      </c>
      <c r="C28" s="101">
        <v>0.20645870999999999</v>
      </c>
    </row>
    <row r="29" spans="1:8" ht="15.75" customHeight="1" x14ac:dyDescent="0.25">
      <c r="B29" s="19" t="s">
        <v>105</v>
      </c>
      <c r="C29" s="101">
        <v>0.14582909399999999</v>
      </c>
    </row>
    <row r="30" spans="1:8" ht="15.75" customHeight="1" x14ac:dyDescent="0.25">
      <c r="B30" s="19" t="s">
        <v>4</v>
      </c>
      <c r="C30" s="101">
        <v>4.8967666E-2</v>
      </c>
    </row>
    <row r="31" spans="1:8" ht="15.75" customHeight="1" x14ac:dyDescent="0.25">
      <c r="B31" s="19" t="s">
        <v>99</v>
      </c>
      <c r="C31" s="101">
        <v>9.2788695000000004E-2</v>
      </c>
    </row>
    <row r="32" spans="1:8" ht="15.75" customHeight="1" x14ac:dyDescent="0.25">
      <c r="B32" s="19" t="s">
        <v>104</v>
      </c>
      <c r="C32" s="101">
        <v>1.0910125E-2</v>
      </c>
    </row>
    <row r="33" spans="2:3" ht="15.75" customHeight="1" x14ac:dyDescent="0.25">
      <c r="B33" s="19" t="s">
        <v>119</v>
      </c>
      <c r="C33" s="101">
        <v>0.3714693</v>
      </c>
    </row>
    <row r="34" spans="2:3" ht="15.75" customHeight="1" x14ac:dyDescent="0.25">
      <c r="B34" s="19" t="s">
        <v>106</v>
      </c>
      <c r="C34" s="101">
        <v>9.1071732999999988E-2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lNMg4RlbZEw+x8QGjc5bzz9cAGDSr8LC7r7zzLHztm9Gp6fVZ715p9+m2QvFC0B/IfM/eQ9EDnsn3NzjoiOgcw==" saltValue="GzgCJJaMllVZfxcvZGz8m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0.42378197479032165</v>
      </c>
      <c r="D2" s="52">
        <f>IFERROR(1-_xlfn.NORM.DIST(_xlfn.NORM.INV(SUM(D4:D5), 0, 1) + 1, 0, 1, TRUE), "")</f>
        <v>0.42378197479032165</v>
      </c>
      <c r="E2" s="52">
        <f>IFERROR(1-_xlfn.NORM.DIST(_xlfn.NORM.INV(SUM(E4:E5), 0, 1) + 1, 0, 1, TRUE), "")</f>
        <v>0.48626648782681481</v>
      </c>
      <c r="F2" s="52">
        <f>IFERROR(1-_xlfn.NORM.DIST(_xlfn.NORM.INV(SUM(F4:F5), 0, 1) + 1, 0, 1, TRUE), "")</f>
        <v>0.26110617972600525</v>
      </c>
      <c r="G2" s="52">
        <f>IFERROR(1-_xlfn.NORM.DIST(_xlfn.NORM.INV(SUM(G4:G5), 0, 1) + 1, 0, 1, TRUE), "")</f>
        <v>0.24782416449959621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0.36660722520967837</v>
      </c>
      <c r="D3" s="52">
        <f>IFERROR(_xlfn.NORM.DIST(_xlfn.NORM.INV(SUM(D4:D5), 0, 1) + 1, 0, 1, TRUE) - SUM(D4:D5), "")</f>
        <v>0.36660722520967837</v>
      </c>
      <c r="E3" s="52">
        <f>IFERROR(_xlfn.NORM.DIST(_xlfn.NORM.INV(SUM(E4:E5), 0, 1) + 1, 0, 1, TRUE) - SUM(E4:E5), "")</f>
        <v>0.34660341217318519</v>
      </c>
      <c r="F3" s="52">
        <f>IFERROR(_xlfn.NORM.DIST(_xlfn.NORM.INV(SUM(F4:F5), 0, 1) + 1, 0, 1, TRUE) - SUM(F4:F5), "")</f>
        <v>0.37949312027399473</v>
      </c>
      <c r="G3" s="52">
        <f>IFERROR(_xlfn.NORM.DIST(_xlfn.NORM.INV(SUM(G4:G5), 0, 1) + 1, 0, 1, TRUE) - SUM(G4:G5), "")</f>
        <v>0.37717883550040376</v>
      </c>
    </row>
    <row r="4" spans="1:15" ht="15.75" customHeight="1" x14ac:dyDescent="0.25">
      <c r="B4" s="5" t="s">
        <v>129</v>
      </c>
      <c r="C4" s="45">
        <v>0.1148358</v>
      </c>
      <c r="D4" s="53">
        <v>0.1148358</v>
      </c>
      <c r="E4" s="53">
        <v>7.4602000000000002E-2</v>
      </c>
      <c r="F4" s="53">
        <v>0.21216470000000001</v>
      </c>
      <c r="G4" s="53">
        <v>0.23018359999999999</v>
      </c>
    </row>
    <row r="5" spans="1:15" ht="15.75" customHeight="1" x14ac:dyDescent="0.25">
      <c r="B5" s="5" t="s">
        <v>125</v>
      </c>
      <c r="C5" s="45">
        <v>9.4774999999999998E-2</v>
      </c>
      <c r="D5" s="53">
        <v>9.4774999999999998E-2</v>
      </c>
      <c r="E5" s="53">
        <v>9.2528100000000002E-2</v>
      </c>
      <c r="F5" s="53">
        <v>0.14723600000000001</v>
      </c>
      <c r="G5" s="53">
        <v>0.14481340000000001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0.51333220751428721</v>
      </c>
      <c r="D8" s="52">
        <f>IFERROR(1-_xlfn.NORM.DIST(_xlfn.NORM.INV(SUM(D10:D11), 0, 1) + 1, 0, 1, TRUE), "")</f>
        <v>0.51333220751428721</v>
      </c>
      <c r="E8" s="52">
        <f>IFERROR(1-_xlfn.NORM.DIST(_xlfn.NORM.INV(SUM(E10:E11), 0, 1) + 1, 0, 1, TRUE), "")</f>
        <v>0.61169227248812275</v>
      </c>
      <c r="F8" s="52">
        <f>IFERROR(1-_xlfn.NORM.DIST(_xlfn.NORM.INV(SUM(F10:F11), 0, 1) + 1, 0, 1, TRUE), "")</f>
        <v>0.70590028663116455</v>
      </c>
      <c r="G8" s="52">
        <f>IFERROR(1-_xlfn.NORM.DIST(_xlfn.NORM.INV(SUM(G10:G11), 0, 1) + 1, 0, 1, TRUE), "")</f>
        <v>0.77885184725139966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0.33596529248571272</v>
      </c>
      <c r="D9" s="52">
        <f>IFERROR(_xlfn.NORM.DIST(_xlfn.NORM.INV(SUM(D10:D11), 0, 1) + 1, 0, 1, TRUE) - SUM(D10:D11), "")</f>
        <v>0.33596529248571272</v>
      </c>
      <c r="E9" s="52">
        <f>IFERROR(_xlfn.NORM.DIST(_xlfn.NORM.INV(SUM(E10:E11), 0, 1) + 1, 0, 1, TRUE) - SUM(E10:E11), "")</f>
        <v>0.28868992751187728</v>
      </c>
      <c r="F9" s="52">
        <f>IFERROR(_xlfn.NORM.DIST(_xlfn.NORM.INV(SUM(F10:F11), 0, 1) + 1, 0, 1, TRUE) - SUM(F10:F11), "")</f>
        <v>0.23249571336883545</v>
      </c>
      <c r="G9" s="52">
        <f>IFERROR(_xlfn.NORM.DIST(_xlfn.NORM.INV(SUM(G10:G11), 0, 1) + 1, 0, 1, TRUE) - SUM(G10:G11), "")</f>
        <v>0.18264455274860028</v>
      </c>
    </row>
    <row r="10" spans="1:15" ht="15.75" customHeight="1" x14ac:dyDescent="0.25">
      <c r="B10" s="5" t="s">
        <v>126</v>
      </c>
      <c r="C10" s="45">
        <v>6.7005099999999998E-2</v>
      </c>
      <c r="D10" s="53">
        <v>6.7005099999999998E-2</v>
      </c>
      <c r="E10" s="53">
        <v>6.6708199999999995E-2</v>
      </c>
      <c r="F10" s="53">
        <v>4.1234899999999998E-2</v>
      </c>
      <c r="G10" s="53">
        <v>2.8616599999999999E-2</v>
      </c>
    </row>
    <row r="11" spans="1:15" ht="15.75" customHeight="1" x14ac:dyDescent="0.25">
      <c r="B11" s="5" t="s">
        <v>138</v>
      </c>
      <c r="C11" s="45">
        <v>8.3697400000000005E-2</v>
      </c>
      <c r="D11" s="53">
        <v>8.3697400000000005E-2</v>
      </c>
      <c r="E11" s="53">
        <v>3.2909599999999997E-2</v>
      </c>
      <c r="F11" s="53">
        <v>2.0369100000000001E-2</v>
      </c>
      <c r="G11" s="53">
        <v>9.887E-3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0.92247155925000002</v>
      </c>
      <c r="D14" s="54">
        <v>0.91737426694000002</v>
      </c>
      <c r="E14" s="54">
        <v>0.91737426694000002</v>
      </c>
      <c r="F14" s="54">
        <v>0.84381044781000003</v>
      </c>
      <c r="G14" s="54">
        <v>0.84381044781000003</v>
      </c>
      <c r="H14" s="45">
        <v>0.32800000000000001</v>
      </c>
      <c r="I14" s="55">
        <v>0.32800000000000001</v>
      </c>
      <c r="J14" s="55">
        <v>0.32800000000000001</v>
      </c>
      <c r="K14" s="55">
        <v>0.32800000000000001</v>
      </c>
      <c r="L14" s="45">
        <v>0.35699999999999998</v>
      </c>
      <c r="M14" s="55">
        <v>0.35699999999999998</v>
      </c>
      <c r="N14" s="55">
        <v>0.35699999999999998</v>
      </c>
      <c r="O14" s="55">
        <v>0.35699999999999998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0.45088933861645208</v>
      </c>
      <c r="D15" s="52">
        <f t="shared" si="0"/>
        <v>0.44839786369200108</v>
      </c>
      <c r="E15" s="52">
        <f t="shared" si="0"/>
        <v>0.44839786369200108</v>
      </c>
      <c r="F15" s="52">
        <f t="shared" si="0"/>
        <v>0.41244104592236314</v>
      </c>
      <c r="G15" s="52">
        <f t="shared" si="0"/>
        <v>0.41244104592236314</v>
      </c>
      <c r="H15" s="52">
        <f t="shared" si="0"/>
        <v>0.16032115200000005</v>
      </c>
      <c r="I15" s="52">
        <f t="shared" si="0"/>
        <v>0.16032115200000005</v>
      </c>
      <c r="J15" s="52">
        <f t="shared" si="0"/>
        <v>0.16032115200000005</v>
      </c>
      <c r="K15" s="52">
        <f t="shared" si="0"/>
        <v>0.16032115200000005</v>
      </c>
      <c r="L15" s="52">
        <f t="shared" si="0"/>
        <v>0.17449588800000004</v>
      </c>
      <c r="M15" s="52">
        <f t="shared" si="0"/>
        <v>0.17449588800000004</v>
      </c>
      <c r="N15" s="52">
        <f t="shared" si="0"/>
        <v>0.17449588800000004</v>
      </c>
      <c r="O15" s="52">
        <f t="shared" si="0"/>
        <v>0.17449588800000004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7G+PUmCi7erOgdzCPaJrVGeR5wb+ppt+MAOfaAc6/oRoXKQ21kAQ54jD+udAhnhbxP2ScJWb0uvtAbOYrbNRw==" saltValue="VC1R8XKQPKNAWx9LtmbX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0.71490070000000006</v>
      </c>
      <c r="D2" s="53">
        <v>0.43867450000000002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0.15027860000000001</v>
      </c>
      <c r="D3" s="53">
        <v>0.1844066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0.1322034</v>
      </c>
      <c r="D4" s="53">
        <v>0.37343589999999999</v>
      </c>
      <c r="E4" s="53">
        <v>0.98593639999999994</v>
      </c>
      <c r="F4" s="53">
        <v>0.8040503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2.6172999999999336E-3</v>
      </c>
      <c r="D5" s="52">
        <f t="shared" si="0"/>
        <v>3.4829999999999028E-3</v>
      </c>
      <c r="E5" s="52">
        <f>1-SUM(E2:E4)</f>
        <v>1.4063600000000065E-2</v>
      </c>
      <c r="F5" s="52">
        <f>1-SUM(F2:F4)</f>
        <v>0.1959497</v>
      </c>
      <c r="G5" s="52">
        <f>1-SUM(G2:G4)</f>
        <v>1</v>
      </c>
    </row>
  </sheetData>
  <sheetProtection algorithmName="SHA-512" hashValue="W8wjK6Mx4xYDA+tqcaOSlcH7INy21lwmyJtugIn6tsJ6YRekBtIdblHh+yGrByED0QPr8ubGmIA7Ckbft1hSnA==" saltValue="PxPC7OPvODKlZumD79OeZ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/GWOQ8FW6+zkVgIoUNGF5fiAPAgdAphBmF0DR1N38kN0s+DjcGI4e4KWcwVs3G3iF4gyq+FVm0OIzGodV10hQ==" saltValue="ntgbr5laHOf4A/oyBuImK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3560.1977045768699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0.45343000000000006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0.67799999999999994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1.8544560394586553E-2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97245.943180000002</v>
      </c>
      <c r="C22" s="109">
        <v>97011.314069999993</v>
      </c>
      <c r="D22" s="109">
        <v>96564.284830000004</v>
      </c>
      <c r="E22" s="109">
        <v>96264.243969999996</v>
      </c>
      <c r="F22" s="109">
        <v>95881.619640000004</v>
      </c>
      <c r="G22" s="109">
        <v>95429.46789</v>
      </c>
      <c r="H22" s="109">
        <v>94873.503970000005</v>
      </c>
      <c r="I22" s="109">
        <v>94134.216979999997</v>
      </c>
      <c r="J22" s="109">
        <v>93061.869749999998</v>
      </c>
      <c r="K22" s="109">
        <v>91456.30502</v>
      </c>
      <c r="L22" s="109">
        <v>88958.027109999995</v>
      </c>
      <c r="M22" s="109">
        <v>85154.401190000004</v>
      </c>
      <c r="N22" s="109">
        <v>79288.489449999994</v>
      </c>
      <c r="O22" s="109">
        <v>70676.934229999999</v>
      </c>
    </row>
  </sheetData>
  <sheetProtection algorithmName="SHA-512" hashValue="/MQsrekbnHCCvx14M1L5A3TqL6z9veu0z0ZS3JJ/UEQSmvZ86lt/a6nUsluCOCH9BFTHM1qKaO1O0M6eOECPfw==" saltValue="r9jeyQEL+kGRxgOMh+Jt/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vihHsCXQh8KlWvsLQssK4Aww3DjPWQVMATdZdciiPiVf62uqZHQrsweKN50u+Iu3Fi3l035Mtn8wcaV9W3gIkA==" saltValue="kKRI+FQ1EjPRu4v45VoCX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zIyUgG1TGe/T7mFUJ9ZbQbdX65V1Dq6wyL6jrNS5+V28EBl2fhWgKE1Co8FMaJ/k3QtxAKtji0csQj69YwNCDg==" saltValue="PkxZc+Z0trRVVojXcafBs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17.026484135107474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17.026484135107474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8.0705350947424606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0.24171699078812695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12.816498427138701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12.816498427138701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12.816498427138701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12.816498427138701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12.816498427138701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12.816498427138701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9.7330203637492063E-2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0.43867450000000002</v>
      </c>
      <c r="C18" s="98">
        <v>0.95</v>
      </c>
      <c r="D18" s="56">
        <v>8.0705350947424606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0.43867450000000002</v>
      </c>
      <c r="C19" s="98">
        <v>0.95</v>
      </c>
      <c r="D19" s="56">
        <v>6.4352685672608949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8.0705350947424606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4.1570370268154289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0.45138522009439402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4.7229528222409431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17.846880984952122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0.60908189999999995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0.88700000000000001</v>
      </c>
      <c r="C29" s="98">
        <v>0.95</v>
      </c>
      <c r="D29" s="56">
        <v>93.696773026618672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4.0000000000000001E-3</v>
      </c>
      <c r="C31" s="98">
        <v>0.95</v>
      </c>
      <c r="D31" s="56">
        <v>175.48809161556471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0.45</v>
      </c>
      <c r="C32" s="98">
        <v>0.95</v>
      </c>
      <c r="D32" s="56">
        <v>0.45463218100922231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0.93204179999999992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0.57459300000000002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0.2315497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8.1805999999999997E-3</v>
      </c>
      <c r="C38" s="98">
        <v>0.95</v>
      </c>
      <c r="D38" s="56">
        <v>1.6798709086682517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QfIt0fkHdlKqNs7gjpTi+0jjDPU8eXPV82tmblDKPbVCXP4LtUDfDX3kwV1/cZ+8JvgaM/sYsCjIdeNRogSySw==" saltValue="hmDlpxXe8GAS49LlkS38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Lrlnb8wmaCh1Kgk3m1KyiUD8nuohJCrGTL8sOtA9iH4X5vW4ji1aQ8506RIHpFe/L33PIWlNJp0xZNQ4y0Yryw==" saltValue="0Lv7OrqFDjvpZNQ41GBLc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uOf+eYTRw8/3TJ1WfrnwipqBBWKN171Lo/ngVow/e0OFCzHeqLcOFiA3XWmUE8q3IMIpxLVAqtdDRV4auWbIw==" saltValue="X1PavTuZAxrZtd0xHv2zA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2.4</v>
      </c>
      <c r="C2" s="21">
        <f>'Entradas de población-año base'!C52</f>
        <v>2.4</v>
      </c>
      <c r="D2" s="21">
        <f>'Entradas de población-año base'!C53</f>
        <v>2.4</v>
      </c>
      <c r="E2" s="21">
        <f>'Entradas de población-año base'!C54</f>
        <v>2.4</v>
      </c>
      <c r="F2" s="21">
        <f>'Entradas de población-año base'!C55</f>
        <v>2.4</v>
      </c>
    </row>
    <row r="3" spans="1:6" ht="15.75" customHeight="1" x14ac:dyDescent="0.25">
      <c r="A3" s="3" t="s">
        <v>6</v>
      </c>
      <c r="B3" s="21">
        <f>frac_mam_1month * 2.6</f>
        <v>0.17421326000000001</v>
      </c>
      <c r="C3" s="21">
        <f>frac_mam_1_5months * 2.6</f>
        <v>0.17421326000000001</v>
      </c>
      <c r="D3" s="21">
        <f>frac_mam_6_11months * 2.6</f>
        <v>0.17344131999999998</v>
      </c>
      <c r="E3" s="21">
        <f>frac_mam_12_23months * 2.6</f>
        <v>0.10721074</v>
      </c>
      <c r="F3" s="21">
        <f>frac_mam_24_59months * 2.6</f>
        <v>7.4403159999999996E-2</v>
      </c>
    </row>
    <row r="4" spans="1:6" ht="15.75" customHeight="1" x14ac:dyDescent="0.25">
      <c r="A4" s="3" t="s">
        <v>236</v>
      </c>
      <c r="B4" s="21">
        <f>frac_sam_1month * 2.6</f>
        <v>0.21761324000000001</v>
      </c>
      <c r="C4" s="21">
        <f>frac_sam_1_5months * 2.6</f>
        <v>0.21761324000000001</v>
      </c>
      <c r="D4" s="21">
        <f>frac_sam_6_11months * 2.6</f>
        <v>8.5564959999999995E-2</v>
      </c>
      <c r="E4" s="21">
        <f>frac_sam_12_23months * 2.6</f>
        <v>5.2959660000000006E-2</v>
      </c>
      <c r="F4" s="21">
        <f>frac_sam_24_59months * 2.6</f>
        <v>2.5706200000000002E-2</v>
      </c>
    </row>
  </sheetData>
  <sheetProtection algorithmName="SHA-512" hashValue="IKNI82K0KwuXbdulQbZFNQE5kIIZUpuocdHNaH32zEa4eMMRK5L5kiCz23Ri+8pXi+Xrxndmhx8cetZbUD2Ohg==" saltValue="PZd1ordQbJD7Y7c2EkRlI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0.154</v>
      </c>
      <c r="M24" s="60">
        <f>famplan_unmet_need</f>
        <v>0.154</v>
      </c>
      <c r="N24" s="60">
        <f>famplan_unmet_need</f>
        <v>0.154</v>
      </c>
      <c r="O24" s="60">
        <f>famplan_unmet_need</f>
        <v>0.154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0.14357459206771836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6.1531968029022159E-2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8.6031211509704511E-2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0.70886222839355495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/pkarhXlP9qUWaStHEJbc05KoqZQL7EyuwA0+vLxobm1zZ/QevssQV6aFJpV80RxI7HlFnzAbnM//xfWHizvw==" saltValue="6HWGF5sN7kLciLJUds3Bs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PuhWtqjb+50QGEAFkTdeMIZ3gqa8GLhW926wvFijQusbXuZRHUT6nno9Y3SNMEB6XT/gPg3H/mJXtdLy+V01Tg==" saltValue="0sbkQyex/O4ZPEDqLH9Ok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4iYFRajXWH1H8t7kGm6eyEYdJzPtZy7Ehn64JmPiJ1ViCyar0uDBEaioNw8Ci/tJVOo6/Idl7/qSXXi+7vseEg==" saltValue="RW1fuYndfRqx/llJs53ap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t5i4BtJtp5sNgbJzbeYvQuL01099nM7UVzSAcrFpFEUHDb+YTu2CG8+M6vv57JM2N2ufkgRdbubJVvCFOgiyQ==" saltValue="VYpyiFq0/fsl2REfbjBL/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lsRmLIW1DejwlgWCovKzQCpU+9WAPMmPbxdn8ags9xPszhV38KhZpRf0LwSjLhU8sx4RXlpgXcW4LSwmgpV5CA==" saltValue="Ld2tuQuHfZUOAmhASpC2C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UC9jFCDi+Mz0WncUNOcdJzmDgT/KjX0g0L00s4YO/Ln1R2gj7pGve5KHjeBK0QvNjOJwdyN0a1XINacJ0cXMAQ==" saltValue="HsVERDdeL7Wyq6MX5yny9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1UZpMOCnEHsgLje3SbwjZeAaCGfjAnnCh50iGs21Kx4Tb/VjQimu1pv7EZ7C3z3x2mHPJpblu7w9MMh4i3OBw==" saltValue="oBFZB1qrB07UyUx1CpB/2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9g5BSQPV+1RhejB42PtUeUBvCo/KVXIdlRLN4PjbDe+PCmxpUAxBKZ90ug45xQdJ3731+OeAfVaLMrIafKQfWQ==" saltValue="zoZUvVVYLCJ06Je3jZn9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HnHtS8HiCqo+5OrAqsc8ivw+DJ/blQzQyP9T2nQXlVhxahaVNUaC3XKxHyMYzSK+hF6I+N/ex5QAHfOhVb/ERw==" saltValue="IDLdcv2Ibir40h0Mkfzo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MrJw+wyvBMDXYDJS7xoGWse4mv/YJClFvC5NK4e+4rt8bHjmnSnE5Q3OqsIz1CZAU71CpBGX9VeviPv3cWJ7EA==" saltValue="D5zEdGiZYXLnhvKJnYpv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e/sTzlnA9RQcytVkaqFhszgILahx8F3L6L7mTzxY9FRouTc++ck3s+QHPpzbGHrR988fcW1PdiPOCIGK5a5tWw==" saltValue="Wo+nQ9HeIuliYgcU3/PK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Q1NZ2xmXKbw1icxZvevJhQN8NdMfbzy3Og30fN7nu2JGZD92p9OTch3SafGTExPV5U1fXU7C2U9f4Wam3nLng==" saltValue="QeMd/TQFoGXI6zKB9chS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JtFX2x8jF+U+yxQoOZFwUY9t4DwrQW0sKm2GWojDvNN6r8d9hHUjHFpbxCk2uuaKEhhYsJMUnEYR8KXkRUm01g==" saltValue="y3d39bIjWy5JoGgYdOD4r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Xw45qijtWJ7H68+n7w6h7fXVueXBcVs0nc12Y5jjFMLaZ0F27dsSjhdMBAjwBu2u5zLvaAhAmvA8laSA8zeBVw==" saltValue="COQ7a7yezXSIBaS2thJZ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9U6ElUk7Q+RcOpX7W7yJTWl2D8NirYghYom3u53LyrWiD9akQOErere6phgGDndZKbhBp6p8aUbqMWypHYU3aQ==" saltValue="ldkTHBQx8cHNHDGkZx0rt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2025-07-04T00:52:14Z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