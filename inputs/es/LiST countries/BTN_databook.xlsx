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B0DA174-DB5B-4582-AEE1-50584BABAF1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<sst xmlns="http://schemas.openxmlformats.org/spreadsheetml/2006/main" count="2102" uniqueCount="341">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</sst>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47236.17578125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0.70886222839355495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7.22E-2</v>
      </c>
    </row>
    <row r="24" spans="1:3" ht="15" customHeight="1" x14ac:dyDescent="0.25">
      <c r="B24" s="15" t="s">
        <v>46</v>
      </c>
      <c r="C24" s="45">
        <v>0.55390000000000006</v>
      </c>
    </row>
    <row r="25" spans="1:3" ht="15" customHeight="1" x14ac:dyDescent="0.25">
      <c r="B25" s="15" t="s">
        <v>47</v>
      </c>
      <c r="C25" s="45">
        <v>0.31580000000000003</v>
      </c>
    </row>
    <row r="26" spans="1:3" ht="15" customHeight="1" x14ac:dyDescent="0.25">
      <c r="B26" s="15" t="s">
        <v>48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0.41227810089419697</v>
      </c>
    </row>
    <row r="30" spans="1:3" ht="14.25" customHeight="1" x14ac:dyDescent="0.25">
      <c r="B30" s="25" t="s">
        <v>63</v>
      </c>
      <c r="C30" s="99">
        <v>4.1696555750580601E-2</v>
      </c>
    </row>
    <row r="31" spans="1:3" ht="14.25" customHeight="1" x14ac:dyDescent="0.25">
      <c r="B31" s="25" t="s">
        <v>10</v>
      </c>
      <c r="C31" s="99">
        <v>7.5022305717839008E-2</v>
      </c>
    </row>
    <row r="32" spans="1:3" ht="14.25" customHeight="1" x14ac:dyDescent="0.25">
      <c r="B32" s="25" t="s">
        <v>11</v>
      </c>
      <c r="C32" s="99">
        <v>0.47100303763738299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14.832380000000001</v>
      </c>
    </row>
    <row r="38" spans="1:5" ht="15" customHeight="1" x14ac:dyDescent="0.25">
      <c r="B38" s="11" t="s">
        <v>35</v>
      </c>
      <c r="C38" s="43">
        <v>22.452369999999998</v>
      </c>
      <c r="D38" s="12"/>
      <c r="E38" s="13"/>
    </row>
    <row r="39" spans="1:5" ht="15" customHeight="1" x14ac:dyDescent="0.25">
      <c r="B39" s="11" t="s">
        <v>61</v>
      </c>
      <c r="C39" s="43">
        <v>26.68741</v>
      </c>
      <c r="D39" s="12"/>
      <c r="E39" s="12"/>
    </row>
    <row r="40" spans="1:5" ht="15" customHeight="1" x14ac:dyDescent="0.25">
      <c r="B40" s="11" t="s">
        <v>36</v>
      </c>
      <c r="C40" s="100">
        <v>0.6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1.7845300000000001E-2</v>
      </c>
      <c r="D45" s="12"/>
    </row>
    <row r="46" spans="1:5" ht="15.75" customHeight="1" x14ac:dyDescent="0.25">
      <c r="B46" s="11" t="s">
        <v>51</v>
      </c>
      <c r="C46" s="45">
        <v>0.1060015</v>
      </c>
      <c r="D46" s="12"/>
    </row>
    <row r="47" spans="1:5" ht="15.75" customHeight="1" x14ac:dyDescent="0.25">
      <c r="B47" s="11" t="s">
        <v>59</v>
      </c>
      <c r="C47" s="45">
        <v>0.40820650000000003</v>
      </c>
      <c r="D47" s="12"/>
      <c r="E47" s="13"/>
    </row>
    <row r="48" spans="1:5" ht="15" customHeight="1" x14ac:dyDescent="0.25">
      <c r="B48" s="11" t="s">
        <v>58</v>
      </c>
      <c r="C48" s="46">
        <v>0.46794669999999999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0.48878400000000011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0.11662965</v>
      </c>
    </row>
    <row r="63" spans="1:4" ht="15.75" customHeight="1" x14ac:dyDescent="0.3">
      <c r="A63" s="4"/>
    </row>
  </sheetData>
  <sheetProtection algorithmName="SHA-512" hashValue="tbaZgLIN1BNYSfoznCZDS5cZag4SIQ1bnXOmuXH5+h/qw1zElJlh6iXOeYvMVabV5E9RBZXR1KnxQa7wFYxUCQ==" saltValue="dMYiUXFxHUHLg0PQUwr2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9627</v>
      </c>
      <c r="C2" s="49">
        <v>39163.5</v>
      </c>
      <c r="D2" s="49">
        <v>70023</v>
      </c>
      <c r="E2" s="49">
        <v>70512.5</v>
      </c>
      <c r="F2" s="49">
        <v>43830.5</v>
      </c>
      <c r="G2" s="17">
        <f t="shared" ref="G2:G13" si="0">C2+D2+E2+F2</f>
        <v>223529.5</v>
      </c>
      <c r="H2" s="17">
        <f t="shared" ref="H2:H13" si="1">(B2 + stillbirth*B2/(1000-stillbirth))/(1-abortion)</f>
        <v>11039.296288640373</v>
      </c>
      <c r="I2" s="17">
        <f t="shared" ref="I2:I13" si="2">G2-H2</f>
        <v>212490.20371135962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9648</v>
      </c>
      <c r="C3" s="50">
        <v>38404.5</v>
      </c>
      <c r="D3" s="50">
        <v>69977</v>
      </c>
      <c r="E3" s="50">
        <v>71410</v>
      </c>
      <c r="F3" s="50">
        <v>45765.5</v>
      </c>
      <c r="G3" s="17">
        <f t="shared" si="0"/>
        <v>225557</v>
      </c>
      <c r="H3" s="17">
        <f t="shared" si="1"/>
        <v>11063.377022208613</v>
      </c>
      <c r="I3" s="17">
        <f t="shared" si="2"/>
        <v>214493.62297779138</v>
      </c>
    </row>
    <row r="4" spans="1:9" ht="15.75" customHeight="1" x14ac:dyDescent="0.25">
      <c r="A4" s="5">
        <f t="shared" si="3"/>
        <v>2026</v>
      </c>
      <c r="B4" s="49">
        <v>9621</v>
      </c>
      <c r="C4" s="50">
        <v>37872.5</v>
      </c>
      <c r="D4" s="50">
        <v>69864</v>
      </c>
      <c r="E4" s="50">
        <v>71877</v>
      </c>
      <c r="F4" s="50">
        <v>47694.5</v>
      </c>
      <c r="G4" s="17">
        <f t="shared" si="0"/>
        <v>227308</v>
      </c>
      <c r="H4" s="17">
        <f t="shared" si="1"/>
        <v>11032.416079049446</v>
      </c>
      <c r="I4" s="17">
        <f t="shared" si="2"/>
        <v>216275.58392095056</v>
      </c>
    </row>
    <row r="5" spans="1:9" ht="15.75" customHeight="1" x14ac:dyDescent="0.25">
      <c r="A5" s="5">
        <f t="shared" si="3"/>
        <v>2027</v>
      </c>
      <c r="B5" s="49">
        <v>9638</v>
      </c>
      <c r="C5" s="50">
        <v>37530</v>
      </c>
      <c r="D5" s="50">
        <v>69606.5</v>
      </c>
      <c r="E5" s="50">
        <v>71946.5</v>
      </c>
      <c r="F5" s="50">
        <v>49607.499999999993</v>
      </c>
      <c r="G5" s="17">
        <f t="shared" si="0"/>
        <v>228690.5</v>
      </c>
      <c r="H5" s="17">
        <f t="shared" si="1"/>
        <v>11051.910006223736</v>
      </c>
      <c r="I5" s="17">
        <f t="shared" si="2"/>
        <v>217638.58999377626</v>
      </c>
    </row>
    <row r="6" spans="1:9" ht="15.75" customHeight="1" x14ac:dyDescent="0.25">
      <c r="A6" s="5">
        <f t="shared" si="3"/>
        <v>2028</v>
      </c>
      <c r="B6" s="49">
        <v>9611</v>
      </c>
      <c r="C6" s="50">
        <v>37177.499999999993</v>
      </c>
      <c r="D6" s="50">
        <v>69153.500000000015</v>
      </c>
      <c r="E6" s="50">
        <v>71689.5</v>
      </c>
      <c r="F6" s="50">
        <v>51489.5</v>
      </c>
      <c r="G6" s="17">
        <f t="shared" si="0"/>
        <v>229510</v>
      </c>
      <c r="H6" s="17">
        <f t="shared" si="1"/>
        <v>11020.949063064572</v>
      </c>
      <c r="I6" s="17">
        <f t="shared" si="2"/>
        <v>218489.05093693544</v>
      </c>
    </row>
    <row r="7" spans="1:9" ht="15.75" customHeight="1" x14ac:dyDescent="0.25">
      <c r="A7" s="5">
        <f t="shared" si="3"/>
        <v>2029</v>
      </c>
      <c r="B7" s="49">
        <v>9626</v>
      </c>
      <c r="C7" s="50">
        <v>36577.5</v>
      </c>
      <c r="D7" s="50">
        <v>68527</v>
      </c>
      <c r="E7" s="50">
        <v>71245</v>
      </c>
      <c r="F7" s="50">
        <v>53412.5</v>
      </c>
      <c r="G7" s="17">
        <f t="shared" si="0"/>
        <v>229762</v>
      </c>
      <c r="H7" s="17">
        <f t="shared" si="1"/>
        <v>11038.149587041884</v>
      </c>
      <c r="I7" s="17">
        <f t="shared" si="2"/>
        <v>218723.85041295813</v>
      </c>
    </row>
    <row r="8" spans="1:9" ht="15.75" customHeight="1" x14ac:dyDescent="0.25">
      <c r="A8" s="5">
        <f t="shared" si="3"/>
        <v>2030</v>
      </c>
      <c r="B8" s="49">
        <v>9591</v>
      </c>
      <c r="C8" s="50">
        <v>35763.5</v>
      </c>
      <c r="D8" s="50">
        <v>67781</v>
      </c>
      <c r="E8" s="50">
        <v>70768.5</v>
      </c>
      <c r="F8" s="50">
        <v>55407</v>
      </c>
      <c r="G8" s="17">
        <f t="shared" si="0"/>
        <v>229720</v>
      </c>
      <c r="H8" s="17">
        <f t="shared" si="1"/>
        <v>10998.015031094819</v>
      </c>
      <c r="I8" s="17">
        <f t="shared" si="2"/>
        <v>218721.98496890519</v>
      </c>
    </row>
    <row r="9" spans="1:9" ht="15.75" customHeight="1" x14ac:dyDescent="0.25">
      <c r="A9" s="5">
        <f t="shared" si="3"/>
        <v>2031</v>
      </c>
      <c r="B9" s="49">
        <v>9569</v>
      </c>
      <c r="C9" s="50">
        <v>34889.5</v>
      </c>
      <c r="D9" s="50">
        <v>66962.5</v>
      </c>
      <c r="E9" s="50">
        <v>70355</v>
      </c>
      <c r="F9" s="50">
        <v>57417</v>
      </c>
      <c r="G9" s="17">
        <f t="shared" si="0"/>
        <v>229624</v>
      </c>
      <c r="H9" s="17">
        <f t="shared" si="1"/>
        <v>10972.78759592809</v>
      </c>
      <c r="I9" s="17">
        <f t="shared" si="2"/>
        <v>218651.21240407191</v>
      </c>
    </row>
    <row r="10" spans="1:9" ht="15.75" customHeight="1" x14ac:dyDescent="0.25">
      <c r="A10" s="5">
        <f t="shared" si="3"/>
        <v>2032</v>
      </c>
      <c r="B10" s="49">
        <v>9524</v>
      </c>
      <c r="C10" s="50">
        <v>33809.5</v>
      </c>
      <c r="D10" s="50">
        <v>66094.5</v>
      </c>
      <c r="E10" s="50">
        <v>70064.5</v>
      </c>
      <c r="F10" s="50">
        <v>59344</v>
      </c>
      <c r="G10" s="17">
        <f t="shared" si="0"/>
        <v>229312.5</v>
      </c>
      <c r="H10" s="17">
        <f t="shared" si="1"/>
        <v>10921.186023996146</v>
      </c>
      <c r="I10" s="17">
        <f t="shared" si="2"/>
        <v>218391.31397600385</v>
      </c>
    </row>
    <row r="11" spans="1:9" ht="15.75" customHeight="1" x14ac:dyDescent="0.25">
      <c r="A11" s="5">
        <f t="shared" si="3"/>
        <v>2033</v>
      </c>
      <c r="B11" s="49">
        <v>9460</v>
      </c>
      <c r="C11" s="50">
        <v>32467</v>
      </c>
      <c r="D11" s="50">
        <v>65134.5</v>
      </c>
      <c r="E11" s="50">
        <v>69925</v>
      </c>
      <c r="F11" s="50">
        <v>61062.5</v>
      </c>
      <c r="G11" s="17">
        <f t="shared" si="0"/>
        <v>228589</v>
      </c>
      <c r="H11" s="17">
        <f t="shared" si="1"/>
        <v>10847.79712169294</v>
      </c>
      <c r="I11" s="17">
        <f t="shared" si="2"/>
        <v>217741.20287830706</v>
      </c>
    </row>
    <row r="12" spans="1:9" ht="15.75" customHeight="1" x14ac:dyDescent="0.25">
      <c r="A12" s="5">
        <f t="shared" si="3"/>
        <v>2034</v>
      </c>
      <c r="B12" s="49">
        <v>9367</v>
      </c>
      <c r="C12" s="50">
        <v>31163.5</v>
      </c>
      <c r="D12" s="50">
        <v>63999.5</v>
      </c>
      <c r="E12" s="50">
        <v>69883</v>
      </c>
      <c r="F12" s="50">
        <v>62473.5</v>
      </c>
      <c r="G12" s="17">
        <f t="shared" si="0"/>
        <v>227519.5</v>
      </c>
      <c r="H12" s="17">
        <f t="shared" si="1"/>
        <v>10741.153873033591</v>
      </c>
      <c r="I12" s="17">
        <f t="shared" si="2"/>
        <v>216778.34612696641</v>
      </c>
    </row>
    <row r="13" spans="1:9" ht="15.75" customHeight="1" x14ac:dyDescent="0.25">
      <c r="A13" s="5">
        <f t="shared" si="3"/>
        <v>2035</v>
      </c>
      <c r="B13" s="49">
        <v>9314</v>
      </c>
      <c r="C13" s="50">
        <v>30166</v>
      </c>
      <c r="D13" s="50">
        <v>62649</v>
      </c>
      <c r="E13" s="50">
        <v>69849.000000000015</v>
      </c>
      <c r="F13" s="50">
        <v>63505.000000000007</v>
      </c>
      <c r="G13" s="17">
        <f t="shared" si="0"/>
        <v>226169</v>
      </c>
      <c r="H13" s="17">
        <f t="shared" si="1"/>
        <v>10680.378688313745</v>
      </c>
      <c r="I13" s="17">
        <f t="shared" si="2"/>
        <v>215488.62131168626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WHcaDtbfBwyDTj4QRE6JTdPNvUubbQNJpqXAPJxOcdeS1q7A3jlCCqfn7Ei0ZUfvgjloEiWthx9RmdCX5eSfw==" saltValue="IpyhzyVDp9zXHUFhlv7+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8.1525008152500862E-3</v>
      </c>
    </row>
    <row r="4" spans="1:8" ht="15.75" customHeight="1" x14ac:dyDescent="0.25">
      <c r="B4" s="19" t="s">
        <v>97</v>
      </c>
      <c r="C4" s="101">
        <v>4.5061404506140379E-2</v>
      </c>
    </row>
    <row r="5" spans="1:8" ht="15.75" customHeight="1" x14ac:dyDescent="0.25">
      <c r="B5" s="19" t="s">
        <v>95</v>
      </c>
      <c r="C5" s="101">
        <v>4.9024504902450451E-2</v>
      </c>
    </row>
    <row r="6" spans="1:8" ht="15.75" customHeight="1" x14ac:dyDescent="0.25">
      <c r="B6" s="19" t="s">
        <v>91</v>
      </c>
      <c r="C6" s="101">
        <v>0.2038836203883623</v>
      </c>
    </row>
    <row r="7" spans="1:8" ht="15.75" customHeight="1" x14ac:dyDescent="0.25">
      <c r="B7" s="19" t="s">
        <v>96</v>
      </c>
      <c r="C7" s="101">
        <v>0.43088424308842432</v>
      </c>
    </row>
    <row r="8" spans="1:8" ht="15.75" customHeight="1" x14ac:dyDescent="0.25">
      <c r="B8" s="19" t="s">
        <v>98</v>
      </c>
      <c r="C8" s="101">
        <v>8.3170008317000766E-4</v>
      </c>
    </row>
    <row r="9" spans="1:8" ht="15.75" customHeight="1" x14ac:dyDescent="0.25">
      <c r="B9" s="19" t="s">
        <v>92</v>
      </c>
      <c r="C9" s="101">
        <v>0.14651341465134141</v>
      </c>
    </row>
    <row r="10" spans="1:8" ht="15.75" customHeight="1" x14ac:dyDescent="0.25">
      <c r="B10" s="19" t="s">
        <v>94</v>
      </c>
      <c r="C10" s="101">
        <v>0.1156486115648612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102</v>
      </c>
      <c r="C15" s="101">
        <v>0.31591331032326309</v>
      </c>
      <c r="D15" s="101">
        <v>0.31591331032326309</v>
      </c>
      <c r="E15" s="101">
        <v>0.31591331032326309</v>
      </c>
      <c r="F15" s="101">
        <v>0.31591331032326309</v>
      </c>
    </row>
    <row r="16" spans="1:8" ht="15.75" customHeight="1" x14ac:dyDescent="0.25">
      <c r="B16" s="19" t="s">
        <v>2</v>
      </c>
      <c r="C16" s="101">
        <v>2.7449882388342828E-2</v>
      </c>
      <c r="D16" s="101">
        <v>2.7449882388342828E-2</v>
      </c>
      <c r="E16" s="101">
        <v>2.7449882388342828E-2</v>
      </c>
      <c r="F16" s="101">
        <v>2.7449882388342828E-2</v>
      </c>
    </row>
    <row r="17" spans="1:8" ht="15.75" customHeight="1" x14ac:dyDescent="0.25">
      <c r="B17" s="19" t="s">
        <v>90</v>
      </c>
      <c r="C17" s="101">
        <v>1.390932477875465E-2</v>
      </c>
      <c r="D17" s="101">
        <v>1.390932477875465E-2</v>
      </c>
      <c r="E17" s="101">
        <v>1.390932477875465E-2</v>
      </c>
      <c r="F17" s="101">
        <v>1.390932477875465E-2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1.1055711336886291E-2</v>
      </c>
      <c r="D19" s="101">
        <v>1.1055711336886291E-2</v>
      </c>
      <c r="E19" s="101">
        <v>1.1055711336886291E-2</v>
      </c>
      <c r="F19" s="101">
        <v>1.1055711336886291E-2</v>
      </c>
    </row>
    <row r="20" spans="1:8" ht="15.75" customHeight="1" x14ac:dyDescent="0.25">
      <c r="B20" s="19" t="s">
        <v>79</v>
      </c>
      <c r="C20" s="101">
        <v>2.0022801128055979E-2</v>
      </c>
      <c r="D20" s="101">
        <v>2.0022801128055979E-2</v>
      </c>
      <c r="E20" s="101">
        <v>2.0022801128055979E-2</v>
      </c>
      <c r="F20" s="101">
        <v>2.0022801128055979E-2</v>
      </c>
    </row>
    <row r="21" spans="1:8" ht="15.75" customHeight="1" x14ac:dyDescent="0.25">
      <c r="B21" s="19" t="s">
        <v>88</v>
      </c>
      <c r="C21" s="101">
        <v>0.1369566895751991</v>
      </c>
      <c r="D21" s="101">
        <v>0.1369566895751991</v>
      </c>
      <c r="E21" s="101">
        <v>0.1369566895751991</v>
      </c>
      <c r="F21" s="101">
        <v>0.1369566895751991</v>
      </c>
    </row>
    <row r="22" spans="1:8" ht="15.75" customHeight="1" x14ac:dyDescent="0.25">
      <c r="B22" s="19" t="s">
        <v>99</v>
      </c>
      <c r="C22" s="101">
        <v>0.16087041703497551</v>
      </c>
      <c r="D22" s="101">
        <v>0.16087041703497551</v>
      </c>
      <c r="E22" s="101">
        <v>0.16087041703497551</v>
      </c>
      <c r="F22" s="101">
        <v>0.16087041703497551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2.0391851999999999E-2</v>
      </c>
    </row>
    <row r="27" spans="1:8" ht="15.75" customHeight="1" x14ac:dyDescent="0.25">
      <c r="B27" s="19" t="s">
        <v>89</v>
      </c>
      <c r="C27" s="101">
        <v>1.2112826E-2</v>
      </c>
    </row>
    <row r="28" spans="1:8" ht="15.75" customHeight="1" x14ac:dyDescent="0.25">
      <c r="B28" s="19" t="s">
        <v>103</v>
      </c>
      <c r="C28" s="101">
        <v>0.20645870999999999</v>
      </c>
    </row>
    <row r="29" spans="1:8" ht="15.75" customHeight="1" x14ac:dyDescent="0.25">
      <c r="B29" s="19" t="s">
        <v>86</v>
      </c>
      <c r="C29" s="101">
        <v>0.14582909399999999</v>
      </c>
    </row>
    <row r="30" spans="1:8" ht="15.75" customHeight="1" x14ac:dyDescent="0.25">
      <c r="B30" s="19" t="s">
        <v>4</v>
      </c>
      <c r="C30" s="101">
        <v>4.8967666E-2</v>
      </c>
    </row>
    <row r="31" spans="1:8" ht="15.75" customHeight="1" x14ac:dyDescent="0.25">
      <c r="B31" s="19" t="s">
        <v>80</v>
      </c>
      <c r="C31" s="101">
        <v>9.2788695000000004E-2</v>
      </c>
    </row>
    <row r="32" spans="1:8" ht="15.75" customHeight="1" x14ac:dyDescent="0.25">
      <c r="B32" s="19" t="s">
        <v>85</v>
      </c>
      <c r="C32" s="101">
        <v>1.0910125E-2</v>
      </c>
    </row>
    <row r="33" spans="2:3" ht="15.75" customHeight="1" x14ac:dyDescent="0.25">
      <c r="B33" s="19" t="s">
        <v>100</v>
      </c>
      <c r="C33" s="101">
        <v>0.3714693</v>
      </c>
    </row>
    <row r="34" spans="2:3" ht="15.75" customHeight="1" x14ac:dyDescent="0.25">
      <c r="B34" s="19" t="s">
        <v>87</v>
      </c>
      <c r="C34" s="101">
        <v>9.1071732999999988E-2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LakVLuEaJRDmvnHJdOBv4CZiV4rQVvP47PmqHOB1qOvzpfFDEiqZpSOzuH/VZ8gMp0JuyUkEDPG0IYo2bMCmXg==" saltValue="xvAwrSzIBUR3hCTjche6i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110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106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107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119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5lDAfTvYk5HnMYP8yeOKlKVosiiG6X+/NmeeCn2d8QC+ca/HlDGnw0cxihGtMcLe82qPcONT47ENm5r3hgXsQ==" saltValue="y4YbnPr7012UMpE/Zf2q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125</v>
      </c>
      <c r="C5" s="52">
        <v>2.6172999999999999E-3</v>
      </c>
      <c r="D5" s="52">
        <v>3.4830999999999998E-3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IniMj++jNa//BZSsl+QUCUqJdyDKm2uLp1xUBWUpdneIdwE9F/r1sjGH/6mJfz41eTn3WRQOqOQW216/XI+0Xg==" saltValue="3XKw7mcWlZ/hi4c3seM4L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eJRHlliltDkEgibHzZzKIJQ0lSp7xJNTAQ0tpapEJ+MH243hU4zcO+hW1o39Dd6Yk0YfrkCkGdSrR1NBXNTNw==" saltValue="eKBaRKvVIhSffVXXbIda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r8v9dmAUkToVXo++NcqwuzDL44O7Z//DRdie8uhLYVfMuLLCyHEnbmyoLl420oO7FoQjjTBi0c4hxD8J5TNxaw==" saltValue="XuH/MgxD5hnyApZTPZQk4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tgdxMxDeyH/fHwtB4K3Ld9WwtQO+g3uh6j/cV5gtaEuJthB633BC+HIfwzmo9acJ7HatxkYO8p6KXe8hJVqWA==" saltValue="ftrV+8pDJD0fb6Jjjac5z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9dljZ/jDafYMnRheny479Z0T45fv/W2iBGrlBekd8p/BpMBvAcT7JPMreJpsLiDmrKcKstFW8mxOrewt23j9Kw==" saltValue="9ZRBO+dRlG2BYd2jXZFw1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49.287869290922437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0.24016136580473399</v>
      </c>
      <c r="C3" s="98">
        <v>0.95</v>
      </c>
      <c r="D3" s="56">
        <v>39.684198983342803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277.35471353022348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1.234217173806571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12.816498427138701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12.816498427138701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12.816498427138701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12.816498427138701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12.816498427138701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12.816498427138701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0.95</v>
      </c>
      <c r="C16" s="98">
        <v>0.95</v>
      </c>
      <c r="D16" s="56">
        <v>0.52326422703405329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9.0706270889999996E-2</v>
      </c>
      <c r="C18" s="98">
        <v>0.95</v>
      </c>
      <c r="D18" s="56">
        <v>6.4352685672608949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0.77940070000000006</v>
      </c>
      <c r="C19" s="98">
        <v>0.95</v>
      </c>
      <c r="D19" s="56">
        <v>6.4352685672608949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0.99</v>
      </c>
      <c r="C21" s="98">
        <v>0.95</v>
      </c>
      <c r="D21" s="56">
        <v>11.985155491425511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22.014584291522841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4.1570370268154289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0.60230982511560593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18.471268288136731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0.47234171413439402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93.696773026618672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0.45</v>
      </c>
      <c r="C31" s="98">
        <v>0.95</v>
      </c>
      <c r="D31" s="56">
        <v>1.5479984877076829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1.1034095765662739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0.45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0.88700000000000001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0.60908189999999995</v>
      </c>
      <c r="C38" s="98">
        <v>0.95</v>
      </c>
      <c r="D38" s="56">
        <v>2.4706285348208592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gAotWNkFf3jc/RBBj9vNjFTvSsDTbS6woVeWHNN9DVrk//iO6FuG/smMdTj/6dTm5WEFsE0wsBMlPLEDg3Z4CA==" saltValue="6li5EMDN1ShCLgFvMKBQ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qTHURla4/9FODctTYznDBqxKJrsTnqf+zXZsMizwPhZOdo95C83FFK1/4dNh5GfudCXAPFWm3XLPbqyvrIoqg==" saltValue="jtfeTQATjIs5B6ftEcus5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xyoCrxhh/s2vFvKn2lSqxxccomXbpPpzLLt3q4OtLHx/eRrUYMo7eqWQm9CZG8nuWlGaeFG3SJ3pc965I2AYw==" saltValue="GATk58oRmgsL5MG8kiKIx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207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sheetProtection algorithmName="SHA-512" hashValue="RnsWKN3CLgJsTxrxvu6ImF8MEg7NomnVlAgZkE0IZ08i3nem0NdSvI3olPThPnpw4natCa6F9KwETnb1PEwuHQ==" saltValue="Q03l0M2E/HR5HWzeajgWg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dYLZjPbZ5qedkik9zm0/UjJOc0e82P3Tc46C1Tg/nxsLI7XwZGp4XRGzFl7hnkHSCzZSCc4aBjrB6zIzr2S9w==" saltValue="ROZ9uiPoScoX+OAZjNTO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Qe0oCAPk9KdiQfhmVWFAfzNgIDD/3E2WrH4ZQ+hbLsHMWxLy4JRRB1KqqWgfBB/6lC8q1lv9SqIQyhblsKJqTA==" saltValue="oYaegrzqtFEnAdk0Oms8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tRZJJgsqzLIC2vdpzamxDLYW3WmAeaU9nogi4SKUWxR4cXaJqUdnWq4xaOOY7cExt8d1RxyjNVsqnDgmKWS4A==" saltValue="VHLOcx8t3qMrcFvwv+Rp9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GgxTog8U2zaWjIRPC0LXxcd5i78bWXosmGGIJw7Q8B8Daf4vDIck0pZtBSdCa1JobPpAzSjiK2WOL9q/yApcQ==" saltValue="pYoLQKEB8UDYhvRYeahCz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4oVIK/68+W4OmpYv3MiHAfv8UURGJ8VltCvIyGXDw9N4cKBehN2QNI7kzoJGx2yupqJTrRydu8G5Lf9NYy688Q==" saltValue="Ose1lybwEZF9DLKBgR3Y9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UjbwiE3xYQhBJN1UM13xA18s7w/V6/BmvlcleGZf0m0fFujRZzgtfYu31C0uNwZ57fKSj8RDJvxrm0BnkKqBA==" saltValue="7A283wtB7H3KRpUsUfn6E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miI6etg8XOlsfqd4AXnFoykoru6ANsv3MGngjEqRC2q/Rah4r3OgcShcyUM+7Bv4xNRz9s8ay/EnnGSXs/HWDA==" saltValue="q6oxu96RqCwUT0UPFX8Af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5OUaZhS5UMpZ1jsS9TJj1KDuVvzIairq4J21VkuY3qwm32W0Z+ORhEYIySIpZlr3DzVua08DQVyvY1juiQ4yA==" saltValue="PIU3CvyzpGKOHtksZUOm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nH8p3L+r3FcUI4lR8D2Rmy2bsxb2/QloLoUIYpEIsqr3z15wfFC50/Rmzih/dIP8sw04rJ3yoB7ekXR5FZRIA==" saltValue="DmbShe1VQGRipXiw4lIC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WARNbX9eU2ke2E5QnvyJBVFyE3CqyLz6wwRXSt7Eg3lRhnM3vp3wVacJNDKDLOJXM/kAUPfAMFqFxbCriMyKA==" saltValue="RUFDpF6MDjb8VkFnvp4h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mF2GKbumW2QJQ9JVa+kPNM/qe2P098vIH/sCulRCcg8Ypgc/yiH/5H51HK3TWvUNVgROdkz6uRfhW5cIZZdVA==" saltValue="aA1uIr+1qucx6VgcExc7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8ond+ll2+eW9IJvwEygmlKegTmkyiYSl/enCkHLiqx+j0oit5xR+jP0oTVzOkjfL/cUwNNux1afZJ9T8k4vTg==" saltValue="KhJRdJsYtqkpqHH9enZT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+sdpX9/EP7E29JliB1pc5JJLmtKLLs16LyC3RfOxc3qoiUBFEkj0Jg9fBlmVBfxx9QD1rM9XDC2UK9rUC1d/Q==" saltValue="4oa5wMt06uV/PgKdTrkp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W+Bu5PSgJDw7QRRPVMlIK0nd3nYyfB/akQ8rbKh1b+Q4CLNGwCeUEbvbD6DSQivTmiayquEHLSyPpWzhMA5jA==" saltValue="Z6+SBisJbVV8JlmELDuy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htsxnUnc7DpwyHg84KPPHcm9L+UMV1ELqS8CUPMlPfjeuNmzZPIGTJSAlHqKrdXbx0MIZSA3d6E1fkrwzD8p0w==" saltValue="eVg2eLMDEms0a6u2tSdIk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2024-05-16T23:23:17Z</dcterms:modified>
</cp:coreProperties>
</file>