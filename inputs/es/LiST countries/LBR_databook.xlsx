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A6A435D-6A97-4C60-A559-65E3210D90B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I6" i="2"/>
  <c r="I12" i="2"/>
  <c r="A35" i="2"/>
  <c r="I2" i="2"/>
  <c r="I8" i="2"/>
  <c r="A19" i="2"/>
  <c r="A22" i="2"/>
  <c r="I39" i="2"/>
  <c r="I3" i="2"/>
  <c r="I9" i="2"/>
  <c r="A23" i="2"/>
  <c r="A24" i="2"/>
  <c r="A40" i="2"/>
  <c r="I4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<sst xmlns="http://schemas.openxmlformats.org/spreadsheetml/2006/main" count="2169" uniqueCount="373">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</sst>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781517</v>
      </c>
    </row>
    <row r="8" spans="1:3" ht="15" customHeight="1" x14ac:dyDescent="0.25">
      <c r="B8" s="5" t="s">
        <v>63</v>
      </c>
      <c r="C8" s="44">
        <v>0.79700000000000004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0.15341930000000001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0.1414</v>
      </c>
    </row>
    <row r="24" spans="1:3" ht="15" customHeight="1" x14ac:dyDescent="0.25">
      <c r="B24" s="15" t="s">
        <v>65</v>
      </c>
      <c r="C24" s="45">
        <v>0.44040000000000012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7">
        <v>4.10301351064883E-2</v>
      </c>
    </row>
    <row r="31" spans="1:3" ht="14.25" customHeight="1" x14ac:dyDescent="0.25">
      <c r="B31" s="25" t="s">
        <v>29</v>
      </c>
      <c r="C31" s="97">
        <v>6.6332842080041601E-2</v>
      </c>
    </row>
    <row r="32" spans="1:3" ht="14.25" customHeight="1" x14ac:dyDescent="0.25">
      <c r="B32" s="25" t="s">
        <v>30</v>
      </c>
      <c r="C32" s="97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98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3.016</v>
      </c>
      <c r="D51" s="12"/>
    </row>
    <row r="52" spans="1:4" ht="15" customHeight="1" x14ac:dyDescent="0.25">
      <c r="B52" s="11" t="s">
        <v>32</v>
      </c>
      <c r="C52" s="98">
        <v>3.016</v>
      </c>
    </row>
    <row r="53" spans="1:4" ht="15.75" customHeight="1" x14ac:dyDescent="0.25">
      <c r="B53" s="11" t="s">
        <v>35</v>
      </c>
      <c r="C53" s="98">
        <v>6.0060000000000002</v>
      </c>
    </row>
    <row r="54" spans="1:4" ht="15.75" customHeight="1" x14ac:dyDescent="0.25">
      <c r="B54" s="11" t="s">
        <v>33</v>
      </c>
      <c r="C54" s="98">
        <v>6.5780000000000003</v>
      </c>
    </row>
    <row r="55" spans="1:4" ht="15.75" customHeight="1" x14ac:dyDescent="0.25">
      <c r="B55" s="11" t="s">
        <v>34</v>
      </c>
      <c r="C55" s="98">
        <v>3.145999999999999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C3344DbQTvrt0hNSxQ7oj6oSv2gI1g3kTwLySDd5IAAIbtX4ceBFWQ1d4sPR9YOc4fnqw1KBimWVBbWIKftL4Q==" saltValue="hbfwSpboyRIjKXMuvV9D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+qLdvcKwwG4umxLUuwOXPQUKXA7vzTAjdDVlKjp5Nt8PJecbIPV5MqdHrbY+6c2aS/9FAOuUVpyhQQBRIbPfg==" saltValue="bgsi5Tbye6hxGp9pYGko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99">
        <v>6.5774706577470685E-2</v>
      </c>
    </row>
    <row r="5" spans="1:8" ht="15.75" customHeight="1" x14ac:dyDescent="0.25">
      <c r="B5" s="19" t="s">
        <v>114</v>
      </c>
      <c r="C5" s="99">
        <v>9.6632509663250973E-2</v>
      </c>
    </row>
    <row r="6" spans="1:8" ht="15.75" customHeight="1" x14ac:dyDescent="0.25">
      <c r="B6" s="19" t="s">
        <v>110</v>
      </c>
      <c r="C6" s="99">
        <v>0.25245662524566231</v>
      </c>
    </row>
    <row r="7" spans="1:8" ht="15.75" customHeight="1" x14ac:dyDescent="0.25">
      <c r="B7" s="19" t="s">
        <v>115</v>
      </c>
      <c r="C7" s="99">
        <v>0.39333373933337429</v>
      </c>
    </row>
    <row r="8" spans="1:8" ht="15.75" customHeight="1" x14ac:dyDescent="0.25">
      <c r="B8" s="19" t="s">
        <v>117</v>
      </c>
      <c r="C8" s="99">
        <v>3.4550003455000359E-3</v>
      </c>
    </row>
    <row r="9" spans="1:8" ht="15.75" customHeight="1" x14ac:dyDescent="0.25">
      <c r="B9" s="19" t="s">
        <v>111</v>
      </c>
      <c r="C9" s="99">
        <v>5.8309405830940547E-2</v>
      </c>
    </row>
    <row r="10" spans="1:8" ht="15.75" customHeight="1" x14ac:dyDescent="0.25">
      <c r="B10" s="19" t="s">
        <v>113</v>
      </c>
      <c r="C10" s="99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2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109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3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120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98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107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118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99">
        <v>8.6621349999999996E-3</v>
      </c>
    </row>
    <row r="28" spans="1:8" ht="15.75" customHeight="1" x14ac:dyDescent="0.25">
      <c r="B28" s="19" t="s">
        <v>122</v>
      </c>
      <c r="C28" s="99">
        <v>0.15441808500000001</v>
      </c>
    </row>
    <row r="29" spans="1:8" ht="15.75" customHeight="1" x14ac:dyDescent="0.25">
      <c r="B29" s="19" t="s">
        <v>105</v>
      </c>
      <c r="C29" s="99">
        <v>0.167759189</v>
      </c>
    </row>
    <row r="30" spans="1:8" ht="15.75" customHeight="1" x14ac:dyDescent="0.25">
      <c r="B30" s="19" t="s">
        <v>4</v>
      </c>
      <c r="C30" s="99">
        <v>0.10583751800000001</v>
      </c>
    </row>
    <row r="31" spans="1:8" ht="15.75" customHeight="1" x14ac:dyDescent="0.25">
      <c r="B31" s="19" t="s">
        <v>99</v>
      </c>
      <c r="C31" s="99">
        <v>0.109709026</v>
      </c>
    </row>
    <row r="32" spans="1:8" ht="15.75" customHeight="1" x14ac:dyDescent="0.25">
      <c r="B32" s="19" t="s">
        <v>104</v>
      </c>
      <c r="C32" s="99">
        <v>1.8596574000000001E-2</v>
      </c>
    </row>
    <row r="33" spans="2:3" ht="15.75" customHeight="1" x14ac:dyDescent="0.25">
      <c r="B33" s="19" t="s">
        <v>119</v>
      </c>
      <c r="C33" s="99">
        <v>8.3747772999999998E-2</v>
      </c>
    </row>
    <row r="34" spans="2:3" ht="15.75" customHeight="1" x14ac:dyDescent="0.25">
      <c r="B34" s="19" t="s">
        <v>106</v>
      </c>
      <c r="C34" s="99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EWpGW2QImEBK8XgtMr/kS1jC319hFz63YuwpxOUsy1jECpGndIJLZVgrtKiHxj1+VWr59NYrD0U798TVlt9/Hg==" saltValue="Xb5woHlUe6hB8i21pHqG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fHmR99yLQrBNDS25JoZnaRAZ0URnOc4nwlg0QmFc0Ozpw445NxE49QFuH2SnNHWUBZRt45RmMCGg4fUqzzWoA==" saltValue="5+4SsBVftyin67Y8bVkV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VD/UZq4MrVj9dcHreGnkapscJs4IlVTrPcW2rG51i7KISlT6zefTIY1pIGKuXb7t1ozTm2kb/kGcESxC1AyesA==" saltValue="EJ+oKO+GMDaNFEGPKHXu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yEVgWocFOKSr+KPMSWtEEw5G6hgaSHPOpMnGihZvkgepP2U3fMO2KA3diCEXCxHR1DHXKBNBQ0z/6HEUlwyeg==" saltValue="hi9zeLQa/3L2dsYNpFdS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algorithmName="SHA-512" hashValue="NzRdpOWvNEexgqfZ6AhkFDjIn4UgSusS5lpMNXJ1666wiTZUDwNSMFKlu9aPyqkvzrd1GIPMFH5YFYZ2mhSB1A==" saltValue="YI5YcjbgRGKU2wZXpeLts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JSn1fZLYdB4B+DSFR4gVxu5w6B/olMvQ0FMIjzaH1BD6ziqNDqTE5P9umxVEu46+LTC2rCyljz0RSG48xHKJw==" saltValue="YtYfo+4Ui9q8jcuP/lZ0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LuOC7qsv2iSrSjY4HUlb2cUQ03I98YxNu+eigEnxgXts7xWLOFT38veg/Ttl6jwJa2jhPvh8ic2SKNU95JKLQ==" saltValue="dgWzTTDe/ZD382gukJOm4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0.42978100000000002</v>
      </c>
      <c r="C10" s="96">
        <v>0.95</v>
      </c>
      <c r="D10" s="56">
        <v>15.01507229777283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15.01507229777283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15.01507229777283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15.01507229777283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0.42978100000000002</v>
      </c>
      <c r="C14" s="96">
        <v>0.95</v>
      </c>
      <c r="D14" s="56">
        <v>15.01507229777283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15.01507229777283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0.69226200000000004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0.157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0.39400000000000002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0.51254100000000002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0.53483530000000001</v>
      </c>
      <c r="C23" s="96">
        <v>0.95</v>
      </c>
      <c r="D23" s="56">
        <v>4.9100556870350216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0.57084762680907997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0.42978100000000002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0.54128999999999994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8.6074300000000006E-2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0.15140000000000001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7.0000000000000007E-2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3.4401889360660999E-2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0.1875019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1.9946800000000001E-2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5.4970400000000003E-2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0.2335767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k0uUh6cZJv2g7NciO9xiT8msER/qIy6ltDKNaKZF4+10JKZmIeNBccl74wB5dD5/zrc9urYyaVYtLPvDdU1ufQ==" saltValue="Rbx7G5pQRXW6w9Te8SFO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DxMAf9/jHMMwqeUVUSF2aGjOeK0HDXQPJPT+yntZfD/YVvlKf1UYG+2zEpwoUIxuc3Ic14Y+zn0ZZymkHMbWQ==" saltValue="HXPtWFvNXx3o2WHRspVE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zHkL8xhR5BjcIdoUjEhj0cqAcCR4b7pBqkYjNUBlYDpNfZN4EeH5PfUNHZDaOzD2eceP+j4eEHOtGI+hVzt0w==" saltValue="hIjPPQwLfQ41h+b3vScJ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3.016</v>
      </c>
      <c r="C2" s="21">
        <f>'Entradas de población-año base'!C52</f>
        <v>3.016</v>
      </c>
      <c r="D2" s="21">
        <f>'Entradas de población-año base'!C53</f>
        <v>6.0060000000000002</v>
      </c>
      <c r="E2" s="21">
        <f>'Entradas de población-año base'!C54</f>
        <v>6.5780000000000003</v>
      </c>
      <c r="F2" s="21">
        <f>'Entradas de población-año base'!C55</f>
        <v>3.145999999999999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Ff7FHVHoOdnurr4aGN6cdbIvNv8MAkJ9YZph+fk9jedEBAkPwjenYJBBEP4FENf6QE4mI3SmTKczBu+ObQRkwQ==" saltValue="sx/G64x7akgd1yzBnf9i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ulo+Gg7XgO0I0Kg6vXxpGdDXXZKz0PQzr+ebkV/eIxAtYJDGL2HNjAPPsSYgkEUXGlMioPmx7SYc9HTWUG/yA==" saltValue="WkkUL+dIjqFOKVHlSTbr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QyOqXAWZ4mY1qOojB5G+i2oZpn3yBewoeTwGAcNSW/CL8FWxdaA7I90YWdTrb7JiEDrP1TogICVOInm2yLvdQ==" saltValue="7wNcxPIuWhOWuFB7vS4X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3/8BnsBRBJzbXJ5Eze3/qf7w2qD2w1b+oIL9S0YshOnT1Ck+B1x9ZeL9eazdkaDTDF1jZyRj6+z2QWuyAnolw==" saltValue="pStKZvZ7AtE0VQAXdY2X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A6jph2B0RHiB50B84XD//bEun6sZmVVul+2ZvxSL1HcXQASi5PlwOo1/Xk22eQIkaSZ0nS68rUHCdxSjmOp3w==" saltValue="w18opbZIXl+UcX0oN6lD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IsCtLlF+1FYki1hQk2riEVI9l8BzrxK2JeTGqMBRATTXbikwHqX6XQi6Fvo4Ddrfk2ORJ+Ag3r3/XGqCOaa8Q==" saltValue="s0JAEzj2IvFFBwKqq/BH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UVeS1XlSExAQwcAcpJe2910dP5WI7Tg/Bb9hu6kYnKsSJ3EAac4wOHeQkYE/eAzG3JKtBtglbpiYC3V8bG99A==" saltValue="mS/ouQU2qASVUZ+jmgju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p3qcX3vcX+INhbaFeDhgV1yTxnv+EDSfJLqPa14ORg5JNz1sDx0uAuG2nHpmQxDHb1PzZFWiTY73wO9ePNB2g==" saltValue="PvkyUtDN3VVGDBrqyQNJ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M8NJTs+05T2fHAVMPVIn2fvLLo/yMOOHCHnaSgcr1aKq10ENd7y0Blgnit0Js1sIoxcD07kDxt5PKsmcjFOHw==" saltValue="vOFUlgs0jRRiUXBGVHg7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Wv+M7DcwsNSOPo9tudUxXRsHGLLfVsKJRhjrH1aI/QNjvWfpWoBSZi18cnaLLEMaPde78mWCQ3ltYiQlzFkHQ==" saltValue="11Wb27vnIINBikpE03wv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8rIIoXWh9JmPqaZynSuPj6PPGZI8dRk+wR4evJ59T6wg1kojiPNQYGAa70CqdRmOWKXwsRPcArxZDVAeDQjwg==" saltValue="RxZI5vM+RSgBKjYfjnQR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HLtZCNO94Iry+BYGXDrzpTJjwYW05DiQSaRLUEBbJeemZJj9yJCe7FmysO2IdC9WoRUVr96HUcVTqXGAATX6Q==" saltValue="Wfi1/msIYhwKmEFBHqUB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hjWj3DZSGS4e/4oMU+EjFhuKWfpekzftMn/rnxpFfaqsRI20xuxQ1M97CREP3EFjVwxtwvK+krczveic/B7Vw==" saltValue="/3k6mgEYxwu9GHoIOAzM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nmz6a/q984tGYEZSmdaZ/NVwJ2kPR5kw/V3C1aSI/efBQ2E1o6u6RwUqxS61jxogoKfxS6CkVL4NIl/Uh7A0g==" saltValue="rFk95WhASzo6pzwcsPmA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YDoMHW6sOWDEPkud9nVDEgCZbEpH12aMZsuWaZ29NU91bVQYavNB6bkttRBCru9WHPF8r6xx59xOUwrG0oTog==" saltValue="MgurYFSgyqFphHI/Q46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0y/T45Y4ekn2bsx0b8kxz+ZNh2u/g1qa5Z6Pr2du685EApXYZqE8S8Pxphgu8tXpdsrWVrbh5wfz6EmkGamEaw==" saltValue="1nl69CKrjhWhpDcEmsl2M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