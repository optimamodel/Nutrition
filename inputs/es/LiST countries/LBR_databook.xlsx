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6294CD6-05AC-4162-B3FE-AA9D21AE923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4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<sst xmlns="http://schemas.openxmlformats.org/spreadsheetml/2006/main" count="2159" uniqueCount="372">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</sst>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781517</v>
      </c>
    </row>
    <row r="8" spans="1:3" ht="15" customHeight="1" x14ac:dyDescent="0.25">
      <c r="B8" s="5" t="s">
        <v>63</v>
      </c>
      <c r="C8" s="44">
        <v>0.79700000000000004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0.15341930000000001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0.1414</v>
      </c>
    </row>
    <row r="24" spans="1:3" ht="15" customHeight="1" x14ac:dyDescent="0.25">
      <c r="B24" s="15" t="s">
        <v>65</v>
      </c>
      <c r="C24" s="45">
        <v>0.44040000000000012</v>
      </c>
    </row>
    <row r="25" spans="1:3" ht="15" customHeight="1" x14ac:dyDescent="0.25">
      <c r="B25" s="15" t="s">
        <v>66</v>
      </c>
      <c r="C25" s="45">
        <v>0.33069999999999999</v>
      </c>
    </row>
    <row r="26" spans="1:3" ht="15" customHeight="1" x14ac:dyDescent="0.25">
      <c r="B26" s="15" t="s">
        <v>67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9">
        <v>4.10301351064883E-2</v>
      </c>
    </row>
    <row r="31" spans="1:3" ht="14.25" customHeight="1" x14ac:dyDescent="0.25">
      <c r="B31" s="25" t="s">
        <v>29</v>
      </c>
      <c r="C31" s="99">
        <v>6.6332842080041601E-2</v>
      </c>
    </row>
    <row r="32" spans="1:3" ht="14.25" customHeight="1" x14ac:dyDescent="0.25">
      <c r="B32" s="25" t="s">
        <v>30</v>
      </c>
      <c r="C32" s="99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100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3.016</v>
      </c>
      <c r="D51" s="12"/>
    </row>
    <row r="52" spans="1:4" ht="15" customHeight="1" x14ac:dyDescent="0.25">
      <c r="B52" s="11" t="s">
        <v>32</v>
      </c>
      <c r="C52" s="100">
        <v>3.016</v>
      </c>
    </row>
    <row r="53" spans="1:4" ht="15.75" customHeight="1" x14ac:dyDescent="0.25">
      <c r="B53" s="11" t="s">
        <v>35</v>
      </c>
      <c r="C53" s="100">
        <v>6.0060000000000002</v>
      </c>
    </row>
    <row r="54" spans="1:4" ht="15.75" customHeight="1" x14ac:dyDescent="0.25">
      <c r="B54" s="11" t="s">
        <v>33</v>
      </c>
      <c r="C54" s="100">
        <v>6.5780000000000003</v>
      </c>
    </row>
    <row r="55" spans="1:4" ht="15.75" customHeight="1" x14ac:dyDescent="0.25">
      <c r="B55" s="11" t="s">
        <v>34</v>
      </c>
      <c r="C55" s="100">
        <v>3.145999999999999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0.14607059</v>
      </c>
    </row>
    <row r="63" spans="1:4" ht="15.75" customHeight="1" x14ac:dyDescent="0.3">
      <c r="A63" s="4"/>
    </row>
  </sheetData>
  <sheetProtection algorithmName="SHA-512" hashValue="DNY3I9MAQnoX9zVFTKOO4F3YptQjpZku2jVmsyIqOxmSpsj3xHbgOeVHV5pmt44+D/3EfM9ryiIAESWSpBKwLg==" saltValue="fVZZ9Ag9o123MCyQmG5g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4JpteiqNl6hKj9k7zTQajxjU2i5samzCMRjZkGLaZ/r1hdDykRyGIUdYKyzlzLYbnhC4W/9ZwnwkEsxM/V/bw==" saltValue="OQAgM/ingtlkuUhY//qc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101">
        <v>6.5774706577470685E-2</v>
      </c>
    </row>
    <row r="5" spans="1:8" ht="15.75" customHeight="1" x14ac:dyDescent="0.25">
      <c r="B5" s="19" t="s">
        <v>114</v>
      </c>
      <c r="C5" s="101">
        <v>9.6632509663250973E-2</v>
      </c>
    </row>
    <row r="6" spans="1:8" ht="15.75" customHeight="1" x14ac:dyDescent="0.25">
      <c r="B6" s="19" t="s">
        <v>110</v>
      </c>
      <c r="C6" s="101">
        <v>0.25245662524566231</v>
      </c>
    </row>
    <row r="7" spans="1:8" ht="15.75" customHeight="1" x14ac:dyDescent="0.25">
      <c r="B7" s="19" t="s">
        <v>115</v>
      </c>
      <c r="C7" s="101">
        <v>0.39333373933337429</v>
      </c>
    </row>
    <row r="8" spans="1:8" ht="15.75" customHeight="1" x14ac:dyDescent="0.25">
      <c r="B8" s="19" t="s">
        <v>117</v>
      </c>
      <c r="C8" s="101">
        <v>3.4550003455000359E-3</v>
      </c>
    </row>
    <row r="9" spans="1:8" ht="15.75" customHeight="1" x14ac:dyDescent="0.25">
      <c r="B9" s="19" t="s">
        <v>111</v>
      </c>
      <c r="C9" s="101">
        <v>5.8309405830940547E-2</v>
      </c>
    </row>
    <row r="10" spans="1:8" ht="15.75" customHeight="1" x14ac:dyDescent="0.25">
      <c r="B10" s="19" t="s">
        <v>113</v>
      </c>
      <c r="C10" s="101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109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120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98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107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118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101">
        <v>8.6621349999999996E-3</v>
      </c>
    </row>
    <row r="28" spans="1:8" ht="15.75" customHeight="1" x14ac:dyDescent="0.25">
      <c r="B28" s="19" t="s">
        <v>122</v>
      </c>
      <c r="C28" s="101">
        <v>0.15441808500000001</v>
      </c>
    </row>
    <row r="29" spans="1:8" ht="15.75" customHeight="1" x14ac:dyDescent="0.25">
      <c r="B29" s="19" t="s">
        <v>105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99</v>
      </c>
      <c r="C31" s="101">
        <v>0.109709026</v>
      </c>
    </row>
    <row r="32" spans="1:8" ht="15.75" customHeight="1" x14ac:dyDescent="0.25">
      <c r="B32" s="19" t="s">
        <v>104</v>
      </c>
      <c r="C32" s="101">
        <v>1.8596574000000001E-2</v>
      </c>
    </row>
    <row r="33" spans="2:3" ht="15.75" customHeight="1" x14ac:dyDescent="0.25">
      <c r="B33" s="19" t="s">
        <v>119</v>
      </c>
      <c r="C33" s="101">
        <v>8.3747772999999998E-2</v>
      </c>
    </row>
    <row r="34" spans="2:3" ht="15.75" customHeight="1" x14ac:dyDescent="0.25">
      <c r="B34" s="19" t="s">
        <v>106</v>
      </c>
      <c r="C34" s="101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mnZKjCMnUMWQTYV68ZHdvFzBKu1nzCZs0/hQc6xRNzKKK+R6LC8YSpQUnlJoETm8I4w0Wl/xdlESmcQvH9mChg==" saltValue="TkX3pUrYrd30Tc3e0dy68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qfMkkp8c9B2hDGuyHnowiXMGtE2RQTumwxofz/+2L77mQI2twvzfWWwhxd5OR8zXMYvT3Q8bCDpcpaRWQ2YBg==" saltValue="uZYKhrGKc0w10Shzv2fB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UkHI05k5pqn9v+zHzPHDj93bOx9KuPT9jsOQXyh4yKDgUdtg1oI3eS+5GokqpHu1+WvIZgXAzNEQhF3sB0NX+g==" saltValue="jwD5ukywmAiuedvuZ3PC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yC4Js6xLkKq18UQCqvhI6uFwIraw9yH7TsBio9Yw2VJJcMyh1mKWkuwfKcIiZl6Ilit9inFs80my26/1ecWoA==" saltValue="rfaY5A3wY7tdKwx8VXV7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754.53284291474404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0.39844999999999997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0.73531000000000002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2.3899071641163953E-2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91565.717640000003</v>
      </c>
      <c r="C22" s="109">
        <v>90821.913159999996</v>
      </c>
      <c r="D22" s="109">
        <v>90132.274969999999</v>
      </c>
      <c r="E22" s="109">
        <v>89606.024999999994</v>
      </c>
      <c r="F22" s="109">
        <v>88845.469490000003</v>
      </c>
      <c r="G22" s="109">
        <v>87880.782089999993</v>
      </c>
      <c r="H22" s="109">
        <v>86616.095069999996</v>
      </c>
      <c r="I22" s="109">
        <v>84932.765799999994</v>
      </c>
      <c r="J22" s="109">
        <v>82642.282040000006</v>
      </c>
      <c r="K22" s="109">
        <v>79701.512959999993</v>
      </c>
      <c r="L22" s="109">
        <v>75747.550289999999</v>
      </c>
      <c r="M22" s="109">
        <v>70563.858980000005</v>
      </c>
      <c r="N22" s="109">
        <v>63329.288569999997</v>
      </c>
      <c r="O22" s="109">
        <v>54198.057650000002</v>
      </c>
    </row>
  </sheetData>
  <sheetProtection algorithmName="SHA-512" hashValue="Uqxp4VHeAkMd0N8jHNBjVo3P2Lr5fAAl2qv/tls5giVOWAFFGlLf1LrarqrFqcQcz7hmFhe3c0Lsui0rPWpL+Q==" saltValue="eTYCvmJwkvW83+e2Xfzk8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6k3R974lC+Q7zAYG5Sz5t7vXhcqCh1Dy89vchqmutOtcWxEJP1ccXW4eoitqB5vtWAfEnoYhR/dH5gFHfDIbw==" saltValue="YevrIE7WnWmGjn1w0jbB6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rOxiMtzwm+1HkUimGz8nWpKyFvGihIvl5QQPSPmjj9igd0FLhPXoPLzrwtfJdz8L/t56OjK42LvcjNbcq5O7g==" saltValue="Moqc/pOf4nZ+H2nNI3E3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0.42978100000000002</v>
      </c>
      <c r="C10" s="98">
        <v>0.95</v>
      </c>
      <c r="D10" s="56">
        <v>15.01507229777283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15.01507229777283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15.01507229777283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15.01507229777283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0.42978100000000002</v>
      </c>
      <c r="C14" s="98">
        <v>0.95</v>
      </c>
      <c r="D14" s="56">
        <v>15.01507229777283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15.01507229777283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0.69226200000000004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0.157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0.39400000000000002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0.51254100000000002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0.53483530000000001</v>
      </c>
      <c r="C23" s="98">
        <v>0.95</v>
      </c>
      <c r="D23" s="56">
        <v>4.9100556870350216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0.57084762680907997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0.42978100000000002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0.54128999999999994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8.6074300000000006E-2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0.15140000000000001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7.0000000000000007E-2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3.4401889360660999E-2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0.1875019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1.9946800000000001E-2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5.4970400000000003E-2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0.2335767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OOqjD6dBS51zRZu1PHfMEUTZSyqRLp6mf/Kt059V8hgvKEEGGK2MLhMH42v+PtNV6V1HCxL7YsIyWnMCqC7CjA==" saltValue="Z0/cdSVMyRt9OyJKJ51F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ioy3SV/DHu1/809gm3GtADf9Qy/FoOCXQLu5kVCtcbASTHCK2RQjHifhAhygXYbbymsJ1iirI1EC2hwKwP1pw==" saltValue="uW9EawGNEefQwwSQS2BO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DEwL1PGo6mzchOj4h+3KNougkGz2KJG90cRfH/L31haaGWgu0bRQQajpiBGev5gEtZCDJ4GFeGFFmPsG+My6A==" saltValue="KGgxT0BXgAGhbKt9iMTT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3.016</v>
      </c>
      <c r="C2" s="21">
        <f>'Entradas de población-año base'!C52</f>
        <v>3.016</v>
      </c>
      <c r="D2" s="21">
        <f>'Entradas de población-año base'!C53</f>
        <v>6.0060000000000002</v>
      </c>
      <c r="E2" s="21">
        <f>'Entradas de población-año base'!C54</f>
        <v>6.5780000000000003</v>
      </c>
      <c r="F2" s="21">
        <f>'Entradas de población-año base'!C55</f>
        <v>3.145999999999999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skb2RAhrQ2BP071z2swIpmTBm752ha9DtsCcB1wGP0kSiSfl2KWYXGeVGBlvt1C0Za7MqHUJWDmyBW141o885A==" saltValue="sR/+/DEelGDuW2QPb33lB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rv7DUNB4jbsWRXRKl1cIDg6Yeo4DQEGN+j6n5d1puXYhzviiWsgCix7M9u8c9RTENmUPxgYK2sPDA5JAF7a4w==" saltValue="0aguRGdM16094klXAuyf9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5zX5mfPuBQ7f738dHjHYkNeoz9vf1ejEBQiNZRrSYpiszil2gQSFdtYrjosHcKY6td8lAv8wlgbs2sGUG2Msw==" saltValue="0ec2nlmWcSPuFhuMLVyP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X7IhSiGkct6+jzod1hJUSD0W9SE8Xu7CKZJKAwvB6yp93E6D38kplIJ02wfCaiRUjFjjzJISBjoL9kWKw7jWw==" saltValue="Nuhf10O5TyPAAI1+4Jkf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9WCZuhwPKIc+CG+hh0Qf3m1CoZ/jGDcZLR++2NPIv/Od39s1vGiUppVAce+EFq1uGw9uFt93FjcvuxCB4/WBQ==" saltValue="7uwDINutn+K/9DeDIc2uW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28Z5PREGThQsiBUd6Is90TpKdqgJZDmqea1LLWfqhudOV1bRzR2uRX18csYOb/8lN/LGRWvDCVPhDGGQT6uLgQ==" saltValue="qvu0KbySYGwOXjULsl41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AQqHeBd6MFHtays1vRaNjS5VVuDF6Z/fk/zrpXLBTxHzrgpAD4L7uCDxGcO7u+SZorUMnb7kS71SITwsJkJctg==" saltValue="WZbxpsaBlZRPM3R/Y0qp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A0t1tM5VFxp8V2UH8znM/g4PCBVhJb7LecvLuCnmKIdv1ki/bvPfDWDZNq0jcMAt9UwQLBwZVSPvydihC3T0A==" saltValue="Qioc+2uxLU9jQQAERpRjI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t+dUXfG2xDSmn9Vnxh79pzpDLMUxj+XxsXn75KTfV890J4fj6Nms7TsyvhkKtbrr8yclTxJpz/nX0ccRqLMZw==" saltValue="WxkdFnWkebQI3x8P12iL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f0EBmRVW+xC4JmW2Rk77GTr/MoCZM2jS/a5Kbj4p/OAoLNWOPvSCfkikEf6n4i8xnTSiSHGDh3UCg4BHEdfEw==" saltValue="U7aVHp14S+RAUmfqYbqx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uw9BH0k0HSFg0s/moD23NPytylObIMespMNbQl47NxE2B2HSqWrrSo7Kjx8s4TOECyTM9lluRljsxNo8if2/A==" saltValue="hHIGwWqoNxGSArvTtp/6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O8EcSZ2bRN6BiysUllIjrXGj9mZ4oig5cZgCYbZx1j3vv0tlDObtR1dmZmcm0MbVK8wChY20m8SjtZvbLr13A==" saltValue="0KpfhAU93k/wuVUieSOv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arLX7blPwQPh6zrFUatREoyEAkBuyoTbsgZ5c3DPXgf8XzfE7oQg5TV4BnUi5TMwzq/on7dHUmGUK9UjADTEA==" saltValue="fW3H0gKD3dv3Lq1d+FHV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FN+a9pMxyHyhogy34Nzjie3hl0Sz74+unB8PyVWLwoIw/yqhv51Q/QKRdmCiSsRm5VYQImj68+r5G/XkbHSjw==" saltValue="VB4nJtUBLEyXErBzkPMr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X1UYizKCULdZVC7O6GKYooawXG48MMlywtwpR4OrGEWqisJS0rCfo2v0yHEh2hbQLoTPkeD8VBEOXo0wiy/kA==" saltValue="oMli2rTYJM2lcfyFoYRx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Qn6MXbAI13/aQlGxnq6vbrux4Sial7UocCP/S3Dr8flQl91sAgAfdXuRoHzieY9vy8mlbO7d4M7lyMi4oY+Hg==" saltValue="134SVh8JjBnrAgCpJAkkW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