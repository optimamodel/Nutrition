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82E6C77-8FC8-46FF-BA3E-B6B10BCD1A3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5" i="2" l="1"/>
  <c r="A24" i="2"/>
  <c r="A26" i="2"/>
  <c r="A31" i="2"/>
  <c r="I4" i="2"/>
  <c r="I8" i="2"/>
  <c r="I12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<sst xmlns="http://schemas.openxmlformats.org/spreadsheetml/2006/main" count="2169" uniqueCount="373">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</sst>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781517</v>
      </c>
    </row>
    <row r="8" spans="1:3" ht="15" customHeight="1" x14ac:dyDescent="0.25">
      <c r="B8" s="5" t="s">
        <v>63</v>
      </c>
      <c r="C8" s="44">
        <v>0.79700000000000004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0.15341930000000001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0.1414</v>
      </c>
    </row>
    <row r="24" spans="1:3" ht="15" customHeight="1" x14ac:dyDescent="0.25">
      <c r="B24" s="15" t="s">
        <v>65</v>
      </c>
      <c r="C24" s="45">
        <v>0.44040000000000012</v>
      </c>
    </row>
    <row r="25" spans="1:3" ht="15" customHeight="1" x14ac:dyDescent="0.25">
      <c r="B25" s="15" t="s">
        <v>66</v>
      </c>
      <c r="C25" s="45">
        <v>0.33069999999999999</v>
      </c>
    </row>
    <row r="26" spans="1:3" ht="15" customHeight="1" x14ac:dyDescent="0.25">
      <c r="B26" s="15" t="s">
        <v>67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0.26912377197565901</v>
      </c>
    </row>
    <row r="30" spans="1:3" ht="14.25" customHeight="1" x14ac:dyDescent="0.25">
      <c r="B30" s="25" t="s">
        <v>82</v>
      </c>
      <c r="C30" s="97">
        <v>4.10301351064883E-2</v>
      </c>
    </row>
    <row r="31" spans="1:3" ht="14.25" customHeight="1" x14ac:dyDescent="0.25">
      <c r="B31" s="25" t="s">
        <v>29</v>
      </c>
      <c r="C31" s="97">
        <v>6.6332842080041601E-2</v>
      </c>
    </row>
    <row r="32" spans="1:3" ht="14.25" customHeight="1" x14ac:dyDescent="0.25">
      <c r="B32" s="25" t="s">
        <v>30</v>
      </c>
      <c r="C32" s="97">
        <v>0.62351325083781095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29.927250000000001</v>
      </c>
    </row>
    <row r="38" spans="1:5" ht="15" customHeight="1" x14ac:dyDescent="0.25">
      <c r="B38" s="11" t="s">
        <v>54</v>
      </c>
      <c r="C38" s="43">
        <v>56.723050000000001</v>
      </c>
      <c r="D38" s="12"/>
      <c r="E38" s="13"/>
    </row>
    <row r="39" spans="1:5" ht="15" customHeight="1" x14ac:dyDescent="0.25">
      <c r="B39" s="11" t="s">
        <v>80</v>
      </c>
      <c r="C39" s="43">
        <v>76.040170000000003</v>
      </c>
      <c r="D39" s="12"/>
      <c r="E39" s="12"/>
    </row>
    <row r="40" spans="1:5" ht="15" customHeight="1" x14ac:dyDescent="0.25">
      <c r="B40" s="11" t="s">
        <v>55</v>
      </c>
      <c r="C40" s="98">
        <v>6.52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78</v>
      </c>
      <c r="C47" s="45">
        <v>7.3475499999999999E-2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3.016</v>
      </c>
      <c r="D51" s="12"/>
    </row>
    <row r="52" spans="1:4" ht="15" customHeight="1" x14ac:dyDescent="0.25">
      <c r="B52" s="11" t="s">
        <v>32</v>
      </c>
      <c r="C52" s="98">
        <v>3.016</v>
      </c>
    </row>
    <row r="53" spans="1:4" ht="15.75" customHeight="1" x14ac:dyDescent="0.25">
      <c r="B53" s="11" t="s">
        <v>35</v>
      </c>
      <c r="C53" s="98">
        <v>6.0060000000000002</v>
      </c>
    </row>
    <row r="54" spans="1:4" ht="15.75" customHeight="1" x14ac:dyDescent="0.25">
      <c r="B54" s="11" t="s">
        <v>33</v>
      </c>
      <c r="C54" s="98">
        <v>6.5780000000000003</v>
      </c>
    </row>
    <row r="55" spans="1:4" ht="15.75" customHeight="1" x14ac:dyDescent="0.25">
      <c r="B55" s="11" t="s">
        <v>34</v>
      </c>
      <c r="C55" s="98">
        <v>3.145999999999999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0.44132399999999999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0.14607059</v>
      </c>
    </row>
    <row r="63" spans="1:4" ht="15.75" customHeight="1" x14ac:dyDescent="0.3">
      <c r="A63" s="4"/>
    </row>
  </sheetData>
  <sheetProtection algorithmName="SHA-512" hashValue="IKHozlFtOt+1OVHLm5y6dP1KcRkt1ypJ1G7pz0ifZt3MQI9E3szrJYS2fckgjvHZZ8so5lr2LW9/bzzvIc8PfA==" saltValue="XMhTOv4zL3epDNd4zA1t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171626</v>
      </c>
      <c r="C2" s="49">
        <v>317001.5</v>
      </c>
      <c r="D2" s="49">
        <v>476691.5</v>
      </c>
      <c r="E2" s="49">
        <v>337709.5</v>
      </c>
      <c r="F2" s="49">
        <v>255728.99999999997</v>
      </c>
      <c r="G2" s="17">
        <f t="shared" ref="G2:G13" si="0">C2+D2+E2+F2</f>
        <v>1387131.5</v>
      </c>
      <c r="H2" s="17">
        <f t="shared" ref="H2:H13" si="1">(B2 + stillbirth*B2/(1000-stillbirth))/(1-abortion)</f>
        <v>199592.6526384305</v>
      </c>
      <c r="I2" s="17">
        <f t="shared" ref="I2:I13" si="2">G2-H2</f>
        <v>1187538.8473615695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173467</v>
      </c>
      <c r="C3" s="50">
        <v>324259.5</v>
      </c>
      <c r="D3" s="50">
        <v>493995.5</v>
      </c>
      <c r="E3" s="50">
        <v>344190</v>
      </c>
      <c r="F3" s="50">
        <v>263221.5</v>
      </c>
      <c r="G3" s="17">
        <f t="shared" si="0"/>
        <v>1425666.5</v>
      </c>
      <c r="H3" s="17">
        <f t="shared" si="1"/>
        <v>201733.64569022541</v>
      </c>
      <c r="I3" s="17">
        <f t="shared" si="2"/>
        <v>1223932.8543097745</v>
      </c>
    </row>
    <row r="4" spans="1:9" ht="15.75" customHeight="1" x14ac:dyDescent="0.25">
      <c r="A4" s="5">
        <f t="shared" si="3"/>
        <v>2026</v>
      </c>
      <c r="B4" s="49">
        <v>174971</v>
      </c>
      <c r="C4" s="50">
        <v>329935</v>
      </c>
      <c r="D4" s="50">
        <v>512843.49999999994</v>
      </c>
      <c r="E4" s="50">
        <v>351873.5</v>
      </c>
      <c r="F4" s="50">
        <v>270637</v>
      </c>
      <c r="G4" s="17">
        <f t="shared" si="0"/>
        <v>1465289</v>
      </c>
      <c r="H4" s="17">
        <f t="shared" si="1"/>
        <v>203482.72420728108</v>
      </c>
      <c r="I4" s="17">
        <f t="shared" si="2"/>
        <v>1261806.2757927189</v>
      </c>
    </row>
    <row r="5" spans="1:9" ht="15.75" customHeight="1" x14ac:dyDescent="0.25">
      <c r="A5" s="5">
        <f t="shared" si="3"/>
        <v>2027</v>
      </c>
      <c r="B5" s="49">
        <v>176887</v>
      </c>
      <c r="C5" s="50">
        <v>335682</v>
      </c>
      <c r="D5" s="50">
        <v>533512.5</v>
      </c>
      <c r="E5" s="50">
        <v>361717</v>
      </c>
      <c r="F5" s="50">
        <v>278018</v>
      </c>
      <c r="G5" s="17">
        <f t="shared" si="0"/>
        <v>1508929.5</v>
      </c>
      <c r="H5" s="17">
        <f t="shared" si="1"/>
        <v>205710.93859470042</v>
      </c>
      <c r="I5" s="17">
        <f t="shared" si="2"/>
        <v>1303218.5614052997</v>
      </c>
    </row>
    <row r="6" spans="1:9" ht="15.75" customHeight="1" x14ac:dyDescent="0.25">
      <c r="A6" s="5">
        <f t="shared" si="3"/>
        <v>2028</v>
      </c>
      <c r="B6" s="49">
        <v>178928</v>
      </c>
      <c r="C6" s="50">
        <v>341282</v>
      </c>
      <c r="D6" s="50">
        <v>553132.5</v>
      </c>
      <c r="E6" s="50">
        <v>372842.5</v>
      </c>
      <c r="F6" s="50">
        <v>284808.5</v>
      </c>
      <c r="G6" s="17">
        <f t="shared" si="0"/>
        <v>1552065.5</v>
      </c>
      <c r="H6" s="17">
        <f t="shared" si="1"/>
        <v>208084.52187482722</v>
      </c>
      <c r="I6" s="17">
        <f t="shared" si="2"/>
        <v>1343980.9781251727</v>
      </c>
    </row>
    <row r="7" spans="1:9" ht="15.75" customHeight="1" x14ac:dyDescent="0.25">
      <c r="A7" s="5">
        <f t="shared" si="3"/>
        <v>2029</v>
      </c>
      <c r="B7" s="49">
        <v>180597</v>
      </c>
      <c r="C7" s="50">
        <v>345459.5</v>
      </c>
      <c r="D7" s="50">
        <v>570489.5</v>
      </c>
      <c r="E7" s="50">
        <v>384780.5</v>
      </c>
      <c r="F7" s="50">
        <v>290828</v>
      </c>
      <c r="G7" s="17">
        <f t="shared" si="0"/>
        <v>1591557.5</v>
      </c>
      <c r="H7" s="17">
        <f t="shared" si="1"/>
        <v>210025.4873302567</v>
      </c>
      <c r="I7" s="17">
        <f t="shared" si="2"/>
        <v>1381532.0126697433</v>
      </c>
    </row>
    <row r="8" spans="1:9" ht="15.75" customHeight="1" x14ac:dyDescent="0.25">
      <c r="A8" s="5">
        <f t="shared" si="3"/>
        <v>2030</v>
      </c>
      <c r="B8" s="49">
        <v>181051</v>
      </c>
      <c r="C8" s="50">
        <v>348561</v>
      </c>
      <c r="D8" s="50">
        <v>585856.5</v>
      </c>
      <c r="E8" s="50">
        <v>397487.5</v>
      </c>
      <c r="F8" s="50">
        <v>296323.5</v>
      </c>
      <c r="G8" s="17">
        <f t="shared" si="0"/>
        <v>1628228.5</v>
      </c>
      <c r="H8" s="17">
        <f t="shared" si="1"/>
        <v>210553.46714857005</v>
      </c>
      <c r="I8" s="17">
        <f t="shared" si="2"/>
        <v>1417675.0328514299</v>
      </c>
    </row>
    <row r="9" spans="1:9" ht="15.75" customHeight="1" x14ac:dyDescent="0.25">
      <c r="A9" s="5">
        <f t="shared" si="3"/>
        <v>2031</v>
      </c>
      <c r="B9" s="49">
        <v>182507</v>
      </c>
      <c r="C9" s="50">
        <v>351262.5</v>
      </c>
      <c r="D9" s="50">
        <v>600147.5</v>
      </c>
      <c r="E9" s="50">
        <v>411126</v>
      </c>
      <c r="F9" s="50">
        <v>301738</v>
      </c>
      <c r="G9" s="17">
        <f t="shared" si="0"/>
        <v>1664274</v>
      </c>
      <c r="H9" s="17">
        <f t="shared" si="1"/>
        <v>212246.72401082606</v>
      </c>
      <c r="I9" s="17">
        <f t="shared" si="2"/>
        <v>1452027.2759891739</v>
      </c>
    </row>
    <row r="10" spans="1:9" ht="15.75" customHeight="1" x14ac:dyDescent="0.25">
      <c r="A10" s="5">
        <f t="shared" si="3"/>
        <v>2032</v>
      </c>
      <c r="B10" s="49">
        <v>182944</v>
      </c>
      <c r="C10" s="50">
        <v>353018.5</v>
      </c>
      <c r="D10" s="50">
        <v>615842.5</v>
      </c>
      <c r="E10" s="50">
        <v>426237.5</v>
      </c>
      <c r="F10" s="50">
        <v>307516.49999999994</v>
      </c>
      <c r="G10" s="17">
        <f t="shared" si="0"/>
        <v>1702615</v>
      </c>
      <c r="H10" s="17">
        <f t="shared" si="1"/>
        <v>212754.93365973121</v>
      </c>
      <c r="I10" s="17">
        <f t="shared" si="2"/>
        <v>1489860.0663402688</v>
      </c>
    </row>
    <row r="11" spans="1:9" ht="15.75" customHeight="1" x14ac:dyDescent="0.25">
      <c r="A11" s="5">
        <f t="shared" si="3"/>
        <v>2033</v>
      </c>
      <c r="B11" s="49">
        <v>184206</v>
      </c>
      <c r="C11" s="50">
        <v>354340</v>
      </c>
      <c r="D11" s="50">
        <v>631648.5</v>
      </c>
      <c r="E11" s="50">
        <v>442359.00000000006</v>
      </c>
      <c r="F11" s="50">
        <v>313631.49999999994</v>
      </c>
      <c r="G11" s="17">
        <f t="shared" si="0"/>
        <v>1741979</v>
      </c>
      <c r="H11" s="17">
        <f t="shared" si="1"/>
        <v>214222.57800050534</v>
      </c>
      <c r="I11" s="17">
        <f t="shared" si="2"/>
        <v>1527756.4219994945</v>
      </c>
    </row>
    <row r="12" spans="1:9" ht="15.75" customHeight="1" x14ac:dyDescent="0.25">
      <c r="A12" s="5">
        <f t="shared" si="3"/>
        <v>2034</v>
      </c>
      <c r="B12" s="49">
        <v>185412</v>
      </c>
      <c r="C12" s="50">
        <v>356590.5</v>
      </c>
      <c r="D12" s="50">
        <v>644829.5</v>
      </c>
      <c r="E12" s="50">
        <v>459105.5</v>
      </c>
      <c r="F12" s="50">
        <v>319953.99999999994</v>
      </c>
      <c r="G12" s="17">
        <f t="shared" si="0"/>
        <v>1780479.5</v>
      </c>
      <c r="H12" s="17">
        <f t="shared" si="1"/>
        <v>215625.09707734652</v>
      </c>
      <c r="I12" s="17">
        <f t="shared" si="2"/>
        <v>1564854.4029226536</v>
      </c>
    </row>
    <row r="13" spans="1:9" ht="15.75" customHeight="1" x14ac:dyDescent="0.25">
      <c r="A13" s="5">
        <f t="shared" si="3"/>
        <v>2035</v>
      </c>
      <c r="B13" s="49">
        <v>186345</v>
      </c>
      <c r="C13" s="50">
        <v>359562</v>
      </c>
      <c r="D13" s="50">
        <v>655714</v>
      </c>
      <c r="E13" s="50">
        <v>476956.5</v>
      </c>
      <c r="F13" s="50">
        <v>326860</v>
      </c>
      <c r="G13" s="17">
        <f t="shared" si="0"/>
        <v>1819092.5</v>
      </c>
      <c r="H13" s="17">
        <f t="shared" si="1"/>
        <v>216710.13049251473</v>
      </c>
      <c r="I13" s="17">
        <f t="shared" si="2"/>
        <v>1602382.3695074853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b9w602pNHtmqJblAnhxPw5hUfXL/NUipvdmEHNn9M+f6dEtpj93nTN6guYzH562v8sE1sqJ1qrVO+r0Rzo40w==" saltValue="5fucJSI7+IFQx9ZxJ1wwt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2.0916002091600189E-2</v>
      </c>
    </row>
    <row r="4" spans="1:8" ht="15.75" customHeight="1" x14ac:dyDescent="0.25">
      <c r="B4" s="19" t="s">
        <v>116</v>
      </c>
      <c r="C4" s="99">
        <v>6.5774706577470685E-2</v>
      </c>
    </row>
    <row r="5" spans="1:8" ht="15.75" customHeight="1" x14ac:dyDescent="0.25">
      <c r="B5" s="19" t="s">
        <v>114</v>
      </c>
      <c r="C5" s="99">
        <v>9.6632509663250973E-2</v>
      </c>
    </row>
    <row r="6" spans="1:8" ht="15.75" customHeight="1" x14ac:dyDescent="0.25">
      <c r="B6" s="19" t="s">
        <v>110</v>
      </c>
      <c r="C6" s="99">
        <v>0.25245662524566231</v>
      </c>
    </row>
    <row r="7" spans="1:8" ht="15.75" customHeight="1" x14ac:dyDescent="0.25">
      <c r="B7" s="19" t="s">
        <v>115</v>
      </c>
      <c r="C7" s="99">
        <v>0.39333373933337429</v>
      </c>
    </row>
    <row r="8" spans="1:8" ht="15.75" customHeight="1" x14ac:dyDescent="0.25">
      <c r="B8" s="19" t="s">
        <v>117</v>
      </c>
      <c r="C8" s="99">
        <v>3.4550003455000359E-3</v>
      </c>
    </row>
    <row r="9" spans="1:8" ht="15.75" customHeight="1" x14ac:dyDescent="0.25">
      <c r="B9" s="19" t="s">
        <v>111</v>
      </c>
      <c r="C9" s="99">
        <v>5.8309405830940547E-2</v>
      </c>
    </row>
    <row r="10" spans="1:8" ht="15.75" customHeight="1" x14ac:dyDescent="0.25">
      <c r="B10" s="19" t="s">
        <v>113</v>
      </c>
      <c r="C10" s="99">
        <v>0.1091220109122009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121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2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109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3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120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98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107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118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8.7635818000000004E-2</v>
      </c>
    </row>
    <row r="27" spans="1:8" ht="15.75" customHeight="1" x14ac:dyDescent="0.25">
      <c r="B27" s="19" t="s">
        <v>108</v>
      </c>
      <c r="C27" s="99">
        <v>8.6621349999999996E-3</v>
      </c>
    </row>
    <row r="28" spans="1:8" ht="15.75" customHeight="1" x14ac:dyDescent="0.25">
      <c r="B28" s="19" t="s">
        <v>122</v>
      </c>
      <c r="C28" s="99">
        <v>0.15441808500000001</v>
      </c>
    </row>
    <row r="29" spans="1:8" ht="15.75" customHeight="1" x14ac:dyDescent="0.25">
      <c r="B29" s="19" t="s">
        <v>105</v>
      </c>
      <c r="C29" s="99">
        <v>0.167759189</v>
      </c>
    </row>
    <row r="30" spans="1:8" ht="15.75" customHeight="1" x14ac:dyDescent="0.25">
      <c r="B30" s="19" t="s">
        <v>4</v>
      </c>
      <c r="C30" s="99">
        <v>0.10583751800000001</v>
      </c>
    </row>
    <row r="31" spans="1:8" ht="15.75" customHeight="1" x14ac:dyDescent="0.25">
      <c r="B31" s="19" t="s">
        <v>99</v>
      </c>
      <c r="C31" s="99">
        <v>0.109709026</v>
      </c>
    </row>
    <row r="32" spans="1:8" ht="15.75" customHeight="1" x14ac:dyDescent="0.25">
      <c r="B32" s="19" t="s">
        <v>104</v>
      </c>
      <c r="C32" s="99">
        <v>1.8596574000000001E-2</v>
      </c>
    </row>
    <row r="33" spans="2:3" ht="15.75" customHeight="1" x14ac:dyDescent="0.25">
      <c r="B33" s="19" t="s">
        <v>119</v>
      </c>
      <c r="C33" s="99">
        <v>8.3747772999999998E-2</v>
      </c>
    </row>
    <row r="34" spans="2:3" ht="15.75" customHeight="1" x14ac:dyDescent="0.25">
      <c r="B34" s="19" t="s">
        <v>106</v>
      </c>
      <c r="C34" s="99">
        <v>0.26363388300000001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x14rLIpCz5+Hn3lwnlA2yqM49Zk4VuVIgkM0/ZD7MV2/mLB2HnQaEDauDNYlm+J+XHTU2Mg2WU1RpvqvoNje1w==" saltValue="4xtBGhZxXJA6EvF9SRFj0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129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125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126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YkJIyQOzzz3IhwhoI3mmOfIyV1XLNbEZ8mnsWQbo9/C7O3rLLn+yU8uHpwkkTpF43M62kCS6wBkIHd2Hn29Sw==" saltValue="jkODKR2rNIFIgl/+pj2t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3ZgFXT4FJkNgN8kugTRzjE8UH9a/ltDFG1w9d0sPVrQZ63GXTkT24+eHt0Lz81RGfQ5+/vQhqfwtOCSVvN51Vw==" saltValue="kdq0kHOgxNc9zuiAKdZ3J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aHlI8xQbO2eiJc6rhlEdB/P72Jc9bWRUI43Nl+3KH+1IJAWu9rzluUOKD2L0SCGG7l+ihU7TjpUpvci7yfu6g==" saltValue="lWDZ7FM+JJn2JUwQ6skx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754.53284291474404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0.39844999999999997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0.73531000000000002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2.3899071641163953E-2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91565.717640000003</v>
      </c>
      <c r="C22" s="107">
        <v>90821.913159999996</v>
      </c>
      <c r="D22" s="107">
        <v>90132.274969999999</v>
      </c>
      <c r="E22" s="107">
        <v>89606.024999999994</v>
      </c>
      <c r="F22" s="107">
        <v>88845.469490000003</v>
      </c>
      <c r="G22" s="107">
        <v>87880.782089999993</v>
      </c>
      <c r="H22" s="107">
        <v>86616.095069999996</v>
      </c>
      <c r="I22" s="107">
        <v>84932.765799999994</v>
      </c>
      <c r="J22" s="107">
        <v>82642.282040000006</v>
      </c>
      <c r="K22" s="107">
        <v>79701.512959999993</v>
      </c>
      <c r="L22" s="107">
        <v>75747.550289999999</v>
      </c>
      <c r="M22" s="107">
        <v>70563.858980000005</v>
      </c>
      <c r="N22" s="107">
        <v>63329.288569999997</v>
      </c>
      <c r="O22" s="107">
        <v>54198.057650000002</v>
      </c>
    </row>
  </sheetData>
  <sheetProtection algorithmName="SHA-512" hashValue="6DMznUyxk9o42uMa47blWzffm5RM1z728SBBQVlOf7RC4ZXYiu9hL1a/KEWZ59dfhKLdtMe9JJ8E8De8SOr6Lw==" saltValue="9fbGd0e57UlAg8ov9zK//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lFaXVeJK5ymRGaNYzdqnsSd7fCAcf6ivM+F5IlxhWwWAPPHPLCu5oH4R66D4I3Q2I3QEn5lBXrANSHt7ZOwNw==" saltValue="L96oCCrMLLIRwYxFFsya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g5i/Y7ViOanKSUlPGyp36lQ6KLoexNzMVdldXvXycEft+6T7CHQO7xZ/1GekTFIDC0ek3Lm4uP2WuKcdgbIXQ==" saltValue="I8HUzlU1gN9nj5M1PnBUn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0.42978100000000002</v>
      </c>
      <c r="C10" s="96">
        <v>0.95</v>
      </c>
      <c r="D10" s="56">
        <v>15.01507229777283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15.01507229777283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15.01507229777283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15.01507229777283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0.42978100000000002</v>
      </c>
      <c r="C14" s="96">
        <v>0.95</v>
      </c>
      <c r="D14" s="56">
        <v>15.01507229777283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15.01507229777283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0.69226200000000004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0.157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0.39400000000000002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0.51254100000000002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0.53483530000000001</v>
      </c>
      <c r="C23" s="96">
        <v>0.95</v>
      </c>
      <c r="D23" s="56">
        <v>4.9100556870350216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0.57084762680907997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0.42978100000000002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0.54128999999999994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8.6074300000000006E-2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0.15140000000000001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7.0000000000000007E-2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3.4401889360660999E-2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0.1875019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1.9946800000000001E-2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5.4970400000000003E-2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0.2335767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gamO2aMfJn7tst2I0Ezalzxvobsm8Lat3+nX3GEdpl/YNMvUxzNbSFBF8xmfqabOTu/PHl+K6tCKXZ1Y+EUIZg==" saltValue="WJBspadq5+JMMFiBEO2E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h/Q/qWLYdfzMUXFP7EIdWSVfwdWv8r7r+OWbGulbwpiQFQSHwXSH6GJ+n86kp8SoBfMconu717G844NBI/Mkw==" saltValue="AElwsScudh2oDr7E3SeR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ggAUsP9jiJoIimmpjT0adlTtP5JDznGtyzVB97lgerIotW28KLNKkG01HleHWL3dYsMwLm5aKq6+V2UpMpcjQ==" saltValue="QYo/XMlI9PNpZKmOclkQ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3.016</v>
      </c>
      <c r="C2" s="21">
        <f>'Entradas de población-año base'!C52</f>
        <v>3.016</v>
      </c>
      <c r="D2" s="21">
        <f>'Entradas de población-año base'!C53</f>
        <v>6.0060000000000002</v>
      </c>
      <c r="E2" s="21">
        <f>'Entradas de población-año base'!C54</f>
        <v>6.5780000000000003</v>
      </c>
      <c r="F2" s="21">
        <f>'Entradas de población-año base'!C55</f>
        <v>3.145999999999999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236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OZYBhrHRX6l++6Aiir2pyPZKd5FeOFNIANsGZabjIdhIL7amxZblB553yodYoz3BPk1Vk5A6lvY7vlK8nZq9pg==" saltValue="fiDQHCuqxtxaUDJpuQfD4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0.79700000000000004</v>
      </c>
      <c r="F2" s="60">
        <f>food_insecure</f>
        <v>0.79700000000000004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0.79700000000000004</v>
      </c>
      <c r="F5" s="60">
        <f>food_insecure</f>
        <v>0.79700000000000004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6.580363636363637E-2</v>
      </c>
      <c r="D7" s="60">
        <f>diarrhoea_1_5mo*frac_diarrhea_severe</f>
        <v>6.580363636363637E-2</v>
      </c>
      <c r="E7" s="60">
        <f>diarrhoea_6_11mo*frac_diarrhea_severe</f>
        <v>0.13104000000000002</v>
      </c>
      <c r="F7" s="60">
        <f>diarrhoea_12_23mo*frac_diarrhea_severe</f>
        <v>0.14352000000000001</v>
      </c>
      <c r="G7" s="60">
        <f>diarrhoea_24_59mo*frac_diarrhea_severe</f>
        <v>6.8639999999999979E-2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0.79700000000000004</v>
      </c>
      <c r="F8" s="60">
        <f>food_insecure</f>
        <v>0.79700000000000004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0.79700000000000004</v>
      </c>
      <c r="F9" s="60">
        <f>food_insecure</f>
        <v>0.79700000000000004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6.580363636363637E-2</v>
      </c>
      <c r="D12" s="60">
        <f>diarrhoea_1_5mo*frac_diarrhea_severe</f>
        <v>6.580363636363637E-2</v>
      </c>
      <c r="E12" s="60">
        <f>diarrhoea_6_11mo*frac_diarrhea_severe</f>
        <v>0.13104000000000002</v>
      </c>
      <c r="F12" s="60">
        <f>diarrhoea_12_23mo*frac_diarrhea_severe</f>
        <v>0.14352000000000001</v>
      </c>
      <c r="G12" s="60">
        <f>diarrhoea_24_59mo*frac_diarrhea_severe</f>
        <v>6.8639999999999979E-2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0.79700000000000004</v>
      </c>
      <c r="I15" s="60">
        <f t="shared" si="0"/>
        <v>0.79700000000000004</v>
      </c>
      <c r="J15" s="60">
        <f t="shared" si="0"/>
        <v>0.79700000000000004</v>
      </c>
      <c r="K15" s="60">
        <f t="shared" si="0"/>
        <v>0.79700000000000004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0.79700000000000004</v>
      </c>
      <c r="I16" s="60">
        <f t="shared" si="0"/>
        <v>0.79700000000000004</v>
      </c>
      <c r="J16" s="60">
        <f t="shared" si="0"/>
        <v>0.79700000000000004</v>
      </c>
      <c r="K16" s="60">
        <f t="shared" si="0"/>
        <v>0.79700000000000004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0.55651675475899987</v>
      </c>
      <c r="M25" s="60">
        <f>(1-food_insecure)*(0.49)+food_insecure*(0.7)</f>
        <v>0.6573699999999999</v>
      </c>
      <c r="N25" s="60">
        <f>(1-food_insecure)*(0.49)+food_insecure*(0.7)</f>
        <v>0.6573699999999999</v>
      </c>
      <c r="O25" s="60">
        <f>(1-food_insecure)*(0.49)+food_insecure*(0.7)</f>
        <v>0.6573699999999999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0.23850718061099999</v>
      </c>
      <c r="M26" s="60">
        <f>(1-food_insecure)*(0.21)+food_insecure*(0.3)</f>
        <v>0.28172999999999998</v>
      </c>
      <c r="N26" s="60">
        <f>(1-food_insecure)*(0.21)+food_insecure*(0.3)</f>
        <v>0.28172999999999998</v>
      </c>
      <c r="O26" s="60">
        <f>(1-food_insecure)*(0.21)+food_insecure*(0.3)</f>
        <v>0.28172999999999998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5.1556764629999981E-2</v>
      </c>
      <c r="M27" s="60">
        <f>(1-food_insecure)*(0.3)</f>
        <v>6.0899999999999982E-2</v>
      </c>
      <c r="N27" s="60">
        <f>(1-food_insecure)*(0.3)</f>
        <v>6.0899999999999982E-2</v>
      </c>
      <c r="O27" s="60">
        <f>(1-food_insecure)*(0.3)</f>
        <v>6.0899999999999982E-2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0.15341930000000001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I9w6/h2qGe/Ee2Mg0xEvYbo+sGbvRFX0VaGD0e08wfSrHAqdVpJLionjARPCgQNXlG+5LdtyqIKk/2JopD5Ag==" saltValue="HhmXYagRno4b3uymTsPMJ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lnP+CRY+zlEAZvHAEFU/pwkaLnXKJ62AppirKwICUZD20YF8GTDNTRdadOJjerR+Z2srv2zuOAmrAxvkArJtA==" saltValue="ybu6MwSLs9WCX400/YrIT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PxqPuQmadG6doad4d/nSrqda1JsrCHKK9+c+d4Na9SsYlq5pK8R26DjNvCOUJG9t4EeiLar7XjwJllLElbpyg==" saltValue="ODdWw1wNjghCqQm1QafWo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vtKomWJqKpAiidS974dlCym5gPNwU90Wq1/XJ7I8jXqO12gs1ywamBRenKk3gmbtNZHjN6lERQJJ4q4BwwqcQ==" saltValue="TnbxKjsjLmc99mMAqg/7C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U3h2dPPgonQK2sMmGSWUrxiVfxM1Z85ctiTjUrKHqwUT0GbY/mgQo7dm5H5tw0boEU1kx3wYY42wnvxeDS2V4Q==" saltValue="gh1IGX9q7YeMQaEKZqjj7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Lh7nM6hvoi5w2YbjfHprs7JhxHJVJLC+uY1f0YgmFXWAvqeNkNrT750bPe/N3RMYCEFcKcGm9NhbPxQ+mSH0kA==" saltValue="trcGZQqNz9kjsiyP4Q42g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2GrnCBTP3vxDznKf7yIEbb5S74bLaBmU+ZFfUswQsRKJ8nwLonDiYaLo8fPUBEZq78Nq9q9hPEvZhJ4jaryRw==" saltValue="zui8pdJi94/+MUcjawQ9x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8TKLdF2RUZsKgT/zOFBcTnw7L6/k04zJw8MmeQI2uuvlFAWC4umPGNPI0bNFNvGizhFXcVzJu3InwkGGU08oQ==" saltValue="k/81zTRaxOQMX5Xu6Z5Y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sbKhNH2afY7xOnN/+5g4D/Qbz3WmqZQAHJ5LtM3yCA2GK5ujqmyIInmCUnwVcSj6QdgChByGUVFojQB37XCZg==" saltValue="NsOxd8sARXPSosNSB4CB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+7ClJpHKhlutAwc8lCRn5+6rXWpLCTkeVwsGSkX41Wz34aA/PLYPlZ3uzoyy9jCwLfRy43TQvrIqbW0uHBjLw==" saltValue="1luOqHGlG2qv59DceHFg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oSSzUwrh7TlVVXlwln8/8ubTtbbqYVkl/m3LSObH9NK/Vulig1uZJUNuOwYSWw87oTyca1cUCDb5769ZWcSCQ==" saltValue="3X5GYHged+U+77bdp6M/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xc0t49OOra4TdhE9GEw2ahiQ/GFfdCWcbqTq7/uHcDWgwMeiyqVbLZJ5ysGKMAvIY7gbpgqCwdHBqeBEv3w1w==" saltValue="2MKa05XVwSYzoIuCXheu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S6+BZAm09ZMszomAayPdGaMck0jDKh/4jmWpT0r8Rg6/INK756ZjDX51LnMvj+STGRLlg+OjDTJ3RbDHOZSCQ==" saltValue="K0aeE4dgA+isN+6kWQ1r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AjBVq1PHOvl53owpa8DyUKbxAadMIjVlICVhURPnzCh/CurQo2UdrA9Wat/B9jglSpVNpONXcBVBdVTmpAcDXA==" saltValue="AkyClIitFWnKfBbtJsbf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PZcG48bX0zkL3g2V53Px38sR5bcAqJMp7aHkHvVcDdKoWne4gD5y/qoReNXaLA8xmRkONOMA7dRbCw+Kf/eghg==" saltValue="8OALPfcZjuOH2kU4sqJLp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