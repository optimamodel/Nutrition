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9A4C53B-2DE6-4784-93FE-DD7416758CF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<sst xmlns="http://schemas.openxmlformats.org/spreadsheetml/2006/main" count="2102" uniqueCount="341">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</sst>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775167.515625</v>
      </c>
    </row>
    <row r="8" spans="1:3" ht="15" customHeight="1" x14ac:dyDescent="0.25">
      <c r="B8" s="5" t="s">
        <v>44</v>
      </c>
      <c r="C8" s="44">
        <v>0.40899999999999997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0.14480130195617699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0.1414</v>
      </c>
    </row>
    <row r="24" spans="1:3" ht="15" customHeight="1" x14ac:dyDescent="0.25">
      <c r="B24" s="15" t="s">
        <v>46</v>
      </c>
      <c r="C24" s="45">
        <v>0.44040000000000012</v>
      </c>
    </row>
    <row r="25" spans="1:3" ht="15" customHeight="1" x14ac:dyDescent="0.25">
      <c r="B25" s="15" t="s">
        <v>47</v>
      </c>
      <c r="C25" s="45">
        <v>0.33069999999999999</v>
      </c>
    </row>
    <row r="26" spans="1:3" ht="15" customHeight="1" x14ac:dyDescent="0.25">
      <c r="B26" s="15" t="s">
        <v>48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0.26912377197565901</v>
      </c>
    </row>
    <row r="30" spans="1:3" ht="14.25" customHeight="1" x14ac:dyDescent="0.25">
      <c r="B30" s="25" t="s">
        <v>63</v>
      </c>
      <c r="C30" s="99">
        <v>4.10301351064883E-2</v>
      </c>
    </row>
    <row r="31" spans="1:3" ht="14.25" customHeight="1" x14ac:dyDescent="0.25">
      <c r="B31" s="25" t="s">
        <v>10</v>
      </c>
      <c r="C31" s="99">
        <v>6.6332842080041601E-2</v>
      </c>
    </row>
    <row r="32" spans="1:3" ht="14.25" customHeight="1" x14ac:dyDescent="0.25">
      <c r="B32" s="25" t="s">
        <v>11</v>
      </c>
      <c r="C32" s="99">
        <v>0.62351325083781095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29.927250000000001</v>
      </c>
    </row>
    <row r="38" spans="1:5" ht="15" customHeight="1" x14ac:dyDescent="0.25">
      <c r="B38" s="11" t="s">
        <v>35</v>
      </c>
      <c r="C38" s="43">
        <v>56.723050000000001</v>
      </c>
      <c r="D38" s="12"/>
      <c r="E38" s="13"/>
    </row>
    <row r="39" spans="1:5" ht="15" customHeight="1" x14ac:dyDescent="0.25">
      <c r="B39" s="11" t="s">
        <v>61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100">
        <v>6.52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7.9130999999999993E-3</v>
      </c>
      <c r="D45" s="12"/>
    </row>
    <row r="46" spans="1:5" ht="15.75" customHeight="1" x14ac:dyDescent="0.25">
      <c r="B46" s="11" t="s">
        <v>51</v>
      </c>
      <c r="C46" s="45">
        <v>8.50249E-2</v>
      </c>
      <c r="D46" s="12"/>
    </row>
    <row r="47" spans="1:5" ht="15.75" customHeight="1" x14ac:dyDescent="0.25">
      <c r="B47" s="11" t="s">
        <v>59</v>
      </c>
      <c r="C47" s="45">
        <v>7.3475499999999999E-2</v>
      </c>
      <c r="D47" s="12"/>
      <c r="E47" s="13"/>
    </row>
    <row r="48" spans="1:5" ht="15" customHeight="1" x14ac:dyDescent="0.25">
      <c r="B48" s="11" t="s">
        <v>58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0.44132399999999999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0.14607059</v>
      </c>
    </row>
    <row r="63" spans="1:4" ht="15.75" customHeight="1" x14ac:dyDescent="0.3">
      <c r="A63" s="4"/>
    </row>
  </sheetData>
  <sheetProtection algorithmName="SHA-512" hashValue="E2Wejuj1s1Pir175ovWaz0YdJbF6IOFwLNDMuh2fDWNyqYypfZsT7LUvYLZMOhNy4IXwuTWM5/VY37Ewh+kpfQ==" saltValue="d69ovvE9kqtXtc0xCViZ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169153</v>
      </c>
      <c r="C2" s="49">
        <v>382821.00000000012</v>
      </c>
      <c r="D2" s="49">
        <v>472523.49999999988</v>
      </c>
      <c r="E2" s="49">
        <v>323920.5</v>
      </c>
      <c r="F2" s="49">
        <v>234066.5</v>
      </c>
      <c r="G2" s="17">
        <f t="shared" ref="G2:G13" si="0">C2+D2+E2+F2</f>
        <v>1413331.5</v>
      </c>
      <c r="H2" s="17">
        <f t="shared" ref="H2:H13" si="1">(B2 + stillbirth*B2/(1000-stillbirth))/(1-abortion)</f>
        <v>196716.67446510692</v>
      </c>
      <c r="I2" s="17">
        <f t="shared" ref="I2:I13" si="2">G2-H2</f>
        <v>1216614.8255348932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171399</v>
      </c>
      <c r="C3" s="50">
        <v>390611</v>
      </c>
      <c r="D3" s="50">
        <v>491532.5</v>
      </c>
      <c r="E3" s="50">
        <v>330684</v>
      </c>
      <c r="F3" s="50">
        <v>239174.5</v>
      </c>
      <c r="G3" s="17">
        <f t="shared" si="0"/>
        <v>1452002</v>
      </c>
      <c r="H3" s="17">
        <f t="shared" si="1"/>
        <v>199328.66272927384</v>
      </c>
      <c r="I3" s="17">
        <f t="shared" si="2"/>
        <v>1252673.3372707262</v>
      </c>
    </row>
    <row r="4" spans="1:9" ht="15.75" customHeight="1" x14ac:dyDescent="0.25">
      <c r="A4" s="5">
        <f t="shared" si="3"/>
        <v>2026</v>
      </c>
      <c r="B4" s="49">
        <v>173760</v>
      </c>
      <c r="C4" s="50">
        <v>397795.99999999988</v>
      </c>
      <c r="D4" s="50">
        <v>511237</v>
      </c>
      <c r="E4" s="50">
        <v>338550</v>
      </c>
      <c r="F4" s="50">
        <v>243178.5</v>
      </c>
      <c r="G4" s="17">
        <f t="shared" si="0"/>
        <v>1490761.5</v>
      </c>
      <c r="H4" s="17">
        <f t="shared" si="1"/>
        <v>202074.39037473159</v>
      </c>
      <c r="I4" s="17">
        <f t="shared" si="2"/>
        <v>1288687.1096252685</v>
      </c>
    </row>
    <row r="5" spans="1:9" ht="15.75" customHeight="1" x14ac:dyDescent="0.25">
      <c r="A5" s="5">
        <f t="shared" si="3"/>
        <v>2027</v>
      </c>
      <c r="B5" s="49">
        <v>175391</v>
      </c>
      <c r="C5" s="50">
        <v>404068</v>
      </c>
      <c r="D5" s="50">
        <v>531125</v>
      </c>
      <c r="E5" s="50">
        <v>347821</v>
      </c>
      <c r="F5" s="50">
        <v>246979</v>
      </c>
      <c r="G5" s="17">
        <f t="shared" si="0"/>
        <v>1529993</v>
      </c>
      <c r="H5" s="17">
        <f t="shared" si="1"/>
        <v>203971.16368677802</v>
      </c>
      <c r="I5" s="17">
        <f t="shared" si="2"/>
        <v>1326021.8363132221</v>
      </c>
    </row>
    <row r="6" spans="1:9" ht="15.75" customHeight="1" x14ac:dyDescent="0.25">
      <c r="A6" s="5">
        <f t="shared" si="3"/>
        <v>2028</v>
      </c>
      <c r="B6" s="49">
        <v>178075</v>
      </c>
      <c r="C6" s="50">
        <v>408664.99999999988</v>
      </c>
      <c r="D6" s="50">
        <v>550282</v>
      </c>
      <c r="E6" s="50">
        <v>358717.5</v>
      </c>
      <c r="F6" s="50">
        <v>250378</v>
      </c>
      <c r="G6" s="17">
        <f t="shared" si="0"/>
        <v>1568042.5</v>
      </c>
      <c r="H6" s="17">
        <f t="shared" si="1"/>
        <v>207092.52455099177</v>
      </c>
      <c r="I6" s="17">
        <f t="shared" si="2"/>
        <v>1360949.9754490082</v>
      </c>
    </row>
    <row r="7" spans="1:9" ht="15.75" customHeight="1" x14ac:dyDescent="0.25">
      <c r="A7" s="5">
        <f t="shared" si="3"/>
        <v>2029</v>
      </c>
      <c r="B7" s="49">
        <v>179087</v>
      </c>
      <c r="C7" s="50">
        <v>412270.5</v>
      </c>
      <c r="D7" s="50">
        <v>568148.5</v>
      </c>
      <c r="E7" s="50">
        <v>371268.5</v>
      </c>
      <c r="F7" s="50">
        <v>253421</v>
      </c>
      <c r="G7" s="17">
        <f t="shared" si="0"/>
        <v>1605108.5</v>
      </c>
      <c r="H7" s="17">
        <f t="shared" si="1"/>
        <v>208269.43110635105</v>
      </c>
      <c r="I7" s="17">
        <f t="shared" si="2"/>
        <v>1396839.0688936489</v>
      </c>
    </row>
    <row r="8" spans="1:9" ht="15.75" customHeight="1" x14ac:dyDescent="0.25">
      <c r="A8" s="5">
        <f t="shared" si="3"/>
        <v>2030</v>
      </c>
      <c r="B8" s="49">
        <v>181355</v>
      </c>
      <c r="C8" s="50">
        <v>415449.50000000012</v>
      </c>
      <c r="D8" s="50">
        <v>584742</v>
      </c>
      <c r="E8" s="50">
        <v>385327</v>
      </c>
      <c r="F8" s="50">
        <v>256292</v>
      </c>
      <c r="G8" s="17">
        <f t="shared" si="0"/>
        <v>1641810.5</v>
      </c>
      <c r="H8" s="17">
        <f t="shared" si="1"/>
        <v>210907.00429563448</v>
      </c>
      <c r="I8" s="17">
        <f t="shared" si="2"/>
        <v>1430903.4957043654</v>
      </c>
    </row>
    <row r="9" spans="1:9" ht="15.75" customHeight="1" x14ac:dyDescent="0.25">
      <c r="A9" s="5">
        <f t="shared" si="3"/>
        <v>2031</v>
      </c>
      <c r="B9" s="49">
        <v>182201</v>
      </c>
      <c r="C9" s="50">
        <v>418424.49999999988</v>
      </c>
      <c r="D9" s="50">
        <v>600198</v>
      </c>
      <c r="E9" s="50">
        <v>400597</v>
      </c>
      <c r="F9" s="50">
        <v>259297.5</v>
      </c>
      <c r="G9" s="17">
        <f t="shared" si="0"/>
        <v>1678517</v>
      </c>
      <c r="H9" s="17">
        <f t="shared" si="1"/>
        <v>211890.86096147832</v>
      </c>
      <c r="I9" s="17">
        <f t="shared" si="2"/>
        <v>1466626.1390385218</v>
      </c>
    </row>
    <row r="10" spans="1:9" ht="15.75" customHeight="1" x14ac:dyDescent="0.25">
      <c r="A10" s="5">
        <f t="shared" si="3"/>
        <v>2032</v>
      </c>
      <c r="B10" s="49">
        <v>183848</v>
      </c>
      <c r="C10" s="50">
        <v>420197.50000000012</v>
      </c>
      <c r="D10" s="50">
        <v>615657</v>
      </c>
      <c r="E10" s="50">
        <v>416837.5</v>
      </c>
      <c r="F10" s="50">
        <v>262673.5</v>
      </c>
      <c r="G10" s="17">
        <f t="shared" si="0"/>
        <v>1715365.5</v>
      </c>
      <c r="H10" s="17">
        <f t="shared" si="1"/>
        <v>213806.2414917913</v>
      </c>
      <c r="I10" s="17">
        <f t="shared" si="2"/>
        <v>1501559.2585082087</v>
      </c>
    </row>
    <row r="11" spans="1:9" ht="15.75" customHeight="1" x14ac:dyDescent="0.25">
      <c r="A11" s="5">
        <f t="shared" si="3"/>
        <v>2033</v>
      </c>
      <c r="B11" s="49">
        <v>185439</v>
      </c>
      <c r="C11" s="50">
        <v>421504.5</v>
      </c>
      <c r="D11" s="50">
        <v>630481.00000000012</v>
      </c>
      <c r="E11" s="50">
        <v>433871.5</v>
      </c>
      <c r="F11" s="50">
        <v>266074.5</v>
      </c>
      <c r="G11" s="17">
        <f t="shared" si="0"/>
        <v>1751931.5</v>
      </c>
      <c r="H11" s="17">
        <f t="shared" si="1"/>
        <v>215656.49675817136</v>
      </c>
      <c r="I11" s="17">
        <f t="shared" si="2"/>
        <v>1536275.0032418286</v>
      </c>
    </row>
    <row r="12" spans="1:9" ht="15.75" customHeight="1" x14ac:dyDescent="0.25">
      <c r="A12" s="5">
        <f t="shared" si="3"/>
        <v>2034</v>
      </c>
      <c r="B12" s="49">
        <v>186189</v>
      </c>
      <c r="C12" s="50">
        <v>423814.5</v>
      </c>
      <c r="D12" s="50">
        <v>642914</v>
      </c>
      <c r="E12" s="50">
        <v>451732.5</v>
      </c>
      <c r="F12" s="50">
        <v>270213.5</v>
      </c>
      <c r="G12" s="17">
        <f t="shared" si="0"/>
        <v>1788674.5</v>
      </c>
      <c r="H12" s="17">
        <f t="shared" si="1"/>
        <v>216528.71011441588</v>
      </c>
      <c r="I12" s="17">
        <f t="shared" si="2"/>
        <v>1572145.789885584</v>
      </c>
    </row>
    <row r="13" spans="1:9" ht="15.75" customHeight="1" x14ac:dyDescent="0.25">
      <c r="A13" s="5">
        <f t="shared" si="3"/>
        <v>2035</v>
      </c>
      <c r="B13" s="49">
        <v>187959</v>
      </c>
      <c r="C13" s="50">
        <v>426969.5</v>
      </c>
      <c r="D13" s="50">
        <v>652854.5</v>
      </c>
      <c r="E13" s="50">
        <v>470486.5</v>
      </c>
      <c r="F13" s="50">
        <v>275574.5</v>
      </c>
      <c r="G13" s="17">
        <f t="shared" si="0"/>
        <v>1825885</v>
      </c>
      <c r="H13" s="17">
        <f t="shared" si="1"/>
        <v>218587.13363515295</v>
      </c>
      <c r="I13" s="17">
        <f t="shared" si="2"/>
        <v>1607297.8663648469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3y6fjDHI8V9/h66kzmRAIUPcO5OvQHVfO6Q/67HmjRx48K+/AarNMRnLfOQ9hy5iGwO4pIXzVErsjxAaOYisQ==" saltValue="ZnHOrTjVsbn5YOMF6DLt1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2.0916002091600189E-2</v>
      </c>
    </row>
    <row r="4" spans="1:8" ht="15.75" customHeight="1" x14ac:dyDescent="0.25">
      <c r="B4" s="19" t="s">
        <v>97</v>
      </c>
      <c r="C4" s="101">
        <v>6.5774706577470685E-2</v>
      </c>
    </row>
    <row r="5" spans="1:8" ht="15.75" customHeight="1" x14ac:dyDescent="0.25">
      <c r="B5" s="19" t="s">
        <v>95</v>
      </c>
      <c r="C5" s="101">
        <v>9.6632509663250973E-2</v>
      </c>
    </row>
    <row r="6" spans="1:8" ht="15.75" customHeight="1" x14ac:dyDescent="0.25">
      <c r="B6" s="19" t="s">
        <v>91</v>
      </c>
      <c r="C6" s="101">
        <v>0.25245662524566231</v>
      </c>
    </row>
    <row r="7" spans="1:8" ht="15.75" customHeight="1" x14ac:dyDescent="0.25">
      <c r="B7" s="19" t="s">
        <v>96</v>
      </c>
      <c r="C7" s="101">
        <v>0.39333373933337429</v>
      </c>
    </row>
    <row r="8" spans="1:8" ht="15.75" customHeight="1" x14ac:dyDescent="0.25">
      <c r="B8" s="19" t="s">
        <v>98</v>
      </c>
      <c r="C8" s="101">
        <v>3.4550003455000359E-3</v>
      </c>
    </row>
    <row r="9" spans="1:8" ht="15.75" customHeight="1" x14ac:dyDescent="0.25">
      <c r="B9" s="19" t="s">
        <v>92</v>
      </c>
      <c r="C9" s="101">
        <v>5.8309405830940547E-2</v>
      </c>
    </row>
    <row r="10" spans="1:8" ht="15.75" customHeight="1" x14ac:dyDescent="0.25">
      <c r="B10" s="19" t="s">
        <v>94</v>
      </c>
      <c r="C10" s="101">
        <v>0.1091220109122009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102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2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3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101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79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88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99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8.7635818000000004E-2</v>
      </c>
    </row>
    <row r="27" spans="1:8" ht="15.75" customHeight="1" x14ac:dyDescent="0.25">
      <c r="B27" s="19" t="s">
        <v>89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86</v>
      </c>
      <c r="C29" s="101">
        <v>0.167759189</v>
      </c>
    </row>
    <row r="30" spans="1:8" ht="15.75" customHeight="1" x14ac:dyDescent="0.25">
      <c r="B30" s="19" t="s">
        <v>4</v>
      </c>
      <c r="C30" s="101">
        <v>0.10583751800000001</v>
      </c>
    </row>
    <row r="31" spans="1:8" ht="15.75" customHeight="1" x14ac:dyDescent="0.25">
      <c r="B31" s="19" t="s">
        <v>80</v>
      </c>
      <c r="C31" s="101">
        <v>0.109709026</v>
      </c>
    </row>
    <row r="32" spans="1:8" ht="15.75" customHeight="1" x14ac:dyDescent="0.25">
      <c r="B32" s="19" t="s">
        <v>85</v>
      </c>
      <c r="C32" s="101">
        <v>1.8596574000000001E-2</v>
      </c>
    </row>
    <row r="33" spans="2:3" ht="15.75" customHeight="1" x14ac:dyDescent="0.25">
      <c r="B33" s="19" t="s">
        <v>100</v>
      </c>
      <c r="C33" s="101">
        <v>8.3747772999999998E-2</v>
      </c>
    </row>
    <row r="34" spans="2:3" ht="15.75" customHeight="1" x14ac:dyDescent="0.25">
      <c r="B34" s="19" t="s">
        <v>87</v>
      </c>
      <c r="C34" s="101">
        <v>0.26363388300000001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ZdYjwMIbjNQaK/w2uKKw+QUeqXL8BeJo1xR/xX4LKyUeSenIIxlCSKb5wQSlXfVTalW9ZeJK8gTl1zsa0I31mw==" saltValue="Zc4s6wK7Cyhtlz29QS2W4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110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106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107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119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rJGLVPE3dDNz5xMtI6l5kOcuFwytsc/3xOQ/qwqriMUW86+yixbsEyhJHr6uZr23eS316LoN6HRn3NXpjBqug==" saltValue="sQQFbRSHmJ/qc3Vltjlu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125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kEp8Be5EY6MH3w/Lt2ctNcQrr2sUj3UWyFz51HkFv5ufEBgyosb/qLKgFZnyib/dc+tpdU1iBpe1i/wsWkecaw==" saltValue="FNOGGb/aIbWSLTF9AveOh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WsC85iRSvYNBmghGBFMGSicEmpdAwf0fPaWv3cvPkWZET6M3nEMfdqph8ord/sTXxy3wmJFkNruq005JRPVqA==" saltValue="07s+owEtN1JIu9zFwEJ7l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2Ojp5tx8sHK6LDwLdZgVmeh8GlK6GotCHYk0S5KWL13i4erxC/KAFckf4H7guBQLhy1bdVo+3LX7MYuJ85sifg==" saltValue="Ce+UiJ05M6mPpEEa/vvS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7yhT94E6SMFGCTRkU7NRO5u4aE9oNdOjkcVXRZgdxa2hq5xrVEWUvhTQ3f4K/8MV77nSwhonemMOzAXh6aBbow==" saltValue="2ojYBmOWjWv5Qn0FfvnV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2EkLPgwMpco0pp2RkqpEVIyfTJN9/PEBSKOCnFJi2eZ8lVsuCiloihY8pjRKTWaN8QmxYTkxh9TNlGJBGmryQ==" saltValue="zFZhddAyT2mOeDqqpRkW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34.501397074255429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0.24251285881340001</v>
      </c>
      <c r="C3" s="98">
        <v>0.95</v>
      </c>
      <c r="D3" s="56">
        <v>47.355822967277753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45.537074135700493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0.20940006975754699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0.42978100000000002</v>
      </c>
      <c r="C10" s="98">
        <v>0.95</v>
      </c>
      <c r="D10" s="56">
        <v>15.01507229777283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0.42978100000000002</v>
      </c>
      <c r="C11" s="98">
        <v>0.95</v>
      </c>
      <c r="D11" s="56">
        <v>15.01507229777283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0.42978100000000002</v>
      </c>
      <c r="C12" s="98">
        <v>0.95</v>
      </c>
      <c r="D12" s="56">
        <v>15.01507229777283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0.42978100000000002</v>
      </c>
      <c r="C13" s="98">
        <v>0.95</v>
      </c>
      <c r="D13" s="56">
        <v>15.01507229777283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0.42978100000000002</v>
      </c>
      <c r="C14" s="98">
        <v>0.95</v>
      </c>
      <c r="D14" s="56">
        <v>15.01507229777283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0.42978100000000002</v>
      </c>
      <c r="C15" s="98">
        <v>0.95</v>
      </c>
      <c r="D15" s="56">
        <v>15.01507229777283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</v>
      </c>
      <c r="C16" s="98">
        <v>0.95</v>
      </c>
      <c r="D16" s="56">
        <v>0.21765422515374999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0.157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0.10053224801422</v>
      </c>
      <c r="C18" s="98">
        <v>0.95</v>
      </c>
      <c r="D18" s="56">
        <v>1.160813804607514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0.22523380000000001</v>
      </c>
      <c r="C19" s="98">
        <v>0.95</v>
      </c>
      <c r="D19" s="56">
        <v>1.160813804607514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5.4970400000000003E-2</v>
      </c>
      <c r="C21" s="98">
        <v>0.95</v>
      </c>
      <c r="D21" s="56">
        <v>1.6155396039007119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25.571599410358289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4.9100556870350216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0.76180022919064005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0.42978100000000002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21.725060175997658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0.59740204517642004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59.948870706228909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0.5</v>
      </c>
      <c r="C31" s="98">
        <v>0.95</v>
      </c>
      <c r="D31" s="56">
        <v>1.2819039793957061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0.40073342145631469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8.6074300000000006E-2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0.54128999999999994</v>
      </c>
      <c r="C38" s="98">
        <v>0.95</v>
      </c>
      <c r="D38" s="56">
        <v>7.1322114997143746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J/Dr3tJGupysQgTzBSuT0s3SwqBEoLd6ogKDdF6EQxQ2hYAJeEUM5XpJcjfTyWKvpj62jhGSkMLu//pyGC+ceg==" saltValue="sDYnMaB6fy9Pe2/Thku3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0L7V5QgPt9xr+/d7/bVxd4/8+Fr4b5LbhRWQkgc/GMLQJ2QtkdOZSfqFqPHxGNxnAUEJxiE7qxhj3WG7UQ2Rw==" saltValue="OO79aFOTWma950pKOt81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RVv0Pxs5IVAetVwHrMwkToQwPAh4SH30+NxJ+Aj97kAxUXtG+urDqfsrH11it6LhmxqtiKF8+xDRxmeche96A==" saltValue="OB+DbY41EvaOBpiif3xHT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207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yKsOAzp6K015PXdKy8T9D1F9h2lxkbSCgq80ggjEK2KNsOi/UqdRUamQNthqp3yg463+0DEl9nC3y3y+VMtMOA==" saltValue="yHjrL1aWuZNSm2UPT9PT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0.49250037821645715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0.21107159066419592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0.1516267291631698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0.14480130195617696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TRxiPijhSoTiw/dkwUiyFDkbox1nJWYH72MZDNs4lBUiBjhtTLwGV5gDIU3n7PCU/Q1NNSd1zQWI11Oy1NSEQ==" saltValue="ZkyL5l+hKCCpd1c4nwT+j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weyj9FIcXc388Yx39SqZdRLd/8eFpCi4G9gFoldm94q5atlhPP1pmdOsr15OCJ3V67vE0r4XM5hkoYKPcBXuiA==" saltValue="0hOU3wBfY4JreRvHVCeq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51ie4wTPD5WyBrotLWhUfADcmIUbOhyYnIRGA/+aIZM9bYoGv3CxxN9c6Fza4kBCQ1amjC5WcYQmxPBTlNS6Q==" saltValue="D+uCRgxhZA2HRk6wg94F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A25lGX3lQhu9jDyA4QW6uJx5Vs/A7LQU9jUiq0nZ8nzzSfpFDnhnFsiA/lrDa+OWSQfNCk1lCqBAj0AXkhDcg==" saltValue="WabdsFSPkTypESPI8dw7h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sps2teL1e0HAPgEY6BJMrUg4Ivu69ElxNS4o0zMX6w0BwHh5/5LiSFr9Di6SA1wovFAraCBCNIllK4KO09yxA==" saltValue="Pu/np9nZ36cSSR7xL/1a9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sl0PgnlUTSXElClcv/KPL2BbK7qlnG7YHJaB4tTbKQUY9+c/CbCfU0NOXTdr3RkdJ4/2GzAsheXMMrNjEKGpg==" saltValue="iXGprkjdQQW4LXw2C6xM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usowLcasXgLZ5fl8INUw3S9tEusA94pbgbaWJQqgWSkEUkyaP4G6UQ51QBzVqt9H5UDBT5UTWN9ZWaQ227N35g==" saltValue="VoV663bs0PCB2IiSlzO7c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9Y1CyelforuKQDBdLyevfMcWjfBxQyhNs85aQoCKRI860UCLkng2/LDqJm3EpABS8JOOupifptlPQfIJvYtew==" saltValue="RSHqWNtFfYMLsvUCgcEH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ccc+4NtETYglNPO6c0f2xmeHUZjiPwt6xP2SZjx0G+irdrBU/Sg1rPP70uCtt5eCNEvGCmlLMUlolEigR5YxQ==" saltValue="Ntue2TI2e3zYlZiO6Q4W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6+71kH0dW6QXl9t1xAfLcdQeP7tfEBMLK2jstc5wYME+HOY8utLNwrXiaLGL4g3cWU1jHX5AsB6tHHU72IMBkg==" saltValue="EwriB94yUrpozVJr3LXf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vzV+TdireX3Xc9QlOg4tBWgSnC6BUXT5jAiBqr5YuI3ukL+Vh2gnA/tKBjUswcm5L3qnN82w7nA6sRq3X0Uhg==" saltValue="vcAnbnh66qp5C0Sn4F+H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hUGuza4F3DsXfvXW0srIiqdO2LCikJW80NfTPpoU1ay3v8V5YeO0I+M14x63xGyRUFk/PPO4Xd4YGrsAVK7FA==" saltValue="g6ug7wm+YRtBG4CxJG2W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BiHUw4exQZmaN0xJe7mk3XciM+s8/lSpz5BhtN+gPZ+0L16PPR8Tt999PRhkNlAI0sU6LDy5WWfYuNIkZwurQ==" saltValue="RvvV/ht4V5rr+FcKvIvB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SUXDXpb20k0dcCObxUeAWJEnWY//qEUnOT/tGOpMMsOMZn/hwHgHzPxGFmPVhK0GPtoFKLnSFEWmioHV6j8gw==" saltValue="ScjjOCKKr7R/c0aVLkaU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8sAsl5MYjqpbUavDUPgAkwHMUUnoDiXlNNYACvmthfD46H6exmMNIVkmqjUYgD4YqN29LEwZ+uVoHhHOVY+VA==" saltValue="fMIHOdnJjrXnPIPE5lEvS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2024-05-16T23:42:50Z</dcterms:modified>
</cp:coreProperties>
</file>