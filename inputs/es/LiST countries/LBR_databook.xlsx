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156E0A46-42E1-4839-A7E0-1DB891B5634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I39" i="2" s="1"/>
  <c r="G39" i="2"/>
  <c r="H38" i="2"/>
  <c r="G38" i="2"/>
  <c r="I38" i="2" s="1"/>
  <c r="A37" i="2"/>
  <c r="A36" i="2"/>
  <c r="A35" i="2"/>
  <c r="A34" i="2"/>
  <c r="A33" i="2"/>
  <c r="A29" i="2"/>
  <c r="A28" i="2"/>
  <c r="A27" i="2"/>
  <c r="A26" i="2"/>
  <c r="A25" i="2"/>
  <c r="A24" i="2"/>
  <c r="A20" i="2"/>
  <c r="A19" i="2"/>
  <c r="A18" i="2"/>
  <c r="A17" i="2"/>
  <c r="A16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A2" i="2"/>
  <c r="A40" i="2" s="1"/>
  <c r="C33" i="1"/>
  <c r="C20" i="1"/>
  <c r="A21" i="2" l="1"/>
  <c r="A31" i="2"/>
  <c r="I2" i="2"/>
  <c r="A23" i="2"/>
  <c r="A32" i="2"/>
  <c r="A39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<sst xmlns="http://schemas.openxmlformats.org/spreadsheetml/2006/main" count="2101" uniqueCount="341">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</sst>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775167.515625</v>
      </c>
    </row>
    <row r="8" spans="1:3" ht="15" customHeight="1" x14ac:dyDescent="0.25">
      <c r="B8" s="5" t="s">
        <v>44</v>
      </c>
      <c r="C8" s="44">
        <v>0.40899999999999997</v>
      </c>
    </row>
    <row r="9" spans="1:3" ht="15" customHeight="1" x14ac:dyDescent="0.25">
      <c r="B9" s="5" t="s">
        <v>43</v>
      </c>
      <c r="C9" s="45">
        <v>1</v>
      </c>
    </row>
    <row r="10" spans="1:3" ht="15" customHeight="1" x14ac:dyDescent="0.25">
      <c r="B10" s="5" t="s">
        <v>56</v>
      </c>
      <c r="C10" s="45">
        <v>0.14480130195617699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0.628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0.1414</v>
      </c>
    </row>
    <row r="24" spans="1:3" ht="15" customHeight="1" x14ac:dyDescent="0.25">
      <c r="B24" s="15" t="s">
        <v>46</v>
      </c>
      <c r="C24" s="45">
        <v>0.44040000000000012</v>
      </c>
    </row>
    <row r="25" spans="1:3" ht="15" customHeight="1" x14ac:dyDescent="0.25">
      <c r="B25" s="15" t="s">
        <v>47</v>
      </c>
      <c r="C25" s="45">
        <v>0.33069999999999999</v>
      </c>
    </row>
    <row r="26" spans="1:3" ht="15" customHeight="1" x14ac:dyDescent="0.25">
      <c r="B26" s="15" t="s">
        <v>48</v>
      </c>
      <c r="C26" s="45">
        <v>8.7499999999999994E-2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0.26912377197565901</v>
      </c>
    </row>
    <row r="30" spans="1:3" ht="14.25" customHeight="1" x14ac:dyDescent="0.25">
      <c r="B30" s="25" t="s">
        <v>63</v>
      </c>
      <c r="C30" s="99">
        <v>4.10301351064883E-2</v>
      </c>
    </row>
    <row r="31" spans="1:3" ht="14.25" customHeight="1" x14ac:dyDescent="0.25">
      <c r="B31" s="25" t="s">
        <v>10</v>
      </c>
      <c r="C31" s="99">
        <v>6.6332842080041601E-2</v>
      </c>
    </row>
    <row r="32" spans="1:3" ht="14.25" customHeight="1" x14ac:dyDescent="0.25">
      <c r="B32" s="25" t="s">
        <v>11</v>
      </c>
      <c r="C32" s="99">
        <v>0.62351325083781095</v>
      </c>
    </row>
    <row r="33" spans="1:5" ht="13" customHeight="1" x14ac:dyDescent="0.25">
      <c r="B33" s="27" t="s">
        <v>60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29.927250000000001</v>
      </c>
    </row>
    <row r="38" spans="1:5" ht="15" customHeight="1" x14ac:dyDescent="0.25">
      <c r="B38" s="11" t="s">
        <v>35</v>
      </c>
      <c r="C38" s="43">
        <v>56.723050000000001</v>
      </c>
      <c r="D38" s="12"/>
      <c r="E38" s="13"/>
    </row>
    <row r="39" spans="1:5" ht="15" customHeight="1" x14ac:dyDescent="0.25">
      <c r="B39" s="11" t="s">
        <v>61</v>
      </c>
      <c r="C39" s="43">
        <v>76.040170000000003</v>
      </c>
      <c r="D39" s="12"/>
      <c r="E39" s="12"/>
    </row>
    <row r="40" spans="1:5" ht="15" customHeight="1" x14ac:dyDescent="0.25">
      <c r="B40" s="11" t="s">
        <v>36</v>
      </c>
      <c r="C40" s="100">
        <v>6.52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22.862100000000002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7.9130999999999993E-3</v>
      </c>
      <c r="D45" s="12"/>
    </row>
    <row r="46" spans="1:5" ht="15.75" customHeight="1" x14ac:dyDescent="0.25">
      <c r="B46" s="11" t="s">
        <v>51</v>
      </c>
      <c r="C46" s="45">
        <v>8.50249E-2</v>
      </c>
      <c r="D46" s="12"/>
    </row>
    <row r="47" spans="1:5" ht="15.75" customHeight="1" x14ac:dyDescent="0.25">
      <c r="B47" s="11" t="s">
        <v>59</v>
      </c>
      <c r="C47" s="45">
        <v>7.3475499999999999E-2</v>
      </c>
      <c r="D47" s="12"/>
      <c r="E47" s="13"/>
    </row>
    <row r="48" spans="1:5" ht="15" customHeight="1" x14ac:dyDescent="0.25">
      <c r="B48" s="11" t="s">
        <v>58</v>
      </c>
      <c r="C48" s="46">
        <v>0.83358650000000001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0.44132399999999999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0.14607059</v>
      </c>
    </row>
    <row r="63" spans="1:4" ht="15.75" customHeight="1" x14ac:dyDescent="0.3">
      <c r="A63" s="4"/>
    </row>
  </sheetData>
  <sheetProtection algorithmName="SHA-512" hashValue="Li+6DTedwSqfgWOAoRKxBl3FfOWXzxbpB1Jub+3P98Q1JTijXJRAt5TAjh356YnRbIZWlZyyQ62bg63WlZ/Iag==" saltValue="L9Z2sw6nNlBu+Qxy9apl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169153</v>
      </c>
      <c r="C2" s="49">
        <v>382821.00000000012</v>
      </c>
      <c r="D2" s="49">
        <v>472523.49999999988</v>
      </c>
      <c r="E2" s="49">
        <v>323920.5</v>
      </c>
      <c r="F2" s="49">
        <v>234066.5</v>
      </c>
      <c r="G2" s="17">
        <f t="shared" ref="G2:G13" si="0">C2+D2+E2+F2</f>
        <v>1413331.5</v>
      </c>
      <c r="H2" s="17">
        <f t="shared" ref="H2:H13" si="1">(B2 + stillbirth*B2/(1000-stillbirth))/(1-abortion)</f>
        <v>196716.67446510692</v>
      </c>
      <c r="I2" s="17">
        <f t="shared" ref="I2:I13" si="2">G2-H2</f>
        <v>1216614.8255348932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171399</v>
      </c>
      <c r="C3" s="50">
        <v>390611</v>
      </c>
      <c r="D3" s="50">
        <v>491532.5</v>
      </c>
      <c r="E3" s="50">
        <v>330684</v>
      </c>
      <c r="F3" s="50">
        <v>239174.5</v>
      </c>
      <c r="G3" s="17">
        <f t="shared" si="0"/>
        <v>1452002</v>
      </c>
      <c r="H3" s="17">
        <f t="shared" si="1"/>
        <v>199328.66272927384</v>
      </c>
      <c r="I3" s="17">
        <f t="shared" si="2"/>
        <v>1252673.3372707262</v>
      </c>
    </row>
    <row r="4" spans="1:9" ht="15.75" customHeight="1" x14ac:dyDescent="0.25">
      <c r="A4" s="5">
        <f t="shared" si="3"/>
        <v>2026</v>
      </c>
      <c r="B4" s="49">
        <v>173760</v>
      </c>
      <c r="C4" s="50">
        <v>397795.99999999988</v>
      </c>
      <c r="D4" s="50">
        <v>511237</v>
      </c>
      <c r="E4" s="50">
        <v>338550</v>
      </c>
      <c r="F4" s="50">
        <v>243178.5</v>
      </c>
      <c r="G4" s="17">
        <f t="shared" si="0"/>
        <v>1490761.5</v>
      </c>
      <c r="H4" s="17">
        <f t="shared" si="1"/>
        <v>202074.39037473159</v>
      </c>
      <c r="I4" s="17">
        <f t="shared" si="2"/>
        <v>1288687.1096252685</v>
      </c>
    </row>
    <row r="5" spans="1:9" ht="15.75" customHeight="1" x14ac:dyDescent="0.25">
      <c r="A5" s="5">
        <f t="shared" si="3"/>
        <v>2027</v>
      </c>
      <c r="B5" s="49">
        <v>175391</v>
      </c>
      <c r="C5" s="50">
        <v>404068</v>
      </c>
      <c r="D5" s="50">
        <v>531125</v>
      </c>
      <c r="E5" s="50">
        <v>347821</v>
      </c>
      <c r="F5" s="50">
        <v>246979</v>
      </c>
      <c r="G5" s="17">
        <f t="shared" si="0"/>
        <v>1529993</v>
      </c>
      <c r="H5" s="17">
        <f t="shared" si="1"/>
        <v>203971.16368677802</v>
      </c>
      <c r="I5" s="17">
        <f t="shared" si="2"/>
        <v>1326021.8363132221</v>
      </c>
    </row>
    <row r="6" spans="1:9" ht="15.75" customHeight="1" x14ac:dyDescent="0.25">
      <c r="A6" s="5">
        <f t="shared" si="3"/>
        <v>2028</v>
      </c>
      <c r="B6" s="49">
        <v>178075</v>
      </c>
      <c r="C6" s="50">
        <v>408664.99999999988</v>
      </c>
      <c r="D6" s="50">
        <v>550282</v>
      </c>
      <c r="E6" s="50">
        <v>358717.5</v>
      </c>
      <c r="F6" s="50">
        <v>250378</v>
      </c>
      <c r="G6" s="17">
        <f t="shared" si="0"/>
        <v>1568042.5</v>
      </c>
      <c r="H6" s="17">
        <f t="shared" si="1"/>
        <v>207092.52455099177</v>
      </c>
      <c r="I6" s="17">
        <f t="shared" si="2"/>
        <v>1360949.9754490082</v>
      </c>
    </row>
    <row r="7" spans="1:9" ht="15.75" customHeight="1" x14ac:dyDescent="0.25">
      <c r="A7" s="5">
        <f t="shared" si="3"/>
        <v>2029</v>
      </c>
      <c r="B7" s="49">
        <v>179087</v>
      </c>
      <c r="C7" s="50">
        <v>412270.5</v>
      </c>
      <c r="D7" s="50">
        <v>568148.5</v>
      </c>
      <c r="E7" s="50">
        <v>371268.5</v>
      </c>
      <c r="F7" s="50">
        <v>253421</v>
      </c>
      <c r="G7" s="17">
        <f t="shared" si="0"/>
        <v>1605108.5</v>
      </c>
      <c r="H7" s="17">
        <f t="shared" si="1"/>
        <v>208269.43110635105</v>
      </c>
      <c r="I7" s="17">
        <f t="shared" si="2"/>
        <v>1396839.0688936489</v>
      </c>
    </row>
    <row r="8" spans="1:9" ht="15.75" customHeight="1" x14ac:dyDescent="0.25">
      <c r="A8" s="5">
        <f t="shared" si="3"/>
        <v>2030</v>
      </c>
      <c r="B8" s="49">
        <v>181355</v>
      </c>
      <c r="C8" s="50">
        <v>415449.50000000012</v>
      </c>
      <c r="D8" s="50">
        <v>584742</v>
      </c>
      <c r="E8" s="50">
        <v>385327</v>
      </c>
      <c r="F8" s="50">
        <v>256292</v>
      </c>
      <c r="G8" s="17">
        <f t="shared" si="0"/>
        <v>1641810.5</v>
      </c>
      <c r="H8" s="17">
        <f t="shared" si="1"/>
        <v>210907.00429563448</v>
      </c>
      <c r="I8" s="17">
        <f t="shared" si="2"/>
        <v>1430903.4957043654</v>
      </c>
    </row>
    <row r="9" spans="1:9" ht="15.75" customHeight="1" x14ac:dyDescent="0.25">
      <c r="A9" s="5">
        <f t="shared" si="3"/>
        <v>2031</v>
      </c>
      <c r="B9" s="49">
        <v>182201</v>
      </c>
      <c r="C9" s="50">
        <v>418424.49999999988</v>
      </c>
      <c r="D9" s="50">
        <v>600198</v>
      </c>
      <c r="E9" s="50">
        <v>400597</v>
      </c>
      <c r="F9" s="50">
        <v>259297.5</v>
      </c>
      <c r="G9" s="17">
        <f t="shared" si="0"/>
        <v>1678517</v>
      </c>
      <c r="H9" s="17">
        <f t="shared" si="1"/>
        <v>211890.86096147832</v>
      </c>
      <c r="I9" s="17">
        <f t="shared" si="2"/>
        <v>1466626.1390385218</v>
      </c>
    </row>
    <row r="10" spans="1:9" ht="15.75" customHeight="1" x14ac:dyDescent="0.25">
      <c r="A10" s="5">
        <f t="shared" si="3"/>
        <v>2032</v>
      </c>
      <c r="B10" s="49">
        <v>183848</v>
      </c>
      <c r="C10" s="50">
        <v>420197.50000000012</v>
      </c>
      <c r="D10" s="50">
        <v>615657</v>
      </c>
      <c r="E10" s="50">
        <v>416837.5</v>
      </c>
      <c r="F10" s="50">
        <v>262673.5</v>
      </c>
      <c r="G10" s="17">
        <f t="shared" si="0"/>
        <v>1715365.5</v>
      </c>
      <c r="H10" s="17">
        <f t="shared" si="1"/>
        <v>213806.2414917913</v>
      </c>
      <c r="I10" s="17">
        <f t="shared" si="2"/>
        <v>1501559.2585082087</v>
      </c>
    </row>
    <row r="11" spans="1:9" ht="15.75" customHeight="1" x14ac:dyDescent="0.25">
      <c r="A11" s="5">
        <f t="shared" si="3"/>
        <v>2033</v>
      </c>
      <c r="B11" s="49">
        <v>185439</v>
      </c>
      <c r="C11" s="50">
        <v>421504.5</v>
      </c>
      <c r="D11" s="50">
        <v>630481.00000000012</v>
      </c>
      <c r="E11" s="50">
        <v>433871.5</v>
      </c>
      <c r="F11" s="50">
        <v>266074.5</v>
      </c>
      <c r="G11" s="17">
        <f t="shared" si="0"/>
        <v>1751931.5</v>
      </c>
      <c r="H11" s="17">
        <f t="shared" si="1"/>
        <v>215656.49675817136</v>
      </c>
      <c r="I11" s="17">
        <f t="shared" si="2"/>
        <v>1536275.0032418286</v>
      </c>
    </row>
    <row r="12" spans="1:9" ht="15.75" customHeight="1" x14ac:dyDescent="0.25">
      <c r="A12" s="5">
        <f t="shared" si="3"/>
        <v>2034</v>
      </c>
      <c r="B12" s="49">
        <v>186189</v>
      </c>
      <c r="C12" s="50">
        <v>423814.5</v>
      </c>
      <c r="D12" s="50">
        <v>642914</v>
      </c>
      <c r="E12" s="50">
        <v>451732.5</v>
      </c>
      <c r="F12" s="50">
        <v>270213.5</v>
      </c>
      <c r="G12" s="17">
        <f t="shared" si="0"/>
        <v>1788674.5</v>
      </c>
      <c r="H12" s="17">
        <f t="shared" si="1"/>
        <v>216528.71011441588</v>
      </c>
      <c r="I12" s="17">
        <f t="shared" si="2"/>
        <v>1572145.789885584</v>
      </c>
    </row>
    <row r="13" spans="1:9" ht="15.75" customHeight="1" x14ac:dyDescent="0.25">
      <c r="A13" s="5">
        <f t="shared" si="3"/>
        <v>2035</v>
      </c>
      <c r="B13" s="49">
        <v>187959</v>
      </c>
      <c r="C13" s="50">
        <v>426969.5</v>
      </c>
      <c r="D13" s="50">
        <v>652854.5</v>
      </c>
      <c r="E13" s="50">
        <v>470486.5</v>
      </c>
      <c r="F13" s="50">
        <v>275574.5</v>
      </c>
      <c r="G13" s="17">
        <f t="shared" si="0"/>
        <v>1825885</v>
      </c>
      <c r="H13" s="17">
        <f t="shared" si="1"/>
        <v>218587.13363515295</v>
      </c>
      <c r="I13" s="17">
        <f t="shared" si="2"/>
        <v>1607297.8663648469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7xMvdwQFiRC+C5phwz8LpVruFWyvZENxELed1/mZXqaa7QtE1Q9AfrQeVSONmMv+DAT5CsxTv0DXcUBcJYcaQ==" saltValue="eVjyykueVKELV6lE2A957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2.0916002091600189E-2</v>
      </c>
    </row>
    <row r="4" spans="1:8" ht="15.75" customHeight="1" x14ac:dyDescent="0.25">
      <c r="B4" s="19" t="s">
        <v>97</v>
      </c>
      <c r="C4" s="101">
        <v>6.5774706577470685E-2</v>
      </c>
    </row>
    <row r="5" spans="1:8" ht="15.75" customHeight="1" x14ac:dyDescent="0.25">
      <c r="B5" s="19" t="s">
        <v>95</v>
      </c>
      <c r="C5" s="101">
        <v>9.6632509663250973E-2</v>
      </c>
    </row>
    <row r="6" spans="1:8" ht="15.75" customHeight="1" x14ac:dyDescent="0.25">
      <c r="B6" s="19" t="s">
        <v>91</v>
      </c>
      <c r="C6" s="101">
        <v>0.25245662524566231</v>
      </c>
    </row>
    <row r="7" spans="1:8" ht="15.75" customHeight="1" x14ac:dyDescent="0.25">
      <c r="B7" s="19" t="s">
        <v>96</v>
      </c>
      <c r="C7" s="101">
        <v>0.39333373933337429</v>
      </c>
    </row>
    <row r="8" spans="1:8" ht="15.75" customHeight="1" x14ac:dyDescent="0.25">
      <c r="B8" s="19" t="s">
        <v>98</v>
      </c>
      <c r="C8" s="101">
        <v>3.4550003455000359E-3</v>
      </c>
    </row>
    <row r="9" spans="1:8" ht="15.75" customHeight="1" x14ac:dyDescent="0.25">
      <c r="B9" s="19" t="s">
        <v>92</v>
      </c>
      <c r="C9" s="101">
        <v>5.8309405830940547E-2</v>
      </c>
    </row>
    <row r="10" spans="1:8" ht="15.75" customHeight="1" x14ac:dyDescent="0.25">
      <c r="B10" s="19" t="s">
        <v>94</v>
      </c>
      <c r="C10" s="101">
        <v>0.1091220109122009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9.2706938129159491E-2</v>
      </c>
      <c r="D14" s="55">
        <v>9.2706938129159491E-2</v>
      </c>
      <c r="E14" s="55">
        <v>9.2706938129159491E-2</v>
      </c>
      <c r="F14" s="55">
        <v>9.2706938129159491E-2</v>
      </c>
    </row>
    <row r="15" spans="1:8" ht="15.75" customHeight="1" x14ac:dyDescent="0.25">
      <c r="B15" s="19" t="s">
        <v>102</v>
      </c>
      <c r="C15" s="101">
        <v>0.1345887809257377</v>
      </c>
      <c r="D15" s="101">
        <v>0.1345887809257377</v>
      </c>
      <c r="E15" s="101">
        <v>0.1345887809257377</v>
      </c>
      <c r="F15" s="101">
        <v>0.1345887809257377</v>
      </c>
    </row>
    <row r="16" spans="1:8" ht="15.75" customHeight="1" x14ac:dyDescent="0.25">
      <c r="B16" s="19" t="s">
        <v>2</v>
      </c>
      <c r="C16" s="101">
        <v>1.8017639370382608E-2</v>
      </c>
      <c r="D16" s="101">
        <v>1.8017639370382608E-2</v>
      </c>
      <c r="E16" s="101">
        <v>1.8017639370382608E-2</v>
      </c>
      <c r="F16" s="101">
        <v>1.8017639370382608E-2</v>
      </c>
    </row>
    <row r="17" spans="1:8" ht="15.75" customHeight="1" x14ac:dyDescent="0.25">
      <c r="B17" s="19" t="s">
        <v>90</v>
      </c>
      <c r="C17" s="101">
        <v>0.2417018345573996</v>
      </c>
      <c r="D17" s="101">
        <v>0.2417018345573996</v>
      </c>
      <c r="E17" s="101">
        <v>0.2417018345573996</v>
      </c>
      <c r="F17" s="101">
        <v>0.2417018345573996</v>
      </c>
    </row>
    <row r="18" spans="1:8" ht="15.75" customHeight="1" x14ac:dyDescent="0.25">
      <c r="B18" s="19" t="s">
        <v>3</v>
      </c>
      <c r="C18" s="101">
        <v>0.33724276611699389</v>
      </c>
      <c r="D18" s="101">
        <v>0.33724276611699389</v>
      </c>
      <c r="E18" s="101">
        <v>0.33724276611699389</v>
      </c>
      <c r="F18" s="101">
        <v>0.33724276611699389</v>
      </c>
    </row>
    <row r="19" spans="1:8" ht="15.75" customHeight="1" x14ac:dyDescent="0.25">
      <c r="B19" s="19" t="s">
        <v>101</v>
      </c>
      <c r="C19" s="101">
        <v>1.3011294343433301E-2</v>
      </c>
      <c r="D19" s="101">
        <v>1.3011294343433301E-2</v>
      </c>
      <c r="E19" s="101">
        <v>1.3011294343433301E-2</v>
      </c>
      <c r="F19" s="101">
        <v>1.3011294343433301E-2</v>
      </c>
    </row>
    <row r="20" spans="1:8" ht="15.75" customHeight="1" x14ac:dyDescent="0.25">
      <c r="B20" s="19" t="s">
        <v>79</v>
      </c>
      <c r="C20" s="101">
        <v>1.8809148277049541E-2</v>
      </c>
      <c r="D20" s="101">
        <v>1.8809148277049541E-2</v>
      </c>
      <c r="E20" s="101">
        <v>1.8809148277049541E-2</v>
      </c>
      <c r="F20" s="101">
        <v>1.8809148277049541E-2</v>
      </c>
    </row>
    <row r="21" spans="1:8" ht="15.75" customHeight="1" x14ac:dyDescent="0.25">
      <c r="B21" s="19" t="s">
        <v>88</v>
      </c>
      <c r="C21" s="101">
        <v>5.8069678944985201E-2</v>
      </c>
      <c r="D21" s="101">
        <v>5.8069678944985201E-2</v>
      </c>
      <c r="E21" s="101">
        <v>5.8069678944985201E-2</v>
      </c>
      <c r="F21" s="101">
        <v>5.8069678944985201E-2</v>
      </c>
    </row>
    <row r="22" spans="1:8" ht="15.75" customHeight="1" x14ac:dyDescent="0.25">
      <c r="B22" s="19" t="s">
        <v>99</v>
      </c>
      <c r="C22" s="101">
        <v>8.585191933485864E-2</v>
      </c>
      <c r="D22" s="101">
        <v>8.585191933485864E-2</v>
      </c>
      <c r="E22" s="101">
        <v>8.585191933485864E-2</v>
      </c>
      <c r="F22" s="101">
        <v>8.585191933485864E-2</v>
      </c>
    </row>
    <row r="23" spans="1:8" ht="15.75" customHeight="1" x14ac:dyDescent="0.25">
      <c r="B23" s="27" t="s">
        <v>60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8.7635818000000004E-2</v>
      </c>
    </row>
    <row r="27" spans="1:8" ht="15.75" customHeight="1" x14ac:dyDescent="0.25">
      <c r="B27" s="19" t="s">
        <v>89</v>
      </c>
      <c r="C27" s="101">
        <v>8.6621349999999996E-3</v>
      </c>
    </row>
    <row r="28" spans="1:8" ht="15.75" customHeight="1" x14ac:dyDescent="0.25">
      <c r="B28" s="19" t="s">
        <v>103</v>
      </c>
      <c r="C28" s="101">
        <v>0.15441808500000001</v>
      </c>
    </row>
    <row r="29" spans="1:8" ht="15.75" customHeight="1" x14ac:dyDescent="0.25">
      <c r="B29" s="19" t="s">
        <v>86</v>
      </c>
      <c r="C29" s="101">
        <v>0.167759189</v>
      </c>
    </row>
    <row r="30" spans="1:8" ht="15.75" customHeight="1" x14ac:dyDescent="0.25">
      <c r="B30" s="19" t="s">
        <v>4</v>
      </c>
      <c r="C30" s="101">
        <v>0.10583751800000001</v>
      </c>
    </row>
    <row r="31" spans="1:8" ht="15.75" customHeight="1" x14ac:dyDescent="0.25">
      <c r="B31" s="19" t="s">
        <v>80</v>
      </c>
      <c r="C31" s="101">
        <v>0.109709026</v>
      </c>
    </row>
    <row r="32" spans="1:8" ht="15.75" customHeight="1" x14ac:dyDescent="0.25">
      <c r="B32" s="19" t="s">
        <v>85</v>
      </c>
      <c r="C32" s="101">
        <v>1.8596574000000001E-2</v>
      </c>
    </row>
    <row r="33" spans="2:3" ht="15.75" customHeight="1" x14ac:dyDescent="0.25">
      <c r="B33" s="19" t="s">
        <v>100</v>
      </c>
      <c r="C33" s="101">
        <v>8.3747772999999998E-2</v>
      </c>
    </row>
    <row r="34" spans="2:3" ht="15.75" customHeight="1" x14ac:dyDescent="0.25">
      <c r="B34" s="19" t="s">
        <v>87</v>
      </c>
      <c r="C34" s="101">
        <v>0.26363388300000001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47+axdHoVIziNxGleG1c3kCWAv4xDubNdjWX2LlZ3ZsvrRfnaTJgQy+4xKorDLqlkAhZFaGqT5Kxoj/NkyNE4w==" saltValue="7N7Zdv+dJYugpg+3+EXgW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0.42176252158510186</v>
      </c>
      <c r="D2" s="52">
        <f>IFERROR(1-_xlfn.NORM.DIST(_xlfn.NORM.INV(SUM(D4:D5), 0, 1) + 1, 0, 1, TRUE), "")</f>
        <v>0.42176252158510186</v>
      </c>
      <c r="E2" s="52">
        <f>IFERROR(1-_xlfn.NORM.DIST(_xlfn.NORM.INV(SUM(E4:E5), 0, 1) + 1, 0, 1, TRUE), "")</f>
        <v>0.46852623488852618</v>
      </c>
      <c r="F2" s="52">
        <f>IFERROR(1-_xlfn.NORM.DIST(_xlfn.NORM.INV(SUM(F4:F5), 0, 1) + 1, 0, 1, TRUE), "")</f>
        <v>0.32537675126277632</v>
      </c>
      <c r="G2" s="52">
        <f>IFERROR(1-_xlfn.NORM.DIST(_xlfn.NORM.INV(SUM(G4:G5), 0, 1) + 1, 0, 1, TRUE), "")</f>
        <v>0.2805763942323688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0.36713837841489816</v>
      </c>
      <c r="D3" s="52">
        <f>IFERROR(_xlfn.NORM.DIST(_xlfn.NORM.INV(SUM(D4:D5), 0, 1) + 1, 0, 1, TRUE) - SUM(D4:D5), "")</f>
        <v>0.36713837841489816</v>
      </c>
      <c r="E3" s="52">
        <f>IFERROR(_xlfn.NORM.DIST(_xlfn.NORM.INV(SUM(E4:E5), 0, 1) + 1, 0, 1, TRUE) - SUM(E4:E5), "")</f>
        <v>0.35295506511147379</v>
      </c>
      <c r="F3" s="52">
        <f>IFERROR(_xlfn.NORM.DIST(_xlfn.NORM.INV(SUM(F4:F5), 0, 1) + 1, 0, 1, TRUE) - SUM(F4:F5), "")</f>
        <v>0.38253154873722367</v>
      </c>
      <c r="G3" s="52">
        <f>IFERROR(_xlfn.NORM.DIST(_xlfn.NORM.INV(SUM(G4:G5), 0, 1) + 1, 0, 1, TRUE) - SUM(G4:G5), "")</f>
        <v>0.3817680057676312</v>
      </c>
    </row>
    <row r="4" spans="1:15" ht="15.75" customHeight="1" x14ac:dyDescent="0.25">
      <c r="B4" s="5" t="s">
        <v>110</v>
      </c>
      <c r="C4" s="45">
        <v>0.1787648</v>
      </c>
      <c r="D4" s="53">
        <v>0.1787648</v>
      </c>
      <c r="E4" s="53">
        <v>0.122308</v>
      </c>
      <c r="F4" s="53">
        <v>0.2067544</v>
      </c>
      <c r="G4" s="53">
        <v>0.21243629999999999</v>
      </c>
    </row>
    <row r="5" spans="1:15" ht="15.75" customHeight="1" x14ac:dyDescent="0.25">
      <c r="B5" s="5" t="s">
        <v>106</v>
      </c>
      <c r="C5" s="45">
        <v>3.2334300000000003E-2</v>
      </c>
      <c r="D5" s="53">
        <v>3.2334300000000003E-2</v>
      </c>
      <c r="E5" s="53">
        <v>5.6210700000000002E-2</v>
      </c>
      <c r="F5" s="53">
        <v>8.5337300000000005E-2</v>
      </c>
      <c r="G5" s="53">
        <v>0.12521930000000001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0.81251844812205365</v>
      </c>
      <c r="D8" s="52">
        <f>IFERROR(1-_xlfn.NORM.DIST(_xlfn.NORM.INV(SUM(D10:D11), 0, 1) + 1, 0, 1, TRUE), "")</f>
        <v>0.81251844812205365</v>
      </c>
      <c r="E8" s="52">
        <f>IFERROR(1-_xlfn.NORM.DIST(_xlfn.NORM.INV(SUM(E10:E11), 0, 1) + 1, 0, 1, TRUE), "")</f>
        <v>0.68966781197978855</v>
      </c>
      <c r="F8" s="52">
        <f>IFERROR(1-_xlfn.NORM.DIST(_xlfn.NORM.INV(SUM(F10:F11), 0, 1) + 1, 0, 1, TRUE), "")</f>
        <v>0.71071162649463626</v>
      </c>
      <c r="G8" s="52">
        <f>IFERROR(1-_xlfn.NORM.DIST(_xlfn.NORM.INV(SUM(G10:G11), 0, 1) + 1, 0, 1, TRUE), "")</f>
        <v>0.85889993172838319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0.15791585187794632</v>
      </c>
      <c r="D9" s="52">
        <f>IFERROR(_xlfn.NORM.DIST(_xlfn.NORM.INV(SUM(D10:D11), 0, 1) + 1, 0, 1, TRUE) - SUM(D10:D11), "")</f>
        <v>0.15791585187794632</v>
      </c>
      <c r="E9" s="52">
        <f>IFERROR(_xlfn.NORM.DIST(_xlfn.NORM.INV(SUM(E10:E11), 0, 1) + 1, 0, 1, TRUE) - SUM(E10:E11), "")</f>
        <v>0.24286308802021145</v>
      </c>
      <c r="F9" s="52">
        <f>IFERROR(_xlfn.NORM.DIST(_xlfn.NORM.INV(SUM(F10:F11), 0, 1) + 1, 0, 1, TRUE) - SUM(F10:F11), "")</f>
        <v>0.22937067350536375</v>
      </c>
      <c r="G9" s="52">
        <f>IFERROR(_xlfn.NORM.DIST(_xlfn.NORM.INV(SUM(G10:G11), 0, 1) + 1, 0, 1, TRUE) - SUM(G10:G11), "")</f>
        <v>0.12212486827161681</v>
      </c>
    </row>
    <row r="10" spans="1:15" ht="15.75" customHeight="1" x14ac:dyDescent="0.25">
      <c r="B10" s="5" t="s">
        <v>107</v>
      </c>
      <c r="C10" s="45">
        <v>2.4425599999999999E-2</v>
      </c>
      <c r="D10" s="53">
        <v>2.4425599999999999E-2</v>
      </c>
      <c r="E10" s="53">
        <v>5.5061499999999999E-2</v>
      </c>
      <c r="F10" s="53">
        <v>4.9736099999999998E-2</v>
      </c>
      <c r="G10" s="53">
        <v>1.7181100000000001E-2</v>
      </c>
    </row>
    <row r="11" spans="1:15" ht="15.75" customHeight="1" x14ac:dyDescent="0.25">
      <c r="B11" s="5" t="s">
        <v>119</v>
      </c>
      <c r="C11" s="45">
        <v>5.1400999999999999E-3</v>
      </c>
      <c r="D11" s="53">
        <v>5.1400999999999999E-3</v>
      </c>
      <c r="E11" s="53">
        <v>1.24076E-2</v>
      </c>
      <c r="F11" s="53">
        <v>1.0181600000000001E-2</v>
      </c>
      <c r="G11" s="53">
        <v>1.7941000000000001E-3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0.82655271499999994</v>
      </c>
      <c r="D14" s="54">
        <v>0.80329964035300006</v>
      </c>
      <c r="E14" s="54">
        <v>0.80329964035300006</v>
      </c>
      <c r="F14" s="54">
        <v>0.753420550957</v>
      </c>
      <c r="G14" s="54">
        <v>0.753420550957</v>
      </c>
      <c r="H14" s="45">
        <v>0.377</v>
      </c>
      <c r="I14" s="55">
        <v>0.377</v>
      </c>
      <c r="J14" s="55">
        <v>0.377</v>
      </c>
      <c r="K14" s="55">
        <v>0.377</v>
      </c>
      <c r="L14" s="45">
        <v>0.34399999999999997</v>
      </c>
      <c r="M14" s="55">
        <v>0.34399999999999997</v>
      </c>
      <c r="N14" s="55">
        <v>0.34399999999999997</v>
      </c>
      <c r="O14" s="55">
        <v>0.34399999999999997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0.36477755039465998</v>
      </c>
      <c r="D15" s="52">
        <f t="shared" si="0"/>
        <v>0.35451541047914742</v>
      </c>
      <c r="E15" s="52">
        <f t="shared" si="0"/>
        <v>0.35451541047914742</v>
      </c>
      <c r="F15" s="52">
        <f t="shared" si="0"/>
        <v>0.33250257123054705</v>
      </c>
      <c r="G15" s="52">
        <f t="shared" si="0"/>
        <v>0.33250257123054705</v>
      </c>
      <c r="H15" s="52">
        <f t="shared" si="0"/>
        <v>0.166379148</v>
      </c>
      <c r="I15" s="52">
        <f t="shared" si="0"/>
        <v>0.166379148</v>
      </c>
      <c r="J15" s="52">
        <f t="shared" si="0"/>
        <v>0.166379148</v>
      </c>
      <c r="K15" s="52">
        <f t="shared" si="0"/>
        <v>0.166379148</v>
      </c>
      <c r="L15" s="52">
        <f t="shared" si="0"/>
        <v>0.15181545599999999</v>
      </c>
      <c r="M15" s="52">
        <f t="shared" si="0"/>
        <v>0.15181545599999999</v>
      </c>
      <c r="N15" s="52">
        <f t="shared" si="0"/>
        <v>0.15181545599999999</v>
      </c>
      <c r="O15" s="52">
        <f t="shared" si="0"/>
        <v>0.15181545599999999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0PrVqvzwOYRl3XaYx+LjklaXwBb3ms1Yso41epduWyIpJYcegh5pTX9F3LPK9VK0FJIkvMp6i9WFe48WZVAvkg==" saltValue="/9TatnvBtm0v9DJyca1v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0.72640950000000004</v>
      </c>
      <c r="D2" s="53">
        <v>0.51254100000000002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0.19447390000000001</v>
      </c>
      <c r="D3" s="53">
        <v>0.24950230000000001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5.7415900000000013E-2</v>
      </c>
      <c r="D4" s="53">
        <v>0.17059009999999999</v>
      </c>
      <c r="E4" s="53">
        <v>0.93401460000000003</v>
      </c>
      <c r="F4" s="53">
        <v>0.67999700000000007</v>
      </c>
      <c r="G4" s="53">
        <v>0</v>
      </c>
    </row>
    <row r="5" spans="1:7" x14ac:dyDescent="0.25">
      <c r="B5" s="3" t="s">
        <v>125</v>
      </c>
      <c r="C5" s="52">
        <v>2.17007E-2</v>
      </c>
      <c r="D5" s="52">
        <v>6.7366499999999996E-2</v>
      </c>
      <c r="E5" s="52">
        <f>1-SUM(E2:E4)</f>
        <v>6.5985399999999972E-2</v>
      </c>
      <c r="F5" s="52">
        <f>1-SUM(F2:F4)</f>
        <v>0.32000299999999993</v>
      </c>
      <c r="G5" s="52">
        <f>1-SUM(G2:G4)</f>
        <v>1</v>
      </c>
    </row>
  </sheetData>
  <sheetProtection algorithmName="SHA-512" hashValue="oq5i0lMmZ9wWrSfEBptPZuMl5AyUE1qk+g0Kd5CaaAFkjaAzv0fhKrPDyxx4YIpy2g500yFGqfqn35/KbsDfPw==" saltValue="Si2vVXwWGqlBwPX50QhRr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2zLrvcvqpDt6+BjZf0gsERDUOtRBgBRDZpG3gjOpDTLXEQB9/KK4ag+q3BfYWIrHLaGWW2cTabqy27XbKHtYOg==" saltValue="f8rj7RaKOtwJ9p0YDirAn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ht="13.25" customHeight="1" x14ac:dyDescent="0.25">
      <c r="A2" s="8" t="s">
        <v>144</v>
      </c>
      <c r="B2" s="41">
        <v>10</v>
      </c>
    </row>
    <row r="3" spans="1:2" ht="13.25" customHeight="1" x14ac:dyDescent="0.25">
      <c r="A3" s="8" t="s">
        <v>143</v>
      </c>
      <c r="B3" s="41">
        <v>10</v>
      </c>
    </row>
    <row r="4" spans="1:2" ht="13.25" customHeight="1" x14ac:dyDescent="0.25">
      <c r="A4" s="8" t="s">
        <v>142</v>
      </c>
      <c r="B4" s="41">
        <v>10</v>
      </c>
    </row>
    <row r="5" spans="1:2" ht="13.25" customHeight="1" x14ac:dyDescent="0.25">
      <c r="A5" s="8" t="s">
        <v>146</v>
      </c>
      <c r="B5" s="41">
        <v>10</v>
      </c>
    </row>
    <row r="6" spans="1:2" ht="13.25" customHeight="1" x14ac:dyDescent="0.25">
      <c r="A6" s="8" t="s">
        <v>140</v>
      </c>
      <c r="B6" s="41">
        <v>10</v>
      </c>
    </row>
    <row r="7" spans="1:2" ht="13.25" customHeight="1" x14ac:dyDescent="0.25">
      <c r="A7" s="8" t="s">
        <v>141</v>
      </c>
      <c r="B7" s="41">
        <v>10</v>
      </c>
    </row>
  </sheetData>
  <sheetProtection algorithmName="SHA-512" hashValue="SmkzyQcU1PDzIJ6HQ4sd2wp65grBszmn1uICGxZKWvO297zK92QvXyWANM3hPnMwHcgrX6u/qzdYalFEjPE7qg==" saltValue="rJiY5NwQ1GboSdMmrSlyx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78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74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5B6hugGVUlm7//E9xd20VD3g8YT2Ctm+eLk4Qrnt/gXRQ6NtSOnFBXNaEj7yAQQBTDrziptTprKOOiCZ/MaKqA==" saltValue="SctETQoArxFhEqL3Al+E9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jyc7ZOh2aZbdffQnyW4LyEJxyd9Z1UzsvZOgWVyruWcOeJiyydJvHEOlf/n2AayGEWiK1enyTXh22qEyDo3zIA==" saltValue="UG2P6GYB+3mIlyqrdx+Oj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65.60734264525216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19.75203299904819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7.2861200073283072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0.20940006975754699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0.19283527130965261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1.812651550310735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0.5</v>
      </c>
      <c r="C9" s="98">
        <v>0.95</v>
      </c>
      <c r="D9" s="56">
        <v>0.73277403097668004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0.42978100000000002</v>
      </c>
      <c r="C10" s="98">
        <v>0.95</v>
      </c>
      <c r="D10" s="56">
        <v>15.01507229777283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15.01507229777283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15.01507229777283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15.01507229777283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0.42978100000000002</v>
      </c>
      <c r="C14" s="98">
        <v>0.95</v>
      </c>
      <c r="D14" s="56">
        <v>15.01507229777283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15.01507229777283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0.69226200000000004</v>
      </c>
      <c r="C16" s="98">
        <v>0.95</v>
      </c>
      <c r="D16" s="56">
        <v>2.503642449664842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0.157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0.39400000000000002</v>
      </c>
      <c r="C18" s="98">
        <v>0.95</v>
      </c>
      <c r="D18" s="56">
        <v>7.2861200073283072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0.51254100000000002</v>
      </c>
      <c r="C19" s="98">
        <v>0.95</v>
      </c>
      <c r="D19" s="56">
        <v>7.2861200073283072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</v>
      </c>
      <c r="C21" s="98">
        <v>0.95</v>
      </c>
      <c r="D21" s="56">
        <v>7.4846345450640612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25.571599410358289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0.53483530000000001</v>
      </c>
      <c r="C23" s="98">
        <v>0.95</v>
      </c>
      <c r="D23" s="56">
        <v>4.9100556870350216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0.57084762680907997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0.42978100000000002</v>
      </c>
      <c r="C26" s="98">
        <v>0.95</v>
      </c>
      <c r="D26" s="56">
        <v>3.4665816434934871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13.803307962555669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0.54128999999999994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8.6074300000000006E-2</v>
      </c>
      <c r="C29" s="98">
        <v>0.95</v>
      </c>
      <c r="D29" s="56">
        <v>88.005851455993124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0.15140000000000001</v>
      </c>
      <c r="C31" s="98">
        <v>0.95</v>
      </c>
      <c r="D31" s="56">
        <v>180.94215297303569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0.5</v>
      </c>
      <c r="C32" s="98">
        <v>0.95</v>
      </c>
      <c r="D32" s="56">
        <v>0.65266805708153031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3.4401899999999999E-2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0.1875019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1.9946800000000001E-2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5.4970400000000003E-2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0.2335767</v>
      </c>
      <c r="C38" s="98">
        <v>0.95</v>
      </c>
      <c r="D38" s="56">
        <v>2.4488574538288082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3.4277904548683669</v>
      </c>
      <c r="E39" s="56" t="s">
        <v>183</v>
      </c>
      <c r="F39" s="98">
        <v>1</v>
      </c>
      <c r="G39" s="98">
        <v>1</v>
      </c>
    </row>
  </sheetData>
  <sheetProtection algorithmName="SHA-512" hashValue="LxcbZnZ5lAXL9kaRQPvMs08yJ89R4gObNFAukOHFYA36SxVd1NvJE5Ut1/YjtMLwHEQKrJDRX4VBxNJwOxKD6A==" saltValue="tU+u0SGWuHv0Ywt7tZfb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ht="13.25" customHeight="1" x14ac:dyDescent="0.25">
      <c r="A2" s="57" t="s">
        <v>178</v>
      </c>
      <c r="B2" s="47" t="s">
        <v>191</v>
      </c>
      <c r="C2" s="47"/>
    </row>
    <row r="3" spans="1:3" ht="13.25" customHeight="1" x14ac:dyDescent="0.25">
      <c r="A3" s="57" t="s">
        <v>179</v>
      </c>
      <c r="B3" s="47" t="s">
        <v>191</v>
      </c>
      <c r="C3" s="47"/>
    </row>
    <row r="4" spans="1:3" ht="13.25" customHeight="1" x14ac:dyDescent="0.25">
      <c r="A4" s="57" t="s">
        <v>193</v>
      </c>
      <c r="B4" s="47" t="s">
        <v>184</v>
      </c>
      <c r="C4" s="47"/>
    </row>
    <row r="5" spans="1:3" ht="13.25" customHeight="1" x14ac:dyDescent="0.25">
      <c r="A5" s="57" t="s">
        <v>190</v>
      </c>
      <c r="B5" s="47" t="s">
        <v>184</v>
      </c>
      <c r="C5" s="47"/>
    </row>
    <row r="6" spans="1:3" ht="13.25" customHeight="1" x14ac:dyDescent="0.25">
      <c r="A6" s="57" t="s">
        <v>193</v>
      </c>
      <c r="B6" s="58" t="s">
        <v>204</v>
      </c>
      <c r="C6" s="58"/>
    </row>
    <row r="7" spans="1:3" ht="13.25" customHeight="1" x14ac:dyDescent="0.25">
      <c r="A7" s="57" t="s">
        <v>190</v>
      </c>
      <c r="B7" s="58" t="s">
        <v>204</v>
      </c>
      <c r="C7" s="58"/>
    </row>
    <row r="8" spans="1:3" ht="13.25" customHeight="1" x14ac:dyDescent="0.25">
      <c r="A8" s="57" t="s">
        <v>203</v>
      </c>
      <c r="B8" s="58" t="s">
        <v>204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/MliuaTLCH2mBNj6FCGIgUw/Rojt0xEQlvZr/6sOw4LXQaXoYm6x4EBj5pKjRuiVGDLcI2yW9hmwHcousWG1GQ==" saltValue="zTc10bfQffRkcJyoLjwWs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ht="13.25" customHeight="1" x14ac:dyDescent="0.25">
      <c r="A2" s="33" t="s">
        <v>170</v>
      </c>
    </row>
    <row r="3" spans="1:1" ht="13.25" customHeight="1" x14ac:dyDescent="0.25">
      <c r="A3" s="33" t="s">
        <v>180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197</v>
      </c>
    </row>
    <row r="6" spans="1:1" ht="13.25" customHeight="1" x14ac:dyDescent="0.25">
      <c r="A6" s="33" t="s">
        <v>198</v>
      </c>
    </row>
    <row r="7" spans="1:1" ht="13.25" customHeight="1" x14ac:dyDescent="0.25">
      <c r="A7" s="33" t="s">
        <v>199</v>
      </c>
    </row>
    <row r="8" spans="1:1" ht="13.25" customHeight="1" x14ac:dyDescent="0.25">
      <c r="A8" s="33" t="s">
        <v>200</v>
      </c>
    </row>
    <row r="9" spans="1:1" ht="13.25" customHeight="1" x14ac:dyDescent="0.25">
      <c r="A9" s="33" t="s">
        <v>201</v>
      </c>
    </row>
    <row r="10" spans="1:1" ht="13.25" customHeight="1" x14ac:dyDescent="0.25">
      <c r="A10" s="33" t="s">
        <v>164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gpVK4HXiMcv2hCc8YVfCRvayN2z/ZlqMfQCA2H+9U2WkBOBfpeZKqB0Uvvvg9M5w7AWn65nWQ7VP6kHTVjcEtQ==" saltValue="HvtFZgtEEIZ6gBNvey1iR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6.3506560000000004E-2</v>
      </c>
      <c r="C3" s="21">
        <f>frac_mam_1_5months * 2.6</f>
        <v>6.3506560000000004E-2</v>
      </c>
      <c r="D3" s="21">
        <f>frac_mam_6_11months * 2.6</f>
        <v>0.14315990000000001</v>
      </c>
      <c r="E3" s="21">
        <f>frac_mam_12_23months * 2.6</f>
        <v>0.12931386</v>
      </c>
      <c r="F3" s="21">
        <f>frac_mam_24_59months * 2.6</f>
        <v>4.4670860000000007E-2</v>
      </c>
    </row>
    <row r="4" spans="1:6" ht="15.75" customHeight="1" x14ac:dyDescent="0.25">
      <c r="A4" s="3" t="s">
        <v>207</v>
      </c>
      <c r="B4" s="21">
        <f>frac_sam_1month * 2.6</f>
        <v>1.3364259999999999E-2</v>
      </c>
      <c r="C4" s="21">
        <f>frac_sam_1_5months * 2.6</f>
        <v>1.3364259999999999E-2</v>
      </c>
      <c r="D4" s="21">
        <f>frac_sam_6_11months * 2.6</f>
        <v>3.2259759999999998E-2</v>
      </c>
      <c r="E4" s="21">
        <f>frac_sam_12_23months * 2.6</f>
        <v>2.6472160000000002E-2</v>
      </c>
      <c r="F4" s="21">
        <f>frac_sam_24_59months * 2.6</f>
        <v>4.6646600000000002E-3</v>
      </c>
    </row>
  </sheetData>
  <sheetProtection algorithmName="SHA-512" hashValue="9peso8Ajn0By9zc4gB1/R/70iG2Zr3sq92vnYU4z+bcVWbiuKh51Km7/+IHoIxizPPYRLaWEcLWTK6RWnwdayw==" saltValue="6giKmViKFX2iE55cOSDE9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0.40899999999999997</v>
      </c>
      <c r="E2" s="60">
        <f>food_insecure</f>
        <v>0.40899999999999997</v>
      </c>
      <c r="F2" s="60">
        <f>food_insecure</f>
        <v>0.40899999999999997</v>
      </c>
      <c r="G2" s="60">
        <f>food_insecure</f>
        <v>0.40899999999999997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0.40899999999999997</v>
      </c>
      <c r="F5" s="60">
        <f>food_insecure</f>
        <v>0.40899999999999997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0.40899999999999997</v>
      </c>
      <c r="F8" s="60">
        <f>food_insecure</f>
        <v>0.40899999999999997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0.40899999999999997</v>
      </c>
      <c r="F9" s="60">
        <f>food_insecure</f>
        <v>0.40899999999999997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0.40899999999999997</v>
      </c>
      <c r="I15" s="60">
        <f>food_insecure</f>
        <v>0.40899999999999997</v>
      </c>
      <c r="J15" s="60">
        <f>food_insecure</f>
        <v>0.40899999999999997</v>
      </c>
      <c r="K15" s="60">
        <f>food_insecure</f>
        <v>0.40899999999999997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0.628</v>
      </c>
      <c r="M24" s="60">
        <f>famplan_unmet_need</f>
        <v>0.628</v>
      </c>
      <c r="N24" s="60">
        <f>famplan_unmet_need</f>
        <v>0.628</v>
      </c>
      <c r="O24" s="60">
        <f>famplan_unmet_need</f>
        <v>0.628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0.49250037821645715</v>
      </c>
      <c r="M25" s="60">
        <f>(1-food_insecure)*(0.49)+food_insecure*(0.7)</f>
        <v>0.5758899999999999</v>
      </c>
      <c r="N25" s="60">
        <f>(1-food_insecure)*(0.49)+food_insecure*(0.7)</f>
        <v>0.5758899999999999</v>
      </c>
      <c r="O25" s="60">
        <f>(1-food_insecure)*(0.49)+food_insecure*(0.7)</f>
        <v>0.5758899999999999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0.21107159066419592</v>
      </c>
      <c r="M26" s="60">
        <f>(1-food_insecure)*(0.21)+food_insecure*(0.3)</f>
        <v>0.24680999999999997</v>
      </c>
      <c r="N26" s="60">
        <f>(1-food_insecure)*(0.21)+food_insecure*(0.3)</f>
        <v>0.24680999999999997</v>
      </c>
      <c r="O26" s="60">
        <f>(1-food_insecure)*(0.21)+food_insecure*(0.3)</f>
        <v>0.24680999999999997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0.1516267291631698</v>
      </c>
      <c r="M27" s="60">
        <f>(1-food_insecure)*(0.3)</f>
        <v>0.17729999999999999</v>
      </c>
      <c r="N27" s="60">
        <f>(1-food_insecure)*(0.3)</f>
        <v>0.17729999999999999</v>
      </c>
      <c r="O27" s="60">
        <f>(1-food_insecure)*(0.3)</f>
        <v>0.17729999999999999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0.14480130195617696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JUmve85sEGqh+cjETuomGRPZzfPxUUUCNbeoLwMlceC7wlyLkbQCjUm+A/J1QNoCDo8HEN2nBx5WAdCBcG09A==" saltValue="sQx7ODonjXo4jXyE02ve0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IWVB6ru45X/shsBnt1LeaYc8ChKlKVb6DFOPhUFCLEAigirWgwTquTk9szwurd0Xulxe2u3ZFs07tOqS1mWyvg==" saltValue="UnBB2eKXh4/UERUIc/8Cz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KjpDtY9jj9cdy2ImIogNF95049QNwDK4ktMwdUkWIEnYnjGbJ0tfWznZ9sDwKO8+Ww4PqKjH6c1isN8Po+pz8Q==" saltValue="lO9NjVgu5RfwYu/J4AK0g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Sc9Iiugh+dNAYCyBmyxSUKdm7yJBYtTPZXo+JIqCoG3SR6JdcLL+iE0SIQDD0kRNHDjphKLTxxxVKZaHswebQ==" saltValue="39JJEHaz+Tpovtu3Ocxcc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rcSMkugW4oImjXl1HWojMZFCQ93vj2UDT2fxTyBKScT4HDrtB6LfTiGUdCYkz2lGVatX6/qCAIKra0RicZhCIw==" saltValue="jIovTF/sSvyxXZ6IKjU8a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ht="13.25" customHeight="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oEtILWj8DZCEMlU7Tm5XK9C7e6NnW1V7mnO7WqUIc5gB7r7c0WDtP2XxccvDbBo093WugkM3qeNA128IpcVEtA==" saltValue="0RMJl8h7Qe+O/7l8fjqhD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78</v>
      </c>
      <c r="C5" s="8" t="s">
        <v>150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74</v>
      </c>
      <c r="C8" s="8" t="s">
        <v>150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78</v>
      </c>
      <c r="C58" s="8" t="s">
        <v>150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74</v>
      </c>
      <c r="C61" s="8" t="s">
        <v>150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78</v>
      </c>
      <c r="C111" s="8" t="s">
        <v>150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74</v>
      </c>
      <c r="C114" s="8" t="s">
        <v>150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77</v>
      </c>
      <c r="C117" s="8" t="s">
        <v>150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75</v>
      </c>
      <c r="C120" s="8" t="s">
        <v>150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78</v>
      </c>
      <c r="C128" s="8" t="s">
        <v>150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74</v>
      </c>
      <c r="C131" s="8" t="s">
        <v>150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77</v>
      </c>
      <c r="C134" s="8" t="s">
        <v>150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75</v>
      </c>
      <c r="C137" s="8" t="s">
        <v>150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78</v>
      </c>
      <c r="C145" s="8" t="s">
        <v>150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74</v>
      </c>
      <c r="C148" s="8" t="s">
        <v>150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77</v>
      </c>
      <c r="C151" s="8" t="s">
        <v>150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75</v>
      </c>
      <c r="C154" s="8" t="s">
        <v>150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Lwlj6WK6b/z2d2l24q3BrYDc/AVn+/tq0PWl1KwNoH603ohzYGb4rlS6Oa9PT2h+hZan1Yo1185dCEoKvEDHtw==" saltValue="y9+Gobk99agzesG4jMQip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Uv7DRog4DAImN9qB30h9Uv1Trv1GZh0XaJw4c4ckLX1Uf/8B/7HMTCcEjT7UXZERVv+XNCEid42IDz6OjbZ+g==" saltValue="Qe+0A/qtTtvBoU1q6iVb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LHxHNNxJv00MBmhu9yyj5Dx70QGi48LGaib3f+hgSYEnHvz4iYd6W0rMCVT4f7IKngqEewAWsboWnRXZ0Rm+w==" saltValue="70Q3Ffg6dLkx9KSM0D698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291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105</v>
      </c>
      <c r="B40" s="11" t="s">
        <v>298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288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293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105</v>
      </c>
      <c r="B63" s="11" t="s">
        <v>299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pGTfKNtxCuAunT4+16GSXAI6ndIKtuHxtUPlMKZhFaapKtlhfD5ScQD/Q+QVQbICagDOw7MTWfQeOz8XXPnrg==" saltValue="hRFFzVVMVzgcqEunuDBG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TLyuN4G+vKn0qN72JWyQ9WfPtaorHIjT78WINarJ0dmhkREEloc841N1mxJpOGGNkeqkCBrp9prR63UHjQxRrg==" saltValue="IsOvs+Ds5J/rSIGcLlIO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174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175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176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177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178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191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172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181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174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175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176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177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178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191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172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181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kRsZ5RLcJxnk8JUYv2+DiZFJiXOd29/fBxsAZbpgrj2jdOJboWcoT5Z5SvWPBy1DwjTirsbNQIz8YKG1VrwGg==" saltValue="NaiBsALXJK8G61pX6eY9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ht="13.25" customHeight="1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ht="13.25" customHeight="1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ht="13.25" customHeight="1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Uxu3growoxDUVtDtz6bgiO/VaIO1QJ50SH/J7JcKcnxCVBJ++dxspssjmCIAc9FWAul1DNlETuVjEZTTY0C/Q==" saltValue="PrvIFf4tKYl5sd36RhKD5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ht="13.25" customHeight="1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338</v>
      </c>
      <c r="D18" s="90">
        <v>0</v>
      </c>
      <c r="E18" s="90">
        <v>0</v>
      </c>
      <c r="F18" s="90">
        <f>MIN(MAX(1-0.89/(1-frac_sam_6_11months+(frac_sam_6_11months*0.89)),0),1)</f>
        <v>0.10878363582238137</v>
      </c>
      <c r="G18" s="90">
        <f>MIN(MAX(1-0.89/(1-frac_sam_12_23months+(frac_sam_12_23months*0.89)),0),1)</f>
        <v>0.10900210374013841</v>
      </c>
      <c r="H18" s="90">
        <f>MIN(MAX(1-0.89/(1-frac_sam_24_59months+(frac_sam_24_59months*0.89)),0),1)</f>
        <v>0.10982432293995648</v>
      </c>
    </row>
    <row r="19" spans="1:8" ht="13.25" customHeight="1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338</v>
      </c>
      <c r="D20" s="90">
        <v>0</v>
      </c>
      <c r="E20" s="90">
        <v>0</v>
      </c>
      <c r="F20" s="90">
        <f>MIN(MAX(1-0.89/(1-frac_mam_6_11months+(frac_mam_6_11months*0.89)),0),1)</f>
        <v>0.10457663107893689</v>
      </c>
      <c r="G20" s="90">
        <f>MIN(MAX(1-0.89/(1-frac_mam_12_23months+(frac_mam_12_23months*0.89)),0),1)</f>
        <v>0.10510405021068525</v>
      </c>
      <c r="H20" s="90">
        <f>MIN(MAX(1-0.89/(1-frac_mam_24_59months+(frac_mam_24_59months*0.89)),0),1)</f>
        <v>0.10831478538751438</v>
      </c>
    </row>
    <row r="21" spans="1:8" ht="13.25" customHeight="1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9.8771495172035317E-3</v>
      </c>
      <c r="G73" s="90">
        <f>MIN(MAX(1-0.99/(1-frac_sam_12_23months+(frac_sam_12_23months*0.99)),0),1)</f>
        <v>9.8991918961220948E-3</v>
      </c>
      <c r="H73" s="90">
        <f>MIN(MAX(1-0.99/(1-frac_sam_24_59months+(frac_sam_24_59months*0.99)),0),1)</f>
        <v>9.982238091333584E-3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9.4545908395351486E-3</v>
      </c>
      <c r="G75" s="90">
        <f>MIN(MAX(1-0.99/(1-frac_mam_12_23months+(frac_mam_12_23months*0.99)),0),1)</f>
        <v>9.5073675938538438E-3</v>
      </c>
      <c r="H75" s="90">
        <f>MIN(MAX(1-0.99/(1-frac_mam_24_59months+(frac_mam_24_59months*0.99)),0),1)</f>
        <v>9.8298778811486409E-3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0.19800984539153599</v>
      </c>
      <c r="G128" s="90">
        <f>MIN(MAX(1-0.8/(1-frac_sam_12_23months+(frac_sam_12_23months*0.8)),0),1)</f>
        <v>0.19836761995186036</v>
      </c>
      <c r="H128" s="90">
        <f>MIN(MAX(1-0.8/(1-frac_sam_24_59months+(frac_sam_24_59months*0.8)),0),1)</f>
        <v>0.19971284096159381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0.19109206312677096</v>
      </c>
      <c r="G130" s="90">
        <f>MIN(MAX(1-0.8/(1-frac_mam_12_23months+(frac_mam_12_23months*0.8)),0),1)</f>
        <v>0.19196227094074725</v>
      </c>
      <c r="H130" s="90">
        <f>MIN(MAX(1-0.8/(1-frac_mam_24_59months+(frac_mam_24_59months*0.8)),0),1)</f>
        <v>0.19724154534293825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sGMlXclywuO1Cbk+RDLrJ9T8/LHD1T7hRC8AuKfeiwn1g+bOEI0ySfkcHoWQkA/yJJ7fc/cwVlaeWog/g+vc2A==" saltValue="UN8LcYDcJr+vHmLT5VGW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ht="13.25" customHeight="1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ht="13.25" customHeight="1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ht="13.25" customHeight="1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9GhiPJuQHbIkOZmJzchpJpCp/ytvlLQei3WUbcyMTCd/H9hiLGcZ9vd+9kNdqW6wqcE5PyfZm9/0gs7VW4yIg==" saltValue="srsdL3K+jfpjDDeOYEoYS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2024-08-06T07:52:38Z</dcterms:modified>
</cp:coreProperties>
</file>