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2B0BAAF3-7F1C-4290-91E2-C1161C5B85E1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A37" i="2"/>
  <c r="H13" i="2"/>
  <c r="G13" i="2"/>
  <c r="H12" i="2"/>
  <c r="G12" i="2"/>
  <c r="I12" i="2" s="1"/>
  <c r="H11" i="2"/>
  <c r="G11" i="2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2" i="2" l="1"/>
  <c r="A23" i="2"/>
  <c r="I3" i="2"/>
  <c r="I7" i="2"/>
  <c r="I11" i="2"/>
  <c r="A36" i="2"/>
  <c r="A25" i="2"/>
  <c r="A26" i="2"/>
  <c r="I39" i="2"/>
  <c r="I9" i="2"/>
  <c r="I13" i="2"/>
  <c r="A31" i="2"/>
  <c r="A34" i="2"/>
  <c r="A40" i="2"/>
  <c r="I2" i="2"/>
  <c r="I6" i="2"/>
  <c r="A19" i="2"/>
  <c r="A35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<sst xmlns="http://schemas.openxmlformats.org/spreadsheetml/2006/main" count="2159" uniqueCount="372">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</sst>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352562</v>
      </c>
    </row>
    <row r="8" spans="1:3" ht="15" customHeight="1" x14ac:dyDescent="0.25">
      <c r="B8" s="5" t="s">
        <v>63</v>
      </c>
      <c r="C8" s="44">
        <v>0.01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0.96395172119140593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0.25800000000000001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5.7299999999999997E-2</v>
      </c>
    </row>
    <row r="24" spans="1:3" ht="15" customHeight="1" x14ac:dyDescent="0.25">
      <c r="B24" s="15" t="s">
        <v>65</v>
      </c>
      <c r="C24" s="45">
        <v>0.57350000000000001</v>
      </c>
    </row>
    <row r="25" spans="1:3" ht="15" customHeight="1" x14ac:dyDescent="0.25">
      <c r="B25" s="15" t="s">
        <v>66</v>
      </c>
      <c r="C25" s="45">
        <v>0.35089999999999999</v>
      </c>
    </row>
    <row r="26" spans="1:3" ht="15" customHeight="1" x14ac:dyDescent="0.25">
      <c r="B26" s="15" t="s">
        <v>67</v>
      </c>
      <c r="C26" s="45">
        <v>1.83E-2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0.57290349526853401</v>
      </c>
    </row>
    <row r="30" spans="1:3" ht="14.25" customHeight="1" x14ac:dyDescent="0.25">
      <c r="B30" s="25" t="s">
        <v>82</v>
      </c>
      <c r="C30" s="99">
        <v>2.97816918362898E-2</v>
      </c>
    </row>
    <row r="31" spans="1:3" ht="14.25" customHeight="1" x14ac:dyDescent="0.25">
      <c r="B31" s="25" t="s">
        <v>29</v>
      </c>
      <c r="C31" s="99">
        <v>2.5306962187057899E-2</v>
      </c>
    </row>
    <row r="32" spans="1:3" ht="14.25" customHeight="1" x14ac:dyDescent="0.25">
      <c r="B32" s="25" t="s">
        <v>30</v>
      </c>
      <c r="C32" s="99">
        <v>0.37200785070811798</v>
      </c>
    </row>
    <row r="33" spans="1:5" ht="13.25" customHeight="1" x14ac:dyDescent="0.25">
      <c r="B33" s="27" t="s">
        <v>79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0.87329999999999997</v>
      </c>
    </row>
    <row r="38" spans="1:5" ht="15" customHeight="1" x14ac:dyDescent="0.25">
      <c r="B38" s="11" t="s">
        <v>54</v>
      </c>
      <c r="C38" s="43">
        <v>2.0504600000000002</v>
      </c>
      <c r="D38" s="12"/>
      <c r="E38" s="13"/>
    </row>
    <row r="39" spans="1:5" ht="15" customHeight="1" x14ac:dyDescent="0.25">
      <c r="B39" s="11" t="s">
        <v>80</v>
      </c>
      <c r="C39" s="43">
        <v>2.7249400000000001</v>
      </c>
      <c r="D39" s="12"/>
      <c r="E39" s="12"/>
    </row>
    <row r="40" spans="1:5" ht="15" customHeight="1" x14ac:dyDescent="0.25">
      <c r="B40" s="11" t="s">
        <v>55</v>
      </c>
      <c r="C40" s="100">
        <v>0.01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2.18526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6.2438000000000007E-3</v>
      </c>
      <c r="D45" s="12"/>
    </row>
    <row r="46" spans="1:5" ht="15.75" customHeight="1" x14ac:dyDescent="0.25">
      <c r="B46" s="11" t="s">
        <v>70</v>
      </c>
      <c r="C46" s="45">
        <v>6.7088499999999995E-2</v>
      </c>
      <c r="D46" s="12"/>
    </row>
    <row r="47" spans="1:5" ht="15.75" customHeight="1" x14ac:dyDescent="0.25">
      <c r="B47" s="11" t="s">
        <v>78</v>
      </c>
      <c r="C47" s="45">
        <v>7.5063599999999994E-2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2.8</v>
      </c>
      <c r="D51" s="12"/>
    </row>
    <row r="52" spans="1:4" ht="15" customHeight="1" x14ac:dyDescent="0.25">
      <c r="B52" s="11" t="s">
        <v>32</v>
      </c>
      <c r="C52" s="100">
        <v>2.8</v>
      </c>
    </row>
    <row r="53" spans="1:4" ht="15.75" customHeight="1" x14ac:dyDescent="0.25">
      <c r="B53" s="11" t="s">
        <v>35</v>
      </c>
      <c r="C53" s="100">
        <v>2.8</v>
      </c>
    </row>
    <row r="54" spans="1:4" ht="15.75" customHeight="1" x14ac:dyDescent="0.25">
      <c r="B54" s="11" t="s">
        <v>33</v>
      </c>
      <c r="C54" s="100">
        <v>2.8</v>
      </c>
    </row>
    <row r="55" spans="1:4" ht="15.75" customHeight="1" x14ac:dyDescent="0.25">
      <c r="B55" s="11" t="s">
        <v>34</v>
      </c>
      <c r="C55" s="100">
        <v>2.8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1.6428571428571431E-2</v>
      </c>
    </row>
    <row r="59" spans="1:4" ht="15.75" customHeight="1" x14ac:dyDescent="0.25">
      <c r="B59" s="11" t="s">
        <v>59</v>
      </c>
      <c r="C59" s="45">
        <v>0.64647999999999994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5.0638231999999901E-2</v>
      </c>
    </row>
    <row r="63" spans="1:4" ht="15.75" customHeight="1" x14ac:dyDescent="0.3">
      <c r="A63" s="4"/>
    </row>
  </sheetData>
  <sheetProtection algorithmName="SHA-512" hashValue="ll6fjnknmsk1hmSSJqzYjXPsYWBJFuPW17VrFWPAUFtCNmzb7AQ/BCb50/gQvd/+6kzhH5Y3JBCixRSo08t3vg==" saltValue="SWPu4xAYzVmJAeGGZIjF4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63679</v>
      </c>
      <c r="C2" s="49">
        <v>236353</v>
      </c>
      <c r="D2" s="49">
        <v>431841</v>
      </c>
      <c r="E2" s="49">
        <v>681650</v>
      </c>
      <c r="F2" s="49">
        <v>686857</v>
      </c>
      <c r="G2" s="17">
        <f t="shared" ref="G2:G13" si="0">C2+D2+E2+F2</f>
        <v>2036701</v>
      </c>
      <c r="H2" s="17">
        <f t="shared" ref="H2:H13" si="1">(B2 + stillbirth*B2/(1000-stillbirth))/(1-abortion)</f>
        <v>72520.977190615566</v>
      </c>
      <c r="I2" s="17">
        <f t="shared" ref="I2:I13" si="2">G2-H2</f>
        <v>1964180.0228093844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62332</v>
      </c>
      <c r="C3" s="50">
        <v>246086</v>
      </c>
      <c r="D3" s="50">
        <v>424003</v>
      </c>
      <c r="E3" s="50">
        <v>655613</v>
      </c>
      <c r="F3" s="50">
        <v>694593.00000000012</v>
      </c>
      <c r="G3" s="17">
        <f t="shared" si="0"/>
        <v>2020295</v>
      </c>
      <c r="H3" s="17">
        <f t="shared" si="1"/>
        <v>70986.943109116808</v>
      </c>
      <c r="I3" s="17">
        <f t="shared" si="2"/>
        <v>1949308.0568908833</v>
      </c>
    </row>
    <row r="4" spans="1:9" ht="15.75" customHeight="1" x14ac:dyDescent="0.25">
      <c r="A4" s="5">
        <f t="shared" si="3"/>
        <v>2026</v>
      </c>
      <c r="B4" s="49">
        <v>61280</v>
      </c>
      <c r="C4" s="50">
        <v>254456.5</v>
      </c>
      <c r="D4" s="50">
        <v>421562</v>
      </c>
      <c r="E4" s="50">
        <v>625585.5</v>
      </c>
      <c r="F4" s="50">
        <v>702742.99999999988</v>
      </c>
      <c r="G4" s="17">
        <f t="shared" si="0"/>
        <v>2004347</v>
      </c>
      <c r="H4" s="17">
        <f t="shared" si="1"/>
        <v>69788.870463432555</v>
      </c>
      <c r="I4" s="17">
        <f t="shared" si="2"/>
        <v>1934558.1295365675</v>
      </c>
    </row>
    <row r="5" spans="1:9" ht="15.75" customHeight="1" x14ac:dyDescent="0.25">
      <c r="A5" s="5">
        <f t="shared" si="3"/>
        <v>2027</v>
      </c>
      <c r="B5" s="49">
        <v>60242</v>
      </c>
      <c r="C5" s="50">
        <v>262130</v>
      </c>
      <c r="D5" s="50">
        <v>424700</v>
      </c>
      <c r="E5" s="50">
        <v>593293.5</v>
      </c>
      <c r="F5" s="50">
        <v>710699.00000000012</v>
      </c>
      <c r="G5" s="17">
        <f t="shared" si="0"/>
        <v>1990822.5</v>
      </c>
      <c r="H5" s="17">
        <f t="shared" si="1"/>
        <v>68606.741750295434</v>
      </c>
      <c r="I5" s="17">
        <f t="shared" si="2"/>
        <v>1922215.7582497045</v>
      </c>
    </row>
    <row r="6" spans="1:9" ht="15.75" customHeight="1" x14ac:dyDescent="0.25">
      <c r="A6" s="5">
        <f t="shared" si="3"/>
        <v>2028</v>
      </c>
      <c r="B6" s="49">
        <v>59582</v>
      </c>
      <c r="C6" s="50">
        <v>268723</v>
      </c>
      <c r="D6" s="50">
        <v>431687</v>
      </c>
      <c r="E6" s="50">
        <v>561341</v>
      </c>
      <c r="F6" s="50">
        <v>717058</v>
      </c>
      <c r="G6" s="17">
        <f t="shared" si="0"/>
        <v>1978809</v>
      </c>
      <c r="H6" s="17">
        <f t="shared" si="1"/>
        <v>67855.099215930779</v>
      </c>
      <c r="I6" s="17">
        <f t="shared" si="2"/>
        <v>1910953.9007840692</v>
      </c>
    </row>
    <row r="7" spans="1:9" ht="15.75" customHeight="1" x14ac:dyDescent="0.25">
      <c r="A7" s="5">
        <f t="shared" si="3"/>
        <v>2029</v>
      </c>
      <c r="B7" s="49">
        <v>58971</v>
      </c>
      <c r="C7" s="50">
        <v>273981</v>
      </c>
      <c r="D7" s="50">
        <v>439723.5</v>
      </c>
      <c r="E7" s="50">
        <v>531112.5</v>
      </c>
      <c r="F7" s="50">
        <v>721658</v>
      </c>
      <c r="G7" s="17">
        <f t="shared" si="0"/>
        <v>1966475</v>
      </c>
      <c r="H7" s="17">
        <f t="shared" si="1"/>
        <v>67159.260445481093</v>
      </c>
      <c r="I7" s="17">
        <f t="shared" si="2"/>
        <v>1899315.7395545188</v>
      </c>
    </row>
    <row r="8" spans="1:9" ht="15.75" customHeight="1" x14ac:dyDescent="0.25">
      <c r="A8" s="5">
        <f t="shared" si="3"/>
        <v>2030</v>
      </c>
      <c r="B8" s="49">
        <v>58735</v>
      </c>
      <c r="C8" s="50">
        <v>278929</v>
      </c>
      <c r="D8" s="50">
        <v>447902.5</v>
      </c>
      <c r="E8" s="50">
        <v>504825.00000000006</v>
      </c>
      <c r="F8" s="50">
        <v>721854.49999999988</v>
      </c>
      <c r="G8" s="17">
        <f t="shared" si="0"/>
        <v>1953511</v>
      </c>
      <c r="H8" s="17">
        <f t="shared" si="1"/>
        <v>66890.491296829496</v>
      </c>
      <c r="I8" s="17">
        <f t="shared" si="2"/>
        <v>1886620.5087031706</v>
      </c>
    </row>
    <row r="9" spans="1:9" ht="15.75" customHeight="1" x14ac:dyDescent="0.25">
      <c r="A9" s="5">
        <f t="shared" si="3"/>
        <v>2031</v>
      </c>
      <c r="B9" s="49">
        <v>58780</v>
      </c>
      <c r="C9" s="50">
        <v>283360</v>
      </c>
      <c r="D9" s="50">
        <v>457287.5</v>
      </c>
      <c r="E9" s="50">
        <v>481467.5</v>
      </c>
      <c r="F9" s="50">
        <v>717732</v>
      </c>
      <c r="G9" s="17">
        <f t="shared" si="0"/>
        <v>1939847</v>
      </c>
      <c r="H9" s="17">
        <f t="shared" si="1"/>
        <v>66941.739651445256</v>
      </c>
      <c r="I9" s="17">
        <f t="shared" si="2"/>
        <v>1872905.2603485547</v>
      </c>
    </row>
    <row r="10" spans="1:9" ht="15.75" customHeight="1" x14ac:dyDescent="0.25">
      <c r="A10" s="5">
        <f t="shared" si="3"/>
        <v>2032</v>
      </c>
      <c r="B10" s="49">
        <v>58895</v>
      </c>
      <c r="C10" s="50">
        <v>281703.5</v>
      </c>
      <c r="D10" s="50">
        <v>469905</v>
      </c>
      <c r="E10" s="50">
        <v>459150</v>
      </c>
      <c r="F10" s="50">
        <v>710646</v>
      </c>
      <c r="G10" s="17">
        <f t="shared" si="0"/>
        <v>1921404.5</v>
      </c>
      <c r="H10" s="17">
        <f t="shared" si="1"/>
        <v>67072.707668796676</v>
      </c>
      <c r="I10" s="17">
        <f t="shared" si="2"/>
        <v>1854331.7923312034</v>
      </c>
    </row>
    <row r="11" spans="1:9" ht="15.75" customHeight="1" x14ac:dyDescent="0.25">
      <c r="A11" s="5">
        <f t="shared" si="3"/>
        <v>2033</v>
      </c>
      <c r="B11" s="49">
        <v>59228</v>
      </c>
      <c r="C11" s="50">
        <v>272123</v>
      </c>
      <c r="D11" s="50">
        <v>484962</v>
      </c>
      <c r="E11" s="50">
        <v>440902.5</v>
      </c>
      <c r="F11" s="50">
        <v>695488.49999999988</v>
      </c>
      <c r="G11" s="17">
        <f t="shared" si="0"/>
        <v>1893476</v>
      </c>
      <c r="H11" s="17">
        <f t="shared" si="1"/>
        <v>67451.945492953382</v>
      </c>
      <c r="I11" s="17">
        <f t="shared" si="2"/>
        <v>1826024.0545070467</v>
      </c>
    </row>
    <row r="12" spans="1:9" ht="15.75" customHeight="1" x14ac:dyDescent="0.25">
      <c r="A12" s="5">
        <f t="shared" si="3"/>
        <v>2034</v>
      </c>
      <c r="B12" s="49">
        <v>59889</v>
      </c>
      <c r="C12" s="50">
        <v>258085.50000000003</v>
      </c>
      <c r="D12" s="50">
        <v>500553</v>
      </c>
      <c r="E12" s="50">
        <v>428213.49999999994</v>
      </c>
      <c r="F12" s="50">
        <v>672568</v>
      </c>
      <c r="G12" s="17">
        <f t="shared" si="0"/>
        <v>1859420</v>
      </c>
      <c r="H12" s="17">
        <f t="shared" si="1"/>
        <v>68204.726879642825</v>
      </c>
      <c r="I12" s="17">
        <f t="shared" si="2"/>
        <v>1791215.2731203572</v>
      </c>
    </row>
    <row r="13" spans="1:9" ht="15.75" customHeight="1" x14ac:dyDescent="0.25">
      <c r="A13" s="5">
        <f t="shared" si="3"/>
        <v>2035</v>
      </c>
      <c r="B13" s="49">
        <v>60581</v>
      </c>
      <c r="C13" s="50">
        <v>241119.5</v>
      </c>
      <c r="D13" s="50">
        <v>515323.49999999994</v>
      </c>
      <c r="E13" s="50">
        <v>420467</v>
      </c>
      <c r="F13" s="50">
        <v>646957</v>
      </c>
      <c r="G13" s="17">
        <f t="shared" si="0"/>
        <v>1823867</v>
      </c>
      <c r="H13" s="17">
        <f t="shared" si="1"/>
        <v>68992.812688400911</v>
      </c>
      <c r="I13" s="17">
        <f t="shared" si="2"/>
        <v>1754874.187311599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qoUjsGe/7gWEc7Z/I+3aKYzoFgpwpqsQXiNrLYpe5Z/K077Kg3ksqb711WPzbUTybvNMePauxizc65/aDpvJXg==" saltValue="dpAcKZ0y/EXMoMRRgL4Kv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101">
        <v>4.5424600000000009E-2</v>
      </c>
    </row>
    <row r="5" spans="1:8" ht="15.75" customHeight="1" x14ac:dyDescent="0.25">
      <c r="B5" s="19" t="s">
        <v>114</v>
      </c>
      <c r="C5" s="101">
        <v>1.7769299999999998E-2</v>
      </c>
    </row>
    <row r="6" spans="1:8" ht="15.75" customHeight="1" x14ac:dyDescent="0.25">
      <c r="B6" s="19" t="s">
        <v>110</v>
      </c>
      <c r="C6" s="101">
        <v>0.14635760000000009</v>
      </c>
    </row>
    <row r="7" spans="1:8" ht="15.75" customHeight="1" x14ac:dyDescent="0.25">
      <c r="B7" s="19" t="s">
        <v>115</v>
      </c>
      <c r="C7" s="101">
        <v>0.369857399999999</v>
      </c>
    </row>
    <row r="8" spans="1:8" ht="15.75" customHeight="1" x14ac:dyDescent="0.25">
      <c r="B8" s="19" t="s">
        <v>117</v>
      </c>
      <c r="C8" s="101">
        <v>0</v>
      </c>
    </row>
    <row r="9" spans="1:8" ht="15.75" customHeight="1" x14ac:dyDescent="0.25">
      <c r="B9" s="19" t="s">
        <v>111</v>
      </c>
      <c r="C9" s="101">
        <v>0.31618180000000068</v>
      </c>
    </row>
    <row r="10" spans="1:8" ht="15.75" customHeight="1" x14ac:dyDescent="0.25">
      <c r="B10" s="19" t="s">
        <v>113</v>
      </c>
      <c r="C10" s="101">
        <v>0.10440930000000009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7.7919947146150147E-3</v>
      </c>
      <c r="D14" s="55">
        <v>7.7919947146150147E-3</v>
      </c>
      <c r="E14" s="55">
        <v>7.7919947146150147E-3</v>
      </c>
      <c r="F14" s="55">
        <v>7.7919947146150147E-3</v>
      </c>
    </row>
    <row r="15" spans="1:8" ht="15.75" customHeight="1" x14ac:dyDescent="0.25">
      <c r="B15" s="19" t="s">
        <v>121</v>
      </c>
      <c r="C15" s="101">
        <v>8.4127530830723177E-2</v>
      </c>
      <c r="D15" s="101">
        <v>8.4127530830723177E-2</v>
      </c>
      <c r="E15" s="101">
        <v>8.4127530830723177E-2</v>
      </c>
      <c r="F15" s="101">
        <v>8.4127530830723177E-2</v>
      </c>
    </row>
    <row r="16" spans="1:8" ht="15.75" customHeight="1" x14ac:dyDescent="0.25">
      <c r="B16" s="19" t="s">
        <v>2</v>
      </c>
      <c r="C16" s="101">
        <v>2.473115043862726E-2</v>
      </c>
      <c r="D16" s="101">
        <v>2.473115043862726E-2</v>
      </c>
      <c r="E16" s="101">
        <v>2.473115043862726E-2</v>
      </c>
      <c r="F16" s="101">
        <v>2.473115043862726E-2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5.8802966437170853E-2</v>
      </c>
      <c r="D19" s="101">
        <v>5.8802966437170853E-2</v>
      </c>
      <c r="E19" s="101">
        <v>5.8802966437170853E-2</v>
      </c>
      <c r="F19" s="101">
        <v>5.8802966437170853E-2</v>
      </c>
    </row>
    <row r="20" spans="1:8" ht="15.75" customHeight="1" x14ac:dyDescent="0.25">
      <c r="B20" s="19" t="s">
        <v>98</v>
      </c>
      <c r="C20" s="101">
        <v>0.46405541621651591</v>
      </c>
      <c r="D20" s="101">
        <v>0.46405541621651591</v>
      </c>
      <c r="E20" s="101">
        <v>0.46405541621651591</v>
      </c>
      <c r="F20" s="101">
        <v>0.46405541621651591</v>
      </c>
    </row>
    <row r="21" spans="1:8" ht="15.75" customHeight="1" x14ac:dyDescent="0.25">
      <c r="B21" s="19" t="s">
        <v>107</v>
      </c>
      <c r="C21" s="101">
        <v>0.3224494270929934</v>
      </c>
      <c r="D21" s="101">
        <v>0.3224494270929934</v>
      </c>
      <c r="E21" s="101">
        <v>0.3224494270929934</v>
      </c>
      <c r="F21" s="101">
        <v>0.3224494270929934</v>
      </c>
    </row>
    <row r="22" spans="1:8" ht="15.75" customHeight="1" x14ac:dyDescent="0.25">
      <c r="B22" s="19" t="s">
        <v>118</v>
      </c>
      <c r="C22" s="101">
        <v>3.8041514269354551E-2</v>
      </c>
      <c r="D22" s="101">
        <v>3.8041514269354551E-2</v>
      </c>
      <c r="E22" s="101">
        <v>3.8041514269354551E-2</v>
      </c>
      <c r="F22" s="101">
        <v>3.8041514269354551E-2</v>
      </c>
    </row>
    <row r="23" spans="1:8" ht="15.75" customHeight="1" x14ac:dyDescent="0.25">
      <c r="B23" s="27" t="s">
        <v>79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5.5138011000000001E-2</v>
      </c>
    </row>
    <row r="27" spans="1:8" ht="15.75" customHeight="1" x14ac:dyDescent="0.25">
      <c r="B27" s="19" t="s">
        <v>108</v>
      </c>
      <c r="C27" s="101">
        <v>5.8021491999999987E-2</v>
      </c>
    </row>
    <row r="28" spans="1:8" ht="15.75" customHeight="1" x14ac:dyDescent="0.25">
      <c r="B28" s="19" t="s">
        <v>122</v>
      </c>
      <c r="C28" s="101">
        <v>0.12039119400000001</v>
      </c>
    </row>
    <row r="29" spans="1:8" ht="15.75" customHeight="1" x14ac:dyDescent="0.25">
      <c r="B29" s="19" t="s">
        <v>105</v>
      </c>
      <c r="C29" s="101">
        <v>0.13459314</v>
      </c>
    </row>
    <row r="30" spans="1:8" ht="15.75" customHeight="1" x14ac:dyDescent="0.25">
      <c r="B30" s="19" t="s">
        <v>4</v>
      </c>
      <c r="C30" s="101">
        <v>8.1866218000000004E-2</v>
      </c>
    </row>
    <row r="31" spans="1:8" ht="15.75" customHeight="1" x14ac:dyDescent="0.25">
      <c r="B31" s="19" t="s">
        <v>99</v>
      </c>
      <c r="C31" s="101">
        <v>6.5181787000000005E-2</v>
      </c>
    </row>
    <row r="32" spans="1:8" ht="15.75" customHeight="1" x14ac:dyDescent="0.25">
      <c r="B32" s="19" t="s">
        <v>104</v>
      </c>
      <c r="C32" s="101">
        <v>0.13227402499999999</v>
      </c>
    </row>
    <row r="33" spans="2:3" ht="15.75" customHeight="1" x14ac:dyDescent="0.25">
      <c r="B33" s="19" t="s">
        <v>119</v>
      </c>
      <c r="C33" s="101">
        <v>0.124908043</v>
      </c>
    </row>
    <row r="34" spans="2:3" ht="15.75" customHeight="1" x14ac:dyDescent="0.25">
      <c r="B34" s="19" t="s">
        <v>106</v>
      </c>
      <c r="C34" s="101">
        <v>0.22762609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Lm4jl0UY4T4vTExvhDxXE7MF2ywpsaPfZ6J7F4NFUDIqjJEeeH8iNSi9t/Iuq93E5ZQRbGOWypjuKw6/MtZYUw==" saltValue="CsCJM27n6qRKVN7N766M3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0.63739772195389532</v>
      </c>
      <c r="D2" s="52">
        <f>IFERROR(1-_xlfn.NORM.DIST(_xlfn.NORM.INV(SUM(D4:D5), 0, 1) + 1, 0, 1, TRUE), "")</f>
        <v>0.63739772195389532</v>
      </c>
      <c r="E2" s="52">
        <f>IFERROR(1-_xlfn.NORM.DIST(_xlfn.NORM.INV(SUM(E4:E5), 0, 1) + 1, 0, 1, TRUE), "")</f>
        <v>0.70722485562277604</v>
      </c>
      <c r="F2" s="52">
        <f>IFERROR(1-_xlfn.NORM.DIST(_xlfn.NORM.INV(SUM(F4:F5), 0, 1) + 1, 0, 1, TRUE), "")</f>
        <v>0.77522141936932853</v>
      </c>
      <c r="G2" s="52">
        <f>IFERROR(1-_xlfn.NORM.DIST(_xlfn.NORM.INV(SUM(G4:G5), 0, 1) + 1, 0, 1, TRUE), "")</f>
        <v>0.78753144720065926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0.27433647804610461</v>
      </c>
      <c r="D3" s="52">
        <f>IFERROR(_xlfn.NORM.DIST(_xlfn.NORM.INV(SUM(D4:D5), 0, 1) + 1, 0, 1, TRUE) - SUM(D4:D5), "")</f>
        <v>0.27433647804610461</v>
      </c>
      <c r="E3" s="52">
        <f>IFERROR(_xlfn.NORM.DIST(_xlfn.NORM.INV(SUM(E4:E5), 0, 1) + 1, 0, 1, TRUE) - SUM(E4:E5), "")</f>
        <v>0.2316377443772239</v>
      </c>
      <c r="F3" s="52">
        <f>IFERROR(_xlfn.NORM.DIST(_xlfn.NORM.INV(SUM(F4:F5), 0, 1) + 1, 0, 1, TRUE) - SUM(F4:F5), "")</f>
        <v>0.18524748063067148</v>
      </c>
      <c r="G3" s="52">
        <f>IFERROR(_xlfn.NORM.DIST(_xlfn.NORM.INV(SUM(G4:G5), 0, 1) + 1, 0, 1, TRUE) - SUM(G4:G5), "")</f>
        <v>0.1763709527993407</v>
      </c>
    </row>
    <row r="4" spans="1:15" ht="15.75" customHeight="1" x14ac:dyDescent="0.25">
      <c r="B4" s="5" t="s">
        <v>129</v>
      </c>
      <c r="C4" s="45">
        <v>7.97017E-2</v>
      </c>
      <c r="D4" s="53">
        <v>7.97017E-2</v>
      </c>
      <c r="E4" s="53">
        <v>2.3720999999999999E-2</v>
      </c>
      <c r="F4" s="53">
        <v>2.1841300000000001E-2</v>
      </c>
      <c r="G4" s="53">
        <v>2.86316E-2</v>
      </c>
    </row>
    <row r="5" spans="1:15" ht="15.75" customHeight="1" x14ac:dyDescent="0.25">
      <c r="B5" s="5" t="s">
        <v>125</v>
      </c>
      <c r="C5" s="45">
        <v>8.5640999999999998E-3</v>
      </c>
      <c r="D5" s="53">
        <v>8.5640999999999998E-3</v>
      </c>
      <c r="E5" s="53">
        <v>3.7416400000000002E-2</v>
      </c>
      <c r="F5" s="53">
        <v>1.7689799999999999E-2</v>
      </c>
      <c r="G5" s="53">
        <v>7.4660000000000004E-3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0.65625787131242952</v>
      </c>
      <c r="D8" s="52">
        <f>IFERROR(1-_xlfn.NORM.DIST(_xlfn.NORM.INV(SUM(D10:D11), 0, 1) + 1, 0, 1, TRUE), "")</f>
        <v>0.65625787131242952</v>
      </c>
      <c r="E8" s="52">
        <f>IFERROR(1-_xlfn.NORM.DIST(_xlfn.NORM.INV(SUM(E10:E11), 0, 1) + 1, 0, 1, TRUE), "")</f>
        <v>0.86702480875068366</v>
      </c>
      <c r="F8" s="52">
        <f>IFERROR(1-_xlfn.NORM.DIST(_xlfn.NORM.INV(SUM(F10:F11), 0, 1) + 1, 0, 1, TRUE), "")</f>
        <v>0.96277395242881758</v>
      </c>
      <c r="G8" s="52">
        <f>IFERROR(1-_xlfn.NORM.DIST(_xlfn.NORM.INV(SUM(G10:G11), 0, 1) + 1, 0, 1, TRUE), "")</f>
        <v>0.85710552219452829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0.26332502868757046</v>
      </c>
      <c r="D9" s="52">
        <f>IFERROR(_xlfn.NORM.DIST(_xlfn.NORM.INV(SUM(D10:D11), 0, 1) + 1, 0, 1, TRUE) - SUM(D10:D11), "")</f>
        <v>0.26332502868757046</v>
      </c>
      <c r="E9" s="52">
        <f>IFERROR(_xlfn.NORM.DIST(_xlfn.NORM.INV(SUM(E10:E11), 0, 1) + 1, 0, 1, TRUE) - SUM(E10:E11), "")</f>
        <v>0.11565069124931635</v>
      </c>
      <c r="F9" s="52">
        <f>IFERROR(_xlfn.NORM.DIST(_xlfn.NORM.INV(SUM(F10:F11), 0, 1) + 1, 0, 1, TRUE) - SUM(F10:F11), "")</f>
        <v>3.4539947571182464E-2</v>
      </c>
      <c r="G9" s="52">
        <f>IFERROR(_xlfn.NORM.DIST(_xlfn.NORM.INV(SUM(G10:G11), 0, 1) + 1, 0, 1, TRUE) - SUM(G10:G11), "")</f>
        <v>0.12354647780547173</v>
      </c>
    </row>
    <row r="10" spans="1:15" ht="15.75" customHeight="1" x14ac:dyDescent="0.25">
      <c r="B10" s="5" t="s">
        <v>126</v>
      </c>
      <c r="C10" s="45">
        <v>6.0291400000000002E-2</v>
      </c>
      <c r="D10" s="53">
        <v>6.0291400000000002E-2</v>
      </c>
      <c r="E10" s="53">
        <v>1.05738E-2</v>
      </c>
      <c r="F10" s="53">
        <v>1.4062E-3</v>
      </c>
      <c r="G10" s="53">
        <v>1.35148E-2</v>
      </c>
    </row>
    <row r="11" spans="1:15" ht="15.75" customHeight="1" x14ac:dyDescent="0.25">
      <c r="B11" s="5" t="s">
        <v>138</v>
      </c>
      <c r="C11" s="45">
        <v>2.01257E-2</v>
      </c>
      <c r="D11" s="53">
        <v>2.01257E-2</v>
      </c>
      <c r="E11" s="53">
        <v>6.7506999999999992E-3</v>
      </c>
      <c r="F11" s="53">
        <v>1.2799E-3</v>
      </c>
      <c r="G11" s="53">
        <v>5.8331999999999993E-3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0.24705571949999999</v>
      </c>
      <c r="D14" s="54">
        <v>0.22576595799400001</v>
      </c>
      <c r="E14" s="54">
        <v>0.22576595799400001</v>
      </c>
      <c r="F14" s="54">
        <v>9.01791644541E-2</v>
      </c>
      <c r="G14" s="54">
        <v>9.01791644541E-2</v>
      </c>
      <c r="H14" s="45">
        <v>0.24099999999999999</v>
      </c>
      <c r="I14" s="55">
        <v>0.24099999999999999</v>
      </c>
      <c r="J14" s="55">
        <v>0.24099999999999999</v>
      </c>
      <c r="K14" s="55">
        <v>0.24099999999999999</v>
      </c>
      <c r="L14" s="45">
        <v>0.22600000000000001</v>
      </c>
      <c r="M14" s="55">
        <v>0.22600000000000001</v>
      </c>
      <c r="N14" s="55">
        <v>0.22600000000000001</v>
      </c>
      <c r="O14" s="55">
        <v>0.22600000000000001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0.15971658154235999</v>
      </c>
      <c r="D15" s="52">
        <f t="shared" si="0"/>
        <v>0.14595317652396111</v>
      </c>
      <c r="E15" s="52">
        <f t="shared" si="0"/>
        <v>0.14595317652396111</v>
      </c>
      <c r="F15" s="52">
        <f t="shared" si="0"/>
        <v>5.8299026236286564E-2</v>
      </c>
      <c r="G15" s="52">
        <f t="shared" si="0"/>
        <v>5.8299026236286564E-2</v>
      </c>
      <c r="H15" s="52">
        <f t="shared" si="0"/>
        <v>0.15580167999999997</v>
      </c>
      <c r="I15" s="52">
        <f t="shared" si="0"/>
        <v>0.15580167999999997</v>
      </c>
      <c r="J15" s="52">
        <f t="shared" si="0"/>
        <v>0.15580167999999997</v>
      </c>
      <c r="K15" s="52">
        <f t="shared" si="0"/>
        <v>0.15580167999999997</v>
      </c>
      <c r="L15" s="52">
        <f t="shared" si="0"/>
        <v>0.14610447999999998</v>
      </c>
      <c r="M15" s="52">
        <f t="shared" si="0"/>
        <v>0.14610447999999998</v>
      </c>
      <c r="N15" s="52">
        <f t="shared" si="0"/>
        <v>0.14610447999999998</v>
      </c>
      <c r="O15" s="52">
        <f t="shared" si="0"/>
        <v>0.14610447999999998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AirCi3VMtIy9I3FbuQdBM2EqoBBbJmfQXYCh4ruF83O5G779V6BxaYw+OzMZd8R5a9am9s61DXdOviN9f1r/wg==" saltValue="4vLIDiyM/tIgdnSVuqqS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0.43329620000000002</v>
      </c>
      <c r="D2" s="53">
        <v>0.18631239999999999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0.2510193</v>
      </c>
      <c r="D3" s="53">
        <v>0.18873329999999999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0.1494074</v>
      </c>
      <c r="D4" s="53">
        <v>0.20997060000000001</v>
      </c>
      <c r="E4" s="53">
        <v>0.36932389999999998</v>
      </c>
      <c r="F4" s="53">
        <v>0.1736338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0.16627709999999996</v>
      </c>
      <c r="D5" s="52">
        <f t="shared" si="0"/>
        <v>0.41498370000000007</v>
      </c>
      <c r="E5" s="52">
        <f>1-SUM(E2:E4)</f>
        <v>0.63067610000000007</v>
      </c>
      <c r="F5" s="52">
        <f>1-SUM(F2:F4)</f>
        <v>0.82636620000000005</v>
      </c>
      <c r="G5" s="52">
        <f>1-SUM(G2:G4)</f>
        <v>1</v>
      </c>
    </row>
  </sheetData>
  <sheetProtection algorithmName="SHA-512" hashValue="9i0vsSFcFUuODS36OYwADAg2Xf00/9vpkf7SkIrO/3Wu9ryVoeAoc15c3eeehXpTgQ5W8nXW5zkcn/Lh4UORMA==" saltValue="r1Hzcmatm3wzN3hyCSRsC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6K/LYei5Nwsai5AAg4SPK2wJeZT0eEXp4IWp3Fnxs497mAKn7vfB/TQW3beLFHwj+xR5rqPbq6ggTCFDUwovzg==" saltValue="LPbl65AwrcZlSF7iL0GU+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7888.2637106321199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0.48921999999999999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0.76300000000000001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1.4832583707086648E-2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99634.10888</v>
      </c>
      <c r="C22" s="109">
        <v>99574.881420000005</v>
      </c>
      <c r="D22" s="109">
        <v>99510.070850000004</v>
      </c>
      <c r="E22" s="109">
        <v>99358.659029999995</v>
      </c>
      <c r="F22" s="109">
        <v>99144.489660000007</v>
      </c>
      <c r="G22" s="109">
        <v>98774.183359999995</v>
      </c>
      <c r="H22" s="109">
        <v>98136.74278</v>
      </c>
      <c r="I22" s="109">
        <v>97128.205270000006</v>
      </c>
      <c r="J22" s="109">
        <v>95490.799190000005</v>
      </c>
      <c r="K22" s="109">
        <v>93125.598880000005</v>
      </c>
      <c r="L22" s="109">
        <v>89719.91519</v>
      </c>
      <c r="M22" s="109">
        <v>84778.6443</v>
      </c>
      <c r="N22" s="109">
        <v>77903.954459999994</v>
      </c>
      <c r="O22" s="109">
        <v>68740.061090000003</v>
      </c>
    </row>
  </sheetData>
  <sheetProtection algorithmName="SHA-512" hashValue="1jiZNJyhM4b/SyBO8bUQeULW9KvXUVP5hxtx5vQl8JGD8ORJQLq75AYjUDLMcisy4EkdAQLdVp80aXNctuHnGQ==" saltValue="Ix7XhHSeqj1b97j0Ave8b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CJB+TRfZLOuVRnh8n/iExEIhv7HRzM7zL/r1uKMaGKR5g7Wt0jvmnJyHOxuurSJQEZ5u/XWK73Rkkw7gKe8WXg==" saltValue="4MF21rGuV+oD5YfQj1ey/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dtae4zlpgLSU41d7U2n4Tko+PFtiv9u6yrzIxTSxrhB2JRBeCRaM9TSYR3ZfTVpR5n418pJ3kDLKwwx79uZrDQ==" saltValue="RP1pse0JAzrrr699UihLV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12.008526100307062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12.008526100307062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8.8894216990788131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0.40262538382804508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13.13329457779923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13.13329457779923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13.13329457779923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13.13329457779923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</v>
      </c>
      <c r="C14" s="98">
        <v>0.95</v>
      </c>
      <c r="D14" s="56">
        <v>13.13329457779923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13.13329457779923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0.14000000000000001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0.18631239999999999</v>
      </c>
      <c r="C18" s="98">
        <v>0.95</v>
      </c>
      <c r="D18" s="56">
        <v>8.8894216990788131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0.18631239999999999</v>
      </c>
      <c r="C19" s="98">
        <v>0.95</v>
      </c>
      <c r="D19" s="56">
        <v>11.47697383223603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8.8894216990788131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4.355034620978258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0.91739417245447996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5.1498336745138182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11.470990276356194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0.52661570000000002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0.69994709999999993</v>
      </c>
      <c r="C29" s="98">
        <v>0.95</v>
      </c>
      <c r="D29" s="56">
        <v>125.9554584200983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170.92419651995908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</v>
      </c>
      <c r="C32" s="98">
        <v>0.95</v>
      </c>
      <c r="D32" s="56">
        <v>1.1057036847492325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0.44281280000000001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0.31885570000000002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0.97181479999999998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7.3998900000000006E-2</v>
      </c>
      <c r="C38" s="98">
        <v>0.95</v>
      </c>
      <c r="D38" s="56">
        <v>2.6374181166837261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vpPrfe5b92o+SPD0lWEyXO7fIfrEZ96mbYei23zoU/wg/GpXf/jcw9K/2GrrLbCGjOj8TTbTxJrt+Y5tmMmj/Q==" saltValue="jrJVgId2u2blGV3cEobl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2TG+X/a5EOQWcarUE0xymKKKnX1FNhtoCDsdpbjUAgIBzNhfysoJw2XSYSjXMrRZM9K7HIwI5kOPo6v+Qjxb2g==" saltValue="6X/Y1Ilx2xQpYnJkzZiUv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eJxYdFcv7gntNPsSWM4UYBS7Is2MIqT9Znun63uJKDnGmhh4PSGVzS+F9xdbLFE+IEq9F3t5Up+e5GTwLzzyDQ==" saltValue="SQPF14s8ouTZ9VpInm3PR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0.15675764</v>
      </c>
      <c r="C3" s="21">
        <f>frac_mam_1_5months * 2.6</f>
        <v>0.15675764</v>
      </c>
      <c r="D3" s="21">
        <f>frac_mam_6_11months * 2.6</f>
        <v>2.749188E-2</v>
      </c>
      <c r="E3" s="21">
        <f>frac_mam_12_23months * 2.6</f>
        <v>3.6561200000000001E-3</v>
      </c>
      <c r="F3" s="21">
        <f>frac_mam_24_59months * 2.6</f>
        <v>3.513848E-2</v>
      </c>
    </row>
    <row r="4" spans="1:6" ht="15.75" customHeight="1" x14ac:dyDescent="0.25">
      <c r="A4" s="3" t="s">
        <v>236</v>
      </c>
      <c r="B4" s="21">
        <f>frac_sam_1month * 2.6</f>
        <v>5.2326820000000003E-2</v>
      </c>
      <c r="C4" s="21">
        <f>frac_sam_1_5months * 2.6</f>
        <v>5.2326820000000003E-2</v>
      </c>
      <c r="D4" s="21">
        <f>frac_sam_6_11months * 2.6</f>
        <v>1.7551819999999999E-2</v>
      </c>
      <c r="E4" s="21">
        <f>frac_sam_12_23months * 2.6</f>
        <v>3.32774E-3</v>
      </c>
      <c r="F4" s="21">
        <f>frac_sam_24_59months * 2.6</f>
        <v>1.5166319999999999E-2</v>
      </c>
    </row>
  </sheetData>
  <sheetProtection algorithmName="SHA-512" hashValue="NaPLwpa6fVjg1fzM/zc2Dk97jeTORkGmYb/j0z44O51MpJFxl7ckZu1U1ptrYP1CW/15Wn/A3nOsS21uN8kUZg==" saltValue="6+MccxW0tT6KiHko0T4dH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0.25800000000000001</v>
      </c>
      <c r="M24" s="60">
        <f>famplan_unmet_need</f>
        <v>0.25800000000000001</v>
      </c>
      <c r="N24" s="60">
        <f>famplan_unmet_need</f>
        <v>0.25800000000000001</v>
      </c>
      <c r="O24" s="60">
        <f>famplan_unmet_need</f>
        <v>0.25800000000000001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1.773935800170914E-2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7.6025820007324888E-3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1.0706338806152437E-2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0.96395172119140593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jlGvFCwAaAkTdoDXGA9BzXm0y+2PE0GosaV8IrF1Z5YhAZKctKtjTGqxUVlr3sszsKHCYWx9JSx3oTCK7L90kw==" saltValue="usRen7FaQEVaT1FRMUgtR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8O2KBbmvuXEgTavFaugavl52T+4rWB+q3K4dQmlezwf7aRBWUyp5cqdxdpzv4o3bQt+zf7W3qWON/dO/rnnEAw==" saltValue="btgcScGSFDtvFyKpBRKUS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hXXObXI+uAVO807OETVR0mJTKjmTj2z3DzeO6F7eN1FyLBbnPp+WlIX9RqV5R0QWttF5m7ZX/Q8ELUHfsXQ5nA==" saltValue="+a5XCpDfp5i0EedzHCx1S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8oMx7z9Q56OLyRCjhm1LaE6aRBr1sEXoSosDELTpkifeJvO9LdH405BAHju0P7eWEPMXUclymzQoZbpTpli3oQ==" saltValue="7wnHkPSPXjQWVxvLsZUwT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na6mvhN08mYf3QFF2KBz2aZyVTQOYwfFMT9Z68X9q2lKWQWLEQxMzjLWcOaQy2klHoH+2hgXN6+DawuQq4fcYQ==" saltValue="tPlgYMZgjK43c/q+OUjQu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04Xkm1+B5zXbTCDD8w0W00YExIkOsAlctO5Ase96qi/GeQ1nbj/OPSPy6Q6/+TpkmQti/TGSCoQ1FdMvSWQrgA==" saltValue="sTa1eRnpknUBfaYrKOaDf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LgH/LuMBTev9EL5VT+4feaw+cmhV7gVZpJmYtz+jajCChVeZq3z9F1z6aQqO0mlK2V4ea3cGHRZtYrLYkfXKeQ==" saltValue="aXlNqJvmCZQZLiJ51rqRm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sV5W5a2ojbTZHwQ8FvoCmijBMUcNKC2mBhOgCrfUK0VxeDXjByYn38EySWQBOUD1pO6/K8sgvGbV1nz/nNNhpA==" saltValue="yx3+4CWs9csnXEjjAi08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AhrTk0Ao5gGrihuxRUQ+lA6QEn497WVmO8XakWKJSSySpCzLjw5wOVbWOsErUZMlQ9hW3x16rg9Bus3l590Pug==" saltValue="4FRaa0WyF3fdRN1LlkiW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6fwXVgQ4eGq8TzNOItknpTZ3kOStC8h865c7mqIysaJ7oFmfBZEFbIq2G0DI1a1z467ncVLGuPD78oF30JU5ZQ==" saltValue="PaCxPqNzO34mww6heI7E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XOXQuCB93QF68LF3VxM8uVuMjULJ5fc9JMiZzxaLaST1UVjQn770crlJ5SkZSziF52ZV9L04OZp5CE6i3Q09kQ==" saltValue="Z5vPkyDTSVnBGPeNWMz9n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Kya7QaftnGjZ/FaOFiuba3VmS73pfnNj4APvlFI69C2PmBtc1WQRVz4MJXDaXqGG5lsK7uD8zF0G/SjJ/XW+9A==" saltValue="62lyLH/96gNoU3Ij5FMO9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tcBwNAy6OlRrNbDCYALdxuWrtRYIYXTdZDl2LQ1AzILFyhqoEeEYeQdkk2V1K0XRJH9Jt1aRfbg+ugc+V9RbA==" saltValue="dbdhc5ICDpfB7GON+/dzM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F9oQlBn8rVV9auB/q7T1ls5EOxrRvx/6r00276K+wr50tDdVssHrpoNIPXb3865wv29+n8PYAQ0jT4syL/WKIg==" saltValue="gyMRqK9RwFMRa2OY20DI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e7pjTXM5JS+rUqzdgQ+KiC1LrbvQyw1/M7IbT3eLEC5LnJT5hCal8konvphfovm4i3fqAaxQl8WgHpqsMD0m5Q==" saltValue="zSEefq5KvF393PEMzB0FE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2025-07-04T00:46:03Z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