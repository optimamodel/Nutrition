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889CC0DB-7433-45B1-95BC-32169ABD61B9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A37" i="2"/>
  <c r="A34" i="2"/>
  <c r="A29" i="2"/>
  <c r="A27" i="2"/>
  <c r="A25" i="2"/>
  <c r="A20" i="2"/>
  <c r="A18" i="2"/>
  <c r="A16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I5" i="2" s="1"/>
  <c r="H4" i="2"/>
  <c r="G4" i="2"/>
  <c r="H3" i="2"/>
  <c r="G3" i="2"/>
  <c r="A3" i="2"/>
  <c r="H2" i="2"/>
  <c r="G2" i="2"/>
  <c r="I2" i="2" s="1"/>
  <c r="A2" i="2"/>
  <c r="A40" i="2" s="1"/>
  <c r="C33" i="1"/>
  <c r="C20" i="1"/>
  <c r="I4" i="2" l="1"/>
  <c r="I8" i="2"/>
  <c r="I12" i="2"/>
  <c r="A19" i="2"/>
  <c r="A28" i="2"/>
  <c r="I38" i="2"/>
  <c r="A21" i="2"/>
  <c r="A23" i="2"/>
  <c r="A32" i="2"/>
  <c r="A31" i="2"/>
  <c r="A39" i="2"/>
  <c r="I6" i="2"/>
  <c r="I10" i="2"/>
  <c r="A15" i="2"/>
  <c r="A24" i="2"/>
  <c r="A33" i="2"/>
  <c r="I3" i="2"/>
  <c r="I7" i="2"/>
  <c r="I11" i="2"/>
  <c r="A17" i="2"/>
  <c r="A26" i="2"/>
  <c r="A35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<sst xmlns="http://schemas.openxmlformats.org/spreadsheetml/2006/main" count="2101" uniqueCount="341">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</sst>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437363.9921875</v>
      </c>
    </row>
    <row r="8" spans="1:3" ht="15" customHeight="1" x14ac:dyDescent="0.25">
      <c r="B8" s="5" t="s">
        <v>44</v>
      </c>
      <c r="C8" s="44">
        <v>0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0.96395172119140593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0.25800000000000001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5.7299999999999997E-2</v>
      </c>
    </row>
    <row r="24" spans="1:3" ht="15" customHeight="1" x14ac:dyDescent="0.25">
      <c r="B24" s="15" t="s">
        <v>46</v>
      </c>
      <c r="C24" s="45">
        <v>0.57350000000000001</v>
      </c>
    </row>
    <row r="25" spans="1:3" ht="15" customHeight="1" x14ac:dyDescent="0.25">
      <c r="B25" s="15" t="s">
        <v>47</v>
      </c>
      <c r="C25" s="45">
        <v>0.35089999999999999</v>
      </c>
    </row>
    <row r="26" spans="1:3" ht="15" customHeight="1" x14ac:dyDescent="0.25">
      <c r="B26" s="15" t="s">
        <v>48</v>
      </c>
      <c r="C26" s="45">
        <v>1.83E-2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0.57290349526853401</v>
      </c>
    </row>
    <row r="30" spans="1:3" ht="14.25" customHeight="1" x14ac:dyDescent="0.25">
      <c r="B30" s="25" t="s">
        <v>63</v>
      </c>
      <c r="C30" s="99">
        <v>2.97816918362898E-2</v>
      </c>
    </row>
    <row r="31" spans="1:3" ht="14.25" customHeight="1" x14ac:dyDescent="0.25">
      <c r="B31" s="25" t="s">
        <v>10</v>
      </c>
      <c r="C31" s="99">
        <v>2.5306962187057899E-2</v>
      </c>
    </row>
    <row r="32" spans="1:3" ht="14.25" customHeight="1" x14ac:dyDescent="0.25">
      <c r="B32" s="25" t="s">
        <v>11</v>
      </c>
      <c r="C32" s="99">
        <v>0.37200785070811798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0.87329999999999997</v>
      </c>
    </row>
    <row r="38" spans="1:5" ht="15" customHeight="1" x14ac:dyDescent="0.25">
      <c r="B38" s="11" t="s">
        <v>35</v>
      </c>
      <c r="C38" s="43">
        <v>2.0504600000000002</v>
      </c>
      <c r="D38" s="12"/>
      <c r="E38" s="13"/>
    </row>
    <row r="39" spans="1:5" ht="15" customHeight="1" x14ac:dyDescent="0.25">
      <c r="B39" s="11" t="s">
        <v>61</v>
      </c>
      <c r="C39" s="43">
        <v>2.7249400000000001</v>
      </c>
      <c r="D39" s="12"/>
      <c r="E39" s="12"/>
    </row>
    <row r="40" spans="1:5" ht="15" customHeight="1" x14ac:dyDescent="0.25">
      <c r="B40" s="11" t="s">
        <v>36</v>
      </c>
      <c r="C40" s="100">
        <v>0.01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2.18526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6.2438000000000007E-3</v>
      </c>
      <c r="D45" s="12"/>
    </row>
    <row r="46" spans="1:5" ht="15.75" customHeight="1" x14ac:dyDescent="0.25">
      <c r="B46" s="11" t="s">
        <v>51</v>
      </c>
      <c r="C46" s="45">
        <v>6.7088499999999995E-2</v>
      </c>
      <c r="D46" s="12"/>
    </row>
    <row r="47" spans="1:5" ht="15.75" customHeight="1" x14ac:dyDescent="0.25">
      <c r="B47" s="11" t="s">
        <v>59</v>
      </c>
      <c r="C47" s="45">
        <v>7.5063599999999994E-2</v>
      </c>
      <c r="D47" s="12"/>
      <c r="E47" s="13"/>
    </row>
    <row r="48" spans="1:5" ht="15" customHeight="1" x14ac:dyDescent="0.25">
      <c r="B48" s="11" t="s">
        <v>58</v>
      </c>
      <c r="C48" s="46">
        <v>0.85160409999999997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0.64647999999999994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5.0638231999999901E-2</v>
      </c>
    </row>
    <row r="63" spans="1:4" ht="15.75" customHeight="1" x14ac:dyDescent="0.3">
      <c r="A63" s="4"/>
    </row>
  </sheetData>
  <sheetProtection algorithmName="SHA-512" hashValue="Uu5yrdqcLz5r5CCpjJEZEQJvghAiM2Y+GX0B08EVtHTXhVErIKiUiQ3zfAJQbygZe8i3aSnhMX5dkeY0WAgnqQ==" saltValue="6Phpj9Un8BUghqgiSznh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84358</v>
      </c>
      <c r="C2" s="49">
        <v>308980.5</v>
      </c>
      <c r="D2" s="49">
        <v>457803</v>
      </c>
      <c r="E2" s="49">
        <v>719656.5</v>
      </c>
      <c r="F2" s="49">
        <v>665176</v>
      </c>
      <c r="G2" s="17">
        <f t="shared" ref="G2:G13" si="0">C2+D2+E2+F2</f>
        <v>2151616</v>
      </c>
      <c r="H2" s="17">
        <f t="shared" ref="H2:H13" si="1">(B2 + stillbirth*B2/(1000-stillbirth))/(1-abortion)</f>
        <v>96071.304415049672</v>
      </c>
      <c r="I2" s="17">
        <f t="shared" ref="I2:I13" si="2">G2-H2</f>
        <v>2055544.6955849503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82810</v>
      </c>
      <c r="C3" s="50">
        <v>317317</v>
      </c>
      <c r="D3" s="50">
        <v>454931.5</v>
      </c>
      <c r="E3" s="50">
        <v>686342.49999999988</v>
      </c>
      <c r="F3" s="50">
        <v>678570</v>
      </c>
      <c r="G3" s="17">
        <f t="shared" si="0"/>
        <v>2137161</v>
      </c>
      <c r="H3" s="17">
        <f t="shared" si="1"/>
        <v>94308.361016267139</v>
      </c>
      <c r="I3" s="17">
        <f t="shared" si="2"/>
        <v>2042852.6389837328</v>
      </c>
    </row>
    <row r="4" spans="1:9" ht="15.75" customHeight="1" x14ac:dyDescent="0.25">
      <c r="A4" s="5">
        <f t="shared" si="3"/>
        <v>2026</v>
      </c>
      <c r="B4" s="49">
        <v>81437</v>
      </c>
      <c r="C4" s="50">
        <v>325944.5</v>
      </c>
      <c r="D4" s="50">
        <v>456785</v>
      </c>
      <c r="E4" s="50">
        <v>649006</v>
      </c>
      <c r="F4" s="50">
        <v>691224.49999999988</v>
      </c>
      <c r="G4" s="17">
        <f t="shared" si="0"/>
        <v>2122960</v>
      </c>
      <c r="H4" s="17">
        <f t="shared" si="1"/>
        <v>92744.716774323722</v>
      </c>
      <c r="I4" s="17">
        <f t="shared" si="2"/>
        <v>2030215.2832256763</v>
      </c>
    </row>
    <row r="5" spans="1:9" ht="15.75" customHeight="1" x14ac:dyDescent="0.25">
      <c r="A5" s="5">
        <f t="shared" si="3"/>
        <v>2027</v>
      </c>
      <c r="B5" s="49">
        <v>80379</v>
      </c>
      <c r="C5" s="50">
        <v>333959</v>
      </c>
      <c r="D5" s="50">
        <v>463250.5</v>
      </c>
      <c r="E5" s="50">
        <v>610573</v>
      </c>
      <c r="F5" s="50">
        <v>703440</v>
      </c>
      <c r="G5" s="17">
        <f t="shared" si="0"/>
        <v>2111222.5</v>
      </c>
      <c r="H5" s="17">
        <f t="shared" si="1"/>
        <v>91539.811014690698</v>
      </c>
      <c r="I5" s="17">
        <f t="shared" si="2"/>
        <v>2019682.6889853093</v>
      </c>
    </row>
    <row r="6" spans="1:9" ht="15.75" customHeight="1" x14ac:dyDescent="0.25">
      <c r="A6" s="5">
        <f t="shared" si="3"/>
        <v>2028</v>
      </c>
      <c r="B6" s="49">
        <v>79369</v>
      </c>
      <c r="C6" s="50">
        <v>339969.50000000012</v>
      </c>
      <c r="D6" s="50">
        <v>472149.5</v>
      </c>
      <c r="E6" s="50">
        <v>575162</v>
      </c>
      <c r="F6" s="50">
        <v>712751.5</v>
      </c>
      <c r="G6" s="17">
        <f t="shared" si="0"/>
        <v>2100032.5</v>
      </c>
      <c r="H6" s="17">
        <f t="shared" si="1"/>
        <v>90389.570166647813</v>
      </c>
      <c r="I6" s="17">
        <f t="shared" si="2"/>
        <v>2009642.9298333521</v>
      </c>
    </row>
    <row r="7" spans="1:9" ht="15.75" customHeight="1" x14ac:dyDescent="0.25">
      <c r="A7" s="5">
        <f t="shared" si="3"/>
        <v>2029</v>
      </c>
      <c r="B7" s="49">
        <v>78784</v>
      </c>
      <c r="C7" s="50">
        <v>343664.50000000012</v>
      </c>
      <c r="D7" s="50">
        <v>482290</v>
      </c>
      <c r="E7" s="50">
        <v>543747</v>
      </c>
      <c r="F7" s="50">
        <v>717762.5</v>
      </c>
      <c r="G7" s="17">
        <f t="shared" si="0"/>
        <v>2087464</v>
      </c>
      <c r="H7" s="17">
        <f t="shared" si="1"/>
        <v>89723.341556642801</v>
      </c>
      <c r="I7" s="17">
        <f t="shared" si="2"/>
        <v>1997740.6584433571</v>
      </c>
    </row>
    <row r="8" spans="1:9" ht="15.75" customHeight="1" x14ac:dyDescent="0.25">
      <c r="A8" s="5">
        <f t="shared" si="3"/>
        <v>2030</v>
      </c>
      <c r="B8" s="49">
        <v>78527</v>
      </c>
      <c r="C8" s="50">
        <v>345508.49999999988</v>
      </c>
      <c r="D8" s="50">
        <v>491869</v>
      </c>
      <c r="E8" s="50">
        <v>518108.5</v>
      </c>
      <c r="F8" s="50">
        <v>719119.5</v>
      </c>
      <c r="G8" s="17">
        <f t="shared" si="0"/>
        <v>2074605.5</v>
      </c>
      <c r="H8" s="17">
        <f t="shared" si="1"/>
        <v>89430.656509170498</v>
      </c>
      <c r="I8" s="17">
        <f t="shared" si="2"/>
        <v>1985174.8434908295</v>
      </c>
    </row>
    <row r="9" spans="1:9" ht="15.75" customHeight="1" x14ac:dyDescent="0.25">
      <c r="A9" s="5">
        <f t="shared" si="3"/>
        <v>2031</v>
      </c>
      <c r="B9" s="49">
        <v>78304</v>
      </c>
      <c r="C9" s="50">
        <v>343245</v>
      </c>
      <c r="D9" s="50">
        <v>500547</v>
      </c>
      <c r="E9" s="50">
        <v>498002.5</v>
      </c>
      <c r="F9" s="50">
        <v>715076</v>
      </c>
      <c r="G9" s="17">
        <f t="shared" si="0"/>
        <v>2056870.5</v>
      </c>
      <c r="H9" s="17">
        <f t="shared" si="1"/>
        <v>89176.69244074123</v>
      </c>
      <c r="I9" s="17">
        <f t="shared" si="2"/>
        <v>1967693.8075592588</v>
      </c>
    </row>
    <row r="10" spans="1:9" ht="15.75" customHeight="1" x14ac:dyDescent="0.25">
      <c r="A10" s="5">
        <f t="shared" si="3"/>
        <v>2032</v>
      </c>
      <c r="B10" s="49">
        <v>78358</v>
      </c>
      <c r="C10" s="50">
        <v>333806</v>
      </c>
      <c r="D10" s="50">
        <v>511994</v>
      </c>
      <c r="E10" s="50">
        <v>480966.5</v>
      </c>
      <c r="F10" s="50">
        <v>702748.5</v>
      </c>
      <c r="G10" s="17">
        <f t="shared" si="0"/>
        <v>2029515</v>
      </c>
      <c r="H10" s="17">
        <f t="shared" si="1"/>
        <v>89238.190466280153</v>
      </c>
      <c r="I10" s="17">
        <f t="shared" si="2"/>
        <v>1940276.8095337199</v>
      </c>
    </row>
    <row r="11" spans="1:9" ht="15.75" customHeight="1" x14ac:dyDescent="0.25">
      <c r="A11" s="5">
        <f t="shared" si="3"/>
        <v>2033</v>
      </c>
      <c r="B11" s="49">
        <v>78861</v>
      </c>
      <c r="C11" s="50">
        <v>319880.00000000012</v>
      </c>
      <c r="D11" s="50">
        <v>525324</v>
      </c>
      <c r="E11" s="50">
        <v>467907</v>
      </c>
      <c r="F11" s="50">
        <v>682938.5</v>
      </c>
      <c r="G11" s="17">
        <f t="shared" si="0"/>
        <v>1996049.5</v>
      </c>
      <c r="H11" s="17">
        <f t="shared" si="1"/>
        <v>89811.033185652006</v>
      </c>
      <c r="I11" s="17">
        <f t="shared" si="2"/>
        <v>1906238.466814348</v>
      </c>
    </row>
    <row r="12" spans="1:9" ht="15.75" customHeight="1" x14ac:dyDescent="0.25">
      <c r="A12" s="5">
        <f t="shared" si="3"/>
        <v>2034</v>
      </c>
      <c r="B12" s="49">
        <v>79154</v>
      </c>
      <c r="C12" s="50">
        <v>304728</v>
      </c>
      <c r="D12" s="50">
        <v>538200.5</v>
      </c>
      <c r="E12" s="50">
        <v>460255.5</v>
      </c>
      <c r="F12" s="50">
        <v>659275.5</v>
      </c>
      <c r="G12" s="17">
        <f t="shared" si="0"/>
        <v>1962459.5</v>
      </c>
      <c r="H12" s="17">
        <f t="shared" si="1"/>
        <v>90144.71691681692</v>
      </c>
      <c r="I12" s="17">
        <f t="shared" si="2"/>
        <v>1872314.783083183</v>
      </c>
    </row>
    <row r="13" spans="1:9" ht="15.75" customHeight="1" x14ac:dyDescent="0.25">
      <c r="A13" s="5">
        <f t="shared" si="3"/>
        <v>2035</v>
      </c>
      <c r="B13" s="49">
        <v>80327</v>
      </c>
      <c r="C13" s="50">
        <v>289238.5</v>
      </c>
      <c r="D13" s="50">
        <v>549841</v>
      </c>
      <c r="E13" s="50">
        <v>457967</v>
      </c>
      <c r="F13" s="50">
        <v>631411</v>
      </c>
      <c r="G13" s="17">
        <f t="shared" si="0"/>
        <v>1928457.5</v>
      </c>
      <c r="H13" s="17">
        <f t="shared" si="1"/>
        <v>91480.59069380135</v>
      </c>
      <c r="I13" s="17">
        <f t="shared" si="2"/>
        <v>1836976.9093061986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2tIbjY5O8CHBDJfZy7X1c3ucsJB9og/BtLm3GjYJeCKrqah/0ELpioSsuIdDwvosC8McO8bSLQJAER8taYa8hA==" saltValue="v6rB/N5ysikIzgqzjR+GS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4.5424600000000009E-2</v>
      </c>
    </row>
    <row r="5" spans="1:8" ht="15.75" customHeight="1" x14ac:dyDescent="0.25">
      <c r="B5" s="19" t="s">
        <v>95</v>
      </c>
      <c r="C5" s="101">
        <v>1.7769299999999998E-2</v>
      </c>
    </row>
    <row r="6" spans="1:8" ht="15.75" customHeight="1" x14ac:dyDescent="0.25">
      <c r="B6" s="19" t="s">
        <v>91</v>
      </c>
      <c r="C6" s="101">
        <v>0.14635760000000009</v>
      </c>
    </row>
    <row r="7" spans="1:8" ht="15.75" customHeight="1" x14ac:dyDescent="0.25">
      <c r="B7" s="19" t="s">
        <v>96</v>
      </c>
      <c r="C7" s="101">
        <v>0.369857399999999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0.31618180000000068</v>
      </c>
    </row>
    <row r="10" spans="1:8" ht="15.75" customHeight="1" x14ac:dyDescent="0.25">
      <c r="B10" s="19" t="s">
        <v>94</v>
      </c>
      <c r="C10" s="101">
        <v>0.10440930000000009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7.7919947146150147E-3</v>
      </c>
      <c r="D14" s="55">
        <v>7.7919947146150147E-3</v>
      </c>
      <c r="E14" s="55">
        <v>7.7919947146150147E-3</v>
      </c>
      <c r="F14" s="55">
        <v>7.7919947146150147E-3</v>
      </c>
    </row>
    <row r="15" spans="1:8" ht="15.75" customHeight="1" x14ac:dyDescent="0.25">
      <c r="B15" s="19" t="s">
        <v>102</v>
      </c>
      <c r="C15" s="101">
        <v>8.4127530830723177E-2</v>
      </c>
      <c r="D15" s="101">
        <v>8.4127530830723177E-2</v>
      </c>
      <c r="E15" s="101">
        <v>8.4127530830723177E-2</v>
      </c>
      <c r="F15" s="101">
        <v>8.4127530830723177E-2</v>
      </c>
    </row>
    <row r="16" spans="1:8" ht="15.75" customHeight="1" x14ac:dyDescent="0.25">
      <c r="B16" s="19" t="s">
        <v>2</v>
      </c>
      <c r="C16" s="101">
        <v>2.473115043862726E-2</v>
      </c>
      <c r="D16" s="101">
        <v>2.473115043862726E-2</v>
      </c>
      <c r="E16" s="101">
        <v>2.473115043862726E-2</v>
      </c>
      <c r="F16" s="101">
        <v>2.473115043862726E-2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5.8802966437170853E-2</v>
      </c>
      <c r="D19" s="101">
        <v>5.8802966437170853E-2</v>
      </c>
      <c r="E19" s="101">
        <v>5.8802966437170853E-2</v>
      </c>
      <c r="F19" s="101">
        <v>5.8802966437170853E-2</v>
      </c>
    </row>
    <row r="20" spans="1:8" ht="15.75" customHeight="1" x14ac:dyDescent="0.25">
      <c r="B20" s="19" t="s">
        <v>79</v>
      </c>
      <c r="C20" s="101">
        <v>0.46405541621651591</v>
      </c>
      <c r="D20" s="101">
        <v>0.46405541621651591</v>
      </c>
      <c r="E20" s="101">
        <v>0.46405541621651591</v>
      </c>
      <c r="F20" s="101">
        <v>0.46405541621651591</v>
      </c>
    </row>
    <row r="21" spans="1:8" ht="15.75" customHeight="1" x14ac:dyDescent="0.25">
      <c r="B21" s="19" t="s">
        <v>88</v>
      </c>
      <c r="C21" s="101">
        <v>0.3224494270929934</v>
      </c>
      <c r="D21" s="101">
        <v>0.3224494270929934</v>
      </c>
      <c r="E21" s="101">
        <v>0.3224494270929934</v>
      </c>
      <c r="F21" s="101">
        <v>0.3224494270929934</v>
      </c>
    </row>
    <row r="22" spans="1:8" ht="15.75" customHeight="1" x14ac:dyDescent="0.25">
      <c r="B22" s="19" t="s">
        <v>99</v>
      </c>
      <c r="C22" s="101">
        <v>3.8041514269354551E-2</v>
      </c>
      <c r="D22" s="101">
        <v>3.8041514269354551E-2</v>
      </c>
      <c r="E22" s="101">
        <v>3.8041514269354551E-2</v>
      </c>
      <c r="F22" s="101">
        <v>3.8041514269354551E-2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5.5138011000000001E-2</v>
      </c>
    </row>
    <row r="27" spans="1:8" ht="15.75" customHeight="1" x14ac:dyDescent="0.25">
      <c r="B27" s="19" t="s">
        <v>89</v>
      </c>
      <c r="C27" s="101">
        <v>5.8021491999999987E-2</v>
      </c>
    </row>
    <row r="28" spans="1:8" ht="15.75" customHeight="1" x14ac:dyDescent="0.25">
      <c r="B28" s="19" t="s">
        <v>103</v>
      </c>
      <c r="C28" s="101">
        <v>0.12039119400000001</v>
      </c>
    </row>
    <row r="29" spans="1:8" ht="15.75" customHeight="1" x14ac:dyDescent="0.25">
      <c r="B29" s="19" t="s">
        <v>86</v>
      </c>
      <c r="C29" s="101">
        <v>0.13459314</v>
      </c>
    </row>
    <row r="30" spans="1:8" ht="15.75" customHeight="1" x14ac:dyDescent="0.25">
      <c r="B30" s="19" t="s">
        <v>4</v>
      </c>
      <c r="C30" s="101">
        <v>8.1866218000000004E-2</v>
      </c>
    </row>
    <row r="31" spans="1:8" ht="15.75" customHeight="1" x14ac:dyDescent="0.25">
      <c r="B31" s="19" t="s">
        <v>80</v>
      </c>
      <c r="C31" s="101">
        <v>6.5181787000000005E-2</v>
      </c>
    </row>
    <row r="32" spans="1:8" ht="15.75" customHeight="1" x14ac:dyDescent="0.25">
      <c r="B32" s="19" t="s">
        <v>85</v>
      </c>
      <c r="C32" s="101">
        <v>0.13227402499999999</v>
      </c>
    </row>
    <row r="33" spans="2:3" ht="15.75" customHeight="1" x14ac:dyDescent="0.25">
      <c r="B33" s="19" t="s">
        <v>100</v>
      </c>
      <c r="C33" s="101">
        <v>0.124908043</v>
      </c>
    </row>
    <row r="34" spans="2:3" ht="15.75" customHeight="1" x14ac:dyDescent="0.25">
      <c r="B34" s="19" t="s">
        <v>87</v>
      </c>
      <c r="C34" s="101">
        <v>0.22762609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pvucb4jXKFd1BTV3Typ2DK0EGTGJCzf0oHLHBc4HddbjXl2kQ2dgtjcOSi8+A8oYuAKUxoSOfzh8//LxzcE/rA==" saltValue="f2CMC/BLhDzeWiQStbkuq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0.63739772195389532</v>
      </c>
      <c r="D2" s="52">
        <f>IFERROR(1-_xlfn.NORM.DIST(_xlfn.NORM.INV(SUM(D4:D5), 0, 1) + 1, 0, 1, TRUE), "")</f>
        <v>0.63739772195389532</v>
      </c>
      <c r="E2" s="52">
        <f>IFERROR(1-_xlfn.NORM.DIST(_xlfn.NORM.INV(SUM(E4:E5), 0, 1) + 1, 0, 1, TRUE), "")</f>
        <v>0.70722485562277604</v>
      </c>
      <c r="F2" s="52">
        <f>IFERROR(1-_xlfn.NORM.DIST(_xlfn.NORM.INV(SUM(F4:F5), 0, 1) + 1, 0, 1, TRUE), "")</f>
        <v>0.77522141936932853</v>
      </c>
      <c r="G2" s="52">
        <f>IFERROR(1-_xlfn.NORM.DIST(_xlfn.NORM.INV(SUM(G4:G5), 0, 1) + 1, 0, 1, TRUE), "")</f>
        <v>0.78753144720065926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0.27433647804610461</v>
      </c>
      <c r="D3" s="52">
        <f>IFERROR(_xlfn.NORM.DIST(_xlfn.NORM.INV(SUM(D4:D5), 0, 1) + 1, 0, 1, TRUE) - SUM(D4:D5), "")</f>
        <v>0.27433647804610461</v>
      </c>
      <c r="E3" s="52">
        <f>IFERROR(_xlfn.NORM.DIST(_xlfn.NORM.INV(SUM(E4:E5), 0, 1) + 1, 0, 1, TRUE) - SUM(E4:E5), "")</f>
        <v>0.2316377443772239</v>
      </c>
      <c r="F3" s="52">
        <f>IFERROR(_xlfn.NORM.DIST(_xlfn.NORM.INV(SUM(F4:F5), 0, 1) + 1, 0, 1, TRUE) - SUM(F4:F5), "")</f>
        <v>0.18524748063067148</v>
      </c>
      <c r="G3" s="52">
        <f>IFERROR(_xlfn.NORM.DIST(_xlfn.NORM.INV(SUM(G4:G5), 0, 1) + 1, 0, 1, TRUE) - SUM(G4:G5), "")</f>
        <v>0.1763709527993407</v>
      </c>
    </row>
    <row r="4" spans="1:15" ht="15.75" customHeight="1" x14ac:dyDescent="0.25">
      <c r="B4" s="5" t="s">
        <v>110</v>
      </c>
      <c r="C4" s="45">
        <v>7.97017E-2</v>
      </c>
      <c r="D4" s="53">
        <v>7.97017E-2</v>
      </c>
      <c r="E4" s="53">
        <v>2.3720999999999999E-2</v>
      </c>
      <c r="F4" s="53">
        <v>2.1841300000000001E-2</v>
      </c>
      <c r="G4" s="53">
        <v>2.86316E-2</v>
      </c>
    </row>
    <row r="5" spans="1:15" ht="15.75" customHeight="1" x14ac:dyDescent="0.25">
      <c r="B5" s="5" t="s">
        <v>106</v>
      </c>
      <c r="C5" s="45">
        <v>8.5640999999999998E-3</v>
      </c>
      <c r="D5" s="53">
        <v>8.5640999999999998E-3</v>
      </c>
      <c r="E5" s="53">
        <v>3.7416400000000002E-2</v>
      </c>
      <c r="F5" s="53">
        <v>1.7689799999999999E-2</v>
      </c>
      <c r="G5" s="53">
        <v>7.4660000000000004E-3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0.65625787131242952</v>
      </c>
      <c r="D8" s="52">
        <f>IFERROR(1-_xlfn.NORM.DIST(_xlfn.NORM.INV(SUM(D10:D11), 0, 1) + 1, 0, 1, TRUE), "")</f>
        <v>0.65625787131242952</v>
      </c>
      <c r="E8" s="52">
        <f>IFERROR(1-_xlfn.NORM.DIST(_xlfn.NORM.INV(SUM(E10:E11), 0, 1) + 1, 0, 1, TRUE), "")</f>
        <v>0.86702480875068366</v>
      </c>
      <c r="F8" s="52">
        <f>IFERROR(1-_xlfn.NORM.DIST(_xlfn.NORM.INV(SUM(F10:F11), 0, 1) + 1, 0, 1, TRUE), "")</f>
        <v>0.96277395242881758</v>
      </c>
      <c r="G8" s="52">
        <f>IFERROR(1-_xlfn.NORM.DIST(_xlfn.NORM.INV(SUM(G10:G11), 0, 1) + 1, 0, 1, TRUE), "")</f>
        <v>0.85710552219452829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0.26332502868757046</v>
      </c>
      <c r="D9" s="52">
        <f>IFERROR(_xlfn.NORM.DIST(_xlfn.NORM.INV(SUM(D10:D11), 0, 1) + 1, 0, 1, TRUE) - SUM(D10:D11), "")</f>
        <v>0.26332502868757046</v>
      </c>
      <c r="E9" s="52">
        <f>IFERROR(_xlfn.NORM.DIST(_xlfn.NORM.INV(SUM(E10:E11), 0, 1) + 1, 0, 1, TRUE) - SUM(E10:E11), "")</f>
        <v>0.11565069124931635</v>
      </c>
      <c r="F9" s="52">
        <f>IFERROR(_xlfn.NORM.DIST(_xlfn.NORM.INV(SUM(F10:F11), 0, 1) + 1, 0, 1, TRUE) - SUM(F10:F11), "")</f>
        <v>3.4539947571182464E-2</v>
      </c>
      <c r="G9" s="52">
        <f>IFERROR(_xlfn.NORM.DIST(_xlfn.NORM.INV(SUM(G10:G11), 0, 1) + 1, 0, 1, TRUE) - SUM(G10:G11), "")</f>
        <v>0.12354647780547173</v>
      </c>
    </row>
    <row r="10" spans="1:15" ht="15.75" customHeight="1" x14ac:dyDescent="0.25">
      <c r="B10" s="5" t="s">
        <v>107</v>
      </c>
      <c r="C10" s="45">
        <v>6.0291400000000002E-2</v>
      </c>
      <c r="D10" s="53">
        <v>6.0291400000000002E-2</v>
      </c>
      <c r="E10" s="53">
        <v>1.05738E-2</v>
      </c>
      <c r="F10" s="53">
        <v>1.4062E-3</v>
      </c>
      <c r="G10" s="53">
        <v>1.35148E-2</v>
      </c>
    </row>
    <row r="11" spans="1:15" ht="15.75" customHeight="1" x14ac:dyDescent="0.25">
      <c r="B11" s="5" t="s">
        <v>119</v>
      </c>
      <c r="C11" s="45">
        <v>2.01257E-2</v>
      </c>
      <c r="D11" s="53">
        <v>2.01257E-2</v>
      </c>
      <c r="E11" s="53">
        <v>6.7506999999999992E-3</v>
      </c>
      <c r="F11" s="53">
        <v>1.2799E-3</v>
      </c>
      <c r="G11" s="53">
        <v>5.8331999999999993E-3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0.24705571949999999</v>
      </c>
      <c r="D14" s="54">
        <v>0.22576595799400001</v>
      </c>
      <c r="E14" s="54">
        <v>0.22576595799400001</v>
      </c>
      <c r="F14" s="54">
        <v>9.01791644541E-2</v>
      </c>
      <c r="G14" s="54">
        <v>9.01791644541E-2</v>
      </c>
      <c r="H14" s="45">
        <v>0.24099999999999999</v>
      </c>
      <c r="I14" s="55">
        <v>0.24099999999999999</v>
      </c>
      <c r="J14" s="55">
        <v>0.24099999999999999</v>
      </c>
      <c r="K14" s="55">
        <v>0.24099999999999999</v>
      </c>
      <c r="L14" s="45">
        <v>0.22600000000000001</v>
      </c>
      <c r="M14" s="55">
        <v>0.22600000000000001</v>
      </c>
      <c r="N14" s="55">
        <v>0.22600000000000001</v>
      </c>
      <c r="O14" s="55">
        <v>0.22600000000000001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0.15971658154235999</v>
      </c>
      <c r="D15" s="52">
        <f t="shared" si="0"/>
        <v>0.14595317652396111</v>
      </c>
      <c r="E15" s="52">
        <f t="shared" si="0"/>
        <v>0.14595317652396111</v>
      </c>
      <c r="F15" s="52">
        <f t="shared" si="0"/>
        <v>5.8299026236286564E-2</v>
      </c>
      <c r="G15" s="52">
        <f t="shared" si="0"/>
        <v>5.8299026236286564E-2</v>
      </c>
      <c r="H15" s="52">
        <f t="shared" si="0"/>
        <v>0.15580167999999997</v>
      </c>
      <c r="I15" s="52">
        <f t="shared" si="0"/>
        <v>0.15580167999999997</v>
      </c>
      <c r="J15" s="52">
        <f t="shared" si="0"/>
        <v>0.15580167999999997</v>
      </c>
      <c r="K15" s="52">
        <f t="shared" si="0"/>
        <v>0.15580167999999997</v>
      </c>
      <c r="L15" s="52">
        <f t="shared" si="0"/>
        <v>0.14610447999999998</v>
      </c>
      <c r="M15" s="52">
        <f t="shared" si="0"/>
        <v>0.14610447999999998</v>
      </c>
      <c r="N15" s="52">
        <f t="shared" si="0"/>
        <v>0.14610447999999998</v>
      </c>
      <c r="O15" s="52">
        <f t="shared" si="0"/>
        <v>0.14610447999999998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QBiebLEuxEqxI4k6dgjc6KNbg1OH/3RU74f7myi3X9toYOAnwfYT3ExLFFZLXbSH3dDC1YtguWIh3oh2bwrTw==" saltValue="BjBHWhRA8VL3vevdN1DF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0.43329620000000002</v>
      </c>
      <c r="D2" s="53">
        <v>0.18631239999999999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0.2510193</v>
      </c>
      <c r="D3" s="53">
        <v>0.18873329999999999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0.1494074</v>
      </c>
      <c r="D4" s="53">
        <v>0.20997060000000001</v>
      </c>
      <c r="E4" s="53">
        <v>0.36932389999999998</v>
      </c>
      <c r="F4" s="53">
        <v>0.1736338</v>
      </c>
      <c r="G4" s="53">
        <v>0</v>
      </c>
    </row>
    <row r="5" spans="1:7" x14ac:dyDescent="0.25">
      <c r="B5" s="3" t="s">
        <v>125</v>
      </c>
      <c r="C5" s="52">
        <v>0.16627720000000001</v>
      </c>
      <c r="D5" s="52">
        <v>0.41498380000000001</v>
      </c>
      <c r="E5" s="52">
        <f>1-SUM(E2:E4)</f>
        <v>0.63067610000000007</v>
      </c>
      <c r="F5" s="52">
        <f>1-SUM(F2:F4)</f>
        <v>0.82636620000000005</v>
      </c>
      <c r="G5" s="52">
        <f>1-SUM(G2:G4)</f>
        <v>1</v>
      </c>
    </row>
  </sheetData>
  <sheetProtection algorithmName="SHA-512" hashValue="+VhOb2UnLwhZRNELRXQr+fWsd2/RUsygWryRw9F5y7kU0SroWhAm23ojIweluIgd7ssMmIuYN0y1TdwWX92TOQ==" saltValue="Mc/MOI44BzouT3A5DbhEX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H8eakNyDsdcgHjx55MRz8Hqafcoz9tOqHYcQN7YgGbeZ7+HD3em9zoOeugHFJCZlvpP7oN9lPHN0ZNLowpNEg==" saltValue="rVbufKmNm2ZtL3klqwPpx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9pz9c/a2epypYmoOCGfhfC/LaYKVLPhyK17VqW/PUl5SKcvrxfjlqbqXGtVOV6v7Ok7SPtta4xrU533gfQGFlQ==" saltValue="OO7HcF/GsKszPeu7Lcwzd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2LAleKpxQEYRvdRu1bx58ykt/HPgz9et0WwslwXdlVMYbN2lm+5osQOTSEc1o4wv3bkCfn3DdZ1kcBJzS4zsZA==" saltValue="HmYOS5PQaFb1dLC2/MIRP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17GeXSgz4p2FRN1tByZxyJYCAR1+EUEIBV3WNLd+T4JpWJNwlY5OxhtD8QAAoLyGkqobHuYxFRlbBbElW0Rwng==" saltValue="hRahkkV87rh9yhhN6vHyq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63.421848665062683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40.000995134003318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498.94277630498448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13.635817046321829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13.13329457779923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13.13329457779923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13.13329457779923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13.13329457779923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13.13329457779923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13.13329457779923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0.84006037769458042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0.18631239999999999</v>
      </c>
      <c r="C18" s="98">
        <v>0.95</v>
      </c>
      <c r="D18" s="56">
        <v>11.47697383223603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0.18631239999999999</v>
      </c>
      <c r="C19" s="98">
        <v>0.95</v>
      </c>
      <c r="D19" s="56">
        <v>11.47697383223603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134.72675449417599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22.72737563050903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4.355034620978258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0.91739417245447996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18.696975825051741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0.52661570000000002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0.69994709999999993</v>
      </c>
      <c r="C29" s="98">
        <v>0.95</v>
      </c>
      <c r="D29" s="56">
        <v>125.9554584200983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0.8476197124550896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1.8161937938239601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0.44281280000000001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0.31885570000000002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0.97181479999999998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7.3998900000000006E-2</v>
      </c>
      <c r="C38" s="98">
        <v>0.95</v>
      </c>
      <c r="D38" s="56">
        <v>2.018253434489619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tMrhhwvI0lPjCaYqKkfVJ6+rCNp8o8Uic0vO/sG/KClJT8+48W5WJZdlDCMVK0Q1TgpfySxkimjZA5m0Cy5OAQ==" saltValue="0S2mX2NBXv/F5vfgDvQH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FW0sQ3zRKoHSa8GfXmYzRUrfldmJh7XWzSKSNTTkGi0fBf9ITJfa1X2jOjjJ2GdvbAVithj2Uo1Eo+A3IY0aKA==" saltValue="6ZvSspVjCVs1z1wWfUQ6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Mze0azOYTvcxbs0/2leyaNQazmFi9w11RnLVQ0FvB1IeiqThdDc+SzxbAi6lTgZaYWEOe0UtK/LQEmAlEtewTA==" saltValue="xZM/kxa3YaUNs98pzwWt8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0.15675764</v>
      </c>
      <c r="C3" s="21">
        <f>frac_mam_1_5months * 2.6</f>
        <v>0.15675764</v>
      </c>
      <c r="D3" s="21">
        <f>frac_mam_6_11months * 2.6</f>
        <v>2.749188E-2</v>
      </c>
      <c r="E3" s="21">
        <f>frac_mam_12_23months * 2.6</f>
        <v>3.6561200000000001E-3</v>
      </c>
      <c r="F3" s="21">
        <f>frac_mam_24_59months * 2.6</f>
        <v>3.513848E-2</v>
      </c>
    </row>
    <row r="4" spans="1:6" ht="15.75" customHeight="1" x14ac:dyDescent="0.25">
      <c r="A4" s="3" t="s">
        <v>207</v>
      </c>
      <c r="B4" s="21">
        <f>frac_sam_1month * 2.6</f>
        <v>5.2326820000000003E-2</v>
      </c>
      <c r="C4" s="21">
        <f>frac_sam_1_5months * 2.6</f>
        <v>5.2326820000000003E-2</v>
      </c>
      <c r="D4" s="21">
        <f>frac_sam_6_11months * 2.6</f>
        <v>1.7551819999999999E-2</v>
      </c>
      <c r="E4" s="21">
        <f>frac_sam_12_23months * 2.6</f>
        <v>3.32774E-3</v>
      </c>
      <c r="F4" s="21">
        <f>frac_sam_24_59months * 2.6</f>
        <v>1.5166319999999999E-2</v>
      </c>
    </row>
  </sheetData>
  <sheetProtection algorithmName="SHA-512" hashValue="dBNmEuuMMrOmKx1BBWvkyzyHmUoy5NgC7q5I1dQHb/+wX9ge6eKXpwIzVHglrJF1VKcbVXreNw10uvkgSSeweg==" saltValue="q40tRCTfZLqwaAbt0mPYi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0.25800000000000001</v>
      </c>
      <c r="M24" s="60">
        <f>famplan_unmet_need</f>
        <v>0.25800000000000001</v>
      </c>
      <c r="N24" s="60">
        <f>famplan_unmet_need</f>
        <v>0.25800000000000001</v>
      </c>
      <c r="O24" s="60">
        <f>famplan_unmet_need</f>
        <v>0.25800000000000001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1.7663656616211092E-2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7.5701385498047544E-3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1.0814483642578221E-2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0.96395172119140593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IuK/ne4MVZbBdXVk9t7QYDOwtNHpJSTViyw21Q9W6D3Hx6iNunSrTLE+RiJqSRD6aXZfGaMHL63Yz430qdT6w==" saltValue="WnvgVlaSKMcl8AWhCDVv1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VUbzEmVbAjDI26UdmB7I1ukicdYXoJ0WNQrqeUJcmpQcqsD7mROOzMoj8osng4Dj/iYbMWEbe/wemHPq1rcNUA==" saltValue="QtXR931A5fzLTp4c4OaXW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IJM9Y7EYsxwldx8YWm7zcY8MCCBwG2xfSam7+zXgX9nIrL5tGn3FcXfBvVfLAKrts2fCbmFvxW2Uuac/xubXw==" saltValue="wY7ECNzsM3PRWQsQioCyU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6wACZUABd21i0lFx9yOygdxqOeQNaDYcq2vBIeVRFsOaRVA/f2pFifnzWNqDrphN9c9HE+H7SKw+gZV+MTCd0A==" saltValue="ILORRzIsUzN3haF8Cookv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YXK2NCACBWAGE00dIjZj6jesyxj8V6vfue0PhlNW7J2LTDyCkJE0SAAMHPpdU0N6SGasVieUxtwBFpOQixDTmQ==" saltValue="zHaNKEuRlMrL7/h1K21XQ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27H9MYcZhVARsc9U6AG50daLyIPllXZQ50SdTAQ/bmQDtjKMSzUnHgpS0WHESYVo64nAxybsDhcnzKKuO1Skwg==" saltValue="Nxu6UO8Ft6wGd/eY0h09k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6b0Z81ZMmnkPrEzS4f3A1gEuHUqmyZSN4CneX1PB2nmgr60mcA4AxT0WTkZkrHwLzipMYTFsCIS8yde/pgeUUQ==" saltValue="q2SdWrEkK8XlQmguDMAxN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bSF6kWC3dtyNktrDhS1xCMz4yJ+YSZZnWB23d4HsiQ2adaH9LvnA9Y/mKH+h54E1HpQOWYW/cX8YhPs/ZhYUQ==" saltValue="jH6/Th8mlooQ1kG5Eqyt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5DJxiYZY+CkczNoYoBnro08G7GUrHfsW6dH+hh0P1K+Q/ZpGvwNhOqekuc4VxGtXqjbIsXkPjfyzAOyBsPF0A==" saltValue="pBSNdjUvx+ccFk6NhuWv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LDfR4ruvfUuqaN4sYE+Ml1lHZDHs0cFYDIUtDxnWss5nfexu5wu6vDuhtkeC0GIMQBerMV9qRSKOeJj4uy+9jg==" saltValue="VNB+0C2qtzRexqnvoK4h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wbpPLgyeZureVTJ3VWi1gusg3FcuF8aWI4nMme98RfSVQVXRohwENX8MhIY2StiXTB4MoysPiJZminytvl1+nA==" saltValue="65bn0foaftAO6OwlfOHT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N6cGCKrdgF0i3V7oCo5hlR8wBuaiSpd130pDIRyCns+S7lxLKagqixKF+XuLQJBP1aQ/GQtlOQ0+Mfu23/ijQ==" saltValue="HGbpV4esrPrMfhy0h7iC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Jamr/mmT1KZqtgfGJkmgkBDEgZ5dQ7gCapPa3U9dOhlfA2eW7teEUtVNyOx2cjgkvpMqFS7G82l+91v9zGe2w==" saltValue="vl43KAyxF4RiMuzFwroIG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0.10933861534096401</v>
      </c>
      <c r="G18" s="90">
        <f>MIN(MAX(1-0.89/(1-frac_sam_12_23months+(frac_sam_12_23months*0.89)),0),1)</f>
        <v>0.10987468014634305</v>
      </c>
      <c r="H18" s="90">
        <f>MIN(MAX(1-0.89/(1-frac_sam_24_59months+(frac_sam_24_59months*0.89)),0),1)</f>
        <v>0.10942856305634219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0.10896361954724054</v>
      </c>
      <c r="G20" s="90">
        <f>MIN(MAX(1-0.89/(1-frac_mam_12_23months+(frac_mam_12_23months*0.89)),0),1)</f>
        <v>0.10986231172210181</v>
      </c>
      <c r="H20" s="90">
        <f>MIN(MAX(1-0.89/(1-frac_mam_24_59months+(frac_mam_24_59months*0.89)),0),1)</f>
        <v>0.10867493119561333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9.9331635580722777E-3</v>
      </c>
      <c r="G73" s="90">
        <f>MIN(MAX(1-0.99/(1-frac_sam_12_23months+(frac_sam_12_23months*0.99)),0),1)</f>
        <v>9.9873288278217176E-3</v>
      </c>
      <c r="H73" s="90">
        <f>MIN(MAX(1-0.99/(1-frac_sam_24_59months+(frac_sam_24_59months*0.99)),0),1)</f>
        <v>9.9422479512075723E-3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9.8953083101100958E-3</v>
      </c>
      <c r="G75" s="90">
        <f>MIN(MAX(1-0.99/(1-frac_mam_12_23months+(frac_mam_12_23months*0.99)),0),1)</f>
        <v>9.9860784242348233E-3</v>
      </c>
      <c r="H75" s="90">
        <f>MIN(MAX(1-0.99/(1-frac_mam_24_59months+(frac_mam_24_59months*0.99)),0),1)</f>
        <v>9.8661853952237699E-3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0.19891842772600998</v>
      </c>
      <c r="G128" s="90">
        <f>MIN(MAX(1-0.8/(1-frac_sam_12_23months+(frac_sam_12_23months*0.8)),0),1)</f>
        <v>0.19979516356596949</v>
      </c>
      <c r="H128" s="90">
        <f>MIN(MAX(1-0.8/(1-frac_sam_24_59months+(frac_sam_24_59months*0.8)),0),1)</f>
        <v>0.19906559788912137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0.19830460664995908</v>
      </c>
      <c r="G130" s="90">
        <f>MIN(MAX(1-0.8/(1-frac_mam_12_23months+(frac_mam_12_23months*0.8)),0),1)</f>
        <v>0.19977494470544888</v>
      </c>
      <c r="H130" s="90">
        <f>MIN(MAX(1-0.8/(1-frac_mam_24_59months+(frac_mam_24_59months*0.8)),0),1)</f>
        <v>0.19783177136472796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5ckrKLZe5JjSbXPD8BTc8gW7/XwhZuhZKrRuKc8jAFbo4Vv+03osj3jrEpVNfYKKchjRmDfK+HPkxWfSxtOVEQ==" saltValue="1w7nwOKZhqbQtRCCq12G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LpHJrB+jLw4DlZnYgPaFpGh1Tea1IfFFeztcSD+8LQcvEu83We4f/Wzom+IBN0rKIObtLX2DyFuuDF4ZubCgfw==" saltValue="Bcgh6Hc1iOfG0jeWDY+4r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2024-08-06T07:19:26Z</dcterms:modified>
</cp:coreProperties>
</file>