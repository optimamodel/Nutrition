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F24CAE18-297A-4BC6-8801-A604C5C6F7AB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4" i="2"/>
  <c r="A31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7" i="2" l="1"/>
  <c r="I7" i="2"/>
  <c r="I13" i="2"/>
  <c r="A40" i="2"/>
  <c r="A23" i="2"/>
  <c r="A24" i="2"/>
  <c r="I3" i="2"/>
  <c r="I9" i="2"/>
  <c r="A25" i="2"/>
  <c r="A26" i="2"/>
  <c r="I4" i="2"/>
  <c r="I6" i="2"/>
  <c r="I12" i="2"/>
  <c r="A35" i="2"/>
  <c r="A36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<sst xmlns="http://schemas.openxmlformats.org/spreadsheetml/2006/main" count="2169" uniqueCount="373">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</sst>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352562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0.96395172119140593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5.7299999999999997E-2</v>
      </c>
    </row>
    <row r="24" spans="1:3" ht="15" customHeight="1" x14ac:dyDescent="0.25">
      <c r="B24" s="15" t="s">
        <v>65</v>
      </c>
      <c r="C24" s="45">
        <v>0.57350000000000001</v>
      </c>
    </row>
    <row r="25" spans="1:3" ht="15" customHeight="1" x14ac:dyDescent="0.25">
      <c r="B25" s="15" t="s">
        <v>66</v>
      </c>
      <c r="C25" s="45">
        <v>0.35089999999999999</v>
      </c>
    </row>
    <row r="26" spans="1:3" ht="15" customHeight="1" x14ac:dyDescent="0.25">
      <c r="B26" s="15" t="s">
        <v>67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0.57290349526853401</v>
      </c>
    </row>
    <row r="30" spans="1:3" ht="14.25" customHeight="1" x14ac:dyDescent="0.25">
      <c r="B30" s="25" t="s">
        <v>82</v>
      </c>
      <c r="C30" s="97">
        <v>2.97816918362898E-2</v>
      </c>
    </row>
    <row r="31" spans="1:3" ht="14.25" customHeight="1" x14ac:dyDescent="0.25">
      <c r="B31" s="25" t="s">
        <v>29</v>
      </c>
      <c r="C31" s="97">
        <v>2.5306962187057899E-2</v>
      </c>
    </row>
    <row r="32" spans="1:3" ht="14.25" customHeight="1" x14ac:dyDescent="0.25">
      <c r="B32" s="25" t="s">
        <v>30</v>
      </c>
      <c r="C32" s="97">
        <v>0.37200785070811798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0.87329999999999997</v>
      </c>
    </row>
    <row r="38" spans="1:5" ht="15" customHeight="1" x14ac:dyDescent="0.25">
      <c r="B38" s="11" t="s">
        <v>54</v>
      </c>
      <c r="C38" s="43">
        <v>2.0504600000000002</v>
      </c>
      <c r="D38" s="12"/>
      <c r="E38" s="13"/>
    </row>
    <row r="39" spans="1:5" ht="15" customHeight="1" x14ac:dyDescent="0.25">
      <c r="B39" s="11" t="s">
        <v>80</v>
      </c>
      <c r="C39" s="43">
        <v>2.7249400000000001</v>
      </c>
      <c r="D39" s="12"/>
      <c r="E39" s="12"/>
    </row>
    <row r="40" spans="1:5" ht="15" customHeight="1" x14ac:dyDescent="0.25">
      <c r="B40" s="11" t="s">
        <v>55</v>
      </c>
      <c r="C40" s="98">
        <v>0.01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6.2438000000000007E-3</v>
      </c>
      <c r="D45" s="12"/>
    </row>
    <row r="46" spans="1:5" ht="15.75" customHeight="1" x14ac:dyDescent="0.25">
      <c r="B46" s="11" t="s">
        <v>70</v>
      </c>
      <c r="C46" s="45">
        <v>6.7088499999999995E-2</v>
      </c>
      <c r="D46" s="12"/>
    </row>
    <row r="47" spans="1:5" ht="15.75" customHeight="1" x14ac:dyDescent="0.25">
      <c r="B47" s="11" t="s">
        <v>78</v>
      </c>
      <c r="C47" s="45">
        <v>7.5063599999999994E-2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0.64647999999999994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VYTgITY4wOS8HzEdPZUAgx7YsXMh/flSY/egszscPA2i3UAnWXPJQrvPoXD11FdiEs1knKOi3z7cgi8NzkJuRA==" saltValue="dybPlokvVWhBYbkzhsHJ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63679</v>
      </c>
      <c r="C2" s="49">
        <v>236353</v>
      </c>
      <c r="D2" s="49">
        <v>431841</v>
      </c>
      <c r="E2" s="49">
        <v>681650</v>
      </c>
      <c r="F2" s="49">
        <v>686857</v>
      </c>
      <c r="G2" s="17">
        <f t="shared" ref="G2:G13" si="0">C2+D2+E2+F2</f>
        <v>2036701</v>
      </c>
      <c r="H2" s="17">
        <f t="shared" ref="H2:H13" si="1">(B2 + stillbirth*B2/(1000-stillbirth))/(1-abortion)</f>
        <v>72520.977190615566</v>
      </c>
      <c r="I2" s="17">
        <f t="shared" ref="I2:I13" si="2">G2-H2</f>
        <v>1964180.0228093844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62332</v>
      </c>
      <c r="C3" s="50">
        <v>246086</v>
      </c>
      <c r="D3" s="50">
        <v>424003</v>
      </c>
      <c r="E3" s="50">
        <v>655613</v>
      </c>
      <c r="F3" s="50">
        <v>694593.00000000012</v>
      </c>
      <c r="G3" s="17">
        <f t="shared" si="0"/>
        <v>2020295</v>
      </c>
      <c r="H3" s="17">
        <f t="shared" si="1"/>
        <v>70986.943109116808</v>
      </c>
      <c r="I3" s="17">
        <f t="shared" si="2"/>
        <v>1949308.0568908833</v>
      </c>
    </row>
    <row r="4" spans="1:9" ht="15.75" customHeight="1" x14ac:dyDescent="0.25">
      <c r="A4" s="5">
        <f t="shared" si="3"/>
        <v>2026</v>
      </c>
      <c r="B4" s="49">
        <v>61280</v>
      </c>
      <c r="C4" s="50">
        <v>254456.5</v>
      </c>
      <c r="D4" s="50">
        <v>421562</v>
      </c>
      <c r="E4" s="50">
        <v>625585.5</v>
      </c>
      <c r="F4" s="50">
        <v>702742.99999999988</v>
      </c>
      <c r="G4" s="17">
        <f t="shared" si="0"/>
        <v>2004347</v>
      </c>
      <c r="H4" s="17">
        <f t="shared" si="1"/>
        <v>69788.870463432555</v>
      </c>
      <c r="I4" s="17">
        <f t="shared" si="2"/>
        <v>1934558.1295365675</v>
      </c>
    </row>
    <row r="5" spans="1:9" ht="15.75" customHeight="1" x14ac:dyDescent="0.25">
      <c r="A5" s="5">
        <f t="shared" si="3"/>
        <v>2027</v>
      </c>
      <c r="B5" s="49">
        <v>60242</v>
      </c>
      <c r="C5" s="50">
        <v>262130</v>
      </c>
      <c r="D5" s="50">
        <v>424700</v>
      </c>
      <c r="E5" s="50">
        <v>593293.5</v>
      </c>
      <c r="F5" s="50">
        <v>710699.00000000012</v>
      </c>
      <c r="G5" s="17">
        <f t="shared" si="0"/>
        <v>1990822.5</v>
      </c>
      <c r="H5" s="17">
        <f t="shared" si="1"/>
        <v>68606.741750295434</v>
      </c>
      <c r="I5" s="17">
        <f t="shared" si="2"/>
        <v>1922215.7582497045</v>
      </c>
    </row>
    <row r="6" spans="1:9" ht="15.75" customHeight="1" x14ac:dyDescent="0.25">
      <c r="A6" s="5">
        <f t="shared" si="3"/>
        <v>2028</v>
      </c>
      <c r="B6" s="49">
        <v>59582</v>
      </c>
      <c r="C6" s="50">
        <v>268723</v>
      </c>
      <c r="D6" s="50">
        <v>431687</v>
      </c>
      <c r="E6" s="50">
        <v>561341</v>
      </c>
      <c r="F6" s="50">
        <v>717058</v>
      </c>
      <c r="G6" s="17">
        <f t="shared" si="0"/>
        <v>1978809</v>
      </c>
      <c r="H6" s="17">
        <f t="shared" si="1"/>
        <v>67855.099215930779</v>
      </c>
      <c r="I6" s="17">
        <f t="shared" si="2"/>
        <v>1910953.9007840692</v>
      </c>
    </row>
    <row r="7" spans="1:9" ht="15.75" customHeight="1" x14ac:dyDescent="0.25">
      <c r="A7" s="5">
        <f t="shared" si="3"/>
        <v>2029</v>
      </c>
      <c r="B7" s="49">
        <v>58971</v>
      </c>
      <c r="C7" s="50">
        <v>273981</v>
      </c>
      <c r="D7" s="50">
        <v>439723.5</v>
      </c>
      <c r="E7" s="50">
        <v>531112.5</v>
      </c>
      <c r="F7" s="50">
        <v>721658</v>
      </c>
      <c r="G7" s="17">
        <f t="shared" si="0"/>
        <v>1966475</v>
      </c>
      <c r="H7" s="17">
        <f t="shared" si="1"/>
        <v>67159.260445481093</v>
      </c>
      <c r="I7" s="17">
        <f t="shared" si="2"/>
        <v>1899315.7395545188</v>
      </c>
    </row>
    <row r="8" spans="1:9" ht="15.75" customHeight="1" x14ac:dyDescent="0.25">
      <c r="A8" s="5">
        <f t="shared" si="3"/>
        <v>2030</v>
      </c>
      <c r="B8" s="49">
        <v>58735</v>
      </c>
      <c r="C8" s="50">
        <v>278929</v>
      </c>
      <c r="D8" s="50">
        <v>447902.5</v>
      </c>
      <c r="E8" s="50">
        <v>504825.00000000006</v>
      </c>
      <c r="F8" s="50">
        <v>721854.49999999988</v>
      </c>
      <c r="G8" s="17">
        <f t="shared" si="0"/>
        <v>1953511</v>
      </c>
      <c r="H8" s="17">
        <f t="shared" si="1"/>
        <v>66890.491296829496</v>
      </c>
      <c r="I8" s="17">
        <f t="shared" si="2"/>
        <v>1886620.5087031706</v>
      </c>
    </row>
    <row r="9" spans="1:9" ht="15.75" customHeight="1" x14ac:dyDescent="0.25">
      <c r="A9" s="5">
        <f t="shared" si="3"/>
        <v>2031</v>
      </c>
      <c r="B9" s="49">
        <v>58780</v>
      </c>
      <c r="C9" s="50">
        <v>283360</v>
      </c>
      <c r="D9" s="50">
        <v>457287.5</v>
      </c>
      <c r="E9" s="50">
        <v>481467.5</v>
      </c>
      <c r="F9" s="50">
        <v>717732</v>
      </c>
      <c r="G9" s="17">
        <f t="shared" si="0"/>
        <v>1939847</v>
      </c>
      <c r="H9" s="17">
        <f t="shared" si="1"/>
        <v>66941.739651445256</v>
      </c>
      <c r="I9" s="17">
        <f t="shared" si="2"/>
        <v>1872905.2603485547</v>
      </c>
    </row>
    <row r="10" spans="1:9" ht="15.75" customHeight="1" x14ac:dyDescent="0.25">
      <c r="A10" s="5">
        <f t="shared" si="3"/>
        <v>2032</v>
      </c>
      <c r="B10" s="49">
        <v>58895</v>
      </c>
      <c r="C10" s="50">
        <v>281703.5</v>
      </c>
      <c r="D10" s="50">
        <v>469905</v>
      </c>
      <c r="E10" s="50">
        <v>459150</v>
      </c>
      <c r="F10" s="50">
        <v>710646</v>
      </c>
      <c r="G10" s="17">
        <f t="shared" si="0"/>
        <v>1921404.5</v>
      </c>
      <c r="H10" s="17">
        <f t="shared" si="1"/>
        <v>67072.707668796676</v>
      </c>
      <c r="I10" s="17">
        <f t="shared" si="2"/>
        <v>1854331.7923312034</v>
      </c>
    </row>
    <row r="11" spans="1:9" ht="15.75" customHeight="1" x14ac:dyDescent="0.25">
      <c r="A11" s="5">
        <f t="shared" si="3"/>
        <v>2033</v>
      </c>
      <c r="B11" s="49">
        <v>59228</v>
      </c>
      <c r="C11" s="50">
        <v>272123</v>
      </c>
      <c r="D11" s="50">
        <v>484962</v>
      </c>
      <c r="E11" s="50">
        <v>440902.5</v>
      </c>
      <c r="F11" s="50">
        <v>695488.49999999988</v>
      </c>
      <c r="G11" s="17">
        <f t="shared" si="0"/>
        <v>1893476</v>
      </c>
      <c r="H11" s="17">
        <f t="shared" si="1"/>
        <v>67451.945492953382</v>
      </c>
      <c r="I11" s="17">
        <f t="shared" si="2"/>
        <v>1826024.0545070467</v>
      </c>
    </row>
    <row r="12" spans="1:9" ht="15.75" customHeight="1" x14ac:dyDescent="0.25">
      <c r="A12" s="5">
        <f t="shared" si="3"/>
        <v>2034</v>
      </c>
      <c r="B12" s="49">
        <v>59889</v>
      </c>
      <c r="C12" s="50">
        <v>258085.50000000003</v>
      </c>
      <c r="D12" s="50">
        <v>500553</v>
      </c>
      <c r="E12" s="50">
        <v>428213.49999999994</v>
      </c>
      <c r="F12" s="50">
        <v>672568</v>
      </c>
      <c r="G12" s="17">
        <f t="shared" si="0"/>
        <v>1859420</v>
      </c>
      <c r="H12" s="17">
        <f t="shared" si="1"/>
        <v>68204.726879642825</v>
      </c>
      <c r="I12" s="17">
        <f t="shared" si="2"/>
        <v>1791215.2731203572</v>
      </c>
    </row>
    <row r="13" spans="1:9" ht="15.75" customHeight="1" x14ac:dyDescent="0.25">
      <c r="A13" s="5">
        <f t="shared" si="3"/>
        <v>2035</v>
      </c>
      <c r="B13" s="49">
        <v>60581</v>
      </c>
      <c r="C13" s="50">
        <v>241119.5</v>
      </c>
      <c r="D13" s="50">
        <v>515323.49999999994</v>
      </c>
      <c r="E13" s="50">
        <v>420467</v>
      </c>
      <c r="F13" s="50">
        <v>646957</v>
      </c>
      <c r="G13" s="17">
        <f t="shared" si="0"/>
        <v>1823867</v>
      </c>
      <c r="H13" s="17">
        <f t="shared" si="1"/>
        <v>68992.812688400911</v>
      </c>
      <c r="I13" s="17">
        <f t="shared" si="2"/>
        <v>1754874.187311599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dA219T3ip5jGZ/JUoWkqVsUANwF/SY7QOH1HGSnikcGacpY5IdA26lSiPEuH8ZHt8mQ0iZ8fxk9I5YqjG4f9A==" saltValue="xq34I+OIM/XkIJp1rREa4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4.5424600000000009E-2</v>
      </c>
    </row>
    <row r="5" spans="1:8" ht="15.75" customHeight="1" x14ac:dyDescent="0.25">
      <c r="B5" s="19" t="s">
        <v>114</v>
      </c>
      <c r="C5" s="99">
        <v>1.7769299999999998E-2</v>
      </c>
    </row>
    <row r="6" spans="1:8" ht="15.75" customHeight="1" x14ac:dyDescent="0.25">
      <c r="B6" s="19" t="s">
        <v>110</v>
      </c>
      <c r="C6" s="99">
        <v>0.14635760000000009</v>
      </c>
    </row>
    <row r="7" spans="1:8" ht="15.75" customHeight="1" x14ac:dyDescent="0.25">
      <c r="B7" s="19" t="s">
        <v>115</v>
      </c>
      <c r="C7" s="99">
        <v>0.369857399999999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0.31618180000000068</v>
      </c>
    </row>
    <row r="10" spans="1:8" ht="15.75" customHeight="1" x14ac:dyDescent="0.25">
      <c r="B10" s="19" t="s">
        <v>113</v>
      </c>
      <c r="C10" s="99">
        <v>0.10440930000000009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121</v>
      </c>
      <c r="C15" s="99">
        <v>8.4127530830723177E-2</v>
      </c>
      <c r="D15" s="99">
        <v>8.4127530830723177E-2</v>
      </c>
      <c r="E15" s="99">
        <v>8.4127530830723177E-2</v>
      </c>
      <c r="F15" s="99">
        <v>8.4127530830723177E-2</v>
      </c>
    </row>
    <row r="16" spans="1:8" ht="15.75" customHeight="1" x14ac:dyDescent="0.25">
      <c r="B16" s="19" t="s">
        <v>2</v>
      </c>
      <c r="C16" s="99">
        <v>2.473115043862726E-2</v>
      </c>
      <c r="D16" s="99">
        <v>2.473115043862726E-2</v>
      </c>
      <c r="E16" s="99">
        <v>2.473115043862726E-2</v>
      </c>
      <c r="F16" s="99">
        <v>2.473115043862726E-2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5.8802966437170853E-2</v>
      </c>
      <c r="D19" s="99">
        <v>5.8802966437170853E-2</v>
      </c>
      <c r="E19" s="99">
        <v>5.8802966437170853E-2</v>
      </c>
      <c r="F19" s="99">
        <v>5.8802966437170853E-2</v>
      </c>
    </row>
    <row r="20" spans="1:8" ht="15.75" customHeight="1" x14ac:dyDescent="0.25">
      <c r="B20" s="19" t="s">
        <v>98</v>
      </c>
      <c r="C20" s="99">
        <v>0.46405541621651591</v>
      </c>
      <c r="D20" s="99">
        <v>0.46405541621651591</v>
      </c>
      <c r="E20" s="99">
        <v>0.46405541621651591</v>
      </c>
      <c r="F20" s="99">
        <v>0.46405541621651591</v>
      </c>
    </row>
    <row r="21" spans="1:8" ht="15.75" customHeight="1" x14ac:dyDescent="0.25">
      <c r="B21" s="19" t="s">
        <v>107</v>
      </c>
      <c r="C21" s="99">
        <v>0.3224494270929934</v>
      </c>
      <c r="D21" s="99">
        <v>0.3224494270929934</v>
      </c>
      <c r="E21" s="99">
        <v>0.3224494270929934</v>
      </c>
      <c r="F21" s="99">
        <v>0.3224494270929934</v>
      </c>
    </row>
    <row r="22" spans="1:8" ht="15.75" customHeight="1" x14ac:dyDescent="0.25">
      <c r="B22" s="19" t="s">
        <v>118</v>
      </c>
      <c r="C22" s="99">
        <v>3.8041514269354551E-2</v>
      </c>
      <c r="D22" s="99">
        <v>3.8041514269354551E-2</v>
      </c>
      <c r="E22" s="99">
        <v>3.8041514269354551E-2</v>
      </c>
      <c r="F22" s="99">
        <v>3.8041514269354551E-2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5.5138011000000001E-2</v>
      </c>
    </row>
    <row r="27" spans="1:8" ht="15.75" customHeight="1" x14ac:dyDescent="0.25">
      <c r="B27" s="19" t="s">
        <v>108</v>
      </c>
      <c r="C27" s="99">
        <v>5.8021491999999987E-2</v>
      </c>
    </row>
    <row r="28" spans="1:8" ht="15.75" customHeight="1" x14ac:dyDescent="0.25">
      <c r="B28" s="19" t="s">
        <v>122</v>
      </c>
      <c r="C28" s="99">
        <v>0.12039119400000001</v>
      </c>
    </row>
    <row r="29" spans="1:8" ht="15.75" customHeight="1" x14ac:dyDescent="0.25">
      <c r="B29" s="19" t="s">
        <v>105</v>
      </c>
      <c r="C29" s="99">
        <v>0.13459314</v>
      </c>
    </row>
    <row r="30" spans="1:8" ht="15.75" customHeight="1" x14ac:dyDescent="0.25">
      <c r="B30" s="19" t="s">
        <v>4</v>
      </c>
      <c r="C30" s="99">
        <v>8.1866218000000004E-2</v>
      </c>
    </row>
    <row r="31" spans="1:8" ht="15.75" customHeight="1" x14ac:dyDescent="0.25">
      <c r="B31" s="19" t="s">
        <v>99</v>
      </c>
      <c r="C31" s="99">
        <v>6.5181787000000005E-2</v>
      </c>
    </row>
    <row r="32" spans="1:8" ht="15.75" customHeight="1" x14ac:dyDescent="0.25">
      <c r="B32" s="19" t="s">
        <v>104</v>
      </c>
      <c r="C32" s="99">
        <v>0.13227402499999999</v>
      </c>
    </row>
    <row r="33" spans="2:3" ht="15.75" customHeight="1" x14ac:dyDescent="0.25">
      <c r="B33" s="19" t="s">
        <v>119</v>
      </c>
      <c r="C33" s="99">
        <v>0.124908043</v>
      </c>
    </row>
    <row r="34" spans="2:3" ht="15.75" customHeight="1" x14ac:dyDescent="0.25">
      <c r="B34" s="19" t="s">
        <v>106</v>
      </c>
      <c r="C34" s="99">
        <v>0.22762609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70dDjlPxggjOQzT37h21cYB2ZpftVyqGwNHwYxHbUPAL78JnpH/P+MAiLmDPCEmZkP9F3tHY5T/lXpTaySaXng==" saltValue="+HmXn3OM6VoOxjxhbST+A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129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125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126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138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qgaoT/Gig182KS/QANGVEfTIxiNO/Hq72FbRCOko6eNvM8mTicqv8jTIixtBleVyCgN09m01gJIA0mVMr4KJA==" saltValue="lGhq67QckaFML+uwY2Om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0.16627709999999996</v>
      </c>
      <c r="D5" s="52">
        <f t="shared" si="0"/>
        <v>0.41498370000000007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ZDkZ5DPRNlCRI1j9mVsAqSZjvn7oWZrzrywocL+dc7Xm9YFmxcB5QhZ5H4VlxSY4K3ztYywjf7Z5thuACsXTIw==" saltValue="RRo4DPXv8wAQqa1RIfwL2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phpHwQNi8lbVcBY80G+0RuFiQ6QV6XLvQpsSqv4uROyJlGBLJaNtCJdbVYvBRpAocKw5tZZe0SMv7+GQmsLQA==" saltValue="WUqni6EjsppLsW2ZTnQB7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7888.2637106321199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0.48921999999999999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0.76300000000000001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1.4832583707086648E-2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99634.10888</v>
      </c>
      <c r="C22" s="107">
        <v>99574.881420000005</v>
      </c>
      <c r="D22" s="107">
        <v>99510.070850000004</v>
      </c>
      <c r="E22" s="107">
        <v>99358.659029999995</v>
      </c>
      <c r="F22" s="107">
        <v>99144.489660000007</v>
      </c>
      <c r="G22" s="107">
        <v>98774.183359999995</v>
      </c>
      <c r="H22" s="107">
        <v>98136.74278</v>
      </c>
      <c r="I22" s="107">
        <v>97128.205270000006</v>
      </c>
      <c r="J22" s="107">
        <v>95490.799190000005</v>
      </c>
      <c r="K22" s="107">
        <v>93125.598880000005</v>
      </c>
      <c r="L22" s="107">
        <v>89719.91519</v>
      </c>
      <c r="M22" s="107">
        <v>84778.6443</v>
      </c>
      <c r="N22" s="107">
        <v>77903.954459999994</v>
      </c>
      <c r="O22" s="107">
        <v>68740.061090000003</v>
      </c>
    </row>
  </sheetData>
  <sheetProtection algorithmName="SHA-512" hashValue="3X4ETDTQzgFuau5lwKLbs8sxlbD+BcQQR6Z83wZ+bqMi6qbb8Fr1bs4ZkVIdbW+Rs76HABCtyoQJ7fg8XdU7yA==" saltValue="Scw8udi1ehKKQaqt7lDD1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KdVnAEE62J7sQBGFIA+nHWlp9/YT7zKimGGlF+ww8C2Kp+h4+SIV1irZyhrpKyqBtAs1Tyvcr4380+USk8Abw==" saltValue="CURbMVdFQ+7TG1WTJdU06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CgfNF2dIgfI+JuhXk11oWN1qfPVIHe6AtKrkoa/ukMJFCmbruJMqjngdOflxP4QI06LFFehAhV3xCZaJ0krMA==" saltValue="shjFCp+iB8xE8ALDwIAIl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13.13329457779923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13.13329457779923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13.13329457779923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13.13329457779923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13.13329457779923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13.13329457779923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0.18631239999999999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0.18631239999999999</v>
      </c>
      <c r="C19" s="96">
        <v>0.95</v>
      </c>
      <c r="D19" s="56">
        <v>11.47697383223603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4.355034620978258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0.91739417245447996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0.52661570000000002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0.69994709999999993</v>
      </c>
      <c r="C29" s="96">
        <v>0.95</v>
      </c>
      <c r="D29" s="56">
        <v>125.9554584200983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0.44281280000000001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0.31885570000000002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0.97181479999999998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7.3998900000000006E-2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mn64G9dIPJFFG2ai7aOmw99VbAip7Lqu5MEJvEuU5kohMcmaqlAP3F407lOPylXYu9Dof39149zOLBBckChdZA==" saltValue="fM8pDAAkRGFQ4dyIxR9N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eWBy9Sc5IcdN6xSdBV+RdeUAmlze58Gnv6c3MblVz5vigVf/7op8h+SsZgmg7h3P7C64zEPI+vL9C4dMTBBjQ==" saltValue="iz8r03Yhb21ce3JZ1rXyM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uqLOrNPZ6KlU8/qbVWzuRd8mz6XlIHnM4MqYZK6BhspNJ0RBU8CIita/Tu3IZziSz/70ZrxI3BICt5C6ZtXiQ==" saltValue="57c3CMYeMCE8QlhNX9v65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236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sheetProtection algorithmName="SHA-512" hashValue="53bdbAv6YtcuLC2Ku1RP+/kGvDukC9N/ntO1fsZZNiYnWz77fKym8n7KSqCfALK3hmD1nRplsCPE6y6BpROkHg==" saltValue="05AMVLrM8BE+z1ou6VOC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1.773935800170914E-2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7.6025820007324888E-3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1.0706338806152437E-2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f3CB1gdbjuYnrv00KAmOK4d+yhD4Kd7qmGJ253fpnGgOqOA1pulPSwHAzIzG2/LaaiosjPNyEVzkxZ6umTz1A==" saltValue="nhsWXWf5XdY9bXTRzit9O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pcC+V4GqcSkH3Alb9IVmFCOFtatWpDyFmpGYj49S+As2KbYS+Kbx3B/b0mD3QqgqoJLE0PqHk/vLKp0Qq/XIBQ==" saltValue="6lb7v7eFDPHw9MSdZFed2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UkRRI1M+hCpWafAQTKJFkwHK52TIoNgLaf3QGUqdYBlyTkUAcYXoCDyflTTfPpTWy9ooG31b1kJou/DESrLDQ==" saltValue="xROlpV9FyQ303OKO06UgN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JfVMnHZ1QOaeufUaNbdIyFS68srFnunVKXITIcMSXFQloSrAzhtulqonApUlFFlE1b7fvMCs+nBBrLkoc7j9w==" saltValue="+hVY9oCQR/ecpvlE0O5MI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NtIHgNo5W1ZvcJEEyMQKo+lwJ1gnzU0elmtBqW70ZC5ZljEI8297Xjs9l3RH9IB4MLb0DM/z2JjnLCjgQsXCug==" saltValue="E/zjGWBf7dautC3HN0mdk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0GMeqH2+rm5QsFMlRTDdW7/lM0QAakQiozOdlgwPf5eM8G5jwUMlcVr/kSFwIeQwY1INdXk60IEzIHtpwOvaLg==" saltValue="3GrAV1uQV2fG5DlNIUUUN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cHunZ2WqtpFiTRJqkJPL/hmsRBEUky1zhvHBiDtxv4MH6AQe6uudF7bcj+nT892wbr/lnLVDYFLRzbMwQKB5g==" saltValue="IIdO/Sw0vLcDPUh9I2G07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AC1himWm7mivASs4BCqiaOlNfHQNJeYfZX+srgHAxbYOQYwjMJXhmAzTagbJ3sKtUNsdxYOUF54WDo+xJnVjg==" saltValue="OO1R1ZX7uLguxlugQBxs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FFM2/GbdUAXZh2SwgWWmHJe0GW8KFHUkQAMTGE3w0torGxZrsT14sRfJOBFUpsQpDVMXYIcBTKMIhRSOSQk2SA==" saltValue="vtOa4Tpfw/ClIyjRQWUn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ePaWZA/BR4HYqTP0tZWGLKwjnTAZdKfLu3z6X9SOX/uIPTrCtMzfS89llDGcsjn3HsLpeQcO6Ym4TggIWgWAQ==" saltValue="P7hARSKAkm86Qz+30/C0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g8rD9paqKjHXit6OzwrxS5qHgi3q5ToWtPgLdJroOqOuwST3f4slr+x0nzmMTsZC9tQ1DqLvD6XmQJFJKu1zA==" saltValue="IieO5ROS7eYoQIoSGraW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7teabIESFXwiLsawfiMmM/nwsE+8DQAs/IujJ1I1SzTemJilDxPtLifSL5cNriQAv4J9shXximtJ9rF6tbWdw==" saltValue="tRIdCDXlHY0U1dam7mEF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kvSrQzsu1zZS8xpYV9gLF1VhEBMR2smEV+BJEDatmjaBv2DsQMTSP2nEoPV/lVlH/+R9TWPurBuVkChKciiDQ==" saltValue="FoawUfZNAD/muyV/2K15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Hxp3i4Mh4UFrawU4erCf7oyad8wcdAi5c7RD92EazsBEAr60aeS8dwA1UqjqbDafITdW0O+DeUhu8vKuraD6cQ==" saltValue="d1w3Q6/rUmKOfB40wbas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CLQUYT4cE3QFLc6kV9FUtwTzRp4/h2CCMI40ZTCh9dnxMHmHebnvc4wEM7aCiav3xNCu4tsz4C3JIYXoHYPvDQ==" saltValue="lXuaYlIQny3SnxTGcrWah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2026-04-29T01:33:15Z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