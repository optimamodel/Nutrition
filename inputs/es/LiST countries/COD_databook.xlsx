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B850D19-A869-4E18-B5A2-698A3EC8B4D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36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<sst xmlns="http://schemas.openxmlformats.org/spreadsheetml/2006/main" count="2169" uniqueCount="373">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</sst>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19199094</v>
      </c>
    </row>
    <row r="8" spans="1:3" ht="15" customHeight="1" x14ac:dyDescent="0.25">
      <c r="B8" s="5" t="s">
        <v>63</v>
      </c>
      <c r="C8" s="44">
        <v>0.7659999999999999</v>
      </c>
    </row>
    <row r="9" spans="1:3" ht="15" customHeight="1" x14ac:dyDescent="0.25">
      <c r="B9" s="5" t="s">
        <v>62</v>
      </c>
      <c r="C9" s="45">
        <v>0.85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0.10349999999999999</v>
      </c>
    </row>
    <row r="24" spans="1:3" ht="15" customHeight="1" x14ac:dyDescent="0.25">
      <c r="B24" s="15" t="s">
        <v>65</v>
      </c>
      <c r="C24" s="45">
        <v>0.45150000000000001</v>
      </c>
    </row>
    <row r="25" spans="1:3" ht="15" customHeight="1" x14ac:dyDescent="0.25">
      <c r="B25" s="15" t="s">
        <v>66</v>
      </c>
      <c r="C25" s="45">
        <v>0.35449999999999998</v>
      </c>
    </row>
    <row r="26" spans="1:3" ht="15" customHeight="1" x14ac:dyDescent="0.25">
      <c r="B26" s="15" t="s">
        <v>67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0.194032291097986</v>
      </c>
    </row>
    <row r="30" spans="1:3" ht="14.25" customHeight="1" x14ac:dyDescent="0.25">
      <c r="B30" s="25" t="s">
        <v>82</v>
      </c>
      <c r="C30" s="97">
        <v>8.3858999788103697E-2</v>
      </c>
    </row>
    <row r="31" spans="1:3" ht="14.25" customHeight="1" x14ac:dyDescent="0.25">
      <c r="B31" s="25" t="s">
        <v>29</v>
      </c>
      <c r="C31" s="97">
        <v>0.13473133352303801</v>
      </c>
    </row>
    <row r="32" spans="1:3" ht="14.25" customHeight="1" x14ac:dyDescent="0.25">
      <c r="B32" s="25" t="s">
        <v>30</v>
      </c>
      <c r="C32" s="97">
        <v>0.587377375590873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26.48049</v>
      </c>
    </row>
    <row r="38" spans="1:5" ht="15" customHeight="1" x14ac:dyDescent="0.25">
      <c r="B38" s="11" t="s">
        <v>54</v>
      </c>
      <c r="C38" s="43">
        <v>62.369660000000003</v>
      </c>
      <c r="D38" s="12"/>
      <c r="E38" s="13"/>
    </row>
    <row r="39" spans="1:5" ht="15" customHeight="1" x14ac:dyDescent="0.25">
      <c r="B39" s="11" t="s">
        <v>80</v>
      </c>
      <c r="C39" s="43">
        <v>78.960539999999995</v>
      </c>
      <c r="D39" s="12"/>
      <c r="E39" s="12"/>
    </row>
    <row r="40" spans="1:5" ht="15" customHeight="1" x14ac:dyDescent="0.25">
      <c r="B40" s="11" t="s">
        <v>55</v>
      </c>
      <c r="C40" s="98">
        <v>5.47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78</v>
      </c>
      <c r="C47" s="45">
        <v>7.0955900000000002E-2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2.6</v>
      </c>
      <c r="D51" s="12"/>
    </row>
    <row r="52" spans="1:4" ht="15" customHeight="1" x14ac:dyDescent="0.25">
      <c r="B52" s="11" t="s">
        <v>32</v>
      </c>
      <c r="C52" s="98">
        <v>2.6</v>
      </c>
    </row>
    <row r="53" spans="1:4" ht="15.75" customHeight="1" x14ac:dyDescent="0.25">
      <c r="B53" s="11" t="s">
        <v>35</v>
      </c>
      <c r="C53" s="98">
        <v>8.4500000000000011</v>
      </c>
    </row>
    <row r="54" spans="1:4" ht="15.75" customHeight="1" x14ac:dyDescent="0.25">
      <c r="B54" s="11" t="s">
        <v>33</v>
      </c>
      <c r="C54" s="98">
        <v>7.331999999999999</v>
      </c>
    </row>
    <row r="55" spans="1:4" ht="15.75" customHeight="1" x14ac:dyDescent="0.25">
      <c r="B55" s="11" t="s">
        <v>34</v>
      </c>
      <c r="C55" s="98">
        <v>2.9119999999999999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0.43530600000000003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vnLB8lerZIugtdkY3vWXRvWGrkx99clhddwKEIhd9rVgQ3LP+5DAlr68+lQdGqWIoDP5VCq8Tn5aFNFnVrq0BQ==" saltValue="UxWaVjgr2tQpDiC7A5kk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ixEoD5R2dSJ7QF7ABQhVMmoCv8WGvMB6iPzOy2MJshZ1ST6XZH6uLXsTcvX9+S9zGl6feZDnIG+JeWh6RwuRA==" saltValue="SLno2GjFwnmL86Af6K8vZ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1.0924097815180431E-2</v>
      </c>
    </row>
    <row r="4" spans="1:8" ht="15.75" customHeight="1" x14ac:dyDescent="0.25">
      <c r="B4" s="19" t="s">
        <v>116</v>
      </c>
      <c r="C4" s="99">
        <v>5.9342188131562293E-2</v>
      </c>
    </row>
    <row r="5" spans="1:8" ht="15.75" customHeight="1" x14ac:dyDescent="0.25">
      <c r="B5" s="19" t="s">
        <v>114</v>
      </c>
      <c r="C5" s="99">
        <v>7.3863785227242837E-2</v>
      </c>
    </row>
    <row r="6" spans="1:8" ht="15.75" customHeight="1" x14ac:dyDescent="0.25">
      <c r="B6" s="19" t="s">
        <v>110</v>
      </c>
      <c r="C6" s="99">
        <v>0.24698675060264991</v>
      </c>
    </row>
    <row r="7" spans="1:8" ht="15.75" customHeight="1" x14ac:dyDescent="0.25">
      <c r="B7" s="19" t="s">
        <v>115</v>
      </c>
      <c r="C7" s="99">
        <v>0.41603591679281682</v>
      </c>
    </row>
    <row r="8" spans="1:8" ht="15.75" customHeight="1" x14ac:dyDescent="0.25">
      <c r="B8" s="19" t="s">
        <v>117</v>
      </c>
      <c r="C8" s="99">
        <v>2.3167995366400931E-3</v>
      </c>
    </row>
    <row r="9" spans="1:8" ht="15.75" customHeight="1" x14ac:dyDescent="0.25">
      <c r="B9" s="19" t="s">
        <v>111</v>
      </c>
      <c r="C9" s="99">
        <v>7.6129484774103029E-2</v>
      </c>
    </row>
    <row r="10" spans="1:8" ht="15.75" customHeight="1" x14ac:dyDescent="0.25">
      <c r="B10" s="19" t="s">
        <v>113</v>
      </c>
      <c r="C10" s="99">
        <v>0.1144009771198046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121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2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109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3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120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98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107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118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8.8863841000000013E-2</v>
      </c>
    </row>
    <row r="27" spans="1:8" ht="15.75" customHeight="1" x14ac:dyDescent="0.25">
      <c r="B27" s="19" t="s">
        <v>108</v>
      </c>
      <c r="C27" s="99">
        <v>8.6695709999999992E-3</v>
      </c>
    </row>
    <row r="28" spans="1:8" ht="15.75" customHeight="1" x14ac:dyDescent="0.25">
      <c r="B28" s="19" t="s">
        <v>122</v>
      </c>
      <c r="C28" s="99">
        <v>0.15751688699999999</v>
      </c>
    </row>
    <row r="29" spans="1:8" ht="15.75" customHeight="1" x14ac:dyDescent="0.25">
      <c r="B29" s="19" t="s">
        <v>105</v>
      </c>
      <c r="C29" s="99">
        <v>0.169742745</v>
      </c>
    </row>
    <row r="30" spans="1:8" ht="15.75" customHeight="1" x14ac:dyDescent="0.25">
      <c r="B30" s="19" t="s">
        <v>4</v>
      </c>
      <c r="C30" s="99">
        <v>0.104932133</v>
      </c>
    </row>
    <row r="31" spans="1:8" ht="15.75" customHeight="1" x14ac:dyDescent="0.25">
      <c r="B31" s="19" t="s">
        <v>99</v>
      </c>
      <c r="C31" s="99">
        <v>0.108637312</v>
      </c>
    </row>
    <row r="32" spans="1:8" ht="15.75" customHeight="1" x14ac:dyDescent="0.25">
      <c r="B32" s="19" t="s">
        <v>104</v>
      </c>
      <c r="C32" s="99">
        <v>1.8842111000000002E-2</v>
      </c>
    </row>
    <row r="33" spans="2:3" ht="15.75" customHeight="1" x14ac:dyDescent="0.25">
      <c r="B33" s="19" t="s">
        <v>119</v>
      </c>
      <c r="C33" s="99">
        <v>8.5849647000000001E-2</v>
      </c>
    </row>
    <row r="34" spans="2:3" ht="15.75" customHeight="1" x14ac:dyDescent="0.25">
      <c r="B34" s="19" t="s">
        <v>106</v>
      </c>
      <c r="C34" s="99">
        <v>0.256945753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v/ZTOa5laMkYax/4NTziEiIqC/hGw3+DRho7GquJodpZ7r3SYRJy5uDbpTEHrTtI1GT7Y8k+BUNVO8lyzWtwyw==" saltValue="AQUth1HfWO+zJmrb8FbF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129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125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126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SrVcDeYhwUl7Wrpk/DrOIjoPm7dcwqoHe9e2BUN16gwlKu5UKy7lbSDjY6Qsmlt6zXvqnCdQgucSFeKrcOFjA==" saltValue="W4O+HXH3AYpX6nQ0HU3h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objiquPyrXAAIk+SL/+nvhksOj7z6IUsiajD4WGqQdp9yc45oAxNpo8Nu17iN7fKiYFebQ7XaXtoxfm6XTWnig==" saltValue="29oXkp2GlCTs3ttxC8xx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JqkDNjurgZm9VTHbmTPMqlattJHrrxz9TGkRWxIrJ2bf7aRvWkauDypJUMmGdEgYp/actrnxlkaKFo/R35QJw==" saltValue="P9EHWfbnEhs0RJ1TojEA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algorithmName="SHA-512" hashValue="OkdLPOKLDWbBBNnHL542ZHBC1BO+NxoXYp2b4v97KxGEBfKM9jjMFYSiXh669RIDaloWbbbB0ITfZf6SQTo++Q==" saltValue="dQfzRQi+YdX/1hbnGn6m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61V0fU9vZ0tC7Pi0tanvHTDoL66LAY/UY3NIHM+8JeKfKjEpHwVTslSXJFD9k54CRNTGBjdS+nfV3kmvDTpQFw==" saltValue="Oi98ptCkN+rwBlIx3I8s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lRQAlKJKhlHKG37AsjVPGH1QvxZn0EoEX8nwwA8UafxeD1J0TwdgSRHUcvOo+KVbibsM44B+SzTNeAUp035SA==" saltValue="pUpvlykaMPv30e/qp50A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6.43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4.7419200000000002E-2</v>
      </c>
      <c r="C10" s="96">
        <v>0.95</v>
      </c>
      <c r="D10" s="56">
        <v>17.31420994224495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17.31420994224495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17.31420994224495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17.31420994224495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2.5711131554737809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17.31420994224495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0.53109870000000003</v>
      </c>
      <c r="C16" s="96">
        <v>0.95</v>
      </c>
      <c r="D16" s="56">
        <v>2.5983725690890487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6.4277828886844524E-2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0.29899999999999999</v>
      </c>
      <c r="C18" s="96">
        <v>0.95</v>
      </c>
      <c r="D18" s="56">
        <v>6.4277828886844528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0.51534999999999997</v>
      </c>
      <c r="C19" s="96">
        <v>0.95</v>
      </c>
      <c r="D19" s="56">
        <v>1.1471640149207829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6.43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0.64157470000000005</v>
      </c>
      <c r="C23" s="96">
        <v>0.95</v>
      </c>
      <c r="D23" s="56">
        <v>5.6296372188471304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0.16775714976716499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4.5508702851885925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0.24051800000000001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0.1522435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0.11210000000000001</v>
      </c>
      <c r="C31" s="96">
        <v>0.95</v>
      </c>
      <c r="D31" s="56">
        <v>208.26016559337626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0.70399999999999996</v>
      </c>
      <c r="C32" s="96">
        <v>0.95</v>
      </c>
      <c r="D32" s="56">
        <v>0.70705611775528987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0.19352469999999999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0.59762630000000005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3.0879000000000002E-3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0.35729519999999998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1.6E-2</v>
      </c>
      <c r="C38" s="96">
        <v>0.95</v>
      </c>
      <c r="D38" s="56">
        <v>1.1827120515179392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5P3ZgQ2mqBBqkD94aUHe6piqzwD9Qr50tQ0FCgAK9yw7GbYjJb9kQmSIjkWDpo7p9xy5vyuEulH3N3ULuQpdTQ==" saltValue="ZR1aoNoaJLio0aap7woe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Z/JTF3D8v14W7U1pyaxnFriPSNm9N5uHHJI8/xWI3f0fL0LIeEjY9a8YS5f2pbTa5W+IFYK585eA72J5w+a8Q==" saltValue="KMlKQY2mJASph33gdZMz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WRzGoVqPH6oe+zsY8V8DVl13XxSEneNc12me45NWeb7IdxC0PvUPwqTzypUH8UDQM+WKGonElRmr9b24YU3yQ==" saltValue="xWvf69VIMmw4vPgV4faD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2.6</v>
      </c>
      <c r="C2" s="21">
        <f>'Entradas de población-año base'!C52</f>
        <v>2.6</v>
      </c>
      <c r="D2" s="21">
        <f>'Entradas de población-año base'!C53</f>
        <v>8.4500000000000011</v>
      </c>
      <c r="E2" s="21">
        <f>'Entradas de población-año base'!C54</f>
        <v>7.331999999999999</v>
      </c>
      <c r="F2" s="21">
        <f>'Entradas de población-año base'!C55</f>
        <v>2.9119999999999999</v>
      </c>
    </row>
    <row r="3" spans="1:6" ht="15.75" customHeight="1" x14ac:dyDescent="0.25">
      <c r="A3" s="3" t="s">
        <v>6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236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VHulMPX5wWMVa5sWRUEx+G3Z213b19jOIwCqmSUflzzepR9SMiE159Icp5TFO1hEda+Gn6WorKwfia5Cp2SdMA==" saltValue="UhM03VOk105rx7hz8TO3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vy+nERRKBZe+Hm5zeaXjnwRlsqR/O84UHN2G7ZWClJ9lm00sYVoDc5uaZFDHOKxiNQiTfRBbupdag0rHjFMpA==" saltValue="ju/Bj3aT2OgNTZoxfTOL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uIY1HoRYWRFES77jKDODg1XWkrVaLGsVl8cldZu2moB7TkAyqbsMtaGY9sF1RF+uYZtKpOU0UrAxT4+coXnZw==" saltValue="ETngPKmUdoodZ87pa4eC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Ro68LlOWhAJIx9aVK8X7M+nWJh1cjNrDEjBjpxYS9v7niZLOiIxMz19WXuAjISO93GcxbMUbvFdCd/RNaecVQ==" saltValue="JUbwXM1YYg3yVpBC9f8g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YVA6oEQ44VAPUOcQa1ZAEWM7VUf5SdYG+0ENeVGY3ZbXux/Tt+fD7KUyRBrSidzkYoz7hH/YBBk+Lh2x4hWFg==" saltValue="MAT5FqBRVKk0a7z/Q0+W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2QtXkFBYJRaPCZ7iQIkv4cNoWuLYo5zot7NP2AgFIcQcTXQyPBLkq/8SI7PFRgfNaeVg43rz40KGtFuj+NxdQ==" saltValue="Grrz0To+0cAHBJEtv4LM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NB2dOEYQxFEI0nKat4JerKLKeGaHxHZgK9FdAtjrN4xHF8vevdz7JyS0n1Yl+SAfq1aqirHJyYyRDxZsLSv/A==" saltValue="Os3GtTZbT5hgF4kktIlO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up6KUpwLhO5Cjy2iB4/KVS1Gkq86lmc4HVzLki+p31ajuO9ZEYDuHIkzq69V4bVQ5V01FxbjhF9I7Nuab9liA==" saltValue="uOzg2erw1qCFP1shTBMyc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3zO74MOkzhdBzXoeuNlfhWE7msyx/aJDXjsDTYtKi/FU1ky9/Oae1tooAXtZrd7jQ7eTuX2hmk5+pIFawTwQ1A==" saltValue="AVQeYny7vFFTlMZQbI0Y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QdCTSvM6h1LmlssRjtyGbvb4Y83VyDXlDihLkj0uEuO1YOQY9t5JanPkjpNSB2ZPBWUz2SwGNfsCiD+tjCTPQ==" saltValue="nsyCJ4yjXCLYGWeC8u80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8IsePVyCnd/4rs969BOayxp+NqE6v7SVhIi/tZ7Oc9V5qY6u5MdEkiqtWH7UNGjOxDGJyvB/FGLvFYe9FrLyQ==" saltValue="lLJAQrcVAQvKku5fJy+U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4XT/dGKZ0wELmnFC3g5mtZrxgK6cdxubqji68jqncwBdefWqPxdmpgVtt7DyE+3FJob7ubzcEk/l45kI4oQ/A==" saltValue="bODSd3ibVR6gYQN6S2iM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mloZwrUoyYdPVFonTgW6jCqHNWCkPvsu1/8xR29FqzQj4USd7GBEK7Th8XtkXF6o+5KjZ02W8wnJmZMQF2/gQ==" saltValue="vubCWauCrQzEq9KfjRo7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xUm2CROZ1U4EhyutSJoaMOGu+fx44YAyv91tggTLApzfkszqotMKu+1CoGfmmvrREeauIj050AxQ2kilorZ8g==" saltValue="40g1e4TrXGUEj+tiwDai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caz5ybKdBQL5ifuKzAQdBFRjJG34PARxr9Tjk8I2vzvnIJE6HhwpXCVkecRi5ZCcS2VwBPUiBS1z84SsO9Lyw==" saltValue="FfCgJFhtSSblGV7w3jnF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oJU5VEbx5tZau2iLVxLZ55hguvX03h/HFnKXbF0Qmdc48run4IGYoe+s1VgCHUynmGthJcJFamyypMBLerjXA==" saltValue="Gy8xiqpb5kloDaA+p62KL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