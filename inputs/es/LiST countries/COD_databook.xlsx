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3811FCF-8AFA-43E3-A9DF-2203F029D90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26" i="2"/>
  <c r="I4" i="2"/>
  <c r="I8" i="2"/>
  <c r="I12" i="2"/>
  <c r="A25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<sst xmlns="http://schemas.openxmlformats.org/spreadsheetml/2006/main" count="2159" uniqueCount="372">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</sst>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19199094</v>
      </c>
    </row>
    <row r="8" spans="1:3" ht="15" customHeight="1" x14ac:dyDescent="0.25">
      <c r="B8" s="5" t="s">
        <v>63</v>
      </c>
      <c r="C8" s="44">
        <v>0.7659999999999999</v>
      </c>
    </row>
    <row r="9" spans="1:3" ht="15" customHeight="1" x14ac:dyDescent="0.25">
      <c r="B9" s="5" t="s">
        <v>62</v>
      </c>
      <c r="C9" s="45">
        <v>0.85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0.10349999999999999</v>
      </c>
    </row>
    <row r="24" spans="1:3" ht="15" customHeight="1" x14ac:dyDescent="0.25">
      <c r="B24" s="15" t="s">
        <v>65</v>
      </c>
      <c r="C24" s="45">
        <v>0.45150000000000001</v>
      </c>
    </row>
    <row r="25" spans="1:3" ht="15" customHeight="1" x14ac:dyDescent="0.25">
      <c r="B25" s="15" t="s">
        <v>66</v>
      </c>
      <c r="C25" s="45">
        <v>0.35449999999999998</v>
      </c>
    </row>
    <row r="26" spans="1:3" ht="15" customHeight="1" x14ac:dyDescent="0.25">
      <c r="B26" s="15" t="s">
        <v>67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0.194032291097986</v>
      </c>
    </row>
    <row r="30" spans="1:3" ht="14.25" customHeight="1" x14ac:dyDescent="0.25">
      <c r="B30" s="25" t="s">
        <v>82</v>
      </c>
      <c r="C30" s="99">
        <v>8.3858999788103697E-2</v>
      </c>
    </row>
    <row r="31" spans="1:3" ht="14.25" customHeight="1" x14ac:dyDescent="0.25">
      <c r="B31" s="25" t="s">
        <v>29</v>
      </c>
      <c r="C31" s="99">
        <v>0.13473133352303801</v>
      </c>
    </row>
    <row r="32" spans="1:3" ht="14.25" customHeight="1" x14ac:dyDescent="0.25">
      <c r="B32" s="25" t="s">
        <v>30</v>
      </c>
      <c r="C32" s="99">
        <v>0.587377375590873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26.48049</v>
      </c>
    </row>
    <row r="38" spans="1:5" ht="15" customHeight="1" x14ac:dyDescent="0.25">
      <c r="B38" s="11" t="s">
        <v>54</v>
      </c>
      <c r="C38" s="43">
        <v>62.369660000000003</v>
      </c>
      <c r="D38" s="12"/>
      <c r="E38" s="13"/>
    </row>
    <row r="39" spans="1:5" ht="15" customHeight="1" x14ac:dyDescent="0.25">
      <c r="B39" s="11" t="s">
        <v>80</v>
      </c>
      <c r="C39" s="43">
        <v>78.960539999999995</v>
      </c>
      <c r="D39" s="12"/>
      <c r="E39" s="12"/>
    </row>
    <row r="40" spans="1:5" ht="15" customHeight="1" x14ac:dyDescent="0.25">
      <c r="B40" s="11" t="s">
        <v>55</v>
      </c>
      <c r="C40" s="100">
        <v>5.47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1.05615E-2</v>
      </c>
      <c r="D45" s="12"/>
    </row>
    <row r="46" spans="1:5" ht="15.75" customHeight="1" x14ac:dyDescent="0.25">
      <c r="B46" s="11" t="s">
        <v>70</v>
      </c>
      <c r="C46" s="45">
        <v>0.1134815</v>
      </c>
      <c r="D46" s="12"/>
    </row>
    <row r="47" spans="1:5" ht="15.75" customHeight="1" x14ac:dyDescent="0.25">
      <c r="B47" s="11" t="s">
        <v>78</v>
      </c>
      <c r="C47" s="45">
        <v>7.0955900000000002E-2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2.6</v>
      </c>
      <c r="D51" s="12"/>
    </row>
    <row r="52" spans="1:4" ht="15" customHeight="1" x14ac:dyDescent="0.25">
      <c r="B52" s="11" t="s">
        <v>32</v>
      </c>
      <c r="C52" s="100">
        <v>2.6</v>
      </c>
    </row>
    <row r="53" spans="1:4" ht="15.75" customHeight="1" x14ac:dyDescent="0.25">
      <c r="B53" s="11" t="s">
        <v>35</v>
      </c>
      <c r="C53" s="100">
        <v>8.4500000000000011</v>
      </c>
    </row>
    <row r="54" spans="1:4" ht="15.75" customHeight="1" x14ac:dyDescent="0.25">
      <c r="B54" s="11" t="s">
        <v>33</v>
      </c>
      <c r="C54" s="100">
        <v>7.331999999999999</v>
      </c>
    </row>
    <row r="55" spans="1:4" ht="15.75" customHeight="1" x14ac:dyDescent="0.25">
      <c r="B55" s="11" t="s">
        <v>34</v>
      </c>
      <c r="C55" s="100">
        <v>2.9119999999999999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0.43530600000000003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/w7YtX0dTcegD3MYC2Zhy6H6AZIESaJi0whRNZF2PSueu1vMV9phOLnI66Nj6QUrKISoEqY5CSwVhh4p/19fFA==" saltValue="JgxHyB9/Qzm3LIr988Of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20302046.5</v>
      </c>
      <c r="C2" s="49">
        <v>5266778</v>
      </c>
      <c r="D2" s="49">
        <v>8390195</v>
      </c>
      <c r="E2" s="49">
        <v>12688079.5</v>
      </c>
      <c r="F2" s="49">
        <v>8756132.5</v>
      </c>
      <c r="G2" s="17">
        <f t="shared" ref="G2:G13" si="0">C2+D2+E2+F2</f>
        <v>35101185</v>
      </c>
      <c r="H2" s="17">
        <f t="shared" ref="H2:H13" si="1">(B2 + stillbirth*B2/(1000-stillbirth))/(1-abortion)</f>
        <v>23727193.532715712</v>
      </c>
      <c r="I2" s="17">
        <f t="shared" ref="I2:I13" si="2">G2-H2</f>
        <v>11373991.467284288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4467740</v>
      </c>
      <c r="C3" s="50">
        <v>5707427.5</v>
      </c>
      <c r="D3" s="50">
        <v>8798562.5</v>
      </c>
      <c r="E3" s="50">
        <v>6012901.5</v>
      </c>
      <c r="F3" s="50">
        <v>3867363</v>
      </c>
      <c r="G3" s="17">
        <f t="shared" si="0"/>
        <v>24386254.5</v>
      </c>
      <c r="H3" s="17">
        <f t="shared" si="1"/>
        <v>5221489.943580579</v>
      </c>
      <c r="I3" s="17">
        <f t="shared" si="2"/>
        <v>19164764.556419421</v>
      </c>
    </row>
    <row r="4" spans="1:9" ht="15.75" customHeight="1" x14ac:dyDescent="0.25">
      <c r="A4" s="5">
        <f t="shared" si="3"/>
        <v>2026</v>
      </c>
      <c r="B4" s="49">
        <v>4559718</v>
      </c>
      <c r="C4" s="50">
        <v>5926746.5</v>
      </c>
      <c r="D4" s="50">
        <v>9049485.4999999981</v>
      </c>
      <c r="E4" s="50">
        <v>6256656.9999999991</v>
      </c>
      <c r="F4" s="50">
        <v>4013996</v>
      </c>
      <c r="G4" s="17">
        <f t="shared" si="0"/>
        <v>25246884.999999996</v>
      </c>
      <c r="H4" s="17">
        <f t="shared" si="1"/>
        <v>5328985.5010728808</v>
      </c>
      <c r="I4" s="17">
        <f t="shared" si="2"/>
        <v>19917899.498927116</v>
      </c>
    </row>
    <row r="5" spans="1:9" ht="15.75" customHeight="1" x14ac:dyDescent="0.25">
      <c r="A5" s="5">
        <f t="shared" si="3"/>
        <v>2027</v>
      </c>
      <c r="B5" s="49">
        <v>4634979</v>
      </c>
      <c r="C5" s="50">
        <v>6153007</v>
      </c>
      <c r="D5" s="50">
        <v>9304810.5</v>
      </c>
      <c r="E5" s="50">
        <v>6513274</v>
      </c>
      <c r="F5" s="50">
        <v>4175585</v>
      </c>
      <c r="G5" s="17">
        <f t="shared" si="0"/>
        <v>26146676.5</v>
      </c>
      <c r="H5" s="17">
        <f t="shared" si="1"/>
        <v>5416943.7427440202</v>
      </c>
      <c r="I5" s="17">
        <f t="shared" si="2"/>
        <v>20729732.757255979</v>
      </c>
    </row>
    <row r="6" spans="1:9" ht="15.75" customHeight="1" x14ac:dyDescent="0.25">
      <c r="A6" s="5">
        <f t="shared" si="3"/>
        <v>2028</v>
      </c>
      <c r="B6" s="49">
        <v>4715179</v>
      </c>
      <c r="C6" s="50">
        <v>6387147</v>
      </c>
      <c r="D6" s="50">
        <v>9591976.5</v>
      </c>
      <c r="E6" s="50">
        <v>6759084.9999999991</v>
      </c>
      <c r="F6" s="50">
        <v>4349830</v>
      </c>
      <c r="G6" s="17">
        <f t="shared" si="0"/>
        <v>27088038.5</v>
      </c>
      <c r="H6" s="17">
        <f t="shared" si="1"/>
        <v>5510674.2403726112</v>
      </c>
      <c r="I6" s="17">
        <f t="shared" si="2"/>
        <v>21577364.259627387</v>
      </c>
    </row>
    <row r="7" spans="1:9" ht="15.75" customHeight="1" x14ac:dyDescent="0.25">
      <c r="A7" s="5">
        <f t="shared" si="3"/>
        <v>2029</v>
      </c>
      <c r="B7" s="49">
        <v>4802947</v>
      </c>
      <c r="C7" s="50">
        <v>6626634.5</v>
      </c>
      <c r="D7" s="50">
        <v>9913193</v>
      </c>
      <c r="E7" s="50">
        <v>6992201.5</v>
      </c>
      <c r="F7" s="50">
        <v>4534990</v>
      </c>
      <c r="G7" s="17">
        <f t="shared" si="0"/>
        <v>28067019</v>
      </c>
      <c r="H7" s="17">
        <f t="shared" si="1"/>
        <v>5613249.5310941348</v>
      </c>
      <c r="I7" s="17">
        <f t="shared" si="2"/>
        <v>22453769.468905866</v>
      </c>
    </row>
    <row r="8" spans="1:9" ht="15.75" customHeight="1" x14ac:dyDescent="0.25">
      <c r="A8" s="5">
        <f t="shared" si="3"/>
        <v>2030</v>
      </c>
      <c r="B8" s="49">
        <v>4875684</v>
      </c>
      <c r="C8" s="50">
        <v>6867822</v>
      </c>
      <c r="D8" s="50">
        <v>10255639.500000002</v>
      </c>
      <c r="E8" s="50">
        <v>7228785.5</v>
      </c>
      <c r="F8" s="50">
        <v>4725643.5</v>
      </c>
      <c r="G8" s="17">
        <f t="shared" si="0"/>
        <v>29077890.5</v>
      </c>
      <c r="H8" s="17">
        <f t="shared" si="1"/>
        <v>5698257.9501217017</v>
      </c>
      <c r="I8" s="17">
        <f t="shared" si="2"/>
        <v>23379632.549878299</v>
      </c>
    </row>
    <row r="9" spans="1:9" ht="15.75" customHeight="1" x14ac:dyDescent="0.25">
      <c r="A9" s="5">
        <f t="shared" si="3"/>
        <v>2031</v>
      </c>
      <c r="B9" s="49">
        <v>4954791</v>
      </c>
      <c r="C9" s="50">
        <v>7111088</v>
      </c>
      <c r="D9" s="50">
        <v>10608311</v>
      </c>
      <c r="E9" s="50">
        <v>7479335.5</v>
      </c>
      <c r="F9" s="50">
        <v>4918201.9999999991</v>
      </c>
      <c r="G9" s="17">
        <f t="shared" si="0"/>
        <v>30116936.5</v>
      </c>
      <c r="H9" s="17">
        <f t="shared" si="1"/>
        <v>5790711.0483250059</v>
      </c>
      <c r="I9" s="17">
        <f t="shared" si="2"/>
        <v>24326225.451674994</v>
      </c>
    </row>
    <row r="10" spans="1:9" ht="15.75" customHeight="1" x14ac:dyDescent="0.25">
      <c r="A10" s="5">
        <f t="shared" si="3"/>
        <v>2032</v>
      </c>
      <c r="B10" s="49">
        <v>5028912</v>
      </c>
      <c r="C10" s="50">
        <v>7353354</v>
      </c>
      <c r="D10" s="50">
        <v>10978867.5</v>
      </c>
      <c r="E10" s="50">
        <v>7736087.5000000009</v>
      </c>
      <c r="F10" s="50">
        <v>5116893.5</v>
      </c>
      <c r="G10" s="17">
        <f t="shared" si="0"/>
        <v>31185202.5</v>
      </c>
      <c r="H10" s="17">
        <f t="shared" si="1"/>
        <v>5877336.9612268619</v>
      </c>
      <c r="I10" s="17">
        <f t="shared" si="2"/>
        <v>25307865.538773138</v>
      </c>
    </row>
    <row r="11" spans="1:9" ht="15.75" customHeight="1" x14ac:dyDescent="0.25">
      <c r="A11" s="5">
        <f t="shared" si="3"/>
        <v>2033</v>
      </c>
      <c r="B11" s="49">
        <v>5084138</v>
      </c>
      <c r="C11" s="50">
        <v>7601006</v>
      </c>
      <c r="D11" s="50">
        <v>11374679</v>
      </c>
      <c r="E11" s="50">
        <v>7994606.5</v>
      </c>
      <c r="F11" s="50">
        <v>5322073</v>
      </c>
      <c r="G11" s="17">
        <f t="shared" si="0"/>
        <v>32292364.5</v>
      </c>
      <c r="H11" s="17">
        <f t="shared" si="1"/>
        <v>5941880.1091325544</v>
      </c>
      <c r="I11" s="17">
        <f t="shared" si="2"/>
        <v>26350484.390867446</v>
      </c>
    </row>
    <row r="12" spans="1:9" ht="15.75" customHeight="1" x14ac:dyDescent="0.25">
      <c r="A12" s="5">
        <f t="shared" si="3"/>
        <v>2034</v>
      </c>
      <c r="B12" s="49">
        <v>5153883</v>
      </c>
      <c r="C12" s="50">
        <v>7861221</v>
      </c>
      <c r="D12" s="50">
        <v>11793474.5</v>
      </c>
      <c r="E12" s="50">
        <v>8252710.4999999991</v>
      </c>
      <c r="F12" s="50">
        <v>5533688</v>
      </c>
      <c r="G12" s="17">
        <f t="shared" si="0"/>
        <v>33441094</v>
      </c>
      <c r="H12" s="17">
        <f t="shared" si="1"/>
        <v>6023391.7494954746</v>
      </c>
      <c r="I12" s="17">
        <f t="shared" si="2"/>
        <v>27417702.250504524</v>
      </c>
    </row>
    <row r="13" spans="1:9" ht="15.75" customHeight="1" x14ac:dyDescent="0.25">
      <c r="A13" s="5">
        <f t="shared" si="3"/>
        <v>2035</v>
      </c>
      <c r="B13" s="49">
        <v>5219842</v>
      </c>
      <c r="C13" s="50">
        <v>8125729.5</v>
      </c>
      <c r="D13" s="50">
        <v>12232980</v>
      </c>
      <c r="E13" s="50">
        <v>8508896.5</v>
      </c>
      <c r="F13" s="50">
        <v>5752367</v>
      </c>
      <c r="G13" s="17">
        <f t="shared" si="0"/>
        <v>34619973</v>
      </c>
      <c r="H13" s="17">
        <f t="shared" si="1"/>
        <v>6100478.6558930324</v>
      </c>
      <c r="I13" s="17">
        <f t="shared" si="2"/>
        <v>28519494.344106968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3wv8bO3xfL2dNntBoTqnX47D7B7TmfzGLszX5S5jCKSRAiuhFC3aG3dUG1z2bLRPLdXDC/MxGEgr9ZnvICVDg==" saltValue="NVQv24Q740mhWBDNmXaS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1.0924097815180431E-2</v>
      </c>
    </row>
    <row r="4" spans="1:8" ht="15.75" customHeight="1" x14ac:dyDescent="0.25">
      <c r="B4" s="19" t="s">
        <v>116</v>
      </c>
      <c r="C4" s="101">
        <v>5.9342188131562293E-2</v>
      </c>
    </row>
    <row r="5" spans="1:8" ht="15.75" customHeight="1" x14ac:dyDescent="0.25">
      <c r="B5" s="19" t="s">
        <v>114</v>
      </c>
      <c r="C5" s="101">
        <v>7.3863785227242837E-2</v>
      </c>
    </row>
    <row r="6" spans="1:8" ht="15.75" customHeight="1" x14ac:dyDescent="0.25">
      <c r="B6" s="19" t="s">
        <v>110</v>
      </c>
      <c r="C6" s="101">
        <v>0.24698675060264991</v>
      </c>
    </row>
    <row r="7" spans="1:8" ht="15.75" customHeight="1" x14ac:dyDescent="0.25">
      <c r="B7" s="19" t="s">
        <v>115</v>
      </c>
      <c r="C7" s="101">
        <v>0.41603591679281682</v>
      </c>
    </row>
    <row r="8" spans="1:8" ht="15.75" customHeight="1" x14ac:dyDescent="0.25">
      <c r="B8" s="19" t="s">
        <v>117</v>
      </c>
      <c r="C8" s="101">
        <v>2.3167995366400931E-3</v>
      </c>
    </row>
    <row r="9" spans="1:8" ht="15.75" customHeight="1" x14ac:dyDescent="0.25">
      <c r="B9" s="19" t="s">
        <v>111</v>
      </c>
      <c r="C9" s="101">
        <v>7.6129484774103029E-2</v>
      </c>
    </row>
    <row r="10" spans="1:8" ht="15.75" customHeight="1" x14ac:dyDescent="0.25">
      <c r="B10" s="19" t="s">
        <v>113</v>
      </c>
      <c r="C10" s="101">
        <v>0.1144009771198046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121</v>
      </c>
      <c r="C15" s="101">
        <v>0.1384019313505874</v>
      </c>
      <c r="D15" s="101">
        <v>0.1384019313505874</v>
      </c>
      <c r="E15" s="101">
        <v>0.1384019313505874</v>
      </c>
      <c r="F15" s="101">
        <v>0.1384019313505874</v>
      </c>
    </row>
    <row r="16" spans="1:8" ht="15.75" customHeight="1" x14ac:dyDescent="0.25">
      <c r="B16" s="19" t="s">
        <v>2</v>
      </c>
      <c r="C16" s="101">
        <v>1.8396651510170978E-2</v>
      </c>
      <c r="D16" s="101">
        <v>1.8396651510170978E-2</v>
      </c>
      <c r="E16" s="101">
        <v>1.8396651510170978E-2</v>
      </c>
      <c r="F16" s="101">
        <v>1.8396651510170978E-2</v>
      </c>
    </row>
    <row r="17" spans="1:8" ht="15.75" customHeight="1" x14ac:dyDescent="0.25">
      <c r="B17" s="19" t="s">
        <v>109</v>
      </c>
      <c r="C17" s="101">
        <v>0.300625285196292</v>
      </c>
      <c r="D17" s="101">
        <v>0.300625285196292</v>
      </c>
      <c r="E17" s="101">
        <v>0.300625285196292</v>
      </c>
      <c r="F17" s="101">
        <v>0.300625285196292</v>
      </c>
    </row>
    <row r="18" spans="1:8" ht="15.75" customHeight="1" x14ac:dyDescent="0.25">
      <c r="B18" s="19" t="s">
        <v>3</v>
      </c>
      <c r="C18" s="101">
        <v>0.25865494885136592</v>
      </c>
      <c r="D18" s="101">
        <v>0.25865494885136592</v>
      </c>
      <c r="E18" s="101">
        <v>0.25865494885136592</v>
      </c>
      <c r="F18" s="101">
        <v>0.25865494885136592</v>
      </c>
    </row>
    <row r="19" spans="1:8" ht="15.75" customHeight="1" x14ac:dyDescent="0.25">
      <c r="B19" s="19" t="s">
        <v>120</v>
      </c>
      <c r="C19" s="101">
        <v>7.9643186956897555E-3</v>
      </c>
      <c r="D19" s="101">
        <v>7.9643186956897555E-3</v>
      </c>
      <c r="E19" s="101">
        <v>7.9643186956897555E-3</v>
      </c>
      <c r="F19" s="101">
        <v>7.9643186956897555E-3</v>
      </c>
    </row>
    <row r="20" spans="1:8" ht="15.75" customHeight="1" x14ac:dyDescent="0.25">
      <c r="B20" s="19" t="s">
        <v>98</v>
      </c>
      <c r="C20" s="101">
        <v>2.050462173124637E-2</v>
      </c>
      <c r="D20" s="101">
        <v>2.050462173124637E-2</v>
      </c>
      <c r="E20" s="101">
        <v>2.050462173124637E-2</v>
      </c>
      <c r="F20" s="101">
        <v>2.050462173124637E-2</v>
      </c>
    </row>
    <row r="21" spans="1:8" ht="15.75" customHeight="1" x14ac:dyDescent="0.25">
      <c r="B21" s="19" t="s">
        <v>107</v>
      </c>
      <c r="C21" s="101">
        <v>5.0702694385967979E-2</v>
      </c>
      <c r="D21" s="101">
        <v>5.0702694385967979E-2</v>
      </c>
      <c r="E21" s="101">
        <v>5.0702694385967979E-2</v>
      </c>
      <c r="F21" s="101">
        <v>5.0702694385967979E-2</v>
      </c>
    </row>
    <row r="22" spans="1:8" ht="15.75" customHeight="1" x14ac:dyDescent="0.25">
      <c r="B22" s="19" t="s">
        <v>118</v>
      </c>
      <c r="C22" s="101">
        <v>9.6511859903689087E-2</v>
      </c>
      <c r="D22" s="101">
        <v>9.6511859903689087E-2</v>
      </c>
      <c r="E22" s="101">
        <v>9.6511859903689087E-2</v>
      </c>
      <c r="F22" s="101">
        <v>9.6511859903689087E-2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8.8863841000000013E-2</v>
      </c>
    </row>
    <row r="27" spans="1:8" ht="15.75" customHeight="1" x14ac:dyDescent="0.25">
      <c r="B27" s="19" t="s">
        <v>108</v>
      </c>
      <c r="C27" s="101">
        <v>8.6695709999999992E-3</v>
      </c>
    </row>
    <row r="28" spans="1:8" ht="15.75" customHeight="1" x14ac:dyDescent="0.25">
      <c r="B28" s="19" t="s">
        <v>122</v>
      </c>
      <c r="C28" s="101">
        <v>0.15751688699999999</v>
      </c>
    </row>
    <row r="29" spans="1:8" ht="15.75" customHeight="1" x14ac:dyDescent="0.25">
      <c r="B29" s="19" t="s">
        <v>105</v>
      </c>
      <c r="C29" s="101">
        <v>0.169742745</v>
      </c>
    </row>
    <row r="30" spans="1:8" ht="15.75" customHeight="1" x14ac:dyDescent="0.25">
      <c r="B30" s="19" t="s">
        <v>4</v>
      </c>
      <c r="C30" s="101">
        <v>0.104932133</v>
      </c>
    </row>
    <row r="31" spans="1:8" ht="15.75" customHeight="1" x14ac:dyDescent="0.25">
      <c r="B31" s="19" t="s">
        <v>99</v>
      </c>
      <c r="C31" s="101">
        <v>0.108637312</v>
      </c>
    </row>
    <row r="32" spans="1:8" ht="15.75" customHeight="1" x14ac:dyDescent="0.25">
      <c r="B32" s="19" t="s">
        <v>104</v>
      </c>
      <c r="C32" s="101">
        <v>1.8842111000000002E-2</v>
      </c>
    </row>
    <row r="33" spans="2:3" ht="15.75" customHeight="1" x14ac:dyDescent="0.25">
      <c r="B33" s="19" t="s">
        <v>119</v>
      </c>
      <c r="C33" s="101">
        <v>8.5849647000000001E-2</v>
      </c>
    </row>
    <row r="34" spans="2:3" ht="15.75" customHeight="1" x14ac:dyDescent="0.25">
      <c r="B34" s="19" t="s">
        <v>106</v>
      </c>
      <c r="C34" s="101">
        <v>0.256945753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i/vVt/VJZbJGRcx/Lc3Tq6TRyf2vm/5LTCqf+O+zL0eug3Vx/7UVVU/YkLmaYUpw4h0P1P/MFH9fdKZP4pCoSg==" saltValue="2gjoTp8y4Rhfj7tV93VFE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129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125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126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138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nI6IGjBI8KXW/AQ74n3+U0kqT93fTqb/M8Tk3hp59qWi1Q/owUV8UH6sUPFzSUr4Q6dKwIoh9AQM66ibxmCmg==" saltValue="J71w01Z3QMLFhx+e+/gn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vqEnVFlYXDWqofULrCBvuGXvCdU39n4JbAjidgpewfYZI1JztHOH+Y+frmOoCAhEqR9MVmUUhOqtUcsjU1FjFw==" saltValue="3okC+4vSGs7T/LM9V/Bh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QCKcNiyOi3FcABcXu8kXlCvKgg4cpthvIqyASbiAY4qmtSkPZO7aTeDnBXICvdoBYuJjqQzIrPZmTTUQI1GhQ==" saltValue="Npba6tjsEdOAjDboJ5dW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653.65622306935404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0.38831000000000004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0.63511000000000006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1.8264712518805733E-2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91499.898220000003</v>
      </c>
      <c r="C22" s="109">
        <v>90358.383560000002</v>
      </c>
      <c r="D22" s="109">
        <v>89469.407489999998</v>
      </c>
      <c r="E22" s="109">
        <v>88881.245850000007</v>
      </c>
      <c r="F22" s="109">
        <v>88041.803199999995</v>
      </c>
      <c r="G22" s="109">
        <v>87058.656400000007</v>
      </c>
      <c r="H22" s="109">
        <v>85830.51096</v>
      </c>
      <c r="I22" s="109">
        <v>84178.660080000001</v>
      </c>
      <c r="J22" s="109">
        <v>81808.071880000003</v>
      </c>
      <c r="K22" s="109">
        <v>78588.600930000001</v>
      </c>
      <c r="L22" s="109">
        <v>74068.732969999997</v>
      </c>
      <c r="M22" s="109">
        <v>67986.659400000004</v>
      </c>
      <c r="N22" s="109">
        <v>59774.141159999999</v>
      </c>
      <c r="O22" s="109">
        <v>49765.920109999999</v>
      </c>
    </row>
  </sheetData>
  <sheetProtection algorithmName="SHA-512" hashValue="92r6cmw3nP+mnxll2JX61lhQgmmoeDKol+MwKE/C1DkR+8c+ikf5ixyEcW5FvxM3Fgey90lcmoM9MXfYlENDkQ==" saltValue="VNDOfdXb5UXAZ9Lr+UzEt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o/fBjQTJhy9xzoQVqNQY0+N4a2ltgiAG5k9CW/oyLrMEZ+xdcpuSgkilFkcBMX4nt/s49mioyKqbxJWzVCQxpw==" saltValue="kXB2ILtIE9mmfUoCsRUH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9DTdHXY+GJbKnHBWvBb1vNifdqr0zaTE+hwQOXJQOALIYGIoOdwgXgEyfVwYTHE32sGPaXGrvGiz3DrcrtsBaA==" saltValue="w5TYfGao6zxeF0LXQ+fv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6.43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0.25711131554737809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4.7419200000000002E-2</v>
      </c>
      <c r="C10" s="98">
        <v>0.95</v>
      </c>
      <c r="D10" s="56">
        <v>17.31420994224495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17.31420994224495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17.31420994224495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17.31420994224495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2.5711131554737809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17.31420994224495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0.53109870000000003</v>
      </c>
      <c r="C16" s="98">
        <v>0.95</v>
      </c>
      <c r="D16" s="56">
        <v>2.5983725690890487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6.4277828886844524E-2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0.29899999999999999</v>
      </c>
      <c r="C18" s="98">
        <v>0.95</v>
      </c>
      <c r="D18" s="56">
        <v>6.4277828886844528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0.51534999999999997</v>
      </c>
      <c r="C19" s="98">
        <v>0.95</v>
      </c>
      <c r="D19" s="56">
        <v>1.1471640149207829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6.43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0.64157470000000005</v>
      </c>
      <c r="C23" s="98">
        <v>0.95</v>
      </c>
      <c r="D23" s="56">
        <v>5.6296372188471304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0.16775714976716499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4.5508702851885925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0.24051800000000001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0.1522435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0.11210000000000001</v>
      </c>
      <c r="C31" s="98">
        <v>0.95</v>
      </c>
      <c r="D31" s="56">
        <v>208.26016559337626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0.70399999999999996</v>
      </c>
      <c r="C32" s="98">
        <v>0.95</v>
      </c>
      <c r="D32" s="56">
        <v>0.70705611775528987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0.19352469999999999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0.59762630000000005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3.0879000000000002E-3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0.35729519999999998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1.6E-2</v>
      </c>
      <c r="C38" s="98">
        <v>0.95</v>
      </c>
      <c r="D38" s="56">
        <v>1.1827120515179392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UgGAleTzFlQiOUfwRxuvCBi/h++uFZ3Q1kh28uniOkHNw5jgVcilC/i9eo7IQGCIAN7YKj7haE/vlKkBnEseQQ==" saltValue="d9StyuSbR7nsVPDrtiJY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Ce6BHyIYdtn/bpX/lOEzjU9J5gdoLLuw+AQvCtLKiFSvlUzJ8gvrTBqUfSev82FTJHSrjiBqa1GVAxo1TwxRg==" saltValue="qoC1OQhdrWrjnmB/Wh/3K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afYDopbuj4cZX+PDNq52dpfhoQUd6i5m3qJKMas/eoF+9Bps9fqcZJ04SuiQzaiGcjzpgjcqhGNc/b6T7ZLzA==" saltValue="FgOQQPi63ooEnLDT2Cmv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2.6</v>
      </c>
      <c r="C2" s="21">
        <f>'Entradas de población-año base'!C52</f>
        <v>2.6</v>
      </c>
      <c r="D2" s="21">
        <f>'Entradas de población-año base'!C53</f>
        <v>8.4500000000000011</v>
      </c>
      <c r="E2" s="21">
        <f>'Entradas de población-año base'!C54</f>
        <v>7.331999999999999</v>
      </c>
      <c r="F2" s="21">
        <f>'Entradas de población-año base'!C55</f>
        <v>2.9119999999999999</v>
      </c>
    </row>
    <row r="3" spans="1:6" ht="15.75" customHeight="1" x14ac:dyDescent="0.25">
      <c r="A3" s="3" t="s">
        <v>6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236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U+JzNHU4P698viW/xRUVPqT8sMizFilWsuL9uzyY5pcZFk+dyGi90haD3n9WbDqqJvHdKGdH6N9vRku5+Bn/9A==" saltValue="IQRlx5gbULtiwNkQopc8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0JKODlNvbfQzSsMRf+BBt7Y6OhtQ0wVDRb6N0FatqRCyGF1Amf/wNY3npW2geheCfTwWnjIj6xhoB6Zsa/ZSA==" saltValue="5TsVl3bKWGKS2VPdOLJX1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ghpUuNShO4C+qjp1CYKBDpyMQvJVQZZuTnNG2ocUyHrwkFQcftqtRB5jDaF1SG7MfGSX2nCNlmJbiytptUYsoA==" saltValue="0Xk0yFVu1xkK+3kkiwfO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MQI3TCsUh7ErcdZLo17NRojNQj1izUdLtp3hkDOON85POL5jpHriV68kCSegvMmVUBboYs51vsc2NGpLxThHA==" saltValue="z4/OCd72ixhUyc8G8TgSZ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vGf/JUtXiar3jJt2RrZar/ZgFO4UhuJYgYGI0Gc75LUut73YMawv+ydpr5VUd63P4QzsWSKlfwsCoJ/PNR80g==" saltValue="JAF4u9vUsDAQLxHV+rPda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Rm7S6f59yQdOac5L6s190AXwGxHcGsXWHTgvJb3xjWJeqKlCJxzxUxEpf9+xcE4BNg7DKgPz8rEVBFAHvKrISA==" saltValue="MLaBVI+n3S2ML2Ksti604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6YNrh3qc8ssHdrpERfhtewnIMothgh6IGjPcl7+tw0kvJhkX950vf9wWKGTP73Ml9xkwQw2pGvvJCB4HJCw7CQ==" saltValue="+dMa1YB0ZHK55+dlNbq2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Qs+k+hpVt1revUjtJ18mqU5ys0h6hxvNVNz8yY4UpPvgL0R2Hp2Lk3dOwkwZxVw7N0FXVFK5I609jmwo7/ymkg==" saltValue="2ngkD9vD/oaOROEkJ5tzQ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bGZuyGpMNk7yZXGQZaI7FMU/I24T2vv95ZXVxvm0sDKm/5EYyDh0Ga5Ctv/rIH2mO6qNF0rRig1E9cH5I2W96A==" saltValue="CZPrTjQSB1PZXfBk8zIC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8IfeCP0d/3oOyKn9kQkyMSznezoZjHYj89z5H/QvLMbZQrPUqkMCmvRbcytiSHquv4kBh2WY+9bnUqW7Tf1FA==" saltValue="V1OzD0r8q3qHU6TRPn7f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MeIJRajNzCkZpwFJqpHEVZ8b9JNhm33x5ClpqN+rr8Q4ZyVuPc+uWkxU25n1/ARxtXreM6zsd+KTPBpPR2LGA==" saltValue="833XHniFm8SrVcJjBT96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zyUG+hdhPykc7UhUsGH5DamXby62ERCjnuD6+ltwHpOKl6hJiqTtW4OCJh1T4NwOxDC9c6S6CmvRkGchiAVpg==" saltValue="ITQSDJBupwZG2suEXaIl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5iaMhdX4G8dO4NywAuKRqx0RN0vPGDznQqcEH+6fopD6nvchefqbocEGVDqzEqegu5mgtMUtCkI8f1+1aBz7g==" saltValue="YE9NINi5D9lY02KWds39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BFkY6YS4cIxYoHWywNPh5gcfcogJioEgk9IguEhpgb6L+TRXaYTOMu8Eqpsz3ICZ5ivqkWH5e3Y5jx+NCGsrw==" saltValue="rTTC+Z/7AQyedsnAE2Yd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IEtAlZ2pPiu2Uv2sD2v94MfvOvxsnf5BOLIaS6EGs4uJwAngNwE9mL4hfe267GK64LobGc6eIxVIS/+m3pXCQ==" saltValue="4bU114txw4giQSsc6+5b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WFs+gW+iPeYltqQLqlkLD5QpkOOrB6JEI1/PtvoR2QZ57+spfIY6rt5o/KOBRbbg0wbpL0qPT4INVYNRG8fMw==" saltValue="n77KfP8VxEe1GND4SEp4+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