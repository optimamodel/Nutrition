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4F7BD45-B87F-40B7-9F34-3F4C16BD189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I40" i="2"/>
  <c r="H40" i="2"/>
  <c r="G40" i="2"/>
  <c r="H39" i="2"/>
  <c r="I39" i="2" s="1"/>
  <c r="G39" i="2"/>
  <c r="H38" i="2"/>
  <c r="I38" i="2" s="1"/>
  <c r="G38" i="2"/>
  <c r="A25" i="2"/>
  <c r="A21" i="2"/>
  <c r="A17" i="2"/>
  <c r="I13" i="2"/>
  <c r="H13" i="2"/>
  <c r="G13" i="2"/>
  <c r="H12" i="2"/>
  <c r="I12" i="2" s="1"/>
  <c r="G12" i="2"/>
  <c r="H11" i="2"/>
  <c r="I11" i="2" s="1"/>
  <c r="G11" i="2"/>
  <c r="I10" i="2"/>
  <c r="H10" i="2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I5" i="2"/>
  <c r="H5" i="2"/>
  <c r="G5" i="2"/>
  <c r="H4" i="2"/>
  <c r="I4" i="2" s="1"/>
  <c r="G4" i="2"/>
  <c r="H3" i="2"/>
  <c r="I3" i="2" s="1"/>
  <c r="G3" i="2"/>
  <c r="I2" i="2"/>
  <c r="H2" i="2"/>
  <c r="G2" i="2"/>
  <c r="A2" i="2"/>
  <c r="A22" i="2" s="1"/>
  <c r="C33" i="1"/>
  <c r="C20" i="1"/>
  <c r="A33" i="2" l="1"/>
  <c r="A29" i="2"/>
  <c r="A37" i="2"/>
  <c r="A40" i="2"/>
  <c r="A15" i="2"/>
  <c r="A23" i="2"/>
  <c r="A31" i="2"/>
  <c r="A14" i="2"/>
  <c r="A30" i="2"/>
  <c r="A38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4" i="2"/>
  <c r="A39" i="2"/>
  <c r="A26" i="2"/>
  <c r="A19" i="2"/>
  <c r="A27" i="2"/>
  <c r="A35" i="2"/>
  <c r="A20" i="2"/>
  <c r="A28" i="2"/>
  <c r="A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<sst xmlns="http://schemas.openxmlformats.org/spreadsheetml/2006/main" count="2101" uniqueCount="341">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</sst>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19464602.25</v>
      </c>
    </row>
    <row r="8" spans="1:3" ht="15" customHeight="1" x14ac:dyDescent="0.25">
      <c r="B8" s="5" t="s">
        <v>44</v>
      </c>
      <c r="C8" s="44">
        <v>0.7659999999999999</v>
      </c>
    </row>
    <row r="9" spans="1:3" ht="15" customHeight="1" x14ac:dyDescent="0.25">
      <c r="B9" s="5" t="s">
        <v>43</v>
      </c>
      <c r="C9" s="45">
        <v>0.85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0.84400000000000008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0.10349999999999999</v>
      </c>
    </row>
    <row r="24" spans="1:3" ht="15" customHeight="1" x14ac:dyDescent="0.25">
      <c r="B24" s="15" t="s">
        <v>46</v>
      </c>
      <c r="C24" s="45">
        <v>0.45150000000000001</v>
      </c>
    </row>
    <row r="25" spans="1:3" ht="15" customHeight="1" x14ac:dyDescent="0.25">
      <c r="B25" s="15" t="s">
        <v>47</v>
      </c>
      <c r="C25" s="45">
        <v>0.35449999999999998</v>
      </c>
    </row>
    <row r="26" spans="1:3" ht="15" customHeight="1" x14ac:dyDescent="0.25">
      <c r="B26" s="15" t="s">
        <v>48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0.194032291097986</v>
      </c>
    </row>
    <row r="30" spans="1:3" ht="14.25" customHeight="1" x14ac:dyDescent="0.25">
      <c r="B30" s="25" t="s">
        <v>63</v>
      </c>
      <c r="C30" s="99">
        <v>8.3858999788103697E-2</v>
      </c>
    </row>
    <row r="31" spans="1:3" ht="14.25" customHeight="1" x14ac:dyDescent="0.25">
      <c r="B31" s="25" t="s">
        <v>10</v>
      </c>
      <c r="C31" s="99">
        <v>0.13473133352303801</v>
      </c>
    </row>
    <row r="32" spans="1:3" ht="14.25" customHeight="1" x14ac:dyDescent="0.25">
      <c r="B32" s="25" t="s">
        <v>11</v>
      </c>
      <c r="C32" s="99">
        <v>0.587377375590873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26.48049</v>
      </c>
    </row>
    <row r="38" spans="1:5" ht="15" customHeight="1" x14ac:dyDescent="0.25">
      <c r="B38" s="11" t="s">
        <v>35</v>
      </c>
      <c r="C38" s="43">
        <v>62.369660000000003</v>
      </c>
      <c r="D38" s="12"/>
      <c r="E38" s="13"/>
    </row>
    <row r="39" spans="1:5" ht="15" customHeight="1" x14ac:dyDescent="0.25">
      <c r="B39" s="11" t="s">
        <v>61</v>
      </c>
      <c r="C39" s="43">
        <v>78.960539999999995</v>
      </c>
      <c r="D39" s="12"/>
      <c r="E39" s="12"/>
    </row>
    <row r="40" spans="1:5" ht="15" customHeight="1" x14ac:dyDescent="0.25">
      <c r="B40" s="11" t="s">
        <v>36</v>
      </c>
      <c r="C40" s="100">
        <v>5.47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1.05615E-2</v>
      </c>
      <c r="D45" s="12"/>
    </row>
    <row r="46" spans="1:5" ht="15.75" customHeight="1" x14ac:dyDescent="0.25">
      <c r="B46" s="11" t="s">
        <v>51</v>
      </c>
      <c r="C46" s="45">
        <v>0.1134815</v>
      </c>
      <c r="D46" s="12"/>
    </row>
    <row r="47" spans="1:5" ht="15.75" customHeight="1" x14ac:dyDescent="0.25">
      <c r="B47" s="11" t="s">
        <v>59</v>
      </c>
      <c r="C47" s="45">
        <v>7.0955900000000002E-2</v>
      </c>
      <c r="D47" s="12"/>
      <c r="E47" s="13"/>
    </row>
    <row r="48" spans="1:5" ht="15" customHeight="1" x14ac:dyDescent="0.25">
      <c r="B48" s="11" t="s">
        <v>58</v>
      </c>
      <c r="C48" s="46">
        <v>0.80500110000000002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0.43530600000000003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0.10843405</v>
      </c>
    </row>
    <row r="63" spans="1:4" ht="15.75" customHeight="1" x14ac:dyDescent="0.3">
      <c r="A63" s="4"/>
    </row>
  </sheetData>
  <sheetProtection algorithmName="SHA-512" hashValue="EpVxThuufP3lPRrZdP4yCu+e2kAoAJggQs5xBnYkwxyQ77HglR5X9eWQAiOafICswoy2jd0ICyO7SuB88s8oYw==" saltValue="BmlVMrz3iwP1+H9adPYG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4341379</v>
      </c>
      <c r="C2" s="49">
        <v>6820836.4999999991</v>
      </c>
      <c r="D2" s="49">
        <v>8454121</v>
      </c>
      <c r="E2" s="49">
        <v>5826167</v>
      </c>
      <c r="F2" s="49">
        <v>3285238.5</v>
      </c>
      <c r="G2" s="17">
        <f t="shared" ref="G2:G13" si="0">C2+D2+E2+F2</f>
        <v>24386363</v>
      </c>
      <c r="H2" s="17">
        <f t="shared" ref="H2:H13" si="1">(B2 + stillbirth*B2/(1000-stillbirth))/(1-abortion)</f>
        <v>5073810.649180999</v>
      </c>
      <c r="I2" s="17">
        <f t="shared" ref="I2:I13" si="2">G2-H2</f>
        <v>19312552.350818999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4442689</v>
      </c>
      <c r="C3" s="50">
        <v>7096296.4999999991</v>
      </c>
      <c r="D3" s="50">
        <v>8714259</v>
      </c>
      <c r="E3" s="50">
        <v>6046929</v>
      </c>
      <c r="F3" s="50">
        <v>3410383</v>
      </c>
      <c r="G3" s="17">
        <f t="shared" si="0"/>
        <v>25267867.5</v>
      </c>
      <c r="H3" s="17">
        <f t="shared" si="1"/>
        <v>5192212.6032302827</v>
      </c>
      <c r="I3" s="17">
        <f t="shared" si="2"/>
        <v>20075654.896769717</v>
      </c>
    </row>
    <row r="4" spans="1:9" ht="15.75" customHeight="1" x14ac:dyDescent="0.25">
      <c r="A4" s="5">
        <f t="shared" si="3"/>
        <v>2026</v>
      </c>
      <c r="B4" s="49">
        <v>4548537</v>
      </c>
      <c r="C4" s="50">
        <v>7382062.5</v>
      </c>
      <c r="D4" s="50">
        <v>8978398</v>
      </c>
      <c r="E4" s="50">
        <v>6281811</v>
      </c>
      <c r="F4" s="50">
        <v>3549497</v>
      </c>
      <c r="G4" s="17">
        <f t="shared" si="0"/>
        <v>26191768.5</v>
      </c>
      <c r="H4" s="17">
        <f t="shared" si="1"/>
        <v>5315918.1607488748</v>
      </c>
      <c r="I4" s="17">
        <f t="shared" si="2"/>
        <v>20875850.339251123</v>
      </c>
    </row>
    <row r="5" spans="1:9" ht="15.75" customHeight="1" x14ac:dyDescent="0.25">
      <c r="A5" s="5">
        <f t="shared" si="3"/>
        <v>2027</v>
      </c>
      <c r="B5" s="49">
        <v>4653894</v>
      </c>
      <c r="C5" s="50">
        <v>7668421.5</v>
      </c>
      <c r="D5" s="50">
        <v>9275282</v>
      </c>
      <c r="E5" s="50">
        <v>6506117</v>
      </c>
      <c r="F5" s="50">
        <v>3702172</v>
      </c>
      <c r="G5" s="17">
        <f t="shared" si="0"/>
        <v>27151992.5</v>
      </c>
      <c r="H5" s="17">
        <f t="shared" si="1"/>
        <v>5439049.8819291182</v>
      </c>
      <c r="I5" s="17">
        <f t="shared" si="2"/>
        <v>21712942.618070882</v>
      </c>
    </row>
    <row r="6" spans="1:9" ht="15.75" customHeight="1" x14ac:dyDescent="0.25">
      <c r="A6" s="5">
        <f t="shared" si="3"/>
        <v>2028</v>
      </c>
      <c r="B6" s="49">
        <v>4757732</v>
      </c>
      <c r="C6" s="50">
        <v>7954271.0000000009</v>
      </c>
      <c r="D6" s="50">
        <v>9609095</v>
      </c>
      <c r="E6" s="50">
        <v>6717621.5</v>
      </c>
      <c r="F6" s="50">
        <v>3865803.5</v>
      </c>
      <c r="G6" s="17">
        <f t="shared" si="0"/>
        <v>28146791</v>
      </c>
      <c r="H6" s="17">
        <f t="shared" si="1"/>
        <v>5560406.3334597619</v>
      </c>
      <c r="I6" s="17">
        <f t="shared" si="2"/>
        <v>22586384.666540239</v>
      </c>
    </row>
    <row r="7" spans="1:9" ht="15.75" customHeight="1" x14ac:dyDescent="0.25">
      <c r="A7" s="5">
        <f t="shared" si="3"/>
        <v>2029</v>
      </c>
      <c r="B7" s="49">
        <v>4861293</v>
      </c>
      <c r="C7" s="50">
        <v>8238213</v>
      </c>
      <c r="D7" s="50">
        <v>9971364</v>
      </c>
      <c r="E7" s="50">
        <v>6929901.5</v>
      </c>
      <c r="F7" s="50">
        <v>4033419</v>
      </c>
      <c r="G7" s="17">
        <f t="shared" si="0"/>
        <v>29172897.5</v>
      </c>
      <c r="H7" s="17">
        <f t="shared" si="1"/>
        <v>5681439.0524736596</v>
      </c>
      <c r="I7" s="17">
        <f t="shared" si="2"/>
        <v>23491458.447526339</v>
      </c>
    </row>
    <row r="8" spans="1:9" ht="15.75" customHeight="1" x14ac:dyDescent="0.25">
      <c r="A8" s="5">
        <f t="shared" si="3"/>
        <v>2030</v>
      </c>
      <c r="B8" s="49">
        <v>4953376</v>
      </c>
      <c r="C8" s="50">
        <v>8520808</v>
      </c>
      <c r="D8" s="50">
        <v>10351962.5</v>
      </c>
      <c r="E8" s="50">
        <v>7152723</v>
      </c>
      <c r="F8" s="50">
        <v>4200074.5</v>
      </c>
      <c r="G8" s="17">
        <f t="shared" si="0"/>
        <v>30225568</v>
      </c>
      <c r="H8" s="17">
        <f t="shared" si="1"/>
        <v>5789057.324457868</v>
      </c>
      <c r="I8" s="17">
        <f t="shared" si="2"/>
        <v>24436510.675542131</v>
      </c>
    </row>
    <row r="9" spans="1:9" ht="15.75" customHeight="1" x14ac:dyDescent="0.25">
      <c r="A9" s="5">
        <f t="shared" si="3"/>
        <v>2031</v>
      </c>
      <c r="B9" s="49">
        <v>5051689</v>
      </c>
      <c r="C9" s="50">
        <v>8804670</v>
      </c>
      <c r="D9" s="50">
        <v>10752747.5</v>
      </c>
      <c r="E9" s="50">
        <v>7384110.5</v>
      </c>
      <c r="F9" s="50">
        <v>4367232.5</v>
      </c>
      <c r="G9" s="17">
        <f t="shared" si="0"/>
        <v>31308760.5</v>
      </c>
      <c r="H9" s="17">
        <f t="shared" si="1"/>
        <v>5903956.6562952707</v>
      </c>
      <c r="I9" s="17">
        <f t="shared" si="2"/>
        <v>25404803.84370473</v>
      </c>
    </row>
    <row r="10" spans="1:9" ht="15.75" customHeight="1" x14ac:dyDescent="0.25">
      <c r="A10" s="5">
        <f t="shared" si="3"/>
        <v>2032</v>
      </c>
      <c r="B10" s="49">
        <v>5141617</v>
      </c>
      <c r="C10" s="50">
        <v>9087791.0000000019</v>
      </c>
      <c r="D10" s="50">
        <v>11174441</v>
      </c>
      <c r="E10" s="50">
        <v>7624677</v>
      </c>
      <c r="F10" s="50">
        <v>4538119</v>
      </c>
      <c r="G10" s="17">
        <f t="shared" si="0"/>
        <v>32425028</v>
      </c>
      <c r="H10" s="17">
        <f t="shared" si="1"/>
        <v>6009056.3594217543</v>
      </c>
      <c r="I10" s="17">
        <f t="shared" si="2"/>
        <v>26415971.640578248</v>
      </c>
    </row>
    <row r="11" spans="1:9" ht="15.75" customHeight="1" x14ac:dyDescent="0.25">
      <c r="A11" s="5">
        <f t="shared" si="3"/>
        <v>2033</v>
      </c>
      <c r="B11" s="49">
        <v>5236252</v>
      </c>
      <c r="C11" s="50">
        <v>9373587</v>
      </c>
      <c r="D11" s="50">
        <v>11607351</v>
      </c>
      <c r="E11" s="50">
        <v>7879043.5</v>
      </c>
      <c r="F11" s="50">
        <v>4711961.5</v>
      </c>
      <c r="G11" s="17">
        <f t="shared" si="0"/>
        <v>33571943</v>
      </c>
      <c r="H11" s="17">
        <f t="shared" si="1"/>
        <v>6119657.1779140448</v>
      </c>
      <c r="I11" s="17">
        <f t="shared" si="2"/>
        <v>27452285.822085954</v>
      </c>
    </row>
    <row r="12" spans="1:9" ht="15.75" customHeight="1" x14ac:dyDescent="0.25">
      <c r="A12" s="5">
        <f t="shared" si="3"/>
        <v>2034</v>
      </c>
      <c r="B12" s="49">
        <v>5331018</v>
      </c>
      <c r="C12" s="50">
        <v>9661111</v>
      </c>
      <c r="D12" s="50">
        <v>12051770</v>
      </c>
      <c r="E12" s="50">
        <v>8141680.5</v>
      </c>
      <c r="F12" s="50">
        <v>4884369.5000000009</v>
      </c>
      <c r="G12" s="17">
        <f t="shared" si="0"/>
        <v>34738931</v>
      </c>
      <c r="H12" s="17">
        <f t="shared" si="1"/>
        <v>6230411.0973438593</v>
      </c>
      <c r="I12" s="17">
        <f t="shared" si="2"/>
        <v>28508519.902656142</v>
      </c>
    </row>
    <row r="13" spans="1:9" ht="15.75" customHeight="1" x14ac:dyDescent="0.25">
      <c r="A13" s="5">
        <f t="shared" si="3"/>
        <v>2035</v>
      </c>
      <c r="B13" s="49">
        <v>5426637</v>
      </c>
      <c r="C13" s="50">
        <v>9950593</v>
      </c>
      <c r="D13" s="50">
        <v>12507735</v>
      </c>
      <c r="E13" s="50">
        <v>8396915</v>
      </c>
      <c r="F13" s="50">
        <v>5057720.5</v>
      </c>
      <c r="G13" s="17">
        <f t="shared" si="0"/>
        <v>35912963.5</v>
      </c>
      <c r="H13" s="17">
        <f t="shared" si="1"/>
        <v>6342161.9259317424</v>
      </c>
      <c r="I13" s="17">
        <f t="shared" si="2"/>
        <v>29570801.574068256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y/VHet9XYlu9fHIITPl8Q8dqtezDTu08tX6Bw7EbUjMt5+Mh98mD9sY22u4hyiiAis7dy6KH1TIfmKSjbM9rQ==" saltValue="BrPRoyavmLPl5ttX3OmY0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1.0924097815180431E-2</v>
      </c>
    </row>
    <row r="4" spans="1:8" ht="15.75" customHeight="1" x14ac:dyDescent="0.25">
      <c r="B4" s="19" t="s">
        <v>97</v>
      </c>
      <c r="C4" s="101">
        <v>5.9342188131562293E-2</v>
      </c>
    </row>
    <row r="5" spans="1:8" ht="15.75" customHeight="1" x14ac:dyDescent="0.25">
      <c r="B5" s="19" t="s">
        <v>95</v>
      </c>
      <c r="C5" s="101">
        <v>7.3863785227242837E-2</v>
      </c>
    </row>
    <row r="6" spans="1:8" ht="15.75" customHeight="1" x14ac:dyDescent="0.25">
      <c r="B6" s="19" t="s">
        <v>91</v>
      </c>
      <c r="C6" s="101">
        <v>0.24698675060264991</v>
      </c>
    </row>
    <row r="7" spans="1:8" ht="15.75" customHeight="1" x14ac:dyDescent="0.25">
      <c r="B7" s="19" t="s">
        <v>96</v>
      </c>
      <c r="C7" s="101">
        <v>0.41603591679281682</v>
      </c>
    </row>
    <row r="8" spans="1:8" ht="15.75" customHeight="1" x14ac:dyDescent="0.25">
      <c r="B8" s="19" t="s">
        <v>98</v>
      </c>
      <c r="C8" s="101">
        <v>2.3167995366400931E-3</v>
      </c>
    </row>
    <row r="9" spans="1:8" ht="15.75" customHeight="1" x14ac:dyDescent="0.25">
      <c r="B9" s="19" t="s">
        <v>92</v>
      </c>
      <c r="C9" s="101">
        <v>7.6129484774103029E-2</v>
      </c>
    </row>
    <row r="10" spans="1:8" ht="15.75" customHeight="1" x14ac:dyDescent="0.25">
      <c r="B10" s="19" t="s">
        <v>94</v>
      </c>
      <c r="C10" s="101">
        <v>0.1144009771198046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102</v>
      </c>
      <c r="C15" s="101">
        <v>0.1384019313505874</v>
      </c>
      <c r="D15" s="101">
        <v>0.1384019313505874</v>
      </c>
      <c r="E15" s="101">
        <v>0.1384019313505874</v>
      </c>
      <c r="F15" s="101">
        <v>0.1384019313505874</v>
      </c>
    </row>
    <row r="16" spans="1:8" ht="15.75" customHeight="1" x14ac:dyDescent="0.25">
      <c r="B16" s="19" t="s">
        <v>2</v>
      </c>
      <c r="C16" s="101">
        <v>1.8396651510170978E-2</v>
      </c>
      <c r="D16" s="101">
        <v>1.8396651510170978E-2</v>
      </c>
      <c r="E16" s="101">
        <v>1.8396651510170978E-2</v>
      </c>
      <c r="F16" s="101">
        <v>1.8396651510170978E-2</v>
      </c>
    </row>
    <row r="17" spans="1:8" ht="15.75" customHeight="1" x14ac:dyDescent="0.25">
      <c r="B17" s="19" t="s">
        <v>90</v>
      </c>
      <c r="C17" s="101">
        <v>0.300625285196292</v>
      </c>
      <c r="D17" s="101">
        <v>0.300625285196292</v>
      </c>
      <c r="E17" s="101">
        <v>0.300625285196292</v>
      </c>
      <c r="F17" s="101">
        <v>0.300625285196292</v>
      </c>
    </row>
    <row r="18" spans="1:8" ht="15.75" customHeight="1" x14ac:dyDescent="0.25">
      <c r="B18" s="19" t="s">
        <v>3</v>
      </c>
      <c r="C18" s="101">
        <v>0.25865494885136592</v>
      </c>
      <c r="D18" s="101">
        <v>0.25865494885136592</v>
      </c>
      <c r="E18" s="101">
        <v>0.25865494885136592</v>
      </c>
      <c r="F18" s="101">
        <v>0.25865494885136592</v>
      </c>
    </row>
    <row r="19" spans="1:8" ht="15.75" customHeight="1" x14ac:dyDescent="0.25">
      <c r="B19" s="19" t="s">
        <v>101</v>
      </c>
      <c r="C19" s="101">
        <v>7.9643186956897555E-3</v>
      </c>
      <c r="D19" s="101">
        <v>7.9643186956897555E-3</v>
      </c>
      <c r="E19" s="101">
        <v>7.9643186956897555E-3</v>
      </c>
      <c r="F19" s="101">
        <v>7.9643186956897555E-3</v>
      </c>
    </row>
    <row r="20" spans="1:8" ht="15.75" customHeight="1" x14ac:dyDescent="0.25">
      <c r="B20" s="19" t="s">
        <v>79</v>
      </c>
      <c r="C20" s="101">
        <v>2.050462173124637E-2</v>
      </c>
      <c r="D20" s="101">
        <v>2.050462173124637E-2</v>
      </c>
      <c r="E20" s="101">
        <v>2.050462173124637E-2</v>
      </c>
      <c r="F20" s="101">
        <v>2.050462173124637E-2</v>
      </c>
    </row>
    <row r="21" spans="1:8" ht="15.75" customHeight="1" x14ac:dyDescent="0.25">
      <c r="B21" s="19" t="s">
        <v>88</v>
      </c>
      <c r="C21" s="101">
        <v>5.0702694385967979E-2</v>
      </c>
      <c r="D21" s="101">
        <v>5.0702694385967979E-2</v>
      </c>
      <c r="E21" s="101">
        <v>5.0702694385967979E-2</v>
      </c>
      <c r="F21" s="101">
        <v>5.0702694385967979E-2</v>
      </c>
    </row>
    <row r="22" spans="1:8" ht="15.75" customHeight="1" x14ac:dyDescent="0.25">
      <c r="B22" s="19" t="s">
        <v>99</v>
      </c>
      <c r="C22" s="101">
        <v>9.6511859903689087E-2</v>
      </c>
      <c r="D22" s="101">
        <v>9.6511859903689087E-2</v>
      </c>
      <c r="E22" s="101">
        <v>9.6511859903689087E-2</v>
      </c>
      <c r="F22" s="101">
        <v>9.6511859903689087E-2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8.8863841000000013E-2</v>
      </c>
    </row>
    <row r="27" spans="1:8" ht="15.75" customHeight="1" x14ac:dyDescent="0.25">
      <c r="B27" s="19" t="s">
        <v>89</v>
      </c>
      <c r="C27" s="101">
        <v>8.6695709999999992E-3</v>
      </c>
    </row>
    <row r="28" spans="1:8" ht="15.75" customHeight="1" x14ac:dyDescent="0.25">
      <c r="B28" s="19" t="s">
        <v>103</v>
      </c>
      <c r="C28" s="101">
        <v>0.15751688699999999</v>
      </c>
    </row>
    <row r="29" spans="1:8" ht="15.75" customHeight="1" x14ac:dyDescent="0.25">
      <c r="B29" s="19" t="s">
        <v>86</v>
      </c>
      <c r="C29" s="101">
        <v>0.169742745</v>
      </c>
    </row>
    <row r="30" spans="1:8" ht="15.75" customHeight="1" x14ac:dyDescent="0.25">
      <c r="B30" s="19" t="s">
        <v>4</v>
      </c>
      <c r="C30" s="101">
        <v>0.104932133</v>
      </c>
    </row>
    <row r="31" spans="1:8" ht="15.75" customHeight="1" x14ac:dyDescent="0.25">
      <c r="B31" s="19" t="s">
        <v>80</v>
      </c>
      <c r="C31" s="101">
        <v>0.108637312</v>
      </c>
    </row>
    <row r="32" spans="1:8" ht="15.75" customHeight="1" x14ac:dyDescent="0.25">
      <c r="B32" s="19" t="s">
        <v>85</v>
      </c>
      <c r="C32" s="101">
        <v>1.8842111000000002E-2</v>
      </c>
    </row>
    <row r="33" spans="2:3" ht="15.75" customHeight="1" x14ac:dyDescent="0.25">
      <c r="B33" s="19" t="s">
        <v>100</v>
      </c>
      <c r="C33" s="101">
        <v>8.5849647000000001E-2</v>
      </c>
    </row>
    <row r="34" spans="2:3" ht="15.75" customHeight="1" x14ac:dyDescent="0.25">
      <c r="B34" s="19" t="s">
        <v>87</v>
      </c>
      <c r="C34" s="101">
        <v>0.256945753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Z3NUXJV6S+SAFiXberowXr7GSf5IqDPVGtNCvfeYZ7oDIJSTURea0pX4Y/ZuPB7Cd0j55URITtf1wxRz2a9uyg==" saltValue="egt+K0tA8mZl27cRVjSq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110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106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107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119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URQRAB2I1J0h406xJsmm0tdeHk5Na5jkVXVf3GM2Pwep48p2TufZ7cqpQaPZsfoQDCEun4At9U8TJZ4ASp3Rw==" saltValue="vnwD5snPcBJMbNm6owhY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125</v>
      </c>
      <c r="C5" s="52">
        <v>1.82142E-2</v>
      </c>
      <c r="D5" s="52">
        <v>2.3116899999999999E-2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iuHwaVmCBcY7sknGOSj3bNsqQv9C4+u0Jtg1Ueb4FhVHK6eVh/QQikaQ+F6iwkqetHkTa72kjKUbgtMdilC/uw==" saltValue="tGlefJV/vN9yLWx2fH1dC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kX3zLFlSnGzrFX3t2krp+qSssaYi2yBMY2kndc1kCAoUzNJHLE2aVLQLS/3Nmu/1Vsktbwoe/FCcpaJgB6lng==" saltValue="RlpwFrr6FKgHflWhMiTw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HQ3vJnmXSSv7TrzZguf3tLwwjRJPmYCzMMsZoxiINTBC3fYwAKqln5AY/fX5KXOGz0qMwvr+7FwOZ/j8u0M5qA==" saltValue="yf5NwiSbhNnNIKfjZINAm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5KLyW2HGJAifXgjHQiKtZFXj2w81xKtzeEJupad739Nd+gcfWBS43yTMShXL5El6MyB4djyILW6Pux9+Ia43Jw==" saltValue="OmQGO7W2+JJoTSkceQxHT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Wum3AWlezcxBpiug277z6335YSwvIHhytMORFt0Hs4RGmGjpgqFjdD/ePbwzH8kGdiboUi9dG5aznl0QQLbaQ==" saltValue="cNdDoZRce3Bafg3ItMFFO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6.4278423769884219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0.32947323511308713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0.16283867355037329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4.7419200000000002E-2</v>
      </c>
      <c r="C10" s="98">
        <v>0.95</v>
      </c>
      <c r="D10" s="56">
        <v>17.31420994224495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17.31420994224495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17.31420994224495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17.31420994224495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4.7419200000000002E-2</v>
      </c>
      <c r="C14" s="98">
        <v>0.95</v>
      </c>
      <c r="D14" s="56">
        <v>17.31420994224495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17.31420994224495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0.53109870000000003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0.29899999999999999</v>
      </c>
      <c r="C18" s="98">
        <v>0.95</v>
      </c>
      <c r="D18" s="56">
        <v>6.4278423769884219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0.51534999999999997</v>
      </c>
      <c r="C19" s="98">
        <v>0.95</v>
      </c>
      <c r="D19" s="56">
        <v>6.4278423769884219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29.48122630124664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0.64157470000000005</v>
      </c>
      <c r="C23" s="98">
        <v>0.95</v>
      </c>
      <c r="D23" s="56">
        <v>5.6296372188471304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0.16775714976716499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4.7419200000000002E-2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0.24051800000000001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0.1522435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0.11210000000000001</v>
      </c>
      <c r="C31" s="98">
        <v>0.95</v>
      </c>
      <c r="D31" s="56">
        <v>208.26209301442489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0.56000000000000005</v>
      </c>
      <c r="C32" s="98">
        <v>0.95</v>
      </c>
      <c r="D32" s="56">
        <v>0.70706266146872643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0.19352469999999999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0.59762630000000005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3.0879000000000002E-3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0.35729519999999998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1.6E-2</v>
      </c>
      <c r="C38" s="98">
        <v>0.95</v>
      </c>
      <c r="D38" s="56">
        <v>1.1827229973658699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YmuIlyDCwcC2ouHflc/qnuYunRZH/3QXb7k8ZNMS/udHKsEL7ZQ2GYU6oR3qJKSm6pLrsDgcUiy1pZ28Rty9QA==" saltValue="7Fs/zTncPwWl+fm1dEaR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t6kS+D47YANfOmDD6mpBCttNT0uQA8vUoQFcfiTn33z9an+e4xhlxe/0KX6EwIKwGAJlfCR9lbe5ZMXIz/PMbw==" saltValue="43GeJ8RGlGtEM73cwplh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xyA6A7kDgj+h2W3kxWPGREQr8ZrciAHCTBjdSZkMCv84hlqT+ntqkaakLXCAXe4uqGf0Oo2hugg/CyRXbtVpdQ==" saltValue="Esd6gC3wdI53HWmWVFedU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207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sheetProtection algorithmName="SHA-512" hashValue="Sh1lK/Oz1Hunwln0CrRZQ++w3HObWuHrj6IyuIM4djUjt4G3GGDTHwO5vHgJYt/JxRgpYAxOcc5UeWeE0p35Qw==" saltValue="nIjiaYvvn4lyU+bl7BP7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0.7659999999999999</v>
      </c>
      <c r="E2" s="60">
        <f>food_insecure</f>
        <v>0.7659999999999999</v>
      </c>
      <c r="F2" s="60">
        <f>food_insecure</f>
        <v>0.7659999999999999</v>
      </c>
      <c r="G2" s="60">
        <f>food_insecure</f>
        <v>0.7659999999999999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0.7659999999999999</v>
      </c>
      <c r="I15" s="60">
        <f>food_insecure</f>
        <v>0.7659999999999999</v>
      </c>
      <c r="J15" s="60">
        <f>food_insecure</f>
        <v>0.7659999999999999</v>
      </c>
      <c r="K15" s="60">
        <f>food_insecure</f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0.84400000000000008</v>
      </c>
      <c r="M24" s="60">
        <f>famplan_unmet_need</f>
        <v>0.84400000000000008</v>
      </c>
      <c r="N24" s="60">
        <f>famplan_unmet_need</f>
        <v>0.84400000000000008</v>
      </c>
      <c r="O24" s="60">
        <f>famplan_unmet_need</f>
        <v>0.84400000000000008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0.85</v>
      </c>
      <c r="D34" s="60">
        <f t="shared" si="3"/>
        <v>0.85</v>
      </c>
      <c r="E34" s="60">
        <f t="shared" si="3"/>
        <v>0.85</v>
      </c>
      <c r="F34" s="60">
        <f t="shared" si="3"/>
        <v>0.85</v>
      </c>
      <c r="G34" s="60">
        <f t="shared" si="3"/>
        <v>0.85</v>
      </c>
      <c r="H34" s="60">
        <f t="shared" si="3"/>
        <v>0.85</v>
      </c>
      <c r="I34" s="60">
        <f t="shared" si="3"/>
        <v>0.85</v>
      </c>
      <c r="J34" s="60">
        <f t="shared" si="3"/>
        <v>0.85</v>
      </c>
      <c r="K34" s="60">
        <f t="shared" si="3"/>
        <v>0.85</v>
      </c>
      <c r="L34" s="60">
        <f t="shared" si="3"/>
        <v>0.85</v>
      </c>
      <c r="M34" s="60">
        <f t="shared" si="3"/>
        <v>0.85</v>
      </c>
      <c r="N34" s="60">
        <f t="shared" si="3"/>
        <v>0.85</v>
      </c>
      <c r="O34" s="60">
        <f t="shared" si="3"/>
        <v>0.85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dH6H8AYbUd/FnB1hiLwy15wPAAHkiUZxOD5Ll+YmqaTb7SNx2BpXkgZlJrVgbh2rcG3UXLJO3BvpI8d6i9E2Q==" saltValue="5y+xaci/hKyzCNp2WifCd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XkVKVxGTaN73+HQWWNKCWFj6V1vKXOK7qqUV0BD35P0Qg6vCq1dw/xR/7+mVfF12C2YAp0TgQdElSwT44RHGXQ==" saltValue="cTC+RwjqdgzFs7n+tggKq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uuJo2yGglCDiVm69Z+kz6yTqYBny6TCy8qevJwRLEqveaYanohD0i3WrQRg37qardX7ZGwZpTfVwuyBRhtyKw==" saltValue="Eua0df0B5xyuQQ64/jpgV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+X0xNg/k8FHCgrAEIdD5Mx67wivs3WHP9aNpL+Avmd94zYlocRCG8HQcjI1kLTjK2lSNAnGhO/nM6z/aXWvpQ==" saltValue="baNNAMpkdUKjaPC4Lhan6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WELs7aAqy/AMFwmvZyRJDZgddbfrYXm5I6HLgZlIcMI9tWPAOBhuaI8rHF2LB4v7TqM4WaJWVQnP2w4Zqm1fg==" saltValue="rKR54XXrJ9H2sxp/PEM+m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UPkSD4Gj90DmZ3zuY0BRoMiUnx1GeTIKHs13GMmGMeY2CRjE5zfGuIvXbHVoy9sv3R+KoT9x/JSBnI+fZ0VVA==" saltValue="rHNYu4y9BtbpMBH4r5A2Y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qDun3ls/i8n6UJ5n3eaRZ3eD9WB4XoDl1/fhTCgRCvKWcFgcdy9CzUhgIp8VxmObQpZdIhyKJ71Pq/4H/8pgQ==" saltValue="bAqCKhFtlTUrX9VTgSMiB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n048OFaLRxZydYpSP5A5+nJT8RztG6W3yLjXJZkM94b1nacYYCLUfZV4S3Xa90YTKKXK3iAo4ZEV/JLO6KVmw==" saltValue="oe6mTrPzNw5nEOHzSTim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5rzHuw3Ep77mOaEfTB1hItXS8t1N4Ud7YKLuO4nQln0fjUQt2QMAPDX7fHdW3lstEFgN0YjsuHE05WPAbZhGw==" saltValue="9Wi8/glyCf8yeNKsTiI1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rt2G7LA9JgwQLs21ptgwIpv/M/KzvUQiQ/k1/Um207IwEHOYRj/X9/5+4UL3JMHYYB2gvPUOJ4QjqqkEGq3bg==" saltValue="ClzbAzH63Oz3fUoB5r6e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N0g/FBxFCqCmdIjKUPAZwCIpSUZi1B+4JvZCxkq2KABUO/CvIhHYesVkU3TFmsUlYzT8O7bVOwUAoNAN7usag==" saltValue="8ib7V0vswv2EyhHC5kWr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XbMqF787QX3Y5AVj2a1grAL6aocX5tDtqnkNWJQUOpWAFruVLDkBUoHp5JfmpYUYWbJ489JcvCK5WDA6pduYQ==" saltValue="gpeC0hwHTAxzIN1g2VqI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ksmThWp9r84d7pH+63AfiW/nWP5ZrxYKPL83Gk/iTg9E6pPR5I2k6sUR11nr0oHvrC2aA4qYE9c4ueEGnKOEA==" saltValue="e2YYnbrin6UJHeolsLHe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0.10644386460884026</v>
      </c>
      <c r="G18" s="90">
        <f>MIN(MAX(1-0.89/(1-frac_sam_12_23months+(frac_sam_12_23months*0.89)),0),1)</f>
        <v>0.10756973031988604</v>
      </c>
      <c r="H18" s="90">
        <f>MIN(MAX(1-0.89/(1-frac_sam_24_59months+(frac_sam_24_59months*0.89)),0),1)</f>
        <v>0.10851155931007439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0.10364702117623037</v>
      </c>
      <c r="G20" s="90">
        <f>MIN(MAX(1-0.89/(1-frac_mam_12_23months+(frac_mam_12_23months*0.89)),0),1)</f>
        <v>0.10416657911740324</v>
      </c>
      <c r="H20" s="90">
        <f>MIN(MAX(1-0.89/(1-frac_mam_24_59months+(frac_mam_24_59months*0.89)),0),1)</f>
        <v>0.10635417166664851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9.6416923257167664E-3</v>
      </c>
      <c r="G73" s="90">
        <f>MIN(MAX(1-0.99/(1-frac_sam_12_23months+(frac_sam_12_23months*0.99)),0),1)</f>
        <v>9.7548509499205682E-3</v>
      </c>
      <c r="H73" s="90">
        <f>MIN(MAX(1-0.99/(1-frac_sam_24_59months+(frac_sam_24_59months*0.99)),0),1)</f>
        <v>9.8497120188394405E-3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9.3617059905740652E-3</v>
      </c>
      <c r="G75" s="90">
        <f>MIN(MAX(1-0.99/(1-frac_mam_12_23months+(frac_mam_12_23months*0.99)),0),1)</f>
        <v>9.4135976144477107E-3</v>
      </c>
      <c r="H75" s="90">
        <f>MIN(MAX(1-0.99/(1-frac_mam_24_59months+(frac_mam_24_59months*0.99)),0),1)</f>
        <v>9.6326886100823739E-3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0.19416907187052934</v>
      </c>
      <c r="G128" s="90">
        <f>MIN(MAX(1-0.8/(1-frac_sam_12_23months+(frac_sam_12_23months*0.8)),0),1)</f>
        <v>0.19601926627271071</v>
      </c>
      <c r="H128" s="90">
        <f>MIN(MAX(1-0.8/(1-frac_sam_24_59months+(frac_sam_24_59months*0.8)),0),1)</f>
        <v>0.19756407736710013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0.18955619975932259</v>
      </c>
      <c r="G130" s="90">
        <f>MIN(MAX(1-0.8/(1-frac_mam_12_23months+(frac_mam_12_23months*0.8)),0),1)</f>
        <v>0.19041491741473171</v>
      </c>
      <c r="H130" s="90">
        <f>MIN(MAX(1-0.8/(1-frac_mam_24_59months+(frac_mam_24_59months*0.8)),0),1)</f>
        <v>0.19402150947036811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55bBD4v8RSJnkSlqKUzn/QUVy4ALbeu7p6A8zAa3231a0KlNt1hf2tXHVmagL7DvKnlPXqeQFWvq5qeD2AZqoA==" saltValue="w7siJ+zSMeDyhHc5usue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38pNtGhvgaJjYeBasxW7sBctXOTyZKT0s9uAI4A84nzoZ5+3UpDlfjLjq3zAJoYpqp3TljZzubGbvgPNK+XHQ==" saltValue="deXBoymlwM6YeVk0yP+pI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2024-08-06T07:27:22Z</dcterms:modified>
</cp:coreProperties>
</file>