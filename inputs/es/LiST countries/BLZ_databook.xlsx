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F9FA4E8-BB86-4141-9B7A-EC043E49089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7" i="2"/>
  <c r="A23" i="2"/>
  <c r="A19" i="2"/>
  <c r="A15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A2" i="2"/>
  <c r="A40" i="2" s="1"/>
  <c r="C33" i="1"/>
  <c r="C20" i="1"/>
  <c r="I2" i="2" l="1"/>
  <c r="I3" i="2"/>
  <c r="I7" i="2"/>
  <c r="I11" i="2"/>
  <c r="I40" i="2"/>
  <c r="A16" i="2"/>
  <c r="A24" i="2"/>
  <c r="A32" i="2"/>
  <c r="A25" i="2"/>
  <c r="A33" i="2"/>
  <c r="A1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<sst xmlns="http://schemas.openxmlformats.org/spreadsheetml/2006/main" count="2101" uniqueCount="341">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</sst>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35537.190429687507</v>
      </c>
    </row>
    <row r="8" spans="1:3" ht="15" customHeight="1" x14ac:dyDescent="0.25">
      <c r="B8" s="5" t="s">
        <v>44</v>
      </c>
      <c r="C8" s="44">
        <v>0.13900000000000001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0.72714500427246098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0.1298</v>
      </c>
    </row>
    <row r="24" spans="1:3" ht="15" customHeight="1" x14ac:dyDescent="0.25">
      <c r="B24" s="15" t="s">
        <v>46</v>
      </c>
      <c r="C24" s="45">
        <v>0.56009999999999993</v>
      </c>
    </row>
    <row r="25" spans="1:3" ht="15" customHeight="1" x14ac:dyDescent="0.25">
      <c r="B25" s="15" t="s">
        <v>47</v>
      </c>
      <c r="C25" s="45">
        <v>0.27879999999999999</v>
      </c>
    </row>
    <row r="26" spans="1:3" ht="15" customHeight="1" x14ac:dyDescent="0.25">
      <c r="B26" s="15" t="s">
        <v>48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</v>
      </c>
    </row>
    <row r="30" spans="1:3" ht="14.25" customHeight="1" x14ac:dyDescent="0.25">
      <c r="B30" s="25" t="s">
        <v>63</v>
      </c>
      <c r="C30" s="99">
        <v>0</v>
      </c>
    </row>
    <row r="31" spans="1:3" ht="14.25" customHeight="1" x14ac:dyDescent="0.25">
      <c r="B31" s="25" t="s">
        <v>10</v>
      </c>
      <c r="C31" s="99">
        <v>0</v>
      </c>
    </row>
    <row r="32" spans="1:3" ht="14.25" customHeight="1" x14ac:dyDescent="0.25">
      <c r="B32" s="25" t="s">
        <v>11</v>
      </c>
      <c r="C32" s="99">
        <v>0</v>
      </c>
    </row>
    <row r="33" spans="1:5" ht="13" customHeight="1" x14ac:dyDescent="0.25">
      <c r="B33" s="27" t="s">
        <v>60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7.4189699999999998</v>
      </c>
    </row>
    <row r="38" spans="1:5" ht="15" customHeight="1" x14ac:dyDescent="0.25">
      <c r="B38" s="11" t="s">
        <v>35</v>
      </c>
      <c r="C38" s="43">
        <v>9.6127500000000001</v>
      </c>
      <c r="D38" s="12"/>
      <c r="E38" s="13"/>
    </row>
    <row r="39" spans="1:5" ht="15" customHeight="1" x14ac:dyDescent="0.25">
      <c r="B39" s="11" t="s">
        <v>61</v>
      </c>
      <c r="C39" s="43">
        <v>11.18662</v>
      </c>
      <c r="D39" s="12"/>
      <c r="E39" s="12"/>
    </row>
    <row r="40" spans="1:5" ht="15" customHeight="1" x14ac:dyDescent="0.25">
      <c r="B40" s="11" t="s">
        <v>36</v>
      </c>
      <c r="C40" s="100">
        <v>1.3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7.1999000000000004E-3</v>
      </c>
      <c r="D45" s="12"/>
    </row>
    <row r="46" spans="1:5" ht="15.75" customHeight="1" x14ac:dyDescent="0.25">
      <c r="B46" s="11" t="s">
        <v>51</v>
      </c>
      <c r="C46" s="45">
        <v>7.7361899999999997E-2</v>
      </c>
      <c r="D46" s="12"/>
    </row>
    <row r="47" spans="1:5" ht="15.75" customHeight="1" x14ac:dyDescent="0.25">
      <c r="B47" s="11" t="s">
        <v>59</v>
      </c>
      <c r="C47" s="45">
        <v>7.4153999999999998E-2</v>
      </c>
      <c r="D47" s="12"/>
      <c r="E47" s="13"/>
    </row>
    <row r="48" spans="1:5" ht="15" customHeight="1" x14ac:dyDescent="0.25">
      <c r="B48" s="11" t="s">
        <v>58</v>
      </c>
      <c r="C48" s="46">
        <v>0.84128420000000004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0.56960999999999995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1zpzZERDPLdAKy2vIs/cAoV9sREcB62+Ed0pjP1gxnnyYlNTxlYzAo5AqXLrzygH6g4LNq7a/D9m49b6XyNNqA==" saltValue="9ZtrNUScQ1gsLxAYJ3oZ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7242</v>
      </c>
      <c r="C2" s="49">
        <v>22458.5</v>
      </c>
      <c r="D2" s="49">
        <v>38634</v>
      </c>
      <c r="E2" s="49">
        <v>33656</v>
      </c>
      <c r="F2" s="49">
        <v>22390</v>
      </c>
      <c r="G2" s="17">
        <f t="shared" ref="G2:G13" si="0">C2+D2+E2+F2</f>
        <v>117138.5</v>
      </c>
      <c r="H2" s="17">
        <f t="shared" ref="H2:H13" si="1">(B2 + stillbirth*B2/(1000-stillbirth))/(1-abortion)</f>
        <v>8286.6516715421367</v>
      </c>
      <c r="I2" s="17">
        <f t="shared" ref="I2:I13" si="2">G2-H2</f>
        <v>108851.84832845787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7239</v>
      </c>
      <c r="C3" s="50">
        <v>22171</v>
      </c>
      <c r="D3" s="50">
        <v>38823</v>
      </c>
      <c r="E3" s="50">
        <v>34401.5</v>
      </c>
      <c r="F3" s="50">
        <v>23091</v>
      </c>
      <c r="G3" s="17">
        <f t="shared" si="0"/>
        <v>118486.5</v>
      </c>
      <c r="H3" s="17">
        <f t="shared" si="1"/>
        <v>8283.2189243708272</v>
      </c>
      <c r="I3" s="17">
        <f t="shared" si="2"/>
        <v>110203.28107562917</v>
      </c>
    </row>
    <row r="4" spans="1:9" ht="15.75" customHeight="1" x14ac:dyDescent="0.25">
      <c r="A4" s="5">
        <f t="shared" si="3"/>
        <v>2026</v>
      </c>
      <c r="B4" s="49">
        <v>7219</v>
      </c>
      <c r="C4" s="50">
        <v>21984.5</v>
      </c>
      <c r="D4" s="50">
        <v>38955.5</v>
      </c>
      <c r="E4" s="50">
        <v>35099.5</v>
      </c>
      <c r="F4" s="50">
        <v>23795.5</v>
      </c>
      <c r="G4" s="17">
        <f t="shared" si="0"/>
        <v>119835</v>
      </c>
      <c r="H4" s="17">
        <f t="shared" si="1"/>
        <v>8260.3339432287594</v>
      </c>
      <c r="I4" s="17">
        <f t="shared" si="2"/>
        <v>111574.66605677124</v>
      </c>
    </row>
    <row r="5" spans="1:9" ht="15.75" customHeight="1" x14ac:dyDescent="0.25">
      <c r="A5" s="5">
        <f t="shared" si="3"/>
        <v>2027</v>
      </c>
      <c r="B5" s="49">
        <v>7229</v>
      </c>
      <c r="C5" s="50">
        <v>21909</v>
      </c>
      <c r="D5" s="50">
        <v>39001</v>
      </c>
      <c r="E5" s="50">
        <v>35750</v>
      </c>
      <c r="F5" s="50">
        <v>24520</v>
      </c>
      <c r="G5" s="17">
        <f t="shared" si="0"/>
        <v>121180</v>
      </c>
      <c r="H5" s="17">
        <f t="shared" si="1"/>
        <v>8271.7764337997924</v>
      </c>
      <c r="I5" s="17">
        <f t="shared" si="2"/>
        <v>112908.22356620021</v>
      </c>
    </row>
    <row r="6" spans="1:9" ht="15.75" customHeight="1" x14ac:dyDescent="0.25">
      <c r="A6" s="5">
        <f t="shared" si="3"/>
        <v>2028</v>
      </c>
      <c r="B6" s="49">
        <v>7198</v>
      </c>
      <c r="C6" s="50">
        <v>21932</v>
      </c>
      <c r="D6" s="50">
        <v>38936.5</v>
      </c>
      <c r="E6" s="50">
        <v>36372.5</v>
      </c>
      <c r="F6" s="50">
        <v>25273</v>
      </c>
      <c r="G6" s="17">
        <f t="shared" si="0"/>
        <v>122514</v>
      </c>
      <c r="H6" s="17">
        <f t="shared" si="1"/>
        <v>8236.3047130295909</v>
      </c>
      <c r="I6" s="17">
        <f t="shared" si="2"/>
        <v>114277.69528697041</v>
      </c>
    </row>
    <row r="7" spans="1:9" ht="15.75" customHeight="1" x14ac:dyDescent="0.25">
      <c r="A7" s="5">
        <f t="shared" si="3"/>
        <v>2029</v>
      </c>
      <c r="B7" s="49">
        <v>7188</v>
      </c>
      <c r="C7" s="50">
        <v>22018</v>
      </c>
      <c r="D7" s="50">
        <v>38771</v>
      </c>
      <c r="E7" s="50">
        <v>36981</v>
      </c>
      <c r="F7" s="50">
        <v>26057</v>
      </c>
      <c r="G7" s="17">
        <f t="shared" si="0"/>
        <v>123827</v>
      </c>
      <c r="H7" s="17">
        <f t="shared" si="1"/>
        <v>8224.8622224585579</v>
      </c>
      <c r="I7" s="17">
        <f t="shared" si="2"/>
        <v>115602.13777754144</v>
      </c>
    </row>
    <row r="8" spans="1:9" ht="15.75" customHeight="1" x14ac:dyDescent="0.25">
      <c r="A8" s="5">
        <f t="shared" si="3"/>
        <v>2030</v>
      </c>
      <c r="B8" s="49">
        <v>7171</v>
      </c>
      <c r="C8" s="50">
        <v>22215</v>
      </c>
      <c r="D8" s="50">
        <v>38467.5</v>
      </c>
      <c r="E8" s="50">
        <v>37552.5</v>
      </c>
      <c r="F8" s="50">
        <v>26841.5</v>
      </c>
      <c r="G8" s="17">
        <f t="shared" si="0"/>
        <v>125076.5</v>
      </c>
      <c r="H8" s="17">
        <f t="shared" si="1"/>
        <v>8205.4099884878015</v>
      </c>
      <c r="I8" s="17">
        <f t="shared" si="2"/>
        <v>116871.09001151219</v>
      </c>
    </row>
    <row r="9" spans="1:9" ht="15.75" customHeight="1" x14ac:dyDescent="0.25">
      <c r="A9" s="5">
        <f t="shared" si="3"/>
        <v>2031</v>
      </c>
      <c r="B9" s="49">
        <v>7164</v>
      </c>
      <c r="C9" s="50">
        <v>22477.5</v>
      </c>
      <c r="D9" s="50">
        <v>38118</v>
      </c>
      <c r="E9" s="50">
        <v>38043.5</v>
      </c>
      <c r="F9" s="50">
        <v>27600</v>
      </c>
      <c r="G9" s="17">
        <f t="shared" si="0"/>
        <v>126239</v>
      </c>
      <c r="H9" s="17">
        <f t="shared" si="1"/>
        <v>8197.400245088078</v>
      </c>
      <c r="I9" s="17">
        <f t="shared" si="2"/>
        <v>118041.59975491192</v>
      </c>
    </row>
    <row r="10" spans="1:9" ht="15.75" customHeight="1" x14ac:dyDescent="0.25">
      <c r="A10" s="5">
        <f t="shared" si="3"/>
        <v>2032</v>
      </c>
      <c r="B10" s="49">
        <v>7149</v>
      </c>
      <c r="C10" s="50">
        <v>22710.5</v>
      </c>
      <c r="D10" s="50">
        <v>37862.5</v>
      </c>
      <c r="E10" s="50">
        <v>38441</v>
      </c>
      <c r="F10" s="50">
        <v>28346</v>
      </c>
      <c r="G10" s="17">
        <f t="shared" si="0"/>
        <v>127360</v>
      </c>
      <c r="H10" s="17">
        <f t="shared" si="1"/>
        <v>8180.2365092315295</v>
      </c>
      <c r="I10" s="17">
        <f t="shared" si="2"/>
        <v>119179.76349076847</v>
      </c>
    </row>
    <row r="11" spans="1:9" ht="15.75" customHeight="1" x14ac:dyDescent="0.25">
      <c r="A11" s="5">
        <f t="shared" si="3"/>
        <v>2033</v>
      </c>
      <c r="B11" s="49">
        <v>7105</v>
      </c>
      <c r="C11" s="50">
        <v>22739.5</v>
      </c>
      <c r="D11" s="50">
        <v>37693</v>
      </c>
      <c r="E11" s="50">
        <v>38757</v>
      </c>
      <c r="F11" s="50">
        <v>29074</v>
      </c>
      <c r="G11" s="17">
        <f t="shared" si="0"/>
        <v>128263.5</v>
      </c>
      <c r="H11" s="17">
        <f t="shared" si="1"/>
        <v>8129.8895507189836</v>
      </c>
      <c r="I11" s="17">
        <f t="shared" si="2"/>
        <v>120133.61044928101</v>
      </c>
    </row>
    <row r="12" spans="1:9" ht="15.75" customHeight="1" x14ac:dyDescent="0.25">
      <c r="A12" s="5">
        <f t="shared" si="3"/>
        <v>2034</v>
      </c>
      <c r="B12" s="49">
        <v>7105</v>
      </c>
      <c r="C12" s="50">
        <v>22483</v>
      </c>
      <c r="D12" s="50">
        <v>37588</v>
      </c>
      <c r="E12" s="50">
        <v>39002.5</v>
      </c>
      <c r="F12" s="50">
        <v>29782.5</v>
      </c>
      <c r="G12" s="17">
        <f t="shared" si="0"/>
        <v>128856</v>
      </c>
      <c r="H12" s="17">
        <f t="shared" si="1"/>
        <v>8129.8895507189836</v>
      </c>
      <c r="I12" s="17">
        <f t="shared" si="2"/>
        <v>120726.11044928101</v>
      </c>
    </row>
    <row r="13" spans="1:9" ht="15.75" customHeight="1" x14ac:dyDescent="0.25">
      <c r="A13" s="5">
        <f t="shared" si="3"/>
        <v>2035</v>
      </c>
      <c r="B13" s="49">
        <v>7067</v>
      </c>
      <c r="C13" s="50">
        <v>22165</v>
      </c>
      <c r="D13" s="50">
        <v>37522.5</v>
      </c>
      <c r="E13" s="50">
        <v>39193.5</v>
      </c>
      <c r="F13" s="50">
        <v>30477</v>
      </c>
      <c r="G13" s="17">
        <f t="shared" si="0"/>
        <v>129358</v>
      </c>
      <c r="H13" s="17">
        <f t="shared" si="1"/>
        <v>8086.4080865490587</v>
      </c>
      <c r="I13" s="17">
        <f t="shared" si="2"/>
        <v>121271.59191345095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pp8VucWDLEiXgojSk/oph68UtPyFTmQqLFvFvOhZ44lMrR0MWDAfOHlvCUy0kefoW9+LSbQY4YIsMcMksid1Q==" saltValue="jztADvJItYOb3Mmd9TRca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7.087850000000008E-2</v>
      </c>
    </row>
    <row r="5" spans="1:8" ht="15.75" customHeight="1" x14ac:dyDescent="0.25">
      <c r="B5" s="19" t="s">
        <v>95</v>
      </c>
      <c r="C5" s="101">
        <v>2.284790000000006E-2</v>
      </c>
    </row>
    <row r="6" spans="1:8" ht="15.75" customHeight="1" x14ac:dyDescent="0.25">
      <c r="B6" s="19" t="s">
        <v>91</v>
      </c>
      <c r="C6" s="101">
        <v>0.16041219999999951</v>
      </c>
    </row>
    <row r="7" spans="1:8" ht="15.75" customHeight="1" x14ac:dyDescent="0.25">
      <c r="B7" s="19" t="s">
        <v>96</v>
      </c>
      <c r="C7" s="101">
        <v>0.44154420000000061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0.1909217999999997</v>
      </c>
    </row>
    <row r="10" spans="1:8" ht="15.75" customHeight="1" x14ac:dyDescent="0.25">
      <c r="B10" s="19" t="s">
        <v>94</v>
      </c>
      <c r="C10" s="101">
        <v>0.1133954000000001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102</v>
      </c>
      <c r="C15" s="101">
        <v>0.15611618983341141</v>
      </c>
      <c r="D15" s="101">
        <v>0.15611618983341141</v>
      </c>
      <c r="E15" s="101">
        <v>0.15611618983341141</v>
      </c>
      <c r="F15" s="101">
        <v>0.15611618983341141</v>
      </c>
    </row>
    <row r="16" spans="1:8" ht="15.75" customHeight="1" x14ac:dyDescent="0.25">
      <c r="B16" s="19" t="s">
        <v>2</v>
      </c>
      <c r="C16" s="101">
        <v>2.2399666302878589E-2</v>
      </c>
      <c r="D16" s="101">
        <v>2.2399666302878589E-2</v>
      </c>
      <c r="E16" s="101">
        <v>2.2399666302878589E-2</v>
      </c>
      <c r="F16" s="101">
        <v>2.2399666302878589E-2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0.3292969420141898</v>
      </c>
      <c r="D20" s="101">
        <v>0.3292969420141898</v>
      </c>
      <c r="E20" s="101">
        <v>0.3292969420141898</v>
      </c>
      <c r="F20" s="101">
        <v>0.3292969420141898</v>
      </c>
    </row>
    <row r="21" spans="1:8" ht="15.75" customHeight="1" x14ac:dyDescent="0.25">
      <c r="B21" s="19" t="s">
        <v>88</v>
      </c>
      <c r="C21" s="101">
        <v>0.2531630768533944</v>
      </c>
      <c r="D21" s="101">
        <v>0.2531630768533944</v>
      </c>
      <c r="E21" s="101">
        <v>0.2531630768533944</v>
      </c>
      <c r="F21" s="101">
        <v>0.2531630768533944</v>
      </c>
    </row>
    <row r="22" spans="1:8" ht="15.75" customHeight="1" x14ac:dyDescent="0.25">
      <c r="B22" s="19" t="s">
        <v>99</v>
      </c>
      <c r="C22" s="101">
        <v>0.10909491121006711</v>
      </c>
      <c r="D22" s="101">
        <v>0.10909491121006711</v>
      </c>
      <c r="E22" s="101">
        <v>0.10909491121006711</v>
      </c>
      <c r="F22" s="101">
        <v>0.10909491121006711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6.0859322999999993E-2</v>
      </c>
    </row>
    <row r="27" spans="1:8" ht="15.75" customHeight="1" x14ac:dyDescent="0.25">
      <c r="B27" s="19" t="s">
        <v>89</v>
      </c>
      <c r="C27" s="101">
        <v>1.8473204999999999E-2</v>
      </c>
    </row>
    <row r="28" spans="1:8" ht="15.75" customHeight="1" x14ac:dyDescent="0.25">
      <c r="B28" s="19" t="s">
        <v>103</v>
      </c>
      <c r="C28" s="101">
        <v>0.14414038900000001</v>
      </c>
    </row>
    <row r="29" spans="1:8" ht="15.75" customHeight="1" x14ac:dyDescent="0.25">
      <c r="B29" s="19" t="s">
        <v>86</v>
      </c>
      <c r="C29" s="101">
        <v>0.27289618700000001</v>
      </c>
    </row>
    <row r="30" spans="1:8" ht="15.75" customHeight="1" x14ac:dyDescent="0.25">
      <c r="B30" s="19" t="s">
        <v>4</v>
      </c>
      <c r="C30" s="101">
        <v>8.5625018999999997E-2</v>
      </c>
    </row>
    <row r="31" spans="1:8" ht="15.75" customHeight="1" x14ac:dyDescent="0.25">
      <c r="B31" s="19" t="s">
        <v>80</v>
      </c>
      <c r="C31" s="101">
        <v>0.10194423</v>
      </c>
    </row>
    <row r="32" spans="1:8" ht="15.75" customHeight="1" x14ac:dyDescent="0.25">
      <c r="B32" s="19" t="s">
        <v>85</v>
      </c>
      <c r="C32" s="101">
        <v>2.9002987000000001E-2</v>
      </c>
    </row>
    <row r="33" spans="2:3" ht="15.75" customHeight="1" x14ac:dyDescent="0.25">
      <c r="B33" s="19" t="s">
        <v>100</v>
      </c>
      <c r="C33" s="101">
        <v>0.12602046</v>
      </c>
    </row>
    <row r="34" spans="2:3" ht="15.75" customHeight="1" x14ac:dyDescent="0.25">
      <c r="B34" s="19" t="s">
        <v>87</v>
      </c>
      <c r="C34" s="101">
        <v>0.16103819999999999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uLw4J8ZkROW7FzF23VilM0qbd+7HVNjivwYfXKYjRExP3JearxPlAW739PAuzbeWi9LnSwFm4G/rrcFPaglO9A==" saltValue="QJXdB5oQB0MNhE5B6/EO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110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106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107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119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q2uDlgJ0wsnIODdEbQc9n7ZcOukHvX1vHdYvnwe45559NC448U7ndyuhJk3tvEQVSgElf2QluL8AEMY7ANd+Q==" saltValue="Oa9HUk8j4URvN4aAI9f0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125</v>
      </c>
      <c r="C5" s="52">
        <v>3.9491400000000003E-2</v>
      </c>
      <c r="D5" s="52"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tkonQjKAcnD6UgD2CEz+ftXnbBsE7lqSc3/9Vwq8MUuBIgDpo2WsFhNYjGdK1YMW73v7wk4j9pPniiHwXM+9wg==" saltValue="0Y8eO3Bn8EVfuQ1mvHcEd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4/YvtWFLB5ROQlCrNQE5qSyyMhAusS+6BVWNRr+6R6Bd9Pc+rGfdV2hR9cAaY4n9VsF5WmqTauTyJ7ebwCaHQ==" saltValue="wRjzBEvGV5+dcCG/wIyhf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LIxoBcD+XdfECaVmawAZHiXu/T9SQqcdAVHihrBe74yqByUdnhRW/e1mPCoy+PydwPui/LrIFskLrYxayjwiqQ==" saltValue="tYGPCASy06QpQ0RTSHLH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aiRfVnWMYvAOQoShdQ7g7kwaODPApFQai7XkXgdfqWOFL0HDfg5IPmC0O8SxBjgEUyCNHaVdySTrMkmg0iB6w==" saltValue="QCc9tgbuZon5sdwjwEaP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4UXUji4UwihOe1o4WrA0yCPSvHkfmxEnMmi0+ZaAMLjjGx0xn6khWxcOw+UTB0meVbT83X2ZUznTTsEB5bKwJA==" saltValue="jGW5n1jaaqK7kTFYV9WX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61.861086469337543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39.966012526302137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474.4736397477613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1.54600707819998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13.098311970098051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13.098311970098051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13.098311970098051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13.098311970098051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13.098311970098051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13.098311970098051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0.80507776999339498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0.45717222222222198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0.2988326</v>
      </c>
      <c r="C18" s="98">
        <v>0.95</v>
      </c>
      <c r="D18" s="56">
        <v>10.92023727763495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0.2988326</v>
      </c>
      <c r="C19" s="98">
        <v>0.95</v>
      </c>
      <c r="D19" s="56">
        <v>10.92023727763495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15.02309818297103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22.648664763181358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4.3331704911650171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0.74404084689872707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18.55694520304651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0.55214350000000001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0.57829639999999993</v>
      </c>
      <c r="C29" s="98">
        <v>0.95</v>
      </c>
      <c r="D29" s="56">
        <v>122.3932530911411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0.61300697415096694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0.44</v>
      </c>
      <c r="C32" s="98">
        <v>0.95</v>
      </c>
      <c r="D32" s="56">
        <v>1.737469925830645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0.90288290000000004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0.16361800000000001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1.5806400000000002E-2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0.87191940000000001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9.5506600000000011E-2</v>
      </c>
      <c r="C38" s="98">
        <v>0.95</v>
      </c>
      <c r="D38" s="56">
        <v>1.895773684330621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9hkIyOYpYe2q1IUFdiwhmQYWrB8ghXFZm4VvGfmUVffoui4V3KqZ/msCJG7jlBfqBKg2uE9AGx6isYIbmIqmrg==" saltValue="34292hqs7Sh8qDHd7PqW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rQF48HohHNUTFZ6RjxuAsDdoKJqVsf84qDRSvEKmmgyX/wVubHYMicxuQQ0pCp5wUqU6X2dbdnUHf1JoRD9itQ==" saltValue="0kN5ZfqajtYwwkRKm0iaq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fPwGHPhKCGcx31eUoLoq5v/ypNDSXpRuaRO7DqqWhKpciCbzlPUpkRig75ZuJBkGy2MSa1jSeCg0kwG9Cq22A==" saltValue="sO3wnCR7qhTTk8E5h9tT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207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ih3nx6CzItDLqodCMKIfob6G3IadlpfLF4WeSBON0LbLXaj7Y3pbLA2B5dvPfm6JhDM9hw1j98XWhJ3IJI/gOw==" saltValue="ZBZt1OjijBXQdistGb7QB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0.13900000000000001</v>
      </c>
      <c r="E2" s="60">
        <f>food_insecure</f>
        <v>0.13900000000000001</v>
      </c>
      <c r="F2" s="60">
        <f>food_insecure</f>
        <v>0.13900000000000001</v>
      </c>
      <c r="G2" s="60">
        <f>food_insecure</f>
        <v>0.13900000000000001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0.13900000000000001</v>
      </c>
      <c r="I15" s="60">
        <f>food_insecure</f>
        <v>0.13900000000000001</v>
      </c>
      <c r="J15" s="60">
        <f>food_insecure</f>
        <v>0.13900000000000001</v>
      </c>
      <c r="K15" s="60">
        <f>food_insecure</f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urtDY1JEUrwRYUt4eLN3sEYPQbqu0KWtB4vssw+yJ15POrn5alY0x4BDhBQOmx9yezAoPV1bDChtBwhFHB1uQ==" saltValue="Tp32TKBsF9vXoBHAG3Wj+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zrJPxQ+LQDJPy13rlZ+0yK4cjiq9GWnViI8/6vIWWr+xbb2y9M0eBgtFrl3tPs4902jFXGAXZxMqzGcqiNaDdw==" saltValue="+hKrITdtYyU0PxDWUwM7y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+qBFyglBC5CyDeBlWoBap5l4g1pidG8JCYFGUoMVxoKtBJN8ytrIxHKaqnKvjL8i00++hN+Y7pd3teKWMPwmg==" saltValue="p30cAT7eHeg3wjIQjEQ6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lNLgTecmiacPH3L0SGyy4RJCplzLkHvEPEcDDKEAgcecZrLZ64530qklDWCDW8z8lsEjJRAAO8LIEzsxqs4QA==" saltValue="gsLKhgcuJergu7PHKRkq3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xY4rFNTfpDIkJZuIdGWiaV/C7xh3R5yqiQzVjwtgUke6g+lzEIbtwsgWmRAIXqKyre8LNIPY1eVt6mOVvs9gw==" saltValue="2S181XMTBB0lP/qVS2A6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7FFRaobnUIRjycNIdZCrNEtM2dyauBE8AdofivGYZbMH9Yihpdsd6p6/QObso1paOflyWb2jVwkQhz527KTYg==" saltValue="HszUgTaC+JBktaJBzMTn6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ZN/9gyUAGFxJWIybjg6qWYAbZoUyYS6tMdtFJ9tgYkk3MiGIv5/02x3xJ4KAL1J0GqBB65ScLdNqFGal3ZAPw==" saltValue="hwXFx5BnY8LFhf8NSgOMu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W5ehe3RL7+BgOBnfVtNUblXlQ1hRLVQJXnORXS1d4NJndYUumdceD++q46cIPJ6vr3VtkxP4HSPtssfeHTf/Q==" saltValue="EQL7m2LwESqGC0VHSeYs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2TqmBVSYz+NM11+KkcAR4eXkLdI/Jn86y7I1Yih0fRPmSu+c5pF+s54q8NsplX6DVx4/Own+T6zGwVBOYYXqA==" saltValue="jrpT206cX3pqHZfA7Yo8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FomigQb0lK14LJ9xESrCw7vYeoKpobt/dCt4Z89ofE37cLhkVO9TkhbBXnErogXxIO8/UsJzNrOm8ysQQWHsQ==" saltValue="hPNZpEtTzkc5ixwEpwlx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ZXKKf3xNX3djEGGjiNYZe1SLVaZ39kabJJOgAzwpaZ4AZdwgmWHQP8ZszdyWk+LsYPMlqujjTROyAJqg+HRJQ==" saltValue="c5j8rEwW4KlBHWiIzPEu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GMVH0R4OEDUoJtOdnIP2zmRX0IB7A8vUG23jAbOAft8i7q51/8y+uwCFrNPRL5f0T1xA/jWbbh6T/AqWLevGA==" saltValue="eAH+nGtPblbIe6SfRVqq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i5ordnA4xgnWEsq2Z1C3J6kUtHd/4TyVdwoEBrDEGwxpMO3qHniMzYd1dTJMuHiOto3UkjEuRgQ01STs38lAQ==" saltValue="T8z+AlbvKg/MBvQVLTZZ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0.10952366729058338</v>
      </c>
      <c r="G18" s="90">
        <f>MIN(MAX(1-0.89/(1-frac_sam_12_23months+(frac_sam_12_23months*0.89)),0),1)</f>
        <v>0.10910986534017431</v>
      </c>
      <c r="H18" s="90">
        <f>MIN(MAX(1-0.89/(1-frac_sam_24_59months+(frac_sam_24_59months*0.89)),0),1)</f>
        <v>0.10976670190096693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0.10919305272793711</v>
      </c>
      <c r="G20" s="90">
        <f>MIN(MAX(1-0.89/(1-frac_mam_12_23months+(frac_mam_12_23months*0.89)),0),1)</f>
        <v>0.10979434290868739</v>
      </c>
      <c r="H20" s="90">
        <f>MIN(MAX(1-0.89/(1-frac_mam_24_59months+(frac_mam_24_59months*0.89)),0),1)</f>
        <v>0.10873929122844628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9.9518549487542796E-3</v>
      </c>
      <c r="G73" s="90">
        <f>MIN(MAX(1-0.99/(1-frac_sam_12_23months+(frac_sam_12_23months*0.99)),0),1)</f>
        <v>9.9100681513103472E-3</v>
      </c>
      <c r="H73" s="90">
        <f>MIN(MAX(1-0.99/(1-frac_sam_24_59months+(frac_sam_24_59months*0.99)),0),1)</f>
        <v>9.9764136780794432E-3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9.9184657955766475E-3</v>
      </c>
      <c r="G75" s="90">
        <f>MIN(MAX(1-0.99/(1-frac_mam_12_23months+(frac_mam_12_23months*0.99)),0),1)</f>
        <v>9.9792075833177174E-3</v>
      </c>
      <c r="H75" s="90">
        <f>MIN(MAX(1-0.99/(1-frac_mam_24_59months+(frac_mam_24_59months*0.99)),0),1)</f>
        <v>9.8726765570965602E-3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0.19922117853381838</v>
      </c>
      <c r="G128" s="90">
        <f>MIN(MAX(1-0.8/(1-frac_sam_12_23months+(frac_sam_12_23months*0.8)),0),1)</f>
        <v>0.19854404305036699</v>
      </c>
      <c r="H128" s="90">
        <f>MIN(MAX(1-0.8/(1-frac_sam_24_59months+(frac_sam_24_59months*0.8)),0),1)</f>
        <v>0.19961863428686499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0.19868021027993521</v>
      </c>
      <c r="G130" s="90">
        <f>MIN(MAX(1-0.8/(1-frac_mam_12_23months+(frac_mam_12_23months*0.8)),0),1)</f>
        <v>0.19966382679380645</v>
      </c>
      <c r="H130" s="90">
        <f>MIN(MAX(1-0.8/(1-frac_mam_24_59months+(frac_mam_24_59months*0.8)),0),1)</f>
        <v>0.19793720678464111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S3d6nV0pxf6lCxH9CEzsv7gh/qpYpA9x85wpAPn+eJwUOqxSGnE8R/sNLKoe1BhNY7mJUCRxkRT6jCoMnCeyw==" saltValue="FUea8Udk8NhOdlBqiZgv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6osMN4rHPDPqestUjmHBOh/eezBAjz5cY6xml4ZX0RCOqwL8XMCXeUVoGq64CljcL4KQ96S2d5s++1k/OJFRw==" saltValue="w/EzcZ5EfuqTfQvKrFSeF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2024-08-06T07:19:28Z</dcterms:modified>
</cp:coreProperties>
</file>