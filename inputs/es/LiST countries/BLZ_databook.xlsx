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DF0DEF9-D655-466E-9E7F-63A2D310111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<sst xmlns="http://schemas.openxmlformats.org/spreadsheetml/2006/main" count="2102" uniqueCount="341">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</sst>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35537.190429687507</v>
      </c>
    </row>
    <row r="8" spans="1:3" ht="15" customHeight="1" x14ac:dyDescent="0.25">
      <c r="B8" s="5" t="s">
        <v>44</v>
      </c>
      <c r="C8" s="44">
        <v>0.13900000000000001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0.72714500427246098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0.1298</v>
      </c>
    </row>
    <row r="24" spans="1:3" ht="15" customHeight="1" x14ac:dyDescent="0.25">
      <c r="B24" s="15" t="s">
        <v>46</v>
      </c>
      <c r="C24" s="45">
        <v>0.56009999999999993</v>
      </c>
    </row>
    <row r="25" spans="1:3" ht="15" customHeight="1" x14ac:dyDescent="0.25">
      <c r="B25" s="15" t="s">
        <v>47</v>
      </c>
      <c r="C25" s="45">
        <v>0.27879999999999999</v>
      </c>
    </row>
    <row r="26" spans="1:3" ht="15" customHeight="1" x14ac:dyDescent="0.25">
      <c r="B26" s="15" t="s">
        <v>48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</v>
      </c>
    </row>
    <row r="30" spans="1:3" ht="14.25" customHeight="1" x14ac:dyDescent="0.25">
      <c r="B30" s="25" t="s">
        <v>63</v>
      </c>
      <c r="C30" s="99">
        <v>0</v>
      </c>
    </row>
    <row r="31" spans="1:3" ht="14.25" customHeight="1" x14ac:dyDescent="0.25">
      <c r="B31" s="25" t="s">
        <v>10</v>
      </c>
      <c r="C31" s="99">
        <v>0</v>
      </c>
    </row>
    <row r="32" spans="1:3" ht="14.25" customHeight="1" x14ac:dyDescent="0.25">
      <c r="B32" s="25" t="s">
        <v>11</v>
      </c>
      <c r="C32" s="99">
        <v>0</v>
      </c>
    </row>
    <row r="33" spans="1:5" ht="13" customHeight="1" x14ac:dyDescent="0.25">
      <c r="B33" s="27" t="s">
        <v>60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7.4189699999999998</v>
      </c>
    </row>
    <row r="38" spans="1:5" ht="15" customHeight="1" x14ac:dyDescent="0.25">
      <c r="B38" s="11" t="s">
        <v>35</v>
      </c>
      <c r="C38" s="43">
        <v>9.6127500000000001</v>
      </c>
      <c r="D38" s="12"/>
      <c r="E38" s="13"/>
    </row>
    <row r="39" spans="1:5" ht="15" customHeight="1" x14ac:dyDescent="0.25">
      <c r="B39" s="11" t="s">
        <v>61</v>
      </c>
      <c r="C39" s="43">
        <v>11.18662</v>
      </c>
      <c r="D39" s="12"/>
      <c r="E39" s="12"/>
    </row>
    <row r="40" spans="1:5" ht="15" customHeight="1" x14ac:dyDescent="0.25">
      <c r="B40" s="11" t="s">
        <v>36</v>
      </c>
      <c r="C40" s="100">
        <v>1.3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7.1999000000000004E-3</v>
      </c>
      <c r="D45" s="12"/>
    </row>
    <row r="46" spans="1:5" ht="15.75" customHeight="1" x14ac:dyDescent="0.25">
      <c r="B46" s="11" t="s">
        <v>51</v>
      </c>
      <c r="C46" s="45">
        <v>7.7361899999999997E-2</v>
      </c>
      <c r="D46" s="12"/>
    </row>
    <row r="47" spans="1:5" ht="15.75" customHeight="1" x14ac:dyDescent="0.25">
      <c r="B47" s="11" t="s">
        <v>59</v>
      </c>
      <c r="C47" s="45">
        <v>7.4153999999999998E-2</v>
      </c>
      <c r="D47" s="12"/>
      <c r="E47" s="13"/>
    </row>
    <row r="48" spans="1:5" ht="15" customHeight="1" x14ac:dyDescent="0.25">
      <c r="B48" s="11" t="s">
        <v>58</v>
      </c>
      <c r="C48" s="46">
        <v>0.84128420000000004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0.56960999999999995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wMXAU96EWWrG8P7uFgZP9AIuwFepQj9L1Ss9AJ9eoKJKfvyVyeQF9KMIBPU/Q+1LlrXskEd643EKEFdP6Duxkg==" saltValue="x3T6tEL16QVvABJmeF3y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7242</v>
      </c>
      <c r="C2" s="49">
        <v>22458.5</v>
      </c>
      <c r="D2" s="49">
        <v>38634</v>
      </c>
      <c r="E2" s="49">
        <v>33656</v>
      </c>
      <c r="F2" s="49">
        <v>22390</v>
      </c>
      <c r="G2" s="17">
        <f t="shared" ref="G2:G13" si="0">C2+D2+E2+F2</f>
        <v>117138.5</v>
      </c>
      <c r="H2" s="17">
        <f t="shared" ref="H2:H13" si="1">(B2 + stillbirth*B2/(1000-stillbirth))/(1-abortion)</f>
        <v>8286.6516715421367</v>
      </c>
      <c r="I2" s="17">
        <f t="shared" ref="I2:I13" si="2">G2-H2</f>
        <v>108851.84832845787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7239</v>
      </c>
      <c r="C3" s="50">
        <v>22171</v>
      </c>
      <c r="D3" s="50">
        <v>38823</v>
      </c>
      <c r="E3" s="50">
        <v>34401.5</v>
      </c>
      <c r="F3" s="50">
        <v>23091</v>
      </c>
      <c r="G3" s="17">
        <f t="shared" si="0"/>
        <v>118486.5</v>
      </c>
      <c r="H3" s="17">
        <f t="shared" si="1"/>
        <v>8283.2189243708272</v>
      </c>
      <c r="I3" s="17">
        <f t="shared" si="2"/>
        <v>110203.28107562917</v>
      </c>
    </row>
    <row r="4" spans="1:9" ht="15.75" customHeight="1" x14ac:dyDescent="0.25">
      <c r="A4" s="5">
        <f t="shared" si="3"/>
        <v>2026</v>
      </c>
      <c r="B4" s="49">
        <v>7219</v>
      </c>
      <c r="C4" s="50">
        <v>21984.5</v>
      </c>
      <c r="D4" s="50">
        <v>38955.5</v>
      </c>
      <c r="E4" s="50">
        <v>35099.5</v>
      </c>
      <c r="F4" s="50">
        <v>23795.5</v>
      </c>
      <c r="G4" s="17">
        <f t="shared" si="0"/>
        <v>119835</v>
      </c>
      <c r="H4" s="17">
        <f t="shared" si="1"/>
        <v>8260.3339432287594</v>
      </c>
      <c r="I4" s="17">
        <f t="shared" si="2"/>
        <v>111574.66605677124</v>
      </c>
    </row>
    <row r="5" spans="1:9" ht="15.75" customHeight="1" x14ac:dyDescent="0.25">
      <c r="A5" s="5">
        <f t="shared" si="3"/>
        <v>2027</v>
      </c>
      <c r="B5" s="49">
        <v>7229</v>
      </c>
      <c r="C5" s="50">
        <v>21909</v>
      </c>
      <c r="D5" s="50">
        <v>39001</v>
      </c>
      <c r="E5" s="50">
        <v>35750</v>
      </c>
      <c r="F5" s="50">
        <v>24520</v>
      </c>
      <c r="G5" s="17">
        <f t="shared" si="0"/>
        <v>121180</v>
      </c>
      <c r="H5" s="17">
        <f t="shared" si="1"/>
        <v>8271.7764337997924</v>
      </c>
      <c r="I5" s="17">
        <f t="shared" si="2"/>
        <v>112908.22356620021</v>
      </c>
    </row>
    <row r="6" spans="1:9" ht="15.75" customHeight="1" x14ac:dyDescent="0.25">
      <c r="A6" s="5">
        <f t="shared" si="3"/>
        <v>2028</v>
      </c>
      <c r="B6" s="49">
        <v>7198</v>
      </c>
      <c r="C6" s="50">
        <v>21932</v>
      </c>
      <c r="D6" s="50">
        <v>38936.5</v>
      </c>
      <c r="E6" s="50">
        <v>36372.5</v>
      </c>
      <c r="F6" s="50">
        <v>25273</v>
      </c>
      <c r="G6" s="17">
        <f t="shared" si="0"/>
        <v>122514</v>
      </c>
      <c r="H6" s="17">
        <f t="shared" si="1"/>
        <v>8236.3047130295909</v>
      </c>
      <c r="I6" s="17">
        <f t="shared" si="2"/>
        <v>114277.69528697041</v>
      </c>
    </row>
    <row r="7" spans="1:9" ht="15.75" customHeight="1" x14ac:dyDescent="0.25">
      <c r="A7" s="5">
        <f t="shared" si="3"/>
        <v>2029</v>
      </c>
      <c r="B7" s="49">
        <v>7188</v>
      </c>
      <c r="C7" s="50">
        <v>22018</v>
      </c>
      <c r="D7" s="50">
        <v>38771</v>
      </c>
      <c r="E7" s="50">
        <v>36981</v>
      </c>
      <c r="F7" s="50">
        <v>26057</v>
      </c>
      <c r="G7" s="17">
        <f t="shared" si="0"/>
        <v>123827</v>
      </c>
      <c r="H7" s="17">
        <f t="shared" si="1"/>
        <v>8224.8622224585579</v>
      </c>
      <c r="I7" s="17">
        <f t="shared" si="2"/>
        <v>115602.13777754144</v>
      </c>
    </row>
    <row r="8" spans="1:9" ht="15.75" customHeight="1" x14ac:dyDescent="0.25">
      <c r="A8" s="5">
        <f t="shared" si="3"/>
        <v>2030</v>
      </c>
      <c r="B8" s="49">
        <v>7171</v>
      </c>
      <c r="C8" s="50">
        <v>22215</v>
      </c>
      <c r="D8" s="50">
        <v>38467.5</v>
      </c>
      <c r="E8" s="50">
        <v>37552.5</v>
      </c>
      <c r="F8" s="50">
        <v>26841.5</v>
      </c>
      <c r="G8" s="17">
        <f t="shared" si="0"/>
        <v>125076.5</v>
      </c>
      <c r="H8" s="17">
        <f t="shared" si="1"/>
        <v>8205.4099884878015</v>
      </c>
      <c r="I8" s="17">
        <f t="shared" si="2"/>
        <v>116871.09001151219</v>
      </c>
    </row>
    <row r="9" spans="1:9" ht="15.75" customHeight="1" x14ac:dyDescent="0.25">
      <c r="A9" s="5">
        <f t="shared" si="3"/>
        <v>2031</v>
      </c>
      <c r="B9" s="49">
        <v>7164</v>
      </c>
      <c r="C9" s="50">
        <v>22477.5</v>
      </c>
      <c r="D9" s="50">
        <v>38118</v>
      </c>
      <c r="E9" s="50">
        <v>38043.5</v>
      </c>
      <c r="F9" s="50">
        <v>27600</v>
      </c>
      <c r="G9" s="17">
        <f t="shared" si="0"/>
        <v>126239</v>
      </c>
      <c r="H9" s="17">
        <f t="shared" si="1"/>
        <v>8197.400245088078</v>
      </c>
      <c r="I9" s="17">
        <f t="shared" si="2"/>
        <v>118041.59975491192</v>
      </c>
    </row>
    <row r="10" spans="1:9" ht="15.75" customHeight="1" x14ac:dyDescent="0.25">
      <c r="A10" s="5">
        <f t="shared" si="3"/>
        <v>2032</v>
      </c>
      <c r="B10" s="49">
        <v>7149</v>
      </c>
      <c r="C10" s="50">
        <v>22710.5</v>
      </c>
      <c r="D10" s="50">
        <v>37862.5</v>
      </c>
      <c r="E10" s="50">
        <v>38441</v>
      </c>
      <c r="F10" s="50">
        <v>28346</v>
      </c>
      <c r="G10" s="17">
        <f t="shared" si="0"/>
        <v>127360</v>
      </c>
      <c r="H10" s="17">
        <f t="shared" si="1"/>
        <v>8180.2365092315295</v>
      </c>
      <c r="I10" s="17">
        <f t="shared" si="2"/>
        <v>119179.76349076847</v>
      </c>
    </row>
    <row r="11" spans="1:9" ht="15.75" customHeight="1" x14ac:dyDescent="0.25">
      <c r="A11" s="5">
        <f t="shared" si="3"/>
        <v>2033</v>
      </c>
      <c r="B11" s="49">
        <v>7105</v>
      </c>
      <c r="C11" s="50">
        <v>22739.5</v>
      </c>
      <c r="D11" s="50">
        <v>37693</v>
      </c>
      <c r="E11" s="50">
        <v>38757</v>
      </c>
      <c r="F11" s="50">
        <v>29074</v>
      </c>
      <c r="G11" s="17">
        <f t="shared" si="0"/>
        <v>128263.5</v>
      </c>
      <c r="H11" s="17">
        <f t="shared" si="1"/>
        <v>8129.8895507189836</v>
      </c>
      <c r="I11" s="17">
        <f t="shared" si="2"/>
        <v>120133.61044928101</v>
      </c>
    </row>
    <row r="12" spans="1:9" ht="15.75" customHeight="1" x14ac:dyDescent="0.25">
      <c r="A12" s="5">
        <f t="shared" si="3"/>
        <v>2034</v>
      </c>
      <c r="B12" s="49">
        <v>7105</v>
      </c>
      <c r="C12" s="50">
        <v>22483</v>
      </c>
      <c r="D12" s="50">
        <v>37588</v>
      </c>
      <c r="E12" s="50">
        <v>39002.5</v>
      </c>
      <c r="F12" s="50">
        <v>29782.5</v>
      </c>
      <c r="G12" s="17">
        <f t="shared" si="0"/>
        <v>128856</v>
      </c>
      <c r="H12" s="17">
        <f t="shared" si="1"/>
        <v>8129.8895507189836</v>
      </c>
      <c r="I12" s="17">
        <f t="shared" si="2"/>
        <v>120726.11044928101</v>
      </c>
    </row>
    <row r="13" spans="1:9" ht="15.75" customHeight="1" x14ac:dyDescent="0.25">
      <c r="A13" s="5">
        <f t="shared" si="3"/>
        <v>2035</v>
      </c>
      <c r="B13" s="49">
        <v>7067</v>
      </c>
      <c r="C13" s="50">
        <v>22165</v>
      </c>
      <c r="D13" s="50">
        <v>37522.5</v>
      </c>
      <c r="E13" s="50">
        <v>39193.5</v>
      </c>
      <c r="F13" s="50">
        <v>30477</v>
      </c>
      <c r="G13" s="17">
        <f t="shared" si="0"/>
        <v>129358</v>
      </c>
      <c r="H13" s="17">
        <f t="shared" si="1"/>
        <v>8086.4080865490587</v>
      </c>
      <c r="I13" s="17">
        <f t="shared" si="2"/>
        <v>121271.59191345095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xOGru9x3DG5+6u2iskVW5vKDbEtH15IzG6wqHlVSmI88FvVHdAUmltvVFNUg59I9bBuhSHL75EAAsGhxcMN1Q==" saltValue="zv8bjXZJPHwPcsF12Rn/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7.087850000000008E-2</v>
      </c>
    </row>
    <row r="5" spans="1:8" ht="15.75" customHeight="1" x14ac:dyDescent="0.25">
      <c r="B5" s="19" t="s">
        <v>95</v>
      </c>
      <c r="C5" s="101">
        <v>2.284790000000006E-2</v>
      </c>
    </row>
    <row r="6" spans="1:8" ht="15.75" customHeight="1" x14ac:dyDescent="0.25">
      <c r="B6" s="19" t="s">
        <v>91</v>
      </c>
      <c r="C6" s="101">
        <v>0.16041219999999951</v>
      </c>
    </row>
    <row r="7" spans="1:8" ht="15.75" customHeight="1" x14ac:dyDescent="0.25">
      <c r="B7" s="19" t="s">
        <v>96</v>
      </c>
      <c r="C7" s="101">
        <v>0.44154420000000061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0.1909217999999997</v>
      </c>
    </row>
    <row r="10" spans="1:8" ht="15.75" customHeight="1" x14ac:dyDescent="0.25">
      <c r="B10" s="19" t="s">
        <v>94</v>
      </c>
      <c r="C10" s="101">
        <v>0.1133954000000001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102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2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88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99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6.0859322999999993E-2</v>
      </c>
    </row>
    <row r="27" spans="1:8" ht="15.75" customHeight="1" x14ac:dyDescent="0.25">
      <c r="B27" s="19" t="s">
        <v>89</v>
      </c>
      <c r="C27" s="101">
        <v>1.8473204999999999E-2</v>
      </c>
    </row>
    <row r="28" spans="1:8" ht="15.75" customHeight="1" x14ac:dyDescent="0.25">
      <c r="B28" s="19" t="s">
        <v>103</v>
      </c>
      <c r="C28" s="101">
        <v>0.14414038900000001</v>
      </c>
    </row>
    <row r="29" spans="1:8" ht="15.75" customHeight="1" x14ac:dyDescent="0.25">
      <c r="B29" s="19" t="s">
        <v>86</v>
      </c>
      <c r="C29" s="101">
        <v>0.27289618700000001</v>
      </c>
    </row>
    <row r="30" spans="1:8" ht="15.75" customHeight="1" x14ac:dyDescent="0.25">
      <c r="B30" s="19" t="s">
        <v>4</v>
      </c>
      <c r="C30" s="101">
        <v>8.5625018999999997E-2</v>
      </c>
    </row>
    <row r="31" spans="1:8" ht="15.75" customHeight="1" x14ac:dyDescent="0.25">
      <c r="B31" s="19" t="s">
        <v>80</v>
      </c>
      <c r="C31" s="101">
        <v>0.10194423</v>
      </c>
    </row>
    <row r="32" spans="1:8" ht="15.75" customHeight="1" x14ac:dyDescent="0.25">
      <c r="B32" s="19" t="s">
        <v>85</v>
      </c>
      <c r="C32" s="101">
        <v>2.9002987000000001E-2</v>
      </c>
    </row>
    <row r="33" spans="2:3" ht="15.75" customHeight="1" x14ac:dyDescent="0.25">
      <c r="B33" s="19" t="s">
        <v>100</v>
      </c>
      <c r="C33" s="101">
        <v>0.12602046</v>
      </c>
    </row>
    <row r="34" spans="2:3" ht="15.75" customHeight="1" x14ac:dyDescent="0.25">
      <c r="B34" s="19" t="s">
        <v>87</v>
      </c>
      <c r="C34" s="101">
        <v>0.16103819999999999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6DWZeJH3ihYgK6td8plmbl3WzcGcazMZ5L6ejx+lHxcJ8z9E3by3m6pI1bnHLpozSPDuM49HS4Cm4ErN1qoVkg==" saltValue="v88R3dDrisZRtbdzh3WO1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110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106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107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119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8KTtDNtM0jzAGoTmNcInyqCI2XojziZbkhm9n56G85ZxVZztCMzXDNQEk/qY/2zN19sXNKQfOUvXeLAvPE9tQ==" saltValue="HOA/4HI+pnNHz5eIhPeM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125</v>
      </c>
      <c r="C5" s="52">
        <v>3.9491400000000003E-2</v>
      </c>
      <c r="D5" s="52"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1dNGgTmkbFKlqulhUmiI6LSqGkbmL3TIbHYJbGU8NoEsghdc9YY21stVN4qXm4NcXk2u2qXmF0KG/Ympw7o1xQ==" saltValue="KO9nzURLG4XgS9NhtH2L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ksUbd3BsbO3zael8AlYVvDYsjyS59NNrq49p6He5WRPURWeIgYMJvHENBD8So/SYl8xEnNJVY5Q2CRqP4VKwA==" saltValue="COhoVOzq0VNL/ea/crVD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OdLc10WVm5pNP8CecLwrsSDnTtk07DyUDO1+4nLne0VH/QzGBiaQy8g3+rvunZbAMPjN9fWmvdVQgZ51jDtJnQ==" saltValue="8ahhlNoe55oQP70UNU6vb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sBKauLrG6J72dn6A8s6VYdGrx7QOKIHtkIS1t/wAsz6+yTsX/2Uum6ERFeXzBoUcfeerCqPifLK2++cjNMH/LQ==" saltValue="iC8KUUFvX1m+Q2s+wYe9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iNqYYDGGFFcjniTZJy96AcdC3stEgdNmD+s3H8iy1hXI0CNXE5nffGpz5Tq01qBjtJFU2THv8JknON/56knL6g==" saltValue="q1sxjKcYcUECC+h6wuK8S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61.861086469337543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0.38584710673064498</v>
      </c>
      <c r="C3" s="98">
        <v>0.95</v>
      </c>
      <c r="D3" s="56">
        <v>39.966012526302137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474.4736397477613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1.54600707819998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13.098311970098051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13.098311970098051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13.098311970098051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13.098311970098051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13.098311970098051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13.098311970098051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0.95</v>
      </c>
      <c r="C16" s="98">
        <v>0.95</v>
      </c>
      <c r="D16" s="56">
        <v>0.80507776999339498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0.45717222222222198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0.30279273792310701</v>
      </c>
      <c r="C18" s="98">
        <v>0.95</v>
      </c>
      <c r="D18" s="56">
        <v>10.92023727763495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0.88251080000000004</v>
      </c>
      <c r="C19" s="98">
        <v>0.95</v>
      </c>
      <c r="D19" s="56">
        <v>10.92023727763495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0.87191940000000001</v>
      </c>
      <c r="C21" s="98">
        <v>0.95</v>
      </c>
      <c r="D21" s="56">
        <v>15.02309818297103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22.648664763181358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4.3331704911650171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0.92867928146886702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18.55694520304651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0.76967864302269406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122.3932530911411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0.44</v>
      </c>
      <c r="C31" s="98">
        <v>0.95</v>
      </c>
      <c r="D31" s="56">
        <v>0.61300697415096694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1.737469925830645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0.44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0.57829639999999993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0.55214350000000001</v>
      </c>
      <c r="C38" s="98">
        <v>0.95</v>
      </c>
      <c r="D38" s="56">
        <v>1.895773684330621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Sqgnj9kQ+GX8rJkjez+9Z9cln47rUlOCq4n3a/1K9n78hupCMWQDuWhAo44rcfXBrS0flnuiWlvERaDi2okEqw==" saltValue="cgEi9bHQaVDfclrMM15X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s55zHGI1IxWEgJ9vGNbxgzhBWtmVyjUQ0FRGrjWJrIcMn3nzjA1um9wLNUfi7pip+oZZp7wq/W/9Q7L7juG/g==" saltValue="yOQZ8LaoNgWiPR8kwNX6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4/Pra+aio7x3ievQ289DPkFqRhUpTBWDXEYNxRCDb3JnnHrrHd8k05CkJW+I4WoQbcZ/deIeMtSVe5Ch3vAFw==" saltValue="wG5sgHkA5FCg72RNiSN3e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207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a0aoLwqYftLhaID1nBJkaZy0qS8KW7JCVMGLh1vHxq+2s5K3t4kUvtVV7OJdRxFFS/fSD1b/PabqSiDAEpO0UA==" saltValue="JTbEou5WnYQdzGFHdCWa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0.13900000000000001</v>
      </c>
      <c r="E2" s="60">
        <f>food_insecure</f>
        <v>0.13900000000000001</v>
      </c>
      <c r="F2" s="60">
        <f>food_insecure</f>
        <v>0.13900000000000001</v>
      </c>
      <c r="G2" s="60">
        <f>food_insecure</f>
        <v>0.13900000000000001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0.13900000000000001</v>
      </c>
      <c r="I15" s="60">
        <f>food_insecure</f>
        <v>0.13900000000000001</v>
      </c>
      <c r="J15" s="60">
        <f>food_insecure</f>
        <v>0.13900000000000001</v>
      </c>
      <c r="K15" s="60">
        <f>food_insecure</f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C8LVfpO/mHF8kpvDDZfhaIGu6eCEwjyZ3aFgDvlPj3OpOYm6dMUrf4MsJVr7xhf4McF6vkNU2dUPmkVvEsNng==" saltValue="WvYuvEk3vUo1HAgQBLBM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4QDwStAtUSAg9gG5GoSR0mm9zJKNzXQvzXYGfFOKbokr7EYfGKJL/a/zKIFxTDZ2+BJymtgNlWnSXP4pmeZ4TQ==" saltValue="C05wmcSrQFC0nez5CmkR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kzOlCVq5qY1Hs0D5KVj18pJbU0NL/sUnribGF00emxJvHt3nLDzRnG2aDoHLx1Jsl6kZkN23I6pMWK4lByZiw==" saltValue="nIWmeEO/OOFWPkxswHMT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F5l1aKYF0pbmx3DIsNxoQUgXNAPAYd2tPO6iXb8Tg5mz0i6ym5u828UQxOByJ3LXj+GduTJVISngnPz+o62Vg==" saltValue="ZugSJ//t0luraSAh76l6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fbM87xEM59He64IJW5Eh8n7Aoz8YHcsonuZsH7z020VNWNV5LT2jVjDXMb9/SfaBYDeuZba6JftZsRbj8ddBg==" saltValue="B8FZFNgKZIXWDd3MkeGg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9GijJuADP/i6zIqDLqxrhCSNT5fU724Ex4uIUBy7/oQPjWTddEybfWd0o5OQ4Qr2LoC+c3fRJJ50YnBrI4Y7Q==" saltValue="6xvsCelAnmIPdosyCcblU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w/43UGaSa5/XJClpsPE/oDKbOfM3EqWT9POjmuGuNpYVOkOb/gXgkZczL5TdAxeGwYL0/Fm9ycpuDLBAxWhgGQ==" saltValue="9TagNP4DKfCIfUtT+F+9J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QjJ5+aVlxsR8DDRxA8AYvUnzLDeHstge9S0Yte7+/8VWVSN/Fbu5i/vl6/8hMVMlkIG4Wzm05hzMBfZnhbpxw==" saltValue="OGv+sS3AQpodAf8uoU1j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9Cx6jC0Hxp7Q0QwFGFHquX6Zh8QLIJcYaMygAC+weajuc6/vVs14SSt3CMr1TocVcdLy4rBsChAbE4mGKx8yg==" saltValue="iNXV6Lct/zKsFi3ZJEHC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wqMh3oT4Srbw50sKRLVaJeoplFQoVPNVb/IkqN8lNMMKTcayRJ1SlC3yM6zDyC2MnESOLWUJttvhh76LIw5aA==" saltValue="c8Br+R0Y5uTi07Ftb2vh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vEFBYjcQWt85y8e0OXIVRys1A3XVbh7RU50vcDnCI5RjyESpgvQTEua9BW3kdVuHs1FJ3Mqz8ysX8YXLnGOlw==" saltValue="WRGl4WNPYgpeFZWBLZGS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wwM17/8RXj5/BdAIBy8biDUgYri6GVlRdmhTuEpYoX54x6pLt635YXg3Nllr2ftf5DcRQn+264Q07aj/imIsQ==" saltValue="Z8d8LkEDpmEwVDcB5dy/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e9AsSB2j1rUgCm2RFWJhglxXDU9U+SLKLMIL/ZZh5yOdXRHLz1sjJeTQLYU0WicOkxm8Oll0mGoGjuFGoP7Fw==" saltValue="YsKXFet9XTviq7Y0Ftwu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BfM76ne2PQMpTRpuSx3JOuxmoQxr+yniKmfM9JS2T6etbEe3aouKqLEaTTzllPTpz9pAcAWKDm9TDHinkAyZw==" saltValue="VyvD5AswftKA0Q5BzHxe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mri9CbCtbQTWqyY0K/eF1EemAA6H0UHx7+D1huBGhS+ezDxj7F7/JLObRWZkHxa6+yXnrBQvg1QqoQGk9fB2Q==" saltValue="tzIeA9Fdm2h5Etj/Z4x4B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2024-05-16T23:21:18Z</dcterms:modified>
</cp:coreProperties>
</file>