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CC8A213-DFCE-4F06-9BD5-E3A666A68B1B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4" i="2"/>
  <c r="A25" i="2"/>
  <c r="A26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<sst xmlns="http://schemas.openxmlformats.org/spreadsheetml/2006/main" count="2159" uniqueCount="372">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</sst>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7124535.5</v>
      </c>
    </row>
    <row r="8" spans="1:3" ht="15" customHeight="1" x14ac:dyDescent="0.25">
      <c r="B8" s="5" t="s">
        <v>63</v>
      </c>
      <c r="C8" s="44">
        <v>0.36099999999999999</v>
      </c>
    </row>
    <row r="9" spans="1:3" ht="15" customHeight="1" x14ac:dyDescent="0.25">
      <c r="B9" s="5" t="s">
        <v>62</v>
      </c>
      <c r="C9" s="45">
        <v>0.21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0.1066</v>
      </c>
    </row>
    <row r="24" spans="1:3" ht="15" customHeight="1" x14ac:dyDescent="0.25">
      <c r="B24" s="15" t="s">
        <v>65</v>
      </c>
      <c r="C24" s="45">
        <v>0.50460000000000005</v>
      </c>
    </row>
    <row r="25" spans="1:3" ht="15" customHeight="1" x14ac:dyDescent="0.25">
      <c r="B25" s="15" t="s">
        <v>66</v>
      </c>
      <c r="C25" s="45">
        <v>0.30659999999999998</v>
      </c>
    </row>
    <row r="26" spans="1:3" ht="15" customHeight="1" x14ac:dyDescent="0.25">
      <c r="B26" s="15" t="s">
        <v>67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0.30343875405119197</v>
      </c>
    </row>
    <row r="30" spans="1:3" ht="14.25" customHeight="1" x14ac:dyDescent="0.25">
      <c r="B30" s="25" t="s">
        <v>82</v>
      </c>
      <c r="C30" s="99">
        <v>4.7279900721229402E-2</v>
      </c>
    </row>
    <row r="31" spans="1:3" ht="14.25" customHeight="1" x14ac:dyDescent="0.25">
      <c r="B31" s="25" t="s">
        <v>29</v>
      </c>
      <c r="C31" s="99">
        <v>7.19970607137842E-2</v>
      </c>
    </row>
    <row r="32" spans="1:3" ht="14.25" customHeight="1" x14ac:dyDescent="0.25">
      <c r="B32" s="25" t="s">
        <v>30</v>
      </c>
      <c r="C32" s="99">
        <v>0.57728428451379499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18.424029999999998</v>
      </c>
    </row>
    <row r="38" spans="1:5" ht="15" customHeight="1" x14ac:dyDescent="0.25">
      <c r="B38" s="11" t="s">
        <v>54</v>
      </c>
      <c r="C38" s="43">
        <v>27.988019999999999</v>
      </c>
      <c r="D38" s="12"/>
      <c r="E38" s="13"/>
    </row>
    <row r="39" spans="1:5" ht="15" customHeight="1" x14ac:dyDescent="0.25">
      <c r="B39" s="11" t="s">
        <v>80</v>
      </c>
      <c r="C39" s="43">
        <v>37.152619999999999</v>
      </c>
      <c r="D39" s="12"/>
      <c r="E39" s="12"/>
    </row>
    <row r="40" spans="1:5" ht="15" customHeight="1" x14ac:dyDescent="0.25">
      <c r="B40" s="11" t="s">
        <v>55</v>
      </c>
      <c r="C40" s="100">
        <v>5.3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7.4561999999999996E-3</v>
      </c>
      <c r="D45" s="12"/>
    </row>
    <row r="46" spans="1:5" ht="15.75" customHeight="1" x14ac:dyDescent="0.25">
      <c r="B46" s="11" t="s">
        <v>70</v>
      </c>
      <c r="C46" s="45">
        <v>8.0115700000000012E-2</v>
      </c>
      <c r="D46" s="12"/>
    </row>
    <row r="47" spans="1:5" ht="15.75" customHeight="1" x14ac:dyDescent="0.25">
      <c r="B47" s="11" t="s">
        <v>78</v>
      </c>
      <c r="C47" s="45">
        <v>7.3910099999999992E-2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3.665999999999999</v>
      </c>
      <c r="D51" s="12"/>
    </row>
    <row r="52" spans="1:4" ht="15" customHeight="1" x14ac:dyDescent="0.25">
      <c r="B52" s="11" t="s">
        <v>32</v>
      </c>
      <c r="C52" s="100">
        <v>3.665999999999999</v>
      </c>
    </row>
    <row r="53" spans="1:4" ht="15.75" customHeight="1" x14ac:dyDescent="0.25">
      <c r="B53" s="11" t="s">
        <v>35</v>
      </c>
      <c r="C53" s="100">
        <v>5.98</v>
      </c>
    </row>
    <row r="54" spans="1:4" ht="15.75" customHeight="1" x14ac:dyDescent="0.25">
      <c r="B54" s="11" t="s">
        <v>33</v>
      </c>
      <c r="C54" s="100">
        <v>6.0839999999999996</v>
      </c>
    </row>
    <row r="55" spans="1:4" ht="15.75" customHeight="1" x14ac:dyDescent="0.25">
      <c r="B55" s="11" t="s">
        <v>34</v>
      </c>
      <c r="C55" s="100">
        <v>2.5393333333333339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0.43021899999999991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BXVjFeQAy69YJg+4oBo4BV1h2DkUNyesTV8nnxXohL146bjqhetHLTXr0Xs8TrP/GUjnV/lHLeh7vinu8QECpw==" saltValue="kR6EqjNdeFAtEKjkZV2C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7201066.5</v>
      </c>
      <c r="C2" s="49">
        <v>1663820</v>
      </c>
      <c r="D2" s="49">
        <v>3354577</v>
      </c>
      <c r="E2" s="49">
        <v>6500344.4999999991</v>
      </c>
      <c r="F2" s="49">
        <v>5153342.0000000009</v>
      </c>
      <c r="G2" s="17">
        <f t="shared" ref="G2:G13" si="0">C2+D2+E2+F2</f>
        <v>16672083.5</v>
      </c>
      <c r="H2" s="17">
        <f t="shared" ref="H2:H13" si="1">(B2 + stillbirth*B2/(1000-stillbirth))/(1-abortion)</f>
        <v>8337512.4636960775</v>
      </c>
      <c r="I2" s="17">
        <f t="shared" ref="I2:I13" si="2">G2-H2</f>
        <v>8334571.0363039225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1521907</v>
      </c>
      <c r="C3" s="50">
        <v>3248339.5</v>
      </c>
      <c r="D3" s="50">
        <v>5224492</v>
      </c>
      <c r="E3" s="50">
        <v>3859962.9999999995</v>
      </c>
      <c r="F3" s="50">
        <v>2574917.5</v>
      </c>
      <c r="G3" s="17">
        <f t="shared" si="0"/>
        <v>14907712</v>
      </c>
      <c r="H3" s="17">
        <f t="shared" si="1"/>
        <v>1762088.7935261128</v>
      </c>
      <c r="I3" s="17">
        <f t="shared" si="2"/>
        <v>13145623.206473887</v>
      </c>
    </row>
    <row r="4" spans="1:9" ht="15.75" customHeight="1" x14ac:dyDescent="0.25">
      <c r="A4" s="5">
        <f t="shared" si="3"/>
        <v>2026</v>
      </c>
      <c r="B4" s="49">
        <v>1540813</v>
      </c>
      <c r="C4" s="50">
        <v>3314668</v>
      </c>
      <c r="D4" s="50">
        <v>5372289.0000000009</v>
      </c>
      <c r="E4" s="50">
        <v>3961625.5</v>
      </c>
      <c r="F4" s="50">
        <v>2671537.5</v>
      </c>
      <c r="G4" s="17">
        <f t="shared" si="0"/>
        <v>15320120</v>
      </c>
      <c r="H4" s="17">
        <f t="shared" si="1"/>
        <v>1783978.4692621497</v>
      </c>
      <c r="I4" s="17">
        <f t="shared" si="2"/>
        <v>13536141.530737851</v>
      </c>
    </row>
    <row r="5" spans="1:9" ht="15.75" customHeight="1" x14ac:dyDescent="0.25">
      <c r="A5" s="5">
        <f t="shared" si="3"/>
        <v>2027</v>
      </c>
      <c r="B5" s="49">
        <v>1558303</v>
      </c>
      <c r="C5" s="50">
        <v>3364487.5</v>
      </c>
      <c r="D5" s="50">
        <v>5520683.5</v>
      </c>
      <c r="E5" s="50">
        <v>4063086.5</v>
      </c>
      <c r="F5" s="50">
        <v>2773131.5000000005</v>
      </c>
      <c r="G5" s="17">
        <f t="shared" si="0"/>
        <v>15721389</v>
      </c>
      <c r="H5" s="17">
        <f t="shared" si="1"/>
        <v>1804228.6770598479</v>
      </c>
      <c r="I5" s="17">
        <f t="shared" si="2"/>
        <v>13917160.322940152</v>
      </c>
    </row>
    <row r="6" spans="1:9" ht="15.75" customHeight="1" x14ac:dyDescent="0.25">
      <c r="A6" s="5">
        <f t="shared" si="3"/>
        <v>2028</v>
      </c>
      <c r="B6" s="49">
        <v>1576718</v>
      </c>
      <c r="C6" s="50">
        <v>3391085</v>
      </c>
      <c r="D6" s="50">
        <v>5671576.5</v>
      </c>
      <c r="E6" s="50">
        <v>4164026.5</v>
      </c>
      <c r="F6" s="50">
        <v>2879765.5</v>
      </c>
      <c r="G6" s="17">
        <f t="shared" si="0"/>
        <v>16106453.5</v>
      </c>
      <c r="H6" s="17">
        <f t="shared" si="1"/>
        <v>1825549.8649726333</v>
      </c>
      <c r="I6" s="17">
        <f t="shared" si="2"/>
        <v>14280903.635027368</v>
      </c>
    </row>
    <row r="7" spans="1:9" ht="15.75" customHeight="1" x14ac:dyDescent="0.25">
      <c r="A7" s="5">
        <f t="shared" si="3"/>
        <v>2029</v>
      </c>
      <c r="B7" s="49">
        <v>1594190</v>
      </c>
      <c r="C7" s="50">
        <v>3394249</v>
      </c>
      <c r="D7" s="50">
        <v>5821819.5</v>
      </c>
      <c r="E7" s="50">
        <v>4267891.5</v>
      </c>
      <c r="F7" s="50">
        <v>2989620.5</v>
      </c>
      <c r="G7" s="17">
        <f t="shared" si="0"/>
        <v>16473580.5</v>
      </c>
      <c r="H7" s="17">
        <f t="shared" si="1"/>
        <v>1845779.2320762002</v>
      </c>
      <c r="I7" s="17">
        <f t="shared" si="2"/>
        <v>14627801.2679238</v>
      </c>
    </row>
    <row r="8" spans="1:9" ht="15.75" customHeight="1" x14ac:dyDescent="0.25">
      <c r="A8" s="5">
        <f t="shared" si="3"/>
        <v>2030</v>
      </c>
      <c r="B8" s="49">
        <v>1610345</v>
      </c>
      <c r="C8" s="50">
        <v>3381382.5</v>
      </c>
      <c r="D8" s="50">
        <v>5967599.5</v>
      </c>
      <c r="E8" s="50">
        <v>4375431.0000000009</v>
      </c>
      <c r="F8" s="50">
        <v>3100712.4999999995</v>
      </c>
      <c r="G8" s="17">
        <f t="shared" si="0"/>
        <v>16825125.5</v>
      </c>
      <c r="H8" s="17">
        <f t="shared" si="1"/>
        <v>1864483.7550591514</v>
      </c>
      <c r="I8" s="17">
        <f t="shared" si="2"/>
        <v>14960641.744940849</v>
      </c>
    </row>
    <row r="9" spans="1:9" ht="15.75" customHeight="1" x14ac:dyDescent="0.25">
      <c r="A9" s="5">
        <f t="shared" si="3"/>
        <v>2031</v>
      </c>
      <c r="B9" s="49">
        <v>1625043</v>
      </c>
      <c r="C9" s="50">
        <v>3363157.5</v>
      </c>
      <c r="D9" s="50">
        <v>6104579.5</v>
      </c>
      <c r="E9" s="50">
        <v>4487807.5000000009</v>
      </c>
      <c r="F9" s="50">
        <v>3211444.5</v>
      </c>
      <c r="G9" s="17">
        <f t="shared" si="0"/>
        <v>17166989</v>
      </c>
      <c r="H9" s="17">
        <f t="shared" si="1"/>
        <v>1881501.339633798</v>
      </c>
      <c r="I9" s="17">
        <f t="shared" si="2"/>
        <v>15285487.660366202</v>
      </c>
    </row>
    <row r="10" spans="1:9" ht="15.75" customHeight="1" x14ac:dyDescent="0.25">
      <c r="A10" s="5">
        <f t="shared" si="3"/>
        <v>2032</v>
      </c>
      <c r="B10" s="49">
        <v>1639893</v>
      </c>
      <c r="C10" s="50">
        <v>3347784.5</v>
      </c>
      <c r="D10" s="50">
        <v>6224131.4999999991</v>
      </c>
      <c r="E10" s="50">
        <v>4608776.5</v>
      </c>
      <c r="F10" s="50">
        <v>3319238.5</v>
      </c>
      <c r="G10" s="17">
        <f t="shared" si="0"/>
        <v>17499931</v>
      </c>
      <c r="H10" s="17">
        <f t="shared" si="1"/>
        <v>1898694.9122922211</v>
      </c>
      <c r="I10" s="17">
        <f t="shared" si="2"/>
        <v>15601236.087707778</v>
      </c>
    </row>
    <row r="11" spans="1:9" ht="15.75" customHeight="1" x14ac:dyDescent="0.25">
      <c r="A11" s="5">
        <f t="shared" si="3"/>
        <v>2033</v>
      </c>
      <c r="B11" s="49">
        <v>1649800</v>
      </c>
      <c r="C11" s="50">
        <v>3339685.5</v>
      </c>
      <c r="D11" s="50">
        <v>6321260.5</v>
      </c>
      <c r="E11" s="50">
        <v>4738486.5</v>
      </c>
      <c r="F11" s="50">
        <v>3422878.5</v>
      </c>
      <c r="G11" s="17">
        <f t="shared" si="0"/>
        <v>17822311</v>
      </c>
      <c r="H11" s="17">
        <f t="shared" si="1"/>
        <v>1910165.3987788879</v>
      </c>
      <c r="I11" s="17">
        <f t="shared" si="2"/>
        <v>15912145.601221113</v>
      </c>
    </row>
    <row r="12" spans="1:9" ht="15.75" customHeight="1" x14ac:dyDescent="0.25">
      <c r="A12" s="5">
        <f t="shared" si="3"/>
        <v>2034</v>
      </c>
      <c r="B12" s="49">
        <v>1656462</v>
      </c>
      <c r="C12" s="50">
        <v>3341159.5</v>
      </c>
      <c r="D12" s="50">
        <v>6397238</v>
      </c>
      <c r="E12" s="50">
        <v>4873762.5000000009</v>
      </c>
      <c r="F12" s="50">
        <v>3523388.5</v>
      </c>
      <c r="G12" s="17">
        <f t="shared" si="0"/>
        <v>18135548.5</v>
      </c>
      <c r="H12" s="17">
        <f t="shared" si="1"/>
        <v>1917878.771240195</v>
      </c>
      <c r="I12" s="17">
        <f t="shared" si="2"/>
        <v>16217669.728759805</v>
      </c>
    </row>
    <row r="13" spans="1:9" ht="15.75" customHeight="1" x14ac:dyDescent="0.25">
      <c r="A13" s="5">
        <f t="shared" si="3"/>
        <v>2035</v>
      </c>
      <c r="B13" s="49">
        <v>1661013</v>
      </c>
      <c r="C13" s="50">
        <v>3347592.5</v>
      </c>
      <c r="D13" s="50">
        <v>6455599</v>
      </c>
      <c r="E13" s="50">
        <v>5012556.0000000009</v>
      </c>
      <c r="F13" s="50">
        <v>3621068.5</v>
      </c>
      <c r="G13" s="17">
        <f t="shared" si="0"/>
        <v>18436816</v>
      </c>
      <c r="H13" s="17">
        <f t="shared" si="1"/>
        <v>1923147.9934064229</v>
      </c>
      <c r="I13" s="17">
        <f t="shared" si="2"/>
        <v>16513668.006593578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oKjCMraZqJxH4IGGqWixzS0Xr0rqLI397ZQunX6Lo9oUxu3GL4a/Ly4crCd6Evx8njP/aBPQNe2JsRXsZ9+Ow==" saltValue="pDOrafKVg7IlPcVKUeI71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9.7482000000000072E-3</v>
      </c>
    </row>
    <row r="4" spans="1:8" ht="15.75" customHeight="1" x14ac:dyDescent="0.25">
      <c r="B4" s="19" t="s">
        <v>116</v>
      </c>
      <c r="C4" s="101">
        <v>5.9363900000000122E-2</v>
      </c>
    </row>
    <row r="5" spans="1:8" ht="15.75" customHeight="1" x14ac:dyDescent="0.25">
      <c r="B5" s="19" t="s">
        <v>114</v>
      </c>
      <c r="C5" s="101">
        <v>9.016319999999993E-2</v>
      </c>
    </row>
    <row r="6" spans="1:8" ht="15.75" customHeight="1" x14ac:dyDescent="0.25">
      <c r="B6" s="19" t="s">
        <v>110</v>
      </c>
      <c r="C6" s="101">
        <v>0.25618139999999923</v>
      </c>
    </row>
    <row r="7" spans="1:8" ht="15.75" customHeight="1" x14ac:dyDescent="0.25">
      <c r="B7" s="19" t="s">
        <v>115</v>
      </c>
      <c r="C7" s="101">
        <v>0.39435000000000081</v>
      </c>
    </row>
    <row r="8" spans="1:8" ht="15.75" customHeight="1" x14ac:dyDescent="0.25">
      <c r="B8" s="19" t="s">
        <v>117</v>
      </c>
      <c r="C8" s="101">
        <v>1.5295E-3</v>
      </c>
    </row>
    <row r="9" spans="1:8" ht="15.75" customHeight="1" x14ac:dyDescent="0.25">
      <c r="B9" s="19" t="s">
        <v>111</v>
      </c>
      <c r="C9" s="101">
        <v>6.629260000000009E-2</v>
      </c>
    </row>
    <row r="10" spans="1:8" ht="15.75" customHeight="1" x14ac:dyDescent="0.25">
      <c r="B10" s="19" t="s">
        <v>113</v>
      </c>
      <c r="C10" s="101">
        <v>0.1223712000000001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121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2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109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3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120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98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107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118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8.4525216000000014E-2</v>
      </c>
    </row>
    <row r="27" spans="1:8" ht="15.75" customHeight="1" x14ac:dyDescent="0.25">
      <c r="B27" s="19" t="s">
        <v>108</v>
      </c>
      <c r="C27" s="101">
        <v>7.9220290000000006E-3</v>
      </c>
    </row>
    <row r="28" spans="1:8" ht="15.75" customHeight="1" x14ac:dyDescent="0.25">
      <c r="B28" s="19" t="s">
        <v>122</v>
      </c>
      <c r="C28" s="101">
        <v>0.14742909900000001</v>
      </c>
    </row>
    <row r="29" spans="1:8" ht="15.75" customHeight="1" x14ac:dyDescent="0.25">
      <c r="B29" s="19" t="s">
        <v>105</v>
      </c>
      <c r="C29" s="101">
        <v>0.16178519199999999</v>
      </c>
    </row>
    <row r="30" spans="1:8" ht="15.75" customHeight="1" x14ac:dyDescent="0.25">
      <c r="B30" s="19" t="s">
        <v>4</v>
      </c>
      <c r="C30" s="101">
        <v>9.954296E-2</v>
      </c>
    </row>
    <row r="31" spans="1:8" ht="15.75" customHeight="1" x14ac:dyDescent="0.25">
      <c r="B31" s="19" t="s">
        <v>99</v>
      </c>
      <c r="C31" s="101">
        <v>0.105429782</v>
      </c>
    </row>
    <row r="32" spans="1:8" ht="15.75" customHeight="1" x14ac:dyDescent="0.25">
      <c r="B32" s="19" t="s">
        <v>104</v>
      </c>
      <c r="C32" s="101">
        <v>1.8078941000000001E-2</v>
      </c>
    </row>
    <row r="33" spans="2:3" ht="15.75" customHeight="1" x14ac:dyDescent="0.25">
      <c r="B33" s="19" t="s">
        <v>119</v>
      </c>
      <c r="C33" s="101">
        <v>8.1120976999999997E-2</v>
      </c>
    </row>
    <row r="34" spans="2:3" ht="15.75" customHeight="1" x14ac:dyDescent="0.25">
      <c r="B34" s="19" t="s">
        <v>106</v>
      </c>
      <c r="C34" s="101">
        <v>0.29416580399999998</v>
      </c>
    </row>
    <row r="35" spans="2:3" ht="15.75" customHeight="1" x14ac:dyDescent="0.25">
      <c r="B35" s="27" t="s">
        <v>79</v>
      </c>
      <c r="C35" s="48">
        <f>SUM(C26:C34)</f>
        <v>0.99999999999999978</v>
      </c>
    </row>
  </sheetData>
  <sheetProtection algorithmName="SHA-512" hashValue="2HPQii3ff/jD6PJUbc5r/Pmn0sUlsBWFD1pkeYcFgCD4IdBBc2iCQftKPdkvjdhRQCaqYDFR6vtnprmda7u7bA==" saltValue="vKUEOo776bYVUC/ZwLjHN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129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125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126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138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HcGlThD/VOutyUCKo5ghQFq5ZZELmYos62SnrzcGaIW8ZISRMcSSP6qrPtC/x2pjWHTi4ysde0uusrZ5K/5aQ==" saltValue="BF8v8GVFIhD7LVKRzsns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g4baMPgV6v23UlrMioNcwnMyJLia0Li5sMrKN8HlfUm+3vT5Vvz/bHY9tGLPB+cCRtCneuYQjUcn/mLqC2NvQ==" saltValue="hl1guM9IhiS7ERk/3oNwa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pb8gdgmrthqGxWtgHnzqYsIhwpP+Ji3ET2HYVz5EMk8xo6X9EnlewOqmmhhrPCEcg0ebtfGVfkcucIKxsYmcg==" saltValue="ePmQ3XytCtNvFWoLAEDTJ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2099.30193826696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0.36021000000000003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0.72526999999999997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1.6066930992886919E-2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95575.509439999994</v>
      </c>
      <c r="C22" s="109">
        <v>95066.594159999993</v>
      </c>
      <c r="D22" s="109">
        <v>94632.229330000002</v>
      </c>
      <c r="E22" s="109">
        <v>94009.431419999994</v>
      </c>
      <c r="F22" s="109">
        <v>93194.023319999993</v>
      </c>
      <c r="G22" s="109">
        <v>92146.770839999997</v>
      </c>
      <c r="H22" s="109">
        <v>90660.450970000005</v>
      </c>
      <c r="I22" s="109">
        <v>88492.479059999998</v>
      </c>
      <c r="J22" s="109">
        <v>85482.7837</v>
      </c>
      <c r="K22" s="109">
        <v>81567.354089999993</v>
      </c>
      <c r="L22" s="109">
        <v>76717.922049999994</v>
      </c>
      <c r="M22" s="109">
        <v>70883.406140000006</v>
      </c>
      <c r="N22" s="109">
        <v>63495.244229999997</v>
      </c>
      <c r="O22" s="109">
        <v>54339.825230000002</v>
      </c>
    </row>
  </sheetData>
  <sheetProtection algorithmName="SHA-512" hashValue="ccVsE9OeahSURuEWGqE7tEag5SuFzLaOBQJeGxTA9L7UsrmqemVbiAIQb1O8hEjQEJ9q6YPrpv3gE0TaS3Tl8w==" saltValue="AYN2izv/sSXLsGE5rgpw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k7UdnEHMD/JwK+uE0f/es+MaKcec9/d2g//Dz4nSuDUuDHACw+N/ADTj8fado74jhhIsi56YQMYzXcZTkqGnQ==" saltValue="PRKv3sZlasOJfRc35kKQ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WD6/HuxwslCo3+XOAK7lGnytd13oZ8p6sAdhXS4K3irDegvAnDLHvHjlmo/PB7+sixZ01xi0Keol6zGJ8IjyQ==" saltValue="8nxTrfcbOj4K4Tj3pt0n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8.76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0.55150520000000003</v>
      </c>
      <c r="C10" s="98">
        <v>0.95</v>
      </c>
      <c r="D10" s="56">
        <v>13.605540133497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13.605540133497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13.605540133497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13.605540133497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2.8691959662033248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13.605540133497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0.44609280000000001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0.27808333333333302</v>
      </c>
      <c r="C17" s="98">
        <v>0.95</v>
      </c>
      <c r="D17" s="56">
        <v>3.1738893431452713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0.55200000000000005</v>
      </c>
      <c r="C18" s="98">
        <v>0.95</v>
      </c>
      <c r="D18" s="56">
        <v>8.7599345870809486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0.77429159999999997</v>
      </c>
      <c r="C19" s="98">
        <v>0.95</v>
      </c>
      <c r="D19" s="56">
        <v>3.4360491508281288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8.76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0.53746989999999994</v>
      </c>
      <c r="C23" s="98">
        <v>0.95</v>
      </c>
      <c r="D23" s="56">
        <v>4.5021845672301692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0.85640179061796795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0.13600000000000001</v>
      </c>
      <c r="C26" s="98">
        <v>0.95</v>
      </c>
      <c r="D26" s="56">
        <v>2.5391114745162171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0.48293360000000002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0.1904276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7.2099999999999997E-2</v>
      </c>
      <c r="C31" s="98">
        <v>0.95</v>
      </c>
      <c r="D31" s="56">
        <v>105.77938402834559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0.63600000000000001</v>
      </c>
      <c r="C32" s="98">
        <v>0.95</v>
      </c>
      <c r="D32" s="56">
        <v>0.71514841351074721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0.3759924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0.62608180000000002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1.1372200000000001E-2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0.33177259999999997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0.316</v>
      </c>
      <c r="C38" s="98">
        <v>0.95</v>
      </c>
      <c r="D38" s="56">
        <v>1.7012046879258655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4lW8vduYgFxpbNKFToNyhcSDGf70KYOQ+XiHUpF7LjpA66e1XkqNrkAk0vmIy7dFwFkllQhQE89mDJYjKah3ZA==" saltValue="Iw3LyROVbq1f0pSaH9k1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cHzsJ6n+wNmbYoyUZJqw3kokLk2CxXhm+9s/3vneGGkZvH2IKB8BoVF+wLQmRwafO3viDz7J9F3yY5bVC/KAg==" saltValue="RjIVoWEZ9A5ZLfbnyG2J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0UeoKyzU58uym3pPMtXY3xG56XAtmpou1PZjMjJfR6J9E4Of79TB33SXypiwH2ZBI8mAh6f918BFRiqCrvNyQ==" saltValue="103T1LdeNsX/YobtXw2R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3.665999999999999</v>
      </c>
      <c r="C2" s="21">
        <f>'Entradas de población-año base'!C52</f>
        <v>3.665999999999999</v>
      </c>
      <c r="D2" s="21">
        <f>'Entradas de población-año base'!C53</f>
        <v>5.98</v>
      </c>
      <c r="E2" s="21">
        <f>'Entradas de población-año base'!C54</f>
        <v>6.0839999999999996</v>
      </c>
      <c r="F2" s="21">
        <f>'Entradas de población-año base'!C55</f>
        <v>2.5393333333333339</v>
      </c>
    </row>
    <row r="3" spans="1:6" ht="15.75" customHeight="1" x14ac:dyDescent="0.25">
      <c r="A3" s="3" t="s">
        <v>6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236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duiGr+kgCdVNbXxG0SflEH91DFYlTSM8pynOsAVqcVRANNA5eLf6w1rM9d2vhmjNUekrXIAaAOjS3GA+cp9PRA==" saltValue="Ap4O4357VS2P6idDAkvy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Nu21wvxCtOwBfiE7uQ600LMVX32mznsUHbEAMEHdcMKeRNYBFrutI249QIbs29pHDPqMg87El8QsV72xIP+Ew==" saltValue="GGISINJGTWc34NaqJkAX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vj+h5fTJzq5OmwvviQPIFurhjyCtGRUw2Fy1Ba0Y5nZdkVlj4gyvmuwq97C5dR60h5+XDGYj9Gu8FvahHMfzw==" saltValue="OJrIw6oT7FFAideGB6to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ARWu0KLcKhYQt/0OB9FEqXjSgkuZdQ6Lkq1YvhGd0WniHFI7DaKg9qSErqAefrlt2joGk5I/mJh9lHoNI3JJw==" saltValue="mDeeouBpnM++se21V0VN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YX7eIN5eapFRxuBJKVWDpzNuyWS9rbnFkl1s8lf5WTZNTODQmqaqLErxjsz7vy/7qSmrpQ7OZS1ZrEUfrx9PQ==" saltValue="T7JWqObBTY76RQUHV/Du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3aoSuhzOOsaeUxe/qsdm9UuTL9RpA4GRupqmxOWIAAsmBdlHQMipqZ2ickNvRHxqsGqeAYScMecvlEr0CmPKg==" saltValue="txk8KNWmtlwUrQGkNC66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+Jc3cy0REB7vCGrchTLnGB5SiloYu6j8cYf1iI5tdNdIcZIKuSUSpKy5j5+A70kKbOV+Cpm5wqnxvg3FD1T7/A==" saltValue="lCZFt6nJpuZdulrTEWxz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r7ExH9l0pLnUf5qZyJU3TyRHmy+rlot1o02VZJHraHOhf3p6s9fAkIHKa73lJao4yCBkdLka6PnHdqh5q13wQ==" saltValue="a5i5DObetriQj0nX5HAIE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1qZ/u6KkA2RhU1OKbz89vNuDj3ZhQbOAZiCOz9W/Zy/quzujGqblyGsaemSgfuBYVIW/fnJvNxaCrwSRp/Ejsw==" saltValue="q0JA6B1c8QKiZqYEBlhQ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sXA8w0D/dX2Z/sP4XaRNJee0NKvByT8VNz1c1pTvzbwWtbfMQ/ZinF8JE/aiGcnm0FFKutMsI63PUFHQv+xBg==" saltValue="V6SSl6mbXFAgSU5fT47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Hc9KFJJ0QPcH2vt/atrJ4UHRerBh/k3uOAiXa07HUfN1Utnv6ZZidHnqiY5Cj6iZ8x9EefiSzYty3freZLNkg==" saltValue="qXst+4MssF8f4sjgSCK6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5IRwL+KnS7SZDxxcPX+gPEeDzu6q2Se3P2IZIejvmBol7LQ4++QRADPV6Op9vs4kEiHZtFzztXCZcrpcfJVHQ==" saltValue="wITg8FEbG65Ud8C87zx2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ZX1gRPUU5Zl6Vs+EMa1h/w1gnQwFk4lLvLlueFBIbKyU7ZVoiP0pbhSi3XyR4g3Vy+ww5obVK5p7L/ggMjH+w==" saltValue="1pYGHfFSsrnBx+jd6Kgr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PU5l0TYmFuN7xFhM16YJlXxDetyZwnod3LZn8Plv/P83sjXxTyiBg/0PQrc3elZbNEjPO70nf7BbDQKyVQlsw==" saltValue="ZQ2h3r5njkvvUNuDSg1o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Hg/hLQTFblbo2tNLLPHk2p8jUALiJT5F7GWfCixrFsjXD2vsTF/mlnjzALkm6r9dJiekzejkKSMgxoJaK7p5w==" saltValue="rpfOKs8GDtRqeCtdH4sf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89DVPgG/q5Lw+LDjPBEiNus1NlnhUHIwXEbf1MbxAh6sPSmRxFYgSf3Npl/P5E4Zyt49Z9vntZQUxkM0F6l4A==" saltValue="Vw6QGWvTU0B4xQmyinw7Y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