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689E91CD-EF22-4A4E-A52D-516777AA4F47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2" i="2" l="1"/>
  <c r="A23" i="2"/>
  <c r="A24" i="2"/>
  <c r="A36" i="2"/>
  <c r="A31" i="2"/>
  <c r="A37" i="2"/>
  <c r="I9" i="2"/>
  <c r="I13" i="2"/>
  <c r="I38" i="2"/>
  <c r="A26" i="2"/>
  <c r="I39" i="2"/>
  <c r="A34" i="2"/>
  <c r="A40" i="2"/>
  <c r="I2" i="2"/>
  <c r="I6" i="2"/>
  <c r="A19" i="2"/>
  <c r="A35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<sst xmlns="http://schemas.openxmlformats.org/spreadsheetml/2006/main" count="2169" uniqueCount="373">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</sst>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7124535.5</v>
      </c>
    </row>
    <row r="8" spans="1:3" ht="15" customHeight="1" x14ac:dyDescent="0.25">
      <c r="B8" s="5" t="s">
        <v>63</v>
      </c>
      <c r="C8" s="44">
        <v>0.36099999999999999</v>
      </c>
    </row>
    <row r="9" spans="1:3" ht="15" customHeight="1" x14ac:dyDescent="0.25">
      <c r="B9" s="5" t="s">
        <v>62</v>
      </c>
      <c r="C9" s="45">
        <v>0.21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0.12707209564311001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0.1066</v>
      </c>
    </row>
    <row r="24" spans="1:3" ht="15" customHeight="1" x14ac:dyDescent="0.25">
      <c r="B24" s="15" t="s">
        <v>65</v>
      </c>
      <c r="C24" s="45">
        <v>0.50460000000000005</v>
      </c>
    </row>
    <row r="25" spans="1:3" ht="15" customHeight="1" x14ac:dyDescent="0.25">
      <c r="B25" s="15" t="s">
        <v>66</v>
      </c>
      <c r="C25" s="45">
        <v>0.30659999999999998</v>
      </c>
    </row>
    <row r="26" spans="1:3" ht="15" customHeight="1" x14ac:dyDescent="0.25">
      <c r="B26" s="15" t="s">
        <v>67</v>
      </c>
      <c r="C26" s="45">
        <v>8.2200000000000009E-2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0.30343875405119197</v>
      </c>
    </row>
    <row r="30" spans="1:3" ht="14.25" customHeight="1" x14ac:dyDescent="0.25">
      <c r="B30" s="25" t="s">
        <v>82</v>
      </c>
      <c r="C30" s="97">
        <v>4.7279900721229402E-2</v>
      </c>
    </row>
    <row r="31" spans="1:3" ht="14.25" customHeight="1" x14ac:dyDescent="0.25">
      <c r="B31" s="25" t="s">
        <v>29</v>
      </c>
      <c r="C31" s="97">
        <v>7.19970607137842E-2</v>
      </c>
    </row>
    <row r="32" spans="1:3" ht="14.25" customHeight="1" x14ac:dyDescent="0.25">
      <c r="B32" s="25" t="s">
        <v>30</v>
      </c>
      <c r="C32" s="97">
        <v>0.57728428451379499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18.424029999999998</v>
      </c>
    </row>
    <row r="38" spans="1:5" ht="15" customHeight="1" x14ac:dyDescent="0.25">
      <c r="B38" s="11" t="s">
        <v>54</v>
      </c>
      <c r="C38" s="43">
        <v>27.988019999999999</v>
      </c>
      <c r="D38" s="12"/>
      <c r="E38" s="13"/>
    </row>
    <row r="39" spans="1:5" ht="15" customHeight="1" x14ac:dyDescent="0.25">
      <c r="B39" s="11" t="s">
        <v>80</v>
      </c>
      <c r="C39" s="43">
        <v>37.152619999999999</v>
      </c>
      <c r="D39" s="12"/>
      <c r="E39" s="12"/>
    </row>
    <row r="40" spans="1:5" ht="15" customHeight="1" x14ac:dyDescent="0.25">
      <c r="B40" s="11" t="s">
        <v>55</v>
      </c>
      <c r="C40" s="98">
        <v>5.3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18.528590000000001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7.4561999999999996E-3</v>
      </c>
      <c r="D45" s="12"/>
    </row>
    <row r="46" spans="1:5" ht="15.75" customHeight="1" x14ac:dyDescent="0.25">
      <c r="B46" s="11" t="s">
        <v>70</v>
      </c>
      <c r="C46" s="45">
        <v>8.0115700000000012E-2</v>
      </c>
      <c r="D46" s="12"/>
    </row>
    <row r="47" spans="1:5" ht="15.75" customHeight="1" x14ac:dyDescent="0.25">
      <c r="B47" s="11" t="s">
        <v>78</v>
      </c>
      <c r="C47" s="45">
        <v>7.3910099999999992E-2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3.665999999999999</v>
      </c>
      <c r="D51" s="12"/>
    </row>
    <row r="52" spans="1:4" ht="15" customHeight="1" x14ac:dyDescent="0.25">
      <c r="B52" s="11" t="s">
        <v>32</v>
      </c>
      <c r="C52" s="98">
        <v>3.665999999999999</v>
      </c>
    </row>
    <row r="53" spans="1:4" ht="15.75" customHeight="1" x14ac:dyDescent="0.25">
      <c r="B53" s="11" t="s">
        <v>35</v>
      </c>
      <c r="C53" s="98">
        <v>5.98</v>
      </c>
    </row>
    <row r="54" spans="1:4" ht="15.75" customHeight="1" x14ac:dyDescent="0.25">
      <c r="B54" s="11" t="s">
        <v>33</v>
      </c>
      <c r="C54" s="98">
        <v>6.0839999999999996</v>
      </c>
    </row>
    <row r="55" spans="1:4" ht="15.75" customHeight="1" x14ac:dyDescent="0.25">
      <c r="B55" s="11" t="s">
        <v>34</v>
      </c>
      <c r="C55" s="98">
        <v>2.5393333333333339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0.43021899999999991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9.9711194570000009E-2</v>
      </c>
    </row>
    <row r="63" spans="1:4" ht="15.75" customHeight="1" x14ac:dyDescent="0.3">
      <c r="A63" s="4"/>
    </row>
  </sheetData>
  <sheetProtection algorithmName="SHA-512" hashValue="LdFBsLN/B3pzj7fG+LxUxRwn6XkHE55B5CqnmZYzUk4UYLzfsVN1m4dQTteqLPV2jMMYwFmwVqfD4v7TCsozFQ==" saltValue="igy/7jBEBO97bg4Tnwcn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7201066.5</v>
      </c>
      <c r="C2" s="49">
        <v>1663820</v>
      </c>
      <c r="D2" s="49">
        <v>3354577</v>
      </c>
      <c r="E2" s="49">
        <v>6500344.4999999991</v>
      </c>
      <c r="F2" s="49">
        <v>5153342.0000000009</v>
      </c>
      <c r="G2" s="17">
        <f t="shared" ref="G2:G13" si="0">C2+D2+E2+F2</f>
        <v>16672083.5</v>
      </c>
      <c r="H2" s="17">
        <f t="shared" ref="H2:H13" si="1">(B2 + stillbirth*B2/(1000-stillbirth))/(1-abortion)</f>
        <v>8337512.4636960775</v>
      </c>
      <c r="I2" s="17">
        <f t="shared" ref="I2:I13" si="2">G2-H2</f>
        <v>8334571.0363039225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1521907</v>
      </c>
      <c r="C3" s="50">
        <v>3248339.5</v>
      </c>
      <c r="D3" s="50">
        <v>5224492</v>
      </c>
      <c r="E3" s="50">
        <v>3859962.9999999995</v>
      </c>
      <c r="F3" s="50">
        <v>2574917.5</v>
      </c>
      <c r="G3" s="17">
        <f t="shared" si="0"/>
        <v>14907712</v>
      </c>
      <c r="H3" s="17">
        <f t="shared" si="1"/>
        <v>1762088.7935261128</v>
      </c>
      <c r="I3" s="17">
        <f t="shared" si="2"/>
        <v>13145623.206473887</v>
      </c>
    </row>
    <row r="4" spans="1:9" ht="15.75" customHeight="1" x14ac:dyDescent="0.25">
      <c r="A4" s="5">
        <f t="shared" si="3"/>
        <v>2026</v>
      </c>
      <c r="B4" s="49">
        <v>1540813</v>
      </c>
      <c r="C4" s="50">
        <v>3314668</v>
      </c>
      <c r="D4" s="50">
        <v>5372289.0000000009</v>
      </c>
      <c r="E4" s="50">
        <v>3961625.5</v>
      </c>
      <c r="F4" s="50">
        <v>2671537.5</v>
      </c>
      <c r="G4" s="17">
        <f t="shared" si="0"/>
        <v>15320120</v>
      </c>
      <c r="H4" s="17">
        <f t="shared" si="1"/>
        <v>1783978.4692621497</v>
      </c>
      <c r="I4" s="17">
        <f t="shared" si="2"/>
        <v>13536141.530737851</v>
      </c>
    </row>
    <row r="5" spans="1:9" ht="15.75" customHeight="1" x14ac:dyDescent="0.25">
      <c r="A5" s="5">
        <f t="shared" si="3"/>
        <v>2027</v>
      </c>
      <c r="B5" s="49">
        <v>1558303</v>
      </c>
      <c r="C5" s="50">
        <v>3364487.5</v>
      </c>
      <c r="D5" s="50">
        <v>5520683.5</v>
      </c>
      <c r="E5" s="50">
        <v>4063086.5</v>
      </c>
      <c r="F5" s="50">
        <v>2773131.5000000005</v>
      </c>
      <c r="G5" s="17">
        <f t="shared" si="0"/>
        <v>15721389</v>
      </c>
      <c r="H5" s="17">
        <f t="shared" si="1"/>
        <v>1804228.6770598479</v>
      </c>
      <c r="I5" s="17">
        <f t="shared" si="2"/>
        <v>13917160.322940152</v>
      </c>
    </row>
    <row r="6" spans="1:9" ht="15.75" customHeight="1" x14ac:dyDescent="0.25">
      <c r="A6" s="5">
        <f t="shared" si="3"/>
        <v>2028</v>
      </c>
      <c r="B6" s="49">
        <v>1576718</v>
      </c>
      <c r="C6" s="50">
        <v>3391085</v>
      </c>
      <c r="D6" s="50">
        <v>5671576.5</v>
      </c>
      <c r="E6" s="50">
        <v>4164026.5</v>
      </c>
      <c r="F6" s="50">
        <v>2879765.5</v>
      </c>
      <c r="G6" s="17">
        <f t="shared" si="0"/>
        <v>16106453.5</v>
      </c>
      <c r="H6" s="17">
        <f t="shared" si="1"/>
        <v>1825549.8649726333</v>
      </c>
      <c r="I6" s="17">
        <f t="shared" si="2"/>
        <v>14280903.635027368</v>
      </c>
    </row>
    <row r="7" spans="1:9" ht="15.75" customHeight="1" x14ac:dyDescent="0.25">
      <c r="A7" s="5">
        <f t="shared" si="3"/>
        <v>2029</v>
      </c>
      <c r="B7" s="49">
        <v>1594190</v>
      </c>
      <c r="C7" s="50">
        <v>3394249</v>
      </c>
      <c r="D7" s="50">
        <v>5821819.5</v>
      </c>
      <c r="E7" s="50">
        <v>4267891.5</v>
      </c>
      <c r="F7" s="50">
        <v>2989620.5</v>
      </c>
      <c r="G7" s="17">
        <f t="shared" si="0"/>
        <v>16473580.5</v>
      </c>
      <c r="H7" s="17">
        <f t="shared" si="1"/>
        <v>1845779.2320762002</v>
      </c>
      <c r="I7" s="17">
        <f t="shared" si="2"/>
        <v>14627801.2679238</v>
      </c>
    </row>
    <row r="8" spans="1:9" ht="15.75" customHeight="1" x14ac:dyDescent="0.25">
      <c r="A8" s="5">
        <f t="shared" si="3"/>
        <v>2030</v>
      </c>
      <c r="B8" s="49">
        <v>1610345</v>
      </c>
      <c r="C8" s="50">
        <v>3381382.5</v>
      </c>
      <c r="D8" s="50">
        <v>5967599.5</v>
      </c>
      <c r="E8" s="50">
        <v>4375431.0000000009</v>
      </c>
      <c r="F8" s="50">
        <v>3100712.4999999995</v>
      </c>
      <c r="G8" s="17">
        <f t="shared" si="0"/>
        <v>16825125.5</v>
      </c>
      <c r="H8" s="17">
        <f t="shared" si="1"/>
        <v>1864483.7550591514</v>
      </c>
      <c r="I8" s="17">
        <f t="shared" si="2"/>
        <v>14960641.744940849</v>
      </c>
    </row>
    <row r="9" spans="1:9" ht="15.75" customHeight="1" x14ac:dyDescent="0.25">
      <c r="A9" s="5">
        <f t="shared" si="3"/>
        <v>2031</v>
      </c>
      <c r="B9" s="49">
        <v>1625043</v>
      </c>
      <c r="C9" s="50">
        <v>3363157.5</v>
      </c>
      <c r="D9" s="50">
        <v>6104579.5</v>
      </c>
      <c r="E9" s="50">
        <v>4487807.5000000009</v>
      </c>
      <c r="F9" s="50">
        <v>3211444.5</v>
      </c>
      <c r="G9" s="17">
        <f t="shared" si="0"/>
        <v>17166989</v>
      </c>
      <c r="H9" s="17">
        <f t="shared" si="1"/>
        <v>1881501.339633798</v>
      </c>
      <c r="I9" s="17">
        <f t="shared" si="2"/>
        <v>15285487.660366202</v>
      </c>
    </row>
    <row r="10" spans="1:9" ht="15.75" customHeight="1" x14ac:dyDescent="0.25">
      <c r="A10" s="5">
        <f t="shared" si="3"/>
        <v>2032</v>
      </c>
      <c r="B10" s="49">
        <v>1639893</v>
      </c>
      <c r="C10" s="50">
        <v>3347784.5</v>
      </c>
      <c r="D10" s="50">
        <v>6224131.4999999991</v>
      </c>
      <c r="E10" s="50">
        <v>4608776.5</v>
      </c>
      <c r="F10" s="50">
        <v>3319238.5</v>
      </c>
      <c r="G10" s="17">
        <f t="shared" si="0"/>
        <v>17499931</v>
      </c>
      <c r="H10" s="17">
        <f t="shared" si="1"/>
        <v>1898694.9122922211</v>
      </c>
      <c r="I10" s="17">
        <f t="shared" si="2"/>
        <v>15601236.087707778</v>
      </c>
    </row>
    <row r="11" spans="1:9" ht="15.75" customHeight="1" x14ac:dyDescent="0.25">
      <c r="A11" s="5">
        <f t="shared" si="3"/>
        <v>2033</v>
      </c>
      <c r="B11" s="49">
        <v>1649800</v>
      </c>
      <c r="C11" s="50">
        <v>3339685.5</v>
      </c>
      <c r="D11" s="50">
        <v>6321260.5</v>
      </c>
      <c r="E11" s="50">
        <v>4738486.5</v>
      </c>
      <c r="F11" s="50">
        <v>3422878.5</v>
      </c>
      <c r="G11" s="17">
        <f t="shared" si="0"/>
        <v>17822311</v>
      </c>
      <c r="H11" s="17">
        <f t="shared" si="1"/>
        <v>1910165.3987788879</v>
      </c>
      <c r="I11" s="17">
        <f t="shared" si="2"/>
        <v>15912145.601221113</v>
      </c>
    </row>
    <row r="12" spans="1:9" ht="15.75" customHeight="1" x14ac:dyDescent="0.25">
      <c r="A12" s="5">
        <f t="shared" si="3"/>
        <v>2034</v>
      </c>
      <c r="B12" s="49">
        <v>1656462</v>
      </c>
      <c r="C12" s="50">
        <v>3341159.5</v>
      </c>
      <c r="D12" s="50">
        <v>6397238</v>
      </c>
      <c r="E12" s="50">
        <v>4873762.5000000009</v>
      </c>
      <c r="F12" s="50">
        <v>3523388.5</v>
      </c>
      <c r="G12" s="17">
        <f t="shared" si="0"/>
        <v>18135548.5</v>
      </c>
      <c r="H12" s="17">
        <f t="shared" si="1"/>
        <v>1917878.771240195</v>
      </c>
      <c r="I12" s="17">
        <f t="shared" si="2"/>
        <v>16217669.728759805</v>
      </c>
    </row>
    <row r="13" spans="1:9" ht="15.75" customHeight="1" x14ac:dyDescent="0.25">
      <c r="A13" s="5">
        <f t="shared" si="3"/>
        <v>2035</v>
      </c>
      <c r="B13" s="49">
        <v>1661013</v>
      </c>
      <c r="C13" s="50">
        <v>3347592.5</v>
      </c>
      <c r="D13" s="50">
        <v>6455599</v>
      </c>
      <c r="E13" s="50">
        <v>5012556.0000000009</v>
      </c>
      <c r="F13" s="50">
        <v>3621068.5</v>
      </c>
      <c r="G13" s="17">
        <f t="shared" si="0"/>
        <v>18436816</v>
      </c>
      <c r="H13" s="17">
        <f t="shared" si="1"/>
        <v>1923147.9934064229</v>
      </c>
      <c r="I13" s="17">
        <f t="shared" si="2"/>
        <v>16513668.006593578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XjU/AcZ7dynRreES7i3V28Wvicv2aAuXtUmoDfZ9O5m0M8EoAmhpVYYkaQLVn7AAvyiBWN1oTJeTFQKyEM4ETg==" saltValue="tvMlxjuUYcAYgHHKm+k88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9.7482000000000072E-3</v>
      </c>
    </row>
    <row r="4" spans="1:8" ht="15.75" customHeight="1" x14ac:dyDescent="0.25">
      <c r="B4" s="19" t="s">
        <v>116</v>
      </c>
      <c r="C4" s="99">
        <v>5.9363900000000122E-2</v>
      </c>
    </row>
    <row r="5" spans="1:8" ht="15.75" customHeight="1" x14ac:dyDescent="0.25">
      <c r="B5" s="19" t="s">
        <v>114</v>
      </c>
      <c r="C5" s="99">
        <v>9.016319999999993E-2</v>
      </c>
    </row>
    <row r="6" spans="1:8" ht="15.75" customHeight="1" x14ac:dyDescent="0.25">
      <c r="B6" s="19" t="s">
        <v>110</v>
      </c>
      <c r="C6" s="99">
        <v>0.25618139999999923</v>
      </c>
    </row>
    <row r="7" spans="1:8" ht="15.75" customHeight="1" x14ac:dyDescent="0.25">
      <c r="B7" s="19" t="s">
        <v>115</v>
      </c>
      <c r="C7" s="99">
        <v>0.39435000000000081</v>
      </c>
    </row>
    <row r="8" spans="1:8" ht="15.75" customHeight="1" x14ac:dyDescent="0.25">
      <c r="B8" s="19" t="s">
        <v>117</v>
      </c>
      <c r="C8" s="99">
        <v>1.5295E-3</v>
      </c>
    </row>
    <row r="9" spans="1:8" ht="15.75" customHeight="1" x14ac:dyDescent="0.25">
      <c r="B9" s="19" t="s">
        <v>111</v>
      </c>
      <c r="C9" s="99">
        <v>6.629260000000009E-2</v>
      </c>
    </row>
    <row r="10" spans="1:8" ht="15.75" customHeight="1" x14ac:dyDescent="0.25">
      <c r="B10" s="19" t="s">
        <v>113</v>
      </c>
      <c r="C10" s="99">
        <v>0.1223712000000001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0.15459604555071149</v>
      </c>
      <c r="D14" s="55">
        <v>0.15459604555071149</v>
      </c>
      <c r="E14" s="55">
        <v>0.15459604555071149</v>
      </c>
      <c r="F14" s="55">
        <v>0.15459604555071149</v>
      </c>
    </row>
    <row r="15" spans="1:8" ht="15.75" customHeight="1" x14ac:dyDescent="0.25">
      <c r="B15" s="19" t="s">
        <v>121</v>
      </c>
      <c r="C15" s="99">
        <v>0.2061607365318871</v>
      </c>
      <c r="D15" s="99">
        <v>0.2061607365318871</v>
      </c>
      <c r="E15" s="99">
        <v>0.2061607365318871</v>
      </c>
      <c r="F15" s="99">
        <v>0.2061607365318871</v>
      </c>
    </row>
    <row r="16" spans="1:8" ht="15.75" customHeight="1" x14ac:dyDescent="0.25">
      <c r="B16" s="19" t="s">
        <v>2</v>
      </c>
      <c r="C16" s="99">
        <v>2.5591654252644511E-2</v>
      </c>
      <c r="D16" s="99">
        <v>2.5591654252644511E-2</v>
      </c>
      <c r="E16" s="99">
        <v>2.5591654252644511E-2</v>
      </c>
      <c r="F16" s="99">
        <v>2.5591654252644511E-2</v>
      </c>
    </row>
    <row r="17" spans="1:8" ht="15.75" customHeight="1" x14ac:dyDescent="0.25">
      <c r="B17" s="19" t="s">
        <v>109</v>
      </c>
      <c r="C17" s="99">
        <v>3.1951908863967829E-3</v>
      </c>
      <c r="D17" s="99">
        <v>3.1951908863967829E-3</v>
      </c>
      <c r="E17" s="99">
        <v>3.1951908863967829E-3</v>
      </c>
      <c r="F17" s="99">
        <v>3.1951908863967829E-3</v>
      </c>
    </row>
    <row r="18" spans="1:8" ht="15.75" customHeight="1" x14ac:dyDescent="0.25">
      <c r="B18" s="19" t="s">
        <v>3</v>
      </c>
      <c r="C18" s="99">
        <v>0.1190673350883891</v>
      </c>
      <c r="D18" s="99">
        <v>0.1190673350883891</v>
      </c>
      <c r="E18" s="99">
        <v>0.1190673350883891</v>
      </c>
      <c r="F18" s="99">
        <v>0.1190673350883891</v>
      </c>
    </row>
    <row r="19" spans="1:8" ht="15.75" customHeight="1" x14ac:dyDescent="0.25">
      <c r="B19" s="19" t="s">
        <v>120</v>
      </c>
      <c r="C19" s="99">
        <v>5.1494508389113812E-2</v>
      </c>
      <c r="D19" s="99">
        <v>5.1494508389113812E-2</v>
      </c>
      <c r="E19" s="99">
        <v>5.1494508389113812E-2</v>
      </c>
      <c r="F19" s="99">
        <v>5.1494508389113812E-2</v>
      </c>
    </row>
    <row r="20" spans="1:8" ht="15.75" customHeight="1" x14ac:dyDescent="0.25">
      <c r="B20" s="19" t="s">
        <v>98</v>
      </c>
      <c r="C20" s="99">
        <v>0.1285073777794245</v>
      </c>
      <c r="D20" s="99">
        <v>0.1285073777794245</v>
      </c>
      <c r="E20" s="99">
        <v>0.1285073777794245</v>
      </c>
      <c r="F20" s="99">
        <v>0.1285073777794245</v>
      </c>
    </row>
    <row r="21" spans="1:8" ht="15.75" customHeight="1" x14ac:dyDescent="0.25">
      <c r="B21" s="19" t="s">
        <v>107</v>
      </c>
      <c r="C21" s="99">
        <v>0.1293290571101246</v>
      </c>
      <c r="D21" s="99">
        <v>0.1293290571101246</v>
      </c>
      <c r="E21" s="99">
        <v>0.1293290571101246</v>
      </c>
      <c r="F21" s="99">
        <v>0.1293290571101246</v>
      </c>
    </row>
    <row r="22" spans="1:8" ht="15.75" customHeight="1" x14ac:dyDescent="0.25">
      <c r="B22" s="19" t="s">
        <v>118</v>
      </c>
      <c r="C22" s="99">
        <v>0.18205809441130791</v>
      </c>
      <c r="D22" s="99">
        <v>0.18205809441130791</v>
      </c>
      <c r="E22" s="99">
        <v>0.18205809441130791</v>
      </c>
      <c r="F22" s="99">
        <v>0.18205809441130791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8.4525216000000014E-2</v>
      </c>
    </row>
    <row r="27" spans="1:8" ht="15.75" customHeight="1" x14ac:dyDescent="0.25">
      <c r="B27" s="19" t="s">
        <v>108</v>
      </c>
      <c r="C27" s="99">
        <v>7.9220290000000006E-3</v>
      </c>
    </row>
    <row r="28" spans="1:8" ht="15.75" customHeight="1" x14ac:dyDescent="0.25">
      <c r="B28" s="19" t="s">
        <v>122</v>
      </c>
      <c r="C28" s="99">
        <v>0.14742909900000001</v>
      </c>
    </row>
    <row r="29" spans="1:8" ht="15.75" customHeight="1" x14ac:dyDescent="0.25">
      <c r="B29" s="19" t="s">
        <v>105</v>
      </c>
      <c r="C29" s="99">
        <v>0.16178519199999999</v>
      </c>
    </row>
    <row r="30" spans="1:8" ht="15.75" customHeight="1" x14ac:dyDescent="0.25">
      <c r="B30" s="19" t="s">
        <v>4</v>
      </c>
      <c r="C30" s="99">
        <v>9.954296E-2</v>
      </c>
    </row>
    <row r="31" spans="1:8" ht="15.75" customHeight="1" x14ac:dyDescent="0.25">
      <c r="B31" s="19" t="s">
        <v>99</v>
      </c>
      <c r="C31" s="99">
        <v>0.105429782</v>
      </c>
    </row>
    <row r="32" spans="1:8" ht="15.75" customHeight="1" x14ac:dyDescent="0.25">
      <c r="B32" s="19" t="s">
        <v>104</v>
      </c>
      <c r="C32" s="99">
        <v>1.8078941000000001E-2</v>
      </c>
    </row>
    <row r="33" spans="2:3" ht="15.75" customHeight="1" x14ac:dyDescent="0.25">
      <c r="B33" s="19" t="s">
        <v>119</v>
      </c>
      <c r="C33" s="99">
        <v>8.1120976999999997E-2</v>
      </c>
    </row>
    <row r="34" spans="2:3" ht="15.75" customHeight="1" x14ac:dyDescent="0.25">
      <c r="B34" s="19" t="s">
        <v>106</v>
      </c>
      <c r="C34" s="99">
        <v>0.29416580399999998</v>
      </c>
    </row>
    <row r="35" spans="2:3" ht="15.75" customHeight="1" x14ac:dyDescent="0.25">
      <c r="B35" s="27" t="s">
        <v>79</v>
      </c>
      <c r="C35" s="48">
        <f>SUM(C26:C34)</f>
        <v>0.99999999999999978</v>
      </c>
    </row>
  </sheetData>
  <sheetProtection algorithmName="SHA-512" hashValue="8bVigHyhYQOS6kRaHs1GIVEYrQ6WrWGxo5Uc13hcQm955vi5kTSARXVKHUX8K3AB3cY1uefUKWivSdKVXWjIlA==" saltValue="UTIWqDIz1a8YAxaiZwu1g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0.56970351954991061</v>
      </c>
      <c r="D2" s="52">
        <f>IFERROR(1-_xlfn.NORM.DIST(_xlfn.NORM.INV(SUM(D4:D5), 0, 1) + 1, 0, 1, TRUE), "")</f>
        <v>0.56970351954991061</v>
      </c>
      <c r="E2" s="52">
        <f>IFERROR(1-_xlfn.NORM.DIST(_xlfn.NORM.INV(SUM(E4:E5), 0, 1) + 1, 0, 1, TRUE), "")</f>
        <v>0.55306780204889838</v>
      </c>
      <c r="F2" s="52">
        <f>IFERROR(1-_xlfn.NORM.DIST(_xlfn.NORM.INV(SUM(F4:F5), 0, 1) + 1, 0, 1, TRUE), "")</f>
        <v>0.40327466361168451</v>
      </c>
      <c r="G2" s="52">
        <f>IFERROR(1-_xlfn.NORM.DIST(_xlfn.NORM.INV(SUM(G4:G5), 0, 1) + 1, 0, 1, TRUE), "")</f>
        <v>0.47023426140659053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0.31042298045008943</v>
      </c>
      <c r="D3" s="52">
        <f>IFERROR(_xlfn.NORM.DIST(_xlfn.NORM.INV(SUM(D4:D5), 0, 1) + 1, 0, 1, TRUE) - SUM(D4:D5), "")</f>
        <v>0.31042298045008943</v>
      </c>
      <c r="E3" s="52">
        <f>IFERROR(_xlfn.NORM.DIST(_xlfn.NORM.INV(SUM(E4:E5), 0, 1) + 1, 0, 1, TRUE) - SUM(E4:E5), "")</f>
        <v>0.31841239795110166</v>
      </c>
      <c r="F3" s="52">
        <f>IFERROR(_xlfn.NORM.DIST(_xlfn.NORM.INV(SUM(F4:F5), 0, 1) + 1, 0, 1, TRUE) - SUM(F4:F5), "")</f>
        <v>0.37163683638831552</v>
      </c>
      <c r="G3" s="52">
        <f>IFERROR(_xlfn.NORM.DIST(_xlfn.NORM.INV(SUM(G4:G5), 0, 1) + 1, 0, 1, TRUE) - SUM(G4:G5), "")</f>
        <v>0.35236573859340947</v>
      </c>
    </row>
    <row r="4" spans="1:15" ht="15.75" customHeight="1" x14ac:dyDescent="0.25">
      <c r="B4" s="5" t="s">
        <v>129</v>
      </c>
      <c r="C4" s="45">
        <v>8.7136999999999992E-2</v>
      </c>
      <c r="D4" s="53">
        <v>8.7136999999999992E-2</v>
      </c>
      <c r="E4" s="53">
        <v>9.6798300000000004E-2</v>
      </c>
      <c r="F4" s="53">
        <v>0.17068729999999999</v>
      </c>
      <c r="G4" s="53">
        <v>0.1358666</v>
      </c>
    </row>
    <row r="5" spans="1:15" ht="15.75" customHeight="1" x14ac:dyDescent="0.25">
      <c r="B5" s="5" t="s">
        <v>125</v>
      </c>
      <c r="C5" s="45">
        <v>3.2736500000000002E-2</v>
      </c>
      <c r="D5" s="53">
        <v>3.2736500000000002E-2</v>
      </c>
      <c r="E5" s="53">
        <v>3.17215E-2</v>
      </c>
      <c r="F5" s="53">
        <v>5.4401199999999997E-2</v>
      </c>
      <c r="G5" s="53">
        <v>4.1533399999999998E-2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0.79853831549598242</v>
      </c>
      <c r="D8" s="52">
        <f>IFERROR(1-_xlfn.NORM.DIST(_xlfn.NORM.INV(SUM(D10:D11), 0, 1) + 1, 0, 1, TRUE), "")</f>
        <v>0.79853831549598242</v>
      </c>
      <c r="E8" s="52">
        <f>IFERROR(1-_xlfn.NORM.DIST(_xlfn.NORM.INV(SUM(E10:E11), 0, 1) + 1, 0, 1, TRUE), "")</f>
        <v>0.76523400200727043</v>
      </c>
      <c r="F8" s="52">
        <f>IFERROR(1-_xlfn.NORM.DIST(_xlfn.NORM.INV(SUM(F10:F11), 0, 1) + 1, 0, 1, TRUE), "")</f>
        <v>0.77699631160256344</v>
      </c>
      <c r="G8" s="52">
        <f>IFERROR(1-_xlfn.NORM.DIST(_xlfn.NORM.INV(SUM(G10:G11), 0, 1) + 1, 0, 1, TRUE), "")</f>
        <v>0.74104432685379962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0.16831328450401753</v>
      </c>
      <c r="D9" s="52">
        <f>IFERROR(_xlfn.NORM.DIST(_xlfn.NORM.INV(SUM(D10:D11), 0, 1) + 1, 0, 1, TRUE) - SUM(D10:D11), "")</f>
        <v>0.16831328450401753</v>
      </c>
      <c r="E9" s="52">
        <f>IFERROR(_xlfn.NORM.DIST(_xlfn.NORM.INV(SUM(E10:E11), 0, 1) + 1, 0, 1, TRUE) - SUM(E10:E11), "")</f>
        <v>0.19234349799272957</v>
      </c>
      <c r="F9" s="52">
        <f>IFERROR(_xlfn.NORM.DIST(_xlfn.NORM.INV(SUM(F10:F11), 0, 1) + 1, 0, 1, TRUE) - SUM(F10:F11), "")</f>
        <v>0.18397648839743652</v>
      </c>
      <c r="G9" s="52">
        <f>IFERROR(_xlfn.NORM.DIST(_xlfn.NORM.INV(SUM(G10:G11), 0, 1) + 1, 0, 1, TRUE) - SUM(G10:G11), "")</f>
        <v>0.20913227314620036</v>
      </c>
    </row>
    <row r="10" spans="1:15" ht="15.75" customHeight="1" x14ac:dyDescent="0.25">
      <c r="B10" s="5" t="s">
        <v>126</v>
      </c>
      <c r="C10" s="45">
        <v>2.65121E-2</v>
      </c>
      <c r="D10" s="53">
        <v>2.65121E-2</v>
      </c>
      <c r="E10" s="53">
        <v>3.6781300000000003E-2</v>
      </c>
      <c r="F10" s="53">
        <v>3.2672800000000002E-2</v>
      </c>
      <c r="G10" s="53">
        <v>4.4363100000000003E-2</v>
      </c>
    </row>
    <row r="11" spans="1:15" ht="15.75" customHeight="1" x14ac:dyDescent="0.25">
      <c r="B11" s="5" t="s">
        <v>138</v>
      </c>
      <c r="C11" s="45">
        <v>6.6363000000000004E-3</v>
      </c>
      <c r="D11" s="53">
        <v>6.6363000000000004E-3</v>
      </c>
      <c r="E11" s="53">
        <v>5.6411999999999999E-3</v>
      </c>
      <c r="F11" s="53">
        <v>6.3543999999999996E-3</v>
      </c>
      <c r="G11" s="53">
        <v>5.4603000000000004E-3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0.47979364849999989</v>
      </c>
      <c r="D14" s="54">
        <v>0.49362246556400002</v>
      </c>
      <c r="E14" s="54">
        <v>0.49362246556400002</v>
      </c>
      <c r="F14" s="54">
        <v>0.38918518062500002</v>
      </c>
      <c r="G14" s="54">
        <v>0.38918518062500002</v>
      </c>
      <c r="H14" s="45">
        <v>0.38200000000000001</v>
      </c>
      <c r="I14" s="55">
        <v>0.38200000000000001</v>
      </c>
      <c r="J14" s="55">
        <v>0.38200000000000001</v>
      </c>
      <c r="K14" s="55">
        <v>0.38200000000000001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0.2064163436640214</v>
      </c>
      <c r="D15" s="52">
        <f t="shared" si="0"/>
        <v>0.21236576351247849</v>
      </c>
      <c r="E15" s="52">
        <f t="shared" si="0"/>
        <v>0.21236576351247849</v>
      </c>
      <c r="F15" s="52">
        <f t="shared" si="0"/>
        <v>0.16743485922330684</v>
      </c>
      <c r="G15" s="52">
        <f t="shared" si="0"/>
        <v>0.16743485922330684</v>
      </c>
      <c r="H15" s="52">
        <f t="shared" si="0"/>
        <v>0.16434365799999998</v>
      </c>
      <c r="I15" s="52">
        <f t="shared" si="0"/>
        <v>0.16434365799999998</v>
      </c>
      <c r="J15" s="52">
        <f t="shared" si="0"/>
        <v>0.16434365799999998</v>
      </c>
      <c r="K15" s="52">
        <f t="shared" si="0"/>
        <v>0.16434365799999998</v>
      </c>
      <c r="L15" s="52">
        <f t="shared" si="0"/>
        <v>0.11271737799999998</v>
      </c>
      <c r="M15" s="52">
        <f t="shared" si="0"/>
        <v>0.11271737799999998</v>
      </c>
      <c r="N15" s="52">
        <f t="shared" si="0"/>
        <v>0.11271737799999998</v>
      </c>
      <c r="O15" s="52">
        <f t="shared" si="0"/>
        <v>0.11271737799999998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kHtM8Gc9JxnNzn8Ah9lH5cUSkieRvxcgIQywYjSPQbiTaJGzFtjgcX4VdSah5d9uU//AdUE0o0KsEapWV6mig==" saltValue="VJt9LDw7Ioijnm5LvNHL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0.88390579999999996</v>
      </c>
      <c r="D2" s="53">
        <v>0.77429159999999997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8.4998599999999994E-2</v>
      </c>
      <c r="D3" s="53">
        <v>7.6000499999999999E-2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2.7304200000000001E-2</v>
      </c>
      <c r="D4" s="53">
        <v>0.1347344</v>
      </c>
      <c r="E4" s="53">
        <v>0.97345519999999996</v>
      </c>
      <c r="F4" s="53">
        <v>0.70850279999999999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3.7914000000000003E-3</v>
      </c>
      <c r="D5" s="52">
        <f t="shared" si="0"/>
        <v>1.4973499999999973E-2</v>
      </c>
      <c r="E5" s="52">
        <f>1-SUM(E2:E4)</f>
        <v>2.6544800000000035E-2</v>
      </c>
      <c r="F5" s="52">
        <f>1-SUM(F2:F4)</f>
        <v>0.29149720000000001</v>
      </c>
      <c r="G5" s="52">
        <f>1-SUM(G2:G4)</f>
        <v>1</v>
      </c>
    </row>
  </sheetData>
  <sheetProtection algorithmName="SHA-512" hashValue="bkG0GkBqM9uIVjdZtOlh0HAAuc6ytYT9iOldNT9EARTsm06IaThQmrA5WMh9A7nNewDv2lq8J34qLpaETvtqEg==" saltValue="2ZDIdmo9xIy5hkTi7X841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IRcSsiKv1wagEs5Vxha1p/NbwDuHlrmeT3TRqXV6x/rK7X5Xnrzam9WYtrmHurCoKLA3jRyLUfKQ9x5g+XCmA==" saltValue="EdxXspafs65c/5K9F9W+e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2099.30193826696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0.36021000000000003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0.72526999999999997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1.6066930992886919E-2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95575.509439999994</v>
      </c>
      <c r="C22" s="107">
        <v>95066.594159999993</v>
      </c>
      <c r="D22" s="107">
        <v>94632.229330000002</v>
      </c>
      <c r="E22" s="107">
        <v>94009.431419999994</v>
      </c>
      <c r="F22" s="107">
        <v>93194.023319999993</v>
      </c>
      <c r="G22" s="107">
        <v>92146.770839999997</v>
      </c>
      <c r="H22" s="107">
        <v>90660.450970000005</v>
      </c>
      <c r="I22" s="107">
        <v>88492.479059999998</v>
      </c>
      <c r="J22" s="107">
        <v>85482.7837</v>
      </c>
      <c r="K22" s="107">
        <v>81567.354089999993</v>
      </c>
      <c r="L22" s="107">
        <v>76717.922049999994</v>
      </c>
      <c r="M22" s="107">
        <v>70883.406140000006</v>
      </c>
      <c r="N22" s="107">
        <v>63495.244229999997</v>
      </c>
      <c r="O22" s="107">
        <v>54339.825230000002</v>
      </c>
    </row>
  </sheetData>
  <sheetProtection algorithmName="SHA-512" hashValue="t7S9JNuUwvMabfLLDSs5zcfKTer7HSqD23GPgSPM2AxI5LZ1EDf6XvKZpG5MeYOZIMlQPW2YvthbkGuCNaJAcg==" saltValue="cp3Jrau8BC+CgAotb7cFE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SAgShLIl0tXhYdqRDGxOXS5y8azU5NLQuVr6q2J/Seh+s+fZBJOr89FsHj8d0GzC08yMmv+aahehX4Dm94dyBg==" saltValue="RkOKui7aAiqt9XVz2taWw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3OsUyhN1wlP4DFwPnNPuON/Tg92KRdztW/64cMqC68RFSuERWmseBvAcEE9Do5qqRpDiiQ+XQxN9Gi6O5aT2Dw==" saltValue="HMLfWR5T86FNhTGMSO9kA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8.76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2.1291837256908908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0.2139553248340432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0.22197642864885933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0.55150520000000003</v>
      </c>
      <c r="C10" s="96">
        <v>0.95</v>
      </c>
      <c r="D10" s="56">
        <v>13.605540133497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13.605540133497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13.605540133497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13.605540133497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0.31330000000000002</v>
      </c>
      <c r="C14" s="96">
        <v>0.95</v>
      </c>
      <c r="D14" s="56">
        <v>2.8691959662033248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13.605540133497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0.44609280000000001</v>
      </c>
      <c r="C16" s="96">
        <v>0.95</v>
      </c>
      <c r="D16" s="56">
        <v>2.1562548532894295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0.27808333333333302</v>
      </c>
      <c r="C17" s="96">
        <v>0.95</v>
      </c>
      <c r="D17" s="56">
        <v>3.1738893431452713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0.55200000000000005</v>
      </c>
      <c r="C18" s="96">
        <v>0.95</v>
      </c>
      <c r="D18" s="56">
        <v>8.7599345870809486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0.77429159999999997</v>
      </c>
      <c r="C19" s="96">
        <v>0.95</v>
      </c>
      <c r="D19" s="56">
        <v>3.4360491508281288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7.2638561333206297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8.76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0.53746989999999994</v>
      </c>
      <c r="C23" s="96">
        <v>0.95</v>
      </c>
      <c r="D23" s="56">
        <v>4.5021845672301692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0.85640179061796795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0.13600000000000001</v>
      </c>
      <c r="C26" s="96">
        <v>0.95</v>
      </c>
      <c r="D26" s="56">
        <v>2.5391114745162171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8.8360724993186164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0.48293360000000002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0.1904276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57.448392612859095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7.2099999999999997E-2</v>
      </c>
      <c r="C31" s="96">
        <v>0.95</v>
      </c>
      <c r="D31" s="56">
        <v>105.77938402834559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0.63600000000000001</v>
      </c>
      <c r="C32" s="96">
        <v>0.95</v>
      </c>
      <c r="D32" s="56">
        <v>0.71514841351074721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0.3759924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0.62608180000000002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1.1372200000000001E-2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0.33177259999999997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0.316</v>
      </c>
      <c r="C38" s="96">
        <v>0.95</v>
      </c>
      <c r="D38" s="56">
        <v>1.7012046879258655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5.8497136845734818</v>
      </c>
      <c r="E39" s="56" t="s">
        <v>212</v>
      </c>
      <c r="F39" s="96">
        <v>1</v>
      </c>
      <c r="G39" s="96">
        <v>1</v>
      </c>
    </row>
  </sheetData>
  <sheetProtection algorithmName="SHA-512" hashValue="fOtVgMzdDIeqSpn+c//8SOM34JvJoEWaK5w9c3Rh5Xu6imwODB2V7plxZiGknqtqh7WH4/StzFa+ZDxPPgSDPw==" saltValue="nYSKwm36cBWPvDwmiary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QDCKZNI4q/cUqnOicAd9uVTCFEuVEanSvTySE8u2R+zGo/LXyRVnIomT1n8kRM2pTDIzVqaS4VkEZwUFcDYRg==" saltValue="kR5KfsYQ4fD3v6Wd/inQE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hDNpbu4Cj9mcdTaBrz2gmuo4Me6a9h/94ESsNbG+gBk3phvjab8Lc1j1tPiX6PpLIWRttnidfU/kN4JW1j2Spg==" saltValue="Gdx2E7mo31LnJ3sWTT+Fo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3.665999999999999</v>
      </c>
      <c r="C2" s="21">
        <f>'Entradas de población-año base'!C52</f>
        <v>3.665999999999999</v>
      </c>
      <c r="D2" s="21">
        <f>'Entradas de población-año base'!C53</f>
        <v>5.98</v>
      </c>
      <c r="E2" s="21">
        <f>'Entradas de población-año base'!C54</f>
        <v>6.0839999999999996</v>
      </c>
      <c r="F2" s="21">
        <f>'Entradas de población-año base'!C55</f>
        <v>2.5393333333333339</v>
      </c>
    </row>
    <row r="3" spans="1:6" ht="15.75" customHeight="1" x14ac:dyDescent="0.25">
      <c r="A3" s="3" t="s">
        <v>6</v>
      </c>
      <c r="B3" s="21">
        <f>frac_mam_1month * 2.6</f>
        <v>6.893146E-2</v>
      </c>
      <c r="C3" s="21">
        <f>frac_mam_1_5months * 2.6</f>
        <v>6.893146E-2</v>
      </c>
      <c r="D3" s="21">
        <f>frac_mam_6_11months * 2.6</f>
        <v>9.5631380000000016E-2</v>
      </c>
      <c r="E3" s="21">
        <f>frac_mam_12_23months * 2.6</f>
        <v>8.4949280000000002E-2</v>
      </c>
      <c r="F3" s="21">
        <f>frac_mam_24_59months * 2.6</f>
        <v>0.11534406000000001</v>
      </c>
    </row>
    <row r="4" spans="1:6" ht="15.75" customHeight="1" x14ac:dyDescent="0.25">
      <c r="A4" s="3" t="s">
        <v>236</v>
      </c>
      <c r="B4" s="21">
        <f>frac_sam_1month * 2.6</f>
        <v>1.7254380000000003E-2</v>
      </c>
      <c r="C4" s="21">
        <f>frac_sam_1_5months * 2.6</f>
        <v>1.7254380000000003E-2</v>
      </c>
      <c r="D4" s="21">
        <f>frac_sam_6_11months * 2.6</f>
        <v>1.4667120000000001E-2</v>
      </c>
      <c r="E4" s="21">
        <f>frac_sam_12_23months * 2.6</f>
        <v>1.6521439999999998E-2</v>
      </c>
      <c r="F4" s="21">
        <f>frac_sam_24_59months * 2.6</f>
        <v>1.4196780000000001E-2</v>
      </c>
    </row>
  </sheetData>
  <sheetProtection algorithmName="SHA-512" hashValue="w2qizOqZGwdPI4+oYLzSR2gUDtqB2PkUc41Hig6PHG0vOCDa4rfXj8jvgX33ryE7RJEJZPgBmx+ptGuSAb5/jw==" saltValue="5kRHLsxF9Qd+J4WTt1VW/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0.36099999999999999</v>
      </c>
      <c r="F2" s="60">
        <f>food_insecure</f>
        <v>0.36099999999999999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0.36099999999999999</v>
      </c>
      <c r="F5" s="60">
        <f>food_insecure</f>
        <v>0.36099999999999999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7.9985454545454526E-2</v>
      </c>
      <c r="D7" s="60">
        <f>diarrhoea_1_5mo*frac_diarrhea_severe</f>
        <v>7.9985454545454526E-2</v>
      </c>
      <c r="E7" s="60">
        <f>diarrhoea_6_11mo*frac_diarrhea_severe</f>
        <v>0.1304727272727273</v>
      </c>
      <c r="F7" s="60">
        <f>diarrhoea_12_23mo*frac_diarrhea_severe</f>
        <v>0.13274181818181818</v>
      </c>
      <c r="G7" s="60">
        <f>diarrhoea_24_59mo*frac_diarrhea_severe</f>
        <v>5.5403636363636377E-2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0.36099999999999999</v>
      </c>
      <c r="F8" s="60">
        <f>food_insecure</f>
        <v>0.36099999999999999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0.36099999999999999</v>
      </c>
      <c r="F9" s="60">
        <f>food_insecure</f>
        <v>0.36099999999999999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7.9985454545454526E-2</v>
      </c>
      <c r="D12" s="60">
        <f>diarrhoea_1_5mo*frac_diarrhea_severe</f>
        <v>7.9985454545454526E-2</v>
      </c>
      <c r="E12" s="60">
        <f>diarrhoea_6_11mo*frac_diarrhea_severe</f>
        <v>0.1304727272727273</v>
      </c>
      <c r="F12" s="60">
        <f>diarrhoea_12_23mo*frac_diarrhea_severe</f>
        <v>0.13274181818181818</v>
      </c>
      <c r="G12" s="60">
        <f>diarrhoea_24_59mo*frac_diarrhea_severe</f>
        <v>5.5403636363636377E-2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0.36099999999999999</v>
      </c>
      <c r="I15" s="60">
        <f t="shared" si="0"/>
        <v>0.36099999999999999</v>
      </c>
      <c r="J15" s="60">
        <f t="shared" si="0"/>
        <v>0.36099999999999999</v>
      </c>
      <c r="K15" s="60">
        <f t="shared" si="0"/>
        <v>0.36099999999999999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0.36099999999999999</v>
      </c>
      <c r="I16" s="60">
        <f t="shared" si="0"/>
        <v>0.36099999999999999</v>
      </c>
      <c r="J16" s="60">
        <f t="shared" si="0"/>
        <v>0.36099999999999999</v>
      </c>
      <c r="K16" s="60">
        <f t="shared" si="0"/>
        <v>0.36099999999999999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0.21</v>
      </c>
      <c r="I19" s="60">
        <f>frac_malaria_risk</f>
        <v>0.21</v>
      </c>
      <c r="J19" s="60">
        <f>frac_malaria_risk</f>
        <v>0.21</v>
      </c>
      <c r="K19" s="60">
        <f>frac_malaria_risk</f>
        <v>0.21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0.12707209564311001</v>
      </c>
      <c r="M24" s="60">
        <f>famplan_unmet_need</f>
        <v>0.12707209564311001</v>
      </c>
      <c r="N24" s="60">
        <f>famplan_unmet_need</f>
        <v>0.12707209564311001</v>
      </c>
      <c r="O24" s="60">
        <f>famplan_unmet_need</f>
        <v>0.12707209564311001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0.38133714899725202</v>
      </c>
      <c r="M25" s="60">
        <f>(1-food_insecure)*(0.49)+food_insecure*(0.7)</f>
        <v>0.56580999999999992</v>
      </c>
      <c r="N25" s="60">
        <f>(1-food_insecure)*(0.49)+food_insecure*(0.7)</f>
        <v>0.56580999999999992</v>
      </c>
      <c r="O25" s="60">
        <f>(1-food_insecure)*(0.49)+food_insecure*(0.7)</f>
        <v>0.56580999999999992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0.16343020671310801</v>
      </c>
      <c r="M26" s="60">
        <f>(1-food_insecure)*(0.21)+food_insecure*(0.3)</f>
        <v>0.24248999999999998</v>
      </c>
      <c r="N26" s="60">
        <f>(1-food_insecure)*(0.21)+food_insecure*(0.3)</f>
        <v>0.24248999999999998</v>
      </c>
      <c r="O26" s="60">
        <f>(1-food_insecure)*(0.21)+food_insecure*(0.3)</f>
        <v>0.24248999999999998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0.12919943348964003</v>
      </c>
      <c r="M27" s="60">
        <f>(1-food_insecure)*(0.3)</f>
        <v>0.19170000000000001</v>
      </c>
      <c r="N27" s="60">
        <f>(1-food_insecure)*(0.3)</f>
        <v>0.19170000000000001</v>
      </c>
      <c r="O27" s="60">
        <f>(1-food_insecure)*(0.3)</f>
        <v>0.19170000000000001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0.21</v>
      </c>
      <c r="D34" s="60">
        <f t="shared" si="4"/>
        <v>0.21</v>
      </c>
      <c r="E34" s="60">
        <f t="shared" si="4"/>
        <v>0.21</v>
      </c>
      <c r="F34" s="60">
        <f t="shared" si="4"/>
        <v>0.21</v>
      </c>
      <c r="G34" s="60">
        <f t="shared" si="4"/>
        <v>0.21</v>
      </c>
      <c r="H34" s="60">
        <f t="shared" si="4"/>
        <v>0.21</v>
      </c>
      <c r="I34" s="60">
        <f t="shared" si="4"/>
        <v>0.21</v>
      </c>
      <c r="J34" s="60">
        <f t="shared" si="4"/>
        <v>0.21</v>
      </c>
      <c r="K34" s="60">
        <f t="shared" si="4"/>
        <v>0.21</v>
      </c>
      <c r="L34" s="60">
        <f t="shared" si="4"/>
        <v>0.21</v>
      </c>
      <c r="M34" s="60">
        <f t="shared" si="4"/>
        <v>0.21</v>
      </c>
      <c r="N34" s="60">
        <f t="shared" si="4"/>
        <v>0.21</v>
      </c>
      <c r="O34" s="60">
        <f t="shared" si="4"/>
        <v>0.21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r2aYq3EQ2k2gXms3djz9o6pyG0n7PVODhavNXoFR1jsY+hHQpInFvfoE/ygwTYAXh5i1Ww41dl2O38n4iBoWw==" saltValue="JMSNgktfU56DZX2wuNsjh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srDZqQ4YIEPwgIrapqB9sEsW3rvPjnhg6xcPK+Q8MbUTZPotlLaSm4K3uSx3cKholel4Bt+S9z3Z1gdpRxl3jA==" saltValue="O+/Fug7IWM9h7OY7e/qlp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Ul2ln28LQeXeM+a5ilGFPjBAOadxI6rD68rpYPcIneCx7OljwIKf8caHpK2wrPJF5uS0zDVO5jAxmu2aGyfwg==" saltValue="8iVDoQmBEeA8sE8CpzKI7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vFxwvLM+0JadOhwp9SjvhnGoAfJ/DaGCPfqGgXoNU+3c24xsqT7dqJvx3dQ8wvGaa7wMC+OZjkTlTvr5ZVWvw==" saltValue="OnXSbCKSle8hwQdG+8/O+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zOo5IxCbavhTxgbvRjuOEnNFfvckcEvwYgOmlJ+uyUH33a94NcLyWlre/1VRUprGpDYm8vw4KVnf17RWn/o6Hg==" saltValue="sPNjE49EESiBPfBBr3quA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/BE0fhcClW5f6C8OFRKt8+dakbqgzd6BbLXpeGFo484+cSTPUenhrEwio6wuEO28UyG9TqSZW9V6K2fhNWnzgQ==" saltValue="qCySH90tGm3/s0gEDTA2r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B1n3/MlU/Tm1Tl4R7GYIRLqCkJ6L+1iw2gtgDwDEBM0rbozSKafy9U9nFLLMElcYZN6ko50OqP+YagDrhz9vA==" saltValue="WLa8yNd0etmSsdsI2FB4z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RhQ5JFagBhZNYptbyNkjbBXNqfNxR/Ctdoc/z7LjDOrqInTE9plIe+hI1WR6ri5Zk2XnhWE7prxVc6g2Gk5k5Q==" saltValue="dDUh2MPSnJCcubLPa26d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7HsD3+O/+MJSVKl/vWyP+kGX2RMdSwabO/cgE3DKdr6wCx9DR27QM8K8hCE887zn18XyVF+PWyb/GoBnk0VfOw==" saltValue="vH0iPjND+1zt+jSazq3f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bMqa3bbOHaTmLbPmnSN/fPmAX34mxPY+TNeFzTbljIWUBLvhXgUWq9zvmscGayU5ebcKSyT094S4Nkx7YVHdSg==" saltValue="1BVSMDFTLnDdX+/Kea8/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sdIzwpXDFJwjqMyMECVHIzk6C+uk9WiV4myNI5Fr7yPmvjOwv23r3dv5Zqfi7LhDbaG0JyMzggD0bSzoGty0A==" saltValue="m0rzulxyatZ7B+PEIf8x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ns848mFVrStUuPsiUgh9CJ3lW/ci5zrDvMFwqRo307BxwnrYmoYqMO6oclQs4+0T2unkxwYWHG9SNn2wC4NZA==" saltValue="3WrtKZN2lvBtdYjqt34r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3lY7wkdKuQf3nIn7R0Tx2xG1HcylSObSTDKqD+I7yjzmf6h4Y3OmrqhMLiTDjZelNqnvmFclJu6ift4WdfClA==" saltValue="wsyT4eHAszHGvryP6SNma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d/1eqFCoEbYkjQPlQr24pNmEuIX/vntgtgsRPzldMKh9H8t0gXeMo/B3TKb14/nFBDERGcQbYpKfkVcZUH5woQ==" saltValue="Wg5CsO+6CrDEjdd5Fwvd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Jb+s5cKFI6oMCZU/dWpXUnPsD5yiOSXKLPQ4NC5u+vqS087eogG0jFYGsslg4GFjEns/MpFuggwo6cUlAwlV7Q==" saltValue="3uxkKnmNlUa306itxqV1d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