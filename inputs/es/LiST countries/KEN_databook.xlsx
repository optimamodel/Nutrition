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29676FC-7E81-4127-A418-00280688C51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A2" i="2"/>
  <c r="A40" i="2" s="1"/>
  <c r="C33" i="1"/>
  <c r="C20" i="1"/>
  <c r="I2" i="2" l="1"/>
  <c r="I6" i="2"/>
  <c r="I10" i="2"/>
  <c r="A15" i="2"/>
  <c r="A23" i="2"/>
  <c r="A16" i="2"/>
  <c r="A24" i="2"/>
  <c r="A32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<sst xmlns="http://schemas.openxmlformats.org/spreadsheetml/2006/main" count="2101" uniqueCount="341">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</sst>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7196438.375</v>
      </c>
    </row>
    <row r="8" spans="1:3" ht="15" customHeight="1" x14ac:dyDescent="0.25">
      <c r="B8" s="5" t="s">
        <v>44</v>
      </c>
      <c r="C8" s="44">
        <v>0.36799999999999999</v>
      </c>
    </row>
    <row r="9" spans="1:3" ht="15" customHeight="1" x14ac:dyDescent="0.25">
      <c r="B9" s="5" t="s">
        <v>43</v>
      </c>
      <c r="C9" s="45">
        <v>0.21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0.1066</v>
      </c>
    </row>
    <row r="24" spans="1:3" ht="15" customHeight="1" x14ac:dyDescent="0.25">
      <c r="B24" s="15" t="s">
        <v>46</v>
      </c>
      <c r="C24" s="45">
        <v>0.50460000000000005</v>
      </c>
    </row>
    <row r="25" spans="1:3" ht="15" customHeight="1" x14ac:dyDescent="0.25">
      <c r="B25" s="15" t="s">
        <v>47</v>
      </c>
      <c r="C25" s="45">
        <v>0.30659999999999998</v>
      </c>
    </row>
    <row r="26" spans="1:3" ht="15" customHeight="1" x14ac:dyDescent="0.25">
      <c r="B26" s="15" t="s">
        <v>48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0.30343875405119197</v>
      </c>
    </row>
    <row r="30" spans="1:3" ht="14.25" customHeight="1" x14ac:dyDescent="0.25">
      <c r="B30" s="25" t="s">
        <v>63</v>
      </c>
      <c r="C30" s="99">
        <v>4.7279900721229402E-2</v>
      </c>
    </row>
    <row r="31" spans="1:3" ht="14.25" customHeight="1" x14ac:dyDescent="0.25">
      <c r="B31" s="25" t="s">
        <v>10</v>
      </c>
      <c r="C31" s="99">
        <v>7.19970607137842E-2</v>
      </c>
    </row>
    <row r="32" spans="1:3" ht="14.25" customHeight="1" x14ac:dyDescent="0.25">
      <c r="B32" s="25" t="s">
        <v>11</v>
      </c>
      <c r="C32" s="99">
        <v>0.57728428451379499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18.424029999999998</v>
      </c>
    </row>
    <row r="38" spans="1:5" ht="15" customHeight="1" x14ac:dyDescent="0.25">
      <c r="B38" s="11" t="s">
        <v>35</v>
      </c>
      <c r="C38" s="43">
        <v>27.988019999999999</v>
      </c>
      <c r="D38" s="12"/>
      <c r="E38" s="13"/>
    </row>
    <row r="39" spans="1:5" ht="15" customHeight="1" x14ac:dyDescent="0.25">
      <c r="B39" s="11" t="s">
        <v>61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7.4561999999999996E-3</v>
      </c>
      <c r="D45" s="12"/>
    </row>
    <row r="46" spans="1:5" ht="15.75" customHeight="1" x14ac:dyDescent="0.25">
      <c r="B46" s="11" t="s">
        <v>51</v>
      </c>
      <c r="C46" s="45">
        <v>8.0115700000000012E-2</v>
      </c>
      <c r="D46" s="12"/>
    </row>
    <row r="47" spans="1:5" ht="15.75" customHeight="1" x14ac:dyDescent="0.25">
      <c r="B47" s="11" t="s">
        <v>59</v>
      </c>
      <c r="C47" s="45">
        <v>7.3910099999999992E-2</v>
      </c>
      <c r="D47" s="12"/>
      <c r="E47" s="13"/>
    </row>
    <row r="48" spans="1:5" ht="15" customHeight="1" x14ac:dyDescent="0.25">
      <c r="B48" s="11" t="s">
        <v>58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0.43021899999999991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5knFV2/iB6pbl0JHEU5ZEcOmWfyh2+/4mmHUFjAfnCwxVrssbiVFC4/ph+N/VMPgCkFW93QT/ncP0KB3k8sS3A==" saltValue="yiaT59d898xtPaivuJua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NVvUy/bsIhSjz0ulI2tTYlP6Xt+KzAixwXCnP5Ckdn9FWBr7drDmMDHXRpk/hGKh1rthS+bpYe9m1Pis5uIKg==" saltValue="KhkIcTppkkpZjE0NNBHA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9.7482000000000072E-3</v>
      </c>
    </row>
    <row r="4" spans="1:8" ht="15.75" customHeight="1" x14ac:dyDescent="0.25">
      <c r="B4" s="19" t="s">
        <v>97</v>
      </c>
      <c r="C4" s="101">
        <v>5.9363900000000122E-2</v>
      </c>
    </row>
    <row r="5" spans="1:8" ht="15.75" customHeight="1" x14ac:dyDescent="0.25">
      <c r="B5" s="19" t="s">
        <v>95</v>
      </c>
      <c r="C5" s="101">
        <v>9.016319999999993E-2</v>
      </c>
    </row>
    <row r="6" spans="1:8" ht="15.75" customHeight="1" x14ac:dyDescent="0.25">
      <c r="B6" s="19" t="s">
        <v>91</v>
      </c>
      <c r="C6" s="101">
        <v>0.25618139999999923</v>
      </c>
    </row>
    <row r="7" spans="1:8" ht="15.75" customHeight="1" x14ac:dyDescent="0.25">
      <c r="B7" s="19" t="s">
        <v>96</v>
      </c>
      <c r="C7" s="101">
        <v>0.39435000000000081</v>
      </c>
    </row>
    <row r="8" spans="1:8" ht="15.75" customHeight="1" x14ac:dyDescent="0.25">
      <c r="B8" s="19" t="s">
        <v>98</v>
      </c>
      <c r="C8" s="101">
        <v>1.5295E-3</v>
      </c>
    </row>
    <row r="9" spans="1:8" ht="15.75" customHeight="1" x14ac:dyDescent="0.25">
      <c r="B9" s="19" t="s">
        <v>92</v>
      </c>
      <c r="C9" s="101">
        <v>6.629260000000009E-2</v>
      </c>
    </row>
    <row r="10" spans="1:8" ht="15.75" customHeight="1" x14ac:dyDescent="0.25">
      <c r="B10" s="19" t="s">
        <v>94</v>
      </c>
      <c r="C10" s="101">
        <v>0.1223712000000001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102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2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90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3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101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79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99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8.4525216000000014E-2</v>
      </c>
    </row>
    <row r="27" spans="1:8" ht="15.75" customHeight="1" x14ac:dyDescent="0.25">
      <c r="B27" s="19" t="s">
        <v>89</v>
      </c>
      <c r="C27" s="101">
        <v>7.9220290000000006E-3</v>
      </c>
    </row>
    <row r="28" spans="1:8" ht="15.75" customHeight="1" x14ac:dyDescent="0.25">
      <c r="B28" s="19" t="s">
        <v>103</v>
      </c>
      <c r="C28" s="101">
        <v>0.14742909900000001</v>
      </c>
    </row>
    <row r="29" spans="1:8" ht="15.75" customHeight="1" x14ac:dyDescent="0.25">
      <c r="B29" s="19" t="s">
        <v>86</v>
      </c>
      <c r="C29" s="101">
        <v>0.16178519199999999</v>
      </c>
    </row>
    <row r="30" spans="1:8" ht="15.75" customHeight="1" x14ac:dyDescent="0.25">
      <c r="B30" s="19" t="s">
        <v>4</v>
      </c>
      <c r="C30" s="101">
        <v>9.954296E-2</v>
      </c>
    </row>
    <row r="31" spans="1:8" ht="15.75" customHeight="1" x14ac:dyDescent="0.25">
      <c r="B31" s="19" t="s">
        <v>80</v>
      </c>
      <c r="C31" s="101">
        <v>0.105429782</v>
      </c>
    </row>
    <row r="32" spans="1:8" ht="15.75" customHeight="1" x14ac:dyDescent="0.25">
      <c r="B32" s="19" t="s">
        <v>85</v>
      </c>
      <c r="C32" s="101">
        <v>1.8078941000000001E-2</v>
      </c>
    </row>
    <row r="33" spans="2:3" ht="15.75" customHeight="1" x14ac:dyDescent="0.25">
      <c r="B33" s="19" t="s">
        <v>100</v>
      </c>
      <c r="C33" s="101">
        <v>8.1120976999999997E-2</v>
      </c>
    </row>
    <row r="34" spans="2:3" ht="15.75" customHeight="1" x14ac:dyDescent="0.25">
      <c r="B34" s="19" t="s">
        <v>87</v>
      </c>
      <c r="C34" s="101">
        <v>0.29416580399999998</v>
      </c>
    </row>
    <row r="35" spans="2:3" ht="15.75" customHeight="1" x14ac:dyDescent="0.25">
      <c r="B35" s="27" t="s">
        <v>60</v>
      </c>
      <c r="C35" s="48">
        <f>SUM(C26:C34)</f>
        <v>0.99999999999999978</v>
      </c>
    </row>
  </sheetData>
  <sheetProtection algorithmName="SHA-512" hashValue="v0nPbV0fT+eCaZQPaIUeP8gC9stdZWLixi0D7UfRii/t4EOqrQsj75LplYb2aoL+Mi5bjZsQ636jaKPRJXfzJA==" saltValue="Q+XRdilga77HE2LhdcfC/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110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106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107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119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2IY3Lh2+hzotmkcquJXrLCXp+pWZTihF0sModBkij3MDKHztg8094hY0zRqKC2xxH3x2BUAZNOXMNkFnmaCbg==" saltValue="fnmNNAO8OHQSCiK3F+72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125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dW1yaDcMkuetQFJLgaPsipj/8fAVnxQqOcCixI1EbdUI89hNBKA6csGoQXQWGZZnVp5ekVRuLIlhKmX/n45MCw==" saltValue="zLXioPTfO/NdtnnCKONj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H+WmfiLXVG+qKlRqzciIkAoj85d8XApuWU7knc5tBId+STa8cOSLXZDO1Rp5zTpwtRKLz8NBbXTIBZnl+VxrQ==" saltValue="1qtzu5uprRhZpazdEBud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nX4bvhvRGwQw8arc9MYGWrzonULa6CJj2jQS7QALlBuO4kD4jkGpSrtyM3x0GOrZsTotrzL6oYSFeVjV8BVGeQ==" saltValue="Ny2dw/8lS8dJ9N8YlWFmH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3k3Ng2lU3PiT28jtASaImuyY+Z+I2bFF8DCLdFaWouR7R2Oj1WNEY3RjtMOHfRfq3vnqBqvS0onJrG3fL7BcQ==" saltValue="do0x3X2z0z+PGGZNGLLT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4UiMVCPOKpJrNz9+6GfweG1GfiSeEZjTzMw4c+Uei9q/Tcoo0ogyT7//2eoj+Rul6bbI9zZ7nzlQIlGDJz5bCA==" saltValue="8Dmw45fMStYDUbOOTLBs3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0.78252415728429991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0.54840718692559942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0.55150520000000003</v>
      </c>
      <c r="C10" s="98">
        <v>0.95</v>
      </c>
      <c r="D10" s="56">
        <v>13.605540133497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13.605540133497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13.605540133497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13.605540133497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0.55150520000000003</v>
      </c>
      <c r="C14" s="98">
        <v>0.95</v>
      </c>
      <c r="D14" s="56">
        <v>13.605540133497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13.605540133497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0.44609280000000001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0.27808333333333302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0.55200000000000005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0.77429159999999997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0.53746989999999994</v>
      </c>
      <c r="C23" s="98">
        <v>0.95</v>
      </c>
      <c r="D23" s="56">
        <v>4.5021845672301692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0.85640179061796795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0.13600000000000001</v>
      </c>
      <c r="C26" s="98">
        <v>0.95</v>
      </c>
      <c r="D26" s="56">
        <v>2.2489712105010549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0.48293360000000002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0.1904276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7.2099999999999997E-2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0.86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0.3759924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0.62608180000000002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1.1372200000000001E-2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0.33177259999999997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0.316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G/g/sm2SsAarrNGO3UCm9r0X56h9OXmH4WRrCfnUMkU01iOgp9fhyeJn+mpGaGK6ZZIpxY4juPj30RXia5UzLw==" saltValue="4MvlLaFB75/Wljh5cKct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JXcyF4bxsaS3Kb35q/aYbdAcHap4Z+iAiDqIEjJ3PKTDc/sxC5K9FglHkaACTiR24sR3jiInZWi9CUu/FZ0xw==" saltValue="V9F1+L4NIKKtFqeHjVkL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NJm5hrHwJ7D2/1UqcP4+EaiwVL06aEHlHV65epc6ZQC94CIdoDI7Z6fH8W9ECzGMEBTR78SAFhCgWD1ZutX2cA==" saltValue="HHEsjAWPl5pGTIdJwz3c3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207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4cjuEva4b+TLeXUtp1JTGI2dIiXS6jAbkgGDG/FFFUj4irYAphBnYgZPHJVWaeuT5cYP0VqzAqiKyTWUVw+JoQ==" saltValue="GKfUn9wBmww7d0jhhIFd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sD3tVKQQCKLsQFDpY44kqT/AUddPtya7CSJw8v2GbnHxyN2vf88Sj/tOzt6gHHRXd2Ln0KqPtXI6ItRUHO9jg==" saltValue="RCFzKbJvc4biwiKUufcO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HiLTVEWOOynUjXSf+YO7drA4dKrF/BHxFH9ik6gYj/d7orw80jH8BFYvFbwRpDaf9d09DJeBXX9mfMzkOlj8A==" saltValue="2uolBNQN/EhvcWqOdtBD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rTvbsQOAfrY8/Tr3QmpO0XBX26k0fqtprKo+EqKq7W/H/rgo7N+rKu4nHbak/HizgF4q2hJhVskBfdPnw/zVw==" saltValue="BWXZ/m53kBTQd9gqKOML5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cfrIFoCfTLC5+dD+S0cBosA1/pVBem+ELJfKyyb7P9H9zciwGST15Zd16TWiAp9g1iyfuPErPbQIFL+Db7KyA==" saltValue="ufuGxarsseVJsRGiFWyfE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kgM1ybUi2yHc02W7tpOGqGbeUXO/AtHCriDugrgD6zJ5/RiW7j4rLjncj8/nBt8TRi+TIotmCwtHk2LLg3HrA==" saltValue="RcK1CFxyW+egkdmvY/Zy2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r1t4OnE1V2zQmkfUUxGMCLKNG7dizwsSB6J6BzCVhiZKOXmRlemugxOWQASi0YDj+fy5jTtHEXKfF+/huehVw==" saltValue="nDjDktmvi6yjQRGX2C1fL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V1TpGAL6HzUnnFpTuDFK9YH9fjmhx8mqyApKmnPT6tk2SZreWCifs+3qVkntUpsjP4nSUp+JkOAjz455XBEwg==" saltValue="YMECYd0i2eKc7bndgWTYH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qteiK83NkkVuWSYFa6P6pVGvBKdBtgCg2aMI9DPs5B+9zSg3155PCs7LsvMuO01JXkpOMO3NksA7xAI/7TCVw==" saltValue="ecZzgbSjHhkNyeCeoy1w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8h2xcsPKLnnR1dbVHS/pwFs1qtFHBhe+dGNUhoS6Ks4Tq+3kBV3MJ3Aa8Msjc3VL97wgCibiqQp8/cn0Jvpxg==" saltValue="+oE92PwOoKntjX76/WlN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H44bFzNAsaPnRSbkLYdNdXu7UOZ73zgPU1F0U7fiYkeei6g9r6VVN3AlX0hEeG8PeQfDSfK3IHbF8QQG51E1g==" saltValue="cipTPyU+7hxRRQGbJoiJ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MRI74pc3u0g+mxyqaa/R4nuphTWIHfpZq+v1M7KdUrvKdB9dhwnW2ovqMAZsyzy9JNuT5kV7BGdzCWj3Hi62A==" saltValue="ifvt7mLcx3gmVlaij0/5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LLqayM6bBKtXLJL5z5ABOsw11OyTCbYROPeRdqD2sMRfxPA2bcHLKSolgV9fxvBuVkHTxXOYC1SA8b2vImoVw==" saltValue="AoKzVcKoVIPVHgT0Zsia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6/GMPldRRvou6RvmpxLJEjByGmwvTMqgpgpAIlJ/Lt13aNext2rgEFu2L8E32fbtbRhARXUggTDha8zq7VZgQ==" saltValue="WQUZ780cdNgMzMwV2O7u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0.10944738360384243</v>
      </c>
      <c r="G18" s="90">
        <f>MIN(MAX(1-0.89/(1-frac_sam_12_23months+(frac_sam_12_23months*0.89)),0),1)</f>
        <v>0.10937746910086199</v>
      </c>
      <c r="H18" s="90">
        <f>MIN(MAX(1-0.89/(1-frac_sam_24_59months+(frac_sam_24_59months*0.89)),0),1)</f>
        <v>0.10946511536063441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0.10638448255249178</v>
      </c>
      <c r="G20" s="90">
        <f>MIN(MAX(1-0.89/(1-frac_mam_12_23months+(frac_mam_12_23months*0.89)),0),1)</f>
        <v>0.10678979537891009</v>
      </c>
      <c r="H20" s="90">
        <f>MIN(MAX(1-0.89/(1-frac_mam_24_59months+(frac_mam_24_59months*0.89)),0),1)</f>
        <v>0.10563555427235138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9.944148969331601E-3</v>
      </c>
      <c r="G73" s="90">
        <f>MIN(MAX(1-0.99/(1-frac_sam_12_23months+(frac_sam_12_23months*0.99)),0),1)</f>
        <v>9.9370874422844979E-3</v>
      </c>
      <c r="H73" s="90">
        <f>MIN(MAX(1-0.99/(1-frac_sam_24_59months+(frac_sam_24_59months*0.99)),0),1)</f>
        <v>9.9459400781661822E-3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9.6357311471804152E-3</v>
      </c>
      <c r="G75" s="90">
        <f>MIN(MAX(1-0.99/(1-frac_mam_12_23months+(frac_mam_12_23months*0.99)),0),1)</f>
        <v>9.6764335617847141E-3</v>
      </c>
      <c r="H75" s="90">
        <f>MIN(MAX(1-0.99/(1-frac_mam_24_59months+(frac_mam_24_59months*0.99)),0),1)</f>
        <v>9.5606103831449296E-3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0.19909638850937172</v>
      </c>
      <c r="G128" s="90">
        <f>MIN(MAX(1-0.8/(1-frac_sam_12_23months+(frac_sam_12_23months*0.8)),0),1)</f>
        <v>0.19898200224701568</v>
      </c>
      <c r="H128" s="90">
        <f>MIN(MAX(1-0.8/(1-frac_sam_24_59months+(frac_sam_24_59months*0.8)),0),1)</f>
        <v>0.19912539688091779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0.19407137952635445</v>
      </c>
      <c r="G130" s="90">
        <f>MIN(MAX(1-0.8/(1-frac_mam_12_23months+(frac_mam_12_23months*0.8)),0),1)</f>
        <v>0.19473796692917666</v>
      </c>
      <c r="H130" s="90">
        <f>MIN(MAX(1-0.8/(1-frac_mam_24_59months+(frac_mam_24_59months*0.8)),0),1)</f>
        <v>0.19283836150303901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4vKMUpMDNLkRPx+ScetgJVyjH6ucjEumavoEp/R/g8bqlzhSz33KYKgI8h3/e00noHc1PaWwQ1w6WJmFnImcg==" saltValue="mvk/K1DoCxESKMeHTJ5z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NperCMNw04C5m9j69aejzZ9M0W+q/JzCGiK7O9XJRWYpZG69vDA/WxtVlnX4u4BHQpFD6ZlVYRzRzE01ISbNg==" saltValue="OO1xdq42kVxP6JwQsPvy2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2024-08-06T07:49:04Z</dcterms:modified>
</cp:coreProperties>
</file>