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500464A-D5E8-43A1-A8A3-CDD8AA87296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2" i="2"/>
  <c r="A23" i="2"/>
  <c r="I13" i="2"/>
  <c r="H13" i="2"/>
  <c r="G13" i="2"/>
  <c r="H12" i="2"/>
  <c r="G12" i="2"/>
  <c r="I12" i="2" s="1"/>
  <c r="H11" i="2"/>
  <c r="I11" i="2" s="1"/>
  <c r="G11" i="2"/>
  <c r="H10" i="2"/>
  <c r="G10" i="2"/>
  <c r="I9" i="2"/>
  <c r="H9" i="2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33" i="2"/>
  <c r="A16" i="2"/>
  <c r="A25" i="2"/>
  <c r="A34" i="2"/>
  <c r="A17" i="2"/>
  <c r="A26" i="2"/>
  <c r="A3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7" i="2"/>
  <c r="A36" i="2"/>
  <c r="I6" i="2"/>
  <c r="A19" i="2"/>
  <c r="A28" i="2"/>
  <c r="A37" i="2"/>
  <c r="A24" i="2"/>
  <c r="A20" i="2"/>
  <c r="A29" i="2"/>
  <c r="I10" i="2"/>
  <c r="A21" i="2"/>
  <c r="A31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<sst xmlns="http://schemas.openxmlformats.org/spreadsheetml/2006/main" count="2101" uniqueCount="341">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</sst>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328680.9375</v>
      </c>
    </row>
    <row r="8" spans="1:3" ht="15" customHeight="1" x14ac:dyDescent="0.25">
      <c r="B8" s="5" t="s">
        <v>44</v>
      </c>
      <c r="C8" s="44">
        <v>5.5E-2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0.92928009033203096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5.9700000000000003E-2</v>
      </c>
    </row>
    <row r="24" spans="1:3" ht="15" customHeight="1" x14ac:dyDescent="0.25">
      <c r="B24" s="15" t="s">
        <v>46</v>
      </c>
      <c r="C24" s="45">
        <v>0.495</v>
      </c>
    </row>
    <row r="25" spans="1:3" ht="15" customHeight="1" x14ac:dyDescent="0.25">
      <c r="B25" s="15" t="s">
        <v>47</v>
      </c>
      <c r="C25" s="45">
        <v>0.42230000000000001</v>
      </c>
    </row>
    <row r="26" spans="1:3" ht="15" customHeight="1" x14ac:dyDescent="0.25">
      <c r="B26" s="15" t="s">
        <v>48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0.51101988116637098</v>
      </c>
    </row>
    <row r="30" spans="1:3" ht="14.25" customHeight="1" x14ac:dyDescent="0.25">
      <c r="B30" s="25" t="s">
        <v>63</v>
      </c>
      <c r="C30" s="99">
        <v>3.6928466503456402E-2</v>
      </c>
    </row>
    <row r="31" spans="1:3" ht="14.25" customHeight="1" x14ac:dyDescent="0.25">
      <c r="B31" s="25" t="s">
        <v>10</v>
      </c>
      <c r="C31" s="99">
        <v>4.0966963582223501E-2</v>
      </c>
    </row>
    <row r="32" spans="1:3" ht="14.25" customHeight="1" x14ac:dyDescent="0.25">
      <c r="B32" s="25" t="s">
        <v>11</v>
      </c>
      <c r="C32" s="99">
        <v>0.41108468874794901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3.5533999999999999</v>
      </c>
    </row>
    <row r="38" spans="1:5" ht="15" customHeight="1" x14ac:dyDescent="0.25">
      <c r="B38" s="11" t="s">
        <v>35</v>
      </c>
      <c r="C38" s="43">
        <v>4.7455299999999996</v>
      </c>
      <c r="D38" s="12"/>
      <c r="E38" s="13"/>
    </row>
    <row r="39" spans="1:5" ht="15" customHeight="1" x14ac:dyDescent="0.25">
      <c r="B39" s="11" t="s">
        <v>61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3.4918000000000002E-3</v>
      </c>
      <c r="D45" s="12"/>
    </row>
    <row r="46" spans="1:5" ht="15.75" customHeight="1" x14ac:dyDescent="0.25">
      <c r="B46" s="11" t="s">
        <v>51</v>
      </c>
      <c r="C46" s="45">
        <v>3.7518500000000003E-2</v>
      </c>
      <c r="D46" s="12"/>
    </row>
    <row r="47" spans="1:5" ht="15.75" customHeight="1" x14ac:dyDescent="0.25">
      <c r="B47" s="11" t="s">
        <v>59</v>
      </c>
      <c r="C47" s="45">
        <v>7.7681799999999995E-2</v>
      </c>
      <c r="D47" s="12"/>
      <c r="E47" s="13"/>
    </row>
    <row r="48" spans="1:5" ht="15" customHeight="1" x14ac:dyDescent="0.25">
      <c r="B48" s="11" t="s">
        <v>58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0.62314999999999998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+WieSbF3Mv61YYyk0ecccg4RhNCIz/ERp+HXf9AKH2rfYjPpU9MdAmI2xX/UYeHIGs3KzaT+uKXCL9Pi2I+upg==" saltValue="wL5VsTdZJ5lzIqt71Svb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SKM/9A4fk/vGMd7+9m+5UG3nJbEzGp9eTkylMCa6ZZ/CvolSnLXFuKwlRTHw/5k4zNXHDTuXQsCziplXhknvQ==" saltValue="O8hnguCNhQ3yTVxVtqyS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2.6376197362380321E-2</v>
      </c>
    </row>
    <row r="5" spans="1:8" ht="15.75" customHeight="1" x14ac:dyDescent="0.25">
      <c r="B5" s="19" t="s">
        <v>95</v>
      </c>
      <c r="C5" s="101">
        <v>1.9977998002200119E-2</v>
      </c>
    </row>
    <row r="6" spans="1:8" ht="15.75" customHeight="1" x14ac:dyDescent="0.25">
      <c r="B6" s="19" t="s">
        <v>91</v>
      </c>
      <c r="C6" s="101">
        <v>0.1411632858836713</v>
      </c>
    </row>
    <row r="7" spans="1:8" ht="15.75" customHeight="1" x14ac:dyDescent="0.25">
      <c r="B7" s="19" t="s">
        <v>96</v>
      </c>
      <c r="C7" s="101">
        <v>0.63213873678612653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0.1415473858452613</v>
      </c>
    </row>
    <row r="10" spans="1:8" ht="15.75" customHeight="1" x14ac:dyDescent="0.25">
      <c r="B10" s="19" t="s">
        <v>94</v>
      </c>
      <c r="C10" s="101">
        <v>3.8796396120360288E-2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102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2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99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7.6356962E-2</v>
      </c>
    </row>
    <row r="27" spans="1:8" ht="15.75" customHeight="1" x14ac:dyDescent="0.25">
      <c r="B27" s="19" t="s">
        <v>89</v>
      </c>
      <c r="C27" s="101">
        <v>4.6857983999999978E-2</v>
      </c>
    </row>
    <row r="28" spans="1:8" ht="15.75" customHeight="1" x14ac:dyDescent="0.25">
      <c r="B28" s="19" t="s">
        <v>103</v>
      </c>
      <c r="C28" s="101">
        <v>8.0995853000000007E-2</v>
      </c>
    </row>
    <row r="29" spans="1:8" ht="15.75" customHeight="1" x14ac:dyDescent="0.25">
      <c r="B29" s="19" t="s">
        <v>86</v>
      </c>
      <c r="C29" s="101">
        <v>0.17572802300000001</v>
      </c>
    </row>
    <row r="30" spans="1:8" ht="15.75" customHeight="1" x14ac:dyDescent="0.25">
      <c r="B30" s="19" t="s">
        <v>4</v>
      </c>
      <c r="C30" s="101">
        <v>0.102999484</v>
      </c>
    </row>
    <row r="31" spans="1:8" ht="15.75" customHeight="1" x14ac:dyDescent="0.25">
      <c r="B31" s="19" t="s">
        <v>80</v>
      </c>
      <c r="C31" s="101">
        <v>3.8216664999999997E-2</v>
      </c>
    </row>
    <row r="32" spans="1:8" ht="15.75" customHeight="1" x14ac:dyDescent="0.25">
      <c r="B32" s="19" t="s">
        <v>85</v>
      </c>
      <c r="C32" s="101">
        <v>0.17722406800000001</v>
      </c>
    </row>
    <row r="33" spans="2:3" ht="15.75" customHeight="1" x14ac:dyDescent="0.25">
      <c r="B33" s="19" t="s">
        <v>100</v>
      </c>
      <c r="C33" s="101">
        <v>0.162579839</v>
      </c>
    </row>
    <row r="34" spans="2:3" ht="15.75" customHeight="1" x14ac:dyDescent="0.25">
      <c r="B34" s="19" t="s">
        <v>87</v>
      </c>
      <c r="C34" s="101">
        <v>0.13904112199999999</v>
      </c>
    </row>
    <row r="35" spans="2:3" ht="15.75" customHeight="1" x14ac:dyDescent="0.25">
      <c r="B35" s="27" t="s">
        <v>60</v>
      </c>
      <c r="C35" s="48">
        <f>SUM(C26:C34)</f>
        <v>0.99999999999999989</v>
      </c>
    </row>
  </sheetData>
  <sheetProtection algorithmName="SHA-512" hashValue="J1LYN0VUwJT0KLUhowZ5kjIoFllVdj2BCvbB5gedia3Ts3hNQ82O1m9lM9DNb61Bh2fKzCx0+Yry+xhzDFUN6w==" saltValue="odv9SRFvrVp/b0lUn7qm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110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106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107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119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BMsK3ldxAxWs+nvb5t5Cny/VNcJ8cm3VbgKIAd01+/BN2JC0Fb0AmYAoZ8+LdHcOAAjnFleAwTicYfDbc7Ieg==" saltValue="t0nec1yUaHfFvAKXjkOD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125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o7+2nYR0QwFw8nuBg7q8uNGfTxPO3ouaVWDCXOIgDHu/wzAkSJ54e+CSTwtz+mfJ/k57+oTyK5m/zVJXE6i1iw==" saltValue="CbgFxjp6kBwYgPcDKowX7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luJO2wCYUMOkVV27VPSEOkh5jVmreT/s3Uh9q3HiNm1Rqz9g+t5oou0V2bpE+3ZKgU6CqK8epLqcGu/1rllxA==" saltValue="Oyqm4awRLwQmp71R80DP0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I5w7p+PVVeP0IeNoGInbeUI/Ekq3UA61fent/F+ghmprp/B1PjgeJlnONjWTemhszgaHI4Ti0yd5g4vQPqvyAQ==" saltValue="mZ6bobrz09flhTuNvQST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3cfgVk/cNcUf1unDRXw+mdr5W3eqwqpqe4rhy8GIQ3/6gdyUY39AHOCLBtWa5foFRrmLaGRI1RGVy3lYNX1QQ==" saltValue="J7w9TRLRede2vWM63WCB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8cL0D360A4fZ7nqeYSoCD9o7w8QXy6l+jbaySkNmsH2KoxfknNVXfk6UOJqhLeQe/gyVuPhBzB6FJCvJJ3Yskg==" saltValue="w9bJMxucBaJt1WP6/BwI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66.2077864022162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40.063438578113967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542.61982788724652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6.9000643786438447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13.195738021909881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13.195738021909881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13.195738021909881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13.195738021909881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13.195738021909881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13.195738021909881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0.90250382180522548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0.21961839999999999</v>
      </c>
      <c r="C18" s="98">
        <v>0.95</v>
      </c>
      <c r="D18" s="56">
        <v>12.47074045559749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0.21961839999999999</v>
      </c>
      <c r="C19" s="98">
        <v>0.95</v>
      </c>
      <c r="D19" s="56">
        <v>12.47074045559749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68.582775194044444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22.867873379757981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4.3940617735474108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0.71505740000000007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18.764182705510279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0.35967890000000002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0.85884820000000006</v>
      </c>
      <c r="C29" s="98">
        <v>0.95</v>
      </c>
      <c r="D29" s="56">
        <v>132.3139429353005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1.1924310040780739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1.956691543072911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0.9813012000000001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0.25723400000000002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4.8444399999999999E-2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0.94893539999999998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2.764629090051816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8TqZ0H4eWrfMTfAOne8OUtbRE28ObuI1H80OyMDVWTq6BlnbcvoG66HX+jXGmxpSTEMYan2c4u4/gPmVxRgw0A==" saltValue="7G2qsJSgtfx1T1B13P+C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REhTy2nz2u5swRPetzLnkNvnu2Tj7AdzQGY84lsIxF/U0Zpk8hJ3xxXE/3/JbEertL903sBBJpXCjHkiDvbpg==" saltValue="FqinFAscwpPcEpzEPCtx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JRh9QrgmD4I1rv6SCFaTljFWzEj6HgfxZXx7tal8u6QpB8nEUn4OKwtzB28dVW673mkLjkxUjG40OvU5kbO5Q==" saltValue="/wWWbJmcFWMqevOs1qy2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207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k/Nx2RiBTdlcfnsiqobIVl2PT+jj9wHiN0+5K0cHIGvo8bYDzoUMPGOLf+/xw7dfzY1QxZM8+a84C7KOLCFECA==" saltValue="K0eId+MkMeqmqowNdsQq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V2Ou8MWBquJIkRTifLfOko6jfmbxRGq9Ulx9+b+Twjb1T2o6eus4n43P0gBqNkEOxf5JNxs3mZO2hkuOdjHnw==" saltValue="QTw0AnDzRJjzLiyJYgLTo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0McFhgAdCVAcSpe3KGru33b9WnoGydRI9UMQlwSf4s7GRa2B1o0zOVg6GHW9E5j/UlINhyAYapW0q6BN8trjQ==" saltValue="vPa7oDXSw5coaK7OdWNg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fJ043Bi4UwMq19780LZ22ICSNEBtofgLco6sElMS37g1x8wYMiRx2tQAGXD4DHp13NU70rEj3z7p+gbNkPqrw==" saltValue="513q3TBVn++SecMj+MDN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KezloCTVN/mTUC0CVjNTwCdIKcN9x3Hh84zMtyYfln01JQAUEEv1PZc/kxKoi49SQI6TJjQKuuLSMYv/Amd0g==" saltValue="gLE3KACBSVjHNFpriekS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NNzKjmQkc9AvSBpGqDp2QqfDOAZCKt3Vmm6oP3omRpHUboRnuKBJVgDNG8hIRJw51RtyNssVhlCIOLQs6lP4g==" saltValue="BxTgrX7r5AkBsBnqR/xS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MSfF3uZAJWw8V4Y/Hk3N0HeCzrk7+fV8zF62+VXB5ay9ZnlnJzFKxHaJ9AlO3HD1gSmoz5k+EBJACvdPVWxsA==" saltValue="j/7jrwNoC0+qa0kBTzz2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DuwVG+jMeBsRMqMkFTIy1+v1LP2LEw/nkQ+8NgIXahJzdbUHbvLYfrfL9Ns/GKJC1E5YOHpD/UgKsCVoS+4Rw==" saltValue="ad9BhxCtTXp1Umzai1VVU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IEbFd++yzxCIFklQhJecDnzL+TQDlPHWD+0o/iLT6PQaFIUWvazpSoIx7ZtWm2ghXi5dKlsaXXAo86HQutgbg==" saltValue="97+RttRee7Lq6BRxhegD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RhPvdP6YVyLSkbNne1GsIxyk9yRTwp4ghF4xcbEVoA562ljcCO8lW4v0NdikD8eIn9oOZRwb9DKc10x73Ld+w==" saltValue="VQglRhQ/K+/wPxc0eZGI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Q8U0TosqhQD87LWmNWUpRoeM+8Jkb/81er8f3FNXhbLJcA4YojlcL+tFZFiOAGkMiR+HGtLVJ8992Q4FwUkeg==" saltValue="WbjoyolyMXrbQeqcSPDY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KNeQO5OK2Ljjy/VjAYwWDRJsiHEUITXsqkhuLgbOv9VErE+JgMIm53eyK8quxXsUshQomZ2RTmwCs6j5d5kBA==" saltValue="qyWR/qKFs8GQl3ZkQomr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Q6FiqoVtJkxeoeGbwP7AA29DH/KbeFOc2Mvuar2phBHhaJoM+/9JW2QIkFFG+IauHH6e7/f061dOOCQmHR8Ww==" saltValue="Z3ty9R/OQcikfU5MZFgR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DcrbI47ZqEe2NVjwOc+8cFfdzLe5IVw7L2NZc5ktxdVD+hkA5xTu+UHSC6rbc1mr9MDfTtYgOseEUe+l8jyhA==" saltValue="JlkrBjjgpW1V8kkiahiR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0.10867332084829695</v>
      </c>
      <c r="G18" s="90">
        <f>MIN(MAX(1-0.89/(1-frac_sam_12_23months+(frac_sam_12_23months*0.89)),0),1)</f>
        <v>0.10940195807125663</v>
      </c>
      <c r="H18" s="90">
        <f>MIN(MAX(1-0.89/(1-frac_sam_24_59months+(frac_sam_24_59months*0.89)),0),1)</f>
        <v>0.10960685581111484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0.10749743351360286</v>
      </c>
      <c r="G20" s="90">
        <f>MIN(MAX(1-0.89/(1-frac_mam_12_23months+(frac_mam_12_23months*0.89)),0),1)</f>
        <v>0.10971178699680439</v>
      </c>
      <c r="H20" s="90">
        <f>MIN(MAX(1-0.89/(1-frac_mam_24_59months+(frac_mam_24_59months*0.89)),0),1)</f>
        <v>0.10802050393868934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9.866022991303014E-3</v>
      </c>
      <c r="G73" s="90">
        <f>MIN(MAX(1-0.99/(1-frac_sam_12_23months+(frac_sam_12_23months*0.99)),0),1)</f>
        <v>9.9395607704267919E-3</v>
      </c>
      <c r="H73" s="90">
        <f>MIN(MAX(1-0.99/(1-frac_sam_24_59months+(frac_sam_24_59months*0.99)),0),1)</f>
        <v>9.9602598048286195E-3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9.7475767352903642E-3</v>
      </c>
      <c r="G75" s="90">
        <f>MIN(MAX(1-0.99/(1-frac_mam_12_23months+(frac_mam_12_23months*0.99)),0),1)</f>
        <v>9.9708634425110798E-3</v>
      </c>
      <c r="H75" s="90">
        <f>MIN(MAX(1-0.99/(1-frac_mam_24_59months+(frac_mam_24_59months*0.99)),0),1)</f>
        <v>9.8002301670355729E-3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0.19782913311319628</v>
      </c>
      <c r="G128" s="90">
        <f>MIN(MAX(1-0.8/(1-frac_sam_12_23months+(frac_sam_12_23months*0.8)),0),1)</f>
        <v>0.19902207002573569</v>
      </c>
      <c r="H128" s="90">
        <f>MIN(MAX(1-0.8/(1-frac_sam_24_59months+(frac_sam_24_59months*0.8)),0),1)</f>
        <v>0.19935724399547949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0.19590057246250536</v>
      </c>
      <c r="G130" s="90">
        <f>MIN(MAX(1-0.8/(1-frac_mam_12_23months+(frac_mam_12_23months*0.8)),0),1)</f>
        <v>0.19952884267679949</v>
      </c>
      <c r="H130" s="90">
        <f>MIN(MAX(1-0.8/(1-frac_mam_24_59months+(frac_mam_24_59months*0.8)),0),1)</f>
        <v>0.19675897064099812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bsalpbwvyi/+vveOMBfS0RbfB/pwhuEs/9ku5BYM++MbsGjv/RpSH8s/A4j9CdslYhV3t95yeiVOAWy75qtCg==" saltValue="DL9u0mkVf0u7uO+ZSIDA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e5XBkza3ReIP7tBqT5l7njNP5JPzxXVKsjsk1aa0nKnfzpLxMhWBHMAt2LcXuYzOBzbsFtIJ5sByrPk/RI5jw==" saltValue="RtHmDcKFo2YlXERRSxCOV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2024-08-06T08:18:56Z</dcterms:modified>
</cp:coreProperties>
</file>