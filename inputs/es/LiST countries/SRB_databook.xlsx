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A30908CE-9030-401E-837D-DAC806232D1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A24" i="2"/>
  <c r="A25" i="2"/>
  <c r="I38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<sst xmlns="http://schemas.openxmlformats.org/spreadsheetml/2006/main" count="2159" uniqueCount="372">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</sst>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301541</v>
      </c>
    </row>
    <row r="8" spans="1:3" ht="15" customHeight="1" x14ac:dyDescent="0.25">
      <c r="B8" s="5" t="s">
        <v>63</v>
      </c>
      <c r="C8" s="44">
        <v>5.5E-2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0.92928009033203096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5.9700000000000003E-2</v>
      </c>
    </row>
    <row r="24" spans="1:3" ht="15" customHeight="1" x14ac:dyDescent="0.25">
      <c r="B24" s="15" t="s">
        <v>65</v>
      </c>
      <c r="C24" s="45">
        <v>0.495</v>
      </c>
    </row>
    <row r="25" spans="1:3" ht="15" customHeight="1" x14ac:dyDescent="0.25">
      <c r="B25" s="15" t="s">
        <v>66</v>
      </c>
      <c r="C25" s="45">
        <v>0.42230000000000001</v>
      </c>
    </row>
    <row r="26" spans="1:3" ht="15" customHeight="1" x14ac:dyDescent="0.25">
      <c r="B26" s="15" t="s">
        <v>67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9">
        <v>3.6928466503456402E-2</v>
      </c>
    </row>
    <row r="31" spans="1:3" ht="14.25" customHeight="1" x14ac:dyDescent="0.25">
      <c r="B31" s="25" t="s">
        <v>29</v>
      </c>
      <c r="C31" s="99">
        <v>4.0966963582223501E-2</v>
      </c>
    </row>
    <row r="32" spans="1:3" ht="14.25" customHeight="1" x14ac:dyDescent="0.25">
      <c r="B32" s="25" t="s">
        <v>30</v>
      </c>
      <c r="C32" s="99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3.5533999999999999</v>
      </c>
    </row>
    <row r="38" spans="1:5" ht="15" customHeight="1" x14ac:dyDescent="0.25">
      <c r="B38" s="11" t="s">
        <v>54</v>
      </c>
      <c r="C38" s="43">
        <v>4.7455299999999996</v>
      </c>
      <c r="D38" s="12"/>
      <c r="E38" s="13"/>
    </row>
    <row r="39" spans="1:5" ht="15" customHeight="1" x14ac:dyDescent="0.25">
      <c r="B39" s="11" t="s">
        <v>80</v>
      </c>
      <c r="C39" s="43">
        <v>5.4872699999999996</v>
      </c>
      <c r="D39" s="12"/>
      <c r="E39" s="12"/>
    </row>
    <row r="40" spans="1:5" ht="15" customHeight="1" x14ac:dyDescent="0.25">
      <c r="B40" s="11" t="s">
        <v>55</v>
      </c>
      <c r="C40" s="100">
        <v>0.1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3.4918000000000002E-3</v>
      </c>
      <c r="D45" s="12"/>
    </row>
    <row r="46" spans="1:5" ht="15.75" customHeight="1" x14ac:dyDescent="0.25">
      <c r="B46" s="11" t="s">
        <v>70</v>
      </c>
      <c r="C46" s="45">
        <v>3.7518500000000003E-2</v>
      </c>
      <c r="D46" s="12"/>
    </row>
    <row r="47" spans="1:5" ht="15.75" customHeight="1" x14ac:dyDescent="0.25">
      <c r="B47" s="11" t="s">
        <v>78</v>
      </c>
      <c r="C47" s="45">
        <v>7.7681799999999995E-2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0.62314999999999998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jUwoAQK372s/UUhvyR7TWuNTI/tkVqlf6rBSSpxOYV7aEKADU6ZuKrGN+HgWPDchDrVY0Tc7mTTs+EUIFwkmmQ==" saltValue="MRNT/6PxFVEUW+0wwdhB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58988</v>
      </c>
      <c r="C2" s="49">
        <v>168609</v>
      </c>
      <c r="D2" s="49">
        <v>363775</v>
      </c>
      <c r="E2" s="49">
        <v>428512</v>
      </c>
      <c r="F2" s="49">
        <v>489881</v>
      </c>
      <c r="G2" s="17">
        <f t="shared" ref="G2:G13" si="0">C2+D2+E2+F2</f>
        <v>1450777</v>
      </c>
      <c r="H2" s="17">
        <f t="shared" ref="H2:H13" si="1">(B2 + stillbirth*B2/(1000-stillbirth))/(1-abortion)</f>
        <v>67355.846277949051</v>
      </c>
      <c r="I2" s="17">
        <f t="shared" ref="I2:I13" si="2">G2-H2</f>
        <v>1383421.1537220511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58142</v>
      </c>
      <c r="C3" s="50">
        <v>166224.5</v>
      </c>
      <c r="D3" s="50">
        <v>356852.5</v>
      </c>
      <c r="E3" s="50">
        <v>419605.5</v>
      </c>
      <c r="F3" s="50">
        <v>486820.5</v>
      </c>
      <c r="G3" s="17">
        <f t="shared" si="0"/>
        <v>1429503</v>
      </c>
      <c r="H3" s="17">
        <f t="shared" si="1"/>
        <v>66389.835463018127</v>
      </c>
      <c r="I3" s="17">
        <f t="shared" si="2"/>
        <v>1363113.1645369818</v>
      </c>
    </row>
    <row r="4" spans="1:9" ht="15.75" customHeight="1" x14ac:dyDescent="0.25">
      <c r="A4" s="5">
        <f t="shared" si="3"/>
        <v>2026</v>
      </c>
      <c r="B4" s="49">
        <v>57151</v>
      </c>
      <c r="C4" s="50">
        <v>164395</v>
      </c>
      <c r="D4" s="50">
        <v>350086</v>
      </c>
      <c r="E4" s="50">
        <v>411985</v>
      </c>
      <c r="F4" s="50">
        <v>481438.99999999994</v>
      </c>
      <c r="G4" s="17">
        <f t="shared" si="0"/>
        <v>1407905</v>
      </c>
      <c r="H4" s="17">
        <f t="shared" si="1"/>
        <v>65258.255418577777</v>
      </c>
      <c r="I4" s="17">
        <f t="shared" si="2"/>
        <v>1342646.7445814223</v>
      </c>
    </row>
    <row r="5" spans="1:9" ht="15.75" customHeight="1" x14ac:dyDescent="0.25">
      <c r="A5" s="5">
        <f t="shared" si="3"/>
        <v>2027</v>
      </c>
      <c r="B5" s="49">
        <v>56385</v>
      </c>
      <c r="C5" s="50">
        <v>163258.5</v>
      </c>
      <c r="D5" s="50">
        <v>344814.49999999994</v>
      </c>
      <c r="E5" s="50">
        <v>404082</v>
      </c>
      <c r="F5" s="50">
        <v>475496.49999999994</v>
      </c>
      <c r="G5" s="17">
        <f t="shared" si="0"/>
        <v>1387651.5</v>
      </c>
      <c r="H5" s="17">
        <f t="shared" si="1"/>
        <v>64383.593144065868</v>
      </c>
      <c r="I5" s="17">
        <f t="shared" si="2"/>
        <v>1323267.9068559341</v>
      </c>
    </row>
    <row r="6" spans="1:9" ht="15.75" customHeight="1" x14ac:dyDescent="0.25">
      <c r="A6" s="5">
        <f t="shared" si="3"/>
        <v>2028</v>
      </c>
      <c r="B6" s="49">
        <v>55641</v>
      </c>
      <c r="C6" s="50">
        <v>162542</v>
      </c>
      <c r="D6" s="50">
        <v>340786</v>
      </c>
      <c r="E6" s="50">
        <v>395133.5</v>
      </c>
      <c r="F6" s="50">
        <v>469486.99999999994</v>
      </c>
      <c r="G6" s="17">
        <f t="shared" si="0"/>
        <v>1367948.5</v>
      </c>
      <c r="H6" s="17">
        <f t="shared" si="1"/>
        <v>63534.051718169168</v>
      </c>
      <c r="I6" s="17">
        <f t="shared" si="2"/>
        <v>1304414.4482818309</v>
      </c>
    </row>
    <row r="7" spans="1:9" ht="15.75" customHeight="1" x14ac:dyDescent="0.25">
      <c r="A7" s="5">
        <f t="shared" si="3"/>
        <v>2029</v>
      </c>
      <c r="B7" s="49">
        <v>54918</v>
      </c>
      <c r="C7" s="50">
        <v>162084.5</v>
      </c>
      <c r="D7" s="50">
        <v>337685</v>
      </c>
      <c r="E7" s="50">
        <v>386496</v>
      </c>
      <c r="F7" s="50">
        <v>462685.5</v>
      </c>
      <c r="G7" s="17">
        <f t="shared" si="0"/>
        <v>1348951</v>
      </c>
      <c r="H7" s="17">
        <f t="shared" si="1"/>
        <v>62708.489284132462</v>
      </c>
      <c r="I7" s="17">
        <f t="shared" si="2"/>
        <v>1286242.5107158676</v>
      </c>
    </row>
    <row r="8" spans="1:9" ht="15.75" customHeight="1" x14ac:dyDescent="0.25">
      <c r="A8" s="5">
        <f t="shared" si="3"/>
        <v>2030</v>
      </c>
      <c r="B8" s="49">
        <v>54248</v>
      </c>
      <c r="C8" s="50">
        <v>161796.5</v>
      </c>
      <c r="D8" s="50">
        <v>335078.99999999994</v>
      </c>
      <c r="E8" s="50">
        <v>378670.49999999994</v>
      </c>
      <c r="F8" s="50">
        <v>454998</v>
      </c>
      <c r="G8" s="17">
        <f t="shared" si="0"/>
        <v>1330544</v>
      </c>
      <c r="H8" s="17">
        <f t="shared" si="1"/>
        <v>61943.445258123342</v>
      </c>
      <c r="I8" s="17">
        <f t="shared" si="2"/>
        <v>1268600.5547418767</v>
      </c>
    </row>
    <row r="9" spans="1:9" ht="15.75" customHeight="1" x14ac:dyDescent="0.25">
      <c r="A9" s="5">
        <f t="shared" si="3"/>
        <v>2031</v>
      </c>
      <c r="B9" s="49">
        <v>53607</v>
      </c>
      <c r="C9" s="50">
        <v>161580.5</v>
      </c>
      <c r="D9" s="50">
        <v>331620.5</v>
      </c>
      <c r="E9" s="50">
        <v>371982.49999999994</v>
      </c>
      <c r="F9" s="50">
        <v>447359</v>
      </c>
      <c r="G9" s="17">
        <f t="shared" si="0"/>
        <v>1312542.5</v>
      </c>
      <c r="H9" s="17">
        <f t="shared" si="1"/>
        <v>61211.515078016113</v>
      </c>
      <c r="I9" s="17">
        <f t="shared" si="2"/>
        <v>1251330.9849219839</v>
      </c>
    </row>
    <row r="10" spans="1:9" ht="15.75" customHeight="1" x14ac:dyDescent="0.25">
      <c r="A10" s="5">
        <f t="shared" si="3"/>
        <v>2032</v>
      </c>
      <c r="B10" s="49">
        <v>53089</v>
      </c>
      <c r="C10" s="50">
        <v>161340.5</v>
      </c>
      <c r="D10" s="50">
        <v>327357</v>
      </c>
      <c r="E10" s="50">
        <v>366563.5</v>
      </c>
      <c r="F10" s="50">
        <v>439566.00000000006</v>
      </c>
      <c r="G10" s="17">
        <f t="shared" si="0"/>
        <v>1294827</v>
      </c>
      <c r="H10" s="17">
        <f t="shared" si="1"/>
        <v>60620.033278803094</v>
      </c>
      <c r="I10" s="17">
        <f t="shared" si="2"/>
        <v>1234206.9667211969</v>
      </c>
    </row>
    <row r="11" spans="1:9" ht="15.75" customHeight="1" x14ac:dyDescent="0.25">
      <c r="A11" s="5">
        <f t="shared" si="3"/>
        <v>2033</v>
      </c>
      <c r="B11" s="49">
        <v>52565</v>
      </c>
      <c r="C11" s="50">
        <v>160991.5</v>
      </c>
      <c r="D11" s="50">
        <v>323592.99999999994</v>
      </c>
      <c r="E11" s="50">
        <v>361291.00000000006</v>
      </c>
      <c r="F11" s="50">
        <v>430987.49999999994</v>
      </c>
      <c r="G11" s="17">
        <f t="shared" si="0"/>
        <v>1276863</v>
      </c>
      <c r="H11" s="17">
        <f t="shared" si="1"/>
        <v>60021.700339058654</v>
      </c>
      <c r="I11" s="17">
        <f t="shared" si="2"/>
        <v>1216841.2996609414</v>
      </c>
    </row>
    <row r="12" spans="1:9" ht="15.75" customHeight="1" x14ac:dyDescent="0.25">
      <c r="A12" s="5">
        <f t="shared" si="3"/>
        <v>2034</v>
      </c>
      <c r="B12" s="49">
        <v>52055</v>
      </c>
      <c r="C12" s="50">
        <v>160349</v>
      </c>
      <c r="D12" s="50">
        <v>320683.99999999994</v>
      </c>
      <c r="E12" s="50">
        <v>355714.50000000006</v>
      </c>
      <c r="F12" s="50">
        <v>421905.49999999994</v>
      </c>
      <c r="G12" s="17">
        <f t="shared" si="0"/>
        <v>1258653</v>
      </c>
      <c r="H12" s="17">
        <f t="shared" si="1"/>
        <v>59439.353393887533</v>
      </c>
      <c r="I12" s="17">
        <f t="shared" si="2"/>
        <v>1199213.6466061124</v>
      </c>
    </row>
    <row r="13" spans="1:9" ht="15.75" customHeight="1" x14ac:dyDescent="0.25">
      <c r="A13" s="5">
        <f t="shared" si="3"/>
        <v>2035</v>
      </c>
      <c r="B13" s="49">
        <v>51638</v>
      </c>
      <c r="C13" s="50">
        <v>159217.5</v>
      </c>
      <c r="D13" s="50">
        <v>318483.5</v>
      </c>
      <c r="E13" s="50">
        <v>349934.49999999994</v>
      </c>
      <c r="F13" s="50">
        <v>413707.5</v>
      </c>
      <c r="G13" s="17">
        <f t="shared" si="0"/>
        <v>1241343</v>
      </c>
      <c r="H13" s="17">
        <f t="shared" si="1"/>
        <v>58963.199126953499</v>
      </c>
      <c r="I13" s="17">
        <f t="shared" si="2"/>
        <v>1182379.8008730465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5PE5yVrQ0ETfbI34ozP3miLEITt66snol4yjzzc0GBD4olKjENnNwVuyRq3SDfuOQMlhGu8gul3FSVefC9Qmw==" saltValue="3Ze5LW4liLMxyHKKs3ZKX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2.6376197362380321E-2</v>
      </c>
    </row>
    <row r="5" spans="1:8" ht="15.75" customHeight="1" x14ac:dyDescent="0.25">
      <c r="B5" s="19" t="s">
        <v>114</v>
      </c>
      <c r="C5" s="101">
        <v>1.9977998002200119E-2</v>
      </c>
    </row>
    <row r="6" spans="1:8" ht="15.75" customHeight="1" x14ac:dyDescent="0.25">
      <c r="B6" s="19" t="s">
        <v>110</v>
      </c>
      <c r="C6" s="101">
        <v>0.1411632858836713</v>
      </c>
    </row>
    <row r="7" spans="1:8" ht="15.75" customHeight="1" x14ac:dyDescent="0.25">
      <c r="B7" s="19" t="s">
        <v>115</v>
      </c>
      <c r="C7" s="101">
        <v>0.63213873678612653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0.1415473858452613</v>
      </c>
    </row>
    <row r="10" spans="1:8" ht="15.75" customHeight="1" x14ac:dyDescent="0.25">
      <c r="B10" s="19" t="s">
        <v>113</v>
      </c>
      <c r="C10" s="101">
        <v>3.8796396120360288E-2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121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2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118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7.6356962E-2</v>
      </c>
    </row>
    <row r="27" spans="1:8" ht="15.75" customHeight="1" x14ac:dyDescent="0.25">
      <c r="B27" s="19" t="s">
        <v>108</v>
      </c>
      <c r="C27" s="101">
        <v>4.6857983999999978E-2</v>
      </c>
    </row>
    <row r="28" spans="1:8" ht="15.75" customHeight="1" x14ac:dyDescent="0.25">
      <c r="B28" s="19" t="s">
        <v>122</v>
      </c>
      <c r="C28" s="101">
        <v>8.0995853000000007E-2</v>
      </c>
    </row>
    <row r="29" spans="1:8" ht="15.75" customHeight="1" x14ac:dyDescent="0.25">
      <c r="B29" s="19" t="s">
        <v>105</v>
      </c>
      <c r="C29" s="101">
        <v>0.17572802300000001</v>
      </c>
    </row>
    <row r="30" spans="1:8" ht="15.75" customHeight="1" x14ac:dyDescent="0.25">
      <c r="B30" s="19" t="s">
        <v>4</v>
      </c>
      <c r="C30" s="101">
        <v>0.102999484</v>
      </c>
    </row>
    <row r="31" spans="1:8" ht="15.75" customHeight="1" x14ac:dyDescent="0.25">
      <c r="B31" s="19" t="s">
        <v>99</v>
      </c>
      <c r="C31" s="101">
        <v>3.8216664999999997E-2</v>
      </c>
    </row>
    <row r="32" spans="1:8" ht="15.75" customHeight="1" x14ac:dyDescent="0.25">
      <c r="B32" s="19" t="s">
        <v>104</v>
      </c>
      <c r="C32" s="101">
        <v>0.17722406800000001</v>
      </c>
    </row>
    <row r="33" spans="2:3" ht="15.75" customHeight="1" x14ac:dyDescent="0.25">
      <c r="B33" s="19" t="s">
        <v>119</v>
      </c>
      <c r="C33" s="101">
        <v>0.162579839</v>
      </c>
    </row>
    <row r="34" spans="2:3" ht="15.75" customHeight="1" x14ac:dyDescent="0.25">
      <c r="B34" s="19" t="s">
        <v>106</v>
      </c>
      <c r="C34" s="101">
        <v>0.13904112199999999</v>
      </c>
    </row>
    <row r="35" spans="2:3" ht="15.75" customHeight="1" x14ac:dyDescent="0.25">
      <c r="B35" s="27" t="s">
        <v>79</v>
      </c>
      <c r="C35" s="48">
        <f>SUM(C26:C34)</f>
        <v>0.99999999999999989</v>
      </c>
    </row>
  </sheetData>
  <sheetProtection algorithmName="SHA-512" hashValue="W5o03Pj5PMuEBeR62UaqJ0FXaXhrkISEJc5Dnjx+ErJvmTWUciHTCNcMNk2tCJB6gF5SvCTlEBc/IOaYBA9Gjw==" saltValue="GMmruWacDcH4zS9nFeKd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129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125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126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J6dtskIKyHZikbwosx8lyUMZzU2pBeaji6PB1VZLassmGwB4GESaNDrwezpGhw8nDr9MwtQTRqYvda1DYEKKQ==" saltValue="acE3UEzNC8aYDE2xIvmb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4.9157800000000029E-2</v>
      </c>
      <c r="D5" s="52">
        <f t="shared" si="0"/>
        <v>0.30282760000000009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GQtWWC8iTndvuA17V2fThA3yYYCVQnb3HelCkci1C/caCCsEZeNxLrxPE8qHBU+X6oQE+EwkejO2yAm29KHLKQ==" saltValue="ZiqzOLzkzMJYv/DuowHHs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jv6b6LYekrMbRU0Sy7dPv4XLyo/LFzPXZwfx05ZV7FOIww89PD2qXfFnwgAe0tD7PePJpdoGcUMwoQzK0Licw==" saltValue="Q9UUtG8mtRlG6e1CzK9R1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9537.6828667312802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0.52329000000000003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0.66799999999999993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1.5414724456413276E-2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99487.869449999998</v>
      </c>
      <c r="C22" s="109">
        <v>99438.333670000007</v>
      </c>
      <c r="D22" s="109">
        <v>99369.294320000001</v>
      </c>
      <c r="E22" s="109">
        <v>99230.96643</v>
      </c>
      <c r="F22" s="109">
        <v>99040.410910000006</v>
      </c>
      <c r="G22" s="109">
        <v>98793.598800000007</v>
      </c>
      <c r="H22" s="109">
        <v>98405.441009999995</v>
      </c>
      <c r="I22" s="109">
        <v>97834.529139999999</v>
      </c>
      <c r="J22" s="109">
        <v>96965.630709999998</v>
      </c>
      <c r="K22" s="109">
        <v>95476.325209999995</v>
      </c>
      <c r="L22" s="109">
        <v>92758.775460000004</v>
      </c>
      <c r="M22" s="109">
        <v>88503.757599999997</v>
      </c>
      <c r="N22" s="109">
        <v>81995.464470000006</v>
      </c>
      <c r="O22" s="109">
        <v>72957.361430000004</v>
      </c>
    </row>
  </sheetData>
  <sheetProtection algorithmName="SHA-512" hashValue="ecXr/T3OsxbneOMrTSGHMFz03efatK7uuIYCthdEeSkNPbX0DokrWDWkvwNclP2j5jgQO8k1bZWaKOS/plnMDA==" saltValue="01/mtrR0fAFjesbMlaHh3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eP94FGiOss5xuGa3FvVYmts2LivOHpbMAX0uA0Vx97EgMUEoUR0FqKu80Qluh9os1bf/2DpbAIOkcLghG5/HQ==" saltValue="ih838GlVOYxTI1GFvfr45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IUGag9sE67tn2aISlVjWKNZzX2PkBZvEmlarkkh7/6zDO73HdIGD76gH6Sw1Syfe35SnlHbMq6ObVviD1s3gA==" saltValue="zLd9Y4RL+rD9UjBsiGIE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13.195738021909881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13.195738021909881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13.195738021909881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13.195738021909881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13.195738021909881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13.195738021909881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0.21961839999999999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0.21961839999999999</v>
      </c>
      <c r="C19" s="98">
        <v>0.95</v>
      </c>
      <c r="D19" s="56">
        <v>12.47074045559749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4.3940617735474108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0.71505740000000007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0.35967890000000002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0.85884820000000006</v>
      </c>
      <c r="C29" s="98">
        <v>0.95</v>
      </c>
      <c r="D29" s="56">
        <v>132.3139429353005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0.9813012000000001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0.25723400000000002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4.8444399999999999E-2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0.94893539999999998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18h6+2HeNPj+wo3PCqBqv9pH/BMDFlijjyMQmzLn9UyRkUsqQq8PTsAsWyxZbNt/Iyc/wK7angPG1iKw69GGOQ==" saltValue="DSWW+94uia0qlYux9W7d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+ojenQQVUk3q89vN3V8Gy0h9xNTgLBsEEbrp1H4QP9lg18SYPGIOIRfOMFjBJLY7EvaOyQGZq/h7mjNEwW+5w==" saltValue="aBknsOXbc+iQeKESfxSa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Lx61wsOfRkYaiqZM4+ciYcKz/o9sgWRV1a/AYMBmQrKxdVQATzPe2/Uh7FBDmXhAhaKOAIkGICZAHmVCC7TQA==" saltValue="NvvFtQedcz2B4sQZ1Mn99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sheetProtection algorithmName="SHA-512" hashValue="EUWZDqKgkDUjowfmsuHwYoos76inoKKsO7ak8xD2tviCcskbpHt3+UioXzMRrB9VJt1IfUVmUMORGU6ox+m3wQ==" saltValue="JqChhRVvUoeD1H+pLMOk9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5.5E-2</v>
      </c>
      <c r="F2" s="60">
        <f>food_insecure</f>
        <v>5.5E-2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5.5E-2</v>
      </c>
      <c r="I15" s="60">
        <f t="shared" si="0"/>
        <v>5.5E-2</v>
      </c>
      <c r="J15" s="60">
        <f t="shared" si="0"/>
        <v>5.5E-2</v>
      </c>
      <c r="K15" s="60">
        <f t="shared" si="0"/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5.5E-2</v>
      </c>
      <c r="I16" s="60">
        <f t="shared" si="0"/>
        <v>5.5E-2</v>
      </c>
      <c r="J16" s="60">
        <f t="shared" si="0"/>
        <v>5.5E-2</v>
      </c>
      <c r="K16" s="60">
        <f t="shared" si="0"/>
        <v>5.5E-2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vmKNBgXdZP1FLVZH1vaEVBIVtveFLvFFrkASiJ2zYMb3olsgN1B6GNzYaPyOW0fR+BHacWpkN5rEyrj6W15EQ==" saltValue="9f40w3OlUNxsTuue7FveE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WWNXuImXRlSFmvbOe8bRwDDPRHuIDFJ5WI7lhsYd1uMXYwn95g0tiwj468YgFljCgsLGJ8nLmLHYEUm1oNTqg==" saltValue="/szytxKStaRBSYdHkSuc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s6JNsc31J3DuWh6N1ZL5bL5gut8xMs5VewZp0rdUSbbTsNachWVBBjArAA3ednNV+hL0OrsvYew2pHgfO7Nxw==" saltValue="CygmgFnVUIcyrabah4vNZ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dm5r/Z+dkopOOJH8MMp1K3CrOrovdcNJavtrvUUVww58hg7dOQ+0RJA56wkaej1H4JODIQ1hLkoOHlkrMpNmg==" saltValue="LevSkxE5QhPlDpeSDp7B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7a1dJuFl000dq1yVP/xxd91nm4r0nf1U0/UyLGyOmkop6IY253j3g4RHIv8i+Vl0xE7SonF5kf0XJevxQ+QdKA==" saltValue="wZN9Qe7SFx8Ib9LbyyWEc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5q8cx/rEARtlcejBMW7dhD7S5rPViGNigCOFYuAbBIBBwY3OMDlREka3L4rCCymGTVS1RXelp86hJ3Qt0pM2g==" saltValue="4Ex+SOLq6sK6TQ8oBetE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JhiJnqxGs6ycuZzaYJ4zIUDfS9dQssaLWBlvWcDhiwfn5EtwGxlhM/PiDnHsd8mhBnGUJg84vuZN8o/BBt8lA==" saltValue="NhOSK1+EMr0bMQWpqofun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5OoVPH81A/p8Dhj7h9DOjMXkRdHlSIMt5yBdpNzlXhtuusxkrzCNR7oU+yUJnxPENIyWwJxoH/dA3cn4S2A9w==" saltValue="XHrATQtuUmCsvap1VdDA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Pb7Llxh7/NOaGHdloOMQjsPYqOc5aBuSI+36jBciDOT4JEsnntIAIVq8dkXBG11bBe7ByjVF9BmOmQlJaT2Ew==" saltValue="SwWqBDaEWxhGLS6cMRvb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Akr2omH+7acGsVFTTmTuDN1JkwMx1UMyNFj7P0A78DOt27Rf1MiceYd7DhcWvae5A63bnH5/pggJ9J+148RYw==" saltValue="gKaFjxhcSNKv2bif3zEt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SJRFiHuKLT2W5/xl/i9GGxIImzQrC1FvesHEs252K8AlKFlsozAp9BZ3a/tLa/1mTq09Ab9Zxb9pIqN/Dcfdw==" saltValue="M/2CHyR4mjr6/Vpw0ChC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pAI6R1Y+9VLAw+4fottSNPmZIJUHt35nOHDuNQ66SZRF/7tAKZf9isO1z8Dau3Zzd5NfzHXP1PR3HPpCCJ8lg==" saltValue="qRRU7ljr3npOpmbprTlR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RU4nTfWUxnuou2IHNNZcZTNs0Y5D2/59S6SHk4ZJRoI/n+MJ7qgg5UlkiCsClYwiOfE9jkwwQeAS8XHogmbJA==" saltValue="3x2pg3EmKmesdis8rtTC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9nsh2O1jycz4Squ9raF+ZH9iP+eKr7NdH1RafBIlZL1INUGBFduBZvARw45ulFD09NQr+mmefcyBrhUk/qsFZw==" saltValue="UYQNM4mWwaVZco0Ff0Hk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Gjsc/aGAbV4QIpwyYvz/sIYpZySaF1T5R8fm5Nn+Xf/rghDOMUFezKAz3oEdh4d/7S4jBzU7nAXwDmu7erA6w==" saltValue="yMxRqQQGF8xTv48vzomJk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2025-07-04T02:32:13Z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