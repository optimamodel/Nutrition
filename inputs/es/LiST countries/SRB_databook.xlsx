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531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Modeling\Nutrition\inputs\es\LiST countries\"/>
    </mc:Choice>
  </mc:AlternateContent>
  <xr:revisionPtr revIDLastSave="0" documentId="8_{1062BE0B-F83A-452C-BF24-AA7A78A3322E}" xr6:coauthVersionLast="47" xr6:coauthVersionMax="47" xr10:uidLastSave="{00000000-0000-0000-0000-000000000000}"/>
  <bookViews>
    <workbookView xWindow="0" yWindow="3670" windowWidth="19200" windowHeight="6530" tabRatio="961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Pérdida económica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iesgos desenlace de nacimiento" sheetId="21" state="hidden" r:id="rId21"/>
    <sheet name="Riesgos relativos" sheetId="22" state="hidden" r:id="rId22"/>
    <sheet name="Razón de momios" sheetId="23" state="hidden" r:id="rId23"/>
    <sheet name="Resultados de nacimiento- prog" sheetId="24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G25" i="28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97" i="27"/>
  <c r="H152" i="27"/>
  <c r="G97" i="27"/>
  <c r="G152" i="27"/>
  <c r="F97" i="27"/>
  <c r="F152" i="27"/>
  <c r="E97" i="27"/>
  <c r="E152" i="27"/>
  <c r="D97" i="27"/>
  <c r="D152" i="27"/>
  <c r="H136" i="27"/>
  <c r="G136" i="27"/>
  <c r="F136" i="27"/>
  <c r="E136" i="27"/>
  <c r="H135" i="27"/>
  <c r="G135" i="27"/>
  <c r="F135" i="27"/>
  <c r="E135" i="27"/>
  <c r="D80" i="27"/>
  <c r="D135" i="27"/>
  <c r="H134" i="27"/>
  <c r="G134" i="27"/>
  <c r="F134" i="27"/>
  <c r="E134" i="27"/>
  <c r="H133" i="27"/>
  <c r="G133" i="27"/>
  <c r="F133" i="27"/>
  <c r="E133" i="27"/>
  <c r="D78" i="27"/>
  <c r="D133" i="27"/>
  <c r="H132" i="27"/>
  <c r="G132" i="27"/>
  <c r="F132" i="27"/>
  <c r="E132" i="27"/>
  <c r="H131" i="27"/>
  <c r="G131" i="27"/>
  <c r="F131" i="27"/>
  <c r="E131" i="27"/>
  <c r="D76" i="27"/>
  <c r="D131" i="27"/>
  <c r="E130" i="27"/>
  <c r="D130" i="27"/>
  <c r="H74" i="27"/>
  <c r="H129" i="27"/>
  <c r="G74" i="27"/>
  <c r="G129" i="27"/>
  <c r="F74" i="27"/>
  <c r="F129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57" i="27"/>
  <c r="H112" i="27"/>
  <c r="G57" i="27"/>
  <c r="G112" i="27"/>
  <c r="F57" i="27"/>
  <c r="F112" i="27"/>
  <c r="E112" i="27"/>
  <c r="D112" i="27"/>
  <c r="H81" i="27"/>
  <c r="G81" i="27"/>
  <c r="F81" i="27"/>
  <c r="E81" i="27"/>
  <c r="H80" i="27"/>
  <c r="G80" i="27"/>
  <c r="F80" i="27"/>
  <c r="E80" i="27"/>
  <c r="H79" i="27"/>
  <c r="G79" i="27"/>
  <c r="F79" i="27"/>
  <c r="E79" i="27"/>
  <c r="H78" i="27"/>
  <c r="G78" i="27"/>
  <c r="F78" i="27"/>
  <c r="E78" i="27"/>
  <c r="H77" i="27"/>
  <c r="G77" i="27"/>
  <c r="F77" i="27"/>
  <c r="E77" i="27"/>
  <c r="H76" i="27"/>
  <c r="G76" i="27"/>
  <c r="F76" i="27"/>
  <c r="E76" i="27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O20" i="25"/>
  <c r="O66" i="25"/>
  <c r="N20" i="25"/>
  <c r="N66" i="25"/>
  <c r="M20" i="25"/>
  <c r="M66" i="25"/>
  <c r="L20" i="25"/>
  <c r="L66" i="25"/>
  <c r="K20" i="25"/>
  <c r="K66" i="25"/>
  <c r="J20" i="25"/>
  <c r="J66" i="25"/>
  <c r="I20" i="25"/>
  <c r="I66" i="25"/>
  <c r="H20" i="25"/>
  <c r="H66" i="25"/>
  <c r="G20" i="25"/>
  <c r="G66" i="25"/>
  <c r="F20" i="25"/>
  <c r="F66" i="25"/>
  <c r="E20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G40" i="2"/>
  <c r="H40" i="2"/>
  <c r="I40" i="2"/>
  <c r="A2" i="2"/>
  <c r="A40" i="2"/>
  <c r="G39" i="2"/>
  <c r="H39" i="2"/>
  <c r="I39" i="2"/>
  <c r="A39" i="2"/>
  <c r="G38" i="2"/>
  <c r="H38" i="2"/>
  <c r="I38" i="2"/>
  <c r="A38" i="2"/>
  <c r="A37" i="2"/>
  <c r="A36" i="2"/>
  <c r="A35" i="2"/>
  <c r="A34" i="2"/>
  <c r="A33" i="2"/>
  <c r="A32" i="2"/>
  <c r="A31" i="2"/>
  <c r="A30" i="2"/>
  <c r="A29" i="2"/>
  <c r="A28" i="2"/>
  <c r="A27" i="2"/>
  <c r="A26" i="2"/>
  <c r="A25" i="2"/>
  <c r="A24" i="2"/>
  <c r="A23" i="2"/>
  <c r="A22" i="2"/>
  <c r="A21" i="2"/>
  <c r="A20" i="2"/>
  <c r="A19" i="2"/>
  <c r="A18" i="2"/>
  <c r="A17" i="2"/>
  <c r="A16" i="2"/>
  <c r="A15" i="2"/>
  <c r="A14" i="2"/>
  <c r="G13" i="2"/>
  <c r="H13" i="2"/>
  <c r="I13" i="2"/>
  <c r="A3" i="2"/>
  <c r="A4" i="2"/>
  <c r="A5" i="2"/>
  <c r="A6" i="2"/>
  <c r="A7" i="2"/>
  <c r="A8" i="2"/>
  <c r="A9" i="2"/>
  <c r="A10" i="2"/>
  <c r="A11" i="2"/>
  <c r="A12" i="2"/>
  <c r="A13" i="2"/>
  <c r="G12" i="2"/>
  <c r="H12" i="2"/>
  <c r="I12" i="2"/>
  <c r="G11" i="2"/>
  <c r="H11" i="2"/>
  <c r="I11" i="2"/>
  <c r="G10" i="2"/>
  <c r="H10" i="2"/>
  <c r="I10" i="2"/>
  <c r="G9" i="2"/>
  <c r="H9" i="2"/>
  <c r="I9" i="2"/>
  <c r="G8" i="2"/>
  <c r="H8" i="2"/>
  <c r="I8" i="2"/>
  <c r="G7" i="2"/>
  <c r="H7" i="2"/>
  <c r="I7" i="2"/>
  <c r="G6" i="2"/>
  <c r="H6" i="2"/>
  <c r="I6" i="2"/>
  <c r="G5" i="2"/>
  <c r="H5" i="2"/>
  <c r="I5" i="2"/>
  <c r="G4" i="2"/>
  <c r="H4" i="2"/>
  <c r="I4" i="2"/>
  <c r="G3" i="2"/>
  <c r="H3" i="2"/>
  <c r="I3" i="2"/>
  <c r="G2" i="2"/>
  <c r="H2" i="2"/>
  <c r="I2" i="2"/>
  <c r="C33" i="1"/>
  <c r="C2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0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0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1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2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4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5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6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7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8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
Thereofre, set effect of rice = effect of wheat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2" authorId="0" shapeId="0" xr:uid="{00000000-0006-0000-1800-00005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5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54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7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8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2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5" authorId="0" shapeId="0" xr:uid="{00000000-0006-0000-1800-00008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8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<sst xmlns="http://schemas.openxmlformats.org/spreadsheetml/2006/main" count="2102" uniqueCount="341">
  <si>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</si>
  <si>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</si>
  <si>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</si>
  <si>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</si>
  <si>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</si>
  <si>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</si>
  <si>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</si>
  <si>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</si>
  <si>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</si>
  <si>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</si>
  <si>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</si>
  <si>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</si>
  <si>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</si>
  <si>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</si>
  <si>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</si>
  <si>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</si>
  <si>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</si>
  <si>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</si>
  <si>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</si>
  <si>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</si>
  <si>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</si>
  <si>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</si>
  <si>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</si>
  <si>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</si>
  <si>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</si>
  <si>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</si>
  <si>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</si>
  <si>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</si>
  <si>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</si>
  <si>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</si>
  <si>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</si>
  <si>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</si>
  <si>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</si>
  <si>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</si>
  <si>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</si>
  <si>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</si>
  <si>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</si>
  <si>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</si>
  <si>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</si>
  <si>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</si>
  <si>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</si>
  <si>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</si>
  <si>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</si>
  <si>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</si>
  <si>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</si>
  <si>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</si>
  <si>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</si>
  <si>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</si>
  <si>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</si>
  <si>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</si>
  <si>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</si>
  <si>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</si>
  <si>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</si>
  <si>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</si>
  <si>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</si>
  <si>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</si>
  <si>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</si>
  <si>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</si>
  <si>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</si>
  <si>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</si>
  <si>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</si>
  <si>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</si>
  <si>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</si>
  <si>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</si>
  <si>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</si>
  <si>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</si>
  <si>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</si>
  <si>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</si>
  <si>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</si>
  <si>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</si>
  <si>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</si>
  <si>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</si>
  <si>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</si>
  <si>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</si>
  <si>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</si>
  <si>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</si>
  <si>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</si>
  <si>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</si>
  <si>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</si>
  <si>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</si>
  <si>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</si>
  <si>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</si>
  <si>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</si>
  <si>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</si>
  <si>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</si>
  <si>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</si>
  <si>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</si>
  <si>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</si>
  <si>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</si>
  <si>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</si>
  <si>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</si>
  <si>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</si>
  <si>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</si>
  <si>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</si>
  <si>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</si>
  <si>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</si>
  <si>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</si>
  <si>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</si>
  <si>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</si>
  <si>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</si>
  <si>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</si>
  <si>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</si>
  <si>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</si>
  <si>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</si>
  <si>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</si>
  <si>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</si>
  <si>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</si>
  <si>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</si>
  <si>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</si>
  <si>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</si>
  <si>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</si>
  <si>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</si>
  <si>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</si>
  <si>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</si>
  <si>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</si>
  <si>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</si>
  <si>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</si>
  <si>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</si>
  <si>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</si>
  <si>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</si>
  <si>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</si>
  <si>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</si>
  <si>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</si>
  <si>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</si>
  <si>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</si>
  <si>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</si>
  <si>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</si>
  <si>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</si>
  <si>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</si>
  <si>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</si>
  <si>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</si>
  <si>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</si>
  <si>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</si>
  <si>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</si>
  <si>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</si>
  <si>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</si>
  <si>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</si>
  <si>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</si>
  <si>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</si>
  <si>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</si>
  <si>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Niño anémico (por año)</t>
  </si>
  <si>
    <t>Mujer embarazada anémica (por embarazo)</t>
  </si>
  <si>
    <t>Muerte del niño</t>
  </si>
  <si>
    <t>Niño que cumple 5 años con retraso en el crecimiento (a lo largo de su vida)</t>
  </si>
  <si>
    <t>Episodio de emaciación infantil</t>
  </si>
  <si>
    <t>Costo</t>
  </si>
  <si>
    <t>Muerte materna</t>
  </si>
  <si>
    <t>Tipo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</si>
  <si>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</si>
  <si>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</si>
  <si>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</si>
  <si>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</si>
  <si>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</si>
  <si>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</si>
  <si>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</si>
  <si>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</si>
  <si>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</si>
  <si>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</si>
  <si>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</si>
  <si>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</si>
  <si>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</si>
  <si>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</si>
  <si>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</si>
  <si>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</si>
  <si>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</si>
  <si>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</si>
  <si>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</si>
  <si>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</si>
  <si>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</si>
  <si>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</si>
  <si>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</si>
  <si>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</si>
  <si>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</si>
  <si>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</si>
  <si>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</si>
  <si>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</si>
  <si>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</si>
  <si>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</si>
  <si>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</si>
  <si>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</si>
  <si>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</si>
  <si>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</si>
  <si>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</si>
  <si>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</si>
  <si>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</si>
  <si>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</si>
  <si>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</si>
  <si>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</si>
  <si>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</si>
  <si>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</si>
  <si>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</si>
  <si>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</si>
  <si>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</si>
  <si>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</si>
  <si>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</si>
  <si>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</si>
  <si>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</si>
  <si>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</si>
  <si>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</si>
  <si>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</si>
  <si>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</si>
  <si>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</si>
  <si>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</si>
  <si>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</si>
  <si>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</si>
  <si>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</si>
  <si>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</si>
  <si>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</si>
  <si>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</si>
  <si>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</si>
  <si>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</si>
  <si>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</si>
  <si>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</si>
  <si>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</si>
  <si>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</si>
  <si>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</si>
  <si>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</si>
  <si>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</si>
  <si>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</si>
  <si>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</si>
  <si>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</si>
  <si>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</si>
  <si>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</si>
  <si>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</si>
  <si>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</si>
  <si>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</si>
  <si>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</si>
  <si>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</si>
  <si>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</si>
  <si>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</si>
  <si>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</si>
  <si>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</si>
  <si>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</si>
  <si>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</si>
  <si>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</si>
  <si>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</si>
  <si>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</si>
  <si>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</si>
  <si>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</si>
  <si>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</si>
  <si>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</si>
  <si>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</si>
  <si>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</si>
  <si>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</si>
  <si>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</si>
  <si>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</si>
  <si>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</si>
  <si>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</si>
  <si>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</si>
  <si>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</si>
  <si>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</si>
  <si>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</si>
  <si>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</si>
  <si>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</si>
  <si>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</si>
  <si>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</si>
  <si>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</si>
  <si>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</si>
  <si>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</si>
  <si>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</si>
  <si>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</si>
  <si>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</si>
  <si>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</si>
  <si>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</si>
  <si>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</si>
  <si>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</si>
  <si>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</si>
  <si>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</si>
  <si>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</si>
  <si>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</si>
  <si>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</si>
  <si>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</si>
  <si>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</si>
  <si>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</si>
  <si>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</si>
  <si>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</si>
  <si>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</si>
  <si>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</si>
  <si>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</si>
  <si>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</si>
  <si>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</si>
  <si>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</si>
  <si>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Emaciación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</si>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</sst>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topLeftCell="A38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19</v>
      </c>
      <c r="B1" s="29" t="s">
        <v>0</v>
      </c>
      <c r="C1" s="29" t="s">
        <v>24</v>
      </c>
    </row>
    <row r="2" spans="1:3" ht="15.9" customHeight="1" x14ac:dyDescent="0.3">
      <c r="A2" s="8" t="s">
        <v>55</v>
      </c>
      <c r="B2" s="29"/>
      <c r="C2" s="29"/>
    </row>
    <row r="3" spans="1:3" ht="15.9" customHeight="1" x14ac:dyDescent="0.3">
      <c r="A3" s="1"/>
      <c r="B3" s="5" t="s">
        <v>18</v>
      </c>
      <c r="C3" s="41">
        <v>2024</v>
      </c>
    </row>
    <row r="4" spans="1:3" ht="15.9" customHeight="1" x14ac:dyDescent="0.3">
      <c r="A4" s="1"/>
      <c r="B4" s="5" t="s">
        <v>26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50</v>
      </c>
    </row>
    <row r="7" spans="1:3" ht="15" customHeight="1" x14ac:dyDescent="0.25">
      <c r="B7" s="11" t="s">
        <v>23</v>
      </c>
      <c r="C7" s="43">
        <v>328680.9375</v>
      </c>
    </row>
    <row r="8" spans="1:3" ht="15" customHeight="1" x14ac:dyDescent="0.25">
      <c r="B8" s="5" t="s">
        <v>44</v>
      </c>
      <c r="C8" s="44">
        <v>5.5E-2</v>
      </c>
    </row>
    <row r="9" spans="1:3" ht="15" customHeight="1" x14ac:dyDescent="0.25">
      <c r="B9" s="5" t="s">
        <v>43</v>
      </c>
      <c r="C9" s="45">
        <v>0.01</v>
      </c>
    </row>
    <row r="10" spans="1:3" ht="15" customHeight="1" x14ac:dyDescent="0.25">
      <c r="B10" s="5" t="s">
        <v>56</v>
      </c>
      <c r="C10" s="45">
        <v>0.92928009033203096</v>
      </c>
    </row>
    <row r="11" spans="1:3" ht="15" customHeight="1" x14ac:dyDescent="0.25">
      <c r="B11" s="5" t="s">
        <v>49</v>
      </c>
      <c r="C11" s="45">
        <v>1</v>
      </c>
    </row>
    <row r="12" spans="1:3" ht="15" customHeight="1" x14ac:dyDescent="0.25">
      <c r="B12" s="5" t="s">
        <v>41</v>
      </c>
      <c r="C12" s="45">
        <v>1</v>
      </c>
    </row>
    <row r="13" spans="1:3" ht="15" customHeight="1" x14ac:dyDescent="0.25">
      <c r="B13" s="5" t="s">
        <v>62</v>
      </c>
      <c r="C13" s="45">
        <v>0.74900000000000011</v>
      </c>
    </row>
    <row r="14" spans="1:3" ht="15" customHeight="1" x14ac:dyDescent="0.25">
      <c r="B14" s="8"/>
    </row>
    <row r="15" spans="1:3" ht="15" customHeight="1" x14ac:dyDescent="0.3">
      <c r="A15" s="8" t="s">
        <v>28</v>
      </c>
      <c r="B15" s="14"/>
      <c r="C15" s="3"/>
    </row>
    <row r="16" spans="1:3" ht="15" customHeight="1" x14ac:dyDescent="0.25">
      <c r="B16" s="5" t="s">
        <v>33</v>
      </c>
      <c r="C16" s="45">
        <v>0.1</v>
      </c>
    </row>
    <row r="17" spans="1:3" ht="15" customHeight="1" x14ac:dyDescent="0.25">
      <c r="B17" s="5" t="s">
        <v>30</v>
      </c>
      <c r="C17" s="45">
        <v>0.01</v>
      </c>
    </row>
    <row r="18" spans="1:3" ht="15" customHeight="1" x14ac:dyDescent="0.25">
      <c r="B18" s="5" t="s">
        <v>31</v>
      </c>
      <c r="C18" s="45">
        <v>0.98</v>
      </c>
    </row>
    <row r="19" spans="1:3" ht="15" customHeight="1" x14ac:dyDescent="0.25">
      <c r="B19" s="5" t="s">
        <v>29</v>
      </c>
      <c r="C19" s="45">
        <v>0.01</v>
      </c>
    </row>
    <row r="20" spans="1:3" ht="15" customHeight="1" x14ac:dyDescent="0.25">
      <c r="B20" s="5" t="s">
        <v>34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12</v>
      </c>
    </row>
    <row r="23" spans="1:3" ht="15" customHeight="1" x14ac:dyDescent="0.25">
      <c r="B23" s="15" t="s">
        <v>45</v>
      </c>
      <c r="C23" s="45">
        <v>5.9700000000000003E-2</v>
      </c>
    </row>
    <row r="24" spans="1:3" ht="15" customHeight="1" x14ac:dyDescent="0.25">
      <c r="B24" s="15" t="s">
        <v>46</v>
      </c>
      <c r="C24" s="45">
        <v>0.495</v>
      </c>
    </row>
    <row r="25" spans="1:3" ht="15" customHeight="1" x14ac:dyDescent="0.25">
      <c r="B25" s="15" t="s">
        <v>47</v>
      </c>
      <c r="C25" s="45">
        <v>0.42230000000000001</v>
      </c>
    </row>
    <row r="26" spans="1:3" ht="15" customHeight="1" x14ac:dyDescent="0.25">
      <c r="B26" s="15" t="s">
        <v>48</v>
      </c>
      <c r="C26" s="45">
        <v>2.3E-2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22</v>
      </c>
      <c r="B28" s="15"/>
      <c r="C28" s="15"/>
    </row>
    <row r="29" spans="1:3" ht="14.25" customHeight="1" x14ac:dyDescent="0.25">
      <c r="B29" s="25" t="s">
        <v>27</v>
      </c>
      <c r="C29" s="45">
        <v>0.51101988116637098</v>
      </c>
    </row>
    <row r="30" spans="1:3" ht="14.25" customHeight="1" x14ac:dyDescent="0.25">
      <c r="B30" s="25" t="s">
        <v>63</v>
      </c>
      <c r="C30" s="99">
        <v>3.6928466503456402E-2</v>
      </c>
    </row>
    <row r="31" spans="1:3" ht="14.25" customHeight="1" x14ac:dyDescent="0.25">
      <c r="B31" s="25" t="s">
        <v>10</v>
      </c>
      <c r="C31" s="99">
        <v>4.0966963582223501E-2</v>
      </c>
    </row>
    <row r="32" spans="1:3" ht="14.25" customHeight="1" x14ac:dyDescent="0.25">
      <c r="B32" s="25" t="s">
        <v>11</v>
      </c>
      <c r="C32" s="99">
        <v>0.41108468874794901</v>
      </c>
    </row>
    <row r="33" spans="1:5" ht="13" customHeight="1" x14ac:dyDescent="0.25">
      <c r="B33" s="27" t="s">
        <v>60</v>
      </c>
      <c r="C33" s="48">
        <f>SUM(C29:C32)</f>
        <v>0.99999999999999989</v>
      </c>
    </row>
    <row r="34" spans="1:5" ht="15" customHeight="1" x14ac:dyDescent="0.25"/>
    <row r="35" spans="1:5" ht="15" customHeight="1" x14ac:dyDescent="0.3">
      <c r="A35" s="4" t="s">
        <v>20</v>
      </c>
    </row>
    <row r="36" spans="1:5" ht="15" customHeight="1" x14ac:dyDescent="0.25">
      <c r="A36" s="8" t="s">
        <v>37</v>
      </c>
      <c r="B36" s="5"/>
    </row>
    <row r="37" spans="1:5" ht="15" customHeight="1" x14ac:dyDescent="0.25">
      <c r="B37" s="11" t="s">
        <v>38</v>
      </c>
      <c r="C37" s="43">
        <v>3.5533999999999999</v>
      </c>
    </row>
    <row r="38" spans="1:5" ht="15" customHeight="1" x14ac:dyDescent="0.25">
      <c r="B38" s="11" t="s">
        <v>35</v>
      </c>
      <c r="C38" s="43">
        <v>4.7455299999999996</v>
      </c>
      <c r="D38" s="12"/>
      <c r="E38" s="13"/>
    </row>
    <row r="39" spans="1:5" ht="15" customHeight="1" x14ac:dyDescent="0.25">
      <c r="B39" s="11" t="s">
        <v>61</v>
      </c>
      <c r="C39" s="43">
        <v>5.4872699999999996</v>
      </c>
      <c r="D39" s="12"/>
      <c r="E39" s="12"/>
    </row>
    <row r="40" spans="1:5" ht="15" customHeight="1" x14ac:dyDescent="0.25">
      <c r="B40" s="11" t="s">
        <v>36</v>
      </c>
      <c r="C40" s="100">
        <v>0.1</v>
      </c>
    </row>
    <row r="41" spans="1:5" ht="15" customHeight="1" x14ac:dyDescent="0.25">
      <c r="B41" s="11" t="s">
        <v>32</v>
      </c>
      <c r="C41" s="45">
        <v>0.12</v>
      </c>
    </row>
    <row r="42" spans="1:5" ht="15" customHeight="1" x14ac:dyDescent="0.25">
      <c r="B42" s="11" t="s">
        <v>57</v>
      </c>
      <c r="C42" s="43">
        <v>4.8106900000000001</v>
      </c>
    </row>
    <row r="43" spans="1:5" ht="15.75" customHeight="1" x14ac:dyDescent="0.25">
      <c r="D43" s="12"/>
    </row>
    <row r="44" spans="1:5" ht="15.75" customHeight="1" x14ac:dyDescent="0.25">
      <c r="A44" s="8" t="s">
        <v>21</v>
      </c>
      <c r="D44" s="12"/>
    </row>
    <row r="45" spans="1:5" ht="15.75" customHeight="1" x14ac:dyDescent="0.25">
      <c r="B45" s="11" t="s">
        <v>52</v>
      </c>
      <c r="C45" s="45">
        <v>3.4918000000000002E-3</v>
      </c>
      <c r="D45" s="12"/>
    </row>
    <row r="46" spans="1:5" ht="15.75" customHeight="1" x14ac:dyDescent="0.25">
      <c r="B46" s="11" t="s">
        <v>51</v>
      </c>
      <c r="C46" s="45">
        <v>3.7518500000000003E-2</v>
      </c>
      <c r="D46" s="12"/>
    </row>
    <row r="47" spans="1:5" ht="15.75" customHeight="1" x14ac:dyDescent="0.25">
      <c r="B47" s="11" t="s">
        <v>59</v>
      </c>
      <c r="C47" s="45">
        <v>7.7681799999999995E-2</v>
      </c>
      <c r="D47" s="12"/>
      <c r="E47" s="13"/>
    </row>
    <row r="48" spans="1:5" ht="15" customHeight="1" x14ac:dyDescent="0.25">
      <c r="B48" s="11" t="s">
        <v>58</v>
      </c>
      <c r="C48" s="46">
        <v>0.88130790000000003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25</v>
      </c>
      <c r="D50" s="12"/>
    </row>
    <row r="51" spans="1:4" ht="15.75" customHeight="1" x14ac:dyDescent="0.25">
      <c r="B51" s="11" t="s">
        <v>17</v>
      </c>
      <c r="C51" s="100">
        <v>2.8</v>
      </c>
      <c r="D51" s="12"/>
    </row>
    <row r="52" spans="1:4" ht="15" customHeight="1" x14ac:dyDescent="0.25">
      <c r="B52" s="11" t="s">
        <v>13</v>
      </c>
      <c r="C52" s="100">
        <v>2.8</v>
      </c>
    </row>
    <row r="53" spans="1:4" ht="15.75" customHeight="1" x14ac:dyDescent="0.25">
      <c r="B53" s="11" t="s">
        <v>16</v>
      </c>
      <c r="C53" s="100">
        <v>2.8</v>
      </c>
    </row>
    <row r="54" spans="1:4" ht="15.75" customHeight="1" x14ac:dyDescent="0.25">
      <c r="B54" s="11" t="s">
        <v>14</v>
      </c>
      <c r="C54" s="100">
        <v>2.8</v>
      </c>
    </row>
    <row r="55" spans="1:4" ht="15.75" customHeight="1" x14ac:dyDescent="0.25">
      <c r="B55" s="11" t="s">
        <v>15</v>
      </c>
      <c r="C55" s="100">
        <v>2.8</v>
      </c>
    </row>
    <row r="57" spans="1:4" ht="15.75" customHeight="1" x14ac:dyDescent="0.25">
      <c r="A57" s="8" t="s">
        <v>39</v>
      </c>
    </row>
    <row r="58" spans="1:4" ht="15.75" customHeight="1" x14ac:dyDescent="0.25">
      <c r="B58" s="5" t="s">
        <v>42</v>
      </c>
      <c r="C58" s="45">
        <v>1.6428571428571431E-2</v>
      </c>
    </row>
    <row r="59" spans="1:4" ht="15.75" customHeight="1" x14ac:dyDescent="0.25">
      <c r="B59" s="11" t="s">
        <v>40</v>
      </c>
      <c r="C59" s="45">
        <v>0.62314999999999998</v>
      </c>
    </row>
    <row r="60" spans="1:4" ht="15.75" customHeight="1" x14ac:dyDescent="0.25">
      <c r="B60" s="11" t="s">
        <v>54</v>
      </c>
      <c r="C60" s="45">
        <v>4.5999999999999999E-2</v>
      </c>
    </row>
    <row r="61" spans="1:4" ht="15.75" customHeight="1" x14ac:dyDescent="0.25">
      <c r="B61" s="11" t="s">
        <v>53</v>
      </c>
      <c r="C61" s="45">
        <v>1.4E-2</v>
      </c>
    </row>
    <row r="62" spans="1:4" ht="15.75" customHeight="1" x14ac:dyDescent="0.25">
      <c r="B62" s="11" t="s">
        <v>64</v>
      </c>
      <c r="C62" s="44">
        <v>4.5343641999999899E-2</v>
      </c>
    </row>
    <row r="63" spans="1:4" ht="15.75" customHeight="1" x14ac:dyDescent="0.3">
      <c r="A63" s="4"/>
    </row>
  </sheetData>
  <sheetProtection algorithmName="SHA-512" hashValue="0jfgHW/9UVEF4tp6Cj2pukGDPp759xQQ4BK9dBFrpJKmruXMFe43nldP+0bUyGVFAupWR9Vwv98J/yJAnLO5sg==" saltValue="wFeKRju+tFXtTOlYT3Yp9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73</v>
      </c>
      <c r="B1" s="20" t="s">
        <v>66</v>
      </c>
      <c r="C1" s="18" t="s">
        <v>68</v>
      </c>
      <c r="D1" s="18" t="s">
        <v>69</v>
      </c>
      <c r="E1" s="18" t="s">
        <v>70</v>
      </c>
      <c r="F1" s="18" t="s">
        <v>71</v>
      </c>
      <c r="G1" s="18" t="s">
        <v>67</v>
      </c>
      <c r="H1" s="18" t="s">
        <v>65</v>
      </c>
      <c r="I1" s="18" t="s">
        <v>72</v>
      </c>
    </row>
    <row r="2" spans="1:9" ht="15.75" customHeight="1" x14ac:dyDescent="0.25">
      <c r="A2" s="5">
        <f>start_year</f>
        <v>2024</v>
      </c>
      <c r="B2" s="49">
        <v>64006</v>
      </c>
      <c r="C2" s="49">
        <v>194945</v>
      </c>
      <c r="D2" s="49">
        <v>376956.5</v>
      </c>
      <c r="E2" s="49">
        <v>464579</v>
      </c>
      <c r="F2" s="49">
        <v>480253.5</v>
      </c>
      <c r="G2" s="17">
        <f t="shared" ref="G2:G13" si="0">C2+D2+E2+F2</f>
        <v>1516734</v>
      </c>
      <c r="H2" s="17">
        <f t="shared" ref="H2:H13" si="1">(B2 + stillbirth*B2/(1000-stillbirth))/(1-abortion)</f>
        <v>73085.683475730766</v>
      </c>
      <c r="I2" s="17">
        <f t="shared" ref="I2:I13" si="2">G2-H2</f>
        <v>1443648.3165242693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62797</v>
      </c>
      <c r="C3" s="50">
        <v>195061.5</v>
      </c>
      <c r="D3" s="50">
        <v>366056.5</v>
      </c>
      <c r="E3" s="50">
        <v>454467</v>
      </c>
      <c r="F3" s="50">
        <v>475340.49999999988</v>
      </c>
      <c r="G3" s="17">
        <f t="shared" si="0"/>
        <v>1490925.5</v>
      </c>
      <c r="H3" s="17">
        <f t="shared" si="1"/>
        <v>71705.178658648656</v>
      </c>
      <c r="I3" s="17">
        <f t="shared" si="2"/>
        <v>1419220.3213413514</v>
      </c>
    </row>
    <row r="4" spans="1:9" ht="15.75" customHeight="1" x14ac:dyDescent="0.25">
      <c r="A4" s="5">
        <f t="shared" si="3"/>
        <v>2026</v>
      </c>
      <c r="B4" s="49">
        <v>61587</v>
      </c>
      <c r="C4" s="50">
        <v>197352.5</v>
      </c>
      <c r="D4" s="50">
        <v>353441</v>
      </c>
      <c r="E4" s="50">
        <v>445705</v>
      </c>
      <c r="F4" s="50">
        <v>469483.50000000012</v>
      </c>
      <c r="G4" s="17">
        <f t="shared" si="0"/>
        <v>1465982</v>
      </c>
      <c r="H4" s="17">
        <f t="shared" si="1"/>
        <v>70323.531984811285</v>
      </c>
      <c r="I4" s="17">
        <f t="shared" si="2"/>
        <v>1395658.4680151888</v>
      </c>
    </row>
    <row r="5" spans="1:9" ht="15.75" customHeight="1" x14ac:dyDescent="0.25">
      <c r="A5" s="5">
        <f t="shared" si="3"/>
        <v>2027</v>
      </c>
      <c r="B5" s="49">
        <v>60158</v>
      </c>
      <c r="C5" s="50">
        <v>200401</v>
      </c>
      <c r="D5" s="50">
        <v>341746</v>
      </c>
      <c r="E5" s="50">
        <v>435847</v>
      </c>
      <c r="F5" s="50">
        <v>462565.5</v>
      </c>
      <c r="G5" s="17">
        <f t="shared" si="0"/>
        <v>1440559.5</v>
      </c>
      <c r="H5" s="17">
        <f t="shared" si="1"/>
        <v>68691.818681576915</v>
      </c>
      <c r="I5" s="17">
        <f t="shared" si="2"/>
        <v>1371867.681318423</v>
      </c>
    </row>
    <row r="6" spans="1:9" ht="15.75" customHeight="1" x14ac:dyDescent="0.25">
      <c r="A6" s="5">
        <f t="shared" si="3"/>
        <v>2028</v>
      </c>
      <c r="B6" s="49">
        <v>58899</v>
      </c>
      <c r="C6" s="50">
        <v>202412</v>
      </c>
      <c r="D6" s="50">
        <v>336839.5</v>
      </c>
      <c r="E6" s="50">
        <v>420485.5</v>
      </c>
      <c r="F6" s="50">
        <v>456128.5</v>
      </c>
      <c r="G6" s="17">
        <f t="shared" si="0"/>
        <v>1415865.5</v>
      </c>
      <c r="H6" s="17">
        <f t="shared" si="1"/>
        <v>67254.221026732906</v>
      </c>
      <c r="I6" s="17">
        <f t="shared" si="2"/>
        <v>1348611.2789732672</v>
      </c>
    </row>
    <row r="7" spans="1:9" ht="15.75" customHeight="1" x14ac:dyDescent="0.25">
      <c r="A7" s="5">
        <f t="shared" si="3"/>
        <v>2029</v>
      </c>
      <c r="B7" s="49">
        <v>57606</v>
      </c>
      <c r="C7" s="50">
        <v>203577</v>
      </c>
      <c r="D7" s="50">
        <v>336796.5</v>
      </c>
      <c r="E7" s="50">
        <v>402995</v>
      </c>
      <c r="F7" s="50">
        <v>450686.5</v>
      </c>
      <c r="G7" s="17">
        <f t="shared" si="0"/>
        <v>1394055</v>
      </c>
      <c r="H7" s="17">
        <f t="shared" si="1"/>
        <v>65777.80024221084</v>
      </c>
      <c r="I7" s="17">
        <f t="shared" si="2"/>
        <v>1328277.1997577893</v>
      </c>
    </row>
    <row r="8" spans="1:9" ht="15.75" customHeight="1" x14ac:dyDescent="0.25">
      <c r="A8" s="5">
        <f t="shared" si="3"/>
        <v>2030</v>
      </c>
      <c r="B8" s="49">
        <v>56733</v>
      </c>
      <c r="C8" s="50">
        <v>203652</v>
      </c>
      <c r="D8" s="50">
        <v>335027</v>
      </c>
      <c r="E8" s="50">
        <v>389654.5</v>
      </c>
      <c r="F8" s="50">
        <v>444156.5</v>
      </c>
      <c r="G8" s="17">
        <f t="shared" si="0"/>
        <v>1372490</v>
      </c>
      <c r="H8" s="17">
        <f t="shared" si="1"/>
        <v>64780.959294888511</v>
      </c>
      <c r="I8" s="17">
        <f t="shared" si="2"/>
        <v>1307709.0407051116</v>
      </c>
    </row>
    <row r="9" spans="1:9" ht="15.75" customHeight="1" x14ac:dyDescent="0.25">
      <c r="A9" s="5">
        <f t="shared" si="3"/>
        <v>2031</v>
      </c>
      <c r="B9" s="49">
        <v>55693</v>
      </c>
      <c r="C9" s="50">
        <v>203015</v>
      </c>
      <c r="D9" s="50">
        <v>330494</v>
      </c>
      <c r="E9" s="50">
        <v>380410</v>
      </c>
      <c r="F9" s="50">
        <v>437503.5</v>
      </c>
      <c r="G9" s="17">
        <f t="shared" si="0"/>
        <v>1351422.5</v>
      </c>
      <c r="H9" s="17">
        <f t="shared" si="1"/>
        <v>63593.428269441516</v>
      </c>
      <c r="I9" s="17">
        <f t="shared" si="2"/>
        <v>1287829.0717305585</v>
      </c>
    </row>
    <row r="10" spans="1:9" ht="15.75" customHeight="1" x14ac:dyDescent="0.25">
      <c r="A10" s="5">
        <f t="shared" si="3"/>
        <v>2032</v>
      </c>
      <c r="B10" s="49">
        <v>54673</v>
      </c>
      <c r="C10" s="50">
        <v>201871</v>
      </c>
      <c r="D10" s="50">
        <v>324783</v>
      </c>
      <c r="E10" s="50">
        <v>374300.99999999988</v>
      </c>
      <c r="F10" s="50">
        <v>430965</v>
      </c>
      <c r="G10" s="17">
        <f t="shared" si="0"/>
        <v>1331920</v>
      </c>
      <c r="H10" s="17">
        <f t="shared" si="1"/>
        <v>62428.734379099282</v>
      </c>
      <c r="I10" s="17">
        <f t="shared" si="2"/>
        <v>1269491.2656209008</v>
      </c>
    </row>
    <row r="11" spans="1:9" ht="15.75" customHeight="1" x14ac:dyDescent="0.25">
      <c r="A11" s="5">
        <f t="shared" si="3"/>
        <v>2033</v>
      </c>
      <c r="B11" s="49">
        <v>53922</v>
      </c>
      <c r="C11" s="50">
        <v>200555</v>
      </c>
      <c r="D11" s="50">
        <v>319626.5</v>
      </c>
      <c r="E11" s="50">
        <v>368399.5</v>
      </c>
      <c r="F11" s="50">
        <v>422290.5</v>
      </c>
      <c r="G11" s="17">
        <f t="shared" si="0"/>
        <v>1310871.5</v>
      </c>
      <c r="H11" s="17">
        <f t="shared" si="1"/>
        <v>61571.199955915923</v>
      </c>
      <c r="I11" s="17">
        <f t="shared" si="2"/>
        <v>1249300.300044084</v>
      </c>
    </row>
    <row r="12" spans="1:9" ht="15.75" customHeight="1" x14ac:dyDescent="0.25">
      <c r="A12" s="5">
        <f t="shared" si="3"/>
        <v>2034</v>
      </c>
      <c r="B12" s="49">
        <v>53150</v>
      </c>
      <c r="C12" s="50">
        <v>199174.5</v>
      </c>
      <c r="D12" s="50">
        <v>316780.5</v>
      </c>
      <c r="E12" s="50">
        <v>360337</v>
      </c>
      <c r="F12" s="50">
        <v>412526</v>
      </c>
      <c r="G12" s="17">
        <f t="shared" si="0"/>
        <v>1288818</v>
      </c>
      <c r="H12" s="17">
        <f t="shared" si="1"/>
        <v>60689.686540872579</v>
      </c>
      <c r="I12" s="17">
        <f t="shared" si="2"/>
        <v>1228128.3134591274</v>
      </c>
    </row>
    <row r="13" spans="1:9" ht="15.75" customHeight="1" x14ac:dyDescent="0.25">
      <c r="A13" s="5">
        <f t="shared" si="3"/>
        <v>2035</v>
      </c>
      <c r="B13" s="49">
        <v>52470</v>
      </c>
      <c r="C13" s="50">
        <v>197270.5</v>
      </c>
      <c r="D13" s="50">
        <v>316916</v>
      </c>
      <c r="E13" s="50">
        <v>349489.5</v>
      </c>
      <c r="F13" s="50">
        <v>402773.5</v>
      </c>
      <c r="G13" s="17">
        <f t="shared" si="0"/>
        <v>1266449.5</v>
      </c>
      <c r="H13" s="17">
        <f t="shared" si="1"/>
        <v>59913.223947311089</v>
      </c>
      <c r="I13" s="17">
        <f t="shared" si="2"/>
        <v>1206536.2760526889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tntg6sCOI/muw2yEmxj2YQCUD5OC1lMY1IgbA5leX1shifyotSpHw2R5Bk5SI5xwAJSHoesbfJ9b6mYhSAdqQ==" saltValue="aCavg54hV/1DIMJ2dIWC7w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82</v>
      </c>
      <c r="C2" s="29" t="s">
        <v>78</v>
      </c>
      <c r="D2" s="29"/>
      <c r="E2" s="29"/>
      <c r="F2" s="29"/>
      <c r="G2" s="29"/>
    </row>
    <row r="3" spans="1:8" ht="15.75" customHeight="1" x14ac:dyDescent="0.25">
      <c r="B3" s="19" t="s">
        <v>93</v>
      </c>
      <c r="C3" s="55">
        <v>0</v>
      </c>
    </row>
    <row r="4" spans="1:8" ht="15.75" customHeight="1" x14ac:dyDescent="0.25">
      <c r="B4" s="19" t="s">
        <v>97</v>
      </c>
      <c r="C4" s="101">
        <v>2.6376197362380321E-2</v>
      </c>
    </row>
    <row r="5" spans="1:8" ht="15.75" customHeight="1" x14ac:dyDescent="0.25">
      <c r="B5" s="19" t="s">
        <v>95</v>
      </c>
      <c r="C5" s="101">
        <v>1.9977998002200119E-2</v>
      </c>
    </row>
    <row r="6" spans="1:8" ht="15.75" customHeight="1" x14ac:dyDescent="0.25">
      <c r="B6" s="19" t="s">
        <v>91</v>
      </c>
      <c r="C6" s="101">
        <v>0.1411632858836713</v>
      </c>
    </row>
    <row r="7" spans="1:8" ht="15.75" customHeight="1" x14ac:dyDescent="0.25">
      <c r="B7" s="19" t="s">
        <v>96</v>
      </c>
      <c r="C7" s="101">
        <v>0.63213873678612653</v>
      </c>
    </row>
    <row r="8" spans="1:8" ht="15.75" customHeight="1" x14ac:dyDescent="0.25">
      <c r="B8" s="19" t="s">
        <v>98</v>
      </c>
      <c r="C8" s="101">
        <v>0</v>
      </c>
    </row>
    <row r="9" spans="1:8" ht="15.75" customHeight="1" x14ac:dyDescent="0.25">
      <c r="B9" s="19" t="s">
        <v>92</v>
      </c>
      <c r="C9" s="101">
        <v>0.1415473858452613</v>
      </c>
    </row>
    <row r="10" spans="1:8" ht="15.75" customHeight="1" x14ac:dyDescent="0.25">
      <c r="B10" s="19" t="s">
        <v>94</v>
      </c>
      <c r="C10" s="101">
        <v>3.8796396120360288E-2</v>
      </c>
    </row>
    <row r="11" spans="1:8" ht="15.75" customHeight="1" x14ac:dyDescent="0.25">
      <c r="B11" s="27" t="s">
        <v>60</v>
      </c>
      <c r="C11" s="48">
        <f>SUM(C3:C10)</f>
        <v>0.99999999999999978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83</v>
      </c>
      <c r="B13" s="29" t="s">
        <v>82</v>
      </c>
      <c r="C13" s="102" t="s">
        <v>74</v>
      </c>
      <c r="D13" s="102" t="s">
        <v>77</v>
      </c>
      <c r="E13" s="102" t="s">
        <v>75</v>
      </c>
      <c r="F13" s="102" t="s">
        <v>76</v>
      </c>
      <c r="G13" s="19"/>
    </row>
    <row r="14" spans="1:8" ht="15.75" customHeight="1" x14ac:dyDescent="0.25">
      <c r="B14" s="19" t="s">
        <v>84</v>
      </c>
      <c r="C14" s="55">
        <v>1.3038873925610541E-2</v>
      </c>
      <c r="D14" s="55">
        <v>1.3038873925610541E-2</v>
      </c>
      <c r="E14" s="55">
        <v>1.3038873925610541E-2</v>
      </c>
      <c r="F14" s="55">
        <v>1.3038873925610541E-2</v>
      </c>
    </row>
    <row r="15" spans="1:8" ht="15.75" customHeight="1" x14ac:dyDescent="0.25">
      <c r="B15" s="19" t="s">
        <v>102</v>
      </c>
      <c r="C15" s="101">
        <v>0.2425058603064156</v>
      </c>
      <c r="D15" s="101">
        <v>0.2425058603064156</v>
      </c>
      <c r="E15" s="101">
        <v>0.2425058603064156</v>
      </c>
      <c r="F15" s="101">
        <v>0.2425058603064156</v>
      </c>
    </row>
    <row r="16" spans="1:8" ht="15.75" customHeight="1" x14ac:dyDescent="0.25">
      <c r="B16" s="19" t="s">
        <v>2</v>
      </c>
      <c r="C16" s="101">
        <v>0.16458964421727099</v>
      </c>
      <c r="D16" s="101">
        <v>0.16458964421727099</v>
      </c>
      <c r="E16" s="101">
        <v>0.16458964421727099</v>
      </c>
      <c r="F16" s="101">
        <v>0.16458964421727099</v>
      </c>
    </row>
    <row r="17" spans="1:8" ht="15.75" customHeight="1" x14ac:dyDescent="0.25">
      <c r="B17" s="19" t="s">
        <v>90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3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101</v>
      </c>
      <c r="C19" s="101">
        <v>0</v>
      </c>
      <c r="D19" s="101">
        <v>0</v>
      </c>
      <c r="E19" s="101">
        <v>0</v>
      </c>
      <c r="F19" s="101">
        <v>0</v>
      </c>
    </row>
    <row r="20" spans="1:8" ht="15.75" customHeight="1" x14ac:dyDescent="0.25">
      <c r="B20" s="19" t="s">
        <v>79</v>
      </c>
      <c r="C20" s="101">
        <v>0</v>
      </c>
      <c r="D20" s="101">
        <v>0</v>
      </c>
      <c r="E20" s="101">
        <v>0</v>
      </c>
      <c r="F20" s="101">
        <v>0</v>
      </c>
    </row>
    <row r="21" spans="1:8" ht="15.75" customHeight="1" x14ac:dyDescent="0.25">
      <c r="B21" s="19" t="s">
        <v>88</v>
      </c>
      <c r="C21" s="101">
        <v>0.37636846830508891</v>
      </c>
      <c r="D21" s="101">
        <v>0.37636846830508891</v>
      </c>
      <c r="E21" s="101">
        <v>0.37636846830508891</v>
      </c>
      <c r="F21" s="101">
        <v>0.37636846830508891</v>
      </c>
    </row>
    <row r="22" spans="1:8" ht="15.75" customHeight="1" x14ac:dyDescent="0.25">
      <c r="B22" s="19" t="s">
        <v>99</v>
      </c>
      <c r="C22" s="101">
        <v>0.2034971532456139</v>
      </c>
      <c r="D22" s="101">
        <v>0.2034971532456139</v>
      </c>
      <c r="E22" s="101">
        <v>0.2034971532456139</v>
      </c>
      <c r="F22" s="101">
        <v>0.2034971532456139</v>
      </c>
    </row>
    <row r="23" spans="1:8" ht="15.75" customHeight="1" x14ac:dyDescent="0.25">
      <c r="B23" s="27" t="s">
        <v>60</v>
      </c>
      <c r="C23" s="48">
        <f>SUM(C14:C22)</f>
        <v>0.99999999999999989</v>
      </c>
      <c r="D23" s="48">
        <f>SUM(D14:D22)</f>
        <v>0.99999999999999989</v>
      </c>
      <c r="E23" s="48">
        <f>SUM(E14:E22)</f>
        <v>0.99999999999999989</v>
      </c>
      <c r="F23" s="48">
        <f>SUM(F14:F22)</f>
        <v>0.99999999999999989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104</v>
      </c>
      <c r="B25" s="29" t="s">
        <v>82</v>
      </c>
      <c r="C25" s="29" t="s">
        <v>104</v>
      </c>
      <c r="D25" s="19"/>
      <c r="E25" s="19"/>
      <c r="F25" s="19"/>
      <c r="G25" s="19"/>
      <c r="H25" s="19"/>
    </row>
    <row r="26" spans="1:8" ht="15.75" customHeight="1" x14ac:dyDescent="0.25">
      <c r="B26" s="19" t="s">
        <v>81</v>
      </c>
      <c r="C26" s="55">
        <v>7.6356962E-2</v>
      </c>
    </row>
    <row r="27" spans="1:8" ht="15.75" customHeight="1" x14ac:dyDescent="0.25">
      <c r="B27" s="19" t="s">
        <v>89</v>
      </c>
      <c r="C27" s="101">
        <v>4.6857983999999978E-2</v>
      </c>
    </row>
    <row r="28" spans="1:8" ht="15.75" customHeight="1" x14ac:dyDescent="0.25">
      <c r="B28" s="19" t="s">
        <v>103</v>
      </c>
      <c r="C28" s="101">
        <v>8.0995853000000007E-2</v>
      </c>
    </row>
    <row r="29" spans="1:8" ht="15.75" customHeight="1" x14ac:dyDescent="0.25">
      <c r="B29" s="19" t="s">
        <v>86</v>
      </c>
      <c r="C29" s="101">
        <v>0.17572802300000001</v>
      </c>
    </row>
    <row r="30" spans="1:8" ht="15.75" customHeight="1" x14ac:dyDescent="0.25">
      <c r="B30" s="19" t="s">
        <v>4</v>
      </c>
      <c r="C30" s="101">
        <v>0.102999484</v>
      </c>
    </row>
    <row r="31" spans="1:8" ht="15.75" customHeight="1" x14ac:dyDescent="0.25">
      <c r="B31" s="19" t="s">
        <v>80</v>
      </c>
      <c r="C31" s="101">
        <v>3.8216664999999997E-2</v>
      </c>
    </row>
    <row r="32" spans="1:8" ht="15.75" customHeight="1" x14ac:dyDescent="0.25">
      <c r="B32" s="19" t="s">
        <v>85</v>
      </c>
      <c r="C32" s="101">
        <v>0.17722406800000001</v>
      </c>
    </row>
    <row r="33" spans="2:3" ht="15.75" customHeight="1" x14ac:dyDescent="0.25">
      <c r="B33" s="19" t="s">
        <v>100</v>
      </c>
      <c r="C33" s="101">
        <v>0.162579839</v>
      </c>
    </row>
    <row r="34" spans="2:3" ht="15.75" customHeight="1" x14ac:dyDescent="0.25">
      <c r="B34" s="19" t="s">
        <v>87</v>
      </c>
      <c r="C34" s="101">
        <v>0.13904112199999999</v>
      </c>
    </row>
    <row r="35" spans="2:3" ht="15.75" customHeight="1" x14ac:dyDescent="0.25">
      <c r="B35" s="27" t="s">
        <v>60</v>
      </c>
      <c r="C35" s="48">
        <f>SUM(C26:C34)</f>
        <v>0.99999999999999989</v>
      </c>
    </row>
  </sheetData>
  <sheetProtection algorithmName="SHA-512" hashValue="/5abSWJhVb3mAigVkLir0CxeUiGmpjFBF9YGKvh9dMthSJWn2OQDr4jBP1Oe+KCa/104sIgoDiud38Uo5mEe5w==" saltValue="jfG+Y9Ump2qGc0rKUlXlRA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120</v>
      </c>
      <c r="C1" s="11" t="s">
        <v>78</v>
      </c>
      <c r="D1" s="11" t="s">
        <v>74</v>
      </c>
      <c r="E1" s="11" t="s">
        <v>77</v>
      </c>
      <c r="F1" s="11" t="s">
        <v>75</v>
      </c>
      <c r="G1" s="11" t="s">
        <v>76</v>
      </c>
    </row>
    <row r="2" spans="1:15" ht="15.75" customHeight="1" x14ac:dyDescent="0.25">
      <c r="A2" s="3" t="s">
        <v>121</v>
      </c>
      <c r="B2" s="5" t="s">
        <v>111</v>
      </c>
      <c r="C2" s="52">
        <f>IFERROR(1-_xlfn.NORM.DIST(_xlfn.NORM.INV(SUM(C4:C5), 0, 1) + 1, 0, 1, TRUE), "")</f>
        <v>0.59390726713780428</v>
      </c>
      <c r="D2" s="52">
        <f>IFERROR(1-_xlfn.NORM.DIST(_xlfn.NORM.INV(SUM(D4:D5), 0, 1) + 1, 0, 1, TRUE), "")</f>
        <v>0.59390726713780428</v>
      </c>
      <c r="E2" s="52">
        <f>IFERROR(1-_xlfn.NORM.DIST(_xlfn.NORM.INV(SUM(E4:E5), 0, 1) + 1, 0, 1, TRUE), "")</f>
        <v>0.74371708472323184</v>
      </c>
      <c r="F2" s="52">
        <f>IFERROR(1-_xlfn.NORM.DIST(_xlfn.NORM.INV(SUM(F4:F5), 0, 1) + 1, 0, 1, TRUE), "")</f>
        <v>0.77886571160733875</v>
      </c>
      <c r="G2" s="52">
        <f>IFERROR(1-_xlfn.NORM.DIST(_xlfn.NORM.INV(SUM(G4:G5), 0, 1) + 1, 0, 1, TRUE), "")</f>
        <v>0.72889505518581521</v>
      </c>
    </row>
    <row r="3" spans="1:15" ht="15.75" customHeight="1" x14ac:dyDescent="0.25">
      <c r="B3" s="5" t="s">
        <v>108</v>
      </c>
      <c r="C3" s="52">
        <f>IFERROR(_xlfn.NORM.DIST(_xlfn.NORM.INV(SUM(C4:C5), 0, 1) + 1, 0, 1, TRUE) - SUM(C4:C5), "")</f>
        <v>0.29816193286219578</v>
      </c>
      <c r="D3" s="52">
        <f>IFERROR(_xlfn.NORM.DIST(_xlfn.NORM.INV(SUM(D4:D5), 0, 1) + 1, 0, 1, TRUE) - SUM(D4:D5), "")</f>
        <v>0.29816193286219578</v>
      </c>
      <c r="E3" s="52">
        <f>IFERROR(_xlfn.NORM.DIST(_xlfn.NORM.INV(SUM(E4:E5), 0, 1) + 1, 0, 1, TRUE) - SUM(E4:E5), "")</f>
        <v>0.20730521527676815</v>
      </c>
      <c r="F3" s="52">
        <f>IFERROR(_xlfn.NORM.DIST(_xlfn.NORM.INV(SUM(F4:F5), 0, 1) + 1, 0, 1, TRUE) - SUM(F4:F5), "")</f>
        <v>0.18263458839266131</v>
      </c>
      <c r="G3" s="52">
        <f>IFERROR(_xlfn.NORM.DIST(_xlfn.NORM.INV(SUM(G4:G5), 0, 1) + 1, 0, 1, TRUE) - SUM(G4:G5), "")</f>
        <v>0.21734864481418481</v>
      </c>
    </row>
    <row r="4" spans="1:15" ht="15.75" customHeight="1" x14ac:dyDescent="0.25">
      <c r="B4" s="5" t="s">
        <v>110</v>
      </c>
      <c r="C4" s="45">
        <v>7.0136699999999996E-2</v>
      </c>
      <c r="D4" s="53">
        <v>7.0136699999999996E-2</v>
      </c>
      <c r="E4" s="53">
        <v>3.4336800000000001E-2</v>
      </c>
      <c r="F4" s="53">
        <v>2.6632300000000001E-2</v>
      </c>
      <c r="G4" s="53">
        <v>3.4629399999999998E-2</v>
      </c>
    </row>
    <row r="5" spans="1:15" ht="15.75" customHeight="1" x14ac:dyDescent="0.25">
      <c r="B5" s="5" t="s">
        <v>106</v>
      </c>
      <c r="C5" s="45">
        <v>3.7794099999999997E-2</v>
      </c>
      <c r="D5" s="53">
        <v>3.7794099999999997E-2</v>
      </c>
      <c r="E5" s="53">
        <v>1.46409E-2</v>
      </c>
      <c r="F5" s="53">
        <v>1.18674E-2</v>
      </c>
      <c r="G5" s="53">
        <v>1.9126899999999999E-2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122</v>
      </c>
      <c r="B8" s="5" t="s">
        <v>112</v>
      </c>
      <c r="C8" s="52">
        <f>IFERROR(1-_xlfn.NORM.DIST(_xlfn.NORM.INV(SUM(C10:C11), 0, 1) + 1, 0, 1, TRUE), "")</f>
        <v>0.68723648599051779</v>
      </c>
      <c r="D8" s="52">
        <f>IFERROR(1-_xlfn.NORM.DIST(_xlfn.NORM.INV(SUM(D10:D11), 0, 1) + 1, 0, 1, TRUE), "")</f>
        <v>0.68723648599051779</v>
      </c>
      <c r="E8" s="52">
        <f>IFERROR(1-_xlfn.NORM.DIST(_xlfn.NORM.INV(SUM(E10:E11), 0, 1) + 1, 0, 1, TRUE), "")</f>
        <v>0.77701468268072693</v>
      </c>
      <c r="F8" s="52">
        <f>IFERROR(1-_xlfn.NORM.DIST(_xlfn.NORM.INV(SUM(F10:F11), 0, 1) + 1, 0, 1, TRUE), "")</f>
        <v>0.9136633808576291</v>
      </c>
      <c r="G8" s="52">
        <f>IFERROR(1-_xlfn.NORM.DIST(_xlfn.NORM.INV(SUM(G10:G11), 0, 1) + 1, 0, 1, TRUE), "")</f>
        <v>0.83498121266580128</v>
      </c>
    </row>
    <row r="9" spans="1:15" ht="15.75" customHeight="1" x14ac:dyDescent="0.25">
      <c r="B9" s="5" t="s">
        <v>109</v>
      </c>
      <c r="C9" s="52">
        <f>IFERROR(_xlfn.NORM.DIST(_xlfn.NORM.INV(SUM(C10:C11), 0, 1) + 1, 0, 1, TRUE) - SUM(C10:C11), "")</f>
        <v>0.24439231400948222</v>
      </c>
      <c r="D9" s="52">
        <f>IFERROR(_xlfn.NORM.DIST(_xlfn.NORM.INV(SUM(D10:D11), 0, 1) + 1, 0, 1, TRUE) - SUM(D10:D11), "")</f>
        <v>0.24439231400948222</v>
      </c>
      <c r="E9" s="52">
        <f>IFERROR(_xlfn.NORM.DIST(_xlfn.NORM.INV(SUM(E10:E11), 0, 1) + 1, 0, 1, TRUE) - SUM(E10:E11), "")</f>
        <v>0.18396331731927304</v>
      </c>
      <c r="F9" s="52">
        <f>IFERROR(_xlfn.NORM.DIST(_xlfn.NORM.INV(SUM(F10:F11), 0, 1) + 1, 0, 1, TRUE) - SUM(F10:F11), "")</f>
        <v>7.7289019142370949E-2</v>
      </c>
      <c r="G9" s="52">
        <f>IFERROR(_xlfn.NORM.DIST(_xlfn.NORM.INV(SUM(G10:G11), 0, 1) + 1, 0, 1, TRUE) - SUM(G10:G11), "")</f>
        <v>0.14083008733419869</v>
      </c>
    </row>
    <row r="10" spans="1:15" ht="15.75" customHeight="1" x14ac:dyDescent="0.25">
      <c r="B10" s="5" t="s">
        <v>107</v>
      </c>
      <c r="C10" s="45">
        <v>6.8371199999999993E-2</v>
      </c>
      <c r="D10" s="53">
        <v>6.8371199999999993E-2</v>
      </c>
      <c r="E10" s="53">
        <v>2.5490800000000001E-2</v>
      </c>
      <c r="F10" s="53">
        <v>2.9429999999999999E-3</v>
      </c>
      <c r="G10" s="53">
        <v>2.01747E-2</v>
      </c>
    </row>
    <row r="11" spans="1:15" ht="15.75" customHeight="1" x14ac:dyDescent="0.25">
      <c r="B11" s="5" t="s">
        <v>119</v>
      </c>
      <c r="C11" s="45">
        <v>0</v>
      </c>
      <c r="D11" s="53">
        <v>0</v>
      </c>
      <c r="E11" s="53">
        <v>1.35312E-2</v>
      </c>
      <c r="F11" s="53">
        <v>6.1046E-3</v>
      </c>
      <c r="G11" s="53">
        <v>4.0140000000000002E-3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105</v>
      </c>
      <c r="C13" s="11" t="s">
        <v>78</v>
      </c>
      <c r="D13" s="11" t="s">
        <v>74</v>
      </c>
      <c r="E13" s="11" t="s">
        <v>77</v>
      </c>
      <c r="F13" s="11" t="s">
        <v>75</v>
      </c>
      <c r="G13" s="11" t="s">
        <v>76</v>
      </c>
      <c r="H13" s="18" t="s">
        <v>113</v>
      </c>
      <c r="I13" s="18" t="s">
        <v>114</v>
      </c>
      <c r="J13" s="18" t="s">
        <v>115</v>
      </c>
      <c r="K13" s="18" t="s">
        <v>116</v>
      </c>
      <c r="L13" s="18" t="s">
        <v>68</v>
      </c>
      <c r="M13" s="18" t="s">
        <v>69</v>
      </c>
      <c r="N13" s="18" t="s">
        <v>70</v>
      </c>
      <c r="O13" s="18" t="s">
        <v>71</v>
      </c>
    </row>
    <row r="14" spans="1:15" ht="15.75" customHeight="1" x14ac:dyDescent="0.25">
      <c r="B14" s="11" t="s">
        <v>117</v>
      </c>
      <c r="C14" s="51">
        <v>0.40326360550000012</v>
      </c>
      <c r="D14" s="54">
        <v>0.41716673795999992</v>
      </c>
      <c r="E14" s="54">
        <v>0.41716673795999992</v>
      </c>
      <c r="F14" s="54">
        <v>0.180481621654</v>
      </c>
      <c r="G14" s="54">
        <v>0.180481621654</v>
      </c>
      <c r="H14" s="45">
        <v>0.28399999999999997</v>
      </c>
      <c r="I14" s="55">
        <v>0.28399999999999997</v>
      </c>
      <c r="J14" s="55">
        <v>0.28399999999999997</v>
      </c>
      <c r="K14" s="55">
        <v>0.28399999999999997</v>
      </c>
      <c r="L14" s="45">
        <v>0.27200000000000002</v>
      </c>
      <c r="M14" s="55">
        <v>0.27200000000000002</v>
      </c>
      <c r="N14" s="55">
        <v>0.27200000000000002</v>
      </c>
      <c r="O14" s="55">
        <v>0.27200000000000002</v>
      </c>
    </row>
    <row r="15" spans="1:15" ht="15.75" customHeight="1" x14ac:dyDescent="0.25">
      <c r="B15" s="11" t="s">
        <v>118</v>
      </c>
      <c r="C15" s="52">
        <f t="shared" ref="C15:O15" si="0">iron_deficiency_anaemia*C14</f>
        <v>0.25129371576732507</v>
      </c>
      <c r="D15" s="52">
        <f t="shared" si="0"/>
        <v>0.25995745275977394</v>
      </c>
      <c r="E15" s="52">
        <f t="shared" si="0"/>
        <v>0.25995745275977394</v>
      </c>
      <c r="F15" s="52">
        <f t="shared" si="0"/>
        <v>0.11246712253369009</v>
      </c>
      <c r="G15" s="52">
        <f t="shared" si="0"/>
        <v>0.11246712253369009</v>
      </c>
      <c r="H15" s="52">
        <f t="shared" si="0"/>
        <v>0.17697459999999998</v>
      </c>
      <c r="I15" s="52">
        <f t="shared" si="0"/>
        <v>0.17697459999999998</v>
      </c>
      <c r="J15" s="52">
        <f t="shared" si="0"/>
        <v>0.17697459999999998</v>
      </c>
      <c r="K15" s="52">
        <f t="shared" si="0"/>
        <v>0.17697459999999998</v>
      </c>
      <c r="L15" s="52">
        <f t="shared" si="0"/>
        <v>0.1694968</v>
      </c>
      <c r="M15" s="52">
        <f t="shared" si="0"/>
        <v>0.1694968</v>
      </c>
      <c r="N15" s="52">
        <f t="shared" si="0"/>
        <v>0.1694968</v>
      </c>
      <c r="O15" s="52">
        <f t="shared" si="0"/>
        <v>0.1694968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dkJ3dvNu6VF7sqwLhIEUvtvEkhplOngr8Htw+OzxPeqygipXo3DOvaHdWDymK6WBZ6WdnpfKo2SBWqrnPaQxLA==" saltValue="t+f0Xo0rSrdHqOezZjd/j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120</v>
      </c>
      <c r="C1" s="8" t="s">
        <v>78</v>
      </c>
      <c r="D1" s="8" t="s">
        <v>74</v>
      </c>
      <c r="E1" s="8" t="s">
        <v>77</v>
      </c>
      <c r="F1" s="8" t="s">
        <v>75</v>
      </c>
      <c r="G1" s="8" t="s">
        <v>76</v>
      </c>
    </row>
    <row r="2" spans="1:7" x14ac:dyDescent="0.25">
      <c r="A2" s="3" t="s">
        <v>123</v>
      </c>
      <c r="B2" s="3" t="s">
        <v>124</v>
      </c>
      <c r="C2" s="45">
        <v>0.57374920000000007</v>
      </c>
      <c r="D2" s="53">
        <v>0.21961839999999999</v>
      </c>
      <c r="E2" s="53">
        <v>0</v>
      </c>
      <c r="F2" s="53">
        <v>0</v>
      </c>
      <c r="G2" s="53">
        <v>0</v>
      </c>
    </row>
    <row r="3" spans="1:7" x14ac:dyDescent="0.25">
      <c r="B3" s="3" t="s">
        <v>127</v>
      </c>
      <c r="C3" s="53">
        <v>0.32482139999999998</v>
      </c>
      <c r="D3" s="53">
        <v>0.29721890000000001</v>
      </c>
      <c r="E3" s="53">
        <v>0</v>
      </c>
      <c r="F3" s="53">
        <v>0</v>
      </c>
      <c r="G3" s="53">
        <v>0</v>
      </c>
    </row>
    <row r="4" spans="1:7" x14ac:dyDescent="0.25">
      <c r="B4" s="3" t="s">
        <v>126</v>
      </c>
      <c r="C4" s="53">
        <v>5.2271599999999988E-2</v>
      </c>
      <c r="D4" s="53">
        <v>0.1803351</v>
      </c>
      <c r="E4" s="53">
        <v>0.44911450000000003</v>
      </c>
      <c r="F4" s="53">
        <v>0.1620346</v>
      </c>
      <c r="G4" s="53">
        <v>0</v>
      </c>
    </row>
    <row r="5" spans="1:7" x14ac:dyDescent="0.25">
      <c r="B5" s="3" t="s">
        <v>125</v>
      </c>
      <c r="C5" s="52">
        <v>4.9157800000000001E-2</v>
      </c>
      <c r="D5" s="52">
        <v>0.30282759999999997</v>
      </c>
      <c r="E5" s="52">
        <f>1-SUM(E2:E4)</f>
        <v>0.55088549999999992</v>
      </c>
      <c r="F5" s="52">
        <f>1-SUM(F2:F4)</f>
        <v>0.83796539999999997</v>
      </c>
      <c r="G5" s="52">
        <f>1-SUM(G2:G4)</f>
        <v>1</v>
      </c>
    </row>
  </sheetData>
  <sheetProtection algorithmName="SHA-512" hashValue="wRiyajm2CV2rJkUnCNqg5bqC7kQzjgyukRfYe3Jr93v4SFpWvUBNDT3FddDCQMVg2q2BVIJUbkjTlNnGOYiA+w==" saltValue="MQkx0EQi2wB4V3enhgRkVg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135</v>
      </c>
      <c r="B1" s="4" t="s">
        <v>133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136</v>
      </c>
      <c r="B2" s="9" t="s">
        <v>130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138</v>
      </c>
      <c r="B4" s="9" t="s">
        <v>130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130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104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139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134</v>
      </c>
      <c r="B10" s="11" t="s">
        <v>129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131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37</v>
      </c>
      <c r="B13" s="11" t="s">
        <v>137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132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iC2Hx5YWDtiL7SP3luYnN8tMyPxh+q2dBHyuun5V5+h92rel9nEr+PsgdpnBQq5NivBl9mgybWjJZq5Wf41uuQ==" saltValue="yE/dtZ923uv6PIE6ms+EGw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147</v>
      </c>
      <c r="B1" s="4" t="s">
        <v>145</v>
      </c>
    </row>
    <row r="2" spans="1:2" x14ac:dyDescent="0.25">
      <c r="A2" s="8" t="s">
        <v>144</v>
      </c>
      <c r="B2" s="41">
        <v>10</v>
      </c>
    </row>
    <row r="3" spans="1:2" x14ac:dyDescent="0.25">
      <c r="A3" s="8" t="s">
        <v>143</v>
      </c>
      <c r="B3" s="41">
        <v>10</v>
      </c>
    </row>
    <row r="4" spans="1:2" x14ac:dyDescent="0.25">
      <c r="A4" s="8" t="s">
        <v>142</v>
      </c>
      <c r="B4" s="41">
        <v>10</v>
      </c>
    </row>
    <row r="5" spans="1:2" x14ac:dyDescent="0.25">
      <c r="A5" s="8" t="s">
        <v>146</v>
      </c>
      <c r="B5" s="41">
        <v>10</v>
      </c>
    </row>
    <row r="6" spans="1:2" x14ac:dyDescent="0.25">
      <c r="A6" s="8" t="s">
        <v>140</v>
      </c>
      <c r="B6" s="41">
        <v>10</v>
      </c>
    </row>
    <row r="7" spans="1:2" x14ac:dyDescent="0.25">
      <c r="A7" s="8" t="s">
        <v>141</v>
      </c>
      <c r="B7" s="41">
        <v>10</v>
      </c>
    </row>
  </sheetData>
  <sheetProtection algorithmName="SHA-512" hashValue="Cq8jtS+azInoGdbycdmAtSKmBFd83EavCpxLQifmzfX0cF9lUYVNg0k87+3Smt1zNi6jqxH6I8cOFAPt2qSjbg==" saltValue="HCtrHf1gDgc8bKZ+TexEsA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154</v>
      </c>
      <c r="B1" s="36" t="s">
        <v>156</v>
      </c>
      <c r="C1" s="36" t="s">
        <v>150</v>
      </c>
      <c r="D1" s="36" t="s">
        <v>149</v>
      </c>
      <c r="E1" s="36" t="s">
        <v>155</v>
      </c>
    </row>
    <row r="2" spans="1:5" ht="13" customHeight="1" x14ac:dyDescent="0.3">
      <c r="A2" s="34" t="s">
        <v>151</v>
      </c>
      <c r="B2" s="32" t="s">
        <v>104</v>
      </c>
      <c r="C2" s="47"/>
      <c r="D2" s="47"/>
      <c r="E2" s="38" t="str">
        <f>IF(E$7="","",E$7)</f>
        <v/>
      </c>
    </row>
    <row r="3" spans="1:5" x14ac:dyDescent="0.25">
      <c r="B3" s="32" t="s">
        <v>78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74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77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75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148</v>
      </c>
      <c r="C7" s="31"/>
      <c r="D7" s="30"/>
      <c r="E7" s="47"/>
    </row>
    <row r="9" spans="1:5" ht="13" customHeight="1" x14ac:dyDescent="0.3">
      <c r="A9" s="34" t="s">
        <v>152</v>
      </c>
      <c r="B9" s="32" t="s">
        <v>104</v>
      </c>
      <c r="C9" s="47"/>
      <c r="D9" s="47"/>
      <c r="E9" s="38" t="str">
        <f>IF(E$7="","",E$7)</f>
        <v/>
      </c>
    </row>
    <row r="10" spans="1:5" x14ac:dyDescent="0.25">
      <c r="B10" s="32" t="s">
        <v>78</v>
      </c>
      <c r="C10" s="47"/>
      <c r="D10" s="47"/>
      <c r="E10" s="38" t="str">
        <f>IF(E$7="","",E$7)</f>
        <v/>
      </c>
    </row>
    <row r="11" spans="1:5" x14ac:dyDescent="0.25">
      <c r="B11" s="32" t="s">
        <v>74</v>
      </c>
      <c r="C11" s="47"/>
      <c r="D11" s="47"/>
      <c r="E11" s="38" t="str">
        <f>IF(E$7="","",E$7)</f>
        <v/>
      </c>
    </row>
    <row r="12" spans="1:5" x14ac:dyDescent="0.25">
      <c r="B12" s="32" t="s">
        <v>77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75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148</v>
      </c>
      <c r="C14" s="31"/>
      <c r="D14" s="30"/>
      <c r="E14" s="47"/>
    </row>
    <row r="16" spans="1:5" ht="13" customHeight="1" x14ac:dyDescent="0.3">
      <c r="A16" s="34" t="s">
        <v>153</v>
      </c>
      <c r="B16" s="32" t="s">
        <v>104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78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74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77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75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148</v>
      </c>
      <c r="C21" s="31"/>
      <c r="D21" s="30"/>
      <c r="E21" s="47"/>
    </row>
  </sheetData>
  <sheetProtection algorithmName="SHA-512" hashValue="yyKJst9/1qysQ4/Wc28yClto85pJUr1Fxt+yISGA7neUAMmK7GO7AXcTNVx7U9eVXohAr6emhcchqVHHlNMeVA==" saltValue="cKeIMwSqVEoV/jB/SUMspQ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0</v>
      </c>
      <c r="B1" s="36" t="s">
        <v>159</v>
      </c>
      <c r="C1" s="40" t="s">
        <v>161</v>
      </c>
      <c r="D1" s="40" t="s">
        <v>157</v>
      </c>
    </row>
    <row r="2" spans="1:4" ht="13" customHeight="1" x14ac:dyDescent="0.3">
      <c r="A2" s="40" t="s">
        <v>163</v>
      </c>
      <c r="B2" s="32" t="s">
        <v>164</v>
      </c>
      <c r="C2" s="32" t="s">
        <v>162</v>
      </c>
      <c r="D2" s="47"/>
    </row>
    <row r="3" spans="1:4" ht="13" customHeight="1" x14ac:dyDescent="0.3">
      <c r="A3" s="40" t="s">
        <v>160</v>
      </c>
      <c r="B3" s="32" t="s">
        <v>150</v>
      </c>
      <c r="C3" s="32" t="s">
        <v>158</v>
      </c>
      <c r="D3" s="47"/>
    </row>
  </sheetData>
  <sheetProtection algorithmName="SHA-512" hashValue="S4V0woL+Yx+suK0IoAJ30nOwpId9sP2Vd3RRmjkvc5Y+g2lPDYOmCB3LLnmwPqqx6gY8LXnbqo/+5gh3fw/YsQ==" saltValue="KOqgHkF9kN+zT8FD8G5iiQ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opLeftCell="A24" zoomScale="70" zoomScaleNormal="70" workbookViewId="0">
      <selection activeCell="B30" sqref="B30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163</v>
      </c>
      <c r="B1" s="22" t="str">
        <f>"Cobertura de referencia ("&amp;start_year&amp;")"</f>
        <v>Cobertura de referencia (2024)</v>
      </c>
      <c r="C1" s="22" t="s">
        <v>194</v>
      </c>
      <c r="D1" s="22" t="s">
        <v>195</v>
      </c>
      <c r="E1" s="22" t="s">
        <v>168</v>
      </c>
      <c r="F1" s="22" t="s">
        <v>187</v>
      </c>
      <c r="G1" s="22" t="s">
        <v>186</v>
      </c>
    </row>
    <row r="2" spans="1:7" ht="15.75" customHeight="1" x14ac:dyDescent="0.25">
      <c r="A2" s="5" t="s">
        <v>165</v>
      </c>
      <c r="B2" s="45">
        <v>0</v>
      </c>
      <c r="C2" s="98">
        <v>0.95</v>
      </c>
      <c r="D2" s="56">
        <v>66.2077864022162</v>
      </c>
      <c r="E2" s="56" t="s">
        <v>183</v>
      </c>
      <c r="F2" s="98">
        <v>1</v>
      </c>
      <c r="G2" s="98">
        <v>1</v>
      </c>
    </row>
    <row r="3" spans="1:7" ht="15.75" customHeight="1" x14ac:dyDescent="0.25">
      <c r="A3" s="5" t="s">
        <v>166</v>
      </c>
      <c r="B3" s="45">
        <v>6.0795311102264001E-2</v>
      </c>
      <c r="C3" s="98">
        <v>0.95</v>
      </c>
      <c r="D3" s="56">
        <v>40.063438578113967</v>
      </c>
      <c r="E3" s="56" t="s">
        <v>183</v>
      </c>
      <c r="F3" s="98">
        <v>1</v>
      </c>
      <c r="G3" s="98">
        <v>1</v>
      </c>
    </row>
    <row r="4" spans="1:7" ht="15.75" customHeight="1" x14ac:dyDescent="0.25">
      <c r="A4" s="5" t="s">
        <v>167</v>
      </c>
      <c r="B4" s="98">
        <v>0</v>
      </c>
      <c r="C4" s="98">
        <v>0.95</v>
      </c>
      <c r="D4" s="56">
        <v>542.61982788724652</v>
      </c>
      <c r="E4" s="56" t="s">
        <v>183</v>
      </c>
      <c r="F4" s="98">
        <v>1</v>
      </c>
      <c r="G4" s="98">
        <v>1</v>
      </c>
    </row>
    <row r="5" spans="1:7" ht="15.75" customHeight="1" x14ac:dyDescent="0.25">
      <c r="A5" s="5" t="s">
        <v>169</v>
      </c>
      <c r="B5" s="98">
        <v>0</v>
      </c>
      <c r="C5" s="98">
        <v>0.95</v>
      </c>
      <c r="D5" s="56">
        <v>6.9000643786438447</v>
      </c>
      <c r="E5" s="56" t="s">
        <v>183</v>
      </c>
      <c r="F5" s="98">
        <v>1</v>
      </c>
      <c r="G5" s="98">
        <v>1</v>
      </c>
    </row>
    <row r="6" spans="1:7" ht="15.75" customHeight="1" x14ac:dyDescent="0.25">
      <c r="A6" s="5" t="s">
        <v>170</v>
      </c>
      <c r="B6" s="98">
        <v>0</v>
      </c>
      <c r="C6" s="98">
        <v>0.95</v>
      </c>
      <c r="D6" s="56">
        <v>99.99</v>
      </c>
      <c r="E6" s="56" t="s">
        <v>183</v>
      </c>
      <c r="F6" s="98">
        <v>1</v>
      </c>
      <c r="G6" s="98">
        <v>1</v>
      </c>
    </row>
    <row r="7" spans="1:7" ht="15.75" customHeight="1" x14ac:dyDescent="0.25">
      <c r="A7" s="5" t="s">
        <v>171</v>
      </c>
      <c r="B7" s="98">
        <v>0</v>
      </c>
      <c r="C7" s="98">
        <v>0.95</v>
      </c>
      <c r="D7" s="56">
        <v>99.99</v>
      </c>
      <c r="E7" s="56" t="s">
        <v>183</v>
      </c>
      <c r="F7" s="98">
        <v>1</v>
      </c>
      <c r="G7" s="98">
        <v>1</v>
      </c>
    </row>
    <row r="8" spans="1:7" ht="15.75" customHeight="1" x14ac:dyDescent="0.25">
      <c r="A8" s="5" t="s">
        <v>172</v>
      </c>
      <c r="B8" s="98">
        <v>0</v>
      </c>
      <c r="C8" s="98">
        <v>0.95</v>
      </c>
      <c r="D8" s="56">
        <v>99.99</v>
      </c>
      <c r="E8" s="56" t="s">
        <v>183</v>
      </c>
      <c r="F8" s="98">
        <v>1</v>
      </c>
      <c r="G8" s="98">
        <v>1</v>
      </c>
    </row>
    <row r="9" spans="1:7" ht="15.75" customHeight="1" x14ac:dyDescent="0.25">
      <c r="A9" s="5" t="s">
        <v>173</v>
      </c>
      <c r="B9" s="98">
        <v>0</v>
      </c>
      <c r="C9" s="98">
        <v>0.95</v>
      </c>
      <c r="D9" s="56">
        <v>99.99</v>
      </c>
      <c r="E9" s="56" t="s">
        <v>183</v>
      </c>
      <c r="F9" s="98">
        <v>1</v>
      </c>
      <c r="G9" s="98">
        <v>1</v>
      </c>
    </row>
    <row r="10" spans="1:7" ht="15.75" customHeight="1" x14ac:dyDescent="0.25">
      <c r="A10" s="11" t="s">
        <v>174</v>
      </c>
      <c r="B10" s="45">
        <v>0</v>
      </c>
      <c r="C10" s="98">
        <v>0.95</v>
      </c>
      <c r="D10" s="56">
        <v>13.195738021909881</v>
      </c>
      <c r="E10" s="56" t="s">
        <v>183</v>
      </c>
      <c r="F10" s="98">
        <v>1</v>
      </c>
      <c r="G10" s="98">
        <v>1</v>
      </c>
    </row>
    <row r="11" spans="1:7" ht="15.75" customHeight="1" x14ac:dyDescent="0.25">
      <c r="A11" s="11" t="s">
        <v>175</v>
      </c>
      <c r="B11" s="98">
        <v>0</v>
      </c>
      <c r="C11" s="98">
        <v>0.95</v>
      </c>
      <c r="D11" s="56">
        <v>13.195738021909881</v>
      </c>
      <c r="E11" s="56" t="s">
        <v>183</v>
      </c>
      <c r="F11" s="98">
        <v>1</v>
      </c>
      <c r="G11" s="98">
        <v>1</v>
      </c>
    </row>
    <row r="12" spans="1:7" ht="15.75" customHeight="1" x14ac:dyDescent="0.25">
      <c r="A12" s="11" t="s">
        <v>176</v>
      </c>
      <c r="B12" s="98">
        <v>0</v>
      </c>
      <c r="C12" s="98">
        <v>0.95</v>
      </c>
      <c r="D12" s="56">
        <v>13.195738021909881</v>
      </c>
      <c r="E12" s="56" t="s">
        <v>183</v>
      </c>
      <c r="F12" s="98">
        <v>1</v>
      </c>
      <c r="G12" s="98">
        <v>1</v>
      </c>
    </row>
    <row r="13" spans="1:7" ht="15.75" customHeight="1" x14ac:dyDescent="0.25">
      <c r="A13" s="11" t="s">
        <v>177</v>
      </c>
      <c r="B13" s="98">
        <v>0</v>
      </c>
      <c r="C13" s="98">
        <v>0.95</v>
      </c>
      <c r="D13" s="56">
        <v>13.195738021909881</v>
      </c>
      <c r="E13" s="56" t="s">
        <v>183</v>
      </c>
      <c r="F13" s="98">
        <v>1</v>
      </c>
      <c r="G13" s="98">
        <v>1</v>
      </c>
    </row>
    <row r="14" spans="1:7" ht="15.75" customHeight="1" x14ac:dyDescent="0.25">
      <c r="A14" s="5" t="s">
        <v>178</v>
      </c>
      <c r="B14" s="45">
        <v>0</v>
      </c>
      <c r="C14" s="98">
        <v>0.95</v>
      </c>
      <c r="D14" s="56">
        <v>13.195738021909881</v>
      </c>
      <c r="E14" s="56" t="s">
        <v>183</v>
      </c>
      <c r="F14" s="98">
        <v>1</v>
      </c>
      <c r="G14" s="98">
        <v>1</v>
      </c>
    </row>
    <row r="15" spans="1:7" ht="15.75" customHeight="1" x14ac:dyDescent="0.25">
      <c r="A15" s="5" t="s">
        <v>179</v>
      </c>
      <c r="B15" s="98">
        <v>0</v>
      </c>
      <c r="C15" s="98">
        <v>0.95</v>
      </c>
      <c r="D15" s="56">
        <v>13.195738021909881</v>
      </c>
      <c r="E15" s="56" t="s">
        <v>183</v>
      </c>
      <c r="F15" s="98">
        <v>1</v>
      </c>
      <c r="G15" s="98">
        <v>1</v>
      </c>
    </row>
    <row r="16" spans="1:7" ht="15.75" customHeight="1" x14ac:dyDescent="0.25">
      <c r="A16" s="5" t="s">
        <v>180</v>
      </c>
      <c r="B16" s="45">
        <v>0</v>
      </c>
      <c r="C16" s="98">
        <v>0.95</v>
      </c>
      <c r="D16" s="56">
        <v>0.90250382180522548</v>
      </c>
      <c r="E16" s="56" t="s">
        <v>183</v>
      </c>
      <c r="F16" s="98">
        <v>1</v>
      </c>
      <c r="G16" s="98">
        <v>1</v>
      </c>
    </row>
    <row r="17" spans="1:7" ht="15.75" customHeight="1" x14ac:dyDescent="0.25">
      <c r="A17" s="5" t="s">
        <v>181</v>
      </c>
      <c r="B17" s="98">
        <v>0</v>
      </c>
      <c r="C17" s="98">
        <v>0.95</v>
      </c>
      <c r="D17" s="56">
        <v>0.1369044839662158</v>
      </c>
      <c r="E17" s="56" t="s">
        <v>183</v>
      </c>
      <c r="F17" s="98">
        <v>1</v>
      </c>
      <c r="G17" s="98">
        <v>1</v>
      </c>
    </row>
    <row r="18" spans="1:7" ht="15.9" customHeight="1" x14ac:dyDescent="0.25">
      <c r="A18" s="5" t="s">
        <v>151</v>
      </c>
      <c r="B18" s="98">
        <v>0.12592909999999999</v>
      </c>
      <c r="C18" s="98">
        <v>0.95</v>
      </c>
      <c r="D18" s="56">
        <v>12.47074045559749</v>
      </c>
      <c r="E18" s="56" t="s">
        <v>183</v>
      </c>
      <c r="F18" s="98">
        <v>1</v>
      </c>
      <c r="G18" s="98">
        <v>1</v>
      </c>
    </row>
    <row r="19" spans="1:7" ht="15.75" customHeight="1" x14ac:dyDescent="0.25">
      <c r="A19" s="5" t="s">
        <v>152</v>
      </c>
      <c r="B19" s="98">
        <v>0.97910419999999998</v>
      </c>
      <c r="C19" s="98">
        <v>0.95</v>
      </c>
      <c r="D19" s="56">
        <v>12.47074045559749</v>
      </c>
      <c r="E19" s="56" t="s">
        <v>183</v>
      </c>
      <c r="F19" s="98">
        <v>1</v>
      </c>
      <c r="G19" s="98">
        <v>1</v>
      </c>
    </row>
    <row r="20" spans="1:7" ht="15.75" customHeight="1" x14ac:dyDescent="0.25">
      <c r="A20" s="5" t="s">
        <v>153</v>
      </c>
      <c r="B20" s="98">
        <v>0</v>
      </c>
      <c r="C20" s="98">
        <v>0.95</v>
      </c>
      <c r="D20" s="56">
        <v>99.99</v>
      </c>
      <c r="E20" s="56" t="s">
        <v>183</v>
      </c>
      <c r="F20" s="98">
        <v>1</v>
      </c>
      <c r="G20" s="98">
        <v>1</v>
      </c>
    </row>
    <row r="21" spans="1:7" ht="15.75" customHeight="1" x14ac:dyDescent="0.25">
      <c r="A21" s="5" t="s">
        <v>182</v>
      </c>
      <c r="B21" s="45">
        <v>0.94893539999999998</v>
      </c>
      <c r="C21" s="98">
        <v>0.95</v>
      </c>
      <c r="D21" s="56">
        <v>68.582775194044444</v>
      </c>
      <c r="E21" s="56" t="s">
        <v>183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22.867873379757981</v>
      </c>
      <c r="E22" s="56" t="s">
        <v>183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</v>
      </c>
      <c r="C23" s="98">
        <v>0.95</v>
      </c>
      <c r="D23" s="56">
        <v>4.3940617735474108</v>
      </c>
      <c r="E23" s="56" t="s">
        <v>183</v>
      </c>
      <c r="F23" s="98">
        <v>1</v>
      </c>
      <c r="G23" s="98">
        <v>1</v>
      </c>
    </row>
    <row r="24" spans="1:7" ht="15.75" customHeight="1" x14ac:dyDescent="0.25">
      <c r="A24" s="5" t="s">
        <v>188</v>
      </c>
      <c r="B24" s="45">
        <v>0.95424920000000002</v>
      </c>
      <c r="C24" s="98">
        <v>0.95</v>
      </c>
      <c r="D24" s="56">
        <v>99.99</v>
      </c>
      <c r="E24" s="56" t="s">
        <v>183</v>
      </c>
      <c r="F24" s="98">
        <v>1</v>
      </c>
      <c r="G24" s="98">
        <v>1</v>
      </c>
    </row>
    <row r="25" spans="1:7" ht="15.75" customHeight="1" x14ac:dyDescent="0.25">
      <c r="A25" s="5" t="s">
        <v>189</v>
      </c>
      <c r="B25" s="98">
        <v>0</v>
      </c>
      <c r="C25" s="98">
        <v>0.95</v>
      </c>
      <c r="D25" s="56">
        <v>99.99</v>
      </c>
      <c r="E25" s="56" t="s">
        <v>183</v>
      </c>
      <c r="F25" s="98">
        <v>1</v>
      </c>
      <c r="G25" s="98">
        <v>1</v>
      </c>
    </row>
    <row r="26" spans="1:7" ht="15.75" customHeight="1" x14ac:dyDescent="0.25">
      <c r="A26" s="5" t="s">
        <v>190</v>
      </c>
      <c r="B26" s="45">
        <v>0</v>
      </c>
      <c r="C26" s="98">
        <v>0.95</v>
      </c>
      <c r="D26" s="56">
        <v>99.99</v>
      </c>
      <c r="E26" s="56" t="s">
        <v>183</v>
      </c>
      <c r="F26" s="98">
        <v>1</v>
      </c>
      <c r="G26" s="98">
        <v>1</v>
      </c>
    </row>
    <row r="27" spans="1:7" ht="15.75" customHeight="1" x14ac:dyDescent="0.25">
      <c r="A27" s="5" t="s">
        <v>191</v>
      </c>
      <c r="B27" s="45">
        <v>0</v>
      </c>
      <c r="C27" s="98">
        <v>0.95</v>
      </c>
      <c r="D27" s="56">
        <v>18.764182705510279</v>
      </c>
      <c r="E27" s="56" t="s">
        <v>183</v>
      </c>
      <c r="F27" s="98">
        <v>1</v>
      </c>
      <c r="G27" s="98">
        <v>1</v>
      </c>
    </row>
    <row r="28" spans="1:7" ht="15.75" customHeight="1" x14ac:dyDescent="0.25">
      <c r="A28" s="5" t="s">
        <v>192</v>
      </c>
      <c r="B28" s="45">
        <v>0.74832009999999993</v>
      </c>
      <c r="C28" s="98">
        <v>0.95</v>
      </c>
      <c r="D28" s="56">
        <v>99.99</v>
      </c>
      <c r="E28" s="56" t="s">
        <v>183</v>
      </c>
      <c r="F28" s="98">
        <v>1</v>
      </c>
      <c r="G28" s="98">
        <v>1</v>
      </c>
    </row>
    <row r="29" spans="1:7" ht="15.75" customHeight="1" x14ac:dyDescent="0.25">
      <c r="A29" s="5" t="s">
        <v>193</v>
      </c>
      <c r="B29" s="45">
        <v>0</v>
      </c>
      <c r="C29" s="98">
        <v>0.95</v>
      </c>
      <c r="D29" s="56">
        <v>132.3139429353005</v>
      </c>
      <c r="E29" s="56" t="s">
        <v>183</v>
      </c>
      <c r="F29" s="98">
        <v>1</v>
      </c>
      <c r="G29" s="98">
        <v>1</v>
      </c>
    </row>
    <row r="30" spans="1:7" ht="15.75" customHeight="1" x14ac:dyDescent="0.25">
      <c r="A30" s="5" t="s">
        <v>204</v>
      </c>
      <c r="B30" s="98">
        <v>0</v>
      </c>
      <c r="C30" s="98">
        <v>0.95</v>
      </c>
      <c r="D30" s="56">
        <v>99</v>
      </c>
      <c r="E30" s="56" t="s">
        <v>183</v>
      </c>
      <c r="F30" s="98">
        <v>1</v>
      </c>
      <c r="G30" s="98">
        <v>1</v>
      </c>
    </row>
    <row r="31" spans="1:7" ht="15.75" customHeight="1" x14ac:dyDescent="0.25">
      <c r="A31" s="5" t="s">
        <v>164</v>
      </c>
      <c r="B31" s="45">
        <v>0</v>
      </c>
      <c r="C31" s="98">
        <v>0.95</v>
      </c>
      <c r="D31" s="56">
        <v>1.1924310040780739</v>
      </c>
      <c r="E31" s="56" t="s">
        <v>183</v>
      </c>
      <c r="F31" s="98">
        <v>1</v>
      </c>
      <c r="G31" s="98">
        <v>1</v>
      </c>
    </row>
    <row r="32" spans="1:7" ht="15.75" customHeight="1" x14ac:dyDescent="0.25">
      <c r="A32" s="5" t="s">
        <v>196</v>
      </c>
      <c r="B32" s="45">
        <v>0</v>
      </c>
      <c r="C32" s="98">
        <v>0.95</v>
      </c>
      <c r="D32" s="56">
        <v>1.956691543072911</v>
      </c>
      <c r="E32" s="56" t="s">
        <v>183</v>
      </c>
      <c r="F32" s="98">
        <v>1</v>
      </c>
      <c r="G32" s="98">
        <v>1</v>
      </c>
    </row>
    <row r="33" spans="1:7" ht="15.75" customHeight="1" x14ac:dyDescent="0.25">
      <c r="A33" s="5" t="s">
        <v>197</v>
      </c>
      <c r="B33" s="45">
        <v>0</v>
      </c>
      <c r="C33" s="98">
        <v>0.95</v>
      </c>
      <c r="D33" s="56">
        <v>99.99</v>
      </c>
      <c r="E33" s="56" t="s">
        <v>183</v>
      </c>
      <c r="F33" s="98">
        <v>1</v>
      </c>
      <c r="G33" s="98">
        <v>1</v>
      </c>
    </row>
    <row r="34" spans="1:7" ht="15.75" customHeight="1" x14ac:dyDescent="0.25">
      <c r="A34" s="5" t="s">
        <v>198</v>
      </c>
      <c r="B34" s="45">
        <v>0</v>
      </c>
      <c r="C34" s="98">
        <v>0.95</v>
      </c>
      <c r="D34" s="56">
        <v>99.99</v>
      </c>
      <c r="E34" s="56" t="s">
        <v>183</v>
      </c>
      <c r="F34" s="98">
        <v>1</v>
      </c>
      <c r="G34" s="98">
        <v>1</v>
      </c>
    </row>
    <row r="35" spans="1:7" ht="15.75" customHeight="1" x14ac:dyDescent="0.25">
      <c r="A35" s="5" t="s">
        <v>199</v>
      </c>
      <c r="B35" s="98">
        <v>0</v>
      </c>
      <c r="C35" s="98">
        <v>0.95</v>
      </c>
      <c r="D35" s="56">
        <v>99.99</v>
      </c>
      <c r="E35" s="56" t="s">
        <v>183</v>
      </c>
      <c r="F35" s="98">
        <v>1</v>
      </c>
      <c r="G35" s="98">
        <v>1</v>
      </c>
    </row>
    <row r="36" spans="1:7" ht="15.75" customHeight="1" x14ac:dyDescent="0.25">
      <c r="A36" s="5" t="s">
        <v>200</v>
      </c>
      <c r="B36" s="45">
        <v>0.85884820000000006</v>
      </c>
      <c r="C36" s="98">
        <v>0.95</v>
      </c>
      <c r="D36" s="56">
        <v>99.99</v>
      </c>
      <c r="E36" s="56" t="s">
        <v>183</v>
      </c>
      <c r="F36" s="98">
        <v>1</v>
      </c>
      <c r="G36" s="98">
        <v>1</v>
      </c>
    </row>
    <row r="37" spans="1:7" ht="15.75" customHeight="1" x14ac:dyDescent="0.25">
      <c r="A37" s="5" t="s">
        <v>201</v>
      </c>
      <c r="B37" s="45">
        <v>0</v>
      </c>
      <c r="C37" s="98">
        <v>0.95</v>
      </c>
      <c r="D37" s="56">
        <v>99.99</v>
      </c>
      <c r="E37" s="56" t="s">
        <v>183</v>
      </c>
      <c r="F37" s="98">
        <v>1</v>
      </c>
      <c r="G37" s="98">
        <v>1</v>
      </c>
    </row>
    <row r="38" spans="1:7" ht="15.75" customHeight="1" x14ac:dyDescent="0.25">
      <c r="A38" s="5" t="s">
        <v>202</v>
      </c>
      <c r="B38" s="45">
        <v>0.35967890000000002</v>
      </c>
      <c r="C38" s="98">
        <v>0.95</v>
      </c>
      <c r="D38" s="56">
        <v>2.764629090051816</v>
      </c>
      <c r="E38" s="56" t="s">
        <v>183</v>
      </c>
      <c r="F38" s="98">
        <v>1</v>
      </c>
      <c r="G38" s="98">
        <v>1</v>
      </c>
    </row>
    <row r="39" spans="1:7" ht="15.75" customHeight="1" x14ac:dyDescent="0.25">
      <c r="A39" s="5" t="s">
        <v>203</v>
      </c>
      <c r="B39" s="45">
        <v>0</v>
      </c>
      <c r="C39" s="98">
        <v>0.95</v>
      </c>
      <c r="D39" s="56">
        <v>99.99</v>
      </c>
      <c r="E39" s="56" t="s">
        <v>183</v>
      </c>
      <c r="F39" s="98">
        <v>1</v>
      </c>
      <c r="G39" s="98">
        <v>1</v>
      </c>
    </row>
  </sheetData>
  <sheetProtection algorithmName="SHA-512" hashValue="xUp4GlvYoaAq6JCIBqtUoMl4ifeLBzfGIU2eI2A7tY4zW/kuqrlfFkBRezF4zBN/9n6QrnbKdYYP6zrXDjOxfQ==" saltValue="U2ZCEh6Aiveus+WGxdXyz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12" sqref="B12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163</v>
      </c>
      <c r="B1" s="4" t="s">
        <v>205</v>
      </c>
      <c r="C1" s="4" t="s">
        <v>206</v>
      </c>
    </row>
    <row r="2" spans="1:3" x14ac:dyDescent="0.25">
      <c r="A2" s="57" t="s">
        <v>178</v>
      </c>
      <c r="B2" s="47" t="s">
        <v>191</v>
      </c>
      <c r="C2" s="47"/>
    </row>
    <row r="3" spans="1:3" x14ac:dyDescent="0.25">
      <c r="A3" s="57" t="s">
        <v>179</v>
      </c>
      <c r="B3" s="47" t="s">
        <v>191</v>
      </c>
      <c r="C3" s="47"/>
    </row>
    <row r="4" spans="1:3" x14ac:dyDescent="0.25">
      <c r="A4" s="57" t="s">
        <v>193</v>
      </c>
      <c r="B4" s="47" t="s">
        <v>184</v>
      </c>
      <c r="C4" s="47"/>
    </row>
    <row r="5" spans="1:3" x14ac:dyDescent="0.25">
      <c r="A5" s="57" t="s">
        <v>190</v>
      </c>
      <c r="B5" s="47" t="s">
        <v>184</v>
      </c>
      <c r="C5" s="47"/>
    </row>
    <row r="6" spans="1:3" x14ac:dyDescent="0.25">
      <c r="A6" s="57" t="s">
        <v>193</v>
      </c>
      <c r="B6" s="58" t="s">
        <v>204</v>
      </c>
      <c r="C6" s="58"/>
    </row>
    <row r="7" spans="1:3" x14ac:dyDescent="0.25">
      <c r="A7" s="57" t="s">
        <v>190</v>
      </c>
      <c r="B7" s="58" t="s">
        <v>204</v>
      </c>
      <c r="C7" s="58"/>
    </row>
    <row r="8" spans="1:3" x14ac:dyDescent="0.25">
      <c r="A8" s="57" t="s">
        <v>203</v>
      </c>
      <c r="B8" s="58" t="s">
        <v>204</v>
      </c>
      <c r="C8" s="58"/>
    </row>
    <row r="9" spans="1:3" x14ac:dyDescent="0.25">
      <c r="A9" s="57" t="s">
        <v>196</v>
      </c>
      <c r="B9" s="58" t="s">
        <v>204</v>
      </c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h4oqAssjsNVY3ZYKujn4UI0TSizO29IVvr3CVWd4BofneIZGVCHmJZYVYWlZdidB9JkcMwsK3fnzR3nBKPCIOw==" saltValue="eNEIdzv09tChgEfHvI8Zh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163</v>
      </c>
    </row>
    <row r="2" spans="1:1" x14ac:dyDescent="0.25">
      <c r="A2" s="33" t="s">
        <v>170</v>
      </c>
    </row>
    <row r="3" spans="1:1" x14ac:dyDescent="0.25">
      <c r="A3" s="33" t="s">
        <v>180</v>
      </c>
    </row>
    <row r="4" spans="1:1" x14ac:dyDescent="0.25">
      <c r="A4" s="33" t="s">
        <v>185</v>
      </c>
    </row>
    <row r="5" spans="1:1" x14ac:dyDescent="0.25">
      <c r="A5" s="33" t="s">
        <v>197</v>
      </c>
    </row>
    <row r="6" spans="1:1" x14ac:dyDescent="0.25">
      <c r="A6" s="33" t="s">
        <v>198</v>
      </c>
    </row>
    <row r="7" spans="1:1" x14ac:dyDescent="0.25">
      <c r="A7" s="33" t="s">
        <v>199</v>
      </c>
    </row>
    <row r="8" spans="1:1" x14ac:dyDescent="0.25">
      <c r="A8" s="33" t="s">
        <v>200</v>
      </c>
    </row>
    <row r="9" spans="1:1" x14ac:dyDescent="0.25">
      <c r="A9" s="33" t="s">
        <v>201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7lTB54qLCykh9/8+xJtbRjQNdTFIEgtm3pLp+i8botAB1B8qieKcJK5jkw7T0KQE9PVTpoJCo+xc8ECvpOJ2Aw==" saltValue="uOkKr2nhqvzJM1APIErasQ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208</v>
      </c>
      <c r="B1" t="s">
        <v>78</v>
      </c>
      <c r="C1" t="s">
        <v>74</v>
      </c>
      <c r="D1" t="s">
        <v>77</v>
      </c>
      <c r="E1" t="s">
        <v>75</v>
      </c>
      <c r="F1" t="s">
        <v>76</v>
      </c>
    </row>
    <row r="2" spans="1:6" ht="15.75" customHeight="1" x14ac:dyDescent="0.25">
      <c r="A2" s="3" t="s">
        <v>84</v>
      </c>
      <c r="B2" s="21">
        <f>'Entradas de población-año base'!C51</f>
        <v>2.8</v>
      </c>
      <c r="C2" s="21">
        <f>'Entradas de población-año base'!C52</f>
        <v>2.8</v>
      </c>
      <c r="D2" s="21">
        <f>'Entradas de población-año base'!C53</f>
        <v>2.8</v>
      </c>
      <c r="E2" s="21">
        <f>'Entradas de población-año base'!C54</f>
        <v>2.8</v>
      </c>
      <c r="F2" s="21">
        <f>'Entradas de población-año base'!C55</f>
        <v>2.8</v>
      </c>
    </row>
    <row r="3" spans="1:6" ht="15.75" customHeight="1" x14ac:dyDescent="0.25">
      <c r="A3" s="3" t="s">
        <v>6</v>
      </c>
      <c r="B3" s="21">
        <f>frac_mam_1month * 2.6</f>
        <v>0.17776512</v>
      </c>
      <c r="C3" s="21">
        <f>frac_mam_1_5months * 2.6</f>
        <v>0.17776512</v>
      </c>
      <c r="D3" s="21">
        <f>frac_mam_6_11months * 2.6</f>
        <v>6.6276080000000001E-2</v>
      </c>
      <c r="E3" s="21">
        <f>frac_mam_12_23months * 2.6</f>
        <v>7.6518000000000003E-3</v>
      </c>
      <c r="F3" s="21">
        <f>frac_mam_24_59months * 2.6</f>
        <v>5.2454220000000003E-2</v>
      </c>
    </row>
    <row r="4" spans="1:6" ht="15.75" customHeight="1" x14ac:dyDescent="0.25">
      <c r="A4" s="3" t="s">
        <v>207</v>
      </c>
      <c r="B4" s="21">
        <f>frac_sam_1month * 2.6</f>
        <v>0</v>
      </c>
      <c r="C4" s="21">
        <f>frac_sam_1_5months * 2.6</f>
        <v>0</v>
      </c>
      <c r="D4" s="21">
        <f>frac_sam_6_11months * 2.6</f>
        <v>3.5181120000000003E-2</v>
      </c>
      <c r="E4" s="21">
        <f>frac_sam_12_23months * 2.6</f>
        <v>1.5871960000000001E-2</v>
      </c>
      <c r="F4" s="21">
        <f>frac_sam_24_59months * 2.6</f>
        <v>1.04364E-2</v>
      </c>
    </row>
  </sheetData>
  <sheetProtection algorithmName="SHA-512" hashValue="szuFPtuwo1xClxBDyrfgdJSh5pELwk6uIAWF2GynJkLfyBne5r+Xs7miA+Sm2rQmraEEaa8nfMxATT3s34lqeA==" saltValue="Q/fdZH6PYN/7l2Lo1ZMoew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209</v>
      </c>
      <c r="B1" s="1" t="s">
        <v>163</v>
      </c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  <c r="H1" s="4" t="s">
        <v>113</v>
      </c>
      <c r="I1" s="4" t="s">
        <v>114</v>
      </c>
      <c r="J1" s="4" t="s">
        <v>115</v>
      </c>
      <c r="K1" s="4" t="s">
        <v>116</v>
      </c>
      <c r="L1" s="4" t="s">
        <v>68</v>
      </c>
      <c r="M1" s="4" t="s">
        <v>69</v>
      </c>
      <c r="N1" s="4" t="s">
        <v>70</v>
      </c>
      <c r="O1" s="4" t="s">
        <v>71</v>
      </c>
    </row>
    <row r="2" spans="1:15" ht="15.75" customHeight="1" x14ac:dyDescent="0.3">
      <c r="A2" s="4" t="s">
        <v>83</v>
      </c>
      <c r="B2" s="5" t="s">
        <v>167</v>
      </c>
      <c r="C2" s="60">
        <v>0</v>
      </c>
      <c r="D2" s="60">
        <f>food_insecure</f>
        <v>5.5E-2</v>
      </c>
      <c r="E2" s="60">
        <f>food_insecure</f>
        <v>5.5E-2</v>
      </c>
      <c r="F2" s="60">
        <f>food_insecure</f>
        <v>5.5E-2</v>
      </c>
      <c r="G2" s="60">
        <f>food_insecure</f>
        <v>5.5E-2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169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182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5.5E-2</v>
      </c>
      <c r="F5" s="60">
        <f>food_insecure</f>
        <v>5.5E-2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190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192</v>
      </c>
      <c r="C7" s="60">
        <f>diarrhoea_1mo*frac_diarrhea_severe</f>
        <v>4.6000000000000006E-2</v>
      </c>
      <c r="D7" s="60">
        <f>diarrhoea_1_5mo*frac_diarrhea_severe</f>
        <v>4.6000000000000006E-2</v>
      </c>
      <c r="E7" s="60">
        <f>diarrhoea_6_11mo*frac_diarrhea_severe</f>
        <v>4.6000000000000006E-2</v>
      </c>
      <c r="F7" s="60">
        <f>diarrhoea_12_23mo*frac_diarrhea_severe</f>
        <v>4.6000000000000006E-2</v>
      </c>
      <c r="G7" s="60">
        <f>diarrhoea_24_59mo*frac_diarrhea_severe</f>
        <v>4.6000000000000006E-2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193</v>
      </c>
      <c r="C8" s="60">
        <v>0</v>
      </c>
      <c r="D8" s="60">
        <v>0</v>
      </c>
      <c r="E8" s="60">
        <f>food_insecure</f>
        <v>5.5E-2</v>
      </c>
      <c r="F8" s="60">
        <f>food_insecure</f>
        <v>5.5E-2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204</v>
      </c>
      <c r="C9" s="60">
        <v>0</v>
      </c>
      <c r="D9" s="60">
        <v>0</v>
      </c>
      <c r="E9" s="60">
        <f>food_insecure</f>
        <v>5.5E-2</v>
      </c>
      <c r="F9" s="60">
        <f>food_insecure</f>
        <v>5.5E-2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164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202</v>
      </c>
      <c r="C12" s="60">
        <f>diarrhoea_1mo*frac_diarrhea_severe</f>
        <v>4.6000000000000006E-2</v>
      </c>
      <c r="D12" s="60">
        <f>diarrhoea_1_5mo*frac_diarrhea_severe</f>
        <v>4.6000000000000006E-2</v>
      </c>
      <c r="E12" s="60">
        <f>diarrhoea_6_11mo*frac_diarrhea_severe</f>
        <v>4.6000000000000006E-2</v>
      </c>
      <c r="F12" s="60">
        <f>diarrhoea_12_23mo*frac_diarrhea_severe</f>
        <v>4.6000000000000006E-2</v>
      </c>
      <c r="G12" s="60">
        <f>diarrhoea_24_59mo*frac_diarrhea_severe</f>
        <v>4.6000000000000006E-2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104</v>
      </c>
      <c r="B15" s="9" t="s">
        <v>165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5.5E-2</v>
      </c>
      <c r="I15" s="60">
        <f>food_insecure</f>
        <v>5.5E-2</v>
      </c>
      <c r="J15" s="60">
        <f>food_insecure</f>
        <v>5.5E-2</v>
      </c>
      <c r="K15" s="60">
        <f>food_insecure</f>
        <v>5.5E-2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166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178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179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180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188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189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191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211</v>
      </c>
      <c r="B24" s="11" t="s">
        <v>170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0.74900000000000011</v>
      </c>
      <c r="M24" s="60">
        <f>famplan_unmet_need</f>
        <v>0.74900000000000011</v>
      </c>
      <c r="N24" s="60">
        <f>famplan_unmet_need</f>
        <v>0.74900000000000011</v>
      </c>
      <c r="O24" s="60">
        <f>famplan_unmet_need</f>
        <v>0.74900000000000011</v>
      </c>
    </row>
    <row r="25" spans="1:15" ht="15.75" customHeight="1" x14ac:dyDescent="0.25">
      <c r="B25" s="11" t="s">
        <v>174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3.5469570693969873E-2</v>
      </c>
      <c r="M25" s="60">
        <f>(1-food_insecure)*(0.49)+food_insecure*(0.7)</f>
        <v>0.50154999999999994</v>
      </c>
      <c r="N25" s="60">
        <f>(1-food_insecure)*(0.49)+food_insecure*(0.7)</f>
        <v>0.50154999999999994</v>
      </c>
      <c r="O25" s="60">
        <f>(1-food_insecure)*(0.49)+food_insecure*(0.7)</f>
        <v>0.50154999999999994</v>
      </c>
    </row>
    <row r="26" spans="1:15" ht="15.75" customHeight="1" x14ac:dyDescent="0.25">
      <c r="B26" s="11" t="s">
        <v>175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1.5201244583129945E-2</v>
      </c>
      <c r="M26" s="60">
        <f>(1-food_insecure)*(0.21)+food_insecure*(0.3)</f>
        <v>0.21494999999999997</v>
      </c>
      <c r="N26" s="60">
        <f>(1-food_insecure)*(0.21)+food_insecure*(0.3)</f>
        <v>0.21494999999999997</v>
      </c>
      <c r="O26" s="60">
        <f>(1-food_insecure)*(0.21)+food_insecure*(0.3)</f>
        <v>0.21494999999999997</v>
      </c>
    </row>
    <row r="27" spans="1:15" ht="15.75" customHeight="1" x14ac:dyDescent="0.25">
      <c r="B27" s="11" t="s">
        <v>176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2.0049094390869222E-2</v>
      </c>
      <c r="M27" s="60">
        <f>(1-food_insecure)*(0.3)</f>
        <v>0.28349999999999997</v>
      </c>
      <c r="N27" s="60">
        <f>(1-food_insecure)*(0.3)</f>
        <v>0.28349999999999997</v>
      </c>
      <c r="O27" s="60">
        <f>(1-food_insecure)*(0.3)</f>
        <v>0.28349999999999997</v>
      </c>
    </row>
    <row r="28" spans="1:15" ht="15.75" customHeight="1" x14ac:dyDescent="0.25">
      <c r="B28" s="11" t="s">
        <v>177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0.92928009033203085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210</v>
      </c>
      <c r="B30" s="5" t="s">
        <v>171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172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173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181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0.01</v>
      </c>
      <c r="D34" s="60">
        <f t="shared" si="3"/>
        <v>0.01</v>
      </c>
      <c r="E34" s="60">
        <f t="shared" si="3"/>
        <v>0.01</v>
      </c>
      <c r="F34" s="60">
        <f t="shared" si="3"/>
        <v>0.01</v>
      </c>
      <c r="G34" s="60">
        <f t="shared" si="3"/>
        <v>0.01</v>
      </c>
      <c r="H34" s="60">
        <f t="shared" si="3"/>
        <v>0.01</v>
      </c>
      <c r="I34" s="60">
        <f t="shared" si="3"/>
        <v>0.01</v>
      </c>
      <c r="J34" s="60">
        <f t="shared" si="3"/>
        <v>0.01</v>
      </c>
      <c r="K34" s="60">
        <f t="shared" si="3"/>
        <v>0.01</v>
      </c>
      <c r="L34" s="60">
        <f t="shared" si="3"/>
        <v>0.01</v>
      </c>
      <c r="M34" s="60">
        <f t="shared" si="3"/>
        <v>0.01</v>
      </c>
      <c r="N34" s="60">
        <f t="shared" si="3"/>
        <v>0.01</v>
      </c>
      <c r="O34" s="60">
        <f t="shared" si="3"/>
        <v>0.01</v>
      </c>
    </row>
    <row r="35" spans="2:15" ht="15.75" customHeight="1" x14ac:dyDescent="0.25">
      <c r="B35" s="9" t="s">
        <v>197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200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201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yuUeWLaoAkSFuPjprdAfVyItoOXbRJIywMSjBqV+XIFMUe7mIRncXXA1eHcqxEPn1X1ROLKuXWPwdYjiL1UTyg==" saltValue="urogclpnAQS5r3tTZtLsxw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183</v>
      </c>
    </row>
    <row r="2" spans="1:1" x14ac:dyDescent="0.25">
      <c r="A2" s="8" t="s">
        <v>213</v>
      </c>
    </row>
    <row r="3" spans="1:1" x14ac:dyDescent="0.25">
      <c r="A3" s="8" t="s">
        <v>212</v>
      </c>
    </row>
    <row r="4" spans="1:1" x14ac:dyDescent="0.25">
      <c r="A4" s="8" t="s">
        <v>214</v>
      </c>
    </row>
  </sheetData>
  <sheetProtection algorithmName="SHA-512" hashValue="D80AO3XAXYM0S7d9hUNpqyXGi8IaqzXvAFacDuuID3yRhVatoOf/KbjeO0U2I9+arszRWtuez+7E/5Rr9VSpHw==" saltValue="bmH5+uaoJMNSJYC8XtRPQA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223</v>
      </c>
      <c r="B1" s="4" t="s">
        <v>216</v>
      </c>
      <c r="C1" s="4" t="s">
        <v>227</v>
      </c>
      <c r="D1" s="4" t="s">
        <v>145</v>
      </c>
      <c r="E1" s="4" t="s">
        <v>225</v>
      </c>
    </row>
    <row r="2" spans="1:5" ht="14" customHeight="1" x14ac:dyDescent="0.3">
      <c r="A2" s="28" t="s">
        <v>215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222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221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wMMQWiT1wtlHauQyKbfsWzRVFbzvOlo52cAbdTA6RC9EWUfgPFlr9Loh/GrpzomlXvpJiFaueO4odTW8O3Saow==" saltValue="XBYgkYBb2dj5zPc9lDYycA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C12" sqref="C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209</v>
      </c>
      <c r="B1" s="1" t="s">
        <v>163</v>
      </c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  <c r="H1" s="4" t="s">
        <v>113</v>
      </c>
      <c r="I1" s="4" t="s">
        <v>114</v>
      </c>
      <c r="J1" s="4" t="s">
        <v>115</v>
      </c>
      <c r="K1" s="4" t="s">
        <v>116</v>
      </c>
      <c r="L1" s="4" t="s">
        <v>68</v>
      </c>
      <c r="M1" s="4" t="s">
        <v>69</v>
      </c>
      <c r="N1" s="4" t="s">
        <v>70</v>
      </c>
      <c r="O1" s="4" t="s">
        <v>71</v>
      </c>
    </row>
    <row r="2" spans="1:15" ht="15.75" customHeight="1" x14ac:dyDescent="0.35">
      <c r="A2" s="4" t="s">
        <v>83</v>
      </c>
      <c r="B2" s="5" t="s">
        <v>167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169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151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152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153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182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190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192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193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204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164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202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104</v>
      </c>
      <c r="B18" s="5" t="s">
        <v>165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166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178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179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180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188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189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191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211</v>
      </c>
      <c r="B27" s="5" t="s">
        <v>170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174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175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176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177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210</v>
      </c>
      <c r="B33" s="5" t="s">
        <v>171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172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173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181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200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201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u122Qlk32lkVNNHSVKnzgvpmpu8qPxqa1yHjVJ/OZ49SNNjko5687GRPu0ONBDTP9eR/DLjtE4UX3FtG7Q+rPw==" saltValue="PLRqLCcJFaRkSBl3yIaMug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163</v>
      </c>
      <c r="B1" s="8" t="s">
        <v>230</v>
      </c>
      <c r="C1" s="8" t="s">
        <v>105</v>
      </c>
      <c r="D1" s="8" t="s">
        <v>231</v>
      </c>
      <c r="E1" s="8" t="s">
        <v>232</v>
      </c>
      <c r="F1" s="8" t="s">
        <v>123</v>
      </c>
      <c r="G1" s="8" t="s">
        <v>84</v>
      </c>
      <c r="H1" s="8" t="s">
        <v>37</v>
      </c>
      <c r="I1" s="8" t="s">
        <v>229</v>
      </c>
      <c r="J1" s="8" t="s">
        <v>22</v>
      </c>
      <c r="K1" s="8" t="s">
        <v>228</v>
      </c>
    </row>
    <row r="2" spans="1:11" x14ac:dyDescent="0.25">
      <c r="A2" s="5" t="s">
        <v>165</v>
      </c>
      <c r="B2" s="87"/>
      <c r="C2" s="87"/>
      <c r="D2" s="87"/>
      <c r="E2" s="87"/>
      <c r="F2" s="87"/>
      <c r="G2" s="87"/>
      <c r="H2" s="87"/>
      <c r="I2" s="87" t="s">
        <v>5</v>
      </c>
      <c r="J2" s="87"/>
      <c r="K2" s="87"/>
    </row>
    <row r="3" spans="1:11" x14ac:dyDescent="0.25">
      <c r="A3" s="5" t="s">
        <v>166</v>
      </c>
      <c r="B3" s="87"/>
      <c r="C3" s="87"/>
      <c r="D3" s="87"/>
      <c r="E3" s="87"/>
      <c r="F3" s="87"/>
      <c r="G3" s="87"/>
      <c r="H3" s="87" t="s">
        <v>5</v>
      </c>
      <c r="I3" s="87"/>
      <c r="J3" s="87"/>
      <c r="K3" s="87"/>
    </row>
    <row r="4" spans="1:11" x14ac:dyDescent="0.25">
      <c r="A4" s="5" t="s">
        <v>167</v>
      </c>
      <c r="B4" s="87"/>
      <c r="C4" s="87"/>
      <c r="D4" s="87" t="s">
        <v>5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169</v>
      </c>
      <c r="B5" s="87"/>
      <c r="C5" s="87" t="s">
        <v>5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170</v>
      </c>
      <c r="B6" s="87"/>
      <c r="C6" s="87"/>
      <c r="D6" s="87"/>
      <c r="E6" s="87"/>
      <c r="F6" s="87"/>
      <c r="G6" s="87"/>
      <c r="H6" s="87"/>
      <c r="I6" s="87"/>
      <c r="J6" s="87" t="s">
        <v>5</v>
      </c>
      <c r="K6" s="87" t="s">
        <v>5</v>
      </c>
    </row>
    <row r="7" spans="1:11" x14ac:dyDescent="0.25">
      <c r="A7" s="5" t="s">
        <v>171</v>
      </c>
      <c r="B7" s="87"/>
      <c r="C7" s="87" t="s">
        <v>5</v>
      </c>
      <c r="D7" s="87"/>
      <c r="E7" s="87"/>
      <c r="F7" s="87"/>
      <c r="G7" s="87"/>
      <c r="H7" s="87" t="s">
        <v>5</v>
      </c>
      <c r="I7" s="87"/>
      <c r="J7" s="87"/>
      <c r="K7" s="87"/>
    </row>
    <row r="8" spans="1:11" x14ac:dyDescent="0.25">
      <c r="A8" s="5" t="s">
        <v>172</v>
      </c>
      <c r="B8" s="87"/>
      <c r="C8" s="87" t="s">
        <v>5</v>
      </c>
      <c r="D8" s="87"/>
      <c r="E8" s="87"/>
      <c r="F8" s="87"/>
      <c r="G8" s="87"/>
      <c r="H8" s="87" t="s">
        <v>5</v>
      </c>
      <c r="I8" s="87"/>
      <c r="J8" s="87"/>
      <c r="K8" s="87"/>
    </row>
    <row r="9" spans="1:11" x14ac:dyDescent="0.25">
      <c r="A9" s="5" t="s">
        <v>173</v>
      </c>
      <c r="B9" s="87"/>
      <c r="C9" s="87" t="s">
        <v>5</v>
      </c>
      <c r="D9" s="87"/>
      <c r="E9" s="87"/>
      <c r="F9" s="87"/>
      <c r="G9" s="87"/>
      <c r="H9" s="87" t="s">
        <v>5</v>
      </c>
      <c r="I9" s="87"/>
      <c r="J9" s="87"/>
      <c r="K9" s="87"/>
    </row>
    <row r="10" spans="1:11" x14ac:dyDescent="0.25">
      <c r="A10" s="11" t="s">
        <v>174</v>
      </c>
      <c r="B10" s="87"/>
      <c r="C10" s="87" t="s">
        <v>5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175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176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177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178</v>
      </c>
      <c r="B14" s="87"/>
      <c r="C14" s="87" t="s">
        <v>5</v>
      </c>
      <c r="D14" s="87"/>
      <c r="E14" s="87"/>
      <c r="F14" s="87"/>
      <c r="G14" s="87"/>
      <c r="H14" s="87"/>
      <c r="I14" s="87" t="s">
        <v>5</v>
      </c>
      <c r="J14" s="87"/>
      <c r="K14" s="87"/>
    </row>
    <row r="15" spans="1:11" x14ac:dyDescent="0.25">
      <c r="A15" s="5" t="s">
        <v>179</v>
      </c>
      <c r="B15" s="87"/>
      <c r="C15" s="87" t="s">
        <v>5</v>
      </c>
      <c r="D15" s="87"/>
      <c r="E15" s="87"/>
      <c r="F15" s="87"/>
      <c r="G15" s="87"/>
      <c r="H15" s="87"/>
      <c r="I15" s="87" t="s">
        <v>5</v>
      </c>
      <c r="J15" s="87"/>
      <c r="K15" s="87"/>
    </row>
    <row r="16" spans="1:11" x14ac:dyDescent="0.25">
      <c r="A16" s="5" t="s">
        <v>180</v>
      </c>
      <c r="B16" s="87"/>
      <c r="C16" s="87" t="s">
        <v>5</v>
      </c>
      <c r="D16" s="87"/>
      <c r="E16" s="87"/>
      <c r="F16" s="87"/>
      <c r="G16" s="87"/>
      <c r="H16" s="87" t="s">
        <v>5</v>
      </c>
      <c r="I16" s="87" t="s">
        <v>5</v>
      </c>
      <c r="J16" s="87"/>
      <c r="K16" s="87"/>
    </row>
    <row r="17" spans="1:11" x14ac:dyDescent="0.25">
      <c r="A17" s="5" t="s">
        <v>181</v>
      </c>
      <c r="B17" s="87"/>
      <c r="C17" s="87" t="s">
        <v>5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151</v>
      </c>
      <c r="B18" s="87" t="s">
        <v>5</v>
      </c>
      <c r="C18" s="87"/>
      <c r="D18" s="87"/>
      <c r="E18" s="87"/>
      <c r="F18" s="87" t="s">
        <v>5</v>
      </c>
      <c r="G18" s="87"/>
      <c r="H18" s="87"/>
      <c r="I18" s="87"/>
      <c r="J18" s="87"/>
      <c r="K18" s="87"/>
    </row>
    <row r="19" spans="1:11" x14ac:dyDescent="0.25">
      <c r="A19" s="5" t="s">
        <v>152</v>
      </c>
      <c r="B19" s="87" t="s">
        <v>5</v>
      </c>
      <c r="C19" s="87"/>
      <c r="D19" s="87"/>
      <c r="E19" s="87"/>
      <c r="F19" s="87" t="s">
        <v>5</v>
      </c>
      <c r="G19" s="87"/>
      <c r="H19" s="87"/>
      <c r="I19" s="87"/>
      <c r="J19" s="87"/>
      <c r="K19" s="87"/>
    </row>
    <row r="20" spans="1:11" x14ac:dyDescent="0.25">
      <c r="A20" s="5" t="s">
        <v>153</v>
      </c>
      <c r="B20" s="87" t="s">
        <v>5</v>
      </c>
      <c r="C20" s="87"/>
      <c r="D20" s="87"/>
      <c r="E20" s="87"/>
      <c r="F20" s="87" t="s">
        <v>5</v>
      </c>
      <c r="G20" s="87"/>
      <c r="H20" s="87"/>
      <c r="I20" s="87"/>
      <c r="J20" s="87"/>
      <c r="K20" s="87"/>
    </row>
    <row r="21" spans="1:11" x14ac:dyDescent="0.25">
      <c r="A21" s="5" t="s">
        <v>182</v>
      </c>
      <c r="B21" s="87"/>
      <c r="C21" s="87"/>
      <c r="D21" s="87"/>
      <c r="E21" s="87"/>
      <c r="F21" s="87"/>
      <c r="G21" s="87"/>
      <c r="H21" s="87" t="s">
        <v>5</v>
      </c>
      <c r="I21" s="87" t="s">
        <v>5</v>
      </c>
      <c r="J21" s="87"/>
      <c r="K21" s="87"/>
    </row>
    <row r="22" spans="1:11" x14ac:dyDescent="0.25">
      <c r="A22" s="5" t="s">
        <v>184</v>
      </c>
      <c r="B22" s="87" t="s">
        <v>5</v>
      </c>
      <c r="C22" s="87" t="s">
        <v>5</v>
      </c>
      <c r="D22" s="87" t="s">
        <v>5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5</v>
      </c>
      <c r="D23" s="87"/>
      <c r="E23" s="87"/>
      <c r="F23" s="87"/>
      <c r="G23" s="87"/>
      <c r="H23" s="87"/>
      <c r="I23" s="87" t="s">
        <v>5</v>
      </c>
      <c r="J23" s="87"/>
      <c r="K23" s="87"/>
    </row>
    <row r="24" spans="1:11" x14ac:dyDescent="0.25">
      <c r="A24" s="5" t="s">
        <v>188</v>
      </c>
      <c r="B24" s="87"/>
      <c r="C24" s="87"/>
      <c r="D24" s="87"/>
      <c r="E24" s="87"/>
      <c r="F24" s="87"/>
      <c r="G24" s="87"/>
      <c r="H24" s="87" t="s">
        <v>5</v>
      </c>
      <c r="I24" s="87"/>
      <c r="J24" s="87"/>
      <c r="K24" s="87"/>
    </row>
    <row r="25" spans="1:11" x14ac:dyDescent="0.25">
      <c r="A25" s="5" t="s">
        <v>189</v>
      </c>
      <c r="B25" s="87"/>
      <c r="C25" s="87"/>
      <c r="D25" s="87"/>
      <c r="E25" s="87"/>
      <c r="F25" s="87"/>
      <c r="G25" s="87"/>
      <c r="H25" s="87" t="s">
        <v>5</v>
      </c>
      <c r="I25" s="87"/>
      <c r="J25" s="87"/>
      <c r="K25" s="87"/>
    </row>
    <row r="26" spans="1:11" x14ac:dyDescent="0.25">
      <c r="A26" s="5" t="s">
        <v>190</v>
      </c>
      <c r="B26" s="87"/>
      <c r="C26" s="87" t="s">
        <v>5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191</v>
      </c>
      <c r="B27" s="87"/>
      <c r="C27" s="87" t="s">
        <v>5</v>
      </c>
      <c r="D27" s="87"/>
      <c r="E27" s="87"/>
      <c r="F27" s="87"/>
      <c r="G27" s="87"/>
      <c r="H27" s="87"/>
      <c r="I27" s="87" t="s">
        <v>5</v>
      </c>
      <c r="J27" s="87"/>
      <c r="K27" s="87"/>
    </row>
    <row r="28" spans="1:11" x14ac:dyDescent="0.25">
      <c r="A28" s="5" t="s">
        <v>192</v>
      </c>
      <c r="B28" s="87"/>
      <c r="C28" s="87"/>
      <c r="D28" s="87"/>
      <c r="E28" s="87"/>
      <c r="F28" s="87"/>
      <c r="G28" s="87"/>
      <c r="H28" s="87" t="s">
        <v>5</v>
      </c>
      <c r="I28" s="87"/>
      <c r="J28" s="87"/>
      <c r="K28" s="87"/>
    </row>
    <row r="29" spans="1:11" x14ac:dyDescent="0.25">
      <c r="A29" s="5" t="s">
        <v>193</v>
      </c>
      <c r="B29" s="87" t="s">
        <v>5</v>
      </c>
      <c r="C29" s="87"/>
      <c r="D29" s="87" t="s">
        <v>5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204</v>
      </c>
      <c r="B30" s="87" t="s">
        <v>5</v>
      </c>
      <c r="C30" s="87" t="s">
        <v>5</v>
      </c>
      <c r="D30" s="87" t="s">
        <v>5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164</v>
      </c>
      <c r="B31" s="87"/>
      <c r="C31" s="87"/>
      <c r="D31" s="87"/>
      <c r="E31" s="87" t="s">
        <v>5</v>
      </c>
      <c r="F31" s="87"/>
      <c r="G31" s="87"/>
      <c r="H31" s="87"/>
      <c r="I31" s="87"/>
      <c r="J31" s="87"/>
      <c r="K31" s="87"/>
    </row>
    <row r="32" spans="1:11" x14ac:dyDescent="0.25">
      <c r="A32" s="5" t="s">
        <v>196</v>
      </c>
      <c r="B32" s="87"/>
      <c r="C32" s="87"/>
      <c r="D32" s="87"/>
      <c r="E32" s="87"/>
      <c r="F32" s="87"/>
      <c r="G32" s="87" t="s">
        <v>5</v>
      </c>
      <c r="H32" s="87" t="s">
        <v>5</v>
      </c>
      <c r="I32" s="87"/>
      <c r="J32" s="87"/>
      <c r="K32" s="87"/>
    </row>
    <row r="33" spans="1:11" x14ac:dyDescent="0.25">
      <c r="A33" s="5" t="s">
        <v>197</v>
      </c>
      <c r="B33" s="87"/>
      <c r="C33" s="87"/>
      <c r="D33" s="87"/>
      <c r="E33" s="87"/>
      <c r="F33" s="87"/>
      <c r="G33" s="87" t="s">
        <v>5</v>
      </c>
      <c r="H33" s="87" t="s">
        <v>5</v>
      </c>
      <c r="I33" s="87"/>
      <c r="J33" s="87"/>
      <c r="K33" s="87"/>
    </row>
    <row r="34" spans="1:11" x14ac:dyDescent="0.25">
      <c r="A34" s="5" t="s">
        <v>198</v>
      </c>
      <c r="B34" s="87"/>
      <c r="C34" s="87"/>
      <c r="D34" s="87"/>
      <c r="E34" s="87"/>
      <c r="F34" s="87"/>
      <c r="G34" s="87" t="s">
        <v>5</v>
      </c>
      <c r="H34" s="87" t="s">
        <v>5</v>
      </c>
      <c r="I34" s="87"/>
      <c r="J34" s="87"/>
      <c r="K34" s="87"/>
    </row>
    <row r="35" spans="1:11" x14ac:dyDescent="0.25">
      <c r="A35" s="5" t="s">
        <v>199</v>
      </c>
      <c r="B35" s="87"/>
      <c r="C35" s="87"/>
      <c r="D35" s="87"/>
      <c r="E35" s="87"/>
      <c r="F35" s="87"/>
      <c r="G35" s="87" t="s">
        <v>5</v>
      </c>
      <c r="H35" s="87" t="s">
        <v>5</v>
      </c>
      <c r="I35" s="87"/>
      <c r="J35" s="87"/>
      <c r="K35" s="87"/>
    </row>
    <row r="36" spans="1:11" x14ac:dyDescent="0.25">
      <c r="A36" s="5" t="s">
        <v>200</v>
      </c>
      <c r="B36" s="87"/>
      <c r="C36" s="87"/>
      <c r="D36" s="87"/>
      <c r="E36" s="87"/>
      <c r="F36" s="87"/>
      <c r="G36" s="87" t="s">
        <v>5</v>
      </c>
      <c r="H36" s="87" t="s">
        <v>5</v>
      </c>
      <c r="I36" s="87"/>
      <c r="J36" s="87"/>
      <c r="K36" s="87"/>
    </row>
    <row r="37" spans="1:11" x14ac:dyDescent="0.25">
      <c r="A37" s="5" t="s">
        <v>201</v>
      </c>
      <c r="B37" s="87"/>
      <c r="C37" s="87"/>
      <c r="D37" s="87"/>
      <c r="E37" s="87"/>
      <c r="F37" s="87"/>
      <c r="G37" s="87" t="s">
        <v>5</v>
      </c>
      <c r="H37" s="87" t="s">
        <v>5</v>
      </c>
      <c r="I37" s="87"/>
      <c r="J37" s="87"/>
      <c r="K37" s="87"/>
    </row>
    <row r="38" spans="1:11" x14ac:dyDescent="0.25">
      <c r="A38" s="5" t="s">
        <v>202</v>
      </c>
      <c r="B38" s="87"/>
      <c r="C38" s="87"/>
      <c r="D38" s="87"/>
      <c r="E38" s="87"/>
      <c r="F38" s="87"/>
      <c r="G38" s="87"/>
      <c r="H38" s="87" t="s">
        <v>5</v>
      </c>
      <c r="I38" s="87"/>
      <c r="J38" s="87"/>
      <c r="K38" s="87"/>
    </row>
    <row r="39" spans="1:11" x14ac:dyDescent="0.25">
      <c r="A39" s="5" t="s">
        <v>203</v>
      </c>
      <c r="B39" s="87" t="s">
        <v>5</v>
      </c>
      <c r="C39" s="87"/>
      <c r="D39" s="87"/>
      <c r="E39" s="87"/>
      <c r="F39" s="87"/>
      <c r="G39" s="87" t="s">
        <v>5</v>
      </c>
      <c r="H39" s="87" t="s">
        <v>5</v>
      </c>
      <c r="I39" s="87"/>
      <c r="J39" s="87"/>
      <c r="K39" s="87"/>
    </row>
  </sheetData>
  <sheetProtection algorithmName="SHA-512" hashValue="AoMpbkkDNG022Sl9fMwAWK6XGXeDDZUK+SX4hPO3Re/RnAC0CUNeZjR3EQmzmEQVJeQn4lFr54tCL1lZAtIKRQ==" saltValue="Yprm3i6d/RW6jr8OqenOBA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233</v>
      </c>
      <c r="B1" s="8" t="s">
        <v>230</v>
      </c>
      <c r="C1" s="8" t="s">
        <v>105</v>
      </c>
      <c r="D1" s="8" t="s">
        <v>231</v>
      </c>
      <c r="E1" s="8" t="s">
        <v>232</v>
      </c>
      <c r="F1" s="8" t="s">
        <v>123</v>
      </c>
      <c r="G1" s="8" t="s">
        <v>84</v>
      </c>
      <c r="H1" s="8" t="s">
        <v>37</v>
      </c>
      <c r="I1" s="8" t="s">
        <v>229</v>
      </c>
      <c r="J1" s="8" t="s">
        <v>22</v>
      </c>
      <c r="K1" s="8" t="s">
        <v>228</v>
      </c>
    </row>
    <row r="2" spans="1:11" x14ac:dyDescent="0.25">
      <c r="A2" s="8" t="s">
        <v>78</v>
      </c>
      <c r="B2" s="87" t="s">
        <v>5</v>
      </c>
      <c r="C2" s="87" t="s">
        <v>5</v>
      </c>
      <c r="D2" s="87" t="s">
        <v>5</v>
      </c>
      <c r="E2" s="87" t="s">
        <v>5</v>
      </c>
      <c r="F2" s="87" t="s">
        <v>5</v>
      </c>
      <c r="G2" s="87" t="s">
        <v>5</v>
      </c>
      <c r="H2" s="87" t="s">
        <v>5</v>
      </c>
      <c r="I2" s="87"/>
      <c r="J2" s="87"/>
      <c r="K2" s="87"/>
    </row>
    <row r="3" spans="1:11" x14ac:dyDescent="0.25">
      <c r="A3" s="8" t="s">
        <v>74</v>
      </c>
      <c r="B3" s="87" t="s">
        <v>5</v>
      </c>
      <c r="C3" s="87" t="s">
        <v>5</v>
      </c>
      <c r="D3" s="87" t="s">
        <v>5</v>
      </c>
      <c r="E3" s="87" t="s">
        <v>5</v>
      </c>
      <c r="F3" s="87" t="s">
        <v>5</v>
      </c>
      <c r="G3" s="87" t="s">
        <v>5</v>
      </c>
      <c r="H3" s="87" t="s">
        <v>5</v>
      </c>
      <c r="I3" s="87"/>
      <c r="J3" s="87"/>
      <c r="K3" s="87"/>
    </row>
    <row r="4" spans="1:11" x14ac:dyDescent="0.25">
      <c r="A4" s="8" t="s">
        <v>77</v>
      </c>
      <c r="B4" s="87" t="s">
        <v>5</v>
      </c>
      <c r="C4" s="87" t="s">
        <v>5</v>
      </c>
      <c r="D4" s="87" t="s">
        <v>5</v>
      </c>
      <c r="E4" s="87" t="s">
        <v>5</v>
      </c>
      <c r="F4" s="87" t="s">
        <v>5</v>
      </c>
      <c r="G4" s="87" t="s">
        <v>5</v>
      </c>
      <c r="H4" s="87" t="s">
        <v>5</v>
      </c>
      <c r="I4" s="87"/>
      <c r="J4" s="87"/>
      <c r="K4" s="87"/>
    </row>
    <row r="5" spans="1:11" x14ac:dyDescent="0.25">
      <c r="A5" s="8" t="s">
        <v>75</v>
      </c>
      <c r="B5" s="87" t="s">
        <v>5</v>
      </c>
      <c r="C5" s="87" t="s">
        <v>5</v>
      </c>
      <c r="D5" s="87" t="s">
        <v>5</v>
      </c>
      <c r="E5" s="87" t="s">
        <v>5</v>
      </c>
      <c r="F5" s="87" t="s">
        <v>5</v>
      </c>
      <c r="G5" s="87" t="s">
        <v>5</v>
      </c>
      <c r="H5" s="87" t="s">
        <v>5</v>
      </c>
      <c r="I5" s="87"/>
      <c r="J5" s="87"/>
      <c r="K5" s="87"/>
    </row>
    <row r="6" spans="1:11" x14ac:dyDescent="0.25">
      <c r="A6" s="8" t="s">
        <v>76</v>
      </c>
      <c r="B6" s="87" t="s">
        <v>5</v>
      </c>
      <c r="C6" s="87" t="s">
        <v>5</v>
      </c>
      <c r="D6" s="87" t="s">
        <v>5</v>
      </c>
      <c r="E6" s="87" t="s">
        <v>5</v>
      </c>
      <c r="F6" s="87" t="s">
        <v>5</v>
      </c>
      <c r="G6" s="87" t="s">
        <v>5</v>
      </c>
      <c r="H6" s="87" t="s">
        <v>5</v>
      </c>
      <c r="I6" s="87"/>
      <c r="J6" s="87"/>
      <c r="K6" s="87"/>
    </row>
    <row r="7" spans="1:11" x14ac:dyDescent="0.25">
      <c r="A7" s="8" t="s">
        <v>113</v>
      </c>
      <c r="B7" s="87"/>
      <c r="C7" s="87" t="s">
        <v>5</v>
      </c>
      <c r="D7" s="87"/>
      <c r="E7" s="87"/>
      <c r="F7" s="87"/>
      <c r="G7" s="87"/>
      <c r="H7" s="87" t="s">
        <v>5</v>
      </c>
      <c r="I7" s="87" t="s">
        <v>5</v>
      </c>
      <c r="J7" s="87"/>
      <c r="K7" s="87"/>
    </row>
    <row r="8" spans="1:11" x14ac:dyDescent="0.25">
      <c r="A8" s="8" t="s">
        <v>114</v>
      </c>
      <c r="B8" s="87"/>
      <c r="C8" s="87" t="s">
        <v>5</v>
      </c>
      <c r="D8" s="87"/>
      <c r="E8" s="87"/>
      <c r="F8" s="87"/>
      <c r="G8" s="87"/>
      <c r="H8" s="87" t="s">
        <v>5</v>
      </c>
      <c r="I8" s="87" t="s">
        <v>5</v>
      </c>
      <c r="J8" s="87"/>
      <c r="K8" s="87"/>
    </row>
    <row r="9" spans="1:11" x14ac:dyDescent="0.25">
      <c r="A9" s="8" t="s">
        <v>115</v>
      </c>
      <c r="B9" s="87"/>
      <c r="C9" s="87" t="s">
        <v>5</v>
      </c>
      <c r="D9" s="87"/>
      <c r="E9" s="87"/>
      <c r="F9" s="87"/>
      <c r="G9" s="87"/>
      <c r="H9" s="87" t="s">
        <v>5</v>
      </c>
      <c r="I9" s="87" t="s">
        <v>5</v>
      </c>
      <c r="J9" s="87"/>
      <c r="K9" s="87"/>
    </row>
    <row r="10" spans="1:11" x14ac:dyDescent="0.25">
      <c r="A10" s="8" t="s">
        <v>116</v>
      </c>
      <c r="B10" s="87"/>
      <c r="C10" s="87" t="s">
        <v>5</v>
      </c>
      <c r="D10" s="87"/>
      <c r="E10" s="87"/>
      <c r="F10" s="87"/>
      <c r="G10" s="87"/>
      <c r="H10" s="87" t="s">
        <v>5</v>
      </c>
      <c r="I10" s="87" t="s">
        <v>5</v>
      </c>
      <c r="J10" s="87"/>
      <c r="K10" s="87"/>
    </row>
    <row r="11" spans="1:11" x14ac:dyDescent="0.25">
      <c r="A11" s="8" t="s">
        <v>68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 t="s">
        <v>5</v>
      </c>
      <c r="K11" s="87" t="s">
        <v>5</v>
      </c>
    </row>
    <row r="12" spans="1:11" x14ac:dyDescent="0.25">
      <c r="A12" s="8" t="s">
        <v>69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 t="s">
        <v>5</v>
      </c>
    </row>
    <row r="13" spans="1:11" x14ac:dyDescent="0.25">
      <c r="A13" s="8" t="s">
        <v>70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 t="s">
        <v>5</v>
      </c>
    </row>
    <row r="14" spans="1:11" x14ac:dyDescent="0.25">
      <c r="A14" s="8" t="s">
        <v>71</v>
      </c>
      <c r="B14" s="87"/>
      <c r="C14" s="87" t="s">
        <v>5</v>
      </c>
      <c r="D14" s="87"/>
      <c r="E14" s="87"/>
      <c r="F14" s="87"/>
      <c r="G14" s="87"/>
      <c r="H14" s="87"/>
      <c r="I14" s="87"/>
      <c r="J14" s="87"/>
      <c r="K14" s="87" t="s">
        <v>5</v>
      </c>
    </row>
  </sheetData>
  <sheetProtection algorithmName="SHA-512" hashValue="D8djNItYar6ge1JDN42ZWF8ptE/d3E8MPrHJbMCQrPO30eU23BJSQ4HqKDTHXBlg4AH1OZIyajg4QFSCnIaulQ==" saltValue="jT1i//SI6N/7yCbbWPEzGA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G15" sqref="G1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234</v>
      </c>
      <c r="B1" s="4" t="s">
        <v>156</v>
      </c>
      <c r="C1" s="4" t="s">
        <v>160</v>
      </c>
      <c r="D1" s="4" t="s">
        <v>78</v>
      </c>
      <c r="E1" s="4" t="s">
        <v>74</v>
      </c>
      <c r="F1" s="4" t="s">
        <v>77</v>
      </c>
      <c r="G1" s="4" t="s">
        <v>75</v>
      </c>
      <c r="H1" s="4" t="s">
        <v>76</v>
      </c>
    </row>
    <row r="2" spans="1:10" ht="13" customHeight="1" x14ac:dyDescent="0.3">
      <c r="A2" s="4" t="s">
        <v>236</v>
      </c>
      <c r="B2" s="103" t="s">
        <v>104</v>
      </c>
      <c r="C2" s="8" t="s">
        <v>150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149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155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78</v>
      </c>
      <c r="C5" s="8" t="s">
        <v>150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149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155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74</v>
      </c>
      <c r="C8" s="8" t="s">
        <v>150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149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155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77</v>
      </c>
      <c r="C11" s="8" t="s">
        <v>150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149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155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75</v>
      </c>
      <c r="C14" s="8" t="s">
        <v>150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149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155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148</v>
      </c>
      <c r="C17" s="8" t="s">
        <v>155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242</v>
      </c>
      <c r="B19" s="103" t="s">
        <v>104</v>
      </c>
      <c r="C19" s="8" t="s">
        <v>150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155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78</v>
      </c>
      <c r="C22" s="8" t="s">
        <v>150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155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74</v>
      </c>
      <c r="C25" s="8" t="s">
        <v>150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155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77</v>
      </c>
      <c r="C28" s="8" t="s">
        <v>150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155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75</v>
      </c>
      <c r="C31" s="8" t="s">
        <v>150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155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148</v>
      </c>
      <c r="C34" s="8" t="s">
        <v>155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239</v>
      </c>
      <c r="B36" s="103" t="s">
        <v>104</v>
      </c>
      <c r="C36" s="8" t="s">
        <v>150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155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78</v>
      </c>
      <c r="C39" s="8" t="s">
        <v>150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155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74</v>
      </c>
      <c r="C42" s="8" t="s">
        <v>150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155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77</v>
      </c>
      <c r="C45" s="8" t="s">
        <v>150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155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75</v>
      </c>
      <c r="C48" s="8" t="s">
        <v>150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155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148</v>
      </c>
      <c r="C51" s="8" t="s">
        <v>155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234</v>
      </c>
      <c r="B54" s="4" t="s">
        <v>156</v>
      </c>
      <c r="C54" s="4" t="s">
        <v>160</v>
      </c>
      <c r="D54" s="4" t="s">
        <v>78</v>
      </c>
      <c r="E54" s="4" t="s">
        <v>74</v>
      </c>
      <c r="F54" s="4" t="s">
        <v>77</v>
      </c>
      <c r="G54" s="4" t="s">
        <v>75</v>
      </c>
      <c r="H54" s="4" t="s">
        <v>76</v>
      </c>
    </row>
    <row r="55" spans="1:8" ht="13" customHeight="1" x14ac:dyDescent="0.3">
      <c r="A55" s="4" t="s">
        <v>237</v>
      </c>
      <c r="B55" s="103" t="s">
        <v>104</v>
      </c>
      <c r="C55" s="8" t="s">
        <v>150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155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78</v>
      </c>
      <c r="C58" s="8" t="s">
        <v>150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149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155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74</v>
      </c>
      <c r="C61" s="8" t="s">
        <v>150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149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155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77</v>
      </c>
      <c r="C64" s="8" t="s">
        <v>150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149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155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75</v>
      </c>
      <c r="C67" s="8" t="s">
        <v>150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155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148</v>
      </c>
      <c r="C70" s="8" t="s">
        <v>155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243</v>
      </c>
      <c r="B72" s="103" t="s">
        <v>104</v>
      </c>
      <c r="C72" s="8" t="s">
        <v>150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155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78</v>
      </c>
      <c r="C75" s="8" t="s">
        <v>150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155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74</v>
      </c>
      <c r="C78" s="8" t="s">
        <v>150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155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77</v>
      </c>
      <c r="C81" s="8" t="s">
        <v>150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155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75</v>
      </c>
      <c r="C84" s="8" t="s">
        <v>150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155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148</v>
      </c>
      <c r="C87" s="8" t="s">
        <v>155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240</v>
      </c>
      <c r="B89" s="103" t="s">
        <v>104</v>
      </c>
      <c r="C89" s="8" t="s">
        <v>150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155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78</v>
      </c>
      <c r="C92" s="8" t="s">
        <v>150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155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74</v>
      </c>
      <c r="C95" s="8" t="s">
        <v>150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155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77</v>
      </c>
      <c r="C98" s="8" t="s">
        <v>150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155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75</v>
      </c>
      <c r="C101" s="8" t="s">
        <v>150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155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148</v>
      </c>
      <c r="C104" s="8" t="s">
        <v>155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245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234</v>
      </c>
      <c r="B107" s="4" t="s">
        <v>156</v>
      </c>
      <c r="C107" s="4" t="s">
        <v>160</v>
      </c>
      <c r="D107" s="4" t="s">
        <v>78</v>
      </c>
      <c r="E107" s="4" t="s">
        <v>74</v>
      </c>
      <c r="F107" s="4" t="s">
        <v>77</v>
      </c>
      <c r="G107" s="4" t="s">
        <v>75</v>
      </c>
      <c r="H107" s="4" t="s">
        <v>76</v>
      </c>
    </row>
    <row r="108" spans="1:8" ht="13" customHeight="1" x14ac:dyDescent="0.3">
      <c r="A108" s="4" t="s">
        <v>238</v>
      </c>
      <c r="B108" s="103" t="s">
        <v>104</v>
      </c>
      <c r="C108" s="8" t="s">
        <v>150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155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78</v>
      </c>
      <c r="C111" s="8" t="s">
        <v>150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149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155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74</v>
      </c>
      <c r="C114" s="8" t="s">
        <v>150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149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155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77</v>
      </c>
      <c r="C117" s="8" t="s">
        <v>150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149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155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75</v>
      </c>
      <c r="C120" s="8" t="s">
        <v>150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149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155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148</v>
      </c>
      <c r="C123" s="8" t="s">
        <v>155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244</v>
      </c>
      <c r="B125" s="103" t="s">
        <v>104</v>
      </c>
      <c r="C125" s="8" t="s">
        <v>150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149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155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78</v>
      </c>
      <c r="C128" s="8" t="s">
        <v>150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149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155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74</v>
      </c>
      <c r="C131" s="8" t="s">
        <v>150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149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155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77</v>
      </c>
      <c r="C134" s="8" t="s">
        <v>150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149</v>
      </c>
      <c r="D135" s="88">
        <f t="shared" ref="D135:H140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155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75</v>
      </c>
      <c r="C137" s="8" t="s">
        <v>150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149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155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148</v>
      </c>
      <c r="C140" s="8" t="s">
        <v>155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241</v>
      </c>
      <c r="B142" s="103" t="s">
        <v>104</v>
      </c>
      <c r="C142" s="8" t="s">
        <v>150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149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155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78</v>
      </c>
      <c r="C145" s="8" t="s">
        <v>150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149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155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74</v>
      </c>
      <c r="C148" s="8" t="s">
        <v>150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149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155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77</v>
      </c>
      <c r="C151" s="8" t="s">
        <v>150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149</v>
      </c>
      <c r="D152" s="88">
        <f t="shared" ref="D152:H157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155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75</v>
      </c>
      <c r="C154" s="8" t="s">
        <v>150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149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155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148</v>
      </c>
      <c r="C157" s="8" t="s">
        <v>155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Kcst5ozplToFCWOXp+3AHBXp+W5G6Jgagku4Qo8E4SF1oJwB0U1eW/xNAwWEheNHD0zPw1A6ijDSINH9sZoLMQ==" saltValue="nZwyqDIznu199lkmf7m0UA==" spinCount="100000" sheet="1" objects="1" scenarios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248</v>
      </c>
    </row>
    <row r="2" spans="1:6" ht="15.75" customHeight="1" x14ac:dyDescent="0.3">
      <c r="B2" s="69"/>
      <c r="C2" s="26" t="s">
        <v>58</v>
      </c>
      <c r="D2" s="70" t="s">
        <v>59</v>
      </c>
      <c r="E2" s="70" t="s">
        <v>51</v>
      </c>
      <c r="F2" s="70" t="s">
        <v>52</v>
      </c>
    </row>
    <row r="3" spans="1:6" ht="15.75" customHeight="1" x14ac:dyDescent="0.3">
      <c r="A3" s="4" t="s">
        <v>255</v>
      </c>
      <c r="B3" s="14"/>
      <c r="C3" s="71"/>
      <c r="D3" s="72"/>
      <c r="E3" s="72"/>
      <c r="F3" s="72"/>
    </row>
    <row r="4" spans="1:6" ht="15.75" customHeight="1" x14ac:dyDescent="0.25">
      <c r="B4" s="5" t="s">
        <v>27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63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10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11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252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261</v>
      </c>
      <c r="C11" s="74"/>
      <c r="D11" s="75"/>
      <c r="E11" s="75"/>
      <c r="F11" s="75"/>
    </row>
    <row r="12" spans="1:6" ht="15.75" customHeight="1" x14ac:dyDescent="0.3">
      <c r="A12" s="4" t="s">
        <v>249</v>
      </c>
      <c r="C12" s="73"/>
      <c r="D12" s="64"/>
      <c r="E12" s="64"/>
      <c r="F12" s="64"/>
    </row>
    <row r="13" spans="1:6" ht="15.75" customHeight="1" x14ac:dyDescent="0.25">
      <c r="B13" s="11" t="s">
        <v>264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107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119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258</v>
      </c>
      <c r="B17" s="14"/>
      <c r="C17" s="77"/>
      <c r="D17" s="78"/>
      <c r="E17" s="78"/>
      <c r="F17" s="78"/>
    </row>
    <row r="18" spans="1:6" ht="15.75" customHeight="1" x14ac:dyDescent="0.25">
      <c r="B18" s="5" t="s">
        <v>93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97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95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91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96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98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92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94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248</v>
      </c>
    </row>
    <row r="29" spans="1:6" ht="15.75" customHeight="1" x14ac:dyDescent="0.3">
      <c r="B29" s="69"/>
      <c r="C29" s="26" t="s">
        <v>58</v>
      </c>
      <c r="D29" s="70" t="s">
        <v>59</v>
      </c>
      <c r="E29" s="70" t="s">
        <v>51</v>
      </c>
      <c r="F29" s="70" t="s">
        <v>52</v>
      </c>
    </row>
    <row r="30" spans="1:6" ht="15.75" customHeight="1" x14ac:dyDescent="0.3">
      <c r="A30" s="4" t="s">
        <v>256</v>
      </c>
      <c r="B30" s="14"/>
      <c r="C30" s="71"/>
      <c r="D30" s="72"/>
      <c r="E30" s="72"/>
      <c r="F30" s="72"/>
    </row>
    <row r="31" spans="1:6" ht="15.75" customHeight="1" x14ac:dyDescent="0.25">
      <c r="B31" s="5" t="s">
        <v>27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63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10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11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253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261</v>
      </c>
      <c r="B38" s="68"/>
      <c r="C38" s="74"/>
      <c r="D38" s="75"/>
      <c r="E38" s="75"/>
      <c r="F38" s="75"/>
    </row>
    <row r="39" spans="1:6" ht="15.75" customHeight="1" x14ac:dyDescent="0.3">
      <c r="A39" s="4" t="s">
        <v>250</v>
      </c>
      <c r="C39" s="73"/>
      <c r="D39" s="64"/>
      <c r="E39" s="64"/>
      <c r="F39" s="64"/>
    </row>
    <row r="40" spans="1:6" ht="15.75" customHeight="1" x14ac:dyDescent="0.25">
      <c r="B40" s="11" t="s">
        <v>265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246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262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259</v>
      </c>
      <c r="B44" s="14"/>
      <c r="C44" s="77"/>
      <c r="D44" s="78"/>
      <c r="E44" s="78"/>
      <c r="F44" s="78"/>
    </row>
    <row r="45" spans="1:6" ht="15.75" customHeight="1" x14ac:dyDescent="0.25">
      <c r="B45" s="5" t="s">
        <v>93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97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95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91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96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98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92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94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245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248</v>
      </c>
    </row>
    <row r="56" spans="1:6" ht="15.75" customHeight="1" x14ac:dyDescent="0.3">
      <c r="B56" s="69"/>
      <c r="C56" s="26" t="s">
        <v>58</v>
      </c>
      <c r="D56" s="70" t="s">
        <v>59</v>
      </c>
      <c r="E56" s="70" t="s">
        <v>51</v>
      </c>
      <c r="F56" s="70" t="s">
        <v>52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27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63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10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11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254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261</v>
      </c>
      <c r="B65" s="68"/>
      <c r="C65" s="74"/>
      <c r="D65" s="75"/>
      <c r="E65" s="75"/>
      <c r="F65" s="75"/>
    </row>
    <row r="66" spans="1:6" ht="15.75" customHeight="1" x14ac:dyDescent="0.3">
      <c r="A66" s="4" t="s">
        <v>251</v>
      </c>
      <c r="C66" s="73"/>
      <c r="D66" s="64"/>
      <c r="E66" s="64"/>
      <c r="F66" s="64"/>
    </row>
    <row r="67" spans="1:6" ht="15.75" customHeight="1" x14ac:dyDescent="0.25">
      <c r="B67" s="11" t="s">
        <v>266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247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263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260</v>
      </c>
      <c r="B71" s="14"/>
      <c r="C71" s="77"/>
      <c r="D71" s="78"/>
      <c r="E71" s="78"/>
      <c r="F71" s="78"/>
    </row>
    <row r="72" spans="1:6" ht="15.75" customHeight="1" x14ac:dyDescent="0.25">
      <c r="B72" s="5" t="s">
        <v>93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97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95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91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96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98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92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94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4V3ai0e2CXaGR2xTQudvnfo4F2/Rvw/KESqtGeem0my2fBMH9Q698DjljFXMMmGn5PYJSmJZHuKbOrfcn9sHxg==" saltValue="TN7OCGw/1/88TCGtFeGe8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D30" sqref="D30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278</v>
      </c>
    </row>
    <row r="2" spans="1:16" ht="13" customHeight="1" x14ac:dyDescent="0.3">
      <c r="A2" s="39" t="s">
        <v>230</v>
      </c>
      <c r="B2" s="1" t="s">
        <v>270</v>
      </c>
      <c r="C2" s="1" t="s">
        <v>271</v>
      </c>
      <c r="D2" s="70" t="s">
        <v>78</v>
      </c>
      <c r="E2" s="70" t="s">
        <v>74</v>
      </c>
      <c r="F2" s="70" t="s">
        <v>77</v>
      </c>
      <c r="G2" s="70" t="s">
        <v>75</v>
      </c>
      <c r="H2" s="70" t="s">
        <v>76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84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273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274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272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102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273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274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272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90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273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274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272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273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274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272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273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274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272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99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273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274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272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279</v>
      </c>
    </row>
    <row r="29" spans="1:16" ht="13" customHeight="1" x14ac:dyDescent="0.3">
      <c r="A29" s="39" t="s">
        <v>282</v>
      </c>
      <c r="B29" s="4" t="s">
        <v>270</v>
      </c>
      <c r="C29" s="4" t="s">
        <v>281</v>
      </c>
      <c r="D29" s="70" t="s">
        <v>78</v>
      </c>
      <c r="E29" s="70" t="s">
        <v>74</v>
      </c>
      <c r="F29" s="70" t="s">
        <v>77</v>
      </c>
      <c r="G29" s="70" t="s">
        <v>75</v>
      </c>
      <c r="H29" s="70" t="s">
        <v>76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84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273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207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102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273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207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90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273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207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273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207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273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207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99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273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207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276</v>
      </c>
    </row>
    <row r="56" spans="1:16" ht="26" customHeight="1" x14ac:dyDescent="0.3">
      <c r="A56" s="39" t="s">
        <v>105</v>
      </c>
      <c r="B56" s="4" t="s">
        <v>270</v>
      </c>
      <c r="C56" s="69" t="s">
        <v>267</v>
      </c>
      <c r="D56" s="70" t="s">
        <v>113</v>
      </c>
      <c r="E56" s="70" t="s">
        <v>114</v>
      </c>
      <c r="F56" s="70" t="s">
        <v>115</v>
      </c>
      <c r="G56" s="70" t="s">
        <v>116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81</v>
      </c>
      <c r="C57" s="3" t="s">
        <v>275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268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89</v>
      </c>
      <c r="C59" s="3" t="s">
        <v>275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268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103</v>
      </c>
      <c r="C61" s="3" t="s">
        <v>275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268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277</v>
      </c>
    </row>
    <row r="65" spans="1:16" ht="26" customHeight="1" x14ac:dyDescent="0.3">
      <c r="A65" s="39" t="s">
        <v>123</v>
      </c>
      <c r="B65" s="4" t="s">
        <v>270</v>
      </c>
      <c r="C65" s="69" t="s">
        <v>269</v>
      </c>
      <c r="D65" s="70" t="s">
        <v>78</v>
      </c>
      <c r="E65" s="70" t="s">
        <v>74</v>
      </c>
      <c r="F65" s="70" t="s">
        <v>77</v>
      </c>
      <c r="G65" s="70" t="s">
        <v>75</v>
      </c>
      <c r="H65" s="81" t="s">
        <v>76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93</v>
      </c>
      <c r="C66" s="3" t="s">
        <v>124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127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126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125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97</v>
      </c>
      <c r="C70" s="3" t="s">
        <v>124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127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126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125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95</v>
      </c>
      <c r="C74" s="3" t="s">
        <v>124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127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126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125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96</v>
      </c>
      <c r="C78" s="3" t="s">
        <v>124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127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126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125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84</v>
      </c>
      <c r="C82" s="3" t="s">
        <v>124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127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126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125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102</v>
      </c>
      <c r="C86" s="3" t="s">
        <v>124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127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126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125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90</v>
      </c>
      <c r="C90" s="3" t="s">
        <v>124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127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126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125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124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127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126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125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101</v>
      </c>
      <c r="C98" s="3" t="s">
        <v>124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127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126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125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84</v>
      </c>
      <c r="B104" s="82" t="s">
        <v>125</v>
      </c>
      <c r="C104" s="69" t="s">
        <v>269</v>
      </c>
      <c r="D104" s="70" t="s">
        <v>78</v>
      </c>
      <c r="E104" s="70" t="s">
        <v>74</v>
      </c>
      <c r="F104" s="70" t="s">
        <v>77</v>
      </c>
      <c r="G104" s="70" t="s">
        <v>75</v>
      </c>
      <c r="H104" s="81" t="s">
        <v>76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124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127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126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125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278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230</v>
      </c>
      <c r="B112" s="1" t="s">
        <v>270</v>
      </c>
      <c r="C112" s="1" t="s">
        <v>271</v>
      </c>
      <c r="D112" s="70" t="s">
        <v>78</v>
      </c>
      <c r="E112" s="70" t="s">
        <v>74</v>
      </c>
      <c r="F112" s="70" t="s">
        <v>77</v>
      </c>
      <c r="G112" s="70" t="s">
        <v>75</v>
      </c>
      <c r="H112" s="70" t="s">
        <v>76</v>
      </c>
    </row>
    <row r="113" spans="1:8" ht="13" customHeight="1" x14ac:dyDescent="0.3">
      <c r="A113" s="4"/>
      <c r="B113" s="8" t="s">
        <v>84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273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274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272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102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273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274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272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90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273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274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272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273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274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272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273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274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272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99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273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274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272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279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282</v>
      </c>
      <c r="B139" s="4" t="s">
        <v>270</v>
      </c>
      <c r="C139" s="4" t="s">
        <v>281</v>
      </c>
      <c r="D139" s="70" t="s">
        <v>78</v>
      </c>
      <c r="E139" s="70" t="s">
        <v>74</v>
      </c>
      <c r="F139" s="70" t="s">
        <v>77</v>
      </c>
      <c r="G139" s="70" t="s">
        <v>75</v>
      </c>
      <c r="H139" s="70" t="s">
        <v>76</v>
      </c>
    </row>
    <row r="140" spans="1:8" ht="13" customHeight="1" x14ac:dyDescent="0.3">
      <c r="A140" s="4"/>
      <c r="B140" s="8" t="s">
        <v>84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273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207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102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273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207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90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273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207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273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207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273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207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99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273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207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276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105</v>
      </c>
      <c r="B166" s="4" t="s">
        <v>270</v>
      </c>
      <c r="C166" s="69" t="s">
        <v>267</v>
      </c>
      <c r="D166" s="70" t="s">
        <v>113</v>
      </c>
      <c r="E166" s="70" t="s">
        <v>114</v>
      </c>
      <c r="F166" s="70" t="s">
        <v>115</v>
      </c>
      <c r="G166" s="70" t="s">
        <v>116</v>
      </c>
      <c r="H166" s="79"/>
    </row>
    <row r="167" spans="1:8" ht="13" customHeight="1" x14ac:dyDescent="0.3">
      <c r="A167" s="4"/>
      <c r="B167" s="8" t="s">
        <v>81</v>
      </c>
      <c r="C167" s="3" t="s">
        <v>275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268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89</v>
      </c>
      <c r="C169" s="3" t="s">
        <v>275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268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103</v>
      </c>
      <c r="C171" s="3" t="s">
        <v>275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268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277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123</v>
      </c>
      <c r="B175" s="4" t="s">
        <v>270</v>
      </c>
      <c r="C175" s="69" t="s">
        <v>269</v>
      </c>
      <c r="D175" s="70" t="s">
        <v>78</v>
      </c>
      <c r="E175" s="70" t="s">
        <v>74</v>
      </c>
      <c r="F175" s="70" t="s">
        <v>77</v>
      </c>
      <c r="G175" s="70" t="s">
        <v>75</v>
      </c>
      <c r="H175" s="81" t="s">
        <v>76</v>
      </c>
    </row>
    <row r="176" spans="1:8" ht="13" customHeight="1" x14ac:dyDescent="0.3">
      <c r="A176" s="82"/>
      <c r="B176" s="8" t="s">
        <v>93</v>
      </c>
      <c r="C176" s="3" t="s">
        <v>124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127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126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125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97</v>
      </c>
      <c r="C180" s="3" t="s">
        <v>124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127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126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125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95</v>
      </c>
      <c r="C184" s="3" t="s">
        <v>124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127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126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125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96</v>
      </c>
      <c r="C188" s="3" t="s">
        <v>124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127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126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125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84</v>
      </c>
      <c r="C192" s="3" t="s">
        <v>124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127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126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125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102</v>
      </c>
      <c r="C196" s="3" t="s">
        <v>124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127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126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125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90</v>
      </c>
      <c r="C200" s="3" t="s">
        <v>124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127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126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125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124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127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126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125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101</v>
      </c>
      <c r="C208" s="3" t="s">
        <v>124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127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126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125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84</v>
      </c>
      <c r="B214" s="82" t="s">
        <v>125</v>
      </c>
      <c r="C214" s="69" t="s">
        <v>269</v>
      </c>
      <c r="D214" s="70" t="s">
        <v>78</v>
      </c>
      <c r="E214" s="70" t="s">
        <v>74</v>
      </c>
      <c r="F214" s="70" t="s">
        <v>77</v>
      </c>
      <c r="G214" s="70" t="s">
        <v>75</v>
      </c>
      <c r="H214" s="81" t="s">
        <v>76</v>
      </c>
    </row>
    <row r="215" spans="1:9" ht="13" customHeight="1" x14ac:dyDescent="0.3">
      <c r="A215" s="4"/>
      <c r="C215" s="3" t="s">
        <v>124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127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126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125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245</v>
      </c>
      <c r="H220" s="92"/>
    </row>
    <row r="221" spans="1:9" ht="13" customHeight="1" x14ac:dyDescent="0.3">
      <c r="A221" s="67" t="s">
        <v>278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230</v>
      </c>
      <c r="B222" s="1" t="s">
        <v>270</v>
      </c>
      <c r="C222" s="1" t="s">
        <v>271</v>
      </c>
      <c r="D222" s="70" t="s">
        <v>78</v>
      </c>
      <c r="E222" s="70" t="s">
        <v>74</v>
      </c>
      <c r="F222" s="70" t="s">
        <v>77</v>
      </c>
      <c r="G222" s="70" t="s">
        <v>75</v>
      </c>
      <c r="H222" s="70" t="s">
        <v>76</v>
      </c>
      <c r="I222" s="79"/>
    </row>
    <row r="223" spans="1:9" ht="13" customHeight="1" x14ac:dyDescent="0.3">
      <c r="A223" s="4"/>
      <c r="B223" s="8" t="s">
        <v>84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273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274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272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102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273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274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272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90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273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274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272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273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274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272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273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274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272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99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273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274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272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279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282</v>
      </c>
      <c r="B249" s="4" t="s">
        <v>270</v>
      </c>
      <c r="C249" s="4" t="s">
        <v>281</v>
      </c>
      <c r="D249" s="70" t="s">
        <v>78</v>
      </c>
      <c r="E249" s="70" t="s">
        <v>74</v>
      </c>
      <c r="F249" s="70" t="s">
        <v>77</v>
      </c>
      <c r="G249" s="70" t="s">
        <v>75</v>
      </c>
      <c r="H249" s="70" t="s">
        <v>76</v>
      </c>
      <c r="I249" s="79"/>
    </row>
    <row r="250" spans="1:9" ht="13" customHeight="1" x14ac:dyDescent="0.3">
      <c r="A250" s="4"/>
      <c r="B250" s="8" t="s">
        <v>84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273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207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102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273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207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90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273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207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273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207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273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207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99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273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207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276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105</v>
      </c>
      <c r="B276" s="4" t="s">
        <v>270</v>
      </c>
      <c r="C276" s="69" t="s">
        <v>267</v>
      </c>
      <c r="D276" s="70" t="s">
        <v>113</v>
      </c>
      <c r="E276" s="70" t="s">
        <v>114</v>
      </c>
      <c r="F276" s="70" t="s">
        <v>115</v>
      </c>
      <c r="G276" s="70" t="s">
        <v>116</v>
      </c>
      <c r="H276" s="79"/>
    </row>
    <row r="277" spans="1:9" ht="13" customHeight="1" x14ac:dyDescent="0.3">
      <c r="A277" s="4"/>
      <c r="B277" s="8" t="s">
        <v>81</v>
      </c>
      <c r="C277" s="3" t="s">
        <v>275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268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89</v>
      </c>
      <c r="C279" s="3" t="s">
        <v>275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268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103</v>
      </c>
      <c r="C281" s="3" t="s">
        <v>275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268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277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123</v>
      </c>
      <c r="B285" s="4" t="s">
        <v>270</v>
      </c>
      <c r="C285" s="69" t="s">
        <v>269</v>
      </c>
      <c r="D285" s="70" t="s">
        <v>78</v>
      </c>
      <c r="E285" s="70" t="s">
        <v>74</v>
      </c>
      <c r="F285" s="70" t="s">
        <v>77</v>
      </c>
      <c r="G285" s="70" t="s">
        <v>75</v>
      </c>
      <c r="H285" s="81" t="s">
        <v>76</v>
      </c>
      <c r="I285" s="79"/>
    </row>
    <row r="286" spans="1:9" ht="13" customHeight="1" x14ac:dyDescent="0.3">
      <c r="A286" s="82"/>
      <c r="B286" s="8" t="s">
        <v>93</v>
      </c>
      <c r="C286" s="3" t="s">
        <v>124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127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126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125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97</v>
      </c>
      <c r="C290" s="3" t="s">
        <v>124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127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126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125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95</v>
      </c>
      <c r="C294" s="3" t="s">
        <v>124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127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126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125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96</v>
      </c>
      <c r="C298" s="3" t="s">
        <v>124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127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126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125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84</v>
      </c>
      <c r="C302" s="3" t="s">
        <v>124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127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126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125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102</v>
      </c>
      <c r="C306" s="3" t="s">
        <v>124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127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126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125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90</v>
      </c>
      <c r="C310" s="3" t="s">
        <v>124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127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126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125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124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127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126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125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101</v>
      </c>
      <c r="C318" s="3" t="s">
        <v>124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127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126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125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84</v>
      </c>
      <c r="B324" s="82" t="s">
        <v>125</v>
      </c>
      <c r="C324" s="69" t="s">
        <v>269</v>
      </c>
      <c r="D324" s="70" t="s">
        <v>78</v>
      </c>
      <c r="E324" s="70" t="s">
        <v>74</v>
      </c>
      <c r="F324" s="70" t="s">
        <v>77</v>
      </c>
      <c r="G324" s="70" t="s">
        <v>75</v>
      </c>
      <c r="H324" s="81" t="s">
        <v>76</v>
      </c>
      <c r="I324" s="79"/>
    </row>
    <row r="325" spans="1:9" ht="13" customHeight="1" x14ac:dyDescent="0.3">
      <c r="A325" s="4"/>
      <c r="C325" s="3" t="s">
        <v>124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127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126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125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r35TRnv4aw853+JgMuEqpg/ZWfwdZ2cb4pllLl7sc+11x148M0fP6Tw4d/K7xhW9K3MF6lJ4r8jagk3IsrVpZg==" saltValue="Omsuoi0O09FqwSffoym3N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313</v>
      </c>
    </row>
    <row r="2" spans="1:7" ht="14.25" customHeight="1" x14ac:dyDescent="0.3">
      <c r="A2" s="82" t="s">
        <v>208</v>
      </c>
      <c r="B2" s="1"/>
      <c r="C2" s="4" t="s">
        <v>78</v>
      </c>
      <c r="D2" s="4" t="s">
        <v>74</v>
      </c>
      <c r="E2" s="4" t="s">
        <v>77</v>
      </c>
      <c r="F2" s="4" t="s">
        <v>75</v>
      </c>
      <c r="G2" s="4" t="s">
        <v>76</v>
      </c>
    </row>
    <row r="3" spans="1:7" ht="14.25" customHeight="1" x14ac:dyDescent="0.25">
      <c r="B3" s="11" t="s">
        <v>300</v>
      </c>
      <c r="C3" s="90" t="s">
        <v>8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286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283</v>
      </c>
    </row>
    <row r="6" spans="1:7" ht="14.25" customHeight="1" x14ac:dyDescent="0.25">
      <c r="B6" s="5" t="s">
        <v>193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204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307</v>
      </c>
    </row>
    <row r="12" spans="1:7" ht="14.25" customHeight="1" x14ac:dyDescent="0.3">
      <c r="A12" s="14"/>
      <c r="B12" s="11" t="s">
        <v>182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314</v>
      </c>
    </row>
    <row r="15" spans="1:7" ht="14.25" customHeight="1" x14ac:dyDescent="0.3">
      <c r="A15" s="82" t="s">
        <v>282</v>
      </c>
      <c r="B15" s="5" t="s">
        <v>294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291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105</v>
      </c>
      <c r="B17" s="11" t="s">
        <v>297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310</v>
      </c>
    </row>
    <row r="20" spans="1:7" s="14" customFormat="1" ht="14.25" customHeight="1" x14ac:dyDescent="0.3">
      <c r="C20" s="4" t="s">
        <v>68</v>
      </c>
      <c r="D20" s="4" t="s">
        <v>69</v>
      </c>
      <c r="E20" s="4" t="s">
        <v>70</v>
      </c>
      <c r="F20" s="4" t="s">
        <v>71</v>
      </c>
    </row>
    <row r="21" spans="1:7" x14ac:dyDescent="0.25">
      <c r="B21" s="11" t="s">
        <v>170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313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208</v>
      </c>
      <c r="B25" s="1"/>
      <c r="C25" s="4" t="s">
        <v>78</v>
      </c>
      <c r="D25" s="4" t="s">
        <v>74</v>
      </c>
      <c r="E25" s="4" t="s">
        <v>77</v>
      </c>
      <c r="F25" s="4" t="s">
        <v>75</v>
      </c>
      <c r="G25" s="4" t="s">
        <v>76</v>
      </c>
    </row>
    <row r="26" spans="1:7" x14ac:dyDescent="0.25">
      <c r="B26" s="11" t="s">
        <v>301</v>
      </c>
      <c r="C26" s="90" t="s">
        <v>8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287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284</v>
      </c>
    </row>
    <row r="29" spans="1:7" x14ac:dyDescent="0.25">
      <c r="B29" s="5" t="s">
        <v>315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305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319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317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308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303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314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282</v>
      </c>
      <c r="B38" s="5" t="s">
        <v>295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292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105</v>
      </c>
      <c r="B40" s="11" t="s">
        <v>298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311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68</v>
      </c>
      <c r="D43" s="4" t="s">
        <v>69</v>
      </c>
      <c r="E43" s="4" t="s">
        <v>70</v>
      </c>
      <c r="F43" s="4" t="s">
        <v>71</v>
      </c>
      <c r="G43" s="14"/>
    </row>
    <row r="44" spans="1:7" x14ac:dyDescent="0.25">
      <c r="B44" s="11" t="s">
        <v>289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245</v>
      </c>
    </row>
    <row r="47" spans="1:7" ht="13" customHeight="1" x14ac:dyDescent="0.3">
      <c r="A47" s="67" t="s">
        <v>313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208</v>
      </c>
      <c r="B48" s="1"/>
      <c r="C48" s="4" t="s">
        <v>78</v>
      </c>
      <c r="D48" s="4" t="s">
        <v>74</v>
      </c>
      <c r="E48" s="4" t="s">
        <v>77</v>
      </c>
      <c r="F48" s="4" t="s">
        <v>75</v>
      </c>
      <c r="G48" s="4" t="s">
        <v>76</v>
      </c>
    </row>
    <row r="49" spans="1:7" x14ac:dyDescent="0.25">
      <c r="B49" s="11" t="s">
        <v>302</v>
      </c>
      <c r="C49" s="90" t="s">
        <v>8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288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285</v>
      </c>
    </row>
    <row r="52" spans="1:7" x14ac:dyDescent="0.25">
      <c r="B52" s="5" t="s">
        <v>316</v>
      </c>
      <c r="C52" s="90">
        <f t="shared" ref="C52:D55" si="3">IF(C6=1,1,C6*1.1)</f>
        <v>1</v>
      </c>
      <c r="D52" s="90">
        <f t="shared" si="3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306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320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318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309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304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314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282</v>
      </c>
      <c r="B61" s="5" t="s">
        <v>296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293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105</v>
      </c>
      <c r="B63" s="11" t="s">
        <v>299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312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68</v>
      </c>
      <c r="D66" s="4" t="s">
        <v>69</v>
      </c>
      <c r="E66" s="4" t="s">
        <v>70</v>
      </c>
      <c r="F66" s="4" t="s">
        <v>71</v>
      </c>
      <c r="G66" s="14"/>
    </row>
    <row r="67" spans="1:7" x14ac:dyDescent="0.25">
      <c r="B67" s="11" t="s">
        <v>290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O2T7AaxlYlermzbZSOohZc+Q+9JZqiXtEsTmHf4ofph9YDV8XPR7UAdM7OXOmEDe4Gnt1MitOsEd2EQSJ6a0fg==" saltValue="pCZAv40JquM+IFNqtrx68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12" sqref="C12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163</v>
      </c>
      <c r="B1" s="4"/>
      <c r="C1" s="4" t="s">
        <v>52</v>
      </c>
      <c r="D1" s="4" t="s">
        <v>59</v>
      </c>
      <c r="E1" s="4" t="s">
        <v>51</v>
      </c>
      <c r="F1" s="1" t="s">
        <v>58</v>
      </c>
    </row>
    <row r="2" spans="1:6" ht="15.75" customHeight="1" x14ac:dyDescent="0.25">
      <c r="A2" s="5" t="s">
        <v>165</v>
      </c>
      <c r="B2" s="5" t="s">
        <v>322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178</v>
      </c>
      <c r="B4" s="5" t="s">
        <v>322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179</v>
      </c>
      <c r="B6" s="5" t="s">
        <v>322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180</v>
      </c>
      <c r="B8" s="5" t="s">
        <v>322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322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191</v>
      </c>
      <c r="B12" s="5" t="s">
        <v>322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163</v>
      </c>
      <c r="B16" s="4"/>
      <c r="C16" s="4" t="s">
        <v>52</v>
      </c>
      <c r="D16" s="4" t="s">
        <v>59</v>
      </c>
      <c r="E16" s="4" t="s">
        <v>51</v>
      </c>
      <c r="F16" s="1" t="s">
        <v>58</v>
      </c>
    </row>
    <row r="17" spans="1:6" ht="15.75" customHeight="1" x14ac:dyDescent="0.25">
      <c r="A17" s="5" t="s">
        <v>165</v>
      </c>
      <c r="B17" s="5" t="s">
        <v>322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178</v>
      </c>
      <c r="B19" s="5" t="s">
        <v>322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179</v>
      </c>
      <c r="B21" s="5" t="s">
        <v>322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180</v>
      </c>
      <c r="B23" s="5" t="s">
        <v>322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322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191</v>
      </c>
      <c r="B27" s="5" t="s">
        <v>322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245</v>
      </c>
    </row>
    <row r="31" spans="1:6" ht="15.75" customHeight="1" x14ac:dyDescent="0.3">
      <c r="A31" s="1" t="s">
        <v>163</v>
      </c>
      <c r="B31" s="4"/>
      <c r="C31" s="4" t="s">
        <v>52</v>
      </c>
      <c r="D31" s="4" t="s">
        <v>59</v>
      </c>
      <c r="E31" s="4" t="s">
        <v>51</v>
      </c>
      <c r="F31" s="1" t="s">
        <v>58</v>
      </c>
    </row>
    <row r="32" spans="1:6" ht="15.75" customHeight="1" x14ac:dyDescent="0.25">
      <c r="A32" s="5" t="s">
        <v>165</v>
      </c>
      <c r="B32" s="5" t="s">
        <v>322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178</v>
      </c>
      <c r="B34" s="5" t="s">
        <v>322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179</v>
      </c>
      <c r="B36" s="5" t="s">
        <v>322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180</v>
      </c>
      <c r="B38" s="5" t="s">
        <v>322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322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191</v>
      </c>
      <c r="B42" s="5" t="s">
        <v>322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f2+tlZ8fRGMlkOzdvXKCiHDwiqXKgDfPbxibUvmkKR8Jz8vr/7jlJCvZsdwnAtaOdpo67qvqhGhlRG/SjAYUTA==" saltValue="qmpEad4f0mpQDmdrzwNiQ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topLeftCell="A2" zoomScale="70" zoomScaleNormal="70" workbookViewId="0">
      <selection activeCell="H14" sqref="H14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78</v>
      </c>
      <c r="D1" s="70" t="s">
        <v>74</v>
      </c>
      <c r="E1" s="70" t="s">
        <v>77</v>
      </c>
      <c r="F1" s="70" t="s">
        <v>75</v>
      </c>
      <c r="G1" s="70" t="s">
        <v>76</v>
      </c>
      <c r="H1" s="70" t="s">
        <v>68</v>
      </c>
      <c r="I1" s="70" t="s">
        <v>69</v>
      </c>
      <c r="J1" s="70" t="s">
        <v>70</v>
      </c>
      <c r="K1" s="70" t="s">
        <v>71</v>
      </c>
      <c r="L1" s="70" t="s">
        <v>113</v>
      </c>
      <c r="M1" s="70" t="s">
        <v>114</v>
      </c>
      <c r="N1" s="70" t="s">
        <v>115</v>
      </c>
      <c r="O1" s="70" t="s">
        <v>116</v>
      </c>
    </row>
    <row r="2" spans="1:15" ht="13" customHeight="1" x14ac:dyDescent="0.3">
      <c r="A2" s="4" t="s">
        <v>326</v>
      </c>
    </row>
    <row r="3" spans="1:15" x14ac:dyDescent="0.25">
      <c r="B3" s="11" t="s">
        <v>169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174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175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176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177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178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179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180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190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191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204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171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172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173</v>
      </c>
      <c r="C20" s="90">
        <v>1</v>
      </c>
      <c r="D20" s="90">
        <v>1</v>
      </c>
      <c r="E20" s="90">
        <f t="shared" ref="E20:O20" si="0">E19</f>
        <v>0.97599999999999998</v>
      </c>
      <c r="F20" s="90">
        <f t="shared" si="0"/>
        <v>0.97599999999999998</v>
      </c>
      <c r="G20" s="90">
        <f t="shared" si="0"/>
        <v>0.97599999999999998</v>
      </c>
      <c r="H20" s="90">
        <f t="shared" si="0"/>
        <v>0.97599999999999998</v>
      </c>
      <c r="I20" s="90">
        <f t="shared" si="0"/>
        <v>0.97599999999999998</v>
      </c>
      <c r="J20" s="90">
        <f t="shared" si="0"/>
        <v>0.97599999999999998</v>
      </c>
      <c r="K20" s="90">
        <f t="shared" si="0"/>
        <v>0.97599999999999998</v>
      </c>
      <c r="L20" s="90">
        <f t="shared" si="0"/>
        <v>0.97599999999999998</v>
      </c>
      <c r="M20" s="90">
        <f t="shared" si="0"/>
        <v>0.97599999999999998</v>
      </c>
      <c r="N20" s="90">
        <f t="shared" si="0"/>
        <v>0.97599999999999998</v>
      </c>
      <c r="O20" s="90">
        <f t="shared" si="0"/>
        <v>0.97599999999999998</v>
      </c>
    </row>
    <row r="21" spans="1:15" x14ac:dyDescent="0.25">
      <c r="B21" s="5" t="s">
        <v>181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78</v>
      </c>
      <c r="D24" s="70" t="s">
        <v>74</v>
      </c>
      <c r="E24" s="70" t="s">
        <v>77</v>
      </c>
      <c r="F24" s="70" t="s">
        <v>75</v>
      </c>
      <c r="G24" s="70" t="s">
        <v>76</v>
      </c>
      <c r="H24" s="70" t="s">
        <v>68</v>
      </c>
      <c r="I24" s="70" t="s">
        <v>69</v>
      </c>
      <c r="J24" s="70" t="s">
        <v>70</v>
      </c>
      <c r="K24" s="70" t="s">
        <v>71</v>
      </c>
      <c r="L24" s="70" t="s">
        <v>113</v>
      </c>
      <c r="M24" s="70" t="s">
        <v>114</v>
      </c>
      <c r="N24" s="70" t="s">
        <v>115</v>
      </c>
      <c r="O24" s="70" t="s">
        <v>116</v>
      </c>
    </row>
    <row r="25" spans="1:15" ht="13" customHeight="1" x14ac:dyDescent="0.3">
      <c r="A25" s="4" t="s">
        <v>327</v>
      </c>
    </row>
    <row r="26" spans="1:15" x14ac:dyDescent="0.25">
      <c r="B26" s="11" t="s">
        <v>169</v>
      </c>
      <c r="C26" s="90">
        <v>0.87</v>
      </c>
      <c r="D26" s="90">
        <v>0.4</v>
      </c>
      <c r="E26" s="90">
        <f t="shared" ref="E26:O26" si="1">IF(E3=1,1,E3*0.9)</f>
        <v>1</v>
      </c>
      <c r="F26" s="90">
        <f t="shared" si="1"/>
        <v>1</v>
      </c>
      <c r="G26" s="90">
        <f t="shared" si="1"/>
        <v>1</v>
      </c>
      <c r="H26" s="90">
        <f t="shared" si="1"/>
        <v>1</v>
      </c>
      <c r="I26" s="90">
        <f t="shared" si="1"/>
        <v>1</v>
      </c>
      <c r="J26" s="90">
        <f t="shared" si="1"/>
        <v>1</v>
      </c>
      <c r="K26" s="90">
        <f t="shared" si="1"/>
        <v>1</v>
      </c>
      <c r="L26" s="90">
        <f t="shared" si="1"/>
        <v>1</v>
      </c>
      <c r="M26" s="90">
        <f t="shared" si="1"/>
        <v>1</v>
      </c>
      <c r="N26" s="90">
        <f t="shared" si="1"/>
        <v>1</v>
      </c>
      <c r="O26" s="90">
        <f t="shared" si="1"/>
        <v>1</v>
      </c>
    </row>
    <row r="27" spans="1:15" x14ac:dyDescent="0.25">
      <c r="B27" s="11" t="s">
        <v>174</v>
      </c>
      <c r="C27" s="90">
        <f t="shared" ref="C27:G33" si="2">IF(C4=1,1,C4*0.9)</f>
        <v>1</v>
      </c>
      <c r="D27" s="90">
        <f t="shared" si="2"/>
        <v>1</v>
      </c>
      <c r="E27" s="90">
        <f t="shared" si="2"/>
        <v>1</v>
      </c>
      <c r="F27" s="90">
        <f t="shared" si="2"/>
        <v>1</v>
      </c>
      <c r="G27" s="90">
        <f t="shared" si="2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3">IF(L4=1,1,L4*0.9)</f>
        <v>1</v>
      </c>
      <c r="M27" s="90">
        <f t="shared" si="3"/>
        <v>1</v>
      </c>
      <c r="N27" s="90">
        <f t="shared" si="3"/>
        <v>1</v>
      </c>
      <c r="O27" s="90">
        <f t="shared" si="3"/>
        <v>1</v>
      </c>
    </row>
    <row r="28" spans="1:15" x14ac:dyDescent="0.25">
      <c r="B28" s="11" t="s">
        <v>175</v>
      </c>
      <c r="C28" s="90">
        <f t="shared" si="2"/>
        <v>1</v>
      </c>
      <c r="D28" s="90">
        <f t="shared" si="2"/>
        <v>1</v>
      </c>
      <c r="E28" s="90">
        <f t="shared" si="2"/>
        <v>1</v>
      </c>
      <c r="F28" s="90">
        <f t="shared" si="2"/>
        <v>1</v>
      </c>
      <c r="G28" s="90">
        <f t="shared" si="2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3"/>
        <v>1</v>
      </c>
      <c r="M28" s="90">
        <f t="shared" si="3"/>
        <v>1</v>
      </c>
      <c r="N28" s="90">
        <f t="shared" si="3"/>
        <v>1</v>
      </c>
      <c r="O28" s="90">
        <f t="shared" si="3"/>
        <v>1</v>
      </c>
    </row>
    <row r="29" spans="1:15" x14ac:dyDescent="0.25">
      <c r="B29" s="11" t="s">
        <v>176</v>
      </c>
      <c r="C29" s="90">
        <f t="shared" si="2"/>
        <v>1</v>
      </c>
      <c r="D29" s="90">
        <f t="shared" si="2"/>
        <v>1</v>
      </c>
      <c r="E29" s="90">
        <f t="shared" si="2"/>
        <v>1</v>
      </c>
      <c r="F29" s="90">
        <f t="shared" si="2"/>
        <v>1</v>
      </c>
      <c r="G29" s="90">
        <f t="shared" si="2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3"/>
        <v>1</v>
      </c>
      <c r="M29" s="90">
        <f t="shared" si="3"/>
        <v>1</v>
      </c>
      <c r="N29" s="90">
        <f t="shared" si="3"/>
        <v>1</v>
      </c>
      <c r="O29" s="90">
        <f t="shared" si="3"/>
        <v>1</v>
      </c>
    </row>
    <row r="30" spans="1:15" x14ac:dyDescent="0.25">
      <c r="B30" s="11" t="s">
        <v>177</v>
      </c>
      <c r="C30" s="90">
        <f t="shared" si="2"/>
        <v>1</v>
      </c>
      <c r="D30" s="90">
        <f t="shared" si="2"/>
        <v>1</v>
      </c>
      <c r="E30" s="90">
        <f t="shared" si="2"/>
        <v>1</v>
      </c>
      <c r="F30" s="90">
        <f t="shared" si="2"/>
        <v>1</v>
      </c>
      <c r="G30" s="90">
        <f t="shared" si="2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3"/>
        <v>1</v>
      </c>
      <c r="M30" s="90">
        <f t="shared" si="3"/>
        <v>1</v>
      </c>
      <c r="N30" s="90">
        <f t="shared" si="3"/>
        <v>1</v>
      </c>
      <c r="O30" s="90">
        <f t="shared" si="3"/>
        <v>1</v>
      </c>
    </row>
    <row r="31" spans="1:15" x14ac:dyDescent="0.25">
      <c r="B31" s="5" t="s">
        <v>178</v>
      </c>
      <c r="C31" s="90">
        <f t="shared" si="2"/>
        <v>1</v>
      </c>
      <c r="D31" s="90">
        <f t="shared" si="2"/>
        <v>1</v>
      </c>
      <c r="E31" s="90">
        <f t="shared" si="2"/>
        <v>1</v>
      </c>
      <c r="F31" s="90">
        <f t="shared" si="2"/>
        <v>1</v>
      </c>
      <c r="G31" s="90">
        <f t="shared" si="2"/>
        <v>1</v>
      </c>
      <c r="H31" s="90">
        <f t="shared" ref="H31:K34" si="4">IF(H8=1,1,H8*0.9)</f>
        <v>1</v>
      </c>
      <c r="I31" s="90">
        <f t="shared" si="4"/>
        <v>1</v>
      </c>
      <c r="J31" s="90">
        <f t="shared" si="4"/>
        <v>1</v>
      </c>
      <c r="K31" s="90">
        <f t="shared" si="4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179</v>
      </c>
      <c r="C32" s="90">
        <f t="shared" si="2"/>
        <v>1</v>
      </c>
      <c r="D32" s="90">
        <f t="shared" si="2"/>
        <v>1</v>
      </c>
      <c r="E32" s="90">
        <f t="shared" si="2"/>
        <v>1</v>
      </c>
      <c r="F32" s="90">
        <f t="shared" si="2"/>
        <v>1</v>
      </c>
      <c r="G32" s="90">
        <f t="shared" si="2"/>
        <v>1</v>
      </c>
      <c r="H32" s="90">
        <f t="shared" si="4"/>
        <v>1</v>
      </c>
      <c r="I32" s="90">
        <f t="shared" si="4"/>
        <v>1</v>
      </c>
      <c r="J32" s="90">
        <f t="shared" si="4"/>
        <v>1</v>
      </c>
      <c r="K32" s="90">
        <f t="shared" si="4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180</v>
      </c>
      <c r="C33" s="90">
        <f t="shared" si="2"/>
        <v>1</v>
      </c>
      <c r="D33" s="90">
        <f t="shared" si="2"/>
        <v>1</v>
      </c>
      <c r="E33" s="90">
        <f t="shared" si="2"/>
        <v>1</v>
      </c>
      <c r="F33" s="90">
        <f t="shared" si="2"/>
        <v>1</v>
      </c>
      <c r="G33" s="90">
        <f t="shared" si="2"/>
        <v>1</v>
      </c>
      <c r="H33" s="90">
        <f t="shared" si="4"/>
        <v>1</v>
      </c>
      <c r="I33" s="90">
        <f t="shared" si="4"/>
        <v>1</v>
      </c>
      <c r="J33" s="90">
        <f t="shared" si="4"/>
        <v>1</v>
      </c>
      <c r="K33" s="90">
        <f t="shared" si="4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4"/>
        <v>1</v>
      </c>
      <c r="I34" s="90">
        <f t="shared" si="4"/>
        <v>1</v>
      </c>
      <c r="J34" s="90">
        <f t="shared" si="4"/>
        <v>1</v>
      </c>
      <c r="K34" s="90">
        <f t="shared" si="4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190</v>
      </c>
      <c r="C36" s="90">
        <f t="shared" ref="C36:D38" si="5">IF(C13=1,1,C13*0.9)</f>
        <v>1</v>
      </c>
      <c r="D36" s="90">
        <f t="shared" si="5"/>
        <v>1</v>
      </c>
      <c r="E36" s="90">
        <v>0.62</v>
      </c>
      <c r="F36" s="90">
        <v>0.62</v>
      </c>
      <c r="G36" s="90">
        <v>0.62</v>
      </c>
      <c r="H36" s="90">
        <f t="shared" ref="H36:O36" si="6">IF(H13=1,1,H13*0.9)</f>
        <v>1</v>
      </c>
      <c r="I36" s="90">
        <f t="shared" si="6"/>
        <v>1</v>
      </c>
      <c r="J36" s="90">
        <f t="shared" si="6"/>
        <v>1</v>
      </c>
      <c r="K36" s="90">
        <f t="shared" si="6"/>
        <v>1</v>
      </c>
      <c r="L36" s="90">
        <f t="shared" si="6"/>
        <v>1</v>
      </c>
      <c r="M36" s="90">
        <f t="shared" si="6"/>
        <v>1</v>
      </c>
      <c r="N36" s="90">
        <f t="shared" si="6"/>
        <v>1</v>
      </c>
      <c r="O36" s="90">
        <f t="shared" si="6"/>
        <v>1</v>
      </c>
    </row>
    <row r="37" spans="1:15" x14ac:dyDescent="0.25">
      <c r="B37" s="11" t="s">
        <v>191</v>
      </c>
      <c r="C37" s="90">
        <f t="shared" si="5"/>
        <v>1</v>
      </c>
      <c r="D37" s="90">
        <f t="shared" si="5"/>
        <v>1</v>
      </c>
      <c r="E37" s="90">
        <f t="shared" ref="E37:K37" si="7">IF(E14=1,1,E14*0.9)</f>
        <v>1</v>
      </c>
      <c r="F37" s="90">
        <f t="shared" si="7"/>
        <v>1</v>
      </c>
      <c r="G37" s="90">
        <f t="shared" si="7"/>
        <v>1</v>
      </c>
      <c r="H37" s="90">
        <f t="shared" si="7"/>
        <v>1</v>
      </c>
      <c r="I37" s="90">
        <f t="shared" si="7"/>
        <v>1</v>
      </c>
      <c r="J37" s="90">
        <f t="shared" si="7"/>
        <v>1</v>
      </c>
      <c r="K37" s="90">
        <f t="shared" si="7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204</v>
      </c>
      <c r="C38" s="90">
        <f t="shared" si="5"/>
        <v>1</v>
      </c>
      <c r="D38" s="90">
        <f t="shared" si="5"/>
        <v>1</v>
      </c>
      <c r="E38" s="90">
        <v>0.3</v>
      </c>
      <c r="F38" s="90">
        <v>0.3</v>
      </c>
      <c r="G38" s="90">
        <f t="shared" ref="G38:O38" si="8">IF(G15=1,1,G15*0.9)</f>
        <v>1</v>
      </c>
      <c r="H38" s="90">
        <f t="shared" si="8"/>
        <v>1</v>
      </c>
      <c r="I38" s="90">
        <f t="shared" si="8"/>
        <v>1</v>
      </c>
      <c r="J38" s="90">
        <f t="shared" si="8"/>
        <v>1</v>
      </c>
      <c r="K38" s="90">
        <f t="shared" si="8"/>
        <v>1</v>
      </c>
      <c r="L38" s="90">
        <f t="shared" si="8"/>
        <v>1</v>
      </c>
      <c r="M38" s="90">
        <f t="shared" si="8"/>
        <v>1</v>
      </c>
      <c r="N38" s="90">
        <f t="shared" si="8"/>
        <v>1</v>
      </c>
      <c r="O38" s="90">
        <f t="shared" si="8"/>
        <v>1</v>
      </c>
    </row>
    <row r="40" spans="1:15" ht="13" customHeight="1" x14ac:dyDescent="0.3">
      <c r="A40" s="4" t="s">
        <v>324</v>
      </c>
      <c r="B40" s="11"/>
    </row>
    <row r="41" spans="1:15" x14ac:dyDescent="0.25">
      <c r="B41" s="5" t="s">
        <v>171</v>
      </c>
      <c r="C41" s="90">
        <f t="shared" ref="C41:O41" si="9">IF(C18=1,1,C18*0.9)</f>
        <v>1</v>
      </c>
      <c r="D41" s="90">
        <f t="shared" si="9"/>
        <v>1</v>
      </c>
      <c r="E41" s="90">
        <f t="shared" si="9"/>
        <v>1</v>
      </c>
      <c r="F41" s="90">
        <f t="shared" si="9"/>
        <v>1</v>
      </c>
      <c r="G41" s="90">
        <f t="shared" si="9"/>
        <v>1</v>
      </c>
      <c r="H41" s="90">
        <f t="shared" si="9"/>
        <v>1</v>
      </c>
      <c r="I41" s="90">
        <f t="shared" si="9"/>
        <v>1</v>
      </c>
      <c r="J41" s="90">
        <f t="shared" si="9"/>
        <v>1</v>
      </c>
      <c r="K41" s="90">
        <f t="shared" si="9"/>
        <v>1</v>
      </c>
      <c r="L41" s="90">
        <f t="shared" si="9"/>
        <v>1</v>
      </c>
      <c r="M41" s="90">
        <f t="shared" si="9"/>
        <v>1</v>
      </c>
      <c r="N41" s="90">
        <f t="shared" si="9"/>
        <v>1</v>
      </c>
      <c r="O41" s="90">
        <f t="shared" si="9"/>
        <v>1</v>
      </c>
    </row>
    <row r="42" spans="1:15" x14ac:dyDescent="0.25">
      <c r="B42" s="5" t="s">
        <v>172</v>
      </c>
      <c r="C42" s="90">
        <f t="shared" ref="C42:D44" si="10">IF(C19=1,1,C19*0.9)</f>
        <v>1</v>
      </c>
      <c r="D42" s="90">
        <f t="shared" si="10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173</v>
      </c>
      <c r="C43" s="90">
        <f t="shared" si="10"/>
        <v>1</v>
      </c>
      <c r="D43" s="90">
        <f t="shared" si="10"/>
        <v>1</v>
      </c>
      <c r="E43" s="90">
        <f t="shared" ref="E43:O43" si="11">IF(E20=1,1,E20*0.9)</f>
        <v>0.87839999999999996</v>
      </c>
      <c r="F43" s="90">
        <f t="shared" si="11"/>
        <v>0.87839999999999996</v>
      </c>
      <c r="G43" s="90">
        <f t="shared" si="11"/>
        <v>0.87839999999999996</v>
      </c>
      <c r="H43" s="90">
        <f t="shared" si="11"/>
        <v>0.87839999999999996</v>
      </c>
      <c r="I43" s="90">
        <f t="shared" si="11"/>
        <v>0.87839999999999996</v>
      </c>
      <c r="J43" s="90">
        <f t="shared" si="11"/>
        <v>0.87839999999999996</v>
      </c>
      <c r="K43" s="90">
        <f t="shared" si="11"/>
        <v>0.87839999999999996</v>
      </c>
      <c r="L43" s="90">
        <f t="shared" si="11"/>
        <v>0.87839999999999996</v>
      </c>
      <c r="M43" s="90">
        <f t="shared" si="11"/>
        <v>0.87839999999999996</v>
      </c>
      <c r="N43" s="90">
        <f t="shared" si="11"/>
        <v>0.87839999999999996</v>
      </c>
      <c r="O43" s="90">
        <f t="shared" si="11"/>
        <v>0.87839999999999996</v>
      </c>
    </row>
    <row r="44" spans="1:15" x14ac:dyDescent="0.25">
      <c r="B44" s="5" t="s">
        <v>181</v>
      </c>
      <c r="C44" s="90">
        <f t="shared" si="10"/>
        <v>1</v>
      </c>
      <c r="D44" s="90">
        <f t="shared" si="10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245</v>
      </c>
    </row>
    <row r="47" spans="1:15" ht="26" customHeight="1" x14ac:dyDescent="0.3">
      <c r="A47" s="4"/>
      <c r="B47" s="4"/>
      <c r="C47" s="70" t="s">
        <v>78</v>
      </c>
      <c r="D47" s="70" t="s">
        <v>74</v>
      </c>
      <c r="E47" s="70" t="s">
        <v>77</v>
      </c>
      <c r="F47" s="70" t="s">
        <v>75</v>
      </c>
      <c r="G47" s="70" t="s">
        <v>76</v>
      </c>
      <c r="H47" s="70" t="s">
        <v>68</v>
      </c>
      <c r="I47" s="70" t="s">
        <v>69</v>
      </c>
      <c r="J47" s="70" t="s">
        <v>70</v>
      </c>
      <c r="K47" s="70" t="s">
        <v>71</v>
      </c>
      <c r="L47" s="70" t="s">
        <v>113</v>
      </c>
      <c r="M47" s="70" t="s">
        <v>114</v>
      </c>
      <c r="N47" s="70" t="s">
        <v>115</v>
      </c>
      <c r="O47" s="70" t="s">
        <v>116</v>
      </c>
    </row>
    <row r="48" spans="1:15" ht="13" customHeight="1" x14ac:dyDescent="0.3">
      <c r="A48" s="4" t="s">
        <v>328</v>
      </c>
    </row>
    <row r="49" spans="1:15" x14ac:dyDescent="0.25">
      <c r="B49" s="11" t="s">
        <v>169</v>
      </c>
      <c r="C49" s="90">
        <v>0.99</v>
      </c>
      <c r="D49" s="90">
        <v>0.7</v>
      </c>
      <c r="E49" s="90">
        <f t="shared" ref="E49:O49" si="12">IF(E3=1,1,E3*1.05)</f>
        <v>1</v>
      </c>
      <c r="F49" s="90">
        <f t="shared" si="12"/>
        <v>1</v>
      </c>
      <c r="G49" s="90">
        <f t="shared" si="12"/>
        <v>1</v>
      </c>
      <c r="H49" s="90">
        <f t="shared" si="12"/>
        <v>1</v>
      </c>
      <c r="I49" s="90">
        <f t="shared" si="12"/>
        <v>1</v>
      </c>
      <c r="J49" s="90">
        <f t="shared" si="12"/>
        <v>1</v>
      </c>
      <c r="K49" s="90">
        <f t="shared" si="12"/>
        <v>1</v>
      </c>
      <c r="L49" s="90">
        <f t="shared" si="12"/>
        <v>1</v>
      </c>
      <c r="M49" s="90">
        <f t="shared" si="12"/>
        <v>1</v>
      </c>
      <c r="N49" s="90">
        <f t="shared" si="12"/>
        <v>1</v>
      </c>
      <c r="O49" s="90">
        <f t="shared" si="12"/>
        <v>1</v>
      </c>
    </row>
    <row r="50" spans="1:15" x14ac:dyDescent="0.25">
      <c r="B50" s="11" t="s">
        <v>174</v>
      </c>
      <c r="C50" s="90">
        <f t="shared" ref="C50:G56" si="13">IF(C4=1,1,C4*1.05)</f>
        <v>1</v>
      </c>
      <c r="D50" s="90">
        <f t="shared" si="13"/>
        <v>1</v>
      </c>
      <c r="E50" s="90">
        <f t="shared" si="13"/>
        <v>1</v>
      </c>
      <c r="F50" s="90">
        <f t="shared" si="13"/>
        <v>1</v>
      </c>
      <c r="G50" s="90">
        <f t="shared" si="13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4">IF(L4=1,1,L4*1.05)</f>
        <v>1</v>
      </c>
      <c r="M50" s="90">
        <f t="shared" si="14"/>
        <v>1</v>
      </c>
      <c r="N50" s="90">
        <f t="shared" si="14"/>
        <v>1</v>
      </c>
      <c r="O50" s="90">
        <f t="shared" si="14"/>
        <v>1</v>
      </c>
    </row>
    <row r="51" spans="1:15" x14ac:dyDescent="0.25">
      <c r="B51" s="11" t="s">
        <v>175</v>
      </c>
      <c r="C51" s="90">
        <f t="shared" si="13"/>
        <v>1</v>
      </c>
      <c r="D51" s="90">
        <f t="shared" si="13"/>
        <v>1</v>
      </c>
      <c r="E51" s="90">
        <f t="shared" si="13"/>
        <v>1</v>
      </c>
      <c r="F51" s="90">
        <f t="shared" si="13"/>
        <v>1</v>
      </c>
      <c r="G51" s="90">
        <f t="shared" si="13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4"/>
        <v>1</v>
      </c>
      <c r="M51" s="90">
        <f t="shared" si="14"/>
        <v>1</v>
      </c>
      <c r="N51" s="90">
        <f t="shared" si="14"/>
        <v>1</v>
      </c>
      <c r="O51" s="90">
        <f t="shared" si="14"/>
        <v>1</v>
      </c>
    </row>
    <row r="52" spans="1:15" x14ac:dyDescent="0.25">
      <c r="B52" s="11" t="s">
        <v>176</v>
      </c>
      <c r="C52" s="90">
        <f t="shared" si="13"/>
        <v>1</v>
      </c>
      <c r="D52" s="90">
        <f t="shared" si="13"/>
        <v>1</v>
      </c>
      <c r="E52" s="90">
        <f t="shared" si="13"/>
        <v>1</v>
      </c>
      <c r="F52" s="90">
        <f t="shared" si="13"/>
        <v>1</v>
      </c>
      <c r="G52" s="90">
        <f t="shared" si="13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4"/>
        <v>1</v>
      </c>
      <c r="M52" s="90">
        <f t="shared" si="14"/>
        <v>1</v>
      </c>
      <c r="N52" s="90">
        <f t="shared" si="14"/>
        <v>1</v>
      </c>
      <c r="O52" s="90">
        <f t="shared" si="14"/>
        <v>1</v>
      </c>
    </row>
    <row r="53" spans="1:15" x14ac:dyDescent="0.25">
      <c r="B53" s="11" t="s">
        <v>177</v>
      </c>
      <c r="C53" s="90">
        <f t="shared" si="13"/>
        <v>1</v>
      </c>
      <c r="D53" s="90">
        <f t="shared" si="13"/>
        <v>1</v>
      </c>
      <c r="E53" s="90">
        <f t="shared" si="13"/>
        <v>1</v>
      </c>
      <c r="F53" s="90">
        <f t="shared" si="13"/>
        <v>1</v>
      </c>
      <c r="G53" s="90">
        <f t="shared" si="13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4"/>
        <v>1</v>
      </c>
      <c r="M53" s="90">
        <f t="shared" si="14"/>
        <v>1</v>
      </c>
      <c r="N53" s="90">
        <f t="shared" si="14"/>
        <v>1</v>
      </c>
      <c r="O53" s="90">
        <f t="shared" si="14"/>
        <v>1</v>
      </c>
    </row>
    <row r="54" spans="1:15" x14ac:dyDescent="0.25">
      <c r="B54" s="5" t="s">
        <v>178</v>
      </c>
      <c r="C54" s="90">
        <f t="shared" si="13"/>
        <v>1</v>
      </c>
      <c r="D54" s="90">
        <f t="shared" si="13"/>
        <v>1</v>
      </c>
      <c r="E54" s="90">
        <f t="shared" si="13"/>
        <v>1</v>
      </c>
      <c r="F54" s="90">
        <f t="shared" si="13"/>
        <v>1</v>
      </c>
      <c r="G54" s="90">
        <f t="shared" si="13"/>
        <v>1</v>
      </c>
      <c r="H54" s="90">
        <f t="shared" ref="H54:K57" si="15">IF(H8=1,1,H8*1.05)</f>
        <v>1</v>
      </c>
      <c r="I54" s="90">
        <f t="shared" si="15"/>
        <v>1</v>
      </c>
      <c r="J54" s="90">
        <f t="shared" si="15"/>
        <v>1</v>
      </c>
      <c r="K54" s="90">
        <f t="shared" si="15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179</v>
      </c>
      <c r="C55" s="90">
        <f t="shared" si="13"/>
        <v>1</v>
      </c>
      <c r="D55" s="90">
        <f t="shared" si="13"/>
        <v>1</v>
      </c>
      <c r="E55" s="90">
        <f t="shared" si="13"/>
        <v>1</v>
      </c>
      <c r="F55" s="90">
        <f t="shared" si="13"/>
        <v>1</v>
      </c>
      <c r="G55" s="90">
        <f t="shared" si="13"/>
        <v>1</v>
      </c>
      <c r="H55" s="90">
        <f t="shared" si="15"/>
        <v>1</v>
      </c>
      <c r="I55" s="90">
        <f t="shared" si="15"/>
        <v>1</v>
      </c>
      <c r="J55" s="90">
        <f t="shared" si="15"/>
        <v>1</v>
      </c>
      <c r="K55" s="90">
        <f t="shared" si="15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180</v>
      </c>
      <c r="C56" s="90">
        <f t="shared" si="13"/>
        <v>1</v>
      </c>
      <c r="D56" s="90">
        <f t="shared" si="13"/>
        <v>1</v>
      </c>
      <c r="E56" s="90">
        <f t="shared" si="13"/>
        <v>1</v>
      </c>
      <c r="F56" s="90">
        <f t="shared" si="13"/>
        <v>1</v>
      </c>
      <c r="G56" s="90">
        <f t="shared" si="13"/>
        <v>1</v>
      </c>
      <c r="H56" s="90">
        <f t="shared" si="15"/>
        <v>1</v>
      </c>
      <c r="I56" s="90">
        <f t="shared" si="15"/>
        <v>1</v>
      </c>
      <c r="J56" s="90">
        <f t="shared" si="15"/>
        <v>1</v>
      </c>
      <c r="K56" s="90">
        <f t="shared" si="15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5"/>
        <v>1</v>
      </c>
      <c r="I57" s="90">
        <f t="shared" si="15"/>
        <v>1</v>
      </c>
      <c r="J57" s="90">
        <f t="shared" si="15"/>
        <v>1</v>
      </c>
      <c r="K57" s="90">
        <f t="shared" si="15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190</v>
      </c>
      <c r="C59" s="90">
        <f t="shared" ref="C59:D61" si="16">IF(C13=1,1,C13*1.05)</f>
        <v>1</v>
      </c>
      <c r="D59" s="90">
        <f t="shared" si="16"/>
        <v>1</v>
      </c>
      <c r="E59" s="90">
        <v>0.77</v>
      </c>
      <c r="F59" s="90">
        <v>0.77</v>
      </c>
      <c r="G59" s="90">
        <v>0.77</v>
      </c>
      <c r="H59" s="90">
        <f t="shared" ref="H59:O59" si="17">IF(H13=1,1,H13*1.05)</f>
        <v>1</v>
      </c>
      <c r="I59" s="90">
        <f t="shared" si="17"/>
        <v>1</v>
      </c>
      <c r="J59" s="90">
        <f t="shared" si="17"/>
        <v>1</v>
      </c>
      <c r="K59" s="90">
        <f t="shared" si="17"/>
        <v>1</v>
      </c>
      <c r="L59" s="90">
        <f t="shared" si="17"/>
        <v>1</v>
      </c>
      <c r="M59" s="90">
        <f t="shared" si="17"/>
        <v>1</v>
      </c>
      <c r="N59" s="90">
        <f t="shared" si="17"/>
        <v>1</v>
      </c>
      <c r="O59" s="90">
        <f t="shared" si="17"/>
        <v>1</v>
      </c>
    </row>
    <row r="60" spans="1:15" x14ac:dyDescent="0.25">
      <c r="B60" s="11" t="s">
        <v>191</v>
      </c>
      <c r="C60" s="90">
        <f t="shared" si="16"/>
        <v>1</v>
      </c>
      <c r="D60" s="90">
        <f t="shared" si="16"/>
        <v>1</v>
      </c>
      <c r="E60" s="90">
        <f t="shared" ref="E60:K60" si="18">IF(E14=1,1,E14*1.05)</f>
        <v>1</v>
      </c>
      <c r="F60" s="90">
        <f t="shared" si="18"/>
        <v>1</v>
      </c>
      <c r="G60" s="90">
        <f t="shared" si="18"/>
        <v>1</v>
      </c>
      <c r="H60" s="90">
        <f t="shared" si="18"/>
        <v>1</v>
      </c>
      <c r="I60" s="90">
        <f t="shared" si="18"/>
        <v>1</v>
      </c>
      <c r="J60" s="90">
        <f t="shared" si="18"/>
        <v>1</v>
      </c>
      <c r="K60" s="90">
        <f t="shared" si="18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204</v>
      </c>
      <c r="C61" s="90">
        <f t="shared" si="16"/>
        <v>1</v>
      </c>
      <c r="D61" s="90">
        <f t="shared" si="16"/>
        <v>1</v>
      </c>
      <c r="E61" s="90">
        <v>0.44</v>
      </c>
      <c r="F61" s="90">
        <v>0.44</v>
      </c>
      <c r="G61" s="90">
        <f t="shared" ref="G61:O61" si="19">IF(G15=1,1,G15*1.05)</f>
        <v>1</v>
      </c>
      <c r="H61" s="90">
        <f t="shared" si="19"/>
        <v>1</v>
      </c>
      <c r="I61" s="90">
        <f t="shared" si="19"/>
        <v>1</v>
      </c>
      <c r="J61" s="90">
        <f t="shared" si="19"/>
        <v>1</v>
      </c>
      <c r="K61" s="90">
        <f t="shared" si="19"/>
        <v>1</v>
      </c>
      <c r="L61" s="90">
        <f t="shared" si="19"/>
        <v>1</v>
      </c>
      <c r="M61" s="90">
        <f t="shared" si="19"/>
        <v>1</v>
      </c>
      <c r="N61" s="90">
        <f t="shared" si="19"/>
        <v>1</v>
      </c>
      <c r="O61" s="90">
        <f t="shared" si="19"/>
        <v>1</v>
      </c>
    </row>
    <row r="63" spans="1:15" ht="13" customHeight="1" x14ac:dyDescent="0.3">
      <c r="A63" s="4" t="s">
        <v>325</v>
      </c>
      <c r="B63" s="11"/>
    </row>
    <row r="64" spans="1:15" x14ac:dyDescent="0.25">
      <c r="B64" s="5" t="s">
        <v>171</v>
      </c>
      <c r="C64" s="90">
        <f t="shared" ref="C64:O64" si="20">IF(C18=1,1,C18*1.05)</f>
        <v>1</v>
      </c>
      <c r="D64" s="90">
        <f t="shared" si="20"/>
        <v>1</v>
      </c>
      <c r="E64" s="90">
        <f t="shared" si="20"/>
        <v>1</v>
      </c>
      <c r="F64" s="90">
        <f t="shared" si="20"/>
        <v>1</v>
      </c>
      <c r="G64" s="90">
        <f t="shared" si="20"/>
        <v>1</v>
      </c>
      <c r="H64" s="90">
        <f t="shared" si="20"/>
        <v>1</v>
      </c>
      <c r="I64" s="90">
        <f t="shared" si="20"/>
        <v>1</v>
      </c>
      <c r="J64" s="90">
        <f t="shared" si="20"/>
        <v>1</v>
      </c>
      <c r="K64" s="90">
        <f t="shared" si="20"/>
        <v>1</v>
      </c>
      <c r="L64" s="90">
        <f t="shared" si="20"/>
        <v>1</v>
      </c>
      <c r="M64" s="90">
        <f t="shared" si="20"/>
        <v>1</v>
      </c>
      <c r="N64" s="90">
        <f t="shared" si="20"/>
        <v>1</v>
      </c>
      <c r="O64" s="90">
        <f t="shared" si="20"/>
        <v>1</v>
      </c>
    </row>
    <row r="65" spans="2:15" x14ac:dyDescent="0.25">
      <c r="B65" s="5" t="s">
        <v>172</v>
      </c>
      <c r="C65" s="90">
        <f t="shared" ref="C65:D67" si="21">IF(C19=1,1,C19*1.05)</f>
        <v>1</v>
      </c>
      <c r="D65" s="90">
        <f t="shared" si="21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173</v>
      </c>
      <c r="C66" s="90">
        <f t="shared" si="21"/>
        <v>1</v>
      </c>
      <c r="D66" s="90">
        <f t="shared" si="21"/>
        <v>1</v>
      </c>
      <c r="E66" s="90">
        <f t="shared" ref="E66:O66" si="22">IF(E20=1,1,E20*1.05)</f>
        <v>1.0247999999999999</v>
      </c>
      <c r="F66" s="90">
        <f t="shared" si="22"/>
        <v>1.0247999999999999</v>
      </c>
      <c r="G66" s="90">
        <f t="shared" si="22"/>
        <v>1.0247999999999999</v>
      </c>
      <c r="H66" s="90">
        <f t="shared" si="22"/>
        <v>1.0247999999999999</v>
      </c>
      <c r="I66" s="90">
        <f t="shared" si="22"/>
        <v>1.0247999999999999</v>
      </c>
      <c r="J66" s="90">
        <f t="shared" si="22"/>
        <v>1.0247999999999999</v>
      </c>
      <c r="K66" s="90">
        <f t="shared" si="22"/>
        <v>1.0247999999999999</v>
      </c>
      <c r="L66" s="90">
        <f t="shared" si="22"/>
        <v>1.0247999999999999</v>
      </c>
      <c r="M66" s="90">
        <f t="shared" si="22"/>
        <v>1.0247999999999999</v>
      </c>
      <c r="N66" s="90">
        <f t="shared" si="22"/>
        <v>1.0247999999999999</v>
      </c>
      <c r="O66" s="90">
        <f t="shared" si="22"/>
        <v>1.0247999999999999</v>
      </c>
    </row>
    <row r="67" spans="2:15" x14ac:dyDescent="0.25">
      <c r="B67" s="5" t="s">
        <v>181</v>
      </c>
      <c r="C67" s="90">
        <f t="shared" si="21"/>
        <v>1</v>
      </c>
      <c r="D67" s="90">
        <f t="shared" si="21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n5BtfMbNy4vGlPViRh0XIckB3M8HYNzLCnP+HAl2+9a6pBoQ0TA5Cu0SC+ADBadlc3VIcPgM6cFEQcGxwhODVA==" saltValue="SbMTLcF4mJudmg+rrpLf4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17" sqref="D17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</row>
    <row r="2" spans="1:7" ht="13" customHeight="1" x14ac:dyDescent="0.3">
      <c r="A2" s="4" t="s">
        <v>333</v>
      </c>
    </row>
    <row r="3" spans="1:7" x14ac:dyDescent="0.25">
      <c r="B3" s="11" t="s">
        <v>164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330</v>
      </c>
      <c r="B4" s="11"/>
      <c r="C4" s="83"/>
      <c r="D4" s="83"/>
      <c r="E4" s="83"/>
      <c r="F4" s="83"/>
      <c r="G4" s="83"/>
    </row>
    <row r="5" spans="1:7" x14ac:dyDescent="0.25">
      <c r="B5" s="5" t="s">
        <v>162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329</v>
      </c>
    </row>
    <row r="8" spans="1:7" ht="13" customHeight="1" x14ac:dyDescent="0.3">
      <c r="A8" s="4"/>
      <c r="B8" s="1"/>
      <c r="C8" s="4" t="s">
        <v>78</v>
      </c>
      <c r="D8" s="4" t="s">
        <v>74</v>
      </c>
      <c r="E8" s="4" t="s">
        <v>77</v>
      </c>
      <c r="F8" s="4" t="s">
        <v>75</v>
      </c>
      <c r="G8" s="4" t="s">
        <v>76</v>
      </c>
    </row>
    <row r="9" spans="1:7" ht="13" customHeight="1" x14ac:dyDescent="0.3">
      <c r="A9" s="4" t="s">
        <v>334</v>
      </c>
    </row>
    <row r="10" spans="1:7" x14ac:dyDescent="0.25">
      <c r="B10" s="11" t="s">
        <v>164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331</v>
      </c>
      <c r="B11" s="11"/>
      <c r="C11" s="83"/>
      <c r="D11" s="83"/>
      <c r="E11" s="83"/>
      <c r="F11" s="83"/>
      <c r="G11" s="83"/>
    </row>
    <row r="12" spans="1:7" x14ac:dyDescent="0.25">
      <c r="B12" s="5" t="s">
        <v>162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336</v>
      </c>
    </row>
    <row r="15" spans="1:7" ht="13" customHeight="1" x14ac:dyDescent="0.3">
      <c r="A15" s="4"/>
      <c r="B15" s="1"/>
      <c r="C15" s="4" t="s">
        <v>78</v>
      </c>
      <c r="D15" s="4" t="s">
        <v>74</v>
      </c>
      <c r="E15" s="4" t="s">
        <v>77</v>
      </c>
      <c r="F15" s="4" t="s">
        <v>75</v>
      </c>
      <c r="G15" s="4" t="s">
        <v>76</v>
      </c>
    </row>
    <row r="16" spans="1:7" ht="13" customHeight="1" x14ac:dyDescent="0.3">
      <c r="A16" s="4" t="s">
        <v>335</v>
      </c>
    </row>
    <row r="17" spans="1:7" x14ac:dyDescent="0.25">
      <c r="B17" s="11" t="s">
        <v>164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332</v>
      </c>
      <c r="B18" s="11"/>
      <c r="C18" s="83"/>
      <c r="D18" s="83"/>
      <c r="E18" s="83"/>
      <c r="F18" s="83"/>
      <c r="G18" s="83"/>
    </row>
    <row r="19" spans="1:7" x14ac:dyDescent="0.25">
      <c r="B19" s="5" t="s">
        <v>162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yHw9p6KNSgdmqObopimFLOPXfKxyoYBGSnvrReoetYgfJtDqQIkKnuJr+m1lWDd9GT0gsS3blgV0y+ZE5gtSCg==" saltValue="OmHwlmKH8Q6dUMlUvnk/Q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33" zoomScale="80" zoomScaleNormal="80" workbookViewId="0">
      <selection activeCell="F46" sqref="F46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163</v>
      </c>
      <c r="B1" s="4" t="s">
        <v>340</v>
      </c>
      <c r="C1" s="82" t="s">
        <v>9</v>
      </c>
      <c r="D1" s="4" t="s">
        <v>78</v>
      </c>
      <c r="E1" s="4" t="s">
        <v>74</v>
      </c>
      <c r="F1" s="4" t="s">
        <v>77</v>
      </c>
      <c r="G1" s="4" t="s">
        <v>75</v>
      </c>
      <c r="H1" s="4" t="s">
        <v>76</v>
      </c>
    </row>
    <row r="2" spans="1:8" x14ac:dyDescent="0.25">
      <c r="A2" s="5" t="s">
        <v>196</v>
      </c>
      <c r="B2" s="5" t="s">
        <v>84</v>
      </c>
      <c r="C2" s="5" t="s">
        <v>337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338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193</v>
      </c>
      <c r="B5" s="5" t="s">
        <v>207</v>
      </c>
      <c r="C5" s="5" t="s">
        <v>337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338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6</v>
      </c>
      <c r="C7" s="5" t="s">
        <v>337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338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184</v>
      </c>
      <c r="B9" s="5" t="s">
        <v>207</v>
      </c>
      <c r="C9" s="5" t="s">
        <v>337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338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6</v>
      </c>
      <c r="C11" s="5" t="s">
        <v>337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338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204</v>
      </c>
      <c r="B13" s="5" t="s">
        <v>207</v>
      </c>
      <c r="C13" s="5" t="s">
        <v>337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338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6</v>
      </c>
      <c r="C15" s="5" t="s">
        <v>337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338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167</v>
      </c>
      <c r="B17" s="5" t="s">
        <v>207</v>
      </c>
      <c r="C17" s="5" t="s">
        <v>337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338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6</v>
      </c>
      <c r="C19" s="5" t="s">
        <v>337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338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173</v>
      </c>
      <c r="B21" s="5" t="s">
        <v>92</v>
      </c>
      <c r="C21" s="5" t="s">
        <v>337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171</v>
      </c>
      <c r="B23" s="5" t="s">
        <v>92</v>
      </c>
      <c r="C23" s="5" t="s">
        <v>337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172</v>
      </c>
      <c r="B25" s="5" t="s">
        <v>92</v>
      </c>
      <c r="C25" s="5" t="s">
        <v>337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200</v>
      </c>
      <c r="B27" s="5" t="s">
        <v>84</v>
      </c>
      <c r="C27" s="5" t="s">
        <v>337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338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201</v>
      </c>
      <c r="B30" s="5" t="s">
        <v>84</v>
      </c>
      <c r="C30" s="5" t="s">
        <v>337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338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199</v>
      </c>
      <c r="B33" s="5" t="s">
        <v>84</v>
      </c>
      <c r="C33" s="5" t="s">
        <v>337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338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198</v>
      </c>
      <c r="B36" s="5" t="s">
        <v>84</v>
      </c>
      <c r="C36" s="5" t="s">
        <v>337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338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197</v>
      </c>
      <c r="B39" s="5" t="s">
        <v>84</v>
      </c>
      <c r="C39" s="5" t="s">
        <v>337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338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203</v>
      </c>
      <c r="B42" s="5" t="s">
        <v>84</v>
      </c>
      <c r="C42" s="5" t="s">
        <v>337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338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102</v>
      </c>
      <c r="C45" s="5" t="s">
        <v>337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338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192</v>
      </c>
      <c r="B48" s="5" t="s">
        <v>84</v>
      </c>
      <c r="C48" s="5" t="s">
        <v>337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202</v>
      </c>
      <c r="B50" s="5" t="s">
        <v>84</v>
      </c>
      <c r="C50" s="5" t="s">
        <v>337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182</v>
      </c>
      <c r="B52" s="5" t="s">
        <v>96</v>
      </c>
      <c r="C52" s="5" t="s">
        <v>337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329</v>
      </c>
      <c r="B55" s="97"/>
      <c r="C55" s="97"/>
    </row>
    <row r="56" spans="1:8" ht="13" customHeight="1" x14ac:dyDescent="0.3">
      <c r="A56" s="4" t="s">
        <v>163</v>
      </c>
      <c r="B56" s="4" t="s">
        <v>340</v>
      </c>
      <c r="C56" s="82" t="s">
        <v>9</v>
      </c>
      <c r="D56" s="4" t="s">
        <v>78</v>
      </c>
      <c r="E56" s="4" t="s">
        <v>74</v>
      </c>
      <c r="F56" s="4" t="s">
        <v>77</v>
      </c>
      <c r="G56" s="4" t="s">
        <v>75</v>
      </c>
      <c r="H56" s="4" t="s">
        <v>76</v>
      </c>
    </row>
    <row r="57" spans="1:8" x14ac:dyDescent="0.25">
      <c r="A57" s="5" t="s">
        <v>196</v>
      </c>
      <c r="B57" s="5" t="s">
        <v>84</v>
      </c>
      <c r="C57" s="5" t="s">
        <v>337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338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193</v>
      </c>
      <c r="B60" s="5" t="s">
        <v>207</v>
      </c>
      <c r="C60" s="5" t="s">
        <v>337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338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6</v>
      </c>
      <c r="C62" s="5" t="s">
        <v>337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338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207</v>
      </c>
      <c r="C64" s="5" t="s">
        <v>337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338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6</v>
      </c>
      <c r="C66" s="5" t="s">
        <v>337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338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204</v>
      </c>
      <c r="B68" s="5" t="s">
        <v>207</v>
      </c>
      <c r="C68" s="5" t="s">
        <v>337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338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6</v>
      </c>
      <c r="C70" s="5" t="s">
        <v>337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338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167</v>
      </c>
      <c r="B72" s="5" t="s">
        <v>207</v>
      </c>
      <c r="C72" s="5" t="s">
        <v>337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338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6</v>
      </c>
      <c r="C74" s="5" t="s">
        <v>337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338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173</v>
      </c>
      <c r="B76" s="5" t="s">
        <v>92</v>
      </c>
      <c r="C76" s="5" t="s">
        <v>337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171</v>
      </c>
      <c r="B78" s="5" t="s">
        <v>92</v>
      </c>
      <c r="C78" s="5" t="s">
        <v>337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172</v>
      </c>
      <c r="B80" s="5" t="s">
        <v>92</v>
      </c>
      <c r="C80" s="5" t="s">
        <v>337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200</v>
      </c>
      <c r="B82" s="5" t="s">
        <v>84</v>
      </c>
      <c r="C82" s="5" t="s">
        <v>337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338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201</v>
      </c>
      <c r="B85" s="5" t="s">
        <v>84</v>
      </c>
      <c r="C85" s="5" t="s">
        <v>337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338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199</v>
      </c>
      <c r="B88" s="5" t="s">
        <v>84</v>
      </c>
      <c r="C88" s="5" t="s">
        <v>337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338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198</v>
      </c>
      <c r="B91" s="5" t="s">
        <v>84</v>
      </c>
      <c r="C91" s="5" t="s">
        <v>337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338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197</v>
      </c>
      <c r="B94" s="5" t="s">
        <v>84</v>
      </c>
      <c r="C94" s="5" t="s">
        <v>337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338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203</v>
      </c>
      <c r="B97" s="5" t="s">
        <v>84</v>
      </c>
      <c r="C97" s="5" t="s">
        <v>337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338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102</v>
      </c>
      <c r="C100" s="5" t="s">
        <v>337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338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192</v>
      </c>
      <c r="B103" s="5" t="s">
        <v>84</v>
      </c>
      <c r="C103" s="5" t="s">
        <v>337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202</v>
      </c>
      <c r="B105" s="5" t="s">
        <v>84</v>
      </c>
      <c r="C105" s="5" t="s">
        <v>337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182</v>
      </c>
      <c r="B107" s="5" t="s">
        <v>96</v>
      </c>
      <c r="C107" s="5" t="s">
        <v>337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336</v>
      </c>
      <c r="B110" s="97"/>
      <c r="C110" s="97"/>
    </row>
    <row r="111" spans="1:8" ht="13" customHeight="1" x14ac:dyDescent="0.3">
      <c r="A111" s="4" t="s">
        <v>163</v>
      </c>
      <c r="B111" s="4" t="s">
        <v>340</v>
      </c>
      <c r="C111" s="82" t="s">
        <v>9</v>
      </c>
      <c r="D111" s="4" t="s">
        <v>78</v>
      </c>
      <c r="E111" s="4" t="s">
        <v>74</v>
      </c>
      <c r="F111" s="4" t="s">
        <v>77</v>
      </c>
      <c r="G111" s="4" t="s">
        <v>75</v>
      </c>
      <c r="H111" s="4" t="s">
        <v>76</v>
      </c>
    </row>
    <row r="112" spans="1:8" x14ac:dyDescent="0.25">
      <c r="A112" s="5" t="s">
        <v>196</v>
      </c>
      <c r="B112" s="5" t="s">
        <v>84</v>
      </c>
      <c r="C112" s="5" t="s">
        <v>337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338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193</v>
      </c>
      <c r="B115" s="5" t="s">
        <v>207</v>
      </c>
      <c r="C115" s="5" t="s">
        <v>337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338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6</v>
      </c>
      <c r="C117" s="5" t="s">
        <v>337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338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207</v>
      </c>
      <c r="C119" s="5" t="s">
        <v>337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338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6</v>
      </c>
      <c r="C121" s="5" t="s">
        <v>337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338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204</v>
      </c>
      <c r="B123" s="5" t="s">
        <v>207</v>
      </c>
      <c r="C123" s="5" t="s">
        <v>337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338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6</v>
      </c>
      <c r="C125" s="5" t="s">
        <v>337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338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167</v>
      </c>
      <c r="B127" s="5" t="s">
        <v>207</v>
      </c>
      <c r="C127" s="5" t="s">
        <v>337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338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6</v>
      </c>
      <c r="C129" s="5" t="s">
        <v>337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338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173</v>
      </c>
      <c r="B131" s="5" t="s">
        <v>92</v>
      </c>
      <c r="C131" s="5" t="s">
        <v>337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171</v>
      </c>
      <c r="B133" s="5" t="s">
        <v>92</v>
      </c>
      <c r="C133" s="5" t="s">
        <v>337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172</v>
      </c>
      <c r="B135" s="5" t="s">
        <v>92</v>
      </c>
      <c r="C135" s="5" t="s">
        <v>337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200</v>
      </c>
      <c r="B137" s="5" t="s">
        <v>84</v>
      </c>
      <c r="C137" s="5" t="s">
        <v>337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338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201</v>
      </c>
      <c r="B140" s="5" t="s">
        <v>84</v>
      </c>
      <c r="C140" s="5" t="s">
        <v>337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338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199</v>
      </c>
      <c r="B143" s="5" t="s">
        <v>84</v>
      </c>
      <c r="C143" s="5" t="s">
        <v>337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338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198</v>
      </c>
      <c r="B146" s="5" t="s">
        <v>84</v>
      </c>
      <c r="C146" s="5" t="s">
        <v>337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338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197</v>
      </c>
      <c r="B149" s="5" t="s">
        <v>84</v>
      </c>
      <c r="C149" s="5" t="s">
        <v>337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338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203</v>
      </c>
      <c r="B152" s="5" t="s">
        <v>84</v>
      </c>
      <c r="C152" s="5" t="s">
        <v>337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338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102</v>
      </c>
      <c r="C155" s="5" t="s">
        <v>337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338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192</v>
      </c>
      <c r="B158" s="5" t="s">
        <v>84</v>
      </c>
      <c r="C158" s="5" t="s">
        <v>337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202</v>
      </c>
      <c r="B160" s="5" t="s">
        <v>84</v>
      </c>
      <c r="C160" s="5" t="s">
        <v>337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182</v>
      </c>
      <c r="B162" s="5" t="s">
        <v>96</v>
      </c>
      <c r="C162" s="5" t="s">
        <v>337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VNaEx3wxi9pGEKkkQQdiC+oFi9bwKzAirMo7leEMb5m9sZta/UQYGlMDIRdMPl0UpblmOgMcbyg9y/PWFi5TVw==" saltValue="GgmFxn6OA1yHlMcaA11yv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3" sqref="D3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163</v>
      </c>
      <c r="B1" s="1" t="s">
        <v>340</v>
      </c>
      <c r="C1" s="1"/>
      <c r="D1" s="4" t="s">
        <v>113</v>
      </c>
      <c r="E1" s="4" t="s">
        <v>114</v>
      </c>
      <c r="F1" s="4" t="s">
        <v>115</v>
      </c>
      <c r="G1" s="4" t="s">
        <v>116</v>
      </c>
      <c r="H1" s="4"/>
    </row>
    <row r="2" spans="1:8" x14ac:dyDescent="0.25">
      <c r="A2" s="3" t="s">
        <v>166</v>
      </c>
      <c r="B2" s="8" t="s">
        <v>86</v>
      </c>
      <c r="C2" s="3" t="s">
        <v>337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339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189</v>
      </c>
      <c r="B4" s="8" t="s">
        <v>86</v>
      </c>
      <c r="C4" s="3" t="s">
        <v>337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188</v>
      </c>
      <c r="B6" s="8" t="s">
        <v>86</v>
      </c>
      <c r="C6" s="3" t="s">
        <v>337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329</v>
      </c>
    </row>
    <row r="10" spans="1:8" ht="13" customHeight="1" x14ac:dyDescent="0.3">
      <c r="A10" s="1" t="s">
        <v>163</v>
      </c>
      <c r="B10" s="1" t="s">
        <v>340</v>
      </c>
      <c r="C10" s="1"/>
      <c r="D10" s="4" t="s">
        <v>113</v>
      </c>
      <c r="E10" s="4" t="s">
        <v>114</v>
      </c>
      <c r="F10" s="4" t="s">
        <v>115</v>
      </c>
      <c r="G10" s="4" t="s">
        <v>116</v>
      </c>
    </row>
    <row r="11" spans="1:8" x14ac:dyDescent="0.25">
      <c r="A11" s="3" t="s">
        <v>166</v>
      </c>
      <c r="B11" s="8" t="s">
        <v>86</v>
      </c>
      <c r="C11" s="3" t="s">
        <v>337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189</v>
      </c>
      <c r="B13" s="8" t="s">
        <v>86</v>
      </c>
      <c r="C13" s="3" t="s">
        <v>337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188</v>
      </c>
      <c r="B15" s="8" t="s">
        <v>86</v>
      </c>
      <c r="C15" s="3" t="s">
        <v>337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336</v>
      </c>
    </row>
    <row r="19" spans="1:7" ht="13" customHeight="1" x14ac:dyDescent="0.3">
      <c r="A19" s="1" t="s">
        <v>163</v>
      </c>
      <c r="B19" s="1" t="s">
        <v>340</v>
      </c>
      <c r="C19" s="1"/>
      <c r="D19" s="4" t="s">
        <v>113</v>
      </c>
      <c r="E19" s="4" t="s">
        <v>114</v>
      </c>
      <c r="F19" s="4" t="s">
        <v>115</v>
      </c>
      <c r="G19" s="4" t="s">
        <v>116</v>
      </c>
    </row>
    <row r="20" spans="1:7" x14ac:dyDescent="0.25">
      <c r="A20" s="3" t="s">
        <v>166</v>
      </c>
      <c r="B20" s="8" t="s">
        <v>86</v>
      </c>
      <c r="C20" s="3" t="s">
        <v>337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189</v>
      </c>
      <c r="B22" s="8" t="s">
        <v>86</v>
      </c>
      <c r="C22" s="3" t="s">
        <v>337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188</v>
      </c>
      <c r="B24" s="8" t="s">
        <v>86</v>
      </c>
      <c r="C24" s="3" t="s">
        <v>337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2NbJkyryTbGrQTf1fAW9e3APkoR+UZQMrqd+68pfWifc0sfr1zK0CfYaOWqgwzXXNKh4AtOEqZBXZoBrwuyjLQ==" saltValue="zRL5UYC3mU6BP7C+MBRw+Q==" spinCount="100000" sheet="1" objects="1" scenarios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Pérdida económica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Riesgos desenlace de nacimiento</vt:lpstr>
      <vt:lpstr>Riesgos relativos</vt:lpstr>
      <vt:lpstr>Razón de momios</vt:lpstr>
      <vt:lpstr>Resultados de nacimiento- prog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keywords>lang=es</cp:keywords>
  <cp:lastModifiedBy>Tharindu Wickramaarachchi</cp:lastModifiedBy>
  <dcterms:created xsi:type="dcterms:W3CDTF">2017-08-01T10:42:13Z</dcterms:created>
  <dcterms:modified xsi:type="dcterms:W3CDTF">2024-05-16T23:59:40Z</dcterms:modified>
</cp:coreProperties>
</file>