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45EFF042-0E47-4525-A261-38B792D9A49A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I40" i="2" s="1"/>
  <c r="G40" i="2"/>
  <c r="H39" i="2"/>
  <c r="G39" i="2"/>
  <c r="I39" i="2" s="1"/>
  <c r="A39" i="2"/>
  <c r="I38" i="2"/>
  <c r="H38" i="2"/>
  <c r="G38" i="2"/>
  <c r="A36" i="2"/>
  <c r="A35" i="2"/>
  <c r="A34" i="2"/>
  <c r="A33" i="2"/>
  <c r="A32" i="2"/>
  <c r="A26" i="2"/>
  <c r="A25" i="2"/>
  <c r="A24" i="2"/>
  <c r="A21" i="2"/>
  <c r="A20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29" i="2" s="1"/>
  <c r="C33" i="1"/>
  <c r="C20" i="1"/>
  <c r="A27" i="2" l="1"/>
  <c r="A37" i="2"/>
  <c r="A17" i="2"/>
  <c r="A18" i="2"/>
  <c r="A28" i="2"/>
  <c r="A19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  <c r="A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<sst xmlns="http://schemas.openxmlformats.org/spreadsheetml/2006/main" count="2101" uniqueCount="341">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</sst>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21862100.25</v>
      </c>
    </row>
    <row r="8" spans="1:3" ht="15" customHeight="1" x14ac:dyDescent="0.25">
      <c r="B8" s="5" t="s">
        <v>44</v>
      </c>
      <c r="C8" s="44">
        <v>4.5999999999999999E-2</v>
      </c>
    </row>
    <row r="9" spans="1:3" ht="15" customHeight="1" x14ac:dyDescent="0.25">
      <c r="B9" s="5" t="s">
        <v>43</v>
      </c>
      <c r="C9" s="45">
        <v>0.10879999999999999</v>
      </c>
    </row>
    <row r="10" spans="1:3" ht="15" customHeight="1" x14ac:dyDescent="0.25">
      <c r="B10" s="5" t="s">
        <v>56</v>
      </c>
      <c r="C10" s="45">
        <v>0.77582038879394499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0.221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0.1095</v>
      </c>
    </row>
    <row r="24" spans="1:3" ht="15" customHeight="1" x14ac:dyDescent="0.25">
      <c r="B24" s="15" t="s">
        <v>46</v>
      </c>
      <c r="C24" s="45">
        <v>0.52049999999999996</v>
      </c>
    </row>
    <row r="25" spans="1:3" ht="15" customHeight="1" x14ac:dyDescent="0.25">
      <c r="B25" s="15" t="s">
        <v>47</v>
      </c>
      <c r="C25" s="45">
        <v>0.32290000000000002</v>
      </c>
    </row>
    <row r="26" spans="1:3" ht="15" customHeight="1" x14ac:dyDescent="0.25">
      <c r="B26" s="15" t="s">
        <v>48</v>
      </c>
      <c r="C26" s="45">
        <v>4.7100000000000003E-2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0.35185775257007201</v>
      </c>
    </row>
    <row r="30" spans="1:3" ht="14.25" customHeight="1" x14ac:dyDescent="0.25">
      <c r="B30" s="25" t="s">
        <v>63</v>
      </c>
      <c r="C30" s="99">
        <v>2.3858720907234902E-2</v>
      </c>
    </row>
    <row r="31" spans="1:3" ht="14.25" customHeight="1" x14ac:dyDescent="0.25">
      <c r="B31" s="25" t="s">
        <v>10</v>
      </c>
      <c r="C31" s="99">
        <v>3.4342930038455802E-2</v>
      </c>
    </row>
    <row r="32" spans="1:3" ht="14.25" customHeight="1" x14ac:dyDescent="0.25">
      <c r="B32" s="25" t="s">
        <v>11</v>
      </c>
      <c r="C32" s="99">
        <v>0.58994059648423802</v>
      </c>
    </row>
    <row r="33" spans="1:5" ht="13" customHeight="1" x14ac:dyDescent="0.25">
      <c r="B33" s="27" t="s">
        <v>60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11.326549999999999</v>
      </c>
    </row>
    <row r="38" spans="1:5" ht="15" customHeight="1" x14ac:dyDescent="0.25">
      <c r="B38" s="11" t="s">
        <v>35</v>
      </c>
      <c r="C38" s="43">
        <v>18.882359999999998</v>
      </c>
      <c r="D38" s="12"/>
      <c r="E38" s="13"/>
    </row>
    <row r="39" spans="1:5" ht="15" customHeight="1" x14ac:dyDescent="0.25">
      <c r="B39" s="11" t="s">
        <v>61</v>
      </c>
      <c r="C39" s="43">
        <v>22.173410000000001</v>
      </c>
      <c r="D39" s="12"/>
      <c r="E39" s="12"/>
    </row>
    <row r="40" spans="1:5" ht="15" customHeight="1" x14ac:dyDescent="0.25">
      <c r="B40" s="11" t="s">
        <v>36</v>
      </c>
      <c r="C40" s="100">
        <v>1.73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9.0716199999999994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6.1523000000000003E-3</v>
      </c>
      <c r="D45" s="12"/>
    </row>
    <row r="46" spans="1:5" ht="15.75" customHeight="1" x14ac:dyDescent="0.25">
      <c r="B46" s="11" t="s">
        <v>51</v>
      </c>
      <c r="C46" s="45">
        <v>6.6105700000000003E-2</v>
      </c>
      <c r="D46" s="12"/>
    </row>
    <row r="47" spans="1:5" ht="15.75" customHeight="1" x14ac:dyDescent="0.25">
      <c r="B47" s="11" t="s">
        <v>59</v>
      </c>
      <c r="C47" s="45">
        <v>7.5150599999999998E-2</v>
      </c>
      <c r="D47" s="12"/>
      <c r="E47" s="13"/>
    </row>
    <row r="48" spans="1:5" ht="15" customHeight="1" x14ac:dyDescent="0.25">
      <c r="B48" s="11" t="s">
        <v>58</v>
      </c>
      <c r="C48" s="46">
        <v>0.8525914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2.4</v>
      </c>
      <c r="D51" s="12"/>
    </row>
    <row r="52" spans="1:4" ht="15" customHeight="1" x14ac:dyDescent="0.25">
      <c r="B52" s="11" t="s">
        <v>13</v>
      </c>
      <c r="C52" s="100">
        <v>2.4</v>
      </c>
    </row>
    <row r="53" spans="1:4" ht="15.75" customHeight="1" x14ac:dyDescent="0.25">
      <c r="B53" s="11" t="s">
        <v>16</v>
      </c>
      <c r="C53" s="100">
        <v>2.4</v>
      </c>
    </row>
    <row r="54" spans="1:4" ht="15.75" customHeight="1" x14ac:dyDescent="0.25">
      <c r="B54" s="11" t="s">
        <v>14</v>
      </c>
      <c r="C54" s="100">
        <v>2.4</v>
      </c>
    </row>
    <row r="55" spans="1:4" ht="15.75" customHeight="1" x14ac:dyDescent="0.25">
      <c r="B55" s="11" t="s">
        <v>15</v>
      </c>
      <c r="C55" s="100">
        <v>2.4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2.1666666666666671E-2</v>
      </c>
    </row>
    <row r="59" spans="1:4" ht="15.75" customHeight="1" x14ac:dyDescent="0.25">
      <c r="B59" s="11" t="s">
        <v>40</v>
      </c>
      <c r="C59" s="45">
        <v>0.58243899999999993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9.9694547999999911E-2</v>
      </c>
    </row>
    <row r="63" spans="1:4" ht="15.75" customHeight="1" x14ac:dyDescent="0.3">
      <c r="A63" s="4"/>
    </row>
  </sheetData>
  <sheetProtection algorithmName="SHA-512" hashValue="0jWD/GfUx2XlIvd/4RUSmOcSWHYhmP1LmZO47H8DRfHTUnhPrD6hDjVsSFh6+a9calJAGafcjSVF7eQtOS5LXQ==" saltValue="nnFQO8wCHZttfowMDoil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4413909</v>
      </c>
      <c r="C2" s="49">
        <v>13531383.5</v>
      </c>
      <c r="D2" s="49">
        <v>21194640</v>
      </c>
      <c r="E2" s="49">
        <v>20090027</v>
      </c>
      <c r="F2" s="49">
        <v>17425844.5</v>
      </c>
      <c r="G2" s="17">
        <f t="shared" ref="G2:G13" si="0">C2+D2+E2+F2</f>
        <v>72241895</v>
      </c>
      <c r="H2" s="17">
        <f t="shared" ref="H2:H13" si="1">(B2 + stillbirth*B2/(1000-stillbirth))/(1-abortion)</f>
        <v>5061723.7159139412</v>
      </c>
      <c r="I2" s="17">
        <f t="shared" ref="I2:I13" si="2">G2-H2</f>
        <v>67180171.284086064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4405993</v>
      </c>
      <c r="C3" s="50">
        <v>13681851.5</v>
      </c>
      <c r="D3" s="50">
        <v>21260619.5</v>
      </c>
      <c r="E3" s="50">
        <v>20100269</v>
      </c>
      <c r="F3" s="50">
        <v>17602044</v>
      </c>
      <c r="G3" s="17">
        <f t="shared" si="0"/>
        <v>72644784</v>
      </c>
      <c r="H3" s="17">
        <f t="shared" si="1"/>
        <v>5052645.9109716164</v>
      </c>
      <c r="I3" s="17">
        <f t="shared" si="2"/>
        <v>67592138.089028388</v>
      </c>
    </row>
    <row r="4" spans="1:9" ht="15.75" customHeight="1" x14ac:dyDescent="0.25">
      <c r="A4" s="5">
        <f t="shared" si="3"/>
        <v>2026</v>
      </c>
      <c r="B4" s="49">
        <v>4385581</v>
      </c>
      <c r="C4" s="50">
        <v>13821751.5</v>
      </c>
      <c r="D4" s="50">
        <v>21339711</v>
      </c>
      <c r="E4" s="50">
        <v>20179485.5</v>
      </c>
      <c r="F4" s="50">
        <v>17723929.5</v>
      </c>
      <c r="G4" s="17">
        <f t="shared" si="0"/>
        <v>73064877.5</v>
      </c>
      <c r="H4" s="17">
        <f t="shared" si="1"/>
        <v>5029238.1097484287</v>
      </c>
      <c r="I4" s="17">
        <f t="shared" si="2"/>
        <v>68035639.390251577</v>
      </c>
    </row>
    <row r="5" spans="1:9" ht="15.75" customHeight="1" x14ac:dyDescent="0.25">
      <c r="A5" s="5">
        <f t="shared" si="3"/>
        <v>2027</v>
      </c>
      <c r="B5" s="49">
        <v>4368297</v>
      </c>
      <c r="C5" s="50">
        <v>13892947</v>
      </c>
      <c r="D5" s="50">
        <v>21439209.5</v>
      </c>
      <c r="E5" s="50">
        <v>20296589</v>
      </c>
      <c r="F5" s="50">
        <v>17782391.5</v>
      </c>
      <c r="G5" s="17">
        <f t="shared" si="0"/>
        <v>73411137</v>
      </c>
      <c r="H5" s="17">
        <f t="shared" si="1"/>
        <v>5009417.3946621288</v>
      </c>
      <c r="I5" s="17">
        <f t="shared" si="2"/>
        <v>68401719.605337873</v>
      </c>
    </row>
    <row r="6" spans="1:9" ht="15.75" customHeight="1" x14ac:dyDescent="0.25">
      <c r="A6" s="5">
        <f t="shared" si="3"/>
        <v>2028</v>
      </c>
      <c r="B6" s="49">
        <v>4369549</v>
      </c>
      <c r="C6" s="50">
        <v>13897297</v>
      </c>
      <c r="D6" s="50">
        <v>21566558.5</v>
      </c>
      <c r="E6" s="50">
        <v>20406143.5</v>
      </c>
      <c r="F6" s="50">
        <v>17802962.5</v>
      </c>
      <c r="G6" s="17">
        <f t="shared" si="0"/>
        <v>73672961.5</v>
      </c>
      <c r="H6" s="17">
        <f t="shared" si="1"/>
        <v>5010853.1465302166</v>
      </c>
      <c r="I6" s="17">
        <f t="shared" si="2"/>
        <v>68662108.353469789</v>
      </c>
    </row>
    <row r="7" spans="1:9" ht="15.75" customHeight="1" x14ac:dyDescent="0.25">
      <c r="A7" s="5">
        <f t="shared" si="3"/>
        <v>2029</v>
      </c>
      <c r="B7" s="49">
        <v>4355716</v>
      </c>
      <c r="C7" s="50">
        <v>13870142</v>
      </c>
      <c r="D7" s="50">
        <v>21716677</v>
      </c>
      <c r="E7" s="50">
        <v>20491240.5</v>
      </c>
      <c r="F7" s="50">
        <v>17806009</v>
      </c>
      <c r="G7" s="17">
        <f t="shared" si="0"/>
        <v>73884068.5</v>
      </c>
      <c r="H7" s="17">
        <f t="shared" si="1"/>
        <v>4994989.9232145036</v>
      </c>
      <c r="I7" s="17">
        <f t="shared" si="2"/>
        <v>68889078.57678549</v>
      </c>
    </row>
    <row r="8" spans="1:9" ht="15.75" customHeight="1" x14ac:dyDescent="0.25">
      <c r="A8" s="5">
        <f t="shared" si="3"/>
        <v>2030</v>
      </c>
      <c r="B8" s="49">
        <v>4355673</v>
      </c>
      <c r="C8" s="50">
        <v>13810432</v>
      </c>
      <c r="D8" s="50">
        <v>21878565.5</v>
      </c>
      <c r="E8" s="50">
        <v>20576880</v>
      </c>
      <c r="F8" s="50">
        <v>17791838</v>
      </c>
      <c r="G8" s="17">
        <f t="shared" si="0"/>
        <v>74057715.5</v>
      </c>
      <c r="H8" s="17">
        <f t="shared" si="1"/>
        <v>4994940.6122477883</v>
      </c>
      <c r="I8" s="17">
        <f t="shared" si="2"/>
        <v>69062774.887752205</v>
      </c>
    </row>
    <row r="9" spans="1:9" ht="15.75" customHeight="1" x14ac:dyDescent="0.25">
      <c r="A9" s="5">
        <f t="shared" si="3"/>
        <v>2031</v>
      </c>
      <c r="B9" s="49">
        <v>4349314</v>
      </c>
      <c r="C9" s="50">
        <v>13687886</v>
      </c>
      <c r="D9" s="50">
        <v>22066583</v>
      </c>
      <c r="E9" s="50">
        <v>20658765</v>
      </c>
      <c r="F9" s="50">
        <v>17752274</v>
      </c>
      <c r="G9" s="17">
        <f t="shared" si="0"/>
        <v>74165508</v>
      </c>
      <c r="H9" s="17">
        <f t="shared" si="1"/>
        <v>4987648.3230072316</v>
      </c>
      <c r="I9" s="17">
        <f t="shared" si="2"/>
        <v>69177859.676992774</v>
      </c>
    </row>
    <row r="10" spans="1:9" ht="15.75" customHeight="1" x14ac:dyDescent="0.25">
      <c r="A10" s="5">
        <f t="shared" si="3"/>
        <v>2032</v>
      </c>
      <c r="B10" s="49">
        <v>4338037</v>
      </c>
      <c r="C10" s="50">
        <v>13508023.5</v>
      </c>
      <c r="D10" s="50">
        <v>22283005</v>
      </c>
      <c r="E10" s="50">
        <v>20732755.5</v>
      </c>
      <c r="F10" s="50">
        <v>17703089</v>
      </c>
      <c r="G10" s="17">
        <f t="shared" si="0"/>
        <v>74226873</v>
      </c>
      <c r="H10" s="17">
        <f t="shared" si="1"/>
        <v>4974716.2352944212</v>
      </c>
      <c r="I10" s="17">
        <f t="shared" si="2"/>
        <v>69252156.764705583</v>
      </c>
    </row>
    <row r="11" spans="1:9" ht="15.75" customHeight="1" x14ac:dyDescent="0.25">
      <c r="A11" s="5">
        <f t="shared" si="3"/>
        <v>2033</v>
      </c>
      <c r="B11" s="49">
        <v>4335980</v>
      </c>
      <c r="C11" s="50">
        <v>13334703.5</v>
      </c>
      <c r="D11" s="50">
        <v>22477306.5</v>
      </c>
      <c r="E11" s="50">
        <v>20807550.5</v>
      </c>
      <c r="F11" s="50">
        <v>17651414</v>
      </c>
      <c r="G11" s="17">
        <f t="shared" si="0"/>
        <v>74270974.5</v>
      </c>
      <c r="H11" s="17">
        <f t="shared" si="1"/>
        <v>4972357.3362587513</v>
      </c>
      <c r="I11" s="17">
        <f t="shared" si="2"/>
        <v>69298617.163741246</v>
      </c>
    </row>
    <row r="12" spans="1:9" ht="15.75" customHeight="1" x14ac:dyDescent="0.25">
      <c r="A12" s="5">
        <f t="shared" si="3"/>
        <v>2034</v>
      </c>
      <c r="B12" s="49">
        <v>4317816</v>
      </c>
      <c r="C12" s="50">
        <v>13185253.5</v>
      </c>
      <c r="D12" s="50">
        <v>22625969.5</v>
      </c>
      <c r="E12" s="50">
        <v>20873193</v>
      </c>
      <c r="F12" s="50">
        <v>17601010.5</v>
      </c>
      <c r="G12" s="17">
        <f t="shared" si="0"/>
        <v>74285426.5</v>
      </c>
      <c r="H12" s="17">
        <f t="shared" si="1"/>
        <v>4951527.4665047852</v>
      </c>
      <c r="I12" s="17">
        <f t="shared" si="2"/>
        <v>69333899.033495218</v>
      </c>
    </row>
    <row r="13" spans="1:9" ht="15.75" customHeight="1" x14ac:dyDescent="0.25">
      <c r="A13" s="5">
        <f t="shared" si="3"/>
        <v>2035</v>
      </c>
      <c r="B13" s="49">
        <v>4321233</v>
      </c>
      <c r="C13" s="50">
        <v>13051604.5</v>
      </c>
      <c r="D13" s="50">
        <v>22718540</v>
      </c>
      <c r="E13" s="50">
        <v>20943108.5</v>
      </c>
      <c r="F13" s="50">
        <v>17595961.5</v>
      </c>
      <c r="G13" s="17">
        <f t="shared" si="0"/>
        <v>74309214.5</v>
      </c>
      <c r="H13" s="17">
        <f t="shared" si="1"/>
        <v>4955445.968208666</v>
      </c>
      <c r="I13" s="17">
        <f t="shared" si="2"/>
        <v>69353768.531791329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rlh5UbM0wb7DqXq4YG71MiL6u2RCO5QevpIaYqTVBIMZFhgBlw5RCX5/qjPB34bQhRJZ3v1Qbq5clYGSEWclg==" saltValue="HNlNTOc3gAiO4RNuVqbHN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1.738200173820019E-3</v>
      </c>
    </row>
    <row r="4" spans="1:8" ht="15.75" customHeight="1" x14ac:dyDescent="0.25">
      <c r="B4" s="19" t="s">
        <v>97</v>
      </c>
      <c r="C4" s="101">
        <v>5.6959305695930607E-2</v>
      </c>
    </row>
    <row r="5" spans="1:8" ht="15.75" customHeight="1" x14ac:dyDescent="0.25">
      <c r="B5" s="19" t="s">
        <v>95</v>
      </c>
      <c r="C5" s="101">
        <v>3.7975303797530502E-2</v>
      </c>
    </row>
    <row r="6" spans="1:8" ht="15.75" customHeight="1" x14ac:dyDescent="0.25">
      <c r="B6" s="19" t="s">
        <v>91</v>
      </c>
      <c r="C6" s="101">
        <v>0.1868385186838521</v>
      </c>
    </row>
    <row r="7" spans="1:8" ht="15.75" customHeight="1" x14ac:dyDescent="0.25">
      <c r="B7" s="19" t="s">
        <v>96</v>
      </c>
      <c r="C7" s="101">
        <v>0.44315674431567392</v>
      </c>
    </row>
    <row r="8" spans="1:8" ht="15.75" customHeight="1" x14ac:dyDescent="0.25">
      <c r="B8" s="19" t="s">
        <v>98</v>
      </c>
      <c r="C8" s="101">
        <v>4.4720004472000513E-4</v>
      </c>
    </row>
    <row r="9" spans="1:8" ht="15.75" customHeight="1" x14ac:dyDescent="0.25">
      <c r="B9" s="19" t="s">
        <v>92</v>
      </c>
      <c r="C9" s="101">
        <v>0.17596981759698199</v>
      </c>
    </row>
    <row r="10" spans="1:8" ht="15.75" customHeight="1" x14ac:dyDescent="0.25">
      <c r="B10" s="19" t="s">
        <v>94</v>
      </c>
      <c r="C10" s="101">
        <v>9.691490969149115E-2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0.1263899519799413</v>
      </c>
      <c r="D14" s="55">
        <v>0.1263899519799413</v>
      </c>
      <c r="E14" s="55">
        <v>0.1263899519799413</v>
      </c>
      <c r="F14" s="55">
        <v>0.1263899519799413</v>
      </c>
    </row>
    <row r="15" spans="1:8" ht="15.75" customHeight="1" x14ac:dyDescent="0.25">
      <c r="B15" s="19" t="s">
        <v>102</v>
      </c>
      <c r="C15" s="101">
        <v>0.1041664226509775</v>
      </c>
      <c r="D15" s="101">
        <v>0.1041664226509775</v>
      </c>
      <c r="E15" s="101">
        <v>0.1041664226509775</v>
      </c>
      <c r="F15" s="101">
        <v>0.1041664226509775</v>
      </c>
    </row>
    <row r="16" spans="1:8" ht="15.75" customHeight="1" x14ac:dyDescent="0.25">
      <c r="B16" s="19" t="s">
        <v>2</v>
      </c>
      <c r="C16" s="101">
        <v>1.051281860064689E-2</v>
      </c>
      <c r="D16" s="101">
        <v>1.051281860064689E-2</v>
      </c>
      <c r="E16" s="101">
        <v>1.051281860064689E-2</v>
      </c>
      <c r="F16" s="101">
        <v>1.051281860064689E-2</v>
      </c>
    </row>
    <row r="17" spans="1:8" ht="15.75" customHeight="1" x14ac:dyDescent="0.25">
      <c r="B17" s="19" t="s">
        <v>90</v>
      </c>
      <c r="C17" s="101">
        <v>2.740749590882348E-3</v>
      </c>
      <c r="D17" s="101">
        <v>2.740749590882348E-3</v>
      </c>
      <c r="E17" s="101">
        <v>2.740749590882348E-3</v>
      </c>
      <c r="F17" s="101">
        <v>2.740749590882348E-3</v>
      </c>
    </row>
    <row r="18" spans="1:8" ht="15.75" customHeight="1" x14ac:dyDescent="0.25">
      <c r="B18" s="19" t="s">
        <v>3</v>
      </c>
      <c r="C18" s="101">
        <v>8.5856697536406783E-3</v>
      </c>
      <c r="D18" s="101">
        <v>8.5856697536406783E-3</v>
      </c>
      <c r="E18" s="101">
        <v>8.5856697536406783E-3</v>
      </c>
      <c r="F18" s="101">
        <v>8.5856697536406783E-3</v>
      </c>
    </row>
    <row r="19" spans="1:8" ht="15.75" customHeight="1" x14ac:dyDescent="0.25">
      <c r="B19" s="19" t="s">
        <v>101</v>
      </c>
      <c r="C19" s="101">
        <v>3.85459091454761E-2</v>
      </c>
      <c r="D19" s="101">
        <v>3.85459091454761E-2</v>
      </c>
      <c r="E19" s="101">
        <v>3.85459091454761E-2</v>
      </c>
      <c r="F19" s="101">
        <v>3.85459091454761E-2</v>
      </c>
    </row>
    <row r="20" spans="1:8" ht="15.75" customHeight="1" x14ac:dyDescent="0.25">
      <c r="B20" s="19" t="s">
        <v>79</v>
      </c>
      <c r="C20" s="101">
        <v>3.5060893629497103E-2</v>
      </c>
      <c r="D20" s="101">
        <v>3.5060893629497103E-2</v>
      </c>
      <c r="E20" s="101">
        <v>3.5060893629497103E-2</v>
      </c>
      <c r="F20" s="101">
        <v>3.5060893629497103E-2</v>
      </c>
    </row>
    <row r="21" spans="1:8" ht="15.75" customHeight="1" x14ac:dyDescent="0.25">
      <c r="B21" s="19" t="s">
        <v>88</v>
      </c>
      <c r="C21" s="101">
        <v>0.36168149328917881</v>
      </c>
      <c r="D21" s="101">
        <v>0.36168149328917881</v>
      </c>
      <c r="E21" s="101">
        <v>0.36168149328917881</v>
      </c>
      <c r="F21" s="101">
        <v>0.36168149328917881</v>
      </c>
    </row>
    <row r="22" spans="1:8" ht="15.75" customHeight="1" x14ac:dyDescent="0.25">
      <c r="B22" s="19" t="s">
        <v>99</v>
      </c>
      <c r="C22" s="101">
        <v>0.3123160913597593</v>
      </c>
      <c r="D22" s="101">
        <v>0.3123160913597593</v>
      </c>
      <c r="E22" s="101">
        <v>0.3123160913597593</v>
      </c>
      <c r="F22" s="101">
        <v>0.3123160913597593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4.7996967000000001E-2</v>
      </c>
    </row>
    <row r="27" spans="1:8" ht="15.75" customHeight="1" x14ac:dyDescent="0.25">
      <c r="B27" s="19" t="s">
        <v>89</v>
      </c>
      <c r="C27" s="101">
        <v>1.9231089E-2</v>
      </c>
    </row>
    <row r="28" spans="1:8" ht="15.75" customHeight="1" x14ac:dyDescent="0.25">
      <c r="B28" s="19" t="s">
        <v>103</v>
      </c>
      <c r="C28" s="101">
        <v>0.23147800700000001</v>
      </c>
    </row>
    <row r="29" spans="1:8" ht="15.75" customHeight="1" x14ac:dyDescent="0.25">
      <c r="B29" s="19" t="s">
        <v>86</v>
      </c>
      <c r="C29" s="101">
        <v>0.13894083700000001</v>
      </c>
    </row>
    <row r="30" spans="1:8" ht="15.75" customHeight="1" x14ac:dyDescent="0.25">
      <c r="B30" s="19" t="s">
        <v>4</v>
      </c>
      <c r="C30" s="101">
        <v>5.0303380000000002E-2</v>
      </c>
    </row>
    <row r="31" spans="1:8" ht="15.75" customHeight="1" x14ac:dyDescent="0.25">
      <c r="B31" s="19" t="s">
        <v>80</v>
      </c>
      <c r="C31" s="101">
        <v>7.028529E-2</v>
      </c>
    </row>
    <row r="32" spans="1:8" ht="15.75" customHeight="1" x14ac:dyDescent="0.25">
      <c r="B32" s="19" t="s">
        <v>85</v>
      </c>
      <c r="C32" s="101">
        <v>0.146633282</v>
      </c>
    </row>
    <row r="33" spans="2:3" ht="15.75" customHeight="1" x14ac:dyDescent="0.25">
      <c r="B33" s="19" t="s">
        <v>100</v>
      </c>
      <c r="C33" s="101">
        <v>0.12525921100000001</v>
      </c>
    </row>
    <row r="34" spans="2:3" ht="15.75" customHeight="1" x14ac:dyDescent="0.25">
      <c r="B34" s="19" t="s">
        <v>87</v>
      </c>
      <c r="C34" s="101">
        <v>0.169871936</v>
      </c>
    </row>
    <row r="35" spans="2:3" ht="15.75" customHeight="1" x14ac:dyDescent="0.25">
      <c r="B35" s="27" t="s">
        <v>60</v>
      </c>
      <c r="C35" s="48">
        <f>SUM(C26:C34)</f>
        <v>0.99999999900000014</v>
      </c>
    </row>
  </sheetData>
  <sheetProtection algorithmName="SHA-512" hashValue="7IpDSj1XBKXZPsozAWQ9PG8sEAjwN370zj1irx74VfNpv1XsIsEGvyPGddTaAU1r04K4k+PIPY7NiVujLTUZgw==" saltValue="iRPrZwWf67/NWPonFzbPt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110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106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119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0.24620371525000001</v>
      </c>
      <c r="D14" s="54">
        <v>0.26587131715200002</v>
      </c>
      <c r="E14" s="54">
        <v>0.26587131715200002</v>
      </c>
      <c r="F14" s="54">
        <v>0.150404622889</v>
      </c>
      <c r="G14" s="54">
        <v>0.150404622889</v>
      </c>
      <c r="H14" s="45">
        <v>0.42</v>
      </c>
      <c r="I14" s="55">
        <v>0.42</v>
      </c>
      <c r="J14" s="55">
        <v>0.42</v>
      </c>
      <c r="K14" s="55">
        <v>0.42</v>
      </c>
      <c r="L14" s="45">
        <v>0.28199999999999997</v>
      </c>
      <c r="M14" s="55">
        <v>0.28199999999999997</v>
      </c>
      <c r="N14" s="55">
        <v>0.28199999999999997</v>
      </c>
      <c r="O14" s="55">
        <v>0.28199999999999997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0.14339864570649474</v>
      </c>
      <c r="D15" s="52">
        <f t="shared" si="0"/>
        <v>0.15485382409069373</v>
      </c>
      <c r="E15" s="52">
        <f t="shared" si="0"/>
        <v>0.15485382409069373</v>
      </c>
      <c r="F15" s="52">
        <f t="shared" si="0"/>
        <v>8.7601518150846255E-2</v>
      </c>
      <c r="G15" s="52">
        <f t="shared" si="0"/>
        <v>8.7601518150846255E-2</v>
      </c>
      <c r="H15" s="52">
        <f t="shared" si="0"/>
        <v>0.24462437999999997</v>
      </c>
      <c r="I15" s="52">
        <f t="shared" si="0"/>
        <v>0.24462437999999997</v>
      </c>
      <c r="J15" s="52">
        <f t="shared" si="0"/>
        <v>0.24462437999999997</v>
      </c>
      <c r="K15" s="52">
        <f t="shared" si="0"/>
        <v>0.24462437999999997</v>
      </c>
      <c r="L15" s="52">
        <f t="shared" si="0"/>
        <v>0.16424779799999997</v>
      </c>
      <c r="M15" s="52">
        <f t="shared" si="0"/>
        <v>0.16424779799999997</v>
      </c>
      <c r="N15" s="52">
        <f t="shared" si="0"/>
        <v>0.16424779799999997</v>
      </c>
      <c r="O15" s="52">
        <f t="shared" si="0"/>
        <v>0.16424779799999997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j/rNAit8f7xoGw0XJCGm4vH0xsq4Yvd5DPYVl7f11b9zdsx8btYoNrPPcihaWE1IuiPW1wYLcrBKqEPS9tkQPQ==" saltValue="atHDW5OUFrl4BPpIXftt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0.66450710000000002</v>
      </c>
      <c r="D2" s="53">
        <v>0.4996447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3.7980600000000003E-2</v>
      </c>
      <c r="D3" s="53">
        <v>7.3969300000000002E-2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0.22020380000000001</v>
      </c>
      <c r="D4" s="53">
        <v>0.2993806</v>
      </c>
      <c r="E4" s="53">
        <v>0.79006569999999998</v>
      </c>
      <c r="F4" s="53">
        <v>0.67291190000000001</v>
      </c>
      <c r="G4" s="53">
        <v>0</v>
      </c>
    </row>
    <row r="5" spans="1:7" x14ac:dyDescent="0.25">
      <c r="B5" s="3" t="s">
        <v>125</v>
      </c>
      <c r="C5" s="52">
        <v>7.7308500000000002E-2</v>
      </c>
      <c r="D5" s="52">
        <v>0.12700549999999999</v>
      </c>
      <c r="E5" s="52">
        <f>1-SUM(E2:E4)</f>
        <v>0.20993430000000002</v>
      </c>
      <c r="F5" s="52">
        <f>1-SUM(F2:F4)</f>
        <v>0.32708809999999999</v>
      </c>
      <c r="G5" s="52">
        <f>1-SUM(G2:G4)</f>
        <v>1</v>
      </c>
    </row>
  </sheetData>
  <sheetProtection algorithmName="SHA-512" hashValue="h8LfvMFO0kGCA87JAYA8XntkXUpKk7qkb5pAXeYTBPkk/O8E6nNKy39abF9mgYmzOYrocX1Ysq79KCR0PtBBIg==" saltValue="K5JG98rlmUm0UQ8oI2aVh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Fb1BaE9rTQcX42KBSZI+wiewlLJrFqKh/HpT3CAJnr8LStI7VPYMeqJ8PlMXWYVQaoNAzBiR5tx9oM3jPVBIQ==" saltValue="cbElLQA/mDiw2F8qaEFj7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NpMmCHqirxpoL89i8oH2RweEH6rwtdp63seWo+sKmDDecDgL00VegIQj+CeqA9QV+aaKJt9xoZcbIs/lEspZHw==" saltValue="L3UGb+KwIdbhh8Zh9+J5/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m+wERUZvt88bUhIlffXvhBl+KUQwHS9LgEUHDi7hRReg4VjDdi0godDpVDRPEAtKsvUFflLNlhHaTGbY0kI52g==" saltValue="A5EOBk13RVBjDWuCusdoc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GzjQ0zjyvWwaGRXjjE0/5pWxn2FNFrMzur+SiFvsr+034dzi8pJteaKDhU/Z7MVcKfqkJ6gKd+B33964nlVSUg==" saltValue="huDA+F1syT8Ug/3I8wxnI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70.346306973761287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16.251846442388711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3.110690637764288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1.2116048011525209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1.812651550310735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0.5</v>
      </c>
      <c r="C9" s="98">
        <v>0.95</v>
      </c>
      <c r="D9" s="56">
        <v>0.73277403097668004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0.44054339999999997</v>
      </c>
      <c r="C10" s="98">
        <v>0.95</v>
      </c>
      <c r="D10" s="56">
        <v>12.930406468022619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12.930406468022619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12.930406468022619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12.930406468022619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0.44054339999999997</v>
      </c>
      <c r="C14" s="98">
        <v>0.95</v>
      </c>
      <c r="D14" s="56">
        <v>12.930406468022619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12.930406468022619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1.73413E-2</v>
      </c>
      <c r="C16" s="98">
        <v>0.95</v>
      </c>
      <c r="D16" s="56">
        <v>2.503642449664842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0.17784249999999999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0.4996447</v>
      </c>
      <c r="C18" s="98">
        <v>0.95</v>
      </c>
      <c r="D18" s="56">
        <v>3.110690637764288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0.4996447</v>
      </c>
      <c r="C19" s="98">
        <v>0.95</v>
      </c>
      <c r="D19" s="56">
        <v>3.110690637764288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10.726757057587051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22.27087738351165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2.2612899999999998E-2</v>
      </c>
      <c r="C23" s="98">
        <v>0.95</v>
      </c>
      <c r="D23" s="56">
        <v>4.2282295523678748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0.61685007638513001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0.44054339999999997</v>
      </c>
      <c r="C26" s="98">
        <v>0.95</v>
      </c>
      <c r="D26" s="56">
        <v>13.467741075377949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13.765699948727031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0.36092259999999998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0.53925319999999999</v>
      </c>
      <c r="C29" s="98">
        <v>0.95</v>
      </c>
      <c r="D29" s="56">
        <v>46.280465114316641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56.731369485662889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0.62</v>
      </c>
      <c r="C32" s="98">
        <v>0.95</v>
      </c>
      <c r="D32" s="56">
        <v>3.1633023129352069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0.7898522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0.45606069999999999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1.5928999999999999E-2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0.22960410000000001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0.17799999999999999</v>
      </c>
      <c r="C38" s="98">
        <v>0.95</v>
      </c>
      <c r="D38" s="56">
        <v>2.4488574538288082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2.717384924943516</v>
      </c>
      <c r="E39" s="56" t="s">
        <v>183</v>
      </c>
      <c r="F39" s="98">
        <v>1</v>
      </c>
      <c r="G39" s="98">
        <v>1</v>
      </c>
    </row>
  </sheetData>
  <sheetProtection algorithmName="SHA-512" hashValue="xj4I7nMCrU3o5cweBs+8bYooe51RFfdcvDaaHulnPQhAb8I9FszgswLz/A7LCAckzpipdKoAl0NJ6HJMJTsPIw==" saltValue="8VK7Zny2fjS5g2LCogpw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L9w1idI5lpEqtNAycah5XFOjGXyn/3maVqSnNE+UGwcKGPvEEij1WIYaL147qU3dahAxy/Ps5Qy3tddtcubghA==" saltValue="y+hKhwODEwvELSrnpCyOc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ho3BWU/kQH7+SojsNobvVfHR/oTxN6/xMShCIXJNPGNfAQimetllN7JNiTr7EHR+ygwj9TMbsRONgB7wzbP42w==" saltValue="3j2lqzOHf0Yivrb/b3P8z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207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zDQblJLc3BPXWr5P3+Ne72q1asKlHx9ejQbq7pvsNvFtKqAa1sX3bjkunNRLD85PoTwIlHwjcVOcZX3grm/6/w==" saltValue="5plcQh2j50JonGRY6Z2H+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4.5999999999999999E-2</v>
      </c>
      <c r="E2" s="60">
        <f>food_insecure</f>
        <v>4.5999999999999999E-2</v>
      </c>
      <c r="F2" s="60">
        <f>food_insecure</f>
        <v>4.5999999999999999E-2</v>
      </c>
      <c r="G2" s="60">
        <f>food_insecure</f>
        <v>4.5999999999999999E-2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4.5999999999999999E-2</v>
      </c>
      <c r="F5" s="60">
        <f>food_insecure</f>
        <v>4.5999999999999999E-2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4.5999999999999999E-2</v>
      </c>
      <c r="F8" s="60">
        <f>food_insecure</f>
        <v>4.5999999999999999E-2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4.5999999999999999E-2</v>
      </c>
      <c r="F9" s="60">
        <f>food_insecure</f>
        <v>4.5999999999999999E-2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4.5999999999999999E-2</v>
      </c>
      <c r="I15" s="60">
        <f>food_insecure</f>
        <v>4.5999999999999999E-2</v>
      </c>
      <c r="J15" s="60">
        <f>food_insecure</f>
        <v>4.5999999999999999E-2</v>
      </c>
      <c r="K15" s="60">
        <f>food_insecure</f>
        <v>4.5999999999999999E-2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0.10879999999999999</v>
      </c>
      <c r="I19" s="60">
        <f>frac_malaria_risk</f>
        <v>0.10879999999999999</v>
      </c>
      <c r="J19" s="60">
        <f>frac_malaria_risk</f>
        <v>0.10879999999999999</v>
      </c>
      <c r="K19" s="60">
        <f>frac_malaria_risk</f>
        <v>0.10879999999999999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0.221</v>
      </c>
      <c r="M24" s="60">
        <f>famplan_unmet_need</f>
        <v>0.221</v>
      </c>
      <c r="N24" s="60">
        <f>famplan_unmet_need</f>
        <v>0.221</v>
      </c>
      <c r="O24" s="60">
        <f>famplan_unmet_need</f>
        <v>0.221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0.11201358453521744</v>
      </c>
      <c r="M25" s="60">
        <f>(1-food_insecure)*(0.49)+food_insecure*(0.7)</f>
        <v>0.49965999999999999</v>
      </c>
      <c r="N25" s="60">
        <f>(1-food_insecure)*(0.49)+food_insecure*(0.7)</f>
        <v>0.49965999999999999</v>
      </c>
      <c r="O25" s="60">
        <f>(1-food_insecure)*(0.49)+food_insecure*(0.7)</f>
        <v>0.49965999999999999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4.8005821943664623E-2</v>
      </c>
      <c r="M26" s="60">
        <f>(1-food_insecure)*(0.21)+food_insecure*(0.3)</f>
        <v>0.21414</v>
      </c>
      <c r="N26" s="60">
        <f>(1-food_insecure)*(0.21)+food_insecure*(0.3)</f>
        <v>0.21414</v>
      </c>
      <c r="O26" s="60">
        <f>(1-food_insecure)*(0.21)+food_insecure*(0.3)</f>
        <v>0.21414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6.4160204727172931E-2</v>
      </c>
      <c r="M27" s="60">
        <f>(1-food_insecure)*(0.3)</f>
        <v>0.28619999999999995</v>
      </c>
      <c r="N27" s="60">
        <f>(1-food_insecure)*(0.3)</f>
        <v>0.28619999999999995</v>
      </c>
      <c r="O27" s="60">
        <f>(1-food_insecure)*(0.3)</f>
        <v>0.28619999999999995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0.77582038879394499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0.10879999999999999</v>
      </c>
      <c r="D34" s="60">
        <f t="shared" si="3"/>
        <v>0.10879999999999999</v>
      </c>
      <c r="E34" s="60">
        <f t="shared" si="3"/>
        <v>0.10879999999999999</v>
      </c>
      <c r="F34" s="60">
        <f t="shared" si="3"/>
        <v>0.10879999999999999</v>
      </c>
      <c r="G34" s="60">
        <f t="shared" si="3"/>
        <v>0.10879999999999999</v>
      </c>
      <c r="H34" s="60">
        <f t="shared" si="3"/>
        <v>0.10879999999999999</v>
      </c>
      <c r="I34" s="60">
        <f t="shared" si="3"/>
        <v>0.10879999999999999</v>
      </c>
      <c r="J34" s="60">
        <f t="shared" si="3"/>
        <v>0.10879999999999999</v>
      </c>
      <c r="K34" s="60">
        <f t="shared" si="3"/>
        <v>0.10879999999999999</v>
      </c>
      <c r="L34" s="60">
        <f t="shared" si="3"/>
        <v>0.10879999999999999</v>
      </c>
      <c r="M34" s="60">
        <f t="shared" si="3"/>
        <v>0.10879999999999999</v>
      </c>
      <c r="N34" s="60">
        <f t="shared" si="3"/>
        <v>0.10879999999999999</v>
      </c>
      <c r="O34" s="60">
        <f t="shared" si="3"/>
        <v>0.10879999999999999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ez3tjuTBDPWjD3GyC9sX1VjvHTkbFnxJFHlKlnG3JPRvY0SexevLoYdpYthU0Ycqu+N+jyqJZMQ1wSKvrFZrFw==" saltValue="MBCn2a42ty7hTSRzIf1bC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ncELU3FTuPLdOXiAW/JF5tpCvUPJSebxs40eTBR8Li8avHjwupUvTFMzsGLVu5kupY7/x9EfNTLg9I8Zkdog2Q==" saltValue="tYYcYrT8lbAgKr7OSUT2m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YgrsjwXPhIuLOV5WaG4czr+EDi5gqCaGx2M2zV2/MuiSdUb4a+BHhT1Qwb4TNePO5+9+pbdY53UPtqwyZzJ18A==" saltValue="Mh8FmeQ5sRywZ03BJmNXR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MU1V0tNNLuQPmH6HhSHLwnRhZ58d42anJm7Xyh9L7w6g7o7bEWCLDb8YEMBeli4VRA0EPT8JCyBo3c/IUwOkg==" saltValue="OzugApIJuaXVljtGVMEqg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5ghvG7V1xDd74blhKVFqJmov3J41ETiTztBieRfvhYrtLBLRq834Kuba3zY5OZQlo1hDBuS+OLr7LsmVjXv/QQ==" saltValue="3HuPlY/aXV9pgYeS0RNDX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Sioj0h/YCxiT7ZFIdaY0s8cM5Nd2ackEzlgDsSE2HxCivb3zqiNttGNy+FJGSjFezkaKP5u8IPmz+fbf7V19zw==" saltValue="FQd4pWKsARdKdoCaQ+HB2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enAoeTAUg7sr8YMqzUix05V8TTw6+zEWzFBIJ4GB4ymxi+2izPhWya8He4pa7KvE+0nJbhx58Q38F3mUxCkaw==" saltValue="qaOHQbO8Ffq9uIbVouT8c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rmbaplIeg0GUPxhCSk/8IaOBC4RBqweUtA2cp0iq0sW2IKAD03DQGIu3l3cwcSpgBUrXF8GvOWaOkjDL+BhvQ==" saltValue="Bz5JTglkXMWDYA0T3Jjl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PZfQRWHcM/E1an/CJeYsFQvhpO2n6nU0SdXhAJh1g+F6WI46RlL+8Rn124AXZWGE7O7kzRZCCUPOp0bM75Elw==" saltValue="xa6F96yg1Y2JkxYdZJGp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XGjnexel94+w1d2dw8PnD3QfTnnJJPzjMH2HxF6i6xovA998VNTiFQqq3xdFB1xox81X0q5Js++mL6YZesRFng==" saltValue="QJ6un/rLyardiy7dqFB1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f1qjAXRFljggnmjA27LvOVZzVGCKbRFrmt060E4i+U2VF13eEgNX4DZ/uqjo7wp1vamXhkG+oqlXG9nWsKeN9Q==" saltValue="Idp4CtgGUgfRAUlcXz22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1fxJBZX4rQSm9VQs/bYOwSk6Px8mh8HJN9SGZxuNUxA9WfODJsvwBfjWdD0TUU2YncgksJHrWBEouHUrhOSezg==" saltValue="CWdI8ziD9aGK2VB7K6NL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+NhlgcFkvAj3Vu+P1/c8Fwo2C7J2jAF19Jm6dNPIJ5e1w6it8u7HCeVQyE1x93MmB4m2iWNvFkHrcMQxSD2MwQ==" saltValue="GdsUAsLzrmvg5i0SMTyA1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0.1061043049026611</v>
      </c>
      <c r="G18" s="90">
        <f>MIN(MAX(1-0.89/(1-frac_sam_12_23months+(frac_sam_12_23months*0.89)),0),1)</f>
        <v>0.10672753483027453</v>
      </c>
      <c r="H18" s="90">
        <f>MIN(MAX(1-0.89/(1-frac_sam_24_59months+(frac_sam_24_59months*0.89)),0),1)</f>
        <v>0.10792624649961502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0.10159302095390743</v>
      </c>
      <c r="G20" s="90">
        <f>MIN(MAX(1-0.89/(1-frac_mam_12_23months+(frac_mam_12_23months*0.89)),0),1)</f>
        <v>0.10192091694100414</v>
      </c>
      <c r="H20" s="90">
        <f>MIN(MAX(1-0.89/(1-frac_mam_24_59months+(frac_mam_24_59months*0.89)),0),1)</f>
        <v>0.10391137176824317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9.6076147076843421E-3</v>
      </c>
      <c r="G73" s="90">
        <f>MIN(MAX(1-0.99/(1-frac_sam_12_23months+(frac_sam_12_23months*0.99)),0),1)</f>
        <v>9.6701790355624428E-3</v>
      </c>
      <c r="H73" s="90">
        <f>MIN(MAX(1-0.99/(1-frac_sam_24_59months+(frac_sam_24_59months*0.99)),0),1)</f>
        <v>9.7907378565519343E-3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9.1570943458723075E-3</v>
      </c>
      <c r="G75" s="90">
        <f>MIN(MAX(1-0.99/(1-frac_mam_12_23months+(frac_mam_12_23months*0.99)),0),1)</f>
        <v>9.1897009707044841E-3</v>
      </c>
      <c r="H75" s="90">
        <f>MIN(MAX(1-0.99/(1-frac_mam_24_59months+(frac_mam_24_59months*0.99)),0),1)</f>
        <v>9.3881015599317497E-3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0.19361030108005861</v>
      </c>
      <c r="G128" s="90">
        <f>MIN(MAX(1-0.8/(1-frac_sam_12_23months+(frac_sam_12_23months*0.8)),0),1)</f>
        <v>0.19463560409556757</v>
      </c>
      <c r="H128" s="90">
        <f>MIN(MAX(1-0.8/(1-frac_sam_24_59months+(frac_sam_24_59months*0.8)),0),1)</f>
        <v>0.1966043481398837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0.18615328435422862</v>
      </c>
      <c r="G130" s="90">
        <f>MIN(MAX(1-0.8/(1-frac_mam_12_23months+(frac_mam_12_23months*0.8)),0),1)</f>
        <v>0.18669738659742963</v>
      </c>
      <c r="H130" s="90">
        <f>MIN(MAX(1-0.8/(1-frac_mam_24_59months+(frac_mam_24_59months*0.8)),0),1)</f>
        <v>0.18999321757816412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oy0kXkv/Gauw/lNixoEqT8j4Ffu9gVh46dkIshiHaQ/hirDhK4GwXQ/QnCOHHEG990Pu72K3PIsFTbKQQ9/xA==" saltValue="eH962aI5O1efYS86+CQC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CVfoVaAfB0qQBPkSjKHw2oSHxhXoRQBYimom+pYM2T/MC7V8nmUnN7ubRhtGqhcsnee4tVV3zTF9zIKT3qbBgA==" saltValue="1aYj40VvGgcAZ2wL2a7z4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2024-08-06T07:44:56Z</dcterms:modified>
</cp:coreProperties>
</file>