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76A4A6BF-3CEF-4C92-8185-AF8405D52B0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A36" i="2"/>
  <c r="A34" i="2"/>
  <c r="A31" i="2"/>
  <c r="A24" i="2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11" i="2" l="1"/>
  <c r="A26" i="2"/>
  <c r="I6" i="2"/>
  <c r="I12" i="2"/>
  <c r="A35" i="2"/>
  <c r="I7" i="2"/>
  <c r="I13" i="2"/>
  <c r="A37" i="2"/>
  <c r="I38" i="2"/>
  <c r="A19" i="2"/>
  <c r="A22" i="2"/>
  <c r="I3" i="2"/>
  <c r="I9" i="2"/>
  <c r="A23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<sst xmlns="http://schemas.openxmlformats.org/spreadsheetml/2006/main" count="2169" uniqueCount="373">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</sst>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22097070.5</v>
      </c>
    </row>
    <row r="8" spans="1:3" ht="15" customHeight="1" x14ac:dyDescent="0.25">
      <c r="B8" s="5" t="s">
        <v>63</v>
      </c>
      <c r="C8" s="44">
        <v>9.5000000000000001E-2</v>
      </c>
    </row>
    <row r="9" spans="1:3" ht="15" customHeight="1" x14ac:dyDescent="0.25">
      <c r="B9" s="5" t="s">
        <v>62</v>
      </c>
      <c r="C9" s="45">
        <v>0.10879999999999999</v>
      </c>
    </row>
    <row r="10" spans="1:3" ht="15" customHeight="1" x14ac:dyDescent="0.25">
      <c r="B10" s="5" t="s">
        <v>75</v>
      </c>
      <c r="C10" s="45">
        <v>0.79884739999999999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0.1095</v>
      </c>
    </row>
    <row r="24" spans="1:3" ht="15" customHeight="1" x14ac:dyDescent="0.25">
      <c r="B24" s="15" t="s">
        <v>65</v>
      </c>
      <c r="C24" s="45">
        <v>0.52049999999999996</v>
      </c>
    </row>
    <row r="25" spans="1:3" ht="15" customHeight="1" x14ac:dyDescent="0.25">
      <c r="B25" s="15" t="s">
        <v>66</v>
      </c>
      <c r="C25" s="45">
        <v>0.32290000000000002</v>
      </c>
    </row>
    <row r="26" spans="1:3" ht="15" customHeight="1" x14ac:dyDescent="0.25">
      <c r="B26" s="15" t="s">
        <v>67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11.326549999999999</v>
      </c>
    </row>
    <row r="38" spans="1:5" ht="15" customHeight="1" x14ac:dyDescent="0.25">
      <c r="B38" s="11" t="s">
        <v>54</v>
      </c>
      <c r="C38" s="43">
        <v>18.882359999999998</v>
      </c>
      <c r="D38" s="12"/>
      <c r="E38" s="13"/>
    </row>
    <row r="39" spans="1:5" ht="15" customHeight="1" x14ac:dyDescent="0.25">
      <c r="B39" s="11" t="s">
        <v>80</v>
      </c>
      <c r="C39" s="43">
        <v>22.173410000000001</v>
      </c>
      <c r="D39" s="12"/>
      <c r="E39" s="12"/>
    </row>
    <row r="40" spans="1:5" ht="15" customHeight="1" x14ac:dyDescent="0.25">
      <c r="B40" s="11" t="s">
        <v>55</v>
      </c>
      <c r="C40" s="98">
        <v>1.73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78</v>
      </c>
      <c r="C47" s="45">
        <v>7.5150599999999998E-2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2.1579999999999999</v>
      </c>
      <c r="D51" s="12"/>
    </row>
    <row r="52" spans="1:4" ht="15" customHeight="1" x14ac:dyDescent="0.25">
      <c r="B52" s="11" t="s">
        <v>32</v>
      </c>
      <c r="C52" s="98">
        <v>2.1579999999999999</v>
      </c>
    </row>
    <row r="53" spans="1:4" ht="15.75" customHeight="1" x14ac:dyDescent="0.25">
      <c r="B53" s="11" t="s">
        <v>35</v>
      </c>
      <c r="C53" s="98">
        <v>4.992</v>
      </c>
    </row>
    <row r="54" spans="1:4" ht="15.75" customHeight="1" x14ac:dyDescent="0.25">
      <c r="B54" s="11" t="s">
        <v>33</v>
      </c>
      <c r="C54" s="98">
        <v>5.1480000000000006</v>
      </c>
    </row>
    <row r="55" spans="1:4" ht="15.75" customHeight="1" x14ac:dyDescent="0.25">
      <c r="B55" s="11" t="s">
        <v>34</v>
      </c>
      <c r="C55" s="98">
        <v>3.1720000000000002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0.58243899999999993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9.9341861690000005E-2</v>
      </c>
    </row>
    <row r="63" spans="1:4" ht="15.75" customHeight="1" x14ac:dyDescent="0.3">
      <c r="A63" s="4"/>
    </row>
  </sheetData>
  <sheetProtection algorithmName="SHA-512" hashValue="ygP6rOr78EqMQ1qpI+Jhx2rVaUbLrEmmrDCu3k1cSQfXcYTP1BpLafBJHmHIiRRk2/ifEzHxbLMKYYu6/3Eneg==" saltValue="nlTf+adp66ij6PFC6JDi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le0U2OI4vkW7uBGqWJzLty39QrZqhwV2XykemwiA+6y7HIsjIhl7v4n7v7kJwVKJJFaaIyVhFDJ5PEONOww9Q==" saltValue="pzZkzKcf2H4MeB41OJsP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1.738200173820019E-3</v>
      </c>
    </row>
    <row r="4" spans="1:8" ht="15.75" customHeight="1" x14ac:dyDescent="0.25">
      <c r="B4" s="19" t="s">
        <v>116</v>
      </c>
      <c r="C4" s="99">
        <v>5.6959305695930607E-2</v>
      </c>
    </row>
    <row r="5" spans="1:8" ht="15.75" customHeight="1" x14ac:dyDescent="0.25">
      <c r="B5" s="19" t="s">
        <v>114</v>
      </c>
      <c r="C5" s="99">
        <v>3.7975303797530502E-2</v>
      </c>
    </row>
    <row r="6" spans="1:8" ht="15.75" customHeight="1" x14ac:dyDescent="0.25">
      <c r="B6" s="19" t="s">
        <v>110</v>
      </c>
      <c r="C6" s="99">
        <v>0.1868385186838521</v>
      </c>
    </row>
    <row r="7" spans="1:8" ht="15.75" customHeight="1" x14ac:dyDescent="0.25">
      <c r="B7" s="19" t="s">
        <v>115</v>
      </c>
      <c r="C7" s="99">
        <v>0.44315674431567392</v>
      </c>
    </row>
    <row r="8" spans="1:8" ht="15.75" customHeight="1" x14ac:dyDescent="0.25">
      <c r="B8" s="19" t="s">
        <v>117</v>
      </c>
      <c r="C8" s="99">
        <v>4.4720004472000513E-4</v>
      </c>
    </row>
    <row r="9" spans="1:8" ht="15.75" customHeight="1" x14ac:dyDescent="0.25">
      <c r="B9" s="19" t="s">
        <v>111</v>
      </c>
      <c r="C9" s="99">
        <v>0.17596981759698199</v>
      </c>
    </row>
    <row r="10" spans="1:8" ht="15.75" customHeight="1" x14ac:dyDescent="0.25">
      <c r="B10" s="19" t="s">
        <v>113</v>
      </c>
      <c r="C10" s="99">
        <v>9.691490969149115E-2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121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2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109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3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120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98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107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118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4.7996967000000001E-2</v>
      </c>
    </row>
    <row r="27" spans="1:8" ht="15.75" customHeight="1" x14ac:dyDescent="0.25">
      <c r="B27" s="19" t="s">
        <v>108</v>
      </c>
      <c r="C27" s="99">
        <v>1.9231089E-2</v>
      </c>
    </row>
    <row r="28" spans="1:8" ht="15.75" customHeight="1" x14ac:dyDescent="0.25">
      <c r="B28" s="19" t="s">
        <v>122</v>
      </c>
      <c r="C28" s="99">
        <v>0.23147800700000001</v>
      </c>
    </row>
    <row r="29" spans="1:8" ht="15.75" customHeight="1" x14ac:dyDescent="0.25">
      <c r="B29" s="19" t="s">
        <v>105</v>
      </c>
      <c r="C29" s="99">
        <v>0.13894083700000001</v>
      </c>
    </row>
    <row r="30" spans="1:8" ht="15.75" customHeight="1" x14ac:dyDescent="0.25">
      <c r="B30" s="19" t="s">
        <v>4</v>
      </c>
      <c r="C30" s="99">
        <v>5.0303380000000002E-2</v>
      </c>
    </row>
    <row r="31" spans="1:8" ht="15.75" customHeight="1" x14ac:dyDescent="0.25">
      <c r="B31" s="19" t="s">
        <v>99</v>
      </c>
      <c r="C31" s="99">
        <v>7.028529E-2</v>
      </c>
    </row>
    <row r="32" spans="1:8" ht="15.75" customHeight="1" x14ac:dyDescent="0.25">
      <c r="B32" s="19" t="s">
        <v>104</v>
      </c>
      <c r="C32" s="99">
        <v>0.146633282</v>
      </c>
    </row>
    <row r="33" spans="2:3" ht="15.75" customHeight="1" x14ac:dyDescent="0.25">
      <c r="B33" s="19" t="s">
        <v>119</v>
      </c>
      <c r="C33" s="99">
        <v>0.12525921100000001</v>
      </c>
    </row>
    <row r="34" spans="2:3" ht="15.75" customHeight="1" x14ac:dyDescent="0.25">
      <c r="B34" s="19" t="s">
        <v>106</v>
      </c>
      <c r="C34" s="99">
        <v>0.169871936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VW0ZinGkaqh1dU+cdDtETc9bbe5wVrkCIrpIEyTcOfZYXqMnVnkVYbwqUxgVLkaWKlWDYnDfC5nKYYUdJRy48A==" saltValue="5SVoX304paJuzlMhoSJL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PO54M4iedM65bSLZUUR5+N3Ba0SRRHMqh4mXVrO/IDxpFOlhKJRBqM00VMcipd92VjVzmw9DzO7G27sBcFQYA==" saltValue="7VXoULSDDFiEbjXDptBH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3lZ0+/8w3ktmEGo4nGChikVCP3QSKRUmeLCdf8H+5L/A0IJXtXhNxF4RHnra6UPiqqNE+8lkDV2ksoQcHGJI4A==" saltValue="0vTCkqKVh/hupKhsKCYHg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E8WSptSfEUqoFaDjUTwGKQ4QvgLmprcDb09FCXFepiGa6b2dArGMPo2v/2ELcr3xwYCtj+b9y803LY1Z4VHQQ==" saltValue="bPx8rbs5SwAvSFBKRYOx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4787.9993077192103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0.58558999999999994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0.54620999999999997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1.9649920343575121E-2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97552.439920000004</v>
      </c>
      <c r="C22" s="107">
        <v>97242.264479999998</v>
      </c>
      <c r="D22" s="107">
        <v>97045.4516</v>
      </c>
      <c r="E22" s="107">
        <v>96658.283670000004</v>
      </c>
      <c r="F22" s="107">
        <v>96160.800499999998</v>
      </c>
      <c r="G22" s="107">
        <v>95643.804409999997</v>
      </c>
      <c r="H22" s="107">
        <v>95018.195890000003</v>
      </c>
      <c r="I22" s="107">
        <v>94132.193899999998</v>
      </c>
      <c r="J22" s="107">
        <v>92778.891050000006</v>
      </c>
      <c r="K22" s="107">
        <v>90662.465649999998</v>
      </c>
      <c r="L22" s="107">
        <v>87359.70392</v>
      </c>
      <c r="M22" s="107">
        <v>82408.556769999996</v>
      </c>
      <c r="N22" s="107">
        <v>75040.667100000006</v>
      </c>
      <c r="O22" s="107">
        <v>64735.990769999997</v>
      </c>
    </row>
  </sheetData>
  <sheetProtection algorithmName="SHA-512" hashValue="NExZVgZRHRiQaziQLYs5G8xHk9ADl4+32lqOmUfLeXyMnUUtUyM9pVSyfR27dhyIkEci6q2erbHN/puylpSpOA==" saltValue="prgnOotG4kEsQ+OgZnc/o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22+UCfn2T8ftS91pfzNN7hQt/xFXVbgHhIN1oxJxtrshqea7PDTlTxdzevV44/uVPESrxb7cmhcQ1X3FY3013Q==" saltValue="Yc4jBElJJsLYxUzjsVjN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EJsQzGbzrdufMMxgDGmoZKJvW+f95gm/97tTg9g0OFsh3T64ugIT5tc37sDcq6USybRR0fRt+0mc6sE/+6lhA==" saltValue="2tfV4toQMKG/+XCGswlV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39.799999999999997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39.799999999999997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1.1399999999999999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1.2116048011525209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0.44054339999999997</v>
      </c>
      <c r="C10" s="96">
        <v>0.95</v>
      </c>
      <c r="D10" s="56">
        <v>12.930406468022619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12.930406468022619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12.930406468022619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12.930406468022619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0.44054339999999997</v>
      </c>
      <c r="C14" s="96">
        <v>0.95</v>
      </c>
      <c r="D14" s="56">
        <v>12.930406468022619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12.930406468022619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1.73413E-2</v>
      </c>
      <c r="C16" s="96">
        <v>0.95</v>
      </c>
      <c r="D16" s="56">
        <v>0.64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0.17784249999999999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0.4996447</v>
      </c>
      <c r="C18" s="96">
        <v>0.95</v>
      </c>
      <c r="D18" s="56">
        <v>8.25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0.4996447</v>
      </c>
      <c r="C19" s="96">
        <v>0.95</v>
      </c>
      <c r="D19" s="56">
        <v>8.2480771138610329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9.15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1.1399999999999999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2.2612899999999998E-2</v>
      </c>
      <c r="C23" s="96">
        <v>0.95</v>
      </c>
      <c r="D23" s="56">
        <v>4.2282295523678748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0.61685007638513001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18.489999999999998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0.36092259999999998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0.53925319999999999</v>
      </c>
      <c r="C29" s="96">
        <v>0.95</v>
      </c>
      <c r="D29" s="56">
        <v>46.280465114316641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0.80400000000000005</v>
      </c>
      <c r="C32" s="96">
        <v>0.95</v>
      </c>
      <c r="D32" s="56">
        <v>1.36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0.7898522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0.45606069999999999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1.5928999999999999E-2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0.22960410000000001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0.17799999999999999</v>
      </c>
      <c r="C38" s="96">
        <v>0.95</v>
      </c>
      <c r="D38" s="56">
        <v>4.4400000000000004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fH/WIszj/C99VXeOFQKEQDSxbEwV6xLu6Dqkk5ds8EUZ3F4fnFemm3LAmJhNAjZeJHSwnoxnIHd54R1EX/Etvg==" saltValue="UeQM9GJ6qgD3YuNy8Vgb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evT4zTpdpnzb1P/NQivl4hzzd8jl7ZuYIMBgEzAjrTXu17bDcitpdoUjyBKmWWjGou0oYbgyTi9wQlG6tX5bw==" saltValue="CUxBe9FXSphBPbpw+tOY1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jwiSKf/UW9VSnMNEF0SS10e0oRJECo6WPtv61TAF2qTiOj6fwCRTapCKkscwNl2ridGkkF84k2gW0C2abePeQ==" saltValue="b3rTX/xojTJWWaoJrtZ7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2.1579999999999999</v>
      </c>
      <c r="C2" s="21">
        <f>'Entradas de población-año base'!C52</f>
        <v>2.1579999999999999</v>
      </c>
      <c r="D2" s="21">
        <f>'Entradas de población-año base'!C53</f>
        <v>4.992</v>
      </c>
      <c r="E2" s="21">
        <f>'Entradas de población-año base'!C54</f>
        <v>5.1480000000000006</v>
      </c>
      <c r="F2" s="21">
        <f>'Entradas de población-año base'!C55</f>
        <v>3.1720000000000002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eFL0vsYF4NRQr8wiXY26loSoQSECkmP493kwDWbayM2hyuuKOqlGLDTQQeAzOplu5Mweijmscg6Cz1bcN8f+DA==" saltValue="BzeRo92Bl4GEbGh6TPcJL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9.5000000000000001E-2</v>
      </c>
      <c r="F2" s="60">
        <f>food_insecure</f>
        <v>9.5000000000000001E-2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9.5000000000000001E-2</v>
      </c>
      <c r="F5" s="60">
        <f>food_insecure</f>
        <v>9.5000000000000001E-2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4.6756666666666676E-2</v>
      </c>
      <c r="D7" s="60">
        <f>diarrhoea_1_5mo*frac_diarrhea_severe</f>
        <v>4.6756666666666676E-2</v>
      </c>
      <c r="E7" s="60">
        <f>diarrhoea_6_11mo*frac_diarrhea_severe</f>
        <v>0.10816000000000002</v>
      </c>
      <c r="F7" s="60">
        <f>diarrhoea_12_23mo*frac_diarrhea_severe</f>
        <v>0.11154000000000003</v>
      </c>
      <c r="G7" s="60">
        <f>diarrhoea_24_59mo*frac_diarrhea_severe</f>
        <v>6.8726666666666686E-2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9.5000000000000001E-2</v>
      </c>
      <c r="F8" s="60">
        <f>food_insecure</f>
        <v>9.5000000000000001E-2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9.5000000000000001E-2</v>
      </c>
      <c r="F9" s="60">
        <f>food_insecure</f>
        <v>9.5000000000000001E-2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4.6756666666666676E-2</v>
      </c>
      <c r="D12" s="60">
        <f>diarrhoea_1_5mo*frac_diarrhea_severe</f>
        <v>4.6756666666666676E-2</v>
      </c>
      <c r="E12" s="60">
        <f>diarrhoea_6_11mo*frac_diarrhea_severe</f>
        <v>0.10816000000000002</v>
      </c>
      <c r="F12" s="60">
        <f>diarrhoea_12_23mo*frac_diarrhea_severe</f>
        <v>0.11154000000000003</v>
      </c>
      <c r="G12" s="60">
        <f>diarrhoea_24_59mo*frac_diarrhea_severe</f>
        <v>6.8726666666666686E-2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9.5000000000000001E-2</v>
      </c>
      <c r="I15" s="60">
        <f t="shared" si="0"/>
        <v>9.5000000000000001E-2</v>
      </c>
      <c r="J15" s="60">
        <f t="shared" si="0"/>
        <v>9.5000000000000001E-2</v>
      </c>
      <c r="K15" s="60">
        <f t="shared" si="0"/>
        <v>9.5000000000000001E-2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9.5000000000000001E-2</v>
      </c>
      <c r="I16" s="60">
        <f t="shared" si="0"/>
        <v>9.5000000000000001E-2</v>
      </c>
      <c r="J16" s="60">
        <f t="shared" si="0"/>
        <v>9.5000000000000001E-2</v>
      </c>
      <c r="K16" s="60">
        <f t="shared" si="0"/>
        <v>9.5000000000000001E-2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0.106</v>
      </c>
      <c r="M24" s="60">
        <f>famplan_unmet_need</f>
        <v>0.106</v>
      </c>
      <c r="N24" s="60">
        <f>famplan_unmet_need</f>
        <v>0.106</v>
      </c>
      <c r="O24" s="60">
        <f>famplan_unmet_need</f>
        <v>0.106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0.10257776837</v>
      </c>
      <c r="M25" s="60">
        <f>(1-food_insecure)*(0.49)+food_insecure*(0.7)</f>
        <v>0.50995000000000001</v>
      </c>
      <c r="N25" s="60">
        <f>(1-food_insecure)*(0.49)+food_insecure*(0.7)</f>
        <v>0.50995000000000001</v>
      </c>
      <c r="O25" s="60">
        <f>(1-food_insecure)*(0.49)+food_insecure*(0.7)</f>
        <v>0.50995000000000001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4.3961900730000003E-2</v>
      </c>
      <c r="M26" s="60">
        <f>(1-food_insecure)*(0.21)+food_insecure*(0.3)</f>
        <v>0.21854999999999999</v>
      </c>
      <c r="N26" s="60">
        <f>(1-food_insecure)*(0.21)+food_insecure*(0.3)</f>
        <v>0.21854999999999999</v>
      </c>
      <c r="O26" s="60">
        <f>(1-food_insecure)*(0.21)+food_insecure*(0.3)</f>
        <v>0.21854999999999999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5.4612930900000009E-2</v>
      </c>
      <c r="M27" s="60">
        <f>(1-food_insecure)*(0.3)</f>
        <v>0.27150000000000002</v>
      </c>
      <c r="N27" s="60">
        <f>(1-food_insecure)*(0.3)</f>
        <v>0.27150000000000002</v>
      </c>
      <c r="O27" s="60">
        <f>(1-food_insecure)*(0.3)</f>
        <v>0.27150000000000002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0.79884739999999999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mDs43YX43cX3278Ve0iEYK4c9JI00d17tS8Jm66BHXgK94oVKXBlJyzxim0iy6LOwvFLA8JDNpTE6YyVXAO3g==" saltValue="Ba6yrZWhuIQfaakYZ9EQc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bTVxVcxs5a5sIGGVr/ZIx1x4m9lZRKCqoPCCFtNoFiTQzQZaMG3PPLYYvhC3ViMyB8k2aV92mYzId22+Pze6A==" saltValue="DdhbzqLBLaJtVph+DvYp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Eewi4AYyVD3D5Xys76oPg91aVEGx4kDU24o5Qc2FHL7QtXV6TZM2BJmTt7r2QnRZP0jCrYg9iHDEWJSmt54cA==" saltValue="f0vx0bYM4AEVJmdR/3js0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6oJzUDKwaeg50jDLqeDhqMn74tU9ZdSmWT3UGkVeF5MAepZj3HQxqiPHAaADIFHutQl/K1ltyrExU567a7MVA==" saltValue="2nOJlHubxBN8UuHMtjO0D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1jkTSdIulz+2P+bATi7EMBbQsNbRLOa/3nuYcB2MwAmNB7NAi5OAAw7vAkZfpPFep1WmrSfuT9+MePxM4MtQBg==" saltValue="W+LLUIAkH4b1MF9Mv27S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IKmU3bfLI3tA409pm0tIUhmaoh/LPccKIlRYKbwQ7skQ05nsADGIlnKQcltdxhGxSEbdp81jlECk2l2SdjlduQ==" saltValue="pesqzyjsQt0LyB8kEZ4w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wNdr5/zHL5jBkQOOg8tnEN2181Tg2Se1IWlXFhF/W9Kd2h/WEjU+oMXg2fyzrQRnoALRXaEkUHZFQ0arZL80Q==" saltValue="ljjbneTBbput2EYevsK/D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BeYrNfwZFxI8mTFnIK72yW3ZPRHorZQLkEnfMjBe+FRp7XgWxOGXQn0wqIgEQu8zrnJWDSueYEcHRacmdGakw==" saltValue="WSuHxKshW6orU49gxGRx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tMEFV7qI//YANidPE6WWHwWU4t8Q/X+Eky4bOytejqHTLUq+x04HTdv2su/uzJL1LwPwqLsRVtkhRckKw83Hg==" saltValue="jWY0YIiRwkz9a0t1P0rJ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YyKk3Wtx486t4xt2l3bue2e7o72nfP/US+rL7Tlje6lqIGwWIik1oc/gi+ClB4z75eIAqm1PL8C/DF5kTCUqA==" saltValue="Wffu1Sp8zA7r2Kr+X7F8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gZOYgDZgX1r1dnhMC3ROHt573LCmOS5JlzcfQaP5GYfm7tI6l4JdF4FURV2FDREd2N96tiY68HQ1d/JzvZZOA==" saltValue="kCWkF0kItAdN+NAvjuqf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JqwI7dlEkc7pzhtWUDvVjpecL12zRUF48bfwK3qDSf99N3OJfuZaTOlUH/D5tTgjO2ctV1xND8acLsu6lYUbg==" saltValue="xgy5d+tnJtF7StDICFLb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iip/xCX+1TnFNTerTb+hkVI+8ZxP5uUvj9hzWj6DhU08yF7/cBYoSbaIRLvByXkRNngBI93rhbhwNKmp6WEqQ==" saltValue="YqFXxdBADoMfZ1R8H6/f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r5rckTYFmM1vwrALA7mcHGrCYB+OVBa5mshlLPC8SjfH5pbYCdN7YHqwYnjGOGVJjW8H6xt6PVkOlvbj+UfQg==" saltValue="fx0pCts+HUSILT1pJZ/7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ou5P35oFT/RG9uXJTB36hpmcxVb2qcGspkvORgAcAkxVAqAbYCR06d0cqg+SOqox8rYYE+Bkotz0uThEnPQkQ==" saltValue="b6IW9dkUAUQQXRu/mP9K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2026-04-29T02:27:59Z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