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736C31F5-F394-47FC-BE0E-75BFC97D8B86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24" i="2"/>
  <c r="A22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A36" i="2"/>
  <c r="I4" i="2"/>
  <c r="I8" i="2"/>
  <c r="I12" i="2"/>
  <c r="A25" i="2"/>
  <c r="A31" i="2"/>
  <c r="A34" i="2"/>
  <c r="A40" i="2"/>
  <c r="I2" i="2"/>
  <c r="I6" i="2"/>
  <c r="A19" i="2"/>
  <c r="A35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<sst xmlns="http://schemas.openxmlformats.org/spreadsheetml/2006/main" count="2159" uniqueCount="372">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</sst>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22097070.5</v>
      </c>
    </row>
    <row r="8" spans="1:3" ht="15" customHeight="1" x14ac:dyDescent="0.25">
      <c r="B8" s="5" t="s">
        <v>63</v>
      </c>
      <c r="C8" s="44">
        <v>9.5000000000000001E-2</v>
      </c>
    </row>
    <row r="9" spans="1:3" ht="15" customHeight="1" x14ac:dyDescent="0.25">
      <c r="B9" s="5" t="s">
        <v>62</v>
      </c>
      <c r="C9" s="45">
        <v>0.10879999999999999</v>
      </c>
    </row>
    <row r="10" spans="1:3" ht="15" customHeight="1" x14ac:dyDescent="0.25">
      <c r="B10" s="5" t="s">
        <v>75</v>
      </c>
      <c r="C10" s="45">
        <v>0.79884739999999999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0.106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0.1095</v>
      </c>
    </row>
    <row r="24" spans="1:3" ht="15" customHeight="1" x14ac:dyDescent="0.25">
      <c r="B24" s="15" t="s">
        <v>65</v>
      </c>
      <c r="C24" s="45">
        <v>0.52049999999999996</v>
      </c>
    </row>
    <row r="25" spans="1:3" ht="15" customHeight="1" x14ac:dyDescent="0.25">
      <c r="B25" s="15" t="s">
        <v>66</v>
      </c>
      <c r="C25" s="45">
        <v>0.32290000000000002</v>
      </c>
    </row>
    <row r="26" spans="1:3" ht="15" customHeight="1" x14ac:dyDescent="0.25">
      <c r="B26" s="15" t="s">
        <v>67</v>
      </c>
      <c r="C26" s="45">
        <v>4.7100000000000003E-2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9">
        <v>2.3858720907234902E-2</v>
      </c>
    </row>
    <row r="31" spans="1:3" ht="14.25" customHeight="1" x14ac:dyDescent="0.25">
      <c r="B31" s="25" t="s">
        <v>29</v>
      </c>
      <c r="C31" s="99">
        <v>3.4342930038455802E-2</v>
      </c>
    </row>
    <row r="32" spans="1:3" ht="14.25" customHeight="1" x14ac:dyDescent="0.25">
      <c r="B32" s="25" t="s">
        <v>30</v>
      </c>
      <c r="C32" s="99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11.326549999999999</v>
      </c>
    </row>
    <row r="38" spans="1:5" ht="15" customHeight="1" x14ac:dyDescent="0.25">
      <c r="B38" s="11" t="s">
        <v>54</v>
      </c>
      <c r="C38" s="43">
        <v>18.882359999999998</v>
      </c>
      <c r="D38" s="12"/>
      <c r="E38" s="13"/>
    </row>
    <row r="39" spans="1:5" ht="15" customHeight="1" x14ac:dyDescent="0.25">
      <c r="B39" s="11" t="s">
        <v>80</v>
      </c>
      <c r="C39" s="43">
        <v>22.173410000000001</v>
      </c>
      <c r="D39" s="12"/>
      <c r="E39" s="12"/>
    </row>
    <row r="40" spans="1:5" ht="15" customHeight="1" x14ac:dyDescent="0.25">
      <c r="B40" s="11" t="s">
        <v>55</v>
      </c>
      <c r="C40" s="100">
        <v>1.73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6.1523000000000003E-3</v>
      </c>
      <c r="D45" s="12"/>
    </row>
    <row r="46" spans="1:5" ht="15.75" customHeight="1" x14ac:dyDescent="0.25">
      <c r="B46" s="11" t="s">
        <v>70</v>
      </c>
      <c r="C46" s="45">
        <v>6.6105700000000003E-2</v>
      </c>
      <c r="D46" s="12"/>
    </row>
    <row r="47" spans="1:5" ht="15.75" customHeight="1" x14ac:dyDescent="0.25">
      <c r="B47" s="11" t="s">
        <v>78</v>
      </c>
      <c r="C47" s="45">
        <v>7.5150599999999998E-2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2.1579999999999999</v>
      </c>
      <c r="D51" s="12"/>
    </row>
    <row r="52" spans="1:4" ht="15" customHeight="1" x14ac:dyDescent="0.25">
      <c r="B52" s="11" t="s">
        <v>32</v>
      </c>
      <c r="C52" s="100">
        <v>2.1579999999999999</v>
      </c>
    </row>
    <row r="53" spans="1:4" ht="15.75" customHeight="1" x14ac:dyDescent="0.25">
      <c r="B53" s="11" t="s">
        <v>35</v>
      </c>
      <c r="C53" s="100">
        <v>4.992</v>
      </c>
    </row>
    <row r="54" spans="1:4" ht="15.75" customHeight="1" x14ac:dyDescent="0.25">
      <c r="B54" s="11" t="s">
        <v>33</v>
      </c>
      <c r="C54" s="100">
        <v>5.1480000000000006</v>
      </c>
    </row>
    <row r="55" spans="1:4" ht="15.75" customHeight="1" x14ac:dyDescent="0.25">
      <c r="B55" s="11" t="s">
        <v>34</v>
      </c>
      <c r="C55" s="100">
        <v>3.1720000000000002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0.58243899999999993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9.9341861690000005E-2</v>
      </c>
    </row>
    <row r="63" spans="1:4" ht="15.75" customHeight="1" x14ac:dyDescent="0.3">
      <c r="A63" s="4"/>
    </row>
  </sheetData>
  <sheetProtection algorithmName="SHA-512" hashValue="fjpibmrzRSxEH6lZHP0NP7C/U1rle6S4o/jPeIwbP4l3V7TJ7PyOD7enrynZAyMn6g6qTb6T7fCZF2eQboH7pg==" saltValue="yI9KBKvHH9Q+quCS8FKc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4413909</v>
      </c>
      <c r="C2" s="49">
        <v>13531383.5</v>
      </c>
      <c r="D2" s="49">
        <v>21194640</v>
      </c>
      <c r="E2" s="49">
        <v>20090027</v>
      </c>
      <c r="F2" s="49">
        <v>17425844.5</v>
      </c>
      <c r="G2" s="17">
        <f t="shared" ref="G2:G13" si="0">C2+D2+E2+F2</f>
        <v>72241895</v>
      </c>
      <c r="H2" s="17">
        <f t="shared" ref="H2:H13" si="1">(B2 + stillbirth*B2/(1000-stillbirth))/(1-abortion)</f>
        <v>5061723.7159139412</v>
      </c>
      <c r="I2" s="17">
        <f t="shared" ref="I2:I13" si="2">G2-H2</f>
        <v>67180171.284086064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4405993</v>
      </c>
      <c r="C3" s="50">
        <v>13681851.5</v>
      </c>
      <c r="D3" s="50">
        <v>21260619.5</v>
      </c>
      <c r="E3" s="50">
        <v>20100269</v>
      </c>
      <c r="F3" s="50">
        <v>17602044</v>
      </c>
      <c r="G3" s="17">
        <f t="shared" si="0"/>
        <v>72644784</v>
      </c>
      <c r="H3" s="17">
        <f t="shared" si="1"/>
        <v>5052645.9109716164</v>
      </c>
      <c r="I3" s="17">
        <f t="shared" si="2"/>
        <v>67592138.089028388</v>
      </c>
    </row>
    <row r="4" spans="1:9" ht="15.75" customHeight="1" x14ac:dyDescent="0.25">
      <c r="A4" s="5">
        <f t="shared" si="3"/>
        <v>2026</v>
      </c>
      <c r="B4" s="49">
        <v>4385581</v>
      </c>
      <c r="C4" s="50">
        <v>13821751.5</v>
      </c>
      <c r="D4" s="50">
        <v>21339711</v>
      </c>
      <c r="E4" s="50">
        <v>20179485.5</v>
      </c>
      <c r="F4" s="50">
        <v>17723929.5</v>
      </c>
      <c r="G4" s="17">
        <f t="shared" si="0"/>
        <v>73064877.5</v>
      </c>
      <c r="H4" s="17">
        <f t="shared" si="1"/>
        <v>5029238.1097484287</v>
      </c>
      <c r="I4" s="17">
        <f t="shared" si="2"/>
        <v>68035639.390251577</v>
      </c>
    </row>
    <row r="5" spans="1:9" ht="15.75" customHeight="1" x14ac:dyDescent="0.25">
      <c r="A5" s="5">
        <f t="shared" si="3"/>
        <v>2027</v>
      </c>
      <c r="B5" s="49">
        <v>4368297</v>
      </c>
      <c r="C5" s="50">
        <v>13892947</v>
      </c>
      <c r="D5" s="50">
        <v>21439209.5</v>
      </c>
      <c r="E5" s="50">
        <v>20296589</v>
      </c>
      <c r="F5" s="50">
        <v>17782391.5</v>
      </c>
      <c r="G5" s="17">
        <f t="shared" si="0"/>
        <v>73411137</v>
      </c>
      <c r="H5" s="17">
        <f t="shared" si="1"/>
        <v>5009417.3946621288</v>
      </c>
      <c r="I5" s="17">
        <f t="shared" si="2"/>
        <v>68401719.605337873</v>
      </c>
    </row>
    <row r="6" spans="1:9" ht="15.75" customHeight="1" x14ac:dyDescent="0.25">
      <c r="A6" s="5">
        <f t="shared" si="3"/>
        <v>2028</v>
      </c>
      <c r="B6" s="49">
        <v>4369549</v>
      </c>
      <c r="C6" s="50">
        <v>13897297</v>
      </c>
      <c r="D6" s="50">
        <v>21566558.5</v>
      </c>
      <c r="E6" s="50">
        <v>20406143.5</v>
      </c>
      <c r="F6" s="50">
        <v>17802962.5</v>
      </c>
      <c r="G6" s="17">
        <f t="shared" si="0"/>
        <v>73672961.5</v>
      </c>
      <c r="H6" s="17">
        <f t="shared" si="1"/>
        <v>5010853.1465302166</v>
      </c>
      <c r="I6" s="17">
        <f t="shared" si="2"/>
        <v>68662108.353469789</v>
      </c>
    </row>
    <row r="7" spans="1:9" ht="15.75" customHeight="1" x14ac:dyDescent="0.25">
      <c r="A7" s="5">
        <f t="shared" si="3"/>
        <v>2029</v>
      </c>
      <c r="B7" s="49">
        <v>4355716</v>
      </c>
      <c r="C7" s="50">
        <v>13870142</v>
      </c>
      <c r="D7" s="50">
        <v>21716677</v>
      </c>
      <c r="E7" s="50">
        <v>20491240.5</v>
      </c>
      <c r="F7" s="50">
        <v>17806009</v>
      </c>
      <c r="G7" s="17">
        <f t="shared" si="0"/>
        <v>73884068.5</v>
      </c>
      <c r="H7" s="17">
        <f t="shared" si="1"/>
        <v>4994989.9232145036</v>
      </c>
      <c r="I7" s="17">
        <f t="shared" si="2"/>
        <v>68889078.57678549</v>
      </c>
    </row>
    <row r="8" spans="1:9" ht="15.75" customHeight="1" x14ac:dyDescent="0.25">
      <c r="A8" s="5">
        <f t="shared" si="3"/>
        <v>2030</v>
      </c>
      <c r="B8" s="49">
        <v>4355673</v>
      </c>
      <c r="C8" s="50">
        <v>13810432</v>
      </c>
      <c r="D8" s="50">
        <v>21878565.5</v>
      </c>
      <c r="E8" s="50">
        <v>20576880</v>
      </c>
      <c r="F8" s="50">
        <v>17791838</v>
      </c>
      <c r="G8" s="17">
        <f t="shared" si="0"/>
        <v>74057715.5</v>
      </c>
      <c r="H8" s="17">
        <f t="shared" si="1"/>
        <v>4994940.6122477883</v>
      </c>
      <c r="I8" s="17">
        <f t="shared" si="2"/>
        <v>69062774.887752205</v>
      </c>
    </row>
    <row r="9" spans="1:9" ht="15.75" customHeight="1" x14ac:dyDescent="0.25">
      <c r="A9" s="5">
        <f t="shared" si="3"/>
        <v>2031</v>
      </c>
      <c r="B9" s="49">
        <v>4349314</v>
      </c>
      <c r="C9" s="50">
        <v>13687886</v>
      </c>
      <c r="D9" s="50">
        <v>22066583</v>
      </c>
      <c r="E9" s="50">
        <v>20658765</v>
      </c>
      <c r="F9" s="50">
        <v>17752274</v>
      </c>
      <c r="G9" s="17">
        <f t="shared" si="0"/>
        <v>74165508</v>
      </c>
      <c r="H9" s="17">
        <f t="shared" si="1"/>
        <v>4987648.3230072316</v>
      </c>
      <c r="I9" s="17">
        <f t="shared" si="2"/>
        <v>69177859.676992774</v>
      </c>
    </row>
    <row r="10" spans="1:9" ht="15.75" customHeight="1" x14ac:dyDescent="0.25">
      <c r="A10" s="5">
        <f t="shared" si="3"/>
        <v>2032</v>
      </c>
      <c r="B10" s="49">
        <v>4338037</v>
      </c>
      <c r="C10" s="50">
        <v>13508023.5</v>
      </c>
      <c r="D10" s="50">
        <v>22283005</v>
      </c>
      <c r="E10" s="50">
        <v>20732755.5</v>
      </c>
      <c r="F10" s="50">
        <v>17703089</v>
      </c>
      <c r="G10" s="17">
        <f t="shared" si="0"/>
        <v>74226873</v>
      </c>
      <c r="H10" s="17">
        <f t="shared" si="1"/>
        <v>4974716.2352944212</v>
      </c>
      <c r="I10" s="17">
        <f t="shared" si="2"/>
        <v>69252156.764705583</v>
      </c>
    </row>
    <row r="11" spans="1:9" ht="15.75" customHeight="1" x14ac:dyDescent="0.25">
      <c r="A11" s="5">
        <f t="shared" si="3"/>
        <v>2033</v>
      </c>
      <c r="B11" s="49">
        <v>4335980</v>
      </c>
      <c r="C11" s="50">
        <v>13334703.5</v>
      </c>
      <c r="D11" s="50">
        <v>22477306.5</v>
      </c>
      <c r="E11" s="50">
        <v>20807550.5</v>
      </c>
      <c r="F11" s="50">
        <v>17651414</v>
      </c>
      <c r="G11" s="17">
        <f t="shared" si="0"/>
        <v>74270974.5</v>
      </c>
      <c r="H11" s="17">
        <f t="shared" si="1"/>
        <v>4972357.3362587513</v>
      </c>
      <c r="I11" s="17">
        <f t="shared" si="2"/>
        <v>69298617.163741246</v>
      </c>
    </row>
    <row r="12" spans="1:9" ht="15.75" customHeight="1" x14ac:dyDescent="0.25">
      <c r="A12" s="5">
        <f t="shared" si="3"/>
        <v>2034</v>
      </c>
      <c r="B12" s="49">
        <v>4317816</v>
      </c>
      <c r="C12" s="50">
        <v>13185253.5</v>
      </c>
      <c r="D12" s="50">
        <v>22625969.5</v>
      </c>
      <c r="E12" s="50">
        <v>20873193</v>
      </c>
      <c r="F12" s="50">
        <v>17601010.5</v>
      </c>
      <c r="G12" s="17">
        <f t="shared" si="0"/>
        <v>74285426.5</v>
      </c>
      <c r="H12" s="17">
        <f t="shared" si="1"/>
        <v>4951527.4665047852</v>
      </c>
      <c r="I12" s="17">
        <f t="shared" si="2"/>
        <v>69333899.033495218</v>
      </c>
    </row>
    <row r="13" spans="1:9" ht="15.75" customHeight="1" x14ac:dyDescent="0.25">
      <c r="A13" s="5">
        <f t="shared" si="3"/>
        <v>2035</v>
      </c>
      <c r="B13" s="49">
        <v>4321233</v>
      </c>
      <c r="C13" s="50">
        <v>13051604.5</v>
      </c>
      <c r="D13" s="50">
        <v>22718540</v>
      </c>
      <c r="E13" s="50">
        <v>20943108.5</v>
      </c>
      <c r="F13" s="50">
        <v>17595961.5</v>
      </c>
      <c r="G13" s="17">
        <f t="shared" si="0"/>
        <v>74309214.5</v>
      </c>
      <c r="H13" s="17">
        <f t="shared" si="1"/>
        <v>4955445.968208666</v>
      </c>
      <c r="I13" s="17">
        <f t="shared" si="2"/>
        <v>69353768.531791329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6pRZ49vuwNlhI8v2kp81qviNT6h7gvZlWOvtWLQl1TkMf9y1g9XpVvw22ISJC1ogavr57s9p2YrnlYQ+xy6bEQ==" saltValue="Xudb3eb/iDfcojmc0KLrE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1.738200173820019E-3</v>
      </c>
    </row>
    <row r="4" spans="1:8" ht="15.75" customHeight="1" x14ac:dyDescent="0.25">
      <c r="B4" s="19" t="s">
        <v>116</v>
      </c>
      <c r="C4" s="101">
        <v>5.6959305695930607E-2</v>
      </c>
    </row>
    <row r="5" spans="1:8" ht="15.75" customHeight="1" x14ac:dyDescent="0.25">
      <c r="B5" s="19" t="s">
        <v>114</v>
      </c>
      <c r="C5" s="101">
        <v>3.7975303797530502E-2</v>
      </c>
    </row>
    <row r="6" spans="1:8" ht="15.75" customHeight="1" x14ac:dyDescent="0.25">
      <c r="B6" s="19" t="s">
        <v>110</v>
      </c>
      <c r="C6" s="101">
        <v>0.1868385186838521</v>
      </c>
    </row>
    <row r="7" spans="1:8" ht="15.75" customHeight="1" x14ac:dyDescent="0.25">
      <c r="B7" s="19" t="s">
        <v>115</v>
      </c>
      <c r="C7" s="101">
        <v>0.44315674431567392</v>
      </c>
    </row>
    <row r="8" spans="1:8" ht="15.75" customHeight="1" x14ac:dyDescent="0.25">
      <c r="B8" s="19" t="s">
        <v>117</v>
      </c>
      <c r="C8" s="101">
        <v>4.4720004472000513E-4</v>
      </c>
    </row>
    <row r="9" spans="1:8" ht="15.75" customHeight="1" x14ac:dyDescent="0.25">
      <c r="B9" s="19" t="s">
        <v>111</v>
      </c>
      <c r="C9" s="101">
        <v>0.17596981759698199</v>
      </c>
    </row>
    <row r="10" spans="1:8" ht="15.75" customHeight="1" x14ac:dyDescent="0.25">
      <c r="B10" s="19" t="s">
        <v>113</v>
      </c>
      <c r="C10" s="101">
        <v>9.691490969149115E-2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121</v>
      </c>
      <c r="C15" s="101">
        <v>0.1041664226509775</v>
      </c>
      <c r="D15" s="101">
        <v>0.1041664226509775</v>
      </c>
      <c r="E15" s="101">
        <v>0.1041664226509775</v>
      </c>
      <c r="F15" s="101">
        <v>0.1041664226509775</v>
      </c>
    </row>
    <row r="16" spans="1:8" ht="15.75" customHeight="1" x14ac:dyDescent="0.25">
      <c r="B16" s="19" t="s">
        <v>2</v>
      </c>
      <c r="C16" s="101">
        <v>1.051281860064689E-2</v>
      </c>
      <c r="D16" s="101">
        <v>1.051281860064689E-2</v>
      </c>
      <c r="E16" s="101">
        <v>1.051281860064689E-2</v>
      </c>
      <c r="F16" s="101">
        <v>1.051281860064689E-2</v>
      </c>
    </row>
    <row r="17" spans="1:8" ht="15.75" customHeight="1" x14ac:dyDescent="0.25">
      <c r="B17" s="19" t="s">
        <v>109</v>
      </c>
      <c r="C17" s="101">
        <v>2.740749590882348E-3</v>
      </c>
      <c r="D17" s="101">
        <v>2.740749590882348E-3</v>
      </c>
      <c r="E17" s="101">
        <v>2.740749590882348E-3</v>
      </c>
      <c r="F17" s="101">
        <v>2.740749590882348E-3</v>
      </c>
    </row>
    <row r="18" spans="1:8" ht="15.75" customHeight="1" x14ac:dyDescent="0.25">
      <c r="B18" s="19" t="s">
        <v>3</v>
      </c>
      <c r="C18" s="101">
        <v>8.5856697536406783E-3</v>
      </c>
      <c r="D18" s="101">
        <v>8.5856697536406783E-3</v>
      </c>
      <c r="E18" s="101">
        <v>8.5856697536406783E-3</v>
      </c>
      <c r="F18" s="101">
        <v>8.5856697536406783E-3</v>
      </c>
    </row>
    <row r="19" spans="1:8" ht="15.75" customHeight="1" x14ac:dyDescent="0.25">
      <c r="B19" s="19" t="s">
        <v>120</v>
      </c>
      <c r="C19" s="101">
        <v>3.85459091454761E-2</v>
      </c>
      <c r="D19" s="101">
        <v>3.85459091454761E-2</v>
      </c>
      <c r="E19" s="101">
        <v>3.85459091454761E-2</v>
      </c>
      <c r="F19" s="101">
        <v>3.85459091454761E-2</v>
      </c>
    </row>
    <row r="20" spans="1:8" ht="15.75" customHeight="1" x14ac:dyDescent="0.25">
      <c r="B20" s="19" t="s">
        <v>98</v>
      </c>
      <c r="C20" s="101">
        <v>3.5060893629497103E-2</v>
      </c>
      <c r="D20" s="101">
        <v>3.5060893629497103E-2</v>
      </c>
      <c r="E20" s="101">
        <v>3.5060893629497103E-2</v>
      </c>
      <c r="F20" s="101">
        <v>3.5060893629497103E-2</v>
      </c>
    </row>
    <row r="21" spans="1:8" ht="15.75" customHeight="1" x14ac:dyDescent="0.25">
      <c r="B21" s="19" t="s">
        <v>107</v>
      </c>
      <c r="C21" s="101">
        <v>0.36168149328917881</v>
      </c>
      <c r="D21" s="101">
        <v>0.36168149328917881</v>
      </c>
      <c r="E21" s="101">
        <v>0.36168149328917881</v>
      </c>
      <c r="F21" s="101">
        <v>0.36168149328917881</v>
      </c>
    </row>
    <row r="22" spans="1:8" ht="15.75" customHeight="1" x14ac:dyDescent="0.25">
      <c r="B22" s="19" t="s">
        <v>118</v>
      </c>
      <c r="C22" s="101">
        <v>0.3123160913597593</v>
      </c>
      <c r="D22" s="101">
        <v>0.3123160913597593</v>
      </c>
      <c r="E22" s="101">
        <v>0.3123160913597593</v>
      </c>
      <c r="F22" s="101">
        <v>0.3123160913597593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4.7996967000000001E-2</v>
      </c>
    </row>
    <row r="27" spans="1:8" ht="15.75" customHeight="1" x14ac:dyDescent="0.25">
      <c r="B27" s="19" t="s">
        <v>108</v>
      </c>
      <c r="C27" s="101">
        <v>1.9231089E-2</v>
      </c>
    </row>
    <row r="28" spans="1:8" ht="15.75" customHeight="1" x14ac:dyDescent="0.25">
      <c r="B28" s="19" t="s">
        <v>122</v>
      </c>
      <c r="C28" s="101">
        <v>0.23147800700000001</v>
      </c>
    </row>
    <row r="29" spans="1:8" ht="15.75" customHeight="1" x14ac:dyDescent="0.25">
      <c r="B29" s="19" t="s">
        <v>105</v>
      </c>
      <c r="C29" s="101">
        <v>0.13894083700000001</v>
      </c>
    </row>
    <row r="30" spans="1:8" ht="15.75" customHeight="1" x14ac:dyDescent="0.25">
      <c r="B30" s="19" t="s">
        <v>4</v>
      </c>
      <c r="C30" s="101">
        <v>5.0303380000000002E-2</v>
      </c>
    </row>
    <row r="31" spans="1:8" ht="15.75" customHeight="1" x14ac:dyDescent="0.25">
      <c r="B31" s="19" t="s">
        <v>99</v>
      </c>
      <c r="C31" s="101">
        <v>7.028529E-2</v>
      </c>
    </row>
    <row r="32" spans="1:8" ht="15.75" customHeight="1" x14ac:dyDescent="0.25">
      <c r="B32" s="19" t="s">
        <v>104</v>
      </c>
      <c r="C32" s="101">
        <v>0.146633282</v>
      </c>
    </row>
    <row r="33" spans="2:3" ht="15.75" customHeight="1" x14ac:dyDescent="0.25">
      <c r="B33" s="19" t="s">
        <v>119</v>
      </c>
      <c r="C33" s="101">
        <v>0.12525921100000001</v>
      </c>
    </row>
    <row r="34" spans="2:3" ht="15.75" customHeight="1" x14ac:dyDescent="0.25">
      <c r="B34" s="19" t="s">
        <v>106</v>
      </c>
      <c r="C34" s="101">
        <v>0.169871936</v>
      </c>
    </row>
    <row r="35" spans="2:3" ht="15.75" customHeight="1" x14ac:dyDescent="0.25">
      <c r="B35" s="27" t="s">
        <v>79</v>
      </c>
      <c r="C35" s="48">
        <f>SUM(C26:C34)</f>
        <v>0.99999999900000014</v>
      </c>
    </row>
  </sheetData>
  <sheetProtection algorithmName="SHA-512" hashValue="5QnwX2ZQ1NlQLlRnXVjmgZCYKklkLSp0U1ASLAhAMLgr2LAKa0X7NMGdHPWshUy94HSzXsZyPvZAPydNHxe6GA==" saltValue="JmnEI+HXATHnIOOgOFb1m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129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125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126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0.24620371525000001</v>
      </c>
      <c r="D14" s="54">
        <v>0.26587131715200002</v>
      </c>
      <c r="E14" s="54">
        <v>0.26587131715200002</v>
      </c>
      <c r="F14" s="54">
        <v>0.150404622889</v>
      </c>
      <c r="G14" s="54">
        <v>0.150404622889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0.14339864570649474</v>
      </c>
      <c r="D15" s="52">
        <f t="shared" si="0"/>
        <v>0.15485382409069373</v>
      </c>
      <c r="E15" s="52">
        <f t="shared" si="0"/>
        <v>0.15485382409069373</v>
      </c>
      <c r="F15" s="52">
        <f t="shared" si="0"/>
        <v>8.7601518150846255E-2</v>
      </c>
      <c r="G15" s="52">
        <f t="shared" si="0"/>
        <v>8.7601518150846255E-2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SR57SUaw04Cc+lSOwX2NV89QcDXxRbn/9sD1eW83B/Fe1f13wwutMgbaKGAtX9wsjs1xhCTmKNLbzMfNNX9YA==" saltValue="xCLy5U4Yrf/XX3xOyX05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7.7308500000000002E-2</v>
      </c>
      <c r="D5" s="52">
        <f t="shared" si="0"/>
        <v>0.12700540000000005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5h5JfxiRfqdsl5+noTT1432TznITAEfkIf39HEpYU2Raj/VRAtS1g9AcAp8NrHb/F/c5xLU+ibYLwLImAszLEA==" saltValue="RQtjz/TUWCPxyjOlcQex7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zVD/2hjl/9xW/o1JpQSs9FHlN9kJod60dF8B1+Z2T9mR+bdcx3X44K+ftYC2VvlIbfsVVKmKLfObtxegR+KWg==" saltValue="XRLN75F5talYDF3HfFsXR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4787.9993077192103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0.58558999999999994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0.54620999999999997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1.9649920343575121E-2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97552.439920000004</v>
      </c>
      <c r="C22" s="109">
        <v>97242.264479999998</v>
      </c>
      <c r="D22" s="109">
        <v>97045.4516</v>
      </c>
      <c r="E22" s="109">
        <v>96658.283670000004</v>
      </c>
      <c r="F22" s="109">
        <v>96160.800499999998</v>
      </c>
      <c r="G22" s="109">
        <v>95643.804409999997</v>
      </c>
      <c r="H22" s="109">
        <v>95018.195890000003</v>
      </c>
      <c r="I22" s="109">
        <v>94132.193899999998</v>
      </c>
      <c r="J22" s="109">
        <v>92778.891050000006</v>
      </c>
      <c r="K22" s="109">
        <v>90662.465649999998</v>
      </c>
      <c r="L22" s="109">
        <v>87359.70392</v>
      </c>
      <c r="M22" s="109">
        <v>82408.556769999996</v>
      </c>
      <c r="N22" s="109">
        <v>75040.667100000006</v>
      </c>
      <c r="O22" s="109">
        <v>64735.990769999997</v>
      </c>
    </row>
  </sheetData>
  <sheetProtection algorithmName="SHA-512" hashValue="+n+e2IzwBUHnOxIqyhIwlJIwR9xYWc5SFIrpuGDYZdUjMbxXP01HOh0ijd47JeYtUBPyBKhA5PBPimY5CqH9hQ==" saltValue="U2Ct3889h3cHmpP+yQEpV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b2/vJMj8JjLO3ce3d5MlZkON3Rqc3IUsHyc6poNAUBxber2gZLfQ3N7BrcE86buh+EKW2ve2sh8iUvwgjzLRMg==" saltValue="4BDDLsVXuY+6SOvfYu2zG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6cBT6QPLZ/ACLnBzTcXM3mwdod3DKoJZgD6LupSGkfjpBdCpJx/NvJzuhhzWlCtUIkPJL275Xc4K9OntvrQm3A==" saltValue="a99ZlmIaU91XVStX/Lr4l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39.799999999999997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39.799999999999997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1.1399999999999999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1.2116048011525209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1.812651550310735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0.44054339999999997</v>
      </c>
      <c r="C10" s="98">
        <v>0.95</v>
      </c>
      <c r="D10" s="56">
        <v>12.930406468022619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12.930406468022619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12.930406468022619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12.930406468022619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0.44054339999999997</v>
      </c>
      <c r="C14" s="98">
        <v>0.95</v>
      </c>
      <c r="D14" s="56">
        <v>12.930406468022619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12.930406468022619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1.73413E-2</v>
      </c>
      <c r="C16" s="98">
        <v>0.95</v>
      </c>
      <c r="D16" s="56">
        <v>0.64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0.17784249999999999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0.4996447</v>
      </c>
      <c r="C18" s="98">
        <v>0.95</v>
      </c>
      <c r="D18" s="56">
        <v>8.25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0.4996447</v>
      </c>
      <c r="C19" s="98">
        <v>0.95</v>
      </c>
      <c r="D19" s="56">
        <v>8.2480771138610329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9.15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1.1399999999999999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2.2612899999999998E-2</v>
      </c>
      <c r="C23" s="98">
        <v>0.95</v>
      </c>
      <c r="D23" s="56">
        <v>4.2282295523678748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0.61685007638513001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8.469314227226203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18.489999999999998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0.36092259999999998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0.53925319999999999</v>
      </c>
      <c r="C29" s="98">
        <v>0.95</v>
      </c>
      <c r="D29" s="56">
        <v>46.280465114316641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53.05041964170676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118.83755373592631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0.80400000000000005</v>
      </c>
      <c r="C32" s="98">
        <v>0.95</v>
      </c>
      <c r="D32" s="56">
        <v>1.36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0.7898522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0.45606069999999999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1.5928999999999999E-2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0.22960410000000001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0.17799999999999999</v>
      </c>
      <c r="C38" s="98">
        <v>0.95</v>
      </c>
      <c r="D38" s="56">
        <v>4.4400000000000004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3.07</v>
      </c>
      <c r="E39" s="56" t="s">
        <v>212</v>
      </c>
      <c r="F39" s="98">
        <v>1</v>
      </c>
      <c r="G39" s="98">
        <v>1</v>
      </c>
    </row>
  </sheetData>
  <sheetProtection algorithmName="SHA-512" hashValue="n1+TSw80AnUm9w0Om1VE0HzFkM8NqzeGd2bmv5yBQC+V+4waAFwSgVTHsi6zKGpByJ11Ntw6Pgm3kUJXzCck/Q==" saltValue="Zzp+02YfS7xRWm7dS2p+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pL5qZrgolHd8JtaKlo+13ezx2liMHDK0LCJKCSxBTj2Ri/rHNwDJYQ4ks6jbmIxALsYUfu1eKkU0pW5kfyw4Kw==" saltValue="AuLyljRk2p4Dpv0EYcbIz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46YClcCqPUOT/mILDyjfb/DZet0P3wpAsKVcC+t6zfF3F/EEI3TJwjrEJIeBh98yarViaM6UazuAZfc0JsIjlA==" saltValue="I+5BEW+9Gk3Rtr398XZJQ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2.1579999999999999</v>
      </c>
      <c r="C2" s="21">
        <f>'Entradas de población-año base'!C52</f>
        <v>2.1579999999999999</v>
      </c>
      <c r="D2" s="21">
        <f>'Entradas de población-año base'!C53</f>
        <v>4.992</v>
      </c>
      <c r="E2" s="21">
        <f>'Entradas de población-año base'!C54</f>
        <v>5.1480000000000006</v>
      </c>
      <c r="F2" s="21">
        <f>'Entradas de población-año base'!C55</f>
        <v>3.1720000000000002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236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1Nn83AwLuILHGQ8SM3oIHclohLnswJ/wFjLxVYElRIe4WVfP14fx10p6WEjTZuuZemCivVcbrceN6x3PF7ykmQ==" saltValue="rIuSUGIHF+IG9Sn8JF1PE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9.5000000000000001E-2</v>
      </c>
      <c r="F2" s="60">
        <f>food_insecure</f>
        <v>9.5000000000000001E-2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9.5000000000000001E-2</v>
      </c>
      <c r="F5" s="60">
        <f>food_insecure</f>
        <v>9.5000000000000001E-2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4.6756666666666676E-2</v>
      </c>
      <c r="D7" s="60">
        <f>diarrhoea_1_5mo*frac_diarrhea_severe</f>
        <v>4.6756666666666676E-2</v>
      </c>
      <c r="E7" s="60">
        <f>diarrhoea_6_11mo*frac_diarrhea_severe</f>
        <v>0.10816000000000002</v>
      </c>
      <c r="F7" s="60">
        <f>diarrhoea_12_23mo*frac_diarrhea_severe</f>
        <v>0.11154000000000003</v>
      </c>
      <c r="G7" s="60">
        <f>diarrhoea_24_59mo*frac_diarrhea_severe</f>
        <v>6.8726666666666686E-2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9.5000000000000001E-2</v>
      </c>
      <c r="F8" s="60">
        <f>food_insecure</f>
        <v>9.5000000000000001E-2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9.5000000000000001E-2</v>
      </c>
      <c r="F9" s="60">
        <f>food_insecure</f>
        <v>9.5000000000000001E-2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4.6756666666666676E-2</v>
      </c>
      <c r="D12" s="60">
        <f>diarrhoea_1_5mo*frac_diarrhea_severe</f>
        <v>4.6756666666666676E-2</v>
      </c>
      <c r="E12" s="60">
        <f>diarrhoea_6_11mo*frac_diarrhea_severe</f>
        <v>0.10816000000000002</v>
      </c>
      <c r="F12" s="60">
        <f>diarrhoea_12_23mo*frac_diarrhea_severe</f>
        <v>0.11154000000000003</v>
      </c>
      <c r="G12" s="60">
        <f>diarrhoea_24_59mo*frac_diarrhea_severe</f>
        <v>6.8726666666666686E-2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9.5000000000000001E-2</v>
      </c>
      <c r="I15" s="60">
        <f t="shared" si="0"/>
        <v>9.5000000000000001E-2</v>
      </c>
      <c r="J15" s="60">
        <f t="shared" si="0"/>
        <v>9.5000000000000001E-2</v>
      </c>
      <c r="K15" s="60">
        <f t="shared" si="0"/>
        <v>9.5000000000000001E-2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9.5000000000000001E-2</v>
      </c>
      <c r="I16" s="60">
        <f t="shared" si="0"/>
        <v>9.5000000000000001E-2</v>
      </c>
      <c r="J16" s="60">
        <f t="shared" si="0"/>
        <v>9.5000000000000001E-2</v>
      </c>
      <c r="K16" s="60">
        <f t="shared" si="0"/>
        <v>9.5000000000000001E-2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0.106</v>
      </c>
      <c r="M24" s="60">
        <f>famplan_unmet_need</f>
        <v>0.106</v>
      </c>
      <c r="N24" s="60">
        <f>famplan_unmet_need</f>
        <v>0.106</v>
      </c>
      <c r="O24" s="60">
        <f>famplan_unmet_need</f>
        <v>0.106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0.10257776837</v>
      </c>
      <c r="M25" s="60">
        <f>(1-food_insecure)*(0.49)+food_insecure*(0.7)</f>
        <v>0.50995000000000001</v>
      </c>
      <c r="N25" s="60">
        <f>(1-food_insecure)*(0.49)+food_insecure*(0.7)</f>
        <v>0.50995000000000001</v>
      </c>
      <c r="O25" s="60">
        <f>(1-food_insecure)*(0.49)+food_insecure*(0.7)</f>
        <v>0.50995000000000001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4.3961900730000003E-2</v>
      </c>
      <c r="M26" s="60">
        <f>(1-food_insecure)*(0.21)+food_insecure*(0.3)</f>
        <v>0.21854999999999999</v>
      </c>
      <c r="N26" s="60">
        <f>(1-food_insecure)*(0.21)+food_insecure*(0.3)</f>
        <v>0.21854999999999999</v>
      </c>
      <c r="O26" s="60">
        <f>(1-food_insecure)*(0.21)+food_insecure*(0.3)</f>
        <v>0.21854999999999999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5.4612930900000009E-2</v>
      </c>
      <c r="M27" s="60">
        <f>(1-food_insecure)*(0.3)</f>
        <v>0.27150000000000002</v>
      </c>
      <c r="N27" s="60">
        <f>(1-food_insecure)*(0.3)</f>
        <v>0.27150000000000002</v>
      </c>
      <c r="O27" s="60">
        <f>(1-food_insecure)*(0.3)</f>
        <v>0.27150000000000002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0.79884739999999999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0.10879999999999999</v>
      </c>
      <c r="D34" s="60">
        <f t="shared" si="4"/>
        <v>0.10879999999999999</v>
      </c>
      <c r="E34" s="60">
        <f t="shared" si="4"/>
        <v>0.10879999999999999</v>
      </c>
      <c r="F34" s="60">
        <f t="shared" si="4"/>
        <v>0.10879999999999999</v>
      </c>
      <c r="G34" s="60">
        <f t="shared" si="4"/>
        <v>0.10879999999999999</v>
      </c>
      <c r="H34" s="60">
        <f t="shared" si="4"/>
        <v>0.10879999999999999</v>
      </c>
      <c r="I34" s="60">
        <f t="shared" si="4"/>
        <v>0.10879999999999999</v>
      </c>
      <c r="J34" s="60">
        <f t="shared" si="4"/>
        <v>0.10879999999999999</v>
      </c>
      <c r="K34" s="60">
        <f t="shared" si="4"/>
        <v>0.10879999999999999</v>
      </c>
      <c r="L34" s="60">
        <f t="shared" si="4"/>
        <v>0.10879999999999999</v>
      </c>
      <c r="M34" s="60">
        <f t="shared" si="4"/>
        <v>0.10879999999999999</v>
      </c>
      <c r="N34" s="60">
        <f t="shared" si="4"/>
        <v>0.10879999999999999</v>
      </c>
      <c r="O34" s="60">
        <f t="shared" si="4"/>
        <v>0.10879999999999999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19YRKAS1bMNZtJUZjGYsRKf075ovh1v4sMOrntmzrXAh/qliv5JxAJZmFwnPYD3v5OpgLChfmrF97CB/KOPwg==" saltValue="QImo/5/YjaasNWVaxxOVn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dqM+HPtkz3MVdw0c9cy7dFwN4VE3ZBGhAWTuGvIYbL9foHC+rzguIcKRuzPvix+wlHADEX2R+FThMQFqW4JZFQ==" saltValue="u7ZfOi2S1r6wtucvJlK0x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2NX8nqeufQ61/ltlIj+FAPmEKjTCQ7gp8PBkCDjZzK7IF/fhDiNixBHl/2DKFN82kjic6Yyyze3ZY5amAySW0Q==" saltValue="VwJWM47wCWb9IlbxaYDHp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QjKTWFbgeXvPU8vcZ7hQldthWgZknGCVSLYhivZ9X2aZ4aGAG2XocqJvfP0N4qGhA2KodyB/B/eu7SZi+y1Ew==" saltValue="2wJYAVMyJ4bd0VarZ/ZL/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AhFgbS0Soh5f5ZsTzhtP8WDkpyfVjKzSXVADiYJMWEBO4pNZIqtoPaN75siZUzptxp0WBsvIW8idVznNLpxF3Q==" saltValue="kMdVX2sp5R89nfcN+WP3E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2iRN9dI1Deqfzh0dDBug5PwcZm/C/gFS1zMJMYs2/gsTs8rl9t5z/0WHFoZJ9U1oe/Jd1kjUt44keGJwvKGm5Q==" saltValue="2eevvNTyMfu2vSVfQfyph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QY1PdM60Uq+0SUWLjfPTumPdpN60pbWqhWXGCz3CrrTKUvHxh+UlI2HRWQIfA15EYH0BZVT8VCUman1nFIaNA==" saltValue="FQXSnhjWEPkQfusiFlg6g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CQDm3CbX12P+eCNKvkm5aVMNmVT+TzRL4MDZ6n8uvE69nM4SPDrP2qZbs+DjIR1fPYHgVkF4TyBCjdSDNnmq4g==" saltValue="/myCyFVH0L3A1tZMvfy5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T3nbOumukp8BSNzM/buNSQixUPoFc2dsc5p5Ppu6ysffFDlaotcvQi1BOYviw+DXCpn6+njsAdOtToSv5Kg4qg==" saltValue="pGbqaTG04RepnxNltde0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fEOJj8+qbPoYybNFiMIs0YwHs9iPOpTPGJw7j1R1fC8SNI/Rhggwe1NW/Oo0N79jQi/NPqxe7mW+t2DuyKm+A==" saltValue="QGHLVmG7RGcS/7ja3o3x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xIE0+OZhUKojOecVL34BsKo5FzKffkrkhPZ1tmRWzLdfU/6IQMXSbZ5E0RBs+9uYAG+k7bI4cHnJNi1dHiSJA==" saltValue="PpRjh9uMFouquqJLaV2D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e07d0e7hCCPWsVv+7Adt6oS+vJe4lzB+kf+BpqW5O3VLnvR8MsP7YAjwKm2Wbxu1y3CmJ2SnL4mi6cN6QAI0Q==" saltValue="SPhiesq0PZNyBRUJKHt+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rA/JuJuTmT7VJ/1ZvKNHiruTztWsaYVzJX903cnoVeThh/hoFiiroyoWAjKjzLPgcddJOJm+3O7TZxTk3Qa0w==" saltValue="V4mWy3/IJ8lAXKpMC7pGq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pOvGVmBCLw0RVHgjXz+BL9kiuPrcVvQfDhfabqyh7C6R3TKgImO+LW+KNDeQZl2F+GsvXgjIJCWu2e/TFqEt1g==" saltValue="PUc94hxyyXynyq2Bbrf4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oBiNezpayJhpgC7Kx+TxIQHNzvASLe1W63z178DU5YGafZQfn1MC11EVn43ib9Fb8nC7JDX98v6tgmoboaIJMQ==" saltValue="YDebCPXZYrarA2DBCLjaG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2025-07-08T03:21:31Z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