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D9A6F1D-634D-48F3-B64D-C01CFD942BD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1" i="2"/>
  <c r="A37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<sst xmlns="http://schemas.openxmlformats.org/spreadsheetml/2006/main" count="2169" uniqueCount="373">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</sst>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22097070.5</v>
      </c>
    </row>
    <row r="8" spans="1:3" ht="15" customHeight="1" x14ac:dyDescent="0.25">
      <c r="B8" s="5" t="s">
        <v>63</v>
      </c>
      <c r="C8" s="44">
        <v>9.5000000000000001E-2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0.79884739999999999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0.1095</v>
      </c>
    </row>
    <row r="24" spans="1:3" ht="15" customHeight="1" x14ac:dyDescent="0.25">
      <c r="B24" s="15" t="s">
        <v>65</v>
      </c>
      <c r="C24" s="45">
        <v>0.52049999999999996</v>
      </c>
    </row>
    <row r="25" spans="1:3" ht="15" customHeight="1" x14ac:dyDescent="0.25">
      <c r="B25" s="15" t="s">
        <v>66</v>
      </c>
      <c r="C25" s="45">
        <v>0.32290000000000002</v>
      </c>
    </row>
    <row r="26" spans="1:3" ht="15" customHeight="1" x14ac:dyDescent="0.25">
      <c r="B26" s="15" t="s">
        <v>67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98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2.1579999999999999</v>
      </c>
      <c r="D51" s="12"/>
    </row>
    <row r="52" spans="1:4" ht="15" customHeight="1" x14ac:dyDescent="0.25">
      <c r="B52" s="11" t="s">
        <v>32</v>
      </c>
      <c r="C52" s="98">
        <v>2.1579999999999999</v>
      </c>
    </row>
    <row r="53" spans="1:4" ht="15.75" customHeight="1" x14ac:dyDescent="0.25">
      <c r="B53" s="11" t="s">
        <v>35</v>
      </c>
      <c r="C53" s="98">
        <v>4.992</v>
      </c>
    </row>
    <row r="54" spans="1:4" ht="15.75" customHeight="1" x14ac:dyDescent="0.25">
      <c r="B54" s="11" t="s">
        <v>33</v>
      </c>
      <c r="C54" s="98">
        <v>5.1480000000000006</v>
      </c>
    </row>
    <row r="55" spans="1:4" ht="15.75" customHeight="1" x14ac:dyDescent="0.25">
      <c r="B55" s="11" t="s">
        <v>34</v>
      </c>
      <c r="C55" s="98">
        <v>3.1720000000000002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+Djm/4VBhth4OWAOkMmuG4WvgvIQIK3rPxlJHHcFPZSrUPyyH3IvQBClV1b9em7d094LmnQLvAM4B70qtTOK9Q==" saltValue="mwBz3vXcMVXf32R1dP6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ks5Ya1MLTAsS3GvClIVyzuZHWArYjzQXWYtOE4Yt4B3a5jTciOVFTyvKHY6t8puWw7sSw3RUH1cR0O0v7P4GA==" saltValue="DjrD1KDnGZMX3r/JZr5f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99">
        <v>5.6959305695930607E-2</v>
      </c>
    </row>
    <row r="5" spans="1:8" ht="15.75" customHeight="1" x14ac:dyDescent="0.25">
      <c r="B5" s="19" t="s">
        <v>114</v>
      </c>
      <c r="C5" s="99">
        <v>3.7975303797530502E-2</v>
      </c>
    </row>
    <row r="6" spans="1:8" ht="15.75" customHeight="1" x14ac:dyDescent="0.25">
      <c r="B6" s="19" t="s">
        <v>110</v>
      </c>
      <c r="C6" s="99">
        <v>0.1868385186838521</v>
      </c>
    </row>
    <row r="7" spans="1:8" ht="15.75" customHeight="1" x14ac:dyDescent="0.25">
      <c r="B7" s="19" t="s">
        <v>115</v>
      </c>
      <c r="C7" s="99">
        <v>0.44315674431567392</v>
      </c>
    </row>
    <row r="8" spans="1:8" ht="15.75" customHeight="1" x14ac:dyDescent="0.25">
      <c r="B8" s="19" t="s">
        <v>117</v>
      </c>
      <c r="C8" s="99">
        <v>4.4720004472000513E-4</v>
      </c>
    </row>
    <row r="9" spans="1:8" ht="15.75" customHeight="1" x14ac:dyDescent="0.25">
      <c r="B9" s="19" t="s">
        <v>111</v>
      </c>
      <c r="C9" s="99">
        <v>0.17596981759698199</v>
      </c>
    </row>
    <row r="10" spans="1:8" ht="15.75" customHeight="1" x14ac:dyDescent="0.25">
      <c r="B10" s="19" t="s">
        <v>113</v>
      </c>
      <c r="C10" s="99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99">
        <v>0.1041664226509775</v>
      </c>
      <c r="D15" s="99">
        <v>0.1041664226509775</v>
      </c>
      <c r="E15" s="99">
        <v>0.1041664226509775</v>
      </c>
      <c r="F15" s="99">
        <v>0.1041664226509775</v>
      </c>
    </row>
    <row r="16" spans="1:8" ht="15.75" customHeight="1" x14ac:dyDescent="0.25">
      <c r="B16" s="19" t="s">
        <v>2</v>
      </c>
      <c r="C16" s="99">
        <v>1.051281860064689E-2</v>
      </c>
      <c r="D16" s="99">
        <v>1.051281860064689E-2</v>
      </c>
      <c r="E16" s="99">
        <v>1.051281860064689E-2</v>
      </c>
      <c r="F16" s="99">
        <v>1.051281860064689E-2</v>
      </c>
    </row>
    <row r="17" spans="1:8" ht="15.75" customHeight="1" x14ac:dyDescent="0.25">
      <c r="B17" s="19" t="s">
        <v>109</v>
      </c>
      <c r="C17" s="99">
        <v>2.740749590882348E-3</v>
      </c>
      <c r="D17" s="99">
        <v>2.740749590882348E-3</v>
      </c>
      <c r="E17" s="99">
        <v>2.740749590882348E-3</v>
      </c>
      <c r="F17" s="99">
        <v>2.740749590882348E-3</v>
      </c>
    </row>
    <row r="18" spans="1:8" ht="15.75" customHeight="1" x14ac:dyDescent="0.25">
      <c r="B18" s="19" t="s">
        <v>3</v>
      </c>
      <c r="C18" s="99">
        <v>8.5856697536406783E-3</v>
      </c>
      <c r="D18" s="99">
        <v>8.5856697536406783E-3</v>
      </c>
      <c r="E18" s="99">
        <v>8.5856697536406783E-3</v>
      </c>
      <c r="F18" s="99">
        <v>8.5856697536406783E-3</v>
      </c>
    </row>
    <row r="19" spans="1:8" ht="15.75" customHeight="1" x14ac:dyDescent="0.25">
      <c r="B19" s="19" t="s">
        <v>120</v>
      </c>
      <c r="C19" s="99">
        <v>3.85459091454761E-2</v>
      </c>
      <c r="D19" s="99">
        <v>3.85459091454761E-2</v>
      </c>
      <c r="E19" s="99">
        <v>3.85459091454761E-2</v>
      </c>
      <c r="F19" s="99">
        <v>3.85459091454761E-2</v>
      </c>
    </row>
    <row r="20" spans="1:8" ht="15.75" customHeight="1" x14ac:dyDescent="0.25">
      <c r="B20" s="19" t="s">
        <v>98</v>
      </c>
      <c r="C20" s="99">
        <v>3.5060893629497103E-2</v>
      </c>
      <c r="D20" s="99">
        <v>3.5060893629497103E-2</v>
      </c>
      <c r="E20" s="99">
        <v>3.5060893629497103E-2</v>
      </c>
      <c r="F20" s="99">
        <v>3.5060893629497103E-2</v>
      </c>
    </row>
    <row r="21" spans="1:8" ht="15.75" customHeight="1" x14ac:dyDescent="0.25">
      <c r="B21" s="19" t="s">
        <v>107</v>
      </c>
      <c r="C21" s="99">
        <v>0.36168149328917881</v>
      </c>
      <c r="D21" s="99">
        <v>0.36168149328917881</v>
      </c>
      <c r="E21" s="99">
        <v>0.36168149328917881</v>
      </c>
      <c r="F21" s="99">
        <v>0.36168149328917881</v>
      </c>
    </row>
    <row r="22" spans="1:8" ht="15.75" customHeight="1" x14ac:dyDescent="0.25">
      <c r="B22" s="19" t="s">
        <v>118</v>
      </c>
      <c r="C22" s="99">
        <v>0.3123160913597593</v>
      </c>
      <c r="D22" s="99">
        <v>0.3123160913597593</v>
      </c>
      <c r="E22" s="99">
        <v>0.3123160913597593</v>
      </c>
      <c r="F22" s="99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99">
        <v>1.9231089E-2</v>
      </c>
    </row>
    <row r="28" spans="1:8" ht="15.75" customHeight="1" x14ac:dyDescent="0.25">
      <c r="B28" s="19" t="s">
        <v>122</v>
      </c>
      <c r="C28" s="99">
        <v>0.23147800700000001</v>
      </c>
    </row>
    <row r="29" spans="1:8" ht="15.75" customHeight="1" x14ac:dyDescent="0.25">
      <c r="B29" s="19" t="s">
        <v>105</v>
      </c>
      <c r="C29" s="99">
        <v>0.13894083700000001</v>
      </c>
    </row>
    <row r="30" spans="1:8" ht="15.75" customHeight="1" x14ac:dyDescent="0.25">
      <c r="B30" s="19" t="s">
        <v>4</v>
      </c>
      <c r="C30" s="99">
        <v>5.0303380000000002E-2</v>
      </c>
    </row>
    <row r="31" spans="1:8" ht="15.75" customHeight="1" x14ac:dyDescent="0.25">
      <c r="B31" s="19" t="s">
        <v>99</v>
      </c>
      <c r="C31" s="99">
        <v>7.028529E-2</v>
      </c>
    </row>
    <row r="32" spans="1:8" ht="15.75" customHeight="1" x14ac:dyDescent="0.25">
      <c r="B32" s="19" t="s">
        <v>104</v>
      </c>
      <c r="C32" s="99">
        <v>0.146633282</v>
      </c>
    </row>
    <row r="33" spans="2:3" ht="15.75" customHeight="1" x14ac:dyDescent="0.25">
      <c r="B33" s="19" t="s">
        <v>119</v>
      </c>
      <c r="C33" s="99">
        <v>0.12525921100000001</v>
      </c>
    </row>
    <row r="34" spans="2:3" ht="15.75" customHeight="1" x14ac:dyDescent="0.25">
      <c r="B34" s="19" t="s">
        <v>106</v>
      </c>
      <c r="C34" s="99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N+VmX6fQV/he8cjtjzKj7mJ2PRhwm/5H7GIajDUHm4fS3P2S96oVPP606r9Zrrz6LaYPl3aIAVUhFLX1ECgCNQ==" saltValue="c1PjwKgTHaheJRWVK+QMl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xn/lK9XhHDcmxW2SbYotNtCv++lVhU90SbES5yM17P225EO3LMtd6Slsw5H9s6oV3awv4j2PghnGnhLJVFSGg==" saltValue="cyPeSsIIc4RV2bLmLyqB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t89UVOtJygA9D+OlEZ6X95NOY/AK/oMj/fLFmjbgKteaPmMavVmp1leUiMG15sLTiWmN7Z9mOrTXCtkPhcK08Q==" saltValue="cpx5YFNP5SVsr/cI9A6b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KtLovYApjTD9/6LpS+PuLXmmP4DhjPE45Rm+KUHTHTanz8tolT5tNA/ContNrsHjjfu7iV0c+XCcRQdHBCyog==" saltValue="LpZuXDicPMD/njzX3Dcc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4787.9993077192103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0.58558999999999994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0.54620999999999997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1.9649920343575121E-2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97552.439920000004</v>
      </c>
      <c r="C22" s="107">
        <v>97242.264479999998</v>
      </c>
      <c r="D22" s="107">
        <v>97045.4516</v>
      </c>
      <c r="E22" s="107">
        <v>96658.283670000004</v>
      </c>
      <c r="F22" s="107">
        <v>96160.800499999998</v>
      </c>
      <c r="G22" s="107">
        <v>95643.804409999997</v>
      </c>
      <c r="H22" s="107">
        <v>95018.195890000003</v>
      </c>
      <c r="I22" s="107">
        <v>94132.193899999998</v>
      </c>
      <c r="J22" s="107">
        <v>92778.891050000006</v>
      </c>
      <c r="K22" s="107">
        <v>90662.465649999998</v>
      </c>
      <c r="L22" s="107">
        <v>87359.70392</v>
      </c>
      <c r="M22" s="107">
        <v>82408.556769999996</v>
      </c>
      <c r="N22" s="107">
        <v>75040.667100000006</v>
      </c>
      <c r="O22" s="107">
        <v>64735.990769999997</v>
      </c>
    </row>
  </sheetData>
  <sheetProtection algorithmName="SHA-512" hashValue="xXa3yXaA237vVXalLajH5QaiYnVfSk4AZe2GmU9Axa+Z+v4C7NKPTuuAmRL39oDM3Fg2Tiw5KRSmSzIN7BTXdg==" saltValue="i+3uiTxo6UdPcWQvJNEB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d1TLz3XasVLbV3rZdHTNLn4p/6/9dHy5m13xxc6gs9FEiGh7lrazVqVDC3NpEdwSMelZzJgRBnpxzuRgUPcNQ==" saltValue="ghTDLPq5oF8+cTIeS6zs3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7ZoDWcFzRWddGOMfjfG4j1XPmHaHSf6d7ODrQAUzbGGXXVF0pInvgG5RbInl9ElDjbda+Qgd8ZG+tHjONV9pg==" saltValue="pC5kiAI9j1HXK2SVhtQI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39.799999999999997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39.799999999999997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1.1399999999999999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1.2116048011525209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0.44054339999999997</v>
      </c>
      <c r="C10" s="96">
        <v>0.95</v>
      </c>
      <c r="D10" s="56">
        <v>12.930406468022619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12.930406468022619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12.930406468022619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12.930406468022619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0.44054339999999997</v>
      </c>
      <c r="C14" s="96">
        <v>0.95</v>
      </c>
      <c r="D14" s="56">
        <v>12.930406468022619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12.930406468022619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1.73413E-2</v>
      </c>
      <c r="C16" s="96">
        <v>0.95</v>
      </c>
      <c r="D16" s="56">
        <v>0.64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0.17784249999999999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0.4996447</v>
      </c>
      <c r="C18" s="96">
        <v>0.95</v>
      </c>
      <c r="D18" s="56">
        <v>8.25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0.4996447</v>
      </c>
      <c r="C19" s="96">
        <v>0.95</v>
      </c>
      <c r="D19" s="56">
        <v>8.2480771138610329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9.15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1.1399999999999999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2.2612899999999998E-2</v>
      </c>
      <c r="C23" s="96">
        <v>0.95</v>
      </c>
      <c r="D23" s="56">
        <v>4.2282295523678748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0.61685007638513001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18.489999999999998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0.36092259999999998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0.53925319999999999</v>
      </c>
      <c r="C29" s="96">
        <v>0.95</v>
      </c>
      <c r="D29" s="56">
        <v>46.280465114316641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0.80400000000000005</v>
      </c>
      <c r="C32" s="96">
        <v>0.95</v>
      </c>
      <c r="D32" s="56">
        <v>1.36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0.7898522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0.45606069999999999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1.5928999999999999E-2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0.22960410000000001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0.17799999999999999</v>
      </c>
      <c r="C38" s="96">
        <v>0.95</v>
      </c>
      <c r="D38" s="56">
        <v>4.4400000000000004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/ElmE7Tvr1McngnwxCdml+OQzUHOImO2el3Syjib6fPBUx0hambajqkwAsQpiEwIPSjzdElsyDHaw717gZmsDw==" saltValue="5aD8ELXEjuHlF87uUyeF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0GMdbPwokyzNO/nchmugiyC14tvsrEFUeJvbyJYgbukr4Ljwc74U5lBYLqnYbuy5YrZt0BauTzgGJvlKf6VzQ==" saltValue="+7U5fxeMuWGTC7+KSovk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gVfuG9IrCX4355AuVSDmIKhAqdKqJyPC3eTaD7CkyO70KkhP/V7YWHypFUXnhb1bh+cNuFWS6/T5JFiV5ot+Q==" saltValue="3MyE5OpEfWMHrcr1n3Fv+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2.1579999999999999</v>
      </c>
      <c r="C2" s="21">
        <f>'Entradas de población-año base'!C52</f>
        <v>2.1579999999999999</v>
      </c>
      <c r="D2" s="21">
        <f>'Entradas de población-año base'!C53</f>
        <v>4.992</v>
      </c>
      <c r="E2" s="21">
        <f>'Entradas de población-año base'!C54</f>
        <v>5.1480000000000006</v>
      </c>
      <c r="F2" s="21">
        <f>'Entradas de población-año base'!C55</f>
        <v>3.1720000000000002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yQztD4QuCQliF7w5xcJihhvBeHlE2ZMGIeJcElCLXikSFl8NI2eRWoh7VVjzYf0xoXW+RwlsxVSjUZy9TklGSQ==" saltValue="rGzgNzEDaFFrFnNKqrEv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0I7Pkv5Uo+9CiADRUKVX/3w9ZUHbZZfg6pm62AfnG3hXPR3Homd/aBxnkCG83dLEghrXrC83zCsvHOle1Pueg==" saltValue="TcDrvtfEKJfro66V3K3J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E4XjDaiOSUd9rfKDpzIorwmRJsbujXq5mk3ZVJZHdQjRhA4xkqisumHXT+kTgEc/SXgfCE5VTz8Wptsd/Un/A==" saltValue="MOt5IQFgczw9Jd0N7lb9+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heZOU6gXegBm9dlYMTM4YDAOwr2rDMFyn9uRhFETePJVEjMVFz0VTDL/nMilR+0j/TVNW6ajePeY4uL2aerlA==" saltValue="ahGq/ajdKLMR603ynkEl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UeBwMhByvtaC3lA0Ip4uO8+HYdt5rMCOfBsMbSvcodfcgtMov0eKQxVildEbx5xMjPWu6tqXcG4yJkdYh+Kcg==" saltValue="1J0AQacnV/yaaIWC6R5i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oPghGC7keSGDqW1wqAtq2V2Wmmt5Q/ITvfpI7Zw3iuTeqh70wock81vNXBuESLI1cXjb/iwFmLrxhjFVC5L5A==" saltValue="mAu2D7i+t5XqeNt87t9F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/PoOV5+CwUS8yWJRgDBLO2PlFua76wyogYTRJ1en/JtoBAR1H6Bdp6v2nxNunPG5vGO2uZDFx06u2lR7RBmQiA==" saltValue="sRFjzq5CJ/WOUFpoU1Wb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kCubInyr5xCNPeo7/Erz5K2tl7uN3Czd+Xno2fMkY+/vBmfxYbxBJLFdL9omuQJDXsVJKDOTdZDMxjaEMwsSQ==" saltValue="ynlrl/lvyixQFTW4pXb6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IIxbsIWAa5ifHCOyrugLoCePk4FQIqOgdzvVuKcf/u8WdOVo8QobXhw4JMQVfB0EYYZSEoOSDBv+nRNkJ6gGg==" saltValue="O8PPdLZghZElklFVqGbl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MzmoZw+yi5c1wQNUHkPFtwDU5bv9EEDLx0YHgaI94jiwdu92AmcCbzyLAQXUkwd+6nHXGZJK++8NgP/SFdI+w==" saltValue="V7PP0sgRliSvjNi67RM2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oxEvEFGBW5sxtg27bjzt36sI037cjvH/BnAAGc27gIkfMV+CjfqezaF6y4m4F6j+iaN1vxkb/d3TqKhQ4tw3w==" saltValue="YX+R7sjHPW9frz/NSzQK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F48sZfXdm+k48NSQjm9jAcXLvwXcwkzBLV9q53TPo6AyVewgt6c1Rs9z6B6BLc4ZJ8ZTM9xu+V3JkXE4+0UhA==" saltValue="GODge63BCGi2kCdF3CQC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wSn2XN9HCLSvl+44jmqtYA+RsaIOU5pxgZ2qCYT43oHG0Fdh97/3bjv/I9/GKr2XKfLWxeuXTD4LRKLr1v1JQ==" saltValue="7jekyckBi/Kyr1GA2umO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1aKgfTdwvejOXYb0O1zm8o0H2t0T1BMx/zfnZ8OIesLEynnRDZKzDvxOMtiuaWnYSQ1puc28Xui0xOKhsnI4g==" saltValue="Q+49aX2Z3GdZNAzrdcrg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ElJHrmTdkPuPZRVi9bwH6BINvYQHmSc+v82sxLKwPXjxQJR87pp6UQHGry7+T95Y4xj3Rw8isVbmrg3ZpaXJQ==" saltValue="tAdOnfCFZ9xRRi7gWKXJ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Z+eqI5VUiYyZBdpa8CaLIo3T8d1cUxpLw7fQ7WaevoYNhaA/gpr2h65gLW1OCDaXp6IIZNIT74IhiDVUWvDsg==" saltValue="jfPdA2XOWD2OKm1qYDAC3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