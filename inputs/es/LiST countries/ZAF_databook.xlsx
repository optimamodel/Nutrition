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7E82E3F-DA66-4304-898E-C0BBB8459948}" xr6:coauthVersionLast="47" xr6:coauthVersionMax="47" xr10:uidLastSave="{00000000-0000-0000-0000-000000000000}"/>
  <bookViews>
    <workbookView xWindow="-110" yWindow="-110" windowWidth="19420" windowHeight="1042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<sst xmlns="http://schemas.openxmlformats.org/spreadsheetml/2006/main" count="2159" uniqueCount="372">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</sst>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5686551.5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0.15</v>
      </c>
    </row>
    <row r="10" spans="1:3" ht="15" customHeight="1" x14ac:dyDescent="0.25">
      <c r="B10" s="5" t="s">
        <v>75</v>
      </c>
      <c r="C10" s="45">
        <v>0.78522720000000001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9.8900000000000002E-2</v>
      </c>
    </row>
    <row r="24" spans="1:3" ht="15" customHeight="1" x14ac:dyDescent="0.25">
      <c r="B24" s="15" t="s">
        <v>65</v>
      </c>
      <c r="C24" s="45">
        <v>0.53500000000000003</v>
      </c>
    </row>
    <row r="25" spans="1:3" ht="15" customHeight="1" x14ac:dyDescent="0.25">
      <c r="B25" s="15" t="s">
        <v>66</v>
      </c>
      <c r="C25" s="45">
        <v>0.3115</v>
      </c>
    </row>
    <row r="26" spans="1:3" ht="15" customHeight="1" x14ac:dyDescent="0.25">
      <c r="B26" s="15" t="s">
        <v>67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0.35873412103889402</v>
      </c>
    </row>
    <row r="30" spans="1:3" ht="14.25" customHeight="1" x14ac:dyDescent="0.25">
      <c r="B30" s="25" t="s">
        <v>82</v>
      </c>
      <c r="C30" s="99">
        <v>2.5198011863396302E-2</v>
      </c>
    </row>
    <row r="31" spans="1:3" ht="14.25" customHeight="1" x14ac:dyDescent="0.25">
      <c r="B31" s="25" t="s">
        <v>29</v>
      </c>
      <c r="C31" s="99">
        <v>4.3840922737282198E-2</v>
      </c>
    </row>
    <row r="32" spans="1:3" ht="14.25" customHeight="1" x14ac:dyDescent="0.25">
      <c r="B32" s="25" t="s">
        <v>30</v>
      </c>
      <c r="C32" s="99">
        <v>0.57222694436042698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11.02473</v>
      </c>
    </row>
    <row r="38" spans="1:5" ht="15" customHeight="1" x14ac:dyDescent="0.25">
      <c r="B38" s="11" t="s">
        <v>54</v>
      </c>
      <c r="C38" s="43">
        <v>26.427199999999999</v>
      </c>
      <c r="D38" s="12"/>
      <c r="E38" s="13"/>
    </row>
    <row r="39" spans="1:5" ht="15" customHeight="1" x14ac:dyDescent="0.25">
      <c r="B39" s="11" t="s">
        <v>80</v>
      </c>
      <c r="C39" s="43">
        <v>32.847329999999999</v>
      </c>
      <c r="D39" s="12"/>
      <c r="E39" s="12"/>
    </row>
    <row r="40" spans="1:5" ht="15" customHeight="1" x14ac:dyDescent="0.25">
      <c r="B40" s="11" t="s">
        <v>55</v>
      </c>
      <c r="C40" s="100">
        <v>1.27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1.10247E-2</v>
      </c>
      <c r="D45" s="12"/>
    </row>
    <row r="46" spans="1:5" ht="15.75" customHeight="1" x14ac:dyDescent="0.25">
      <c r="B46" s="11" t="s">
        <v>70</v>
      </c>
      <c r="C46" s="45">
        <v>0.1185986</v>
      </c>
      <c r="D46" s="12"/>
    </row>
    <row r="47" spans="1:5" ht="15.75" customHeight="1" x14ac:dyDescent="0.25">
      <c r="B47" s="11" t="s">
        <v>78</v>
      </c>
      <c r="C47" s="45">
        <v>0.1031654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1.82</v>
      </c>
      <c r="D51" s="12"/>
    </row>
    <row r="52" spans="1:4" ht="15" customHeight="1" x14ac:dyDescent="0.25">
      <c r="B52" s="11" t="s">
        <v>32</v>
      </c>
      <c r="C52" s="100">
        <v>1.82</v>
      </c>
    </row>
    <row r="53" spans="1:4" ht="15.75" customHeight="1" x14ac:dyDescent="0.25">
      <c r="B53" s="11" t="s">
        <v>35</v>
      </c>
      <c r="C53" s="100">
        <v>4.2380000000000004</v>
      </c>
    </row>
    <row r="54" spans="1:4" ht="15.75" customHeight="1" x14ac:dyDescent="0.25">
      <c r="B54" s="11" t="s">
        <v>33</v>
      </c>
      <c r="C54" s="100">
        <v>4.3680000000000003</v>
      </c>
    </row>
    <row r="55" spans="1:4" ht="15.75" customHeight="1" x14ac:dyDescent="0.25">
      <c r="B55" s="11" t="s">
        <v>34</v>
      </c>
      <c r="C55" s="100">
        <v>2.062666666666666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0.55612200000000001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j+ZukMVj0JnQReco8tt9Y+s2k0pOmFjGxYBP8Zp8RWBQkEBB/rDzy2xnhZI0ywpeDi5UHJU6wGX0riwzalr7kw==" saltValue="Imr27MEn9EuQ0CRzJ/ow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5890538.5</v>
      </c>
      <c r="C2" s="49">
        <v>1125172</v>
      </c>
      <c r="D2" s="49">
        <v>2803857</v>
      </c>
      <c r="E2" s="49">
        <v>5758192.9999999991</v>
      </c>
      <c r="F2" s="49">
        <v>5199778</v>
      </c>
      <c r="G2" s="17">
        <f t="shared" ref="G2:G13" si="0">C2+D2+E2+F2</f>
        <v>14887000</v>
      </c>
      <c r="H2" s="17">
        <f t="shared" ref="H2:H13" si="1">(B2 + stillbirth*B2/(1000-stillbirth))/(1-abortion)</f>
        <v>6803769.0565782441</v>
      </c>
      <c r="I2" s="17">
        <f t="shared" ref="I2:I13" si="2">G2-H2</f>
        <v>8083230.9434217559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1182869</v>
      </c>
      <c r="C3" s="50">
        <v>2662386.5</v>
      </c>
      <c r="D3" s="50">
        <v>5316736</v>
      </c>
      <c r="E3" s="50">
        <v>5616566</v>
      </c>
      <c r="F3" s="50">
        <v>4174974</v>
      </c>
      <c r="G3" s="17">
        <f t="shared" si="0"/>
        <v>17770662.5</v>
      </c>
      <c r="H3" s="17">
        <f t="shared" si="1"/>
        <v>1366253.2721220055</v>
      </c>
      <c r="I3" s="17">
        <f t="shared" si="2"/>
        <v>16404409.227877995</v>
      </c>
    </row>
    <row r="4" spans="1:9" ht="15.75" customHeight="1" x14ac:dyDescent="0.25">
      <c r="A4" s="5">
        <f t="shared" si="3"/>
        <v>2026</v>
      </c>
      <c r="B4" s="49">
        <v>1175749</v>
      </c>
      <c r="C4" s="50">
        <v>2706494</v>
      </c>
      <c r="D4" s="50">
        <v>5281434.9999999991</v>
      </c>
      <c r="E4" s="50">
        <v>5642607</v>
      </c>
      <c r="F4" s="50">
        <v>4335074.5000000009</v>
      </c>
      <c r="G4" s="17">
        <f t="shared" si="0"/>
        <v>17965610.5</v>
      </c>
      <c r="H4" s="17">
        <f t="shared" si="1"/>
        <v>1358029.4338968862</v>
      </c>
      <c r="I4" s="17">
        <f t="shared" si="2"/>
        <v>16607581.066103114</v>
      </c>
    </row>
    <row r="5" spans="1:9" ht="15.75" customHeight="1" x14ac:dyDescent="0.25">
      <c r="A5" s="5">
        <f t="shared" si="3"/>
        <v>2027</v>
      </c>
      <c r="B5" s="49">
        <v>1167803</v>
      </c>
      <c r="C5" s="50">
        <v>2721951</v>
      </c>
      <c r="D5" s="50">
        <v>5277493</v>
      </c>
      <c r="E5" s="50">
        <v>5650361</v>
      </c>
      <c r="F5" s="50">
        <v>4492795</v>
      </c>
      <c r="G5" s="17">
        <f t="shared" si="0"/>
        <v>18142600</v>
      </c>
      <c r="H5" s="17">
        <f t="shared" si="1"/>
        <v>1348851.5380349765</v>
      </c>
      <c r="I5" s="17">
        <f t="shared" si="2"/>
        <v>16793748.461965024</v>
      </c>
    </row>
    <row r="6" spans="1:9" ht="15.75" customHeight="1" x14ac:dyDescent="0.25">
      <c r="A6" s="5">
        <f t="shared" si="3"/>
        <v>2028</v>
      </c>
      <c r="B6" s="49">
        <v>1162164</v>
      </c>
      <c r="C6" s="50">
        <v>2717928</v>
      </c>
      <c r="D6" s="50">
        <v>5302300.9999999991</v>
      </c>
      <c r="E6" s="50">
        <v>5639762.0000000009</v>
      </c>
      <c r="F6" s="50">
        <v>4642721.5</v>
      </c>
      <c r="G6" s="17">
        <f t="shared" si="0"/>
        <v>18302712.5</v>
      </c>
      <c r="H6" s="17">
        <f t="shared" si="1"/>
        <v>1342338.3043620205</v>
      </c>
      <c r="I6" s="17">
        <f t="shared" si="2"/>
        <v>16960374.195637979</v>
      </c>
    </row>
    <row r="7" spans="1:9" ht="15.75" customHeight="1" x14ac:dyDescent="0.25">
      <c r="A7" s="5">
        <f t="shared" si="3"/>
        <v>2029</v>
      </c>
      <c r="B7" s="49">
        <v>1156824</v>
      </c>
      <c r="C7" s="50">
        <v>2704161.5</v>
      </c>
      <c r="D7" s="50">
        <v>5346698.5</v>
      </c>
      <c r="E7" s="50">
        <v>5614781</v>
      </c>
      <c r="F7" s="50">
        <v>4780441.5</v>
      </c>
      <c r="G7" s="17">
        <f t="shared" si="0"/>
        <v>18446082.5</v>
      </c>
      <c r="H7" s="17">
        <f t="shared" si="1"/>
        <v>1336170.4256931806</v>
      </c>
      <c r="I7" s="17">
        <f t="shared" si="2"/>
        <v>17109912.07430682</v>
      </c>
    </row>
    <row r="8" spans="1:9" ht="15.75" customHeight="1" x14ac:dyDescent="0.25">
      <c r="A8" s="5">
        <f t="shared" si="3"/>
        <v>2030</v>
      </c>
      <c r="B8" s="49">
        <v>1152475</v>
      </c>
      <c r="C8" s="50">
        <v>2683483.5</v>
      </c>
      <c r="D8" s="50">
        <v>5400900</v>
      </c>
      <c r="E8" s="50">
        <v>5576940.5000000009</v>
      </c>
      <c r="F8" s="50">
        <v>4905499.5</v>
      </c>
      <c r="G8" s="17">
        <f t="shared" si="0"/>
        <v>18566823.5</v>
      </c>
      <c r="H8" s="17">
        <f t="shared" si="1"/>
        <v>1331147.1851817984</v>
      </c>
      <c r="I8" s="17">
        <f t="shared" si="2"/>
        <v>17235676.314818203</v>
      </c>
    </row>
    <row r="9" spans="1:9" ht="15.75" customHeight="1" x14ac:dyDescent="0.25">
      <c r="A9" s="5">
        <f t="shared" si="3"/>
        <v>2031</v>
      </c>
      <c r="B9" s="49">
        <v>1146101</v>
      </c>
      <c r="C9" s="50">
        <v>2659203.5</v>
      </c>
      <c r="D9" s="50">
        <v>5461498</v>
      </c>
      <c r="E9" s="50">
        <v>5523464.5</v>
      </c>
      <c r="F9" s="50">
        <v>5018590.5</v>
      </c>
      <c r="G9" s="17">
        <f t="shared" si="0"/>
        <v>18662756.5</v>
      </c>
      <c r="H9" s="17">
        <f t="shared" si="1"/>
        <v>1323785.0019167825</v>
      </c>
      <c r="I9" s="17">
        <f t="shared" si="2"/>
        <v>17338971.498083219</v>
      </c>
    </row>
    <row r="10" spans="1:9" ht="15.75" customHeight="1" x14ac:dyDescent="0.25">
      <c r="A10" s="5">
        <f t="shared" si="3"/>
        <v>2032</v>
      </c>
      <c r="B10" s="49">
        <v>1140828</v>
      </c>
      <c r="C10" s="50">
        <v>2641954</v>
      </c>
      <c r="D10" s="50">
        <v>5530317.9999999991</v>
      </c>
      <c r="E10" s="50">
        <v>5453147.5</v>
      </c>
      <c r="F10" s="50">
        <v>5116643</v>
      </c>
      <c r="G10" s="17">
        <f t="shared" si="0"/>
        <v>18742062.5</v>
      </c>
      <c r="H10" s="17">
        <f t="shared" si="1"/>
        <v>1317694.5104896685</v>
      </c>
      <c r="I10" s="17">
        <f t="shared" si="2"/>
        <v>17424367.989510331</v>
      </c>
    </row>
    <row r="11" spans="1:9" ht="15.75" customHeight="1" x14ac:dyDescent="0.25">
      <c r="A11" s="5">
        <f t="shared" si="3"/>
        <v>2033</v>
      </c>
      <c r="B11" s="49">
        <v>1136735</v>
      </c>
      <c r="C11" s="50">
        <v>2642337</v>
      </c>
      <c r="D11" s="50">
        <v>5606532.9999999991</v>
      </c>
      <c r="E11" s="50">
        <v>5372392.5</v>
      </c>
      <c r="F11" s="50">
        <v>5198148</v>
      </c>
      <c r="G11" s="17">
        <f t="shared" si="0"/>
        <v>18819410.5</v>
      </c>
      <c r="H11" s="17">
        <f t="shared" si="1"/>
        <v>1312966.9585436832</v>
      </c>
      <c r="I11" s="17">
        <f t="shared" si="2"/>
        <v>17506443.541456316</v>
      </c>
    </row>
    <row r="12" spans="1:9" ht="15.75" customHeight="1" x14ac:dyDescent="0.25">
      <c r="A12" s="5">
        <f t="shared" si="3"/>
        <v>2034</v>
      </c>
      <c r="B12" s="49">
        <v>1132757</v>
      </c>
      <c r="C12" s="50">
        <v>2667867.5</v>
      </c>
      <c r="D12" s="50">
        <v>5679991</v>
      </c>
      <c r="E12" s="50">
        <v>5293409.5</v>
      </c>
      <c r="F12" s="50">
        <v>5261009.5</v>
      </c>
      <c r="G12" s="17">
        <f t="shared" si="0"/>
        <v>18902277.5</v>
      </c>
      <c r="H12" s="17">
        <f t="shared" si="1"/>
        <v>1308372.2354454354</v>
      </c>
      <c r="I12" s="17">
        <f t="shared" si="2"/>
        <v>17593905.264554564</v>
      </c>
    </row>
    <row r="13" spans="1:9" ht="15.75" customHeight="1" x14ac:dyDescent="0.25">
      <c r="A13" s="5">
        <f t="shared" si="3"/>
        <v>2035</v>
      </c>
      <c r="B13" s="49">
        <v>1128749</v>
      </c>
      <c r="C13" s="50">
        <v>2723595.5</v>
      </c>
      <c r="D13" s="50">
        <v>5733616.5</v>
      </c>
      <c r="E13" s="50">
        <v>5231571</v>
      </c>
      <c r="F13" s="50">
        <v>5304103</v>
      </c>
      <c r="G13" s="17">
        <f t="shared" si="0"/>
        <v>18992886</v>
      </c>
      <c r="H13" s="17">
        <f t="shared" si="1"/>
        <v>1303742.8613434299</v>
      </c>
      <c r="I13" s="17">
        <f t="shared" si="2"/>
        <v>17689143.138656572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cgWIqtKvIaKYtnbkUZiMw/6gkexEG05v4gYlttVa4yml4T66VI/Cjshlthj8yG41ExrA6T+92j0IOrclVPrdA==" saltValue="q9/U2XB3epfqWSI9yvxy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0.14131246935840991</v>
      </c>
    </row>
    <row r="5" spans="1:8" ht="15.75" customHeight="1" x14ac:dyDescent="0.25">
      <c r="B5" s="19" t="s">
        <v>114</v>
      </c>
      <c r="C5" s="101">
        <v>5.2328941334510708E-2</v>
      </c>
    </row>
    <row r="6" spans="1:8" ht="15.75" customHeight="1" x14ac:dyDescent="0.25">
      <c r="B6" s="19" t="s">
        <v>110</v>
      </c>
      <c r="C6" s="101">
        <v>0.200539021228022</v>
      </c>
    </row>
    <row r="7" spans="1:8" ht="15.75" customHeight="1" x14ac:dyDescent="0.25">
      <c r="B7" s="19" t="s">
        <v>115</v>
      </c>
      <c r="C7" s="101">
        <v>0.35804108021250081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0.1016678551433597</v>
      </c>
    </row>
    <row r="10" spans="1:8" ht="15.75" customHeight="1" x14ac:dyDescent="0.25">
      <c r="B10" s="19" t="s">
        <v>113</v>
      </c>
      <c r="C10" s="101">
        <v>0.14611063272319719</v>
      </c>
    </row>
    <row r="11" spans="1:8" ht="15.75" customHeight="1" x14ac:dyDescent="0.25">
      <c r="B11" s="27" t="s">
        <v>79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121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2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109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3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120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98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107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118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3.3942822999999997E-2</v>
      </c>
    </row>
    <row r="27" spans="1:8" ht="15.75" customHeight="1" x14ac:dyDescent="0.25">
      <c r="B27" s="19" t="s">
        <v>108</v>
      </c>
      <c r="C27" s="101">
        <v>5.9011999999999997E-4</v>
      </c>
    </row>
    <row r="28" spans="1:8" ht="15.75" customHeight="1" x14ac:dyDescent="0.25">
      <c r="B28" s="19" t="s">
        <v>122</v>
      </c>
      <c r="C28" s="101">
        <v>0.106273149</v>
      </c>
    </row>
    <row r="29" spans="1:8" ht="15.75" customHeight="1" x14ac:dyDescent="0.25">
      <c r="B29" s="19" t="s">
        <v>105</v>
      </c>
      <c r="C29" s="101">
        <v>0.14667259199999999</v>
      </c>
    </row>
    <row r="30" spans="1:8" ht="15.75" customHeight="1" x14ac:dyDescent="0.25">
      <c r="B30" s="19" t="s">
        <v>4</v>
      </c>
      <c r="C30" s="101">
        <v>8.2104470999999998E-2</v>
      </c>
    </row>
    <row r="31" spans="1:8" ht="15.75" customHeight="1" x14ac:dyDescent="0.25">
      <c r="B31" s="19" t="s">
        <v>99</v>
      </c>
      <c r="C31" s="101">
        <v>5.7501955E-2</v>
      </c>
    </row>
    <row r="32" spans="1:8" ht="15.75" customHeight="1" x14ac:dyDescent="0.25">
      <c r="B32" s="19" t="s">
        <v>104</v>
      </c>
      <c r="C32" s="101">
        <v>2.0726010999999999E-2</v>
      </c>
    </row>
    <row r="33" spans="2:3" ht="15.75" customHeight="1" x14ac:dyDescent="0.25">
      <c r="B33" s="19" t="s">
        <v>119</v>
      </c>
      <c r="C33" s="101">
        <v>6.9730735000000002E-2</v>
      </c>
    </row>
    <row r="34" spans="2:3" ht="15.75" customHeight="1" x14ac:dyDescent="0.25">
      <c r="B34" s="19" t="s">
        <v>106</v>
      </c>
      <c r="C34" s="101">
        <v>0.48245814399999998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vtKdZqbZeGdw/6bfWvurnzr35s8TzhQ0vdcuxSY3sW/zFToTpsPoY7+LdBMy+bsS+OJzFs2vVSK1Zz6ljl0IA==" saltValue="cqdxuWljPzk2MykZocJv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129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125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126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138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ATYmXKYOJ2smK5N/mVyG2t1ytdfDqGmQQx39AzqNVU8JyehHYhbven9WzR3NHRrPFFSn4GpxtcZsdTK7tKkvg==" saltValue="BMsq3cPJn+gKgQ0MoPoT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5NkVvrPkCqITJK0i+UCBBlGwbjOEdMxgmXNrWO1AftmfmWT3LVMdp3Bydl3ACtxZbRg1CdjaDbmFONr8v8ZYkA==" saltValue="EF5Gxrc6RwVaiSIpqSwO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hOzJCsjx2uHry1plnny0CR6pjGh+GM47SUnJ90/1mNH41O4OYDUhn+KUS6f2lHQqugeFr/dWT1CiA5lMrlXIQ==" saltValue="EiEvHeqYHloiLeP2e19r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6766.4812542947802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0.58639000000000008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0.55531999999999992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1.5804905073423522E-2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96502.997910000006</v>
      </c>
      <c r="C22" s="109">
        <v>96260.188460000005</v>
      </c>
      <c r="D22" s="109">
        <v>95976.718070000003</v>
      </c>
      <c r="E22" s="109">
        <v>95267.668950000007</v>
      </c>
      <c r="F22" s="109">
        <v>93895.115269999995</v>
      </c>
      <c r="G22" s="109">
        <v>91610.970319999993</v>
      </c>
      <c r="H22" s="109">
        <v>88349.324540000001</v>
      </c>
      <c r="I22" s="109">
        <v>84552.175730000003</v>
      </c>
      <c r="J22" s="109">
        <v>80432.232359999995</v>
      </c>
      <c r="K22" s="109">
        <v>76194.606329999995</v>
      </c>
      <c r="L22" s="109">
        <v>71407.311679999999</v>
      </c>
      <c r="M22" s="109">
        <v>66102.765629999994</v>
      </c>
      <c r="N22" s="109">
        <v>59746.514569999999</v>
      </c>
      <c r="O22" s="109">
        <v>52036.71557</v>
      </c>
    </row>
  </sheetData>
  <sheetProtection algorithmName="SHA-512" hashValue="9Lh0u1W73BZMEeffj+HFyw/XKKaDQdUzG+05UFjknFLpb/HRdHapC7fIvk4haAr4oaHr0tjmA2wZ37/o5V2Xdw==" saltValue="00vbWHC0Qr48XUcu2xUC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iTB5JVJ6RRzYy5sevIvLyR4Pzd76srsrthiY7O1HbgUcuDcK5rIr1kpzGOMYG1L5pc6i8JKiWA8cBGH0uLXXw==" saltValue="t7I9dmWI8TQvgPPEk2Cj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gB2OrZTqZ6y2tUfhtT2PkBci9RQFeJfAHA1JqYXHFjdKdMEkHeRI4eZ0gHKulIcKK1Odfcywlga6vYYX5XMEw==" saltValue="JnxGLUCp6VqyS79mQSiJ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0.50549569999999999</v>
      </c>
      <c r="C10" s="98">
        <v>0.95</v>
      </c>
      <c r="D10" s="56">
        <v>13.174056864953229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13.174056864953229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13.174056864953229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13.174056864953229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13.174056864953229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0.45208722222222197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0.53100000000000003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0.27586660000000002</v>
      </c>
      <c r="C19" s="98">
        <v>0.95</v>
      </c>
      <c r="D19" s="56">
        <v>12.125692061066291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4.3805110504495071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0.68605638799376001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0.51420810000000006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0.39905479999999999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0.42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0.44369690000000001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0.15718509999999999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1.2015899999999999E-2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0.90452129999999997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0.27900000000000003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sO5d5HiGG70rfGNzWZ+JunF97uSTxxpZBA0vy9MkVEFXoXEwkmxboD1zQt7eYe+yD7lN5/6JBB4lx3KKkSwiHQ==" saltValue="rvsnP4z17Zcmmunzjteb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oFVB2JHdpiyBkL7ONX7DnnY/ra1f9IIHNHRZ+z69A3JT8qzUg+4tGcuLTsoAda+FjX4392bmffQfSZkSC3D5Q==" saltValue="/GIYUaCHtsCqpUtvPhyh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tqAxs8ZHqsKSLNnO//dbcCh8mTCrQJi0+3KoyseNHStNBLvm1UK7NmJVZQwVygmBsWu9Rh4oW5q1aEsfEwWNA==" saltValue="ubtaWvMlr3rCNGnng+54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1.82</v>
      </c>
      <c r="C2" s="21">
        <f>'Entradas de población-año base'!C52</f>
        <v>1.82</v>
      </c>
      <c r="D2" s="21">
        <f>'Entradas de población-año base'!C53</f>
        <v>4.2380000000000004</v>
      </c>
      <c r="E2" s="21">
        <f>'Entradas de población-año base'!C54</f>
        <v>4.3680000000000003</v>
      </c>
      <c r="F2" s="21">
        <f>'Entradas de población-año base'!C55</f>
        <v>2.062666666666666</v>
      </c>
    </row>
    <row r="3" spans="1:6" ht="15.75" customHeight="1" x14ac:dyDescent="0.25">
      <c r="A3" s="3" t="s">
        <v>6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236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krgTaeOsKevSVgg/8FiNdJsDL8b0Tong6pHdaJW2Jyl/5HhHI7xeVeWW6IOoH12OIDyomzn6nrlBcdasvarJ7A==" saltValue="iY7JX2jQ9gVmIG12QT2s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4I/W1uRrHOboT5azBrP85sGaRZJtqSYZDDHToOSkKT3tUuViqJeD6Y8SDjKrwqrerFm3d7FKPAx1wG8THjEMA==" saltValue="glwv4a5t5dReZ1JWs/CY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52bpao+Mdj1kDCY+qBHyXAv9t0bUSQj5ObBhl1xcLAu/WFvBmhJ9IZG3xags9l+xjnZaIbTc4ac75ZnmvAvrw==" saltValue="yrP/mB2PeU3MbDnnIsaH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zbEawx7yu7CUJEduMRlOI6B32Ursrm0byXBKMMwS2tPo5I/MgiVQ7Re2Im2PSszE3OLpk927DaTalpP78Bsyg==" saltValue="3brYyT/C47/xZZOxRFn18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CBcrQLPmu/sDZk4zJpDqNDAyyGFlWv6/guCngCHrEAEOvHDbZFc7wPznB/JOrqYnR7u9a+Qea6sfSvRHMesaA==" saltValue="oxLkLMhTQPqLh6UeVWl5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qJRwNly0dq5VzH3/sHWQtE7Cn1Jfrzzp0vG9agMiGC1QphVOWbXv4dJe/s6MmMmyWTRmAtw4ITQF80lJ52g1g==" saltValue="wUgXOvB3hZ8LKZ6oxiqx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82JF3g+fTW9/ckfHXFxIoKYx8LjD92AJ/zgOm9B1NcJuP6RweD9VZCfUUEXoNRtGvOrU43X1QONJzAo84f/Myw==" saltValue="LZeO9JY2T3GdLFbvOiUs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1pUCMqqDxXVBlWjGXGCEz9uG6jQeFxrpLuiBQ2XrdxFpkZSSCh8ls4EsB6qJY/cYQTNANFajG+VThaDdEVozg==" saltValue="Ls8HSqdrOCA6/fuUFfxjT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rlSOZlJvTk572QYpS1uZ0AqJkGsdPOSuGdtWqiFJzWg8x4b6EhZYx/9hD3n8cZuI8C4DjUAg2D+O9byVB8xiSw==" saltValue="DJ1PmOeoQzfRhSpjkuZx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6pGlQ+UdXzxYeVqo9jZ/WY6wKzRbE/C7QnQHEXVTl3QN70PDYjpnvjlNzEWhU05UgAl/PB8J6Xo4USvaH2bbZw==" saltValue="ZDQE8YMSCpz8MSz+hbl6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/8Hsd/RQ2sbwdHBUSn2+lpFlGFxoFCCj7tI5KvqJnFevBTsRR9VOqEhTD/x3w0Dnn5iXqeGUFalmx2Dc2DQgQ==" saltValue="1zEhuwUh7UWjV+wGxDF8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bvhVvCkAMjkH9BjBKm99hwxCXpkB4q7Mxhc79NOFUrWL08v5278PZ1nQQHh4x49Kovn2hZ/21Y99Lx1Jp3gUQ==" saltValue="vJSgF56AISbu3OBKEiT5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3vENBjQR2zSAfNCVu7up4hQpTh3SyYgKqL2Vgc3I/a7iQ4Yi6VnVmH+34DFhVDNpWtBL0+wXwynR0xHonqi5Q==" saltValue="qbK+c9Ua/J8Ueai9KsC/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KbobqNQ6AJ5LQyrEn23RbEeUNssgPsVBK6Mm4/1BG7u0eamFziC3rGXV85eWlZhewXm2YCRxUUnVx5/H5xtBw==" saltValue="FLdSacZsUKEI4oHzOsLR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pkO5cLqquyug5diBonJv2qqwjxw4kOLf2zllgqDdMPhJV+CciaFCBtJv0A84auYUt32dmJA2ne3pQvlcZqe/g==" saltValue="R5fAdBolAXi/DBxyavk5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yit/e+u2Ke3w1VmeksQCFG/DEaltF6rNb4wS6v6GJtF6IYg4UKZinTM5dXwWxnGl+5M7UcBRAEH6pirUVriVw==" saltValue="LdAyOHAyV9KoNT8sIhVH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