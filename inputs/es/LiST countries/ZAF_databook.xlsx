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AD132EB-3D1E-42C8-B36F-DB8AC44B89C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<sst xmlns="http://schemas.openxmlformats.org/spreadsheetml/2006/main" count="2159" uniqueCount="372">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</sst>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5686551.5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0.15</v>
      </c>
    </row>
    <row r="10" spans="1:3" ht="15" customHeight="1" x14ac:dyDescent="0.25">
      <c r="B10" s="5" t="s">
        <v>75</v>
      </c>
      <c r="C10" s="45">
        <v>0.78522720000000001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9.8900000000000002E-2</v>
      </c>
    </row>
    <row r="24" spans="1:3" ht="15" customHeight="1" x14ac:dyDescent="0.25">
      <c r="B24" s="15" t="s">
        <v>65</v>
      </c>
      <c r="C24" s="45">
        <v>0.53500000000000003</v>
      </c>
    </row>
    <row r="25" spans="1:3" ht="15" customHeight="1" x14ac:dyDescent="0.25">
      <c r="B25" s="15" t="s">
        <v>66</v>
      </c>
      <c r="C25" s="45">
        <v>0.3115</v>
      </c>
    </row>
    <row r="26" spans="1:3" ht="15" customHeight="1" x14ac:dyDescent="0.25">
      <c r="B26" s="15" t="s">
        <v>67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0.35873412103889402</v>
      </c>
    </row>
    <row r="30" spans="1:3" ht="14.25" customHeight="1" x14ac:dyDescent="0.25">
      <c r="B30" s="25" t="s">
        <v>82</v>
      </c>
      <c r="C30" s="99">
        <v>2.5198011863396302E-2</v>
      </c>
    </row>
    <row r="31" spans="1:3" ht="14.25" customHeight="1" x14ac:dyDescent="0.25">
      <c r="B31" s="25" t="s">
        <v>29</v>
      </c>
      <c r="C31" s="99">
        <v>4.3840922737282198E-2</v>
      </c>
    </row>
    <row r="32" spans="1:3" ht="14.25" customHeight="1" x14ac:dyDescent="0.25">
      <c r="B32" s="25" t="s">
        <v>30</v>
      </c>
      <c r="C32" s="99">
        <v>0.57222694436042698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11.02473</v>
      </c>
    </row>
    <row r="38" spans="1:5" ht="15" customHeight="1" x14ac:dyDescent="0.25">
      <c r="B38" s="11" t="s">
        <v>54</v>
      </c>
      <c r="C38" s="43">
        <v>26.427199999999999</v>
      </c>
      <c r="D38" s="12"/>
      <c r="E38" s="13"/>
    </row>
    <row r="39" spans="1:5" ht="15" customHeight="1" x14ac:dyDescent="0.25">
      <c r="B39" s="11" t="s">
        <v>80</v>
      </c>
      <c r="C39" s="43">
        <v>32.847329999999999</v>
      </c>
      <c r="D39" s="12"/>
      <c r="E39" s="12"/>
    </row>
    <row r="40" spans="1:5" ht="15" customHeight="1" x14ac:dyDescent="0.25">
      <c r="B40" s="11" t="s">
        <v>55</v>
      </c>
      <c r="C40" s="100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78</v>
      </c>
      <c r="C47" s="45">
        <v>0.1031654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1.82</v>
      </c>
      <c r="D51" s="12"/>
    </row>
    <row r="52" spans="1:4" ht="15" customHeight="1" x14ac:dyDescent="0.25">
      <c r="B52" s="11" t="s">
        <v>32</v>
      </c>
      <c r="C52" s="100">
        <v>1.82</v>
      </c>
    </row>
    <row r="53" spans="1:4" ht="15.75" customHeight="1" x14ac:dyDescent="0.25">
      <c r="B53" s="11" t="s">
        <v>35</v>
      </c>
      <c r="C53" s="100">
        <v>4.2380000000000004</v>
      </c>
    </row>
    <row r="54" spans="1:4" ht="15.75" customHeight="1" x14ac:dyDescent="0.25">
      <c r="B54" s="11" t="s">
        <v>33</v>
      </c>
      <c r="C54" s="100">
        <v>4.3680000000000003</v>
      </c>
    </row>
    <row r="55" spans="1:4" ht="15.75" customHeight="1" x14ac:dyDescent="0.25">
      <c r="B55" s="11" t="s">
        <v>34</v>
      </c>
      <c r="C55" s="100">
        <v>2.062666666666666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0.55612200000000001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j+ZukMVj0JnQReco8tt9Y+s2k0pOmFjGxYBP8Zp8RWBQkEBB/rDzy2xnhZI0ywpeDi5UHJU6wGX0riwzalr7kw==" saltValue="Imr27MEn9EuQ0CRzJ/ow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cgWIqtKvIaKYtnbkUZiMw/6gkexEG05v4gYlttVa4yml4T66VI/Cjshlthj8yG41ExrA6T+92j0IOrclVPrdA==" saltValue="q9/U2XB3epfqWSI9yvxy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0.14131246935840991</v>
      </c>
    </row>
    <row r="5" spans="1:8" ht="15.75" customHeight="1" x14ac:dyDescent="0.25">
      <c r="B5" s="19" t="s">
        <v>114</v>
      </c>
      <c r="C5" s="101">
        <v>5.2328941334510708E-2</v>
      </c>
    </row>
    <row r="6" spans="1:8" ht="15.75" customHeight="1" x14ac:dyDescent="0.25">
      <c r="B6" s="19" t="s">
        <v>110</v>
      </c>
      <c r="C6" s="101">
        <v>0.200539021228022</v>
      </c>
    </row>
    <row r="7" spans="1:8" ht="15.75" customHeight="1" x14ac:dyDescent="0.25">
      <c r="B7" s="19" t="s">
        <v>115</v>
      </c>
      <c r="C7" s="101">
        <v>0.35804108021250081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0.1016678551433597</v>
      </c>
    </row>
    <row r="10" spans="1:8" ht="15.75" customHeight="1" x14ac:dyDescent="0.25">
      <c r="B10" s="19" t="s">
        <v>113</v>
      </c>
      <c r="C10" s="101">
        <v>0.14611063272319719</v>
      </c>
    </row>
    <row r="11" spans="1:8" ht="15.75" customHeight="1" x14ac:dyDescent="0.25">
      <c r="B11" s="27" t="s">
        <v>79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121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2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109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3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120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98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107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118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3.3942822999999997E-2</v>
      </c>
    </row>
    <row r="27" spans="1:8" ht="15.75" customHeight="1" x14ac:dyDescent="0.25">
      <c r="B27" s="19" t="s">
        <v>108</v>
      </c>
      <c r="C27" s="101">
        <v>5.9011999999999997E-4</v>
      </c>
    </row>
    <row r="28" spans="1:8" ht="15.75" customHeight="1" x14ac:dyDescent="0.25">
      <c r="B28" s="19" t="s">
        <v>122</v>
      </c>
      <c r="C28" s="101">
        <v>0.106273149</v>
      </c>
    </row>
    <row r="29" spans="1:8" ht="15.75" customHeight="1" x14ac:dyDescent="0.25">
      <c r="B29" s="19" t="s">
        <v>105</v>
      </c>
      <c r="C29" s="101">
        <v>0.14667259199999999</v>
      </c>
    </row>
    <row r="30" spans="1:8" ht="15.75" customHeight="1" x14ac:dyDescent="0.25">
      <c r="B30" s="19" t="s">
        <v>4</v>
      </c>
      <c r="C30" s="101">
        <v>8.2104470999999998E-2</v>
      </c>
    </row>
    <row r="31" spans="1:8" ht="15.75" customHeight="1" x14ac:dyDescent="0.25">
      <c r="B31" s="19" t="s">
        <v>99</v>
      </c>
      <c r="C31" s="101">
        <v>5.7501955E-2</v>
      </c>
    </row>
    <row r="32" spans="1:8" ht="15.75" customHeight="1" x14ac:dyDescent="0.25">
      <c r="B32" s="19" t="s">
        <v>104</v>
      </c>
      <c r="C32" s="101">
        <v>2.0726010999999999E-2</v>
      </c>
    </row>
    <row r="33" spans="2:3" ht="15.75" customHeight="1" x14ac:dyDescent="0.25">
      <c r="B33" s="19" t="s">
        <v>119</v>
      </c>
      <c r="C33" s="101">
        <v>6.9730735000000002E-2</v>
      </c>
    </row>
    <row r="34" spans="2:3" ht="15.75" customHeight="1" x14ac:dyDescent="0.25">
      <c r="B34" s="19" t="s">
        <v>106</v>
      </c>
      <c r="C34" s="101">
        <v>0.48245814399999998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vtKdZqbZeGdw/6bfWvurnzr35s8TzhQ0vdcuxSY3sW/zFToTpsPoY7+LdBMy+bsS+OJzFs2vVSK1Zz6ljl0IA==" saltValue="cqdxuWljPzk2MykZocJv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129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125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126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ATYmXKYOJ2smK5N/mVyG2t1ytdfDqGmQQx39AzqNVU8JyehHYhbven9WzR3NHRrPFFSn4GpxtcZsdTK7tKkvg==" saltValue="BMsq3cPJn+gKgQ0MoPoT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5NkVvrPkCqITJK0i+UCBBlGwbjOEdMxgmXNrWO1AftmfmWT3LVMdp3Bydl3ACtxZbRg1CdjaDbmFONr8v8ZYkA==" saltValue="EF5Gxrc6RwVaiSIpqSwO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hOzJCsjx2uHry1plnny0CR6pjGh+GM47SUnJ90/1mNH41O4OYDUhn+KUS6f2lHQqugeFr/dWT1CiA5lMrlXIQ==" saltValue="EiEvHeqYHloiLeP2e19r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6766.4812542947802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0.58639000000000008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0.55531999999999992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1.5804905073423522E-2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96502.997910000006</v>
      </c>
      <c r="C22" s="109">
        <v>96260.188460000005</v>
      </c>
      <c r="D22" s="109">
        <v>95976.718070000003</v>
      </c>
      <c r="E22" s="109">
        <v>95267.668950000007</v>
      </c>
      <c r="F22" s="109">
        <v>93895.115269999995</v>
      </c>
      <c r="G22" s="109">
        <v>91610.970319999993</v>
      </c>
      <c r="H22" s="109">
        <v>88349.324540000001</v>
      </c>
      <c r="I22" s="109">
        <v>84552.175730000003</v>
      </c>
      <c r="J22" s="109">
        <v>80432.232359999995</v>
      </c>
      <c r="K22" s="109">
        <v>76194.606329999995</v>
      </c>
      <c r="L22" s="109">
        <v>71407.311679999999</v>
      </c>
      <c r="M22" s="109">
        <v>66102.765629999994</v>
      </c>
      <c r="N22" s="109">
        <v>59746.514569999999</v>
      </c>
      <c r="O22" s="109">
        <v>52036.71557</v>
      </c>
    </row>
  </sheetData>
  <sheetProtection algorithmName="SHA-512" hashValue="9Lh0u1W73BZMEeffj+HFyw/XKKaDQdUzG+05UFjknFLpb/HRdHapC7fIvk4haAr4oaHr0tjmA2wZ37/o5V2Xdw==" saltValue="00vbWHC0Qr48XUcu2xUC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iTB5JVJ6RRzYy5sevIvLyR4Pzd76srsrthiY7O1HbgUcuDcK5rIr1kpzGOMYG1L5pc6i8JKiWA8cBGH0uLXXw==" saltValue="t7I9dmWI8TQvgPPEk2Cj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gB2OrZTqZ6y2tUfhtT2PkBci9RQFeJfAHA1JqYXHFjdKdMEkHeRI4eZ0gHKulIcKK1Odfcywlga6vYYX5XMEw==" saltValue="JnxGLUCp6VqyS79mQSiJ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0.50549569999999999</v>
      </c>
      <c r="C10" s="98">
        <v>0.95</v>
      </c>
      <c r="D10" s="56">
        <v>13.174056864953229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13.174056864953229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13.174056864953229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13.174056864953229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13.174056864953229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0.45208722222222197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0.53100000000000003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0.27586660000000002</v>
      </c>
      <c r="C19" s="98">
        <v>0.95</v>
      </c>
      <c r="D19" s="56">
        <v>12.125692061066291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4.3805110504495071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0.68605638799376001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0.51420810000000006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0.39905479999999999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0.42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0.44369690000000001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0.15718509999999999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1.2015899999999999E-2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0.90452129999999997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0.27900000000000003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sO5d5HiGG70rfGNzWZ+JunF97uSTxxpZBA0vy9MkVEFXoXEwkmxboD1zQt7eYe+yD7lN5/6JBB4lx3KKkSwiHQ==" saltValue="rvsnP4z17Zcmmunzjteb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oFVB2JHdpiyBkL7ONX7DnnY/ra1f9IIHNHRZ+z69A3JT8qzUg+4tGcuLTsoAda+FjX4392bmffQfSZkSC3D5Q==" saltValue="/GIYUaCHtsCqpUtvPhyh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tqAxs8ZHqsKSLNnO//dbcCh8mTCrQJi0+3KoyseNHStNBLvm1UK7NmJVZQwVygmBsWu9Rh4oW5q1aEsfEwWNA==" saltValue="ubtaWvMlr3rCNGnng+54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1.82</v>
      </c>
      <c r="C2" s="21">
        <f>'Entradas de población-año base'!C52</f>
        <v>1.82</v>
      </c>
      <c r="D2" s="21">
        <f>'Entradas de población-año base'!C53</f>
        <v>4.2380000000000004</v>
      </c>
      <c r="E2" s="21">
        <f>'Entradas de población-año base'!C54</f>
        <v>4.3680000000000003</v>
      </c>
      <c r="F2" s="21">
        <f>'Entradas de población-año base'!C55</f>
        <v>2.062666666666666</v>
      </c>
    </row>
    <row r="3" spans="1:6" ht="15.75" customHeight="1" x14ac:dyDescent="0.25">
      <c r="A3" s="3" t="s">
        <v>6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236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krgTaeOsKevSVgg/8FiNdJsDL8b0Tong6pHdaJW2Jyl/5HhHI7xeVeWW6IOoH12OIDyomzn6nrlBcdasvarJ7A==" saltValue="iY7JX2jQ9gVmIG12QT2s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4I/W1uRrHOboT5azBrP85sGaRZJtqSYZDDHToOSkKT3tUuViqJeD6Y8SDjKrwqrerFm3d7FKPAx1wG8THjEMA==" saltValue="glwv4a5t5dReZ1JWs/CY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52bpao+Mdj1kDCY+qBHyXAv9t0bUSQj5ObBhl1xcLAu/WFvBmhJ9IZG3xags9l+xjnZaIbTc4ac75ZnmvAvrw==" saltValue="yrP/mB2PeU3MbDnnIsaH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zbEawx7yu7CUJEduMRlOI6B32Ursrm0byXBKMMwS2tPo5I/MgiVQ7Re2Im2PSszE3OLpk927DaTalpP78Bsyg==" saltValue="3brYyT/C47/xZZOxRFn1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CBcrQLPmu/sDZk4zJpDqNDAyyGFlWv6/guCngCHrEAEOvHDbZFc7wPznB/JOrqYnR7u9a+Qea6sfSvRHMesaA==" saltValue="oxLkLMhTQPqLh6UeVWl5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qJRwNly0dq5VzH3/sHWQtE7Cn1Jfrzzp0vG9agMiGC1QphVOWbXv4dJe/s6MmMmyWTRmAtw4ITQF80lJ52g1g==" saltValue="wUgXOvB3hZ8LKZ6oxiqx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2JF3g+fTW9/ckfHXFxIoKYx8LjD92AJ/zgOm9B1NcJuP6RweD9VZCfUUEXoNRtGvOrU43X1QONJzAo84f/Myw==" saltValue="LZeO9JY2T3GdLFbvOiUs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1pUCMqqDxXVBlWjGXGCEz9uG6jQeFxrpLuiBQ2XrdxFpkZSSCh8ls4EsB6qJY/cYQTNANFajG+VThaDdEVozg==" saltValue="Ls8HSqdrOCA6/fuUFfxjT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rlSOZlJvTk572QYpS1uZ0AqJkGsdPOSuGdtWqiFJzWg8x4b6EhZYx/9hD3n8cZuI8C4DjUAg2D+O9byVB8xiSw==" saltValue="DJ1PmOeoQzfRhSpjkuZ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6pGlQ+UdXzxYeVqo9jZ/WY6wKzRbE/C7QnQHEXVTl3QN70PDYjpnvjlNzEWhU05UgAl/PB8J6Xo4USvaH2bbZw==" saltValue="ZDQE8YMSCpz8MSz+hbl6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/8Hsd/RQ2sbwdHBUSn2+lpFlGFxoFCCj7tI5KvqJnFevBTsRR9VOqEhTD/x3w0Dnn5iXqeGUFalmx2Dc2DQgQ==" saltValue="1zEhuwUh7UWjV+wGxDF8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bvhVvCkAMjkH9BjBKm99hwxCXpkB4q7Mxhc79NOFUrWL08v5278PZ1nQQHh4x49Kovn2hZ/21Y99Lx1Jp3gUQ==" saltValue="vJSgF56AISbu3OBKEiT5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3vENBjQR2zSAfNCVu7up4hQpTh3SyYgKqL2Vgc3I/a7iQ4Yi6VnVmH+34DFhVDNpWtBL0+wXwynR0xHonqi5Q==" saltValue="qbK+c9Ua/J8Ueai9KsC/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KbobqNQ6AJ5LQyrEn23RbEeUNssgPsVBK6Mm4/1BG7u0eamFziC3rGXV85eWlZhewXm2YCRxUUnVx5/H5xtBw==" saltValue="FLdSacZsUKEI4oHzOsLR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pkO5cLqquyug5diBonJv2qqwjxw4kOLf2zllgqDdMPhJV+CciaFCBtJv0A84auYUt32dmJA2ne3pQvlcZqe/g==" saltValue="R5fAdBolAXi/DBxyavk5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yit/e+u2Ke3w1VmeksQCFG/DEaltF6rNb4wS6v6GJtF6IYg4UKZinTM5dXwWxnGl+5M7UcBRAEH6pirUVriVw==" saltValue="LdAyOHAyV9KoNT8sIhVH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