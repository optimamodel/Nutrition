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B5156911-EE65-49DF-B3B1-79A4A7B727D3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I39" i="2" l="1"/>
  <c r="A31" i="2"/>
  <c r="I11" i="2"/>
  <c r="I6" i="2"/>
  <c r="I12" i="2"/>
  <c r="A35" i="2"/>
  <c r="I7" i="2"/>
  <c r="I13" i="2"/>
  <c r="A37" i="2"/>
  <c r="A36" i="2"/>
  <c r="A19" i="2"/>
  <c r="A22" i="2"/>
  <c r="A23" i="2"/>
  <c r="A24" i="2"/>
  <c r="A40" i="2"/>
  <c r="I4" i="2"/>
  <c r="A25" i="2"/>
  <c r="A26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<sst xmlns="http://schemas.openxmlformats.org/spreadsheetml/2006/main" count="2169" uniqueCount="373">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</sst>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5686551.5</v>
      </c>
    </row>
    <row r="8" spans="1:3" ht="15" customHeight="1" x14ac:dyDescent="0.25">
      <c r="B8" s="5" t="s">
        <v>63</v>
      </c>
      <c r="C8" s="44">
        <v>0.55500000000000005</v>
      </c>
    </row>
    <row r="9" spans="1:3" ht="15" customHeight="1" x14ac:dyDescent="0.25">
      <c r="B9" s="5" t="s">
        <v>62</v>
      </c>
      <c r="C9" s="45">
        <v>0.15</v>
      </c>
    </row>
    <row r="10" spans="1:3" ht="15" customHeight="1" x14ac:dyDescent="0.25">
      <c r="B10" s="5" t="s">
        <v>75</v>
      </c>
      <c r="C10" s="45">
        <v>0.78522720000000001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0.14899999999999999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9.8900000000000002E-2</v>
      </c>
    </row>
    <row r="24" spans="1:3" ht="15" customHeight="1" x14ac:dyDescent="0.25">
      <c r="B24" s="15" t="s">
        <v>65</v>
      </c>
      <c r="C24" s="45">
        <v>0.53500000000000003</v>
      </c>
    </row>
    <row r="25" spans="1:3" ht="15" customHeight="1" x14ac:dyDescent="0.25">
      <c r="B25" s="15" t="s">
        <v>66</v>
      </c>
      <c r="C25" s="45">
        <v>0.3115</v>
      </c>
    </row>
    <row r="26" spans="1:3" ht="15" customHeight="1" x14ac:dyDescent="0.25">
      <c r="B26" s="15" t="s">
        <v>67</v>
      </c>
      <c r="C26" s="45">
        <v>5.4600000000000003E-2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0.35873412103889402</v>
      </c>
    </row>
    <row r="30" spans="1:3" ht="14.25" customHeight="1" x14ac:dyDescent="0.25">
      <c r="B30" s="25" t="s">
        <v>82</v>
      </c>
      <c r="C30" s="97">
        <v>2.5198011863396302E-2</v>
      </c>
    </row>
    <row r="31" spans="1:3" ht="14.25" customHeight="1" x14ac:dyDescent="0.25">
      <c r="B31" s="25" t="s">
        <v>29</v>
      </c>
      <c r="C31" s="97">
        <v>4.3840922737282198E-2</v>
      </c>
    </row>
    <row r="32" spans="1:3" ht="14.25" customHeight="1" x14ac:dyDescent="0.25">
      <c r="B32" s="25" t="s">
        <v>30</v>
      </c>
      <c r="C32" s="97">
        <v>0.57222694436042698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11.02473</v>
      </c>
    </row>
    <row r="38" spans="1:5" ht="15" customHeight="1" x14ac:dyDescent="0.25">
      <c r="B38" s="11" t="s">
        <v>54</v>
      </c>
      <c r="C38" s="43">
        <v>26.427199999999999</v>
      </c>
      <c r="D38" s="12"/>
      <c r="E38" s="13"/>
    </row>
    <row r="39" spans="1:5" ht="15" customHeight="1" x14ac:dyDescent="0.25">
      <c r="B39" s="11" t="s">
        <v>80</v>
      </c>
      <c r="C39" s="43">
        <v>32.847329999999999</v>
      </c>
      <c r="D39" s="12"/>
      <c r="E39" s="12"/>
    </row>
    <row r="40" spans="1:5" ht="15" customHeight="1" x14ac:dyDescent="0.25">
      <c r="B40" s="11" t="s">
        <v>55</v>
      </c>
      <c r="C40" s="98">
        <v>1.27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16.163879999999999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1.10247E-2</v>
      </c>
      <c r="D45" s="12"/>
    </row>
    <row r="46" spans="1:5" ht="15.75" customHeight="1" x14ac:dyDescent="0.25">
      <c r="B46" s="11" t="s">
        <v>70</v>
      </c>
      <c r="C46" s="45">
        <v>0.1185986</v>
      </c>
      <c r="D46" s="12"/>
    </row>
    <row r="47" spans="1:5" ht="15.75" customHeight="1" x14ac:dyDescent="0.25">
      <c r="B47" s="11" t="s">
        <v>78</v>
      </c>
      <c r="C47" s="45">
        <v>0.1031654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1.82</v>
      </c>
      <c r="D51" s="12"/>
    </row>
    <row r="52" spans="1:4" ht="15" customHeight="1" x14ac:dyDescent="0.25">
      <c r="B52" s="11" t="s">
        <v>32</v>
      </c>
      <c r="C52" s="98">
        <v>1.82</v>
      </c>
    </row>
    <row r="53" spans="1:4" ht="15.75" customHeight="1" x14ac:dyDescent="0.25">
      <c r="B53" s="11" t="s">
        <v>35</v>
      </c>
      <c r="C53" s="98">
        <v>4.2380000000000004</v>
      </c>
    </row>
    <row r="54" spans="1:4" ht="15.75" customHeight="1" x14ac:dyDescent="0.25">
      <c r="B54" s="11" t="s">
        <v>33</v>
      </c>
      <c r="C54" s="98">
        <v>4.3680000000000003</v>
      </c>
    </row>
    <row r="55" spans="1:4" ht="15.75" customHeight="1" x14ac:dyDescent="0.25">
      <c r="B55" s="11" t="s">
        <v>34</v>
      </c>
      <c r="C55" s="98">
        <v>2.062666666666666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0.55612200000000001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0.16638388949999999</v>
      </c>
    </row>
    <row r="63" spans="1:4" ht="15.75" customHeight="1" x14ac:dyDescent="0.3">
      <c r="A63" s="4"/>
    </row>
  </sheetData>
  <sheetProtection algorithmName="SHA-512" hashValue="n0VeIjqd0nvzV8yIcBOabbWtaFcIRjeLvog6VUQY3931H78THsOa7S1D0tk720ofi6q9tt4facgc5ZItpgA0BQ==" saltValue="p4mSRewIMGy/jMnjLrwp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1182869</v>
      </c>
      <c r="C2" s="49">
        <v>2662386.5</v>
      </c>
      <c r="D2" s="49">
        <v>5316736</v>
      </c>
      <c r="E2" s="49">
        <v>5616566</v>
      </c>
      <c r="F2" s="49">
        <v>4174974</v>
      </c>
      <c r="G2" s="17">
        <f t="shared" ref="G2:G13" si="0">C2+D2+E2+F2</f>
        <v>17770662.5</v>
      </c>
      <c r="H2" s="17">
        <f t="shared" ref="H2:H13" si="1">(B2 + stillbirth*B2/(1000-stillbirth))/(1-abortion)</f>
        <v>1366253.2721220055</v>
      </c>
      <c r="I2" s="17">
        <f t="shared" ref="I2:I13" si="2">G2-H2</f>
        <v>16404409.227877995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1175749</v>
      </c>
      <c r="C3" s="50">
        <v>2706494</v>
      </c>
      <c r="D3" s="50">
        <v>5281434.9999999991</v>
      </c>
      <c r="E3" s="50">
        <v>5642607</v>
      </c>
      <c r="F3" s="50">
        <v>4335074.5000000009</v>
      </c>
      <c r="G3" s="17">
        <f t="shared" si="0"/>
        <v>17965610.5</v>
      </c>
      <c r="H3" s="17">
        <f t="shared" si="1"/>
        <v>1358029.4338968862</v>
      </c>
      <c r="I3" s="17">
        <f t="shared" si="2"/>
        <v>16607581.066103114</v>
      </c>
    </row>
    <row r="4" spans="1:9" ht="15.75" customHeight="1" x14ac:dyDescent="0.25">
      <c r="A4" s="5">
        <f t="shared" si="3"/>
        <v>2026</v>
      </c>
      <c r="B4" s="49">
        <v>1167803</v>
      </c>
      <c r="C4" s="50">
        <v>2721951</v>
      </c>
      <c r="D4" s="50">
        <v>5277493</v>
      </c>
      <c r="E4" s="50">
        <v>5650361</v>
      </c>
      <c r="F4" s="50">
        <v>4492795</v>
      </c>
      <c r="G4" s="17">
        <f t="shared" si="0"/>
        <v>18142600</v>
      </c>
      <c r="H4" s="17">
        <f t="shared" si="1"/>
        <v>1348851.5380349765</v>
      </c>
      <c r="I4" s="17">
        <f t="shared" si="2"/>
        <v>16793748.461965024</v>
      </c>
    </row>
    <row r="5" spans="1:9" ht="15.75" customHeight="1" x14ac:dyDescent="0.25">
      <c r="A5" s="5">
        <f t="shared" si="3"/>
        <v>2027</v>
      </c>
      <c r="B5" s="49">
        <v>1162164</v>
      </c>
      <c r="C5" s="50">
        <v>2717928</v>
      </c>
      <c r="D5" s="50">
        <v>5302300.9999999991</v>
      </c>
      <c r="E5" s="50">
        <v>5639762.0000000009</v>
      </c>
      <c r="F5" s="50">
        <v>4642721.5</v>
      </c>
      <c r="G5" s="17">
        <f t="shared" si="0"/>
        <v>18302712.5</v>
      </c>
      <c r="H5" s="17">
        <f t="shared" si="1"/>
        <v>1342338.3043620205</v>
      </c>
      <c r="I5" s="17">
        <f t="shared" si="2"/>
        <v>16960374.195637979</v>
      </c>
    </row>
    <row r="6" spans="1:9" ht="15.75" customHeight="1" x14ac:dyDescent="0.25">
      <c r="A6" s="5">
        <f t="shared" si="3"/>
        <v>2028</v>
      </c>
      <c r="B6" s="49">
        <v>1156824</v>
      </c>
      <c r="C6" s="50">
        <v>2704161.5</v>
      </c>
      <c r="D6" s="50">
        <v>5346698.5</v>
      </c>
      <c r="E6" s="50">
        <v>5614781</v>
      </c>
      <c r="F6" s="50">
        <v>4780441.5</v>
      </c>
      <c r="G6" s="17">
        <f t="shared" si="0"/>
        <v>18446082.5</v>
      </c>
      <c r="H6" s="17">
        <f t="shared" si="1"/>
        <v>1336170.4256931806</v>
      </c>
      <c r="I6" s="17">
        <f t="shared" si="2"/>
        <v>17109912.07430682</v>
      </c>
    </row>
    <row r="7" spans="1:9" ht="15.75" customHeight="1" x14ac:dyDescent="0.25">
      <c r="A7" s="5">
        <f t="shared" si="3"/>
        <v>2029</v>
      </c>
      <c r="B7" s="49">
        <v>1152475</v>
      </c>
      <c r="C7" s="50">
        <v>2683483.5</v>
      </c>
      <c r="D7" s="50">
        <v>5400900</v>
      </c>
      <c r="E7" s="50">
        <v>5576940.5000000009</v>
      </c>
      <c r="F7" s="50">
        <v>4905499.5</v>
      </c>
      <c r="G7" s="17">
        <f t="shared" si="0"/>
        <v>18566823.5</v>
      </c>
      <c r="H7" s="17">
        <f t="shared" si="1"/>
        <v>1331147.1851817984</v>
      </c>
      <c r="I7" s="17">
        <f t="shared" si="2"/>
        <v>17235676.314818203</v>
      </c>
    </row>
    <row r="8" spans="1:9" ht="15.75" customHeight="1" x14ac:dyDescent="0.25">
      <c r="A8" s="5">
        <f t="shared" si="3"/>
        <v>2030</v>
      </c>
      <c r="B8" s="49">
        <v>1146101</v>
      </c>
      <c r="C8" s="50">
        <v>2659203.5</v>
      </c>
      <c r="D8" s="50">
        <v>5461498</v>
      </c>
      <c r="E8" s="50">
        <v>5523464.5</v>
      </c>
      <c r="F8" s="50">
        <v>5018590.5</v>
      </c>
      <c r="G8" s="17">
        <f t="shared" si="0"/>
        <v>18662756.5</v>
      </c>
      <c r="H8" s="17">
        <f t="shared" si="1"/>
        <v>1323785.0019167825</v>
      </c>
      <c r="I8" s="17">
        <f t="shared" si="2"/>
        <v>17338971.498083219</v>
      </c>
    </row>
    <row r="9" spans="1:9" ht="15.75" customHeight="1" x14ac:dyDescent="0.25">
      <c r="A9" s="5">
        <f t="shared" si="3"/>
        <v>2031</v>
      </c>
      <c r="B9" s="49">
        <v>1140828</v>
      </c>
      <c r="C9" s="50">
        <v>2641954</v>
      </c>
      <c r="D9" s="50">
        <v>5530317.9999999991</v>
      </c>
      <c r="E9" s="50">
        <v>5453147.5</v>
      </c>
      <c r="F9" s="50">
        <v>5116643</v>
      </c>
      <c r="G9" s="17">
        <f t="shared" si="0"/>
        <v>18742062.5</v>
      </c>
      <c r="H9" s="17">
        <f t="shared" si="1"/>
        <v>1317694.5104896685</v>
      </c>
      <c r="I9" s="17">
        <f t="shared" si="2"/>
        <v>17424367.989510331</v>
      </c>
    </row>
    <row r="10" spans="1:9" ht="15.75" customHeight="1" x14ac:dyDescent="0.25">
      <c r="A10" s="5">
        <f t="shared" si="3"/>
        <v>2032</v>
      </c>
      <c r="B10" s="49">
        <v>1136735</v>
      </c>
      <c r="C10" s="50">
        <v>2642337</v>
      </c>
      <c r="D10" s="50">
        <v>5606532.9999999991</v>
      </c>
      <c r="E10" s="50">
        <v>5372392.5</v>
      </c>
      <c r="F10" s="50">
        <v>5198148</v>
      </c>
      <c r="G10" s="17">
        <f t="shared" si="0"/>
        <v>18819410.5</v>
      </c>
      <c r="H10" s="17">
        <f t="shared" si="1"/>
        <v>1312966.9585436832</v>
      </c>
      <c r="I10" s="17">
        <f t="shared" si="2"/>
        <v>17506443.541456316</v>
      </c>
    </row>
    <row r="11" spans="1:9" ht="15.75" customHeight="1" x14ac:dyDescent="0.25">
      <c r="A11" s="5">
        <f t="shared" si="3"/>
        <v>2033</v>
      </c>
      <c r="B11" s="49">
        <v>1132757</v>
      </c>
      <c r="C11" s="50">
        <v>2667867.5</v>
      </c>
      <c r="D11" s="50">
        <v>5679991</v>
      </c>
      <c r="E11" s="50">
        <v>5293409.5</v>
      </c>
      <c r="F11" s="50">
        <v>5261009.5</v>
      </c>
      <c r="G11" s="17">
        <f t="shared" si="0"/>
        <v>18902277.5</v>
      </c>
      <c r="H11" s="17">
        <f t="shared" si="1"/>
        <v>1308372.2354454354</v>
      </c>
      <c r="I11" s="17">
        <f t="shared" si="2"/>
        <v>17593905.264554564</v>
      </c>
    </row>
    <row r="12" spans="1:9" ht="15.75" customHeight="1" x14ac:dyDescent="0.25">
      <c r="A12" s="5">
        <f t="shared" si="3"/>
        <v>2034</v>
      </c>
      <c r="B12" s="49">
        <v>1128749</v>
      </c>
      <c r="C12" s="50">
        <v>2723595.5</v>
      </c>
      <c r="D12" s="50">
        <v>5733616.5</v>
      </c>
      <c r="E12" s="50">
        <v>5231571</v>
      </c>
      <c r="F12" s="50">
        <v>5304103</v>
      </c>
      <c r="G12" s="17">
        <f t="shared" si="0"/>
        <v>18992886</v>
      </c>
      <c r="H12" s="17">
        <f t="shared" si="1"/>
        <v>1303742.8613434299</v>
      </c>
      <c r="I12" s="17">
        <f t="shared" si="2"/>
        <v>17689143.138656572</v>
      </c>
    </row>
    <row r="13" spans="1:9" ht="15.75" customHeight="1" x14ac:dyDescent="0.25">
      <c r="A13" s="5">
        <f t="shared" si="3"/>
        <v>2035</v>
      </c>
      <c r="B13" s="49">
        <v>1125172</v>
      </c>
      <c r="C13" s="50">
        <v>2803857</v>
      </c>
      <c r="D13" s="50">
        <v>5758192.9999999991</v>
      </c>
      <c r="E13" s="50">
        <v>5199778</v>
      </c>
      <c r="F13" s="50">
        <v>5331446</v>
      </c>
      <c r="G13" s="17">
        <f t="shared" si="0"/>
        <v>19093274</v>
      </c>
      <c r="H13" s="17">
        <f t="shared" si="1"/>
        <v>1299611.3066620743</v>
      </c>
      <c r="I13" s="17">
        <f t="shared" si="2"/>
        <v>17793662.693337925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fgtWzokj33tM0Dn4f1tfCqsyxul30feMEj+sB8sCPEY1WJEHediTeE5i+ryrZ+bbUW+bviFok3hc+JZJyFDS4g==" saltValue="bv1Pjj2JtTNN5p7j3jH9V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99">
        <v>0.14131246935840991</v>
      </c>
    </row>
    <row r="5" spans="1:8" ht="15.75" customHeight="1" x14ac:dyDescent="0.25">
      <c r="B5" s="19" t="s">
        <v>114</v>
      </c>
      <c r="C5" s="99">
        <v>5.2328941334510708E-2</v>
      </c>
    </row>
    <row r="6" spans="1:8" ht="15.75" customHeight="1" x14ac:dyDescent="0.25">
      <c r="B6" s="19" t="s">
        <v>110</v>
      </c>
      <c r="C6" s="99">
        <v>0.200539021228022</v>
      </c>
    </row>
    <row r="7" spans="1:8" ht="15.75" customHeight="1" x14ac:dyDescent="0.25">
      <c r="B7" s="19" t="s">
        <v>115</v>
      </c>
      <c r="C7" s="99">
        <v>0.35804108021250081</v>
      </c>
    </row>
    <row r="8" spans="1:8" ht="15.75" customHeight="1" x14ac:dyDescent="0.25">
      <c r="B8" s="19" t="s">
        <v>117</v>
      </c>
      <c r="C8" s="99">
        <v>0</v>
      </c>
    </row>
    <row r="9" spans="1:8" ht="15.75" customHeight="1" x14ac:dyDescent="0.25">
      <c r="B9" s="19" t="s">
        <v>111</v>
      </c>
      <c r="C9" s="99">
        <v>0.1016678551433597</v>
      </c>
    </row>
    <row r="10" spans="1:8" ht="15.75" customHeight="1" x14ac:dyDescent="0.25">
      <c r="B10" s="19" t="s">
        <v>113</v>
      </c>
      <c r="C10" s="99">
        <v>0.14611063272319719</v>
      </c>
    </row>
    <row r="11" spans="1:8" ht="15.75" customHeight="1" x14ac:dyDescent="0.25">
      <c r="B11" s="27" t="s">
        <v>79</v>
      </c>
      <c r="C11" s="48">
        <f>SUM(C3:C10)</f>
        <v>1.0000000000000004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0.1141063799115946</v>
      </c>
      <c r="D14" s="55">
        <v>0.1141063799115946</v>
      </c>
      <c r="E14" s="55">
        <v>0.1141063799115946</v>
      </c>
      <c r="F14" s="55">
        <v>0.1141063799115946</v>
      </c>
    </row>
    <row r="15" spans="1:8" ht="15.75" customHeight="1" x14ac:dyDescent="0.25">
      <c r="B15" s="19" t="s">
        <v>121</v>
      </c>
      <c r="C15" s="99">
        <v>0.14028486062831391</v>
      </c>
      <c r="D15" s="99">
        <v>0.14028486062831391</v>
      </c>
      <c r="E15" s="99">
        <v>0.14028486062831391</v>
      </c>
      <c r="F15" s="99">
        <v>0.14028486062831391</v>
      </c>
    </row>
    <row r="16" spans="1:8" ht="15.75" customHeight="1" x14ac:dyDescent="0.25">
      <c r="B16" s="19" t="s">
        <v>2</v>
      </c>
      <c r="C16" s="99">
        <v>1.2786357296704E-2</v>
      </c>
      <c r="D16" s="99">
        <v>1.2786357296704E-2</v>
      </c>
      <c r="E16" s="99">
        <v>1.2786357296704E-2</v>
      </c>
      <c r="F16" s="99">
        <v>1.2786357296704E-2</v>
      </c>
    </row>
    <row r="17" spans="1:8" ht="15.75" customHeight="1" x14ac:dyDescent="0.25">
      <c r="B17" s="19" t="s">
        <v>109</v>
      </c>
      <c r="C17" s="99">
        <v>6.2816054194864109E-3</v>
      </c>
      <c r="D17" s="99">
        <v>6.2816054194864109E-3</v>
      </c>
      <c r="E17" s="99">
        <v>6.2816054194864109E-3</v>
      </c>
      <c r="F17" s="99">
        <v>6.2816054194864109E-3</v>
      </c>
    </row>
    <row r="18" spans="1:8" ht="15.75" customHeight="1" x14ac:dyDescent="0.25">
      <c r="B18" s="19" t="s">
        <v>3</v>
      </c>
      <c r="C18" s="99">
        <v>4.8197314204791912E-4</v>
      </c>
      <c r="D18" s="99">
        <v>4.8197314204791912E-4</v>
      </c>
      <c r="E18" s="99">
        <v>4.8197314204791912E-4</v>
      </c>
      <c r="F18" s="99">
        <v>4.8197314204791912E-4</v>
      </c>
    </row>
    <row r="19" spans="1:8" ht="15.75" customHeight="1" x14ac:dyDescent="0.25">
      <c r="B19" s="19" t="s">
        <v>120</v>
      </c>
      <c r="C19" s="99">
        <v>5.8874549489732484E-3</v>
      </c>
      <c r="D19" s="99">
        <v>5.8874549489732484E-3</v>
      </c>
      <c r="E19" s="99">
        <v>5.8874549489732484E-3</v>
      </c>
      <c r="F19" s="99">
        <v>5.8874549489732484E-3</v>
      </c>
    </row>
    <row r="20" spans="1:8" ht="15.75" customHeight="1" x14ac:dyDescent="0.25">
      <c r="B20" s="19" t="s">
        <v>98</v>
      </c>
      <c r="C20" s="99">
        <v>0.4883253174639669</v>
      </c>
      <c r="D20" s="99">
        <v>0.4883253174639669</v>
      </c>
      <c r="E20" s="99">
        <v>0.4883253174639669</v>
      </c>
      <c r="F20" s="99">
        <v>0.4883253174639669</v>
      </c>
    </row>
    <row r="21" spans="1:8" ht="15.75" customHeight="1" x14ac:dyDescent="0.25">
      <c r="B21" s="19" t="s">
        <v>107</v>
      </c>
      <c r="C21" s="99">
        <v>8.8324152768175151E-2</v>
      </c>
      <c r="D21" s="99">
        <v>8.8324152768175151E-2</v>
      </c>
      <c r="E21" s="99">
        <v>8.8324152768175151E-2</v>
      </c>
      <c r="F21" s="99">
        <v>8.8324152768175151E-2</v>
      </c>
    </row>
    <row r="22" spans="1:8" ht="15.75" customHeight="1" x14ac:dyDescent="0.25">
      <c r="B22" s="19" t="s">
        <v>118</v>
      </c>
      <c r="C22" s="99">
        <v>0.1435218984207379</v>
      </c>
      <c r="D22" s="99">
        <v>0.1435218984207379</v>
      </c>
      <c r="E22" s="99">
        <v>0.1435218984207379</v>
      </c>
      <c r="F22" s="99">
        <v>0.1435218984207379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3.3942822999999997E-2</v>
      </c>
    </row>
    <row r="27" spans="1:8" ht="15.75" customHeight="1" x14ac:dyDescent="0.25">
      <c r="B27" s="19" t="s">
        <v>108</v>
      </c>
      <c r="C27" s="99">
        <v>5.9011999999999997E-4</v>
      </c>
    </row>
    <row r="28" spans="1:8" ht="15.75" customHeight="1" x14ac:dyDescent="0.25">
      <c r="B28" s="19" t="s">
        <v>122</v>
      </c>
      <c r="C28" s="99">
        <v>0.106273149</v>
      </c>
    </row>
    <row r="29" spans="1:8" ht="15.75" customHeight="1" x14ac:dyDescent="0.25">
      <c r="B29" s="19" t="s">
        <v>105</v>
      </c>
      <c r="C29" s="99">
        <v>0.14667259199999999</v>
      </c>
    </row>
    <row r="30" spans="1:8" ht="15.75" customHeight="1" x14ac:dyDescent="0.25">
      <c r="B30" s="19" t="s">
        <v>4</v>
      </c>
      <c r="C30" s="99">
        <v>8.2104470999999998E-2</v>
      </c>
    </row>
    <row r="31" spans="1:8" ht="15.75" customHeight="1" x14ac:dyDescent="0.25">
      <c r="B31" s="19" t="s">
        <v>99</v>
      </c>
      <c r="C31" s="99">
        <v>5.7501955E-2</v>
      </c>
    </row>
    <row r="32" spans="1:8" ht="15.75" customHeight="1" x14ac:dyDescent="0.25">
      <c r="B32" s="19" t="s">
        <v>104</v>
      </c>
      <c r="C32" s="99">
        <v>2.0726010999999999E-2</v>
      </c>
    </row>
    <row r="33" spans="2:3" ht="15.75" customHeight="1" x14ac:dyDescent="0.25">
      <c r="B33" s="19" t="s">
        <v>119</v>
      </c>
      <c r="C33" s="99">
        <v>6.9730735000000002E-2</v>
      </c>
    </row>
    <row r="34" spans="2:3" ht="15.75" customHeight="1" x14ac:dyDescent="0.25">
      <c r="B34" s="19" t="s">
        <v>106</v>
      </c>
      <c r="C34" s="99">
        <v>0.48245814399999998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s/3AMSLxbuEGMtg2M1fwLNpBnnROn7EKT2V9fTKshlZqceV08oJ+7Y2ZKwlL28ssf/R4IahVMUJaMZBWgmi0pw==" saltValue="ohAR9aiAyifgLeD+BZF3b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0.29404613063562945</v>
      </c>
      <c r="D2" s="52">
        <f>IFERROR(1-_xlfn.NORM.DIST(_xlfn.NORM.INV(SUM(D4:D5), 0, 1) + 1, 0, 1, TRUE), "")</f>
        <v>0.29404613063562945</v>
      </c>
      <c r="E2" s="52">
        <f>IFERROR(1-_xlfn.NORM.DIST(_xlfn.NORM.INV(SUM(E4:E5), 0, 1) + 1, 0, 1, TRUE), "")</f>
        <v>0.47607468141544351</v>
      </c>
      <c r="F2" s="52">
        <f>IFERROR(1-_xlfn.NORM.DIST(_xlfn.NORM.INV(SUM(F4:F5), 0, 1) + 1, 0, 1, TRUE), "")</f>
        <v>0.25426909799357433</v>
      </c>
      <c r="G2" s="52">
        <f>IFERROR(1-_xlfn.NORM.DIST(_xlfn.NORM.INV(SUM(G4:G5), 0, 1) + 1, 0, 1, TRUE), "")</f>
        <v>0.37012116046592136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0.38262036936437055</v>
      </c>
      <c r="D3" s="52">
        <f>IFERROR(_xlfn.NORM.DIST(_xlfn.NORM.INV(SUM(D4:D5), 0, 1) + 1, 0, 1, TRUE) - SUM(D4:D5), "")</f>
        <v>0.38262036936437055</v>
      </c>
      <c r="E3" s="52">
        <f>IFERROR(_xlfn.NORM.DIST(_xlfn.NORM.INV(SUM(E4:E5), 0, 1) + 1, 0, 1, TRUE) - SUM(E4:E5), "")</f>
        <v>0.35031451858455648</v>
      </c>
      <c r="F3" s="52">
        <f>IFERROR(_xlfn.NORM.DIST(_xlfn.NORM.INV(SUM(F4:F5), 0, 1) + 1, 0, 1, TRUE) - SUM(F4:F5), "")</f>
        <v>0.37838250200642565</v>
      </c>
      <c r="G3" s="52">
        <f>IFERROR(_xlfn.NORM.DIST(_xlfn.NORM.INV(SUM(G4:G5), 0, 1) + 1, 0, 1, TRUE) - SUM(G4:G5), "")</f>
        <v>0.37796123953407862</v>
      </c>
    </row>
    <row r="4" spans="1:15" ht="15.75" customHeight="1" x14ac:dyDescent="0.25">
      <c r="B4" s="5" t="s">
        <v>129</v>
      </c>
      <c r="C4" s="45">
        <v>0.14050360000000001</v>
      </c>
      <c r="D4" s="53">
        <v>0.14050360000000001</v>
      </c>
      <c r="E4" s="53">
        <v>0.1182729</v>
      </c>
      <c r="F4" s="53">
        <v>0.20068749999999999</v>
      </c>
      <c r="G4" s="53">
        <v>0.1783488</v>
      </c>
    </row>
    <row r="5" spans="1:15" ht="15.75" customHeight="1" x14ac:dyDescent="0.25">
      <c r="B5" s="5" t="s">
        <v>125</v>
      </c>
      <c r="C5" s="45">
        <v>0.18282989999999999</v>
      </c>
      <c r="D5" s="53">
        <v>0.18282989999999999</v>
      </c>
      <c r="E5" s="53">
        <v>5.5337900000000002E-2</v>
      </c>
      <c r="F5" s="53">
        <v>0.1666609</v>
      </c>
      <c r="G5" s="53">
        <v>7.3568800000000004E-2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0.79931186824450506</v>
      </c>
      <c r="D8" s="52">
        <f>IFERROR(1-_xlfn.NORM.DIST(_xlfn.NORM.INV(SUM(D10:D11), 0, 1) + 1, 0, 1, TRUE), "")</f>
        <v>0.79931186824450506</v>
      </c>
      <c r="E8" s="52">
        <f>IFERROR(1-_xlfn.NORM.DIST(_xlfn.NORM.INV(SUM(E10:E11), 0, 1) + 1, 0, 1, TRUE), "")</f>
        <v>0.86559676256688545</v>
      </c>
      <c r="F8" s="52">
        <f>IFERROR(1-_xlfn.NORM.DIST(_xlfn.NORM.INV(SUM(F10:F11), 0, 1) + 1, 0, 1, TRUE), "")</f>
        <v>0.83472937410055581</v>
      </c>
      <c r="G8" s="52">
        <f>IFERROR(1-_xlfn.NORM.DIST(_xlfn.NORM.INV(SUM(G10:G11), 0, 1) + 1, 0, 1, TRUE), "")</f>
        <v>0.8342125299855313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0.16774273175549498</v>
      </c>
      <c r="D9" s="52">
        <f>IFERROR(_xlfn.NORM.DIST(_xlfn.NORM.INV(SUM(D10:D11), 0, 1) + 1, 0, 1, TRUE) - SUM(D10:D11), "")</f>
        <v>0.16774273175549498</v>
      </c>
      <c r="E9" s="52">
        <f>IFERROR(_xlfn.NORM.DIST(_xlfn.NORM.INV(SUM(E10:E11), 0, 1) + 1, 0, 1, TRUE) - SUM(E10:E11), "")</f>
        <v>0.11679303743311456</v>
      </c>
      <c r="F9" s="52">
        <f>IFERROR(_xlfn.NORM.DIST(_xlfn.NORM.INV(SUM(F10:F11), 0, 1) + 1, 0, 1, TRUE) - SUM(F10:F11), "")</f>
        <v>0.14102422589944419</v>
      </c>
      <c r="G9" s="52">
        <f>IFERROR(_xlfn.NORM.DIST(_xlfn.NORM.INV(SUM(G10:G11), 0, 1) + 1, 0, 1, TRUE) - SUM(G10:G11), "")</f>
        <v>0.1414224700144687</v>
      </c>
    </row>
    <row r="10" spans="1:15" ht="15.75" customHeight="1" x14ac:dyDescent="0.25">
      <c r="B10" s="5" t="s">
        <v>126</v>
      </c>
      <c r="C10" s="45">
        <v>2.657E-2</v>
      </c>
      <c r="D10" s="53">
        <v>2.657E-2</v>
      </c>
      <c r="E10" s="53">
        <v>3.8682E-3</v>
      </c>
      <c r="F10" s="53">
        <v>1.40923E-2</v>
      </c>
      <c r="G10" s="53">
        <v>2.15506E-2</v>
      </c>
    </row>
    <row r="11" spans="1:15" ht="15.75" customHeight="1" x14ac:dyDescent="0.25">
      <c r="B11" s="5" t="s">
        <v>138</v>
      </c>
      <c r="C11" s="45">
        <v>6.3753999999999998E-3</v>
      </c>
      <c r="D11" s="53">
        <v>6.3753999999999998E-3</v>
      </c>
      <c r="E11" s="53">
        <v>1.3742000000000001E-2</v>
      </c>
      <c r="F11" s="53">
        <v>1.0154099999999999E-2</v>
      </c>
      <c r="G11" s="53">
        <v>2.8143999999999999E-3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0.3103689825</v>
      </c>
      <c r="D14" s="54">
        <v>0.297864656768</v>
      </c>
      <c r="E14" s="54">
        <v>0.297864656768</v>
      </c>
      <c r="F14" s="54">
        <v>0.20754421313499999</v>
      </c>
      <c r="G14" s="54">
        <v>0.20754421313499999</v>
      </c>
      <c r="H14" s="45">
        <v>0.28100000000000003</v>
      </c>
      <c r="I14" s="55">
        <v>0.28100000000000003</v>
      </c>
      <c r="J14" s="55">
        <v>0.28100000000000003</v>
      </c>
      <c r="K14" s="55">
        <v>0.28100000000000003</v>
      </c>
      <c r="L14" s="45">
        <v>0.25700000000000001</v>
      </c>
      <c r="M14" s="55">
        <v>0.25700000000000001</v>
      </c>
      <c r="N14" s="55">
        <v>0.25700000000000001</v>
      </c>
      <c r="O14" s="55">
        <v>0.25700000000000001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0.17260301928586499</v>
      </c>
      <c r="D15" s="52">
        <f t="shared" si="0"/>
        <v>0.1656490886511337</v>
      </c>
      <c r="E15" s="52">
        <f t="shared" si="0"/>
        <v>0.1656490886511337</v>
      </c>
      <c r="F15" s="52">
        <f t="shared" si="0"/>
        <v>0.11541990289706247</v>
      </c>
      <c r="G15" s="52">
        <f t="shared" si="0"/>
        <v>0.11541990289706247</v>
      </c>
      <c r="H15" s="52">
        <f t="shared" si="0"/>
        <v>0.15627028200000001</v>
      </c>
      <c r="I15" s="52">
        <f t="shared" si="0"/>
        <v>0.15627028200000001</v>
      </c>
      <c r="J15" s="52">
        <f t="shared" si="0"/>
        <v>0.15627028200000001</v>
      </c>
      <c r="K15" s="52">
        <f t="shared" si="0"/>
        <v>0.15627028200000001</v>
      </c>
      <c r="L15" s="52">
        <f t="shared" si="0"/>
        <v>0.142923354</v>
      </c>
      <c r="M15" s="52">
        <f t="shared" si="0"/>
        <v>0.142923354</v>
      </c>
      <c r="N15" s="52">
        <f t="shared" si="0"/>
        <v>0.142923354</v>
      </c>
      <c r="O15" s="52">
        <f t="shared" si="0"/>
        <v>0.142923354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jklUEaGPKjYmtojCosR+E6e0aPNqvVHIhByE0gmiCoZZcjgbDwpq5B17AcwrLOj2J1YYV2N33/EcCD+iBXRow==" saltValue="AzZZz5iTR2+TNP0lLoWb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0.44014819999999999</v>
      </c>
      <c r="D2" s="53">
        <v>0.27586660000000002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0.15107960000000001</v>
      </c>
      <c r="D3" s="53">
        <v>0.15072820000000001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0.21675549999999999</v>
      </c>
      <c r="D4" s="53">
        <v>0.31531809999999999</v>
      </c>
      <c r="E4" s="53">
        <v>0.5836865</v>
      </c>
      <c r="F4" s="53">
        <v>0.33648869999999997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0.19201670000000004</v>
      </c>
      <c r="D5" s="52">
        <f t="shared" si="0"/>
        <v>0.25808710000000001</v>
      </c>
      <c r="E5" s="52">
        <f>1-SUM(E2:E4)</f>
        <v>0.4163135</v>
      </c>
      <c r="F5" s="52">
        <f>1-SUM(F2:F4)</f>
        <v>0.66351130000000003</v>
      </c>
      <c r="G5" s="52">
        <f>1-SUM(G2:G4)</f>
        <v>1</v>
      </c>
    </row>
  </sheetData>
  <sheetProtection algorithmName="SHA-512" hashValue="rQbTVONrymTv/dxdI1Kxmr9HHig0EBE//rOdiGkCkivngslnp7uNMhhXb1fkIPxRxMkbzURy1p5mxOgYNjh4iw==" saltValue="iXxih6ZvGtsTN4429jeUV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hzP0NWjpQAr9JttEi3VmSJNtXrRzvhJRmbuhSSpNy5CUf5hRSbDHsCiyFC45UTQO0HNhRdlb/0GAV+E88JhQKA==" saltValue="XmUs0gi9lo7vgUumpIPql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6766.4812542947802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0.58639000000000008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0.55531999999999992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1.5804905073423522E-2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96502.997910000006</v>
      </c>
      <c r="C22" s="107">
        <v>96260.188460000005</v>
      </c>
      <c r="D22" s="107">
        <v>95976.718070000003</v>
      </c>
      <c r="E22" s="107">
        <v>95267.668950000007</v>
      </c>
      <c r="F22" s="107">
        <v>93895.115269999995</v>
      </c>
      <c r="G22" s="107">
        <v>91610.970319999993</v>
      </c>
      <c r="H22" s="107">
        <v>88349.324540000001</v>
      </c>
      <c r="I22" s="107">
        <v>84552.175730000003</v>
      </c>
      <c r="J22" s="107">
        <v>80432.232359999995</v>
      </c>
      <c r="K22" s="107">
        <v>76194.606329999995</v>
      </c>
      <c r="L22" s="107">
        <v>71407.311679999999</v>
      </c>
      <c r="M22" s="107">
        <v>66102.765629999994</v>
      </c>
      <c r="N22" s="107">
        <v>59746.514569999999</v>
      </c>
      <c r="O22" s="107">
        <v>52036.71557</v>
      </c>
    </row>
  </sheetData>
  <sheetProtection algorithmName="SHA-512" hashValue="mrOwbL51DB68Li1QBeyR37Yv7/ofkeAbiwrJ2H8czmOpapugvZsJ825Lt5XZKVWOWIzSb7/D22Li4eSs4rCn7w==" saltValue="YOyrIFc9xlKTGLuJLa6XO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NVws+vZJ7Y1Rwfy1ol0M838+wz6HBnGWerSH4xC00dMCVe65h/bLWoU6ceBtW1HtarIjV8DR9c/Ns/INYBuhrw==" saltValue="SvjchBfcvxGuBSy+l5h5/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XPd1RioJRoofRQybr7n19k9BZk6qven135IG7jgjpCkg+CvZemq0/NDa+/X50pTCdQtqsoElKkABZ3gHYg8otg==" saltValue="jjcHFvJr7NDITlNwNcHfT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6.8747382117628364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2.1291837256908908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0.2139553248340432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0.78848199824391296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0.22197642864885933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0.50549569999999999</v>
      </c>
      <c r="C10" s="96">
        <v>0.95</v>
      </c>
      <c r="D10" s="56">
        <v>13.174056864953229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13.174056864953229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13.174056864953229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13.174056864953229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0.31330000000000002</v>
      </c>
      <c r="C14" s="96">
        <v>0.95</v>
      </c>
      <c r="D14" s="56">
        <v>2.7509100930955666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13.174056864953229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2.1562548532894295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0.45208722222222197</v>
      </c>
      <c r="C17" s="96">
        <v>0.95</v>
      </c>
      <c r="D17" s="56">
        <v>0.58636119533868591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0.53100000000000003</v>
      </c>
      <c r="C18" s="96">
        <v>0.95</v>
      </c>
      <c r="D18" s="56">
        <v>6.8747382117628364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0.27586660000000002</v>
      </c>
      <c r="C19" s="96">
        <v>0.95</v>
      </c>
      <c r="D19" s="56">
        <v>12.125692061066291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7.2638561333206297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6.8747382117628364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4.3805110504495071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0.68605638799376001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4.4432147531692987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8.8360724993186164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0.51420810000000006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0.39905479999999999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57.448392612859095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125.66324080233395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0.42</v>
      </c>
      <c r="C32" s="96">
        <v>0.95</v>
      </c>
      <c r="D32" s="56">
        <v>0.65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0.44369690000000001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0.15718509999999999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1.2015899999999999E-2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0.90452129999999997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0.27900000000000003</v>
      </c>
      <c r="C38" s="96">
        <v>0.95</v>
      </c>
      <c r="D38" s="56">
        <v>2.2145073762257557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5.8497136845734818</v>
      </c>
      <c r="E39" s="56" t="s">
        <v>212</v>
      </c>
      <c r="F39" s="96">
        <v>1</v>
      </c>
      <c r="G39" s="96">
        <v>1</v>
      </c>
    </row>
  </sheetData>
  <sheetProtection algorithmName="SHA-512" hashValue="XBBRxDgZ/x76fkIDBBzNrwowLzCzmvu0xhVDb4pHgp4MvJwiWFzTyKEOeGjxKFunwDh1WAtHadvenoVE+nVYdg==" saltValue="i05wkuZkJB70DYaWkjFw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LwS0rMKekGls0sp4QwmDpbufjjPArDRSPOn+1DaHE5A1tmXa3aqYud+ivmhSi1lXImdHEh4Q9VFEUrN1YmAWw==" saltValue="swHRhDIfiXVrKkt0w/xeT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jgxIxlZRkBYKtXs65MQvjaqTk/F8OS1Mp2/sr4tru9KOgB68yd8PX0wSRWYHQGhqETdCu2LFn5wCTBk3129BTQ==" saltValue="I1I706aM+5ePWHiAyVZkL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1.82</v>
      </c>
      <c r="C2" s="21">
        <f>'Entradas de población-año base'!C52</f>
        <v>1.82</v>
      </c>
      <c r="D2" s="21">
        <f>'Entradas de población-año base'!C53</f>
        <v>4.2380000000000004</v>
      </c>
      <c r="E2" s="21">
        <f>'Entradas de población-año base'!C54</f>
        <v>4.3680000000000003</v>
      </c>
      <c r="F2" s="21">
        <f>'Entradas de población-año base'!C55</f>
        <v>2.062666666666666</v>
      </c>
    </row>
    <row r="3" spans="1:6" ht="15.75" customHeight="1" x14ac:dyDescent="0.25">
      <c r="A3" s="3" t="s">
        <v>6</v>
      </c>
      <c r="B3" s="21">
        <f>frac_mam_1month * 2.6</f>
        <v>6.9082000000000005E-2</v>
      </c>
      <c r="C3" s="21">
        <f>frac_mam_1_5months * 2.6</f>
        <v>6.9082000000000005E-2</v>
      </c>
      <c r="D3" s="21">
        <f>frac_mam_6_11months * 2.6</f>
        <v>1.005732E-2</v>
      </c>
      <c r="E3" s="21">
        <f>frac_mam_12_23months * 2.6</f>
        <v>3.6639980000000003E-2</v>
      </c>
      <c r="F3" s="21">
        <f>frac_mam_24_59months * 2.6</f>
        <v>5.6031560000000001E-2</v>
      </c>
    </row>
    <row r="4" spans="1:6" ht="15.75" customHeight="1" x14ac:dyDescent="0.25">
      <c r="A4" s="3" t="s">
        <v>236</v>
      </c>
      <c r="B4" s="21">
        <f>frac_sam_1month * 2.6</f>
        <v>1.657604E-2</v>
      </c>
      <c r="C4" s="21">
        <f>frac_sam_1_5months * 2.6</f>
        <v>1.657604E-2</v>
      </c>
      <c r="D4" s="21">
        <f>frac_sam_6_11months * 2.6</f>
        <v>3.5729200000000003E-2</v>
      </c>
      <c r="E4" s="21">
        <f>frac_sam_12_23months * 2.6</f>
        <v>2.6400659999999999E-2</v>
      </c>
      <c r="F4" s="21">
        <f>frac_sam_24_59months * 2.6</f>
        <v>7.3174399999999997E-3</v>
      </c>
    </row>
  </sheetData>
  <sheetProtection algorithmName="SHA-512" hashValue="m5X2OJh2bT+5xYD3E2MGFgVqKYTcujl7cBAOtvTtoGg90cx0h/bflkjljPEvoe0ijV0DxRpbI/LCHnlE2Tir8A==" saltValue="aZXUzr1TgGrWTgilA/qco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0.55500000000000005</v>
      </c>
      <c r="F2" s="60">
        <f>food_insecure</f>
        <v>0.55500000000000005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0.55500000000000005</v>
      </c>
      <c r="F5" s="60">
        <f>food_insecure</f>
        <v>0.55500000000000005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3.9709090909090916E-2</v>
      </c>
      <c r="D7" s="60">
        <f>diarrhoea_1_5mo*frac_diarrhea_severe</f>
        <v>3.9709090909090916E-2</v>
      </c>
      <c r="E7" s="60">
        <f>diarrhoea_6_11mo*frac_diarrhea_severe</f>
        <v>9.2465454545454559E-2</v>
      </c>
      <c r="F7" s="60">
        <f>diarrhoea_12_23mo*frac_diarrhea_severe</f>
        <v>9.5301818181818196E-2</v>
      </c>
      <c r="G7" s="60">
        <f>diarrhoea_24_59mo*frac_diarrhea_severe</f>
        <v>4.500363636363635E-2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0.55500000000000005</v>
      </c>
      <c r="F8" s="60">
        <f>food_insecure</f>
        <v>0.55500000000000005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0.55500000000000005</v>
      </c>
      <c r="F9" s="60">
        <f>food_insecure</f>
        <v>0.55500000000000005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3.9709090909090916E-2</v>
      </c>
      <c r="D12" s="60">
        <f>diarrhoea_1_5mo*frac_diarrhea_severe</f>
        <v>3.9709090909090916E-2</v>
      </c>
      <c r="E12" s="60">
        <f>diarrhoea_6_11mo*frac_diarrhea_severe</f>
        <v>9.2465454545454559E-2</v>
      </c>
      <c r="F12" s="60">
        <f>diarrhoea_12_23mo*frac_diarrhea_severe</f>
        <v>9.5301818181818196E-2</v>
      </c>
      <c r="G12" s="60">
        <f>diarrhoea_24_59mo*frac_diarrhea_severe</f>
        <v>4.500363636363635E-2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0.55500000000000005</v>
      </c>
      <c r="I15" s="60">
        <f t="shared" si="0"/>
        <v>0.55500000000000005</v>
      </c>
      <c r="J15" s="60">
        <f t="shared" si="0"/>
        <v>0.55500000000000005</v>
      </c>
      <c r="K15" s="60">
        <f t="shared" si="0"/>
        <v>0.55500000000000005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0.55500000000000005</v>
      </c>
      <c r="I16" s="60">
        <f t="shared" si="0"/>
        <v>0.55500000000000005</v>
      </c>
      <c r="J16" s="60">
        <f t="shared" si="0"/>
        <v>0.55500000000000005</v>
      </c>
      <c r="K16" s="60">
        <f t="shared" si="0"/>
        <v>0.55500000000000005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0.15</v>
      </c>
      <c r="I19" s="60">
        <f>frac_malaria_risk</f>
        <v>0.15</v>
      </c>
      <c r="J19" s="60">
        <f>frac_malaria_risk</f>
        <v>0.15</v>
      </c>
      <c r="K19" s="60">
        <f>frac_malaria_risk</f>
        <v>0.15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0.14899999999999999</v>
      </c>
      <c r="M24" s="60">
        <f>famplan_unmet_need</f>
        <v>0.14899999999999999</v>
      </c>
      <c r="N24" s="60">
        <f>famplan_unmet_need</f>
        <v>0.14899999999999999</v>
      </c>
      <c r="O24" s="60">
        <f>famplan_unmet_need</f>
        <v>0.14899999999999999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0.13027044183999997</v>
      </c>
      <c r="M25" s="60">
        <f>(1-food_insecure)*(0.49)+food_insecure*(0.7)</f>
        <v>0.60654999999999992</v>
      </c>
      <c r="N25" s="60">
        <f>(1-food_insecure)*(0.49)+food_insecure*(0.7)</f>
        <v>0.60654999999999992</v>
      </c>
      <c r="O25" s="60">
        <f>(1-food_insecure)*(0.49)+food_insecure*(0.7)</f>
        <v>0.60654999999999992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5.5830189360000004E-2</v>
      </c>
      <c r="M26" s="60">
        <f>(1-food_insecure)*(0.21)+food_insecure*(0.3)</f>
        <v>0.25995000000000001</v>
      </c>
      <c r="N26" s="60">
        <f>(1-food_insecure)*(0.21)+food_insecure*(0.3)</f>
        <v>0.25995000000000001</v>
      </c>
      <c r="O26" s="60">
        <f>(1-food_insecure)*(0.21)+food_insecure*(0.3)</f>
        <v>0.25995000000000001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2.8672168799999995E-2</v>
      </c>
      <c r="M27" s="60">
        <f>(1-food_insecure)*(0.3)</f>
        <v>0.13349999999999998</v>
      </c>
      <c r="N27" s="60">
        <f>(1-food_insecure)*(0.3)</f>
        <v>0.13349999999999998</v>
      </c>
      <c r="O27" s="60">
        <f>(1-food_insecure)*(0.3)</f>
        <v>0.13349999999999998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0.78522720000000001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0.15</v>
      </c>
      <c r="D34" s="60">
        <f t="shared" si="4"/>
        <v>0.15</v>
      </c>
      <c r="E34" s="60">
        <f t="shared" si="4"/>
        <v>0.15</v>
      </c>
      <c r="F34" s="60">
        <f t="shared" si="4"/>
        <v>0.15</v>
      </c>
      <c r="G34" s="60">
        <f t="shared" si="4"/>
        <v>0.15</v>
      </c>
      <c r="H34" s="60">
        <f t="shared" si="4"/>
        <v>0.15</v>
      </c>
      <c r="I34" s="60">
        <f t="shared" si="4"/>
        <v>0.15</v>
      </c>
      <c r="J34" s="60">
        <f t="shared" si="4"/>
        <v>0.15</v>
      </c>
      <c r="K34" s="60">
        <f t="shared" si="4"/>
        <v>0.15</v>
      </c>
      <c r="L34" s="60">
        <f t="shared" si="4"/>
        <v>0.15</v>
      </c>
      <c r="M34" s="60">
        <f t="shared" si="4"/>
        <v>0.15</v>
      </c>
      <c r="N34" s="60">
        <f t="shared" si="4"/>
        <v>0.15</v>
      </c>
      <c r="O34" s="60">
        <f t="shared" si="4"/>
        <v>0.15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qGkox/WjcuDnshkTHZ01Hm2k0KfLM8IKjjIDK8GnqevYW7o9TQDsksUoSt0wcdEd/2Wp1Eg19VVa8egRTYecoA==" saltValue="VcmHuXbQU48/pbNoataoF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xE3GUYxFT/X1FjOJFovytON/LyZCOlUtEzhxoZTiyuOO+fo/pihhBIi29uruxZ9HQRzB4l6FXDQDSp+eORzMhA==" saltValue="XB9myODTCjAfP2c7dKiK2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1CSktZ8TcBM1RO7ERd/aUJAskICBNLfLj9bZIhk+HNHVFdcdigxFojIss5oTqc2j7aGvTZRNrjz8QcBqTElVDw==" saltValue="L+wicDa4WCCnadDs/zWiq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PsL95LpXcN67GVH0znSrHlC2nt3x+lJyouocTaP+dOZk9w8F0+RqL84Paa4R0Rm5FJP/Fcr7gFCw2a53XT0cg==" saltValue="oJihHT0xBOrucYirgrBs6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ScsgLAsJsbHNHmVPcG+pIVNkXxdLrSLLgS9pYEJ7wTHC72hUtXz4zEMI3dpYJvShdPXXbYONQDJpyxx5D6bEzw==" saltValue="ZlOjOWXkSD647qS1gl2L9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IAddcoexCdMMkTrPlZpFc509+s0tTIyQ3alJo7DI0ml2YL7Sh8bjuR5MJw87gDqsbdzkBPJOj9sFFesEzHshHg==" saltValue="KQAmFy4H8QtG3W1pL9sgO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TvJnHjgfGYKwNC3TwEzrMSCobvVRhy8G7sX2XTamKZR/99k1jJJ1iffxX6dRm+2FX8fpjh3mLDUPFEMl/jnk5g==" saltValue="paUhfjm5CJhfeWE+XFQgM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bW73ACVDTl3N3N7SibhqEGm+ZkMEPEuRrL7Kgbgbv+I7xHdTwcwoPgNTCJ6PTkhrGezxa8ioYWiGgsgVQ6ZAVw==" saltValue="AW9sZJ66exrVuxRiXEGp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1idDlbIwcDoLEbpYdWtxvXd9P9cN2sTb/64uWGHoUNlLL/zw38/GO/7HogDIXsDjHF3iypvaCCa8pj0ZhIa6sA==" saltValue="3G2S342Onu7gacxof5sB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RaPgfhlorWF11qgFMHq3pbcF1H9eqi8LjO30Vl1PKdgxkrg2A/qbT92BlZHG0lkFc9telvBBsQcbcXJxzwk9KQ==" saltValue="jwJ3duw0PvaYfEFrWHfw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1Z1mRZ8o04W+moRkNZsrOeC6uEyLGSS/GGYCyAR643jDMSlteajRM6MsLlij+tXKqX5mQ1s1AFxzkfLlQ7Hg==" saltValue="auNlbllYnycj2ojxzp4g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7mU5QR9E+eGD1s8nydymJa7g6Ev/Cpv31jGOgTGi5FCQcxpUjKnM0bYQh1u6XTt5r+JmZODgMz0Aa3QVQaMEOQ==" saltValue="wfrxeSb+gRCDG4phMEI9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V3LSuL64ih+bwjudHkdU4wvQnYDj15zOWnNH8TA51yNRNrB5o2R/Lj+2FA097yUzCFuwjIaq1mRyUyIoII0yw==" saltValue="VAB5/0AnswqkBRZyDnn+L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p5aZ56aBy9/P3CMUVchz9ctqTAy3gk0XjtiSTyCewiLc7WWtp/HD8BdIRpBVG8zolFoTXACbkGpGZySDp3Ypgg==" saltValue="07Aau14HDRfIHQY5+4Je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y2srkvnGvkmyZSYtzW2MF68H7TrYSbwvnB0OxK6p11876A8Vh5XgsTpS4/ub3RreykbCDiUR/if9ZJz4H4CnAA==" saltValue="05C2nNhj9gS1dLBKxQdSh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2026-04-29T04:23:04Z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