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E3E7286-AE79-4B9D-B760-B9D1C0F0E76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5" i="2"/>
  <c r="A31" i="2"/>
  <c r="A37" i="2"/>
  <c r="I4" i="2"/>
  <c r="I8" i="2"/>
  <c r="I12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<sst xmlns="http://schemas.openxmlformats.org/spreadsheetml/2006/main" count="2169" uniqueCount="373">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</sst>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5686551.5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0.15</v>
      </c>
    </row>
    <row r="10" spans="1:3" ht="15" customHeight="1" x14ac:dyDescent="0.25">
      <c r="B10" s="5" t="s">
        <v>75</v>
      </c>
      <c r="C10" s="45">
        <v>0.78522720000000001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9.8900000000000002E-2</v>
      </c>
    </row>
    <row r="24" spans="1:3" ht="15" customHeight="1" x14ac:dyDescent="0.25">
      <c r="B24" s="15" t="s">
        <v>65</v>
      </c>
      <c r="C24" s="45">
        <v>0.53500000000000003</v>
      </c>
    </row>
    <row r="25" spans="1:3" ht="15" customHeight="1" x14ac:dyDescent="0.25">
      <c r="B25" s="15" t="s">
        <v>66</v>
      </c>
      <c r="C25" s="45">
        <v>0.3115</v>
      </c>
    </row>
    <row r="26" spans="1:3" ht="15" customHeight="1" x14ac:dyDescent="0.25">
      <c r="B26" s="15" t="s">
        <v>67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0.35873412103889402</v>
      </c>
    </row>
    <row r="30" spans="1:3" ht="14.25" customHeight="1" x14ac:dyDescent="0.25">
      <c r="B30" s="25" t="s">
        <v>82</v>
      </c>
      <c r="C30" s="97">
        <v>2.5198011863396302E-2</v>
      </c>
    </row>
    <row r="31" spans="1:3" ht="14.25" customHeight="1" x14ac:dyDescent="0.25">
      <c r="B31" s="25" t="s">
        <v>29</v>
      </c>
      <c r="C31" s="97">
        <v>4.3840922737282198E-2</v>
      </c>
    </row>
    <row r="32" spans="1:3" ht="14.25" customHeight="1" x14ac:dyDescent="0.25">
      <c r="B32" s="25" t="s">
        <v>30</v>
      </c>
      <c r="C32" s="97">
        <v>0.57222694436042698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11.02473</v>
      </c>
    </row>
    <row r="38" spans="1:5" ht="15" customHeight="1" x14ac:dyDescent="0.25">
      <c r="B38" s="11" t="s">
        <v>54</v>
      </c>
      <c r="C38" s="43">
        <v>26.427199999999999</v>
      </c>
      <c r="D38" s="12"/>
      <c r="E38" s="13"/>
    </row>
    <row r="39" spans="1:5" ht="15" customHeight="1" x14ac:dyDescent="0.25">
      <c r="B39" s="11" t="s">
        <v>80</v>
      </c>
      <c r="C39" s="43">
        <v>32.847329999999999</v>
      </c>
      <c r="D39" s="12"/>
      <c r="E39" s="12"/>
    </row>
    <row r="40" spans="1:5" ht="15" customHeight="1" x14ac:dyDescent="0.25">
      <c r="B40" s="11" t="s">
        <v>55</v>
      </c>
      <c r="C40" s="98">
        <v>1.27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1.10247E-2</v>
      </c>
      <c r="D45" s="12"/>
    </row>
    <row r="46" spans="1:5" ht="15.75" customHeight="1" x14ac:dyDescent="0.25">
      <c r="B46" s="11" t="s">
        <v>70</v>
      </c>
      <c r="C46" s="45">
        <v>0.1185986</v>
      </c>
      <c r="D46" s="12"/>
    </row>
    <row r="47" spans="1:5" ht="15.75" customHeight="1" x14ac:dyDescent="0.25">
      <c r="B47" s="11" t="s">
        <v>78</v>
      </c>
      <c r="C47" s="45">
        <v>0.1031654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1.82</v>
      </c>
      <c r="D51" s="12"/>
    </row>
    <row r="52" spans="1:4" ht="15" customHeight="1" x14ac:dyDescent="0.25">
      <c r="B52" s="11" t="s">
        <v>32</v>
      </c>
      <c r="C52" s="98">
        <v>1.82</v>
      </c>
    </row>
    <row r="53" spans="1:4" ht="15.75" customHeight="1" x14ac:dyDescent="0.25">
      <c r="B53" s="11" t="s">
        <v>35</v>
      </c>
      <c r="C53" s="98">
        <v>4.2380000000000004</v>
      </c>
    </row>
    <row r="54" spans="1:4" ht="15.75" customHeight="1" x14ac:dyDescent="0.25">
      <c r="B54" s="11" t="s">
        <v>33</v>
      </c>
      <c r="C54" s="98">
        <v>4.3680000000000003</v>
      </c>
    </row>
    <row r="55" spans="1:4" ht="15.75" customHeight="1" x14ac:dyDescent="0.25">
      <c r="B55" s="11" t="s">
        <v>34</v>
      </c>
      <c r="C55" s="98">
        <v>2.062666666666666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0.55612200000000001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wbCsFTyyKpC62lDsgfX82Wov7T8mVPLr7UtGJbUZo+XfksPHGTuiWfWFoSmdI5ycOvYuv6KMVDnJVTACedVhKg==" saltValue="q5V19wYf89O0Vv/XfOBl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TnbXWfgXbLaKuxMg/kzc6MeqlfFuOZTv9DKxoYKPexYJRzkUWT7kxh7DC2YO7rbfAMp9kLtynhnQtXxYAJobg==" saltValue="+25Crqe90aMnM0Q6uI+D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0.14131246935840991</v>
      </c>
    </row>
    <row r="5" spans="1:8" ht="15.75" customHeight="1" x14ac:dyDescent="0.25">
      <c r="B5" s="19" t="s">
        <v>114</v>
      </c>
      <c r="C5" s="99">
        <v>5.2328941334510708E-2</v>
      </c>
    </row>
    <row r="6" spans="1:8" ht="15.75" customHeight="1" x14ac:dyDescent="0.25">
      <c r="B6" s="19" t="s">
        <v>110</v>
      </c>
      <c r="C6" s="99">
        <v>0.200539021228022</v>
      </c>
    </row>
    <row r="7" spans="1:8" ht="15.75" customHeight="1" x14ac:dyDescent="0.25">
      <c r="B7" s="19" t="s">
        <v>115</v>
      </c>
      <c r="C7" s="99">
        <v>0.35804108021250081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0.1016678551433597</v>
      </c>
    </row>
    <row r="10" spans="1:8" ht="15.75" customHeight="1" x14ac:dyDescent="0.25">
      <c r="B10" s="19" t="s">
        <v>113</v>
      </c>
      <c r="C10" s="99">
        <v>0.14611063272319719</v>
      </c>
    </row>
    <row r="11" spans="1:8" ht="15.75" customHeight="1" x14ac:dyDescent="0.25">
      <c r="B11" s="27" t="s">
        <v>79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121</v>
      </c>
      <c r="C15" s="99">
        <v>0.14028486062831391</v>
      </c>
      <c r="D15" s="99">
        <v>0.14028486062831391</v>
      </c>
      <c r="E15" s="99">
        <v>0.14028486062831391</v>
      </c>
      <c r="F15" s="99">
        <v>0.14028486062831391</v>
      </c>
    </row>
    <row r="16" spans="1:8" ht="15.75" customHeight="1" x14ac:dyDescent="0.25">
      <c r="B16" s="19" t="s">
        <v>2</v>
      </c>
      <c r="C16" s="99">
        <v>1.2786357296704E-2</v>
      </c>
      <c r="D16" s="99">
        <v>1.2786357296704E-2</v>
      </c>
      <c r="E16" s="99">
        <v>1.2786357296704E-2</v>
      </c>
      <c r="F16" s="99">
        <v>1.2786357296704E-2</v>
      </c>
    </row>
    <row r="17" spans="1:8" ht="15.75" customHeight="1" x14ac:dyDescent="0.25">
      <c r="B17" s="19" t="s">
        <v>109</v>
      </c>
      <c r="C17" s="99">
        <v>6.2816054194864109E-3</v>
      </c>
      <c r="D17" s="99">
        <v>6.2816054194864109E-3</v>
      </c>
      <c r="E17" s="99">
        <v>6.2816054194864109E-3</v>
      </c>
      <c r="F17" s="99">
        <v>6.2816054194864109E-3</v>
      </c>
    </row>
    <row r="18" spans="1:8" ht="15.75" customHeight="1" x14ac:dyDescent="0.25">
      <c r="B18" s="19" t="s">
        <v>3</v>
      </c>
      <c r="C18" s="99">
        <v>4.8197314204791912E-4</v>
      </c>
      <c r="D18" s="99">
        <v>4.8197314204791912E-4</v>
      </c>
      <c r="E18" s="99">
        <v>4.8197314204791912E-4</v>
      </c>
      <c r="F18" s="99">
        <v>4.8197314204791912E-4</v>
      </c>
    </row>
    <row r="19" spans="1:8" ht="15.75" customHeight="1" x14ac:dyDescent="0.25">
      <c r="B19" s="19" t="s">
        <v>120</v>
      </c>
      <c r="C19" s="99">
        <v>5.8874549489732484E-3</v>
      </c>
      <c r="D19" s="99">
        <v>5.8874549489732484E-3</v>
      </c>
      <c r="E19" s="99">
        <v>5.8874549489732484E-3</v>
      </c>
      <c r="F19" s="99">
        <v>5.8874549489732484E-3</v>
      </c>
    </row>
    <row r="20" spans="1:8" ht="15.75" customHeight="1" x14ac:dyDescent="0.25">
      <c r="B20" s="19" t="s">
        <v>98</v>
      </c>
      <c r="C20" s="99">
        <v>0.4883253174639669</v>
      </c>
      <c r="D20" s="99">
        <v>0.4883253174639669</v>
      </c>
      <c r="E20" s="99">
        <v>0.4883253174639669</v>
      </c>
      <c r="F20" s="99">
        <v>0.4883253174639669</v>
      </c>
    </row>
    <row r="21" spans="1:8" ht="15.75" customHeight="1" x14ac:dyDescent="0.25">
      <c r="B21" s="19" t="s">
        <v>107</v>
      </c>
      <c r="C21" s="99">
        <v>8.8324152768175151E-2</v>
      </c>
      <c r="D21" s="99">
        <v>8.8324152768175151E-2</v>
      </c>
      <c r="E21" s="99">
        <v>8.8324152768175151E-2</v>
      </c>
      <c r="F21" s="99">
        <v>8.8324152768175151E-2</v>
      </c>
    </row>
    <row r="22" spans="1:8" ht="15.75" customHeight="1" x14ac:dyDescent="0.25">
      <c r="B22" s="19" t="s">
        <v>118</v>
      </c>
      <c r="C22" s="99">
        <v>0.1435218984207379</v>
      </c>
      <c r="D22" s="99">
        <v>0.1435218984207379</v>
      </c>
      <c r="E22" s="99">
        <v>0.1435218984207379</v>
      </c>
      <c r="F22" s="99">
        <v>0.1435218984207379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3.3942822999999997E-2</v>
      </c>
    </row>
    <row r="27" spans="1:8" ht="15.75" customHeight="1" x14ac:dyDescent="0.25">
      <c r="B27" s="19" t="s">
        <v>108</v>
      </c>
      <c r="C27" s="99">
        <v>5.9011999999999997E-4</v>
      </c>
    </row>
    <row r="28" spans="1:8" ht="15.75" customHeight="1" x14ac:dyDescent="0.25">
      <c r="B28" s="19" t="s">
        <v>122</v>
      </c>
      <c r="C28" s="99">
        <v>0.106273149</v>
      </c>
    </row>
    <row r="29" spans="1:8" ht="15.75" customHeight="1" x14ac:dyDescent="0.25">
      <c r="B29" s="19" t="s">
        <v>105</v>
      </c>
      <c r="C29" s="99">
        <v>0.14667259199999999</v>
      </c>
    </row>
    <row r="30" spans="1:8" ht="15.75" customHeight="1" x14ac:dyDescent="0.25">
      <c r="B30" s="19" t="s">
        <v>4</v>
      </c>
      <c r="C30" s="99">
        <v>8.2104470999999998E-2</v>
      </c>
    </row>
    <row r="31" spans="1:8" ht="15.75" customHeight="1" x14ac:dyDescent="0.25">
      <c r="B31" s="19" t="s">
        <v>99</v>
      </c>
      <c r="C31" s="99">
        <v>5.7501955E-2</v>
      </c>
    </row>
    <row r="32" spans="1:8" ht="15.75" customHeight="1" x14ac:dyDescent="0.25">
      <c r="B32" s="19" t="s">
        <v>104</v>
      </c>
      <c r="C32" s="99">
        <v>2.0726010999999999E-2</v>
      </c>
    </row>
    <row r="33" spans="2:3" ht="15.75" customHeight="1" x14ac:dyDescent="0.25">
      <c r="B33" s="19" t="s">
        <v>119</v>
      </c>
      <c r="C33" s="99">
        <v>6.9730735000000002E-2</v>
      </c>
    </row>
    <row r="34" spans="2:3" ht="15.75" customHeight="1" x14ac:dyDescent="0.25">
      <c r="B34" s="19" t="s">
        <v>106</v>
      </c>
      <c r="C34" s="99">
        <v>0.48245814399999998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5WXWc2xtN8o+OirQnRids+ByE6e/3FkhQVDg0bfxRMotSgE7fFVqaCjDH8/NFX8yR95U5w+ajK+fcs0Vxf5Vgg==" saltValue="+bw0tk7VcuqgM+lD8d+lf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129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125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126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138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9GfaLUGoXC3+JWp7arSffR/1SLhnZmdOerUa8ok3CwuZfAiGlXWAIYBE9CIcrEF3CEDIipoM1JYt+qyAc+70A==" saltValue="qGCgedTJkW5yh/WOeyiM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klw1P4TMc6tnOiszGfgD/Tgs2Ss2JDr4/Yx8pivrFIXAGkFFruThUaazvqn+HTeOYRX58XHPs0hE8/7mzKB/Uw==" saltValue="RpPdX+2jR+a1XrH9Hg/d1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YMxytMhBs2ZPARNlfsTWPNLpInQFzxJ0oJ17q295xwCBYNJaPOTpnyIBCXoQxwwiy8NkhXdrtmiP6U8olNEUw==" saltValue="oRu5dHSn9yReXgJpYp99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6766.4812542947802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0.58639000000000008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0.55531999999999992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1.5804905073423522E-2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96502.997910000006</v>
      </c>
      <c r="C22" s="107">
        <v>96260.188460000005</v>
      </c>
      <c r="D22" s="107">
        <v>95976.718070000003</v>
      </c>
      <c r="E22" s="107">
        <v>95267.668950000007</v>
      </c>
      <c r="F22" s="107">
        <v>93895.115269999995</v>
      </c>
      <c r="G22" s="107">
        <v>91610.970319999993</v>
      </c>
      <c r="H22" s="107">
        <v>88349.324540000001</v>
      </c>
      <c r="I22" s="107">
        <v>84552.175730000003</v>
      </c>
      <c r="J22" s="107">
        <v>80432.232359999995</v>
      </c>
      <c r="K22" s="107">
        <v>76194.606329999995</v>
      </c>
      <c r="L22" s="107">
        <v>71407.311679999999</v>
      </c>
      <c r="M22" s="107">
        <v>66102.765629999994</v>
      </c>
      <c r="N22" s="107">
        <v>59746.514569999999</v>
      </c>
      <c r="O22" s="107">
        <v>52036.71557</v>
      </c>
    </row>
  </sheetData>
  <sheetProtection algorithmName="SHA-512" hashValue="WCtQewNprEWrqiVFgeBKpc93kSiprpcYyTk5q5BuQjUskz+43hK3SlP9ZeQArDf8i9qjGKU5lKGfIttxC9Z66A==" saltValue="CP23NoLsMh3s170/RWSx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DWEGP5pFK2lVCyHZBY9vRv5ylAUGsb0jvmGiigVheCIbhFI65OKnq9HX6QTKtmakjFl9mIZ0eJCzbzTvq8Gvg==" saltValue="hL5O8E7Pwfgz2ZM0r9xr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1H2QATFHlzDIT5mudcxq/g+82JyL/1dVVhn6PxD+6+1CMkcCy3XkQtPQZVgJ7Tz4xdE2sJd189ipXygq4Y/qGw==" saltValue="jjlZI6BZrmXZBfYCW4ot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0.50549569999999999</v>
      </c>
      <c r="C10" s="96">
        <v>0.95</v>
      </c>
      <c r="D10" s="56">
        <v>13.174056864953229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13.174056864953229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13.174056864953229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13.174056864953229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13.174056864953229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0.45208722222222197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0.53100000000000003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0.27586660000000002</v>
      </c>
      <c r="C19" s="96">
        <v>0.95</v>
      </c>
      <c r="D19" s="56">
        <v>12.125692061066291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4.3805110504495071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0.68605638799376001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0.51420810000000006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0.39905479999999999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0.42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0.44369690000000001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0.15718509999999999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1.2015899999999999E-2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0.90452129999999997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0.27900000000000003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htmf2s7J6JbxgBR3o9QVQKHxWD2n9SINqXq6+1Ke761ke0Vc171aBAH9fUMhGCazgaN/PzTAsYbKLnEJ54PRcg==" saltValue="CEWomJqqYlt5CA+WQGJE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3iUAT4W0kIgFjtlc3g0zuRc2pP4uzI+aPD2hu3qQAB07myG7jv6ZxB60ePcNQhpJZLNXiC113tbuWlVA9QqaQ==" saltValue="sRQXppbdXhxF4W4p2qN4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ZmiB4BuURylxQsJa1FsKYwE3LZuYKxhCNx9yq7iU8A6BirzsiTfD5tYWYNEdxiFBPhCVwLAENAyyxMR3yBvoQ==" saltValue="1uafTLamQ5HsjQ9MBxm0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1.82</v>
      </c>
      <c r="C2" s="21">
        <f>'Entradas de población-año base'!C52</f>
        <v>1.82</v>
      </c>
      <c r="D2" s="21">
        <f>'Entradas de población-año base'!C53</f>
        <v>4.2380000000000004</v>
      </c>
      <c r="E2" s="21">
        <f>'Entradas de población-año base'!C54</f>
        <v>4.3680000000000003</v>
      </c>
      <c r="F2" s="21">
        <f>'Entradas de población-año base'!C55</f>
        <v>2.062666666666666</v>
      </c>
    </row>
    <row r="3" spans="1:6" ht="15.75" customHeight="1" x14ac:dyDescent="0.25">
      <c r="A3" s="3" t="s">
        <v>6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236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M5tbT8/JF8r786IeqYGA6CAW81JgkFdAPt3XkGP4JaDuX7qYm86w2rV+ydpMYsRyj70r3NtB1leSRWC8k0ADcg==" saltValue="5mqoSei+JsoFy9w12NO1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SzyXr+wF/woQCBHl3Td/WPSLy4HGJOHANOZOVDLGsTtSx/4/lcH7i9pVej9kxGMSEDLSw+37LE+Zl+800ncaQ==" saltValue="HeYVhEqAyYGz685VvB5K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CJa6UyDPH//PeTGLAnBwI5crYuhbptzdcOBTdFbWNjZ70wpCPiXRO1Suy8Qlp7DCqkkW3ZX8odaIYgr3u/13Q==" saltValue="CbNLHS2BhmR6jaHykCRY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0yR62E+yBtrki+1CIwXBqZl/RAtQpDu6z/kzniRyV93vZcyCNd9Kc2s1xY6LYaXKvQ9144fc1s3IsFGopObbQ==" saltValue="9B2oNhbZuiVlHJOVtqx3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PhQiDdxGFQ5iwrOOX7St3HYDUKLw12pLgtCaHMnA3/jeHkrbHTlkaQi9YzDKp3Yey88i/dZNgiWZo5N/SGObw==" saltValue="T29mPbIU0l6UgwVagM4M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EmvdwdqElW7/E+IiETduvRjvz1IL0Rq+M9T+jI8D5wSDEvdahnzJ501GRfkduwvN3b6yxqhbfisuE1G5V/erQ==" saltValue="J9iNFc7mxRcvjCCjENPl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1RQGc+h3UKcLcBreJX0cPRd8W++4tCC9LoknF1LK4wCbQM4tKovY0LUgI1aTOWKUrMdD7b01Mwd2U1EIbaSVA==" saltValue="+5NGzD1OWDaBKiYfohUl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Rdu3UOf1Ey+nyPbK0x4v52ZjCr+KGM5JFLNPFxgfWtxC4evHpM8F401ZnqfpYFdGe8KCyJv49fe9JfPYDbYCw==" saltValue="ibbrSiEXtK/R7x0YePTuv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YOBidSP4GI4qvcKC7RV4+94UsBbetm+F3+Kr0ZP+NZZrcg/GOUEbi7UtRsxTS00ZIY5bnKlSbnKSgQRZN/+NQ==" saltValue="nPBj8y2yZCoech/pyEfs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6Kp/vogyPTZb5C36g/3OVKjC358dwpt174C24rQh7FrkYoaQYpw8AcRSilyGLhb8rry8+z/BiIwrrCuNdPAxQQ==" saltValue="X15gJcV0Zl+MJbtQw4BX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fpI22MaksQut7zYQKJysusqP+s2udGx22W0j6nESYHU5dZWcVpT8NroAqQ/rou/wphqaS2s/gBelukbYI8REA==" saltValue="i48lyaXcPvxQq+S6GGRy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sir0ijMqDdIqXG0kqX65TsuCdVbKjlKa9NzcNeBqEvEPakt7NYeLHVXjlNrHd3c0921w2z2jOx6Pyx5j+tI2w==" saltValue="Zyd2JrJvjqgdv86+zkgU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yC91z/9tMaPN0S/1uFNJB+8SlwnCMBuPJh8ritlPOOSUV7H5pq1FIMc+8ZPCFPP5QJlX6SgSpCKoJti/uAjrg==" saltValue="Ked/W4urU2ubyIaeSbBy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m6dEv1wasCMZq/LC4u0zl3yvdIjHvIUbJsev33+g6PazthRHTGEAdiXYZAEZJFcUyWl53fyABIc67OlalaG1g==" saltValue="LzvVJEAasjCniuPbxKTy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bPxYspz/ALSzXIG4cJoXrZY5A++kgKSpgL7Uhk0BnO00bYMtHT8VlHocDZ4lgErdHEbK+6Q2AEiNzTWUe019w==" saltValue="0JBwVgH3MF0HOJETuh4U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7qrObgF9nM2bPQhLi44HP2PQBj0lNYDU7WxoeI4GPEXgeFB3l5mvYNHPKHRKBZuJIwL6ike3FImOpPVXZ8SMQ==" saltValue="GUi5bNsJtGNfWwUEztxCI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