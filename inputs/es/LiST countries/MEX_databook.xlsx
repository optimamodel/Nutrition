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BDDCE2EF-F868-437E-90F0-8F9A89B27804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I39" i="2" s="1"/>
  <c r="G39" i="2"/>
  <c r="H38" i="2"/>
  <c r="G38" i="2"/>
  <c r="A37" i="2"/>
  <c r="A23" i="2"/>
  <c r="A21" i="2"/>
  <c r="A20" i="2"/>
  <c r="A15" i="2"/>
  <c r="H13" i="2"/>
  <c r="I13" i="2" s="1"/>
  <c r="G13" i="2"/>
  <c r="H12" i="2"/>
  <c r="G12" i="2"/>
  <c r="H11" i="2"/>
  <c r="I11" i="2" s="1"/>
  <c r="G11" i="2"/>
  <c r="H10" i="2"/>
  <c r="G10" i="2"/>
  <c r="I10" i="2" s="1"/>
  <c r="H9" i="2"/>
  <c r="I9" i="2" s="1"/>
  <c r="G9" i="2"/>
  <c r="H8" i="2"/>
  <c r="G8" i="2"/>
  <c r="H7" i="2"/>
  <c r="I7" i="2" s="1"/>
  <c r="G7" i="2"/>
  <c r="H6" i="2"/>
  <c r="G6" i="2"/>
  <c r="I6" i="2" s="1"/>
  <c r="H5" i="2"/>
  <c r="I5" i="2" s="1"/>
  <c r="G5" i="2"/>
  <c r="H4" i="2"/>
  <c r="G4" i="2"/>
  <c r="H3" i="2"/>
  <c r="I3" i="2" s="1"/>
  <c r="G3" i="2"/>
  <c r="H2" i="2"/>
  <c r="G2" i="2"/>
  <c r="I2" i="2" s="1"/>
  <c r="A2" i="2"/>
  <c r="A40" i="2" s="1"/>
  <c r="C33" i="1"/>
  <c r="C20" i="1"/>
  <c r="I4" i="2" l="1"/>
  <c r="I8" i="2"/>
  <c r="I12" i="2"/>
  <c r="A28" i="2"/>
  <c r="A29" i="2"/>
  <c r="I40" i="2"/>
  <c r="A31" i="2"/>
  <c r="I38" i="2"/>
  <c r="A36" i="2"/>
  <c r="A16" i="2"/>
  <c r="A24" i="2"/>
  <c r="A32" i="2"/>
  <c r="A17" i="2"/>
  <c r="A25" i="2"/>
  <c r="A33" i="2"/>
  <c r="A26" i="2"/>
  <c r="A39" i="2"/>
  <c r="A3" i="2"/>
  <c r="A18" i="2"/>
  <c r="A34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<sst xmlns="http://schemas.openxmlformats.org/spreadsheetml/2006/main" count="2101" uniqueCount="341">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</sst>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9281396.6875</v>
      </c>
    </row>
    <row r="8" spans="1:3" ht="15" customHeight="1" x14ac:dyDescent="0.25">
      <c r="B8" s="5" t="s">
        <v>44</v>
      </c>
      <c r="C8" s="44">
        <v>1.7000000000000001E-2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0.82499999999999996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0.108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0.1923</v>
      </c>
    </row>
    <row r="24" spans="1:3" ht="15" customHeight="1" x14ac:dyDescent="0.25">
      <c r="B24" s="15" t="s">
        <v>46</v>
      </c>
      <c r="C24" s="45">
        <v>0.54949999999999999</v>
      </c>
    </row>
    <row r="25" spans="1:3" ht="15" customHeight="1" x14ac:dyDescent="0.25">
      <c r="B25" s="15" t="s">
        <v>47</v>
      </c>
      <c r="C25" s="45">
        <v>0.2422</v>
      </c>
    </row>
    <row r="26" spans="1:3" ht="15" customHeight="1" x14ac:dyDescent="0.25">
      <c r="B26" s="15" t="s">
        <v>48</v>
      </c>
      <c r="C26" s="45">
        <v>1.6E-2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0.23843800000000001</v>
      </c>
    </row>
    <row r="30" spans="1:3" ht="14.25" customHeight="1" x14ac:dyDescent="0.25">
      <c r="B30" s="25" t="s">
        <v>63</v>
      </c>
      <c r="C30" s="99">
        <v>0.13178809999999999</v>
      </c>
    </row>
    <row r="31" spans="1:3" ht="14.25" customHeight="1" x14ac:dyDescent="0.25">
      <c r="B31" s="25" t="s">
        <v>10</v>
      </c>
      <c r="C31" s="99">
        <v>0.1250917</v>
      </c>
    </row>
    <row r="32" spans="1:3" ht="14.25" customHeight="1" x14ac:dyDescent="0.25">
      <c r="B32" s="25" t="s">
        <v>11</v>
      </c>
      <c r="C32" s="99">
        <v>0.50468219999999997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8.1054700000000004</v>
      </c>
    </row>
    <row r="38" spans="1:5" ht="15" customHeight="1" x14ac:dyDescent="0.25">
      <c r="B38" s="11" t="s">
        <v>35</v>
      </c>
      <c r="C38" s="43">
        <v>11.39776</v>
      </c>
      <c r="D38" s="12"/>
      <c r="E38" s="13"/>
    </row>
    <row r="39" spans="1:5" ht="15" customHeight="1" x14ac:dyDescent="0.25">
      <c r="B39" s="11" t="s">
        <v>61</v>
      </c>
      <c r="C39" s="43">
        <v>13.240740000000001</v>
      </c>
      <c r="D39" s="12"/>
      <c r="E39" s="12"/>
    </row>
    <row r="40" spans="1:5" ht="15" customHeight="1" x14ac:dyDescent="0.25">
      <c r="B40" s="11" t="s">
        <v>36</v>
      </c>
      <c r="C40" s="100">
        <v>0.59</v>
      </c>
    </row>
    <row r="41" spans="1:5" ht="15" customHeight="1" x14ac:dyDescent="0.25">
      <c r="B41" s="11" t="s">
        <v>32</v>
      </c>
      <c r="C41" s="45">
        <v>0.13</v>
      </c>
    </row>
    <row r="42" spans="1:5" ht="15" customHeight="1" x14ac:dyDescent="0.25">
      <c r="B42" s="11" t="s">
        <v>57</v>
      </c>
      <c r="C42" s="43">
        <v>6.6129100000000003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6.1101999999999997E-3</v>
      </c>
      <c r="D45" s="12"/>
    </row>
    <row r="46" spans="1:5" ht="15.75" customHeight="1" x14ac:dyDescent="0.25">
      <c r="B46" s="11" t="s">
        <v>51</v>
      </c>
      <c r="C46" s="45">
        <v>6.4331199999999991E-2</v>
      </c>
      <c r="D46" s="12"/>
    </row>
    <row r="47" spans="1:5" ht="15.75" customHeight="1" x14ac:dyDescent="0.25">
      <c r="B47" s="11" t="s">
        <v>59</v>
      </c>
      <c r="C47" s="45">
        <v>6.5170800000000001E-2</v>
      </c>
      <c r="D47" s="12"/>
      <c r="E47" s="13"/>
    </row>
    <row r="48" spans="1:5" ht="15" customHeight="1" x14ac:dyDescent="0.25">
      <c r="B48" s="11" t="s">
        <v>58</v>
      </c>
      <c r="C48" s="46">
        <v>0.86438779999999993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0.61096899999999998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0.10150000000000001</v>
      </c>
    </row>
    <row r="63" spans="1:4" ht="15.75" customHeight="1" x14ac:dyDescent="0.3">
      <c r="A63" s="4"/>
    </row>
  </sheetData>
  <sheetProtection algorithmName="SHA-512" hashValue="IPecDqnYml+quuBGqwgrvL+CrPcYatSc8dHPpBW6QL6JJGVzJ8gza8GofUjqEESCFet/dgBSDNUvFsxpkvb8nQ==" saltValue="yu/vyQIa8Z4aMf4PMcJT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1848943</v>
      </c>
      <c r="C2" s="49">
        <v>6406334</v>
      </c>
      <c r="D2" s="49">
        <v>10532919.5</v>
      </c>
      <c r="E2" s="49">
        <v>9974723.5</v>
      </c>
      <c r="F2" s="49">
        <v>7989763.5</v>
      </c>
      <c r="G2" s="17">
        <f t="shared" ref="G2:G13" si="0">C2+D2+E2+F2</f>
        <v>34903740.5</v>
      </c>
      <c r="H2" s="17">
        <f t="shared" ref="H2:H13" si="1">(B2 + stillbirth*B2/(1000-stillbirth))/(1-abortion)</f>
        <v>2139369.2956896187</v>
      </c>
      <c r="I2" s="17">
        <f t="shared" ref="I2:I13" si="2">G2-H2</f>
        <v>32764371.20431038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1840144</v>
      </c>
      <c r="C3" s="50">
        <v>6396514.5</v>
      </c>
      <c r="D3" s="50">
        <v>10524298.5</v>
      </c>
      <c r="E3" s="50">
        <v>10049699.5</v>
      </c>
      <c r="F3" s="50">
        <v>8076217</v>
      </c>
      <c r="G3" s="17">
        <f t="shared" si="0"/>
        <v>35046729.5</v>
      </c>
      <c r="H3" s="17">
        <f t="shared" si="1"/>
        <v>2129188.1757563525</v>
      </c>
      <c r="I3" s="17">
        <f t="shared" si="2"/>
        <v>32917541.324243646</v>
      </c>
    </row>
    <row r="4" spans="1:9" ht="15.75" customHeight="1" x14ac:dyDescent="0.25">
      <c r="A4" s="5">
        <f t="shared" si="3"/>
        <v>2026</v>
      </c>
      <c r="B4" s="49">
        <v>1832692</v>
      </c>
      <c r="C4" s="50">
        <v>6385771.0000000009</v>
      </c>
      <c r="D4" s="50">
        <v>10516047.5</v>
      </c>
      <c r="E4" s="50">
        <v>10112481.5</v>
      </c>
      <c r="F4" s="50">
        <v>8158850</v>
      </c>
      <c r="G4" s="17">
        <f t="shared" si="0"/>
        <v>35173150</v>
      </c>
      <c r="H4" s="17">
        <f t="shared" si="1"/>
        <v>2120565.6384518067</v>
      </c>
      <c r="I4" s="17">
        <f t="shared" si="2"/>
        <v>33052584.361548193</v>
      </c>
    </row>
    <row r="5" spans="1:9" ht="15.75" customHeight="1" x14ac:dyDescent="0.25">
      <c r="A5" s="5">
        <f t="shared" si="3"/>
        <v>2027</v>
      </c>
      <c r="B5" s="49">
        <v>1818358</v>
      </c>
      <c r="C5" s="50">
        <v>6369573.5</v>
      </c>
      <c r="D5" s="50">
        <v>10506889.5</v>
      </c>
      <c r="E5" s="50">
        <v>10166462.5</v>
      </c>
      <c r="F5" s="50">
        <v>8237962.4999999991</v>
      </c>
      <c r="G5" s="17">
        <f t="shared" si="0"/>
        <v>35280888</v>
      </c>
      <c r="H5" s="17">
        <f t="shared" si="1"/>
        <v>2103980.0976945115</v>
      </c>
      <c r="I5" s="17">
        <f t="shared" si="2"/>
        <v>33176907.902305488</v>
      </c>
    </row>
    <row r="6" spans="1:9" ht="15.75" customHeight="1" x14ac:dyDescent="0.25">
      <c r="A6" s="5">
        <f t="shared" si="3"/>
        <v>2028</v>
      </c>
      <c r="B6" s="49">
        <v>1812708</v>
      </c>
      <c r="C6" s="50">
        <v>6346192.4999999991</v>
      </c>
      <c r="D6" s="50">
        <v>10495080.5</v>
      </c>
      <c r="E6" s="50">
        <v>10213648.5</v>
      </c>
      <c r="F6" s="50">
        <v>8314903.9999999991</v>
      </c>
      <c r="G6" s="17">
        <f t="shared" si="0"/>
        <v>35369825.5</v>
      </c>
      <c r="H6" s="17">
        <f t="shared" si="1"/>
        <v>2097442.6130231908</v>
      </c>
      <c r="I6" s="17">
        <f t="shared" si="2"/>
        <v>33272382.886976808</v>
      </c>
    </row>
    <row r="7" spans="1:9" ht="15.75" customHeight="1" x14ac:dyDescent="0.25">
      <c r="A7" s="5">
        <f t="shared" si="3"/>
        <v>2029</v>
      </c>
      <c r="B7" s="49">
        <v>1813165</v>
      </c>
      <c r="C7" s="50">
        <v>6313673.5</v>
      </c>
      <c r="D7" s="50">
        <v>10481206.5</v>
      </c>
      <c r="E7" s="50">
        <v>10252386.5</v>
      </c>
      <c r="F7" s="50">
        <v>8390876</v>
      </c>
      <c r="G7" s="17">
        <f t="shared" si="0"/>
        <v>35438142.5</v>
      </c>
      <c r="H7" s="17">
        <f t="shared" si="1"/>
        <v>2097971.3971815612</v>
      </c>
      <c r="I7" s="17">
        <f t="shared" si="2"/>
        <v>33340171.102818437</v>
      </c>
    </row>
    <row r="8" spans="1:9" ht="15.75" customHeight="1" x14ac:dyDescent="0.25">
      <c r="A8" s="5">
        <f t="shared" si="3"/>
        <v>2030</v>
      </c>
      <c r="B8" s="49">
        <v>1805220</v>
      </c>
      <c r="C8" s="50">
        <v>6266980</v>
      </c>
      <c r="D8" s="50">
        <v>10463393.5</v>
      </c>
      <c r="E8" s="50">
        <v>10282891.5</v>
      </c>
      <c r="F8" s="50">
        <v>8471285.0000000019</v>
      </c>
      <c r="G8" s="17">
        <f t="shared" si="0"/>
        <v>35484550</v>
      </c>
      <c r="H8" s="17">
        <f t="shared" si="1"/>
        <v>2088778.4209490574</v>
      </c>
      <c r="I8" s="17">
        <f t="shared" si="2"/>
        <v>33395771.579050943</v>
      </c>
    </row>
    <row r="9" spans="1:9" ht="15.75" customHeight="1" x14ac:dyDescent="0.25">
      <c r="A9" s="5">
        <f t="shared" si="3"/>
        <v>2031</v>
      </c>
      <c r="B9" s="49">
        <v>1803490</v>
      </c>
      <c r="C9" s="50">
        <v>6201088.5</v>
      </c>
      <c r="D9" s="50">
        <v>10442584.5</v>
      </c>
      <c r="E9" s="50">
        <v>10305623</v>
      </c>
      <c r="F9" s="50">
        <v>8554518</v>
      </c>
      <c r="G9" s="17">
        <f t="shared" si="0"/>
        <v>35503814</v>
      </c>
      <c r="H9" s="17">
        <f t="shared" si="1"/>
        <v>2086776.6778550071</v>
      </c>
      <c r="I9" s="17">
        <f t="shared" si="2"/>
        <v>33417037.322144993</v>
      </c>
    </row>
    <row r="10" spans="1:9" ht="15.75" customHeight="1" x14ac:dyDescent="0.25">
      <c r="A10" s="5">
        <f t="shared" si="3"/>
        <v>2032</v>
      </c>
      <c r="B10" s="49">
        <v>1795017</v>
      </c>
      <c r="C10" s="50">
        <v>6112438</v>
      </c>
      <c r="D10" s="50">
        <v>10418577.5</v>
      </c>
      <c r="E10" s="50">
        <v>10319816.5</v>
      </c>
      <c r="F10" s="50">
        <v>8637023</v>
      </c>
      <c r="G10" s="17">
        <f t="shared" si="0"/>
        <v>35487855</v>
      </c>
      <c r="H10" s="17">
        <f t="shared" si="1"/>
        <v>2076972.7650018914</v>
      </c>
      <c r="I10" s="17">
        <f t="shared" si="2"/>
        <v>33410882.234998107</v>
      </c>
    </row>
    <row r="11" spans="1:9" ht="15.75" customHeight="1" x14ac:dyDescent="0.25">
      <c r="A11" s="5">
        <f t="shared" si="3"/>
        <v>2033</v>
      </c>
      <c r="B11" s="49">
        <v>1781322</v>
      </c>
      <c r="C11" s="50">
        <v>5999874.5000000009</v>
      </c>
      <c r="D11" s="50">
        <v>10389407</v>
      </c>
      <c r="E11" s="50">
        <v>10327018</v>
      </c>
      <c r="F11" s="50">
        <v>8720309</v>
      </c>
      <c r="G11" s="17">
        <f t="shared" si="0"/>
        <v>35436608.5</v>
      </c>
      <c r="H11" s="17">
        <f t="shared" si="1"/>
        <v>2061126.596404769</v>
      </c>
      <c r="I11" s="17">
        <f t="shared" si="2"/>
        <v>33375481.903595231</v>
      </c>
    </row>
    <row r="12" spans="1:9" ht="15.75" customHeight="1" x14ac:dyDescent="0.25">
      <c r="A12" s="5">
        <f t="shared" si="3"/>
        <v>2034</v>
      </c>
      <c r="B12" s="49">
        <v>1778006</v>
      </c>
      <c r="C12" s="50">
        <v>5880405.9999999991</v>
      </c>
      <c r="D12" s="50">
        <v>10355793.5</v>
      </c>
      <c r="E12" s="50">
        <v>10325782.5</v>
      </c>
      <c r="F12" s="50">
        <v>8801479</v>
      </c>
      <c r="G12" s="17">
        <f t="shared" si="0"/>
        <v>35363461</v>
      </c>
      <c r="H12" s="17">
        <f t="shared" si="1"/>
        <v>2057289.7292950167</v>
      </c>
      <c r="I12" s="17">
        <f t="shared" si="2"/>
        <v>33306171.270704985</v>
      </c>
    </row>
    <row r="13" spans="1:9" ht="15.75" customHeight="1" x14ac:dyDescent="0.25">
      <c r="A13" s="5">
        <f t="shared" si="3"/>
        <v>2035</v>
      </c>
      <c r="B13" s="49">
        <v>1760234</v>
      </c>
      <c r="C13" s="50">
        <v>5750240.5</v>
      </c>
      <c r="D13" s="50">
        <v>10317944</v>
      </c>
      <c r="E13" s="50">
        <v>10318555</v>
      </c>
      <c r="F13" s="50">
        <v>8877242</v>
      </c>
      <c r="G13" s="17">
        <f t="shared" si="0"/>
        <v>35263981.5</v>
      </c>
      <c r="H13" s="17">
        <f t="shared" si="1"/>
        <v>2036726.1580421464</v>
      </c>
      <c r="I13" s="17">
        <f t="shared" si="2"/>
        <v>33227255.341957852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L5o+5QNSDB9shLSgEn+3P4GP1k8RaEnBXS9/RJZ43akkDfMOuQtfu/cdEFJyTnRB1eYYd9stbAAu/ThDqHAwGw==" saltValue="SE7iP+h+omqSFoWf4geEH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0.1540929999999999</v>
      </c>
    </row>
    <row r="5" spans="1:8" ht="15.75" customHeight="1" x14ac:dyDescent="0.25">
      <c r="B5" s="19" t="s">
        <v>95</v>
      </c>
      <c r="C5" s="101">
        <v>4.3544600000000051E-2</v>
      </c>
    </row>
    <row r="6" spans="1:8" ht="15.75" customHeight="1" x14ac:dyDescent="0.25">
      <c r="B6" s="19" t="s">
        <v>91</v>
      </c>
      <c r="C6" s="101">
        <v>0.13350659999999989</v>
      </c>
    </row>
    <row r="7" spans="1:8" ht="15.75" customHeight="1" x14ac:dyDescent="0.25">
      <c r="B7" s="19" t="s">
        <v>96</v>
      </c>
      <c r="C7" s="101">
        <v>0.34353199999999989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0.24229560000000019</v>
      </c>
    </row>
    <row r="10" spans="1:8" ht="15.75" customHeight="1" x14ac:dyDescent="0.25">
      <c r="B10" s="19" t="s">
        <v>94</v>
      </c>
      <c r="C10" s="101">
        <v>8.3028199999999941E-2</v>
      </c>
    </row>
    <row r="11" spans="1:8" ht="15.75" customHeight="1" x14ac:dyDescent="0.25">
      <c r="B11" s="27" t="s">
        <v>60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0.1310706655975018</v>
      </c>
      <c r="D14" s="55">
        <v>0.1310706655975018</v>
      </c>
      <c r="E14" s="55">
        <v>0.1310706655975018</v>
      </c>
      <c r="F14" s="55">
        <v>0.1310706655975018</v>
      </c>
    </row>
    <row r="15" spans="1:8" ht="15.75" customHeight="1" x14ac:dyDescent="0.25">
      <c r="B15" s="19" t="s">
        <v>102</v>
      </c>
      <c r="C15" s="101">
        <v>0.32579698637507032</v>
      </c>
      <c r="D15" s="101">
        <v>0.32579698637507032</v>
      </c>
      <c r="E15" s="101">
        <v>0.32579698637507032</v>
      </c>
      <c r="F15" s="101">
        <v>0.32579698637507032</v>
      </c>
    </row>
    <row r="16" spans="1:8" ht="15.75" customHeight="1" x14ac:dyDescent="0.25">
      <c r="B16" s="19" t="s">
        <v>2</v>
      </c>
      <c r="C16" s="101">
        <v>3.0352653282682381E-2</v>
      </c>
      <c r="D16" s="101">
        <v>3.0352653282682381E-2</v>
      </c>
      <c r="E16" s="101">
        <v>3.0352653282682381E-2</v>
      </c>
      <c r="F16" s="101">
        <v>3.0352653282682381E-2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7.463023990219639E-3</v>
      </c>
      <c r="D19" s="101">
        <v>7.463023990219639E-3</v>
      </c>
      <c r="E19" s="101">
        <v>7.463023990219639E-3</v>
      </c>
      <c r="F19" s="101">
        <v>7.463023990219639E-3</v>
      </c>
    </row>
    <row r="20" spans="1:8" ht="15.75" customHeight="1" x14ac:dyDescent="0.25">
      <c r="B20" s="19" t="s">
        <v>79</v>
      </c>
      <c r="C20" s="101">
        <v>2.4205317759995671E-2</v>
      </c>
      <c r="D20" s="101">
        <v>2.4205317759995671E-2</v>
      </c>
      <c r="E20" s="101">
        <v>2.4205317759995671E-2</v>
      </c>
      <c r="F20" s="101">
        <v>2.4205317759995671E-2</v>
      </c>
    </row>
    <row r="21" spans="1:8" ht="15.75" customHeight="1" x14ac:dyDescent="0.25">
      <c r="B21" s="19" t="s">
        <v>88</v>
      </c>
      <c r="C21" s="101">
        <v>0.33452651561541241</v>
      </c>
      <c r="D21" s="101">
        <v>0.33452651561541241</v>
      </c>
      <c r="E21" s="101">
        <v>0.33452651561541241</v>
      </c>
      <c r="F21" s="101">
        <v>0.33452651561541241</v>
      </c>
    </row>
    <row r="22" spans="1:8" ht="15.75" customHeight="1" x14ac:dyDescent="0.25">
      <c r="B22" s="19" t="s">
        <v>99</v>
      </c>
      <c r="C22" s="101">
        <v>0.14658483737911779</v>
      </c>
      <c r="D22" s="101">
        <v>0.14658483737911779</v>
      </c>
      <c r="E22" s="101">
        <v>0.14658483737911779</v>
      </c>
      <c r="F22" s="101">
        <v>0.14658483737911779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5.3514945000000001E-2</v>
      </c>
    </row>
    <row r="27" spans="1:8" ht="15.75" customHeight="1" x14ac:dyDescent="0.25">
      <c r="B27" s="19" t="s">
        <v>89</v>
      </c>
      <c r="C27" s="101">
        <v>2.8541006000000001E-2</v>
      </c>
    </row>
    <row r="28" spans="1:8" ht="15.75" customHeight="1" x14ac:dyDescent="0.25">
      <c r="B28" s="19" t="s">
        <v>103</v>
      </c>
      <c r="C28" s="101">
        <v>0.187630466</v>
      </c>
    </row>
    <row r="29" spans="1:8" ht="15.75" customHeight="1" x14ac:dyDescent="0.25">
      <c r="B29" s="19" t="s">
        <v>86</v>
      </c>
      <c r="C29" s="101">
        <v>0.27936675700000002</v>
      </c>
    </row>
    <row r="30" spans="1:8" ht="15.75" customHeight="1" x14ac:dyDescent="0.25">
      <c r="B30" s="19" t="s">
        <v>4</v>
      </c>
      <c r="C30" s="101">
        <v>9.2226500000000002E-4</v>
      </c>
    </row>
    <row r="31" spans="1:8" ht="15.75" customHeight="1" x14ac:dyDescent="0.25">
      <c r="B31" s="19" t="s">
        <v>80</v>
      </c>
      <c r="C31" s="101">
        <v>7.2676198999999997E-2</v>
      </c>
    </row>
    <row r="32" spans="1:8" ht="15.75" customHeight="1" x14ac:dyDescent="0.25">
      <c r="B32" s="19" t="s">
        <v>85</v>
      </c>
      <c r="C32" s="101">
        <v>4.4662927999999998E-2</v>
      </c>
    </row>
    <row r="33" spans="2:3" ht="15.75" customHeight="1" x14ac:dyDescent="0.25">
      <c r="B33" s="19" t="s">
        <v>100</v>
      </c>
      <c r="C33" s="101">
        <v>0.14648158999999999</v>
      </c>
    </row>
    <row r="34" spans="2:3" ht="15.75" customHeight="1" x14ac:dyDescent="0.25">
      <c r="B34" s="19" t="s">
        <v>87</v>
      </c>
      <c r="C34" s="101">
        <v>0.18620384500000001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w+n/KvjPTg1kZmSUXWu2SJMt2ivoZ4aIf9YbnQHPUnv50ozR4c1YxvkwevckjolEk00H03zyjcc1a5JyCGlTpw==" saltValue="9teOPo01Ak4/S38ANJmuZ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0.58386943192158447</v>
      </c>
      <c r="D2" s="52">
        <f>IFERROR(1-_xlfn.NORM.DIST(_xlfn.NORM.INV(SUM(D4:D5), 0, 1) + 1, 0, 1, TRUE), "")</f>
        <v>0.58386943192158447</v>
      </c>
      <c r="E2" s="52">
        <f>IFERROR(1-_xlfn.NORM.DIST(_xlfn.NORM.INV(SUM(E4:E5), 0, 1) + 1, 0, 1, TRUE), "")</f>
        <v>0.59904026500765561</v>
      </c>
      <c r="F2" s="52">
        <f>IFERROR(1-_xlfn.NORM.DIST(_xlfn.NORM.INV(SUM(F4:F5), 0, 1) + 1, 0, 1, TRUE), "")</f>
        <v>0.4178738712092348</v>
      </c>
      <c r="G2" s="52">
        <f>IFERROR(1-_xlfn.NORM.DIST(_xlfn.NORM.INV(SUM(G4:G5), 0, 1) + 1, 0, 1, TRUE), "")</f>
        <v>0.55338444676169551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0.30333656807841547</v>
      </c>
      <c r="D3" s="52">
        <f>IFERROR(_xlfn.NORM.DIST(_xlfn.NORM.INV(SUM(D4:D5), 0, 1) + 1, 0, 1, TRUE) - SUM(D4:D5), "")</f>
        <v>0.30333656807841547</v>
      </c>
      <c r="E3" s="52">
        <f>IFERROR(_xlfn.NORM.DIST(_xlfn.NORM.INV(SUM(E4:E5), 0, 1) + 1, 0, 1, TRUE) - SUM(E4:E5), "")</f>
        <v>0.29546763499234441</v>
      </c>
      <c r="F3" s="52">
        <f>IFERROR(_xlfn.NORM.DIST(_xlfn.NORM.INV(SUM(F4:F5), 0, 1) + 1, 0, 1, TRUE) - SUM(F4:F5), "")</f>
        <v>0.36813942879076522</v>
      </c>
      <c r="G3" s="52">
        <f>IFERROR(_xlfn.NORM.DIST(_xlfn.NORM.INV(SUM(G4:G5), 0, 1) + 1, 0, 1, TRUE) - SUM(G4:G5), "")</f>
        <v>0.31826375323830458</v>
      </c>
    </row>
    <row r="4" spans="1:15" ht="15.75" customHeight="1" x14ac:dyDescent="0.25">
      <c r="B4" s="5" t="s">
        <v>110</v>
      </c>
      <c r="C4" s="45">
        <v>9.6012400000000012E-2</v>
      </c>
      <c r="D4" s="53">
        <v>9.6012400000000012E-2</v>
      </c>
      <c r="E4" s="53">
        <v>8.0807699999999996E-2</v>
      </c>
      <c r="F4" s="53">
        <v>0.15705279999999999</v>
      </c>
      <c r="G4" s="53">
        <v>0.1019114</v>
      </c>
    </row>
    <row r="5" spans="1:15" ht="15.75" customHeight="1" x14ac:dyDescent="0.25">
      <c r="B5" s="5" t="s">
        <v>106</v>
      </c>
      <c r="C5" s="45">
        <v>1.6781600000000001E-2</v>
      </c>
      <c r="D5" s="53">
        <v>1.6781600000000001E-2</v>
      </c>
      <c r="E5" s="53">
        <v>2.4684399999999999E-2</v>
      </c>
      <c r="F5" s="53">
        <v>5.6933900000000003E-2</v>
      </c>
      <c r="G5" s="53">
        <v>2.6440399999999999E-2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0.77685468030084026</v>
      </c>
      <c r="D8" s="52">
        <f>IFERROR(1-_xlfn.NORM.DIST(_xlfn.NORM.INV(SUM(D10:D11), 0, 1) + 1, 0, 1, TRUE), "")</f>
        <v>0.77685468030084026</v>
      </c>
      <c r="E8" s="52">
        <f>IFERROR(1-_xlfn.NORM.DIST(_xlfn.NORM.INV(SUM(E10:E11), 0, 1) + 1, 0, 1, TRUE), "")</f>
        <v>0.80894052763806945</v>
      </c>
      <c r="F8" s="52">
        <f>IFERROR(1-_xlfn.NORM.DIST(_xlfn.NORM.INV(SUM(F10:F11), 0, 1) + 1, 0, 1, TRUE), "")</f>
        <v>0.92437234173385519</v>
      </c>
      <c r="G8" s="52">
        <f>IFERROR(1-_xlfn.NORM.DIST(_xlfn.NORM.INV(SUM(G10:G11), 0, 1) + 1, 0, 1, TRUE), "")</f>
        <v>0.90640630747336237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0.18407801969915977</v>
      </c>
      <c r="D9" s="52">
        <f>IFERROR(_xlfn.NORM.DIST(_xlfn.NORM.INV(SUM(D10:D11), 0, 1) + 1, 0, 1, TRUE) - SUM(D10:D11), "")</f>
        <v>0.18407801969915977</v>
      </c>
      <c r="E9" s="52">
        <f>IFERROR(_xlfn.NORM.DIST(_xlfn.NORM.INV(SUM(E10:E11), 0, 1) + 1, 0, 1, TRUE) - SUM(E10:E11), "")</f>
        <v>0.16059417236193055</v>
      </c>
      <c r="F9" s="52">
        <f>IFERROR(_xlfn.NORM.DIST(_xlfn.NORM.INV(SUM(F10:F11), 0, 1) + 1, 0, 1, TRUE) - SUM(F10:F11), "")</f>
        <v>6.8184058266144792E-2</v>
      </c>
      <c r="G9" s="52">
        <f>IFERROR(_xlfn.NORM.DIST(_xlfn.NORM.INV(SUM(G10:G11), 0, 1) + 1, 0, 1, TRUE) - SUM(G10:G11), "")</f>
        <v>8.3394692526637629E-2</v>
      </c>
    </row>
    <row r="10" spans="1:15" ht="15.75" customHeight="1" x14ac:dyDescent="0.25">
      <c r="B10" s="5" t="s">
        <v>107</v>
      </c>
      <c r="C10" s="45">
        <v>3.3972000000000002E-2</v>
      </c>
      <c r="D10" s="53">
        <v>3.3972000000000002E-2</v>
      </c>
      <c r="E10" s="53">
        <v>1.06941E-2</v>
      </c>
      <c r="F10" s="53">
        <v>7.4435999999999999E-3</v>
      </c>
      <c r="G10" s="53">
        <v>7.1650000000000004E-3</v>
      </c>
    </row>
    <row r="11" spans="1:15" ht="15.75" customHeight="1" x14ac:dyDescent="0.25">
      <c r="B11" s="5" t="s">
        <v>119</v>
      </c>
      <c r="C11" s="45">
        <v>5.0953000000000014E-3</v>
      </c>
      <c r="D11" s="53">
        <v>5.0953000000000014E-3</v>
      </c>
      <c r="E11" s="53">
        <v>1.9771199999999999E-2</v>
      </c>
      <c r="F11" s="53">
        <v>0</v>
      </c>
      <c r="G11" s="53">
        <v>3.0339999999999998E-3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0.39200000000000002</v>
      </c>
      <c r="D14" s="54">
        <v>0.39200000000000002</v>
      </c>
      <c r="E14" s="54">
        <v>0.39200000000000002</v>
      </c>
      <c r="F14" s="54">
        <v>0.37509999999999999</v>
      </c>
      <c r="G14" s="54">
        <v>0.24879999999999999</v>
      </c>
      <c r="H14" s="45">
        <v>0.19600000000000001</v>
      </c>
      <c r="I14" s="55">
        <v>0.19600000000000001</v>
      </c>
      <c r="J14" s="55">
        <v>0.19600000000000001</v>
      </c>
      <c r="K14" s="55">
        <v>0.19600000000000001</v>
      </c>
      <c r="L14" s="45">
        <v>0.14399999999999999</v>
      </c>
      <c r="M14" s="55">
        <v>0.14399999999999999</v>
      </c>
      <c r="N14" s="55">
        <v>0.14399999999999999</v>
      </c>
      <c r="O14" s="55">
        <v>0.14399999999999999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0.23949984800000002</v>
      </c>
      <c r="D15" s="52">
        <f t="shared" si="0"/>
        <v>0.23949984800000002</v>
      </c>
      <c r="E15" s="52">
        <f t="shared" si="0"/>
        <v>0.23949984800000002</v>
      </c>
      <c r="F15" s="52">
        <f t="shared" si="0"/>
        <v>0.22917447189999998</v>
      </c>
      <c r="G15" s="52">
        <f t="shared" si="0"/>
        <v>0.1520090872</v>
      </c>
      <c r="H15" s="52">
        <f t="shared" si="0"/>
        <v>0.11974992400000001</v>
      </c>
      <c r="I15" s="52">
        <f t="shared" si="0"/>
        <v>0.11974992400000001</v>
      </c>
      <c r="J15" s="52">
        <f t="shared" si="0"/>
        <v>0.11974992400000001</v>
      </c>
      <c r="K15" s="52">
        <f t="shared" si="0"/>
        <v>0.11974992400000001</v>
      </c>
      <c r="L15" s="52">
        <f t="shared" si="0"/>
        <v>8.7979535999999997E-2</v>
      </c>
      <c r="M15" s="52">
        <f t="shared" si="0"/>
        <v>8.7979535999999997E-2</v>
      </c>
      <c r="N15" s="52">
        <f t="shared" si="0"/>
        <v>8.7979535999999997E-2</v>
      </c>
      <c r="O15" s="52">
        <f t="shared" si="0"/>
        <v>8.7979535999999997E-2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SBjRVXYR0eOlVg4HzStS9UjR28TbSv4mV+rcKuZP0PTUa/5EzciB4uEdIwv8BQ8AWUpIcdn93ODZAQum+yIGMg==" saltValue="SWv6ZaK5YgUgHb5pfgHy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0.37103969999999997</v>
      </c>
      <c r="D2" s="53">
        <v>0.23591980000000001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0.18044669999999999</v>
      </c>
      <c r="D3" s="53">
        <v>9.0277700000000002E-2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0.28596440000000001</v>
      </c>
      <c r="D4" s="53">
        <v>0.42006130000000003</v>
      </c>
      <c r="E4" s="53">
        <v>0.56871260000000001</v>
      </c>
      <c r="F4" s="53">
        <v>0.35001369999999998</v>
      </c>
      <c r="G4" s="53">
        <v>0</v>
      </c>
    </row>
    <row r="5" spans="1:7" x14ac:dyDescent="0.25">
      <c r="B5" s="3" t="s">
        <v>125</v>
      </c>
      <c r="C5" s="52">
        <v>0.1625492</v>
      </c>
      <c r="D5" s="52">
        <v>0.2537412</v>
      </c>
      <c r="E5" s="52">
        <f>1-SUM(E2:E4)</f>
        <v>0.43128739999999999</v>
      </c>
      <c r="F5" s="52">
        <f>1-SUM(F2:F4)</f>
        <v>0.64998630000000002</v>
      </c>
      <c r="G5" s="52">
        <f>1-SUM(G2:G4)</f>
        <v>1</v>
      </c>
    </row>
  </sheetData>
  <sheetProtection algorithmName="SHA-512" hashValue="56SqVSMlCx7Xqm08TZZU6Cs1UrTsHN9NfUsan9+1Erarl0graj3xctENh3xXps7nPEImCAtyNujXWwZXmpmRbg==" saltValue="C/HCBCl00rr7Vtl4VABOp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6BnKsWFHNMcD7d77z78Awl7EW89GmusY+EFvbM3GF+hOTAsKEuuPqzgKxXPRfebOwJ0aJuiQk/1VNJhOQtUoQw==" saltValue="7rzhw6/KAE2PxV/0AFS4g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/NFTgkSmljDY4CHobt/f0scFG/nxFHw+yFLOAwTnaFchVipRidRxkTqE55pn7IZOYAvryaKCcu1NPfb2Re014Q==" saltValue="JVhHkwQK7qfwXfY+AnoNA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puo9kGSCohlCEdbbqDuuHXOAlzVkp763CTR3CStKEjfJz+hoNDJBr9ps6egCM4n56fsS1G251mpeah2Mqu0i7w==" saltValue="VdayCzSfPlBi0o+PiTiBj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PExqsFRmsT3rS79ebKnDG9gGlemIouHGoPXRa0xchmAqgjxIry2+B51G/2e6WVCxT8SvSl+VxmvNqMSWMx5wdQ==" saltValue="1/DVnl/PFF6XCrAXpicVk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154.17725521634259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36.544834772694642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1.7292670000000001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0.44994896638918952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1.516970800969268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0.5</v>
      </c>
      <c r="C9" s="98">
        <v>0.95</v>
      </c>
      <c r="D9" s="56">
        <v>0.83347689488283194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12.76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12.76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12.76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12.76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12.76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12.76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5.8835597567123799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2.3937511111111101E-2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0.23591980000000001</v>
      </c>
      <c r="C18" s="98">
        <v>0.95</v>
      </c>
      <c r="D18" s="56">
        <v>36.544834772694642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0.23591980000000001</v>
      </c>
      <c r="C19" s="98">
        <v>0.95</v>
      </c>
      <c r="D19" s="56">
        <v>36.544834772694642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17.588891180900539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22.38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4.21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0.69322219271638008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8.1464668622096941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5.5181659343385068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0.52424380000000004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0.5944374</v>
      </c>
      <c r="C29" s="98">
        <v>0.95</v>
      </c>
      <c r="D29" s="56">
        <v>206.81375092158379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65.176827828224631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3.8695611109470298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0.93940820000000003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0.13994980000000001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2.1327200000000001E-2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0.97755639999999999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8.7485800000000002E-2</v>
      </c>
      <c r="C38" s="98">
        <v>0.95</v>
      </c>
      <c r="D38" s="56">
        <v>5.754815016497699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8.0553075689406626</v>
      </c>
      <c r="E39" s="56" t="s">
        <v>183</v>
      </c>
      <c r="F39" s="98">
        <v>1</v>
      </c>
      <c r="G39" s="98">
        <v>1</v>
      </c>
    </row>
  </sheetData>
  <sheetProtection algorithmName="SHA-512" hashValue="DzjLaIrVrfv6jfLlmnHpi3I+hjW4CeuQ1Jm49kXNsXIJJZ6AZH+6gmTWmmHqpr+cg/8vhmxf4x5YQABqM2nUPA==" saltValue="CWVO1LMVu55eX3zuSx2V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88zP79BXgGkAtpbj3seSdB5GyyyOJ2mF5E7aWoOu6WBjRaUPY6b1hr1PXq+BJOSeEr8WuTgMF6E1+Iyn8zwChg==" saltValue="kZP5l47Xu48a2pYTonqXg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/hbDxU6kCKmBek+T/F6UGVboOpsbeRYF3KknxsPhEeMJz/fKeYq7smWvw/h5N9M291xJoR/k83IzxxE/ApdTXA==" saltValue="IazKy8uiOREV978A1Qec6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8.8327200000000008E-2</v>
      </c>
      <c r="C3" s="21">
        <f>frac_mam_1_5months * 2.6</f>
        <v>8.8327200000000008E-2</v>
      </c>
      <c r="D3" s="21">
        <f>frac_mam_6_11months * 2.6</f>
        <v>2.7804660000000002E-2</v>
      </c>
      <c r="E3" s="21">
        <f>frac_mam_12_23months * 2.6</f>
        <v>1.935336E-2</v>
      </c>
      <c r="F3" s="21">
        <f>frac_mam_24_59months * 2.6</f>
        <v>1.8629000000000003E-2</v>
      </c>
    </row>
    <row r="4" spans="1:6" ht="15.75" customHeight="1" x14ac:dyDescent="0.25">
      <c r="A4" s="3" t="s">
        <v>207</v>
      </c>
      <c r="B4" s="21">
        <f>frac_sam_1month * 2.6</f>
        <v>1.3247780000000004E-2</v>
      </c>
      <c r="C4" s="21">
        <f>frac_sam_1_5months * 2.6</f>
        <v>1.3247780000000004E-2</v>
      </c>
      <c r="D4" s="21">
        <f>frac_sam_6_11months * 2.6</f>
        <v>5.1405119999999999E-2</v>
      </c>
      <c r="E4" s="21">
        <f>frac_sam_12_23months * 2.6</f>
        <v>0</v>
      </c>
      <c r="F4" s="21">
        <f>frac_sam_24_59months * 2.6</f>
        <v>7.8884000000000003E-3</v>
      </c>
    </row>
  </sheetData>
  <sheetProtection algorithmName="SHA-512" hashValue="SWbsnpcq+fvLGellY3lI0HSwRWfkqAG4dkeUxmt7DrryXiTSFwj1y+AaGELaOLYVm/v9wU6bdQR/vAZ/b7Qo9Q==" saltValue="rNi/h2g5NHJz3BAApCxpw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0.108</v>
      </c>
      <c r="M24" s="60">
        <f>famplan_unmet_need</f>
        <v>0.108</v>
      </c>
      <c r="N24" s="60">
        <f>famplan_unmet_need</f>
        <v>0.108</v>
      </c>
      <c r="O24" s="60">
        <f>famplan_unmet_need</f>
        <v>0.108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8.6374750000000014E-2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3.7017750000000009E-2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5.1607500000000014E-2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0.82499999999999984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U+APlv3APoOScCF12aD2TPS371iYcixRdUdioz++20Qv7wSrwb91nlBf4V7HbbWNFAC7f22Oem0MewFl0p8m7g==" saltValue="xoUuL+yTg7EHNky9J9lUW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CmV2AXyKq4ejz311TbexzXiQP2TOJW2x8zt+JQQjVy/yjVP96hvqSi2+4n4f9bz2d6I9t7KMji2XT+6k0njK9w==" saltValue="aBNs4+D87wFZlXmsGMKqG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/wxejeUSeLXjmHi4M3GTh5MLUZcDnioUJGSbVCGtHtY9Bowq2TYTaWefyPiXV7Zoeu2ce+c+tI+k/g+SkGj/VA==" saltValue="NF9tOUJwM/OwdXn+LcXhn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oYGXu5fGebBZaMWbogsFd3MW0W6tDbvrQ7srJRH+aa+E1DRXjOnlsvGjSPeMdXT28EfjnyOj0s/8/W5YpeG2g==" saltValue="JnBbOmpO2GtBe6DBU0G02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CXSDi9NhwJ0qP0STqlr+dBZJ+wL4lgsmjftAz1NwLjBOZLhyUEW4TZdotim/E9u6eJrrk1wUo40UGs53W/iOvg==" saltValue="aglHSVe6awOPv7YCDnDR4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nk7bgibhvWqGJoEAMVSIDphPZheGas3MxMwh/6ti+kJPfIM6OwzayCCOuXfjWQBRJyG1GxuXnjshVtFSpjpPnw==" saltValue="zEg2xGATlr4i33XdORPPG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YYdYqrnfO3Arx/yjCVZBgEl/FjqTnh81cL2pC8iQYAh8uGmwpW/iMcuocwlk7lMnlbCSKrEQvQKh//yKu34DA==" saltValue="wNq28WUMenGGePq7oEDxi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aeG9huh+x15iMv2fFebW82/77R91xNgz8rSOEH8GsxbqmVwBKNQ1O/jwCnoOelpi0m94cz1zf8qteAuOZtDvg==" saltValue="raaMn8T5NusY3vdopWkI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pPov0gaDWRxvsejWXAYFw/v5d8PVap0/w5S6wT5sIAJj5nfhTiQZ4QCIhaQYALnfwrp5ZLkn2s/mEQU62Cj/A==" saltValue="idFwXEau+NTl8YgSx/4/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e8gDZL67Y82My0non9RLk2drLT+7/hUE2Ox6GdsdmtdEZWIehwBeTB7QUUwUKPSRhlcf7TvyCF2JN5e8z08p9Q==" saltValue="ellZjKC9oJCSomICm9DO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VgeivqaYD81IpQi/6cTUiFFBtl4cOy2d4PyH6xBeKLgqPqcsKs7jl5sr9Z6sW2AfqRYel+Jf3X/Zt2zDYKC9dw==" saltValue="Beh3VvEJZ4SXTdlfibV8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GEw/qjGSJvP5XMuEVA4ewfeKIe8WbHw7ifwaEwgQnCOki/1KXtwqr/ND/WNTX77zSv5c051A0WujkqnIturNA==" saltValue="Fj0001kF2Eelaqw9486Q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IT74eB2OXG5nRY/fZX8UFfgEU0mCo8nR+rQLrkXf3nsYRiujwbSNiKTfgZDi8YuCuASfy/+u8Ms7fPNI/SJ5jw==" saltValue="orgIFX2IDtk7RmwA9nNv9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0.10806018073899692</v>
      </c>
      <c r="G18" s="90">
        <f>MIN(MAX(1-0.89/(1-frac_sam_12_23months+(frac_sam_12_23months*0.89)),0),1)</f>
        <v>0.10999999999999999</v>
      </c>
      <c r="H18" s="90">
        <f>MIN(MAX(1-0.89/(1-frac_sam_24_59months+(frac_sam_24_59months*0.89)),0),1)</f>
        <v>0.10970287223658026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0.10895181457602832</v>
      </c>
      <c r="G20" s="90">
        <f>MIN(MAX(1-0.89/(1-frac_mam_12_23months+(frac_mam_12_23months*0.89)),0),1)</f>
        <v>0.10927067439110871</v>
      </c>
      <c r="H20" s="90">
        <f>MIN(MAX(1-0.89/(1-frac_mam_24_59months+(frac_mam_24_59months*0.89)),0),1)</f>
        <v>0.1092979932133511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9.8042264132126578E-3</v>
      </c>
      <c r="G73" s="90">
        <f>MIN(MAX(1-0.99/(1-frac_sam_12_23months+(frac_sam_12_23months*0.99)),0),1)</f>
        <v>1.0000000000000009E-2</v>
      </c>
      <c r="H73" s="90">
        <f>MIN(MAX(1-0.99/(1-frac_sam_24_59months+(frac_sam_24_59months*0.99)),0),1)</f>
        <v>9.9699624886618876E-3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9.8941170867753447E-3</v>
      </c>
      <c r="G75" s="90">
        <f>MIN(MAX(1-0.99/(1-frac_mam_12_23months+(frac_mam_12_23months*0.99)),0),1)</f>
        <v>9.9263028742807569E-3</v>
      </c>
      <c r="H75" s="90">
        <f>MIN(MAX(1-0.99/(1-frac_mam_24_59months+(frac_mam_24_59months*0.99)),0),1)</f>
        <v>9.9290614172505842E-3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0.19682404952961197</v>
      </c>
      <c r="G128" s="90">
        <f>MIN(MAX(1-0.8/(1-frac_sam_12_23months+(frac_sam_12_23months*0.8)),0),1)</f>
        <v>0.19999999999999996</v>
      </c>
      <c r="H128" s="90">
        <f>MIN(MAX(1-0.8/(1-frac_sam_24_59months+(frac_sam_24_59months*0.8)),0),1)</f>
        <v>0.19951426525615734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0.19828527651511607</v>
      </c>
      <c r="G130" s="90">
        <f>MIN(MAX(1-0.8/(1-frac_mam_12_23months+(frac_mam_12_23months*0.8)),0),1)</f>
        <v>0.19880724832672891</v>
      </c>
      <c r="H130" s="90">
        <f>MIN(MAX(1-0.8/(1-frac_mam_24_59months+(frac_mam_24_59months*0.8)),0),1)</f>
        <v>0.1988519548513018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nGoR1t5k6m/giOGE8NMgdBfrhgd5+yhrwXofQwpmCHES24S+UA4ra/cqwM/cHrtdC5ab2acmyPilg9j8eImbdw==" saltValue="DrP8/5gxxOMXvUOQ8OdG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DlHtifUY27Lp3EZyOXu0Z9AwxfZSFa0Awo5bXe5GGUv5Y2N6r5j6RFHN6IyFvMWy+gIMOzEjgdbywZsUoF85Zg==" saltValue="9YrbAA5r+EVQTD8/Txutz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2024-08-06T07:57:33Z</dcterms:modified>
</cp:coreProperties>
</file>