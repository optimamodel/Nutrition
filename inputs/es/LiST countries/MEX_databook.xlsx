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CB42A4A5-F11E-4131-B8FD-8666DA4EC29D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6" i="2" l="1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<sst xmlns="http://schemas.openxmlformats.org/spreadsheetml/2006/main" count="2169" uniqueCount="373">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</sst>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10122410.5</v>
      </c>
    </row>
    <row r="8" spans="1:3" ht="15" customHeight="1" x14ac:dyDescent="0.25">
      <c r="B8" s="5" t="s">
        <v>63</v>
      </c>
      <c r="C8" s="44">
        <v>0.20699999999999999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0.82501170000000001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0.1923</v>
      </c>
    </row>
    <row r="24" spans="1:3" ht="15" customHeight="1" x14ac:dyDescent="0.25">
      <c r="B24" s="15" t="s">
        <v>65</v>
      </c>
      <c r="C24" s="45">
        <v>0.54949999999999999</v>
      </c>
    </row>
    <row r="25" spans="1:3" ht="15" customHeight="1" x14ac:dyDescent="0.25">
      <c r="B25" s="15" t="s">
        <v>66</v>
      </c>
      <c r="C25" s="45">
        <v>0.2422</v>
      </c>
    </row>
    <row r="26" spans="1:3" ht="15" customHeight="1" x14ac:dyDescent="0.25">
      <c r="B26" s="15" t="s">
        <v>67</v>
      </c>
      <c r="C26" s="45">
        <v>1.6E-2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0.23843800000000001</v>
      </c>
    </row>
    <row r="30" spans="1:3" ht="14.25" customHeight="1" x14ac:dyDescent="0.25">
      <c r="B30" s="25" t="s">
        <v>82</v>
      </c>
      <c r="C30" s="97">
        <v>0.13178809999999999</v>
      </c>
    </row>
    <row r="31" spans="1:3" ht="14.25" customHeight="1" x14ac:dyDescent="0.25">
      <c r="B31" s="25" t="s">
        <v>29</v>
      </c>
      <c r="C31" s="97">
        <v>0.1250917</v>
      </c>
    </row>
    <row r="32" spans="1:3" ht="14.25" customHeight="1" x14ac:dyDescent="0.25">
      <c r="B32" s="25" t="s">
        <v>30</v>
      </c>
      <c r="C32" s="97">
        <v>0.50468219999999997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8.1054700000000004</v>
      </c>
    </row>
    <row r="38" spans="1:5" ht="15" customHeight="1" x14ac:dyDescent="0.25">
      <c r="B38" s="11" t="s">
        <v>54</v>
      </c>
      <c r="C38" s="43">
        <v>11.39776</v>
      </c>
      <c r="D38" s="12"/>
      <c r="E38" s="13"/>
    </row>
    <row r="39" spans="1:5" ht="15" customHeight="1" x14ac:dyDescent="0.25">
      <c r="B39" s="11" t="s">
        <v>80</v>
      </c>
      <c r="C39" s="43">
        <v>13.240740000000001</v>
      </c>
      <c r="D39" s="12"/>
      <c r="E39" s="12"/>
    </row>
    <row r="40" spans="1:5" ht="15" customHeight="1" x14ac:dyDescent="0.25">
      <c r="B40" s="11" t="s">
        <v>55</v>
      </c>
      <c r="C40" s="98">
        <v>0.59</v>
      </c>
    </row>
    <row r="41" spans="1:5" ht="15" customHeight="1" x14ac:dyDescent="0.25">
      <c r="B41" s="11" t="s">
        <v>51</v>
      </c>
      <c r="C41" s="45">
        <v>0.13</v>
      </c>
    </row>
    <row r="42" spans="1:5" ht="15" customHeight="1" x14ac:dyDescent="0.25">
      <c r="B42" s="11" t="s">
        <v>76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6.1101999999999997E-3</v>
      </c>
      <c r="D45" s="12"/>
    </row>
    <row r="46" spans="1:5" ht="15.75" customHeight="1" x14ac:dyDescent="0.25">
      <c r="B46" s="11" t="s">
        <v>70</v>
      </c>
      <c r="C46" s="45">
        <v>6.4331199999999991E-2</v>
      </c>
      <c r="D46" s="12"/>
    </row>
    <row r="47" spans="1:5" ht="15.75" customHeight="1" x14ac:dyDescent="0.25">
      <c r="B47" s="11" t="s">
        <v>78</v>
      </c>
      <c r="C47" s="45">
        <v>6.5170800000000001E-2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0.61096899999999998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0.10150000000000001</v>
      </c>
    </row>
    <row r="63" spans="1:4" ht="15.75" customHeight="1" x14ac:dyDescent="0.3">
      <c r="A63" s="4"/>
    </row>
  </sheetData>
  <sheetProtection algorithmName="SHA-512" hashValue="tJJskf1M4oaaBbkYVWvc02OUYKNNbavh4wQ3UhAtD6Cx3JfXIvkNeJgoLf28AUfN2seXRmDwncF8vAbswND+BQ==" saltValue="dQfSDuTABRBrwy272mO9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2023623</v>
      </c>
      <c r="C2" s="49">
        <v>5490066</v>
      </c>
      <c r="D2" s="49">
        <v>10831664</v>
      </c>
      <c r="E2" s="49">
        <v>10243384.5</v>
      </c>
      <c r="F2" s="49">
        <v>8955226</v>
      </c>
      <c r="G2" s="17">
        <f t="shared" ref="G2:G13" si="0">C2+D2+E2+F2</f>
        <v>35520340.5</v>
      </c>
      <c r="H2" s="17">
        <f t="shared" ref="H2:H13" si="1">(B2 + stillbirth*B2/(1000-stillbirth))/(1-abortion)</f>
        <v>2341487.4943420715</v>
      </c>
      <c r="I2" s="17">
        <f t="shared" ref="I2:I13" si="2">G2-H2</f>
        <v>33178853.00565793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2003673</v>
      </c>
      <c r="C3" s="50">
        <v>5487934</v>
      </c>
      <c r="D3" s="50">
        <v>10835254</v>
      </c>
      <c r="E3" s="50">
        <v>10328717</v>
      </c>
      <c r="F3" s="50">
        <v>9059491</v>
      </c>
      <c r="G3" s="17">
        <f t="shared" si="0"/>
        <v>35711396</v>
      </c>
      <c r="H3" s="17">
        <f t="shared" si="1"/>
        <v>2318403.8095291769</v>
      </c>
      <c r="I3" s="17">
        <f t="shared" si="2"/>
        <v>33392992.190470822</v>
      </c>
    </row>
    <row r="4" spans="1:9" ht="15.75" customHeight="1" x14ac:dyDescent="0.25">
      <c r="A4" s="5">
        <f t="shared" si="3"/>
        <v>2026</v>
      </c>
      <c r="B4" s="49">
        <v>1989217</v>
      </c>
      <c r="C4" s="50">
        <v>5493063.5</v>
      </c>
      <c r="D4" s="50">
        <v>10841518</v>
      </c>
      <c r="E4" s="50">
        <v>10395328</v>
      </c>
      <c r="F4" s="50">
        <v>9167418.5</v>
      </c>
      <c r="G4" s="17">
        <f t="shared" si="0"/>
        <v>35897328</v>
      </c>
      <c r="H4" s="17">
        <f t="shared" si="1"/>
        <v>2301677.1053860593</v>
      </c>
      <c r="I4" s="17">
        <f t="shared" si="2"/>
        <v>33595650.894613944</v>
      </c>
    </row>
    <row r="5" spans="1:9" ht="15.75" customHeight="1" x14ac:dyDescent="0.25">
      <c r="A5" s="5">
        <f t="shared" si="3"/>
        <v>2027</v>
      </c>
      <c r="B5" s="49">
        <v>1972890</v>
      </c>
      <c r="C5" s="50">
        <v>5503195.5</v>
      </c>
      <c r="D5" s="50">
        <v>10854778.5</v>
      </c>
      <c r="E5" s="50">
        <v>10444399.5</v>
      </c>
      <c r="F5" s="50">
        <v>9271564</v>
      </c>
      <c r="G5" s="17">
        <f t="shared" si="0"/>
        <v>36073937.5</v>
      </c>
      <c r="H5" s="17">
        <f t="shared" si="1"/>
        <v>2282785.5103013404</v>
      </c>
      <c r="I5" s="17">
        <f t="shared" si="2"/>
        <v>33791151.989698663</v>
      </c>
    </row>
    <row r="6" spans="1:9" ht="15.75" customHeight="1" x14ac:dyDescent="0.25">
      <c r="A6" s="5">
        <f t="shared" si="3"/>
        <v>2028</v>
      </c>
      <c r="B6" s="49">
        <v>1959052</v>
      </c>
      <c r="C6" s="50">
        <v>5512773.5</v>
      </c>
      <c r="D6" s="50">
        <v>10869898.000000002</v>
      </c>
      <c r="E6" s="50">
        <v>10486410</v>
      </c>
      <c r="F6" s="50">
        <v>9369741</v>
      </c>
      <c r="G6" s="17">
        <f t="shared" si="0"/>
        <v>36238822.5</v>
      </c>
      <c r="H6" s="17">
        <f t="shared" si="1"/>
        <v>2266773.8797028023</v>
      </c>
      <c r="I6" s="17">
        <f t="shared" si="2"/>
        <v>33972048.620297201</v>
      </c>
    </row>
    <row r="7" spans="1:9" ht="15.75" customHeight="1" x14ac:dyDescent="0.25">
      <c r="A7" s="5">
        <f t="shared" si="3"/>
        <v>2029</v>
      </c>
      <c r="B7" s="49">
        <v>1947167</v>
      </c>
      <c r="C7" s="50">
        <v>5508035</v>
      </c>
      <c r="D7" s="50">
        <v>10881894.5</v>
      </c>
      <c r="E7" s="50">
        <v>10518152</v>
      </c>
      <c r="F7" s="50">
        <v>9474154.5</v>
      </c>
      <c r="G7" s="17">
        <f t="shared" si="0"/>
        <v>36382236</v>
      </c>
      <c r="H7" s="17">
        <f t="shared" si="1"/>
        <v>2253022.0203543687</v>
      </c>
      <c r="I7" s="17">
        <f t="shared" si="2"/>
        <v>34129213.979645632</v>
      </c>
    </row>
    <row r="8" spans="1:9" ht="15.75" customHeight="1" x14ac:dyDescent="0.25">
      <c r="A8" s="5">
        <f t="shared" si="3"/>
        <v>2030</v>
      </c>
      <c r="B8" s="49">
        <v>1934285</v>
      </c>
      <c r="C8" s="50">
        <v>5474412</v>
      </c>
      <c r="D8" s="50">
        <v>10882544</v>
      </c>
      <c r="E8" s="50">
        <v>10540235</v>
      </c>
      <c r="F8" s="50">
        <v>9595316.5</v>
      </c>
      <c r="G8" s="17">
        <f t="shared" si="0"/>
        <v>36492507.5</v>
      </c>
      <c r="H8" s="17">
        <f t="shared" si="1"/>
        <v>2238116.5553037566</v>
      </c>
      <c r="I8" s="17">
        <f t="shared" si="2"/>
        <v>34254390.94469624</v>
      </c>
    </row>
    <row r="9" spans="1:9" ht="15.75" customHeight="1" x14ac:dyDescent="0.25">
      <c r="A9" s="5">
        <f t="shared" si="3"/>
        <v>2031</v>
      </c>
      <c r="B9" s="49">
        <v>1923775</v>
      </c>
      <c r="C9" s="50">
        <v>5412676</v>
      </c>
      <c r="D9" s="50">
        <v>10874378</v>
      </c>
      <c r="E9" s="50">
        <v>10559290.5</v>
      </c>
      <c r="F9" s="50">
        <v>9719997</v>
      </c>
      <c r="G9" s="17">
        <f t="shared" si="0"/>
        <v>36566341.5</v>
      </c>
      <c r="H9" s="17">
        <f t="shared" si="1"/>
        <v>2225955.6767381667</v>
      </c>
      <c r="I9" s="17">
        <f t="shared" si="2"/>
        <v>34340385.823261835</v>
      </c>
    </row>
    <row r="10" spans="1:9" ht="15.75" customHeight="1" x14ac:dyDescent="0.25">
      <c r="A10" s="5">
        <f t="shared" si="3"/>
        <v>2032</v>
      </c>
      <c r="B10" s="49">
        <v>1912400</v>
      </c>
      <c r="C10" s="50">
        <v>5330048.5</v>
      </c>
      <c r="D10" s="50">
        <v>10866432.499999998</v>
      </c>
      <c r="E10" s="50">
        <v>10577962</v>
      </c>
      <c r="F10" s="50">
        <v>9831725.5</v>
      </c>
      <c r="G10" s="17">
        <f t="shared" si="0"/>
        <v>36606168.5</v>
      </c>
      <c r="H10" s="17">
        <f t="shared" si="1"/>
        <v>2212793.9266255512</v>
      </c>
      <c r="I10" s="17">
        <f t="shared" si="2"/>
        <v>34393374.57337445</v>
      </c>
    </row>
    <row r="11" spans="1:9" ht="15.75" customHeight="1" x14ac:dyDescent="0.25">
      <c r="A11" s="5">
        <f t="shared" si="3"/>
        <v>2033</v>
      </c>
      <c r="B11" s="49">
        <v>1900085</v>
      </c>
      <c r="C11" s="50">
        <v>5238995.5</v>
      </c>
      <c r="D11" s="50">
        <v>10860532</v>
      </c>
      <c r="E11" s="50">
        <v>10595898.000000002</v>
      </c>
      <c r="F11" s="50">
        <v>9934332.5</v>
      </c>
      <c r="G11" s="17">
        <f t="shared" si="0"/>
        <v>36629758</v>
      </c>
      <c r="H11" s="17">
        <f t="shared" si="1"/>
        <v>2198544.5241959374</v>
      </c>
      <c r="I11" s="17">
        <f t="shared" si="2"/>
        <v>34431213.475804061</v>
      </c>
    </row>
    <row r="12" spans="1:9" ht="15.75" customHeight="1" x14ac:dyDescent="0.25">
      <c r="A12" s="5">
        <f t="shared" si="3"/>
        <v>2034</v>
      </c>
      <c r="B12" s="49">
        <v>1888154</v>
      </c>
      <c r="C12" s="50">
        <v>5159702</v>
      </c>
      <c r="D12" s="50">
        <v>10847447</v>
      </c>
      <c r="E12" s="50">
        <v>10606483.5</v>
      </c>
      <c r="F12" s="50">
        <v>10031547.5</v>
      </c>
      <c r="G12" s="17">
        <f t="shared" si="0"/>
        <v>36645180</v>
      </c>
      <c r="H12" s="17">
        <f t="shared" si="1"/>
        <v>2184739.4393085865</v>
      </c>
      <c r="I12" s="17">
        <f t="shared" si="2"/>
        <v>34460440.560691416</v>
      </c>
    </row>
    <row r="13" spans="1:9" ht="15.75" customHeight="1" x14ac:dyDescent="0.25">
      <c r="A13" s="5">
        <f t="shared" si="3"/>
        <v>2035</v>
      </c>
      <c r="B13" s="49">
        <v>1876088</v>
      </c>
      <c r="C13" s="50">
        <v>5101111.5</v>
      </c>
      <c r="D13" s="50">
        <v>10812602.5</v>
      </c>
      <c r="E13" s="50">
        <v>10611331.999999998</v>
      </c>
      <c r="F13" s="50">
        <v>10117774.000000002</v>
      </c>
      <c r="G13" s="17">
        <f t="shared" si="0"/>
        <v>36642820</v>
      </c>
      <c r="H13" s="17">
        <f t="shared" si="1"/>
        <v>2170778.1490352838</v>
      </c>
      <c r="I13" s="17">
        <f t="shared" si="2"/>
        <v>34472041.850964718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GUIbu//JI86UHJ2QpiaIeKUBld7ILwcwJOwiXudqaoo8ycMAybLF6F6frcnDIpjeTCUDb4JFGbmeThQXYny1A==" saltValue="ucBZriK8c3geeyIRCy/dZ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0.1540929999999999</v>
      </c>
    </row>
    <row r="5" spans="1:8" ht="15.75" customHeight="1" x14ac:dyDescent="0.25">
      <c r="B5" s="19" t="s">
        <v>114</v>
      </c>
      <c r="C5" s="99">
        <v>4.3544600000000051E-2</v>
      </c>
    </row>
    <row r="6" spans="1:8" ht="15.75" customHeight="1" x14ac:dyDescent="0.25">
      <c r="B6" s="19" t="s">
        <v>110</v>
      </c>
      <c r="C6" s="99">
        <v>0.13350659999999989</v>
      </c>
    </row>
    <row r="7" spans="1:8" ht="15.75" customHeight="1" x14ac:dyDescent="0.25">
      <c r="B7" s="19" t="s">
        <v>115</v>
      </c>
      <c r="C7" s="99">
        <v>0.34353199999999989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0.24229560000000019</v>
      </c>
    </row>
    <row r="10" spans="1:8" ht="15.75" customHeight="1" x14ac:dyDescent="0.25">
      <c r="B10" s="19" t="s">
        <v>113</v>
      </c>
      <c r="C10" s="99">
        <v>8.3028199999999941E-2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121</v>
      </c>
      <c r="C15" s="99">
        <v>0.32579698637507032</v>
      </c>
      <c r="D15" s="99">
        <v>0.32579698637507032</v>
      </c>
      <c r="E15" s="99">
        <v>0.32579698637507032</v>
      </c>
      <c r="F15" s="99">
        <v>0.32579698637507032</v>
      </c>
    </row>
    <row r="16" spans="1:8" ht="15.75" customHeight="1" x14ac:dyDescent="0.25">
      <c r="B16" s="19" t="s">
        <v>2</v>
      </c>
      <c r="C16" s="99">
        <v>3.0352653282682381E-2</v>
      </c>
      <c r="D16" s="99">
        <v>3.0352653282682381E-2</v>
      </c>
      <c r="E16" s="99">
        <v>3.0352653282682381E-2</v>
      </c>
      <c r="F16" s="99">
        <v>3.0352653282682381E-2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7.463023990219639E-3</v>
      </c>
      <c r="D19" s="99">
        <v>7.463023990219639E-3</v>
      </c>
      <c r="E19" s="99">
        <v>7.463023990219639E-3</v>
      </c>
      <c r="F19" s="99">
        <v>7.463023990219639E-3</v>
      </c>
    </row>
    <row r="20" spans="1:8" ht="15.75" customHeight="1" x14ac:dyDescent="0.25">
      <c r="B20" s="19" t="s">
        <v>98</v>
      </c>
      <c r="C20" s="99">
        <v>2.4205317759995671E-2</v>
      </c>
      <c r="D20" s="99">
        <v>2.4205317759995671E-2</v>
      </c>
      <c r="E20" s="99">
        <v>2.4205317759995671E-2</v>
      </c>
      <c r="F20" s="99">
        <v>2.4205317759995671E-2</v>
      </c>
    </row>
    <row r="21" spans="1:8" ht="15.75" customHeight="1" x14ac:dyDescent="0.25">
      <c r="B21" s="19" t="s">
        <v>107</v>
      </c>
      <c r="C21" s="99">
        <v>0.33452651561541241</v>
      </c>
      <c r="D21" s="99">
        <v>0.33452651561541241</v>
      </c>
      <c r="E21" s="99">
        <v>0.33452651561541241</v>
      </c>
      <c r="F21" s="99">
        <v>0.33452651561541241</v>
      </c>
    </row>
    <row r="22" spans="1:8" ht="15.75" customHeight="1" x14ac:dyDescent="0.25">
      <c r="B22" s="19" t="s">
        <v>118</v>
      </c>
      <c r="C22" s="99">
        <v>0.14658483737911779</v>
      </c>
      <c r="D22" s="99">
        <v>0.14658483737911779</v>
      </c>
      <c r="E22" s="99">
        <v>0.14658483737911779</v>
      </c>
      <c r="F22" s="99">
        <v>0.14658483737911779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5.3514945000000001E-2</v>
      </c>
    </row>
    <row r="27" spans="1:8" ht="15.75" customHeight="1" x14ac:dyDescent="0.25">
      <c r="B27" s="19" t="s">
        <v>108</v>
      </c>
      <c r="C27" s="99">
        <v>2.8541006000000001E-2</v>
      </c>
    </row>
    <row r="28" spans="1:8" ht="15.75" customHeight="1" x14ac:dyDescent="0.25">
      <c r="B28" s="19" t="s">
        <v>122</v>
      </c>
      <c r="C28" s="99">
        <v>0.187630466</v>
      </c>
    </row>
    <row r="29" spans="1:8" ht="15.75" customHeight="1" x14ac:dyDescent="0.25">
      <c r="B29" s="19" t="s">
        <v>105</v>
      </c>
      <c r="C29" s="99">
        <v>0.27936675700000002</v>
      </c>
    </row>
    <row r="30" spans="1:8" ht="15.75" customHeight="1" x14ac:dyDescent="0.25">
      <c r="B30" s="19" t="s">
        <v>4</v>
      </c>
      <c r="C30" s="99">
        <v>9.2226500000000002E-4</v>
      </c>
    </row>
    <row r="31" spans="1:8" ht="15.75" customHeight="1" x14ac:dyDescent="0.25">
      <c r="B31" s="19" t="s">
        <v>99</v>
      </c>
      <c r="C31" s="99">
        <v>7.2676198999999997E-2</v>
      </c>
    </row>
    <row r="32" spans="1:8" ht="15.75" customHeight="1" x14ac:dyDescent="0.25">
      <c r="B32" s="19" t="s">
        <v>104</v>
      </c>
      <c r="C32" s="99">
        <v>4.4662927999999998E-2</v>
      </c>
    </row>
    <row r="33" spans="2:3" ht="15.75" customHeight="1" x14ac:dyDescent="0.25">
      <c r="B33" s="19" t="s">
        <v>119</v>
      </c>
      <c r="C33" s="99">
        <v>0.14648158999999999</v>
      </c>
    </row>
    <row r="34" spans="2:3" ht="15.75" customHeight="1" x14ac:dyDescent="0.25">
      <c r="B34" s="19" t="s">
        <v>106</v>
      </c>
      <c r="C34" s="99">
        <v>0.18620384500000001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qK0h7dbwFf4LPzzY+Z6YxZwayFbp2UlWjyc7KWvH3LfADMRWvQv+btMdQE0j1cxt7+yOdxEN5hJpNFTPYN3vpg==" saltValue="tkDAn4gEEVUPD45zUki+Z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129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125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126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138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0.39200000000000002</v>
      </c>
      <c r="D14" s="54">
        <v>0.39200000000000002</v>
      </c>
      <c r="E14" s="54">
        <v>0.39200000000000002</v>
      </c>
      <c r="F14" s="54">
        <v>0.37509999999999999</v>
      </c>
      <c r="G14" s="54">
        <v>0.24879999999999999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0.23949984800000002</v>
      </c>
      <c r="D15" s="52">
        <f t="shared" si="0"/>
        <v>0.23949984800000002</v>
      </c>
      <c r="E15" s="52">
        <f t="shared" si="0"/>
        <v>0.23949984800000002</v>
      </c>
      <c r="F15" s="52">
        <f t="shared" si="0"/>
        <v>0.22917447189999998</v>
      </c>
      <c r="G15" s="52">
        <f t="shared" si="0"/>
        <v>0.1520090872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bYSgDzgf4SLqQwC5rSWX4EcwOUPdiCootQXDg1A183eopRymStjiKmsVD49Q1kKLZ5ISjKQeJcD8VLYAwmWRA==" saltValue="4qT26rUwT51OKi8PV117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0.16254920000000006</v>
      </c>
      <c r="D5" s="52">
        <f t="shared" si="0"/>
        <v>0.25374119999999989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aT/KcceCnsZ6xcuz3xnqUH24J5reP9+sL7G5MflGegnzWo0M1cMoBo47AJamJ/2UFj3J7TGuuVNP2G1zVIZ4sw==" saltValue="oGVJo4TY2XXYVprgsw6Q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3wJwU0W/RVtTH9qloWBP5M8oXq58Mg1EaIgv0GXT408du+V+qeBZGAShVuChWKevWxouhcaXRWKNplBMC8hKg==" saltValue="sT2gq3A/ym+FbAabU4clS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11496.522871604901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0.35458000000000001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0.49984000000000001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9.8512837300426224E-3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98574.806190000003</v>
      </c>
      <c r="C22" s="107">
        <v>98467.046789999993</v>
      </c>
      <c r="D22" s="107">
        <v>98325.069560000004</v>
      </c>
      <c r="E22" s="107">
        <v>97976.977360000004</v>
      </c>
      <c r="F22" s="107">
        <v>97420.948260000005</v>
      </c>
      <c r="G22" s="107">
        <v>96744.895050000006</v>
      </c>
      <c r="H22" s="107">
        <v>95981.164189999996</v>
      </c>
      <c r="I22" s="107">
        <v>95006.865909999993</v>
      </c>
      <c r="J22" s="107">
        <v>93675.762740000006</v>
      </c>
      <c r="K22" s="107">
        <v>91938.764039999995</v>
      </c>
      <c r="L22" s="107">
        <v>89387.439480000001</v>
      </c>
      <c r="M22" s="107">
        <v>85734.940530000007</v>
      </c>
      <c r="N22" s="107">
        <v>80683.667300000001</v>
      </c>
      <c r="O22" s="107">
        <v>73332.879620000007</v>
      </c>
    </row>
  </sheetData>
  <sheetProtection algorithmName="SHA-512" hashValue="w4iYM9+9gP61300gKMkHTxBFlySOc7eQJIHa5kVyX1XmooF2n1CuEpB4GuRn4hDm4Ljfgf0NBcaOvyW2HNJOLQ==" saltValue="1J9/GN4GvqhOWnKav0327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jM8ljsid1dyllZpZOkfQ0GnLYc3/Q2EEIX1crmGU/5DO37pIq085klD4G5C5O70NMv0RP+h0ZKVurG9C+Mc9XQ==" saltValue="FQQyD8p6+DQUJsLPfob4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1+zIi4AytVebAnnkccb2r6BHWV3p7cgD2kSRVxKaip8CgwTNKSq9/kiDsyiy6/Rbcvs9gOYFAc9ZKQ9PNo+hzQ==" saltValue="xA0ONEamsekCVTG92fnn/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35.1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0.44994896638918952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1.516970800969268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0.25711131554737809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12.76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12.76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12.76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12.76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12.76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12.76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5.8835597567123799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2.3937511111111101E-2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0.23591980000000001</v>
      </c>
      <c r="C18" s="96">
        <v>0.95</v>
      </c>
      <c r="D18" s="56">
        <v>35.1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0.23591980000000001</v>
      </c>
      <c r="C19" s="96">
        <v>0.95</v>
      </c>
      <c r="D19" s="56">
        <v>36.54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35.1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4.21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0.69322219271638008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5.4142612323969894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5.5183816407123158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0.52424380000000004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0.5944374</v>
      </c>
      <c r="C29" s="96">
        <v>0.95</v>
      </c>
      <c r="D29" s="56">
        <v>206.81375092158379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124.66848615801089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65.179375605394526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1.1973846956262573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0.93940820000000003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0.13994980000000001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2.1327200000000001E-2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0.97755639999999999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8.7485800000000002E-2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/ewkRSwpGcbTE0JmugXmX7dWVSg/VEi/sDx40quEkKYO02CjDpxTHAoCoruYKHI35zT9w88O4AVMxqCNRlTbug==" saltValue="tl+eXjOo35Ir3ZNwCF8/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kPai+wAl9MTVWXJRfvA2QMsXthlSj81NuM4UTsMUX1A9u+YDRef15Cuh8dT0zJE+7GUjjLY5WX/PX+iNktWGg==" saltValue="0qxTe5fgN3Eo4va+nAPx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a55/akKOqylFiUpRPImuFE/criap4UK0ISiRSJSxVKmq0w4Lv88oHW4TJckLBLi6YhOH1IWsnBoMznidvty2g==" saltValue="dIEsvIh/nb1KpYzaYAI7/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236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sheetProtection algorithmName="SHA-512" hashValue="X+BwOG8WfmP/B+78Z+i3BXWTj79oLwsP+5iGAYzOERhLgLaoW0cXN8mzXhxxce6VXU9vhf2qVcBvCJfrWJL/Rg==" saltValue="oM/LsGJWok4wImremJ9J8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0.20699999999999999</v>
      </c>
      <c r="F2" s="60">
        <f>food_insecure</f>
        <v>0.20699999999999999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0.20699999999999999</v>
      </c>
      <c r="F5" s="60">
        <f>food_insecure</f>
        <v>0.20699999999999999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0.20699999999999999</v>
      </c>
      <c r="F8" s="60">
        <f>food_insecure</f>
        <v>0.20699999999999999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0.20699999999999999</v>
      </c>
      <c r="F9" s="60">
        <f>food_insecure</f>
        <v>0.20699999999999999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0.20699999999999999</v>
      </c>
      <c r="I15" s="60">
        <f t="shared" si="0"/>
        <v>0.20699999999999999</v>
      </c>
      <c r="J15" s="60">
        <f t="shared" si="0"/>
        <v>0.20699999999999999</v>
      </c>
      <c r="K15" s="60">
        <f t="shared" si="0"/>
        <v>0.20699999999999999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0.20699999999999999</v>
      </c>
      <c r="I16" s="60">
        <f t="shared" si="0"/>
        <v>0.20699999999999999</v>
      </c>
      <c r="J16" s="60">
        <f t="shared" si="0"/>
        <v>0.20699999999999999</v>
      </c>
      <c r="K16" s="60">
        <f t="shared" si="0"/>
        <v>0.20699999999999999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9.3351008400999996E-2</v>
      </c>
      <c r="M25" s="60">
        <f>(1-food_insecure)*(0.49)+food_insecure*(0.7)</f>
        <v>0.53347</v>
      </c>
      <c r="N25" s="60">
        <f>(1-food_insecure)*(0.49)+food_insecure*(0.7)</f>
        <v>0.53347</v>
      </c>
      <c r="O25" s="60">
        <f>(1-food_insecure)*(0.49)+food_insecure*(0.7)</f>
        <v>0.53347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4.0007575029E-2</v>
      </c>
      <c r="M26" s="60">
        <f>(1-food_insecure)*(0.21)+food_insecure*(0.3)</f>
        <v>0.22863</v>
      </c>
      <c r="N26" s="60">
        <f>(1-food_insecure)*(0.21)+food_insecure*(0.3)</f>
        <v>0.22863</v>
      </c>
      <c r="O26" s="60">
        <f>(1-food_insecure)*(0.21)+food_insecure*(0.3)</f>
        <v>0.22863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4.1629716569999996E-2</v>
      </c>
      <c r="M27" s="60">
        <f>(1-food_insecure)*(0.3)</f>
        <v>0.2379</v>
      </c>
      <c r="N27" s="60">
        <f>(1-food_insecure)*(0.3)</f>
        <v>0.2379</v>
      </c>
      <c r="O27" s="60">
        <f>(1-food_insecure)*(0.3)</f>
        <v>0.2379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0.82501170000000001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6NtUPnTUS0cYwePEBvWVccpPRt7LuuaZyXKs2Ppyhmrit2qS+ibIsWBb6ZFn3zKkYT6vDG8QXNHEIWbh1QZgAg==" saltValue="Uw8rffhP1sXIhCRF7awxp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u2h+5bxkonrjCLTywfv7Oa4TP/RAP7WPmSFqk9N2iFFo4j6uKzz8tumXnCcLnDMEjBbP4qBgnuZd6fDDuk2DFw==" saltValue="aatupDPZOBud1bap7fRLn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3n4PkXsgq2y3XCl8gT4NHQcL2rUL/D2eY/q8+5iO790ThT6mzo+w/OCciTWsGclzK+2ZX7XQtoozJYHz8qxTjA==" saltValue="uWwg8by2g0D0YyZ22OQrY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QJ6sCxFOxgTYlnUSlP2rwKHsDWTz40ArqklhIgtkd7HKs4i32Sw3dJ0JUQ4ZruQ1d2KIG2Fm5MJ56aDBJSdsg==" saltValue="IToj8YjAASe3RVzy89wAR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IcVnnaJI4EpmLZi71HEDmnD8dqKpVqHu5oTD5e0NWUelAHhacpoJAwdzn3FtYDspUQhQV05KB3hr64tBrgmBxQ==" saltValue="syk+LJq86GgR2CSiOY0o+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A9z/ChNrD7AT3cOOO93wbwV5vdS33S/4P4AO2mIhVpDTjyED/7zbbCHd2Bv9Da6pfolxrFNv4qfl8pWbRoHjRA==" saltValue="2mxDs9cEI2kPZmJeNopxB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7qDylQxWThjlJcglhhxQ2TrtW/ZiwMFKiekRsDTG2z6VOL+xheJVQY+/VSOsRsvOAGnce0H5HjECaDgnOaRtQ==" saltValue="ZmeMvzcXicwspqKS+qopQ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7AC7b5J0d0oF/yuV4y9qOCFJVY+RgiEHBd46qLaWNuUFrbw7yzdeTJQpFqDuYfiFEWIn6DllcfzJvH7PSBhV9w==" saltValue="Zi7y/O1NDBA4nH1c0BtX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pyYMkU/iBaei+As5PI9McUhK8JCDvZDjTJIaJ3N9g+SCzbLQ+k48+gTDGxaJlcxcMAABx2lvgu1wQJ1aVtGiKg==" saltValue="DsWZccpwrhIpSqJDy1Tf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7wOYPDBd4ZrQVsUhbTJmgs/US5pBNga5uAsEe6in2fTSXVq04GFO4q4cfOFMqg4FCN0RHI3FNy3oIfTZHpjjPw==" saltValue="G73+BD0u6yWtwI4Opjqc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yNE8Osz92SglPfXc1CLuGmcxXcSA2YVfM6ROY15hHADfMs9EDkSvor1D8XfUA4CLUWtmV3+AwcUwLs7T7VTOA==" saltValue="WOdsIDGW01v0wggpsj0A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9iJRgaFEj/+ua+5AE/mCqUdoX/Kx5YGLZd80WsIsazRY8OpVD+caaVlT6BGRgnfM57RqhDhuK7J8uWq7o/xYw==" saltValue="6UOEbVu7nB4k+lm7IPGG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OX8YcTCIfL0oXlnvj7hlj9VI7MxCfg7LAhSXrBv9CMShwgUJigZALjL++0ABvoapSeKDae0gAobvc7h9HhyEA==" saltValue="w5ZE1xUOfXsb3Xc2sXrw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y8VVOE/w8nT54Uq5J7LuLaPInvosujyOoc3a8O72Xk0NTj5ZVKSbxNaxaX6EXJNr2KsUiZYK9E6zcMfLOI9oCQ==" saltValue="3HdL8ru8TDZrj+2t1lCA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E25IySk+wt6e18x3kuMz3ut5DTCeEqYn5wYLNPCC1w0TzhDtO8Z1zDyv672NvS27czL0yr5Rvi0ek/S3GDuMzg==" saltValue="Q6Icm2/2HfdXphTYwDHox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