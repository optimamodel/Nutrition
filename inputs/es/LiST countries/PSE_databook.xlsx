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BD1A2AED-6361-499D-BB0F-DD45C522F229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<sst xmlns="http://schemas.openxmlformats.org/spreadsheetml/2006/main" count="2159" uniqueCount="372">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</sst>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715928</v>
      </c>
    </row>
    <row r="8" spans="1:3" ht="15" customHeight="1" x14ac:dyDescent="0.25">
      <c r="B8" s="5" t="s">
        <v>63</v>
      </c>
      <c r="C8" s="44">
        <v>3.9E-2</v>
      </c>
    </row>
    <row r="9" spans="1:3" ht="15" customHeight="1" x14ac:dyDescent="0.25">
      <c r="B9" s="5" t="s">
        <v>62</v>
      </c>
      <c r="C9" s="45">
        <v>2.1600000000000001E-2</v>
      </c>
    </row>
    <row r="10" spans="1:3" ht="15" customHeight="1" x14ac:dyDescent="0.25">
      <c r="B10" s="5" t="s">
        <v>75</v>
      </c>
      <c r="C10" s="45">
        <v>0.89200000000000002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8.3599999999999994E-2</v>
      </c>
    </row>
    <row r="24" spans="1:3" ht="15" customHeight="1" x14ac:dyDescent="0.25">
      <c r="B24" s="15" t="s">
        <v>65</v>
      </c>
      <c r="C24" s="45">
        <v>0.50800000000000001</v>
      </c>
    </row>
    <row r="25" spans="1:3" ht="15" customHeight="1" x14ac:dyDescent="0.25">
      <c r="B25" s="15" t="s">
        <v>66</v>
      </c>
      <c r="C25" s="45">
        <v>0.35120000000000012</v>
      </c>
    </row>
    <row r="26" spans="1:3" ht="15" customHeight="1" x14ac:dyDescent="0.25">
      <c r="B26" s="15" t="s">
        <v>67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0.24354971332209699</v>
      </c>
    </row>
    <row r="30" spans="1:3" ht="14.25" customHeight="1" x14ac:dyDescent="0.25">
      <c r="B30" s="25" t="s">
        <v>82</v>
      </c>
      <c r="C30" s="99">
        <v>0.13757511584770599</v>
      </c>
    </row>
    <row r="31" spans="1:3" ht="14.25" customHeight="1" x14ac:dyDescent="0.25">
      <c r="B31" s="25" t="s">
        <v>29</v>
      </c>
      <c r="C31" s="99">
        <v>0.13914799772598499</v>
      </c>
    </row>
    <row r="32" spans="1:3" ht="14.25" customHeight="1" x14ac:dyDescent="0.25">
      <c r="B32" s="25" t="s">
        <v>30</v>
      </c>
      <c r="C32" s="99">
        <v>0.47972717310421198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39.443519999999999</v>
      </c>
    </row>
    <row r="38" spans="1:5" ht="15" customHeight="1" x14ac:dyDescent="0.25">
      <c r="B38" s="11" t="s">
        <v>54</v>
      </c>
      <c r="C38" s="43">
        <v>52.780679999999997</v>
      </c>
      <c r="D38" s="12"/>
      <c r="E38" s="13"/>
    </row>
    <row r="39" spans="1:5" ht="15" customHeight="1" x14ac:dyDescent="0.25">
      <c r="B39" s="11" t="s">
        <v>80</v>
      </c>
      <c r="C39" s="43">
        <v>63.332549999999998</v>
      </c>
      <c r="D39" s="12"/>
      <c r="E39" s="12"/>
    </row>
    <row r="40" spans="1:5" ht="15" customHeight="1" x14ac:dyDescent="0.25">
      <c r="B40" s="11" t="s">
        <v>55</v>
      </c>
      <c r="C40" s="100">
        <v>1.54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2.2391600000000001E-2</v>
      </c>
      <c r="D45" s="12"/>
    </row>
    <row r="46" spans="1:5" ht="15.75" customHeight="1" x14ac:dyDescent="0.25">
      <c r="B46" s="11" t="s">
        <v>70</v>
      </c>
      <c r="C46" s="45">
        <v>0.12125619999999999</v>
      </c>
      <c r="D46" s="12"/>
    </row>
    <row r="47" spans="1:5" ht="15.75" customHeight="1" x14ac:dyDescent="0.25">
      <c r="B47" s="11" t="s">
        <v>78</v>
      </c>
      <c r="C47" s="45">
        <v>0.39803450000000001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0.43655699999999997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akGGvleNjBIgxtG0f0WiOaRdDT9KhxXZMd6/ddvNzlVoE19iFS4cKk7uSKU42gyM22t4PHhkwrLZJgENQudlLQ==" saltValue="J/K15UT7maOG6AjYC5L1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145440</v>
      </c>
      <c r="C2" s="49">
        <v>283857.5</v>
      </c>
      <c r="D2" s="49">
        <v>475690</v>
      </c>
      <c r="E2" s="49">
        <v>388408.5</v>
      </c>
      <c r="F2" s="49">
        <v>251001</v>
      </c>
      <c r="G2" s="17">
        <f t="shared" ref="G2:G13" si="0">C2+D2+E2+F2</f>
        <v>1398957</v>
      </c>
      <c r="H2" s="17">
        <f t="shared" ref="H2:H13" si="1">(B2 + stillbirth*B2/(1000-stillbirth))/(1-abortion)</f>
        <v>170545.44850037826</v>
      </c>
      <c r="I2" s="17">
        <f t="shared" ref="I2:I13" si="2">G2-H2</f>
        <v>1228411.5514996217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144890</v>
      </c>
      <c r="C3" s="50">
        <v>291757</v>
      </c>
      <c r="D3" s="50">
        <v>480193.99999999994</v>
      </c>
      <c r="E3" s="50">
        <v>399241.99999999994</v>
      </c>
      <c r="F3" s="50">
        <v>260778.00000000003</v>
      </c>
      <c r="G3" s="17">
        <f t="shared" si="0"/>
        <v>1431971</v>
      </c>
      <c r="H3" s="17">
        <f t="shared" si="1"/>
        <v>169900.50902928907</v>
      </c>
      <c r="I3" s="17">
        <f t="shared" si="2"/>
        <v>1262070.490970711</v>
      </c>
    </row>
    <row r="4" spans="1:9" ht="15.75" customHeight="1" x14ac:dyDescent="0.25">
      <c r="A4" s="5">
        <f t="shared" si="3"/>
        <v>2026</v>
      </c>
      <c r="B4" s="49">
        <v>144467</v>
      </c>
      <c r="C4" s="50">
        <v>300363</v>
      </c>
      <c r="D4" s="50">
        <v>486356</v>
      </c>
      <c r="E4" s="50">
        <v>408930.5</v>
      </c>
      <c r="F4" s="50">
        <v>271228.5</v>
      </c>
      <c r="G4" s="17">
        <f t="shared" si="0"/>
        <v>1466878</v>
      </c>
      <c r="H4" s="17">
        <f t="shared" si="1"/>
        <v>169404.49194516049</v>
      </c>
      <c r="I4" s="17">
        <f t="shared" si="2"/>
        <v>1297473.5080548394</v>
      </c>
    </row>
    <row r="5" spans="1:9" ht="15.75" customHeight="1" x14ac:dyDescent="0.25">
      <c r="A5" s="5">
        <f t="shared" si="3"/>
        <v>2027</v>
      </c>
      <c r="B5" s="49">
        <v>144381</v>
      </c>
      <c r="C5" s="50">
        <v>308517</v>
      </c>
      <c r="D5" s="50">
        <v>494175.5</v>
      </c>
      <c r="E5" s="50">
        <v>416972.99999999994</v>
      </c>
      <c r="F5" s="50">
        <v>282393.5</v>
      </c>
      <c r="G5" s="17">
        <f t="shared" si="0"/>
        <v>1502059</v>
      </c>
      <c r="H5" s="17">
        <f t="shared" si="1"/>
        <v>169303.64686422658</v>
      </c>
      <c r="I5" s="17">
        <f t="shared" si="2"/>
        <v>1332755.3531357734</v>
      </c>
    </row>
    <row r="6" spans="1:9" ht="15.75" customHeight="1" x14ac:dyDescent="0.25">
      <c r="A6" s="5">
        <f t="shared" si="3"/>
        <v>2028</v>
      </c>
      <c r="B6" s="49">
        <v>144654</v>
      </c>
      <c r="C6" s="50">
        <v>315825</v>
      </c>
      <c r="D6" s="50">
        <v>503311.5</v>
      </c>
      <c r="E6" s="50">
        <v>423405.49999999994</v>
      </c>
      <c r="F6" s="50">
        <v>294200</v>
      </c>
      <c r="G6" s="17">
        <f t="shared" si="0"/>
        <v>1536742</v>
      </c>
      <c r="H6" s="17">
        <f t="shared" si="1"/>
        <v>169623.77136533082</v>
      </c>
      <c r="I6" s="17">
        <f t="shared" si="2"/>
        <v>1367118.2286346692</v>
      </c>
    </row>
    <row r="7" spans="1:9" ht="15.75" customHeight="1" x14ac:dyDescent="0.25">
      <c r="A7" s="5">
        <f t="shared" si="3"/>
        <v>2029</v>
      </c>
      <c r="B7" s="49">
        <v>145015</v>
      </c>
      <c r="C7" s="50">
        <v>322341.5</v>
      </c>
      <c r="D7" s="50">
        <v>513845</v>
      </c>
      <c r="E7" s="50">
        <v>428926.50000000006</v>
      </c>
      <c r="F7" s="50">
        <v>306646</v>
      </c>
      <c r="G7" s="17">
        <f t="shared" si="0"/>
        <v>1571759</v>
      </c>
      <c r="H7" s="17">
        <f t="shared" si="1"/>
        <v>170047.08618180934</v>
      </c>
      <c r="I7" s="17">
        <f t="shared" si="2"/>
        <v>1401711.9138181906</v>
      </c>
    </row>
    <row r="8" spans="1:9" ht="15.75" customHeight="1" x14ac:dyDescent="0.25">
      <c r="A8" s="5">
        <f t="shared" si="3"/>
        <v>2030</v>
      </c>
      <c r="B8" s="49">
        <v>145600</v>
      </c>
      <c r="C8" s="50">
        <v>328041.5</v>
      </c>
      <c r="D8" s="50">
        <v>526715.5</v>
      </c>
      <c r="E8" s="50">
        <v>433414.5</v>
      </c>
      <c r="F8" s="50">
        <v>319844.50000000006</v>
      </c>
      <c r="G8" s="17">
        <f t="shared" si="0"/>
        <v>1608016</v>
      </c>
      <c r="H8" s="17">
        <f t="shared" si="1"/>
        <v>170733.0672556042</v>
      </c>
      <c r="I8" s="17">
        <f t="shared" si="2"/>
        <v>1437282.9327443959</v>
      </c>
    </row>
    <row r="9" spans="1:9" ht="15.75" customHeight="1" x14ac:dyDescent="0.25">
      <c r="A9" s="5">
        <f t="shared" si="3"/>
        <v>2031</v>
      </c>
      <c r="B9" s="49">
        <v>146485</v>
      </c>
      <c r="C9" s="50">
        <v>333175.5</v>
      </c>
      <c r="D9" s="50">
        <v>541299</v>
      </c>
      <c r="E9" s="50">
        <v>437008.00000000006</v>
      </c>
      <c r="F9" s="50">
        <v>333621.49999999994</v>
      </c>
      <c r="G9" s="17">
        <f t="shared" si="0"/>
        <v>1645104</v>
      </c>
      <c r="H9" s="17">
        <f t="shared" si="1"/>
        <v>171770.83349544767</v>
      </c>
      <c r="I9" s="17">
        <f t="shared" si="2"/>
        <v>1473333.1665045524</v>
      </c>
    </row>
    <row r="10" spans="1:9" ht="15.75" customHeight="1" x14ac:dyDescent="0.25">
      <c r="A10" s="5">
        <f t="shared" si="3"/>
        <v>2032</v>
      </c>
      <c r="B10" s="49">
        <v>147579</v>
      </c>
      <c r="C10" s="50">
        <v>337937.5</v>
      </c>
      <c r="D10" s="50">
        <v>555775.5</v>
      </c>
      <c r="E10" s="50">
        <v>440359.00000000006</v>
      </c>
      <c r="F10" s="50">
        <v>347485.5</v>
      </c>
      <c r="G10" s="17">
        <f t="shared" si="0"/>
        <v>1681557.5</v>
      </c>
      <c r="H10" s="17">
        <f t="shared" si="1"/>
        <v>173053.67673430502</v>
      </c>
      <c r="I10" s="17">
        <f t="shared" si="2"/>
        <v>1508503.823265695</v>
      </c>
    </row>
    <row r="11" spans="1:9" ht="15.75" customHeight="1" x14ac:dyDescent="0.25">
      <c r="A11" s="5">
        <f t="shared" si="3"/>
        <v>2033</v>
      </c>
      <c r="B11" s="49">
        <v>148904</v>
      </c>
      <c r="C11" s="50">
        <v>341893.5</v>
      </c>
      <c r="D11" s="50">
        <v>570141.5</v>
      </c>
      <c r="E11" s="50">
        <v>444057.5</v>
      </c>
      <c r="F11" s="50">
        <v>360997</v>
      </c>
      <c r="G11" s="17">
        <f t="shared" si="0"/>
        <v>1717089.5</v>
      </c>
      <c r="H11" s="17">
        <f t="shared" si="1"/>
        <v>174607.39455101982</v>
      </c>
      <c r="I11" s="17">
        <f t="shared" si="2"/>
        <v>1542482.1054489801</v>
      </c>
    </row>
    <row r="12" spans="1:9" ht="15.75" customHeight="1" x14ac:dyDescent="0.25">
      <c r="A12" s="5">
        <f t="shared" si="3"/>
        <v>2034</v>
      </c>
      <c r="B12" s="49">
        <v>150469</v>
      </c>
      <c r="C12" s="50">
        <v>344432.5</v>
      </c>
      <c r="D12" s="50">
        <v>584584.49999999988</v>
      </c>
      <c r="E12" s="50">
        <v>448728.5</v>
      </c>
      <c r="F12" s="50">
        <v>373691.5</v>
      </c>
      <c r="G12" s="17">
        <f t="shared" si="0"/>
        <v>1751437</v>
      </c>
      <c r="H12" s="17">
        <f t="shared" si="1"/>
        <v>176442.54050057352</v>
      </c>
      <c r="I12" s="17">
        <f t="shared" si="2"/>
        <v>1574994.4594994264</v>
      </c>
    </row>
    <row r="13" spans="1:9" ht="15.75" customHeight="1" x14ac:dyDescent="0.25">
      <c r="A13" s="5">
        <f t="shared" si="3"/>
        <v>2035</v>
      </c>
      <c r="B13" s="49">
        <v>152051</v>
      </c>
      <c r="C13" s="50">
        <v>344959.5</v>
      </c>
      <c r="D13" s="50">
        <v>599233.5</v>
      </c>
      <c r="E13" s="50">
        <v>454865</v>
      </c>
      <c r="F13" s="50">
        <v>385305.5</v>
      </c>
      <c r="G13" s="17">
        <f t="shared" si="0"/>
        <v>1784363.5</v>
      </c>
      <c r="H13" s="17">
        <f t="shared" si="1"/>
        <v>178297.62094287001</v>
      </c>
      <c r="I13" s="17">
        <f t="shared" si="2"/>
        <v>1606065.8790571301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FQwHigWGc+eXpqaZiE/VGpt95NEz0hQSDSGyDzJa/+QFYJrq2hCafdUVhzs2xvqNg7nJtYX6K0GqI0YLBBiGA==" saltValue="C/nYnxXZXRwtWscEIsczo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1.944252351986717E-2</v>
      </c>
    </row>
    <row r="4" spans="1:8" ht="15.75" customHeight="1" x14ac:dyDescent="0.25">
      <c r="B4" s="19" t="s">
        <v>116</v>
      </c>
      <c r="C4" s="101">
        <v>7.3235278675737148E-2</v>
      </c>
    </row>
    <row r="5" spans="1:8" ht="15.75" customHeight="1" x14ac:dyDescent="0.25">
      <c r="B5" s="19" t="s">
        <v>114</v>
      </c>
      <c r="C5" s="101">
        <v>6.0525674969561093E-2</v>
      </c>
    </row>
    <row r="6" spans="1:8" ht="15.75" customHeight="1" x14ac:dyDescent="0.25">
      <c r="B6" s="19" t="s">
        <v>110</v>
      </c>
      <c r="C6" s="101">
        <v>0.3183471214882706</v>
      </c>
    </row>
    <row r="7" spans="1:8" ht="15.75" customHeight="1" x14ac:dyDescent="0.25">
      <c r="B7" s="19" t="s">
        <v>115</v>
      </c>
      <c r="C7" s="101">
        <v>0.3406088789217484</v>
      </c>
    </row>
    <row r="8" spans="1:8" ht="15.75" customHeight="1" x14ac:dyDescent="0.25">
      <c r="B8" s="19" t="s">
        <v>117</v>
      </c>
      <c r="C8" s="101">
        <v>2.8573357234468609E-3</v>
      </c>
    </row>
    <row r="9" spans="1:8" ht="15.75" customHeight="1" x14ac:dyDescent="0.25">
      <c r="B9" s="19" t="s">
        <v>111</v>
      </c>
      <c r="C9" s="101">
        <v>9.1026223745628063E-2</v>
      </c>
    </row>
    <row r="10" spans="1:8" ht="15.75" customHeight="1" x14ac:dyDescent="0.25">
      <c r="B10" s="19" t="s">
        <v>113</v>
      </c>
      <c r="C10" s="101">
        <v>9.3956962955740589E-2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121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2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109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3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120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98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107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118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5.2819977999999997E-2</v>
      </c>
    </row>
    <row r="27" spans="1:8" ht="15.75" customHeight="1" x14ac:dyDescent="0.25">
      <c r="B27" s="19" t="s">
        <v>108</v>
      </c>
      <c r="C27" s="101">
        <v>7.1861679999999997E-3</v>
      </c>
    </row>
    <row r="28" spans="1:8" ht="15.75" customHeight="1" x14ac:dyDescent="0.25">
      <c r="B28" s="19" t="s">
        <v>122</v>
      </c>
      <c r="C28" s="101">
        <v>0.250016285</v>
      </c>
    </row>
    <row r="29" spans="1:8" ht="15.75" customHeight="1" x14ac:dyDescent="0.25">
      <c r="B29" s="19" t="s">
        <v>105</v>
      </c>
      <c r="C29" s="101">
        <v>9.3256678999999995E-2</v>
      </c>
    </row>
    <row r="30" spans="1:8" ht="15.75" customHeight="1" x14ac:dyDescent="0.25">
      <c r="B30" s="19" t="s">
        <v>4</v>
      </c>
      <c r="C30" s="101">
        <v>0.12997281799999999</v>
      </c>
    </row>
    <row r="31" spans="1:8" ht="15.75" customHeight="1" x14ac:dyDescent="0.25">
      <c r="B31" s="19" t="s">
        <v>99</v>
      </c>
      <c r="C31" s="101">
        <v>6.0292912999999997E-2</v>
      </c>
    </row>
    <row r="32" spans="1:8" ht="15.75" customHeight="1" x14ac:dyDescent="0.25">
      <c r="B32" s="19" t="s">
        <v>104</v>
      </c>
      <c r="C32" s="101">
        <v>6.2887368999999999E-2</v>
      </c>
    </row>
    <row r="33" spans="2:3" ht="15.75" customHeight="1" x14ac:dyDescent="0.25">
      <c r="B33" s="19" t="s">
        <v>119</v>
      </c>
      <c r="C33" s="101">
        <v>0.164273895</v>
      </c>
    </row>
    <row r="34" spans="2:3" ht="15.75" customHeight="1" x14ac:dyDescent="0.25">
      <c r="B34" s="19" t="s">
        <v>106</v>
      </c>
      <c r="C34" s="101">
        <v>0.17929389600000001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xZq/EMQj7XAgHS0GhuXGDnO/OJIzyDyQ2PHzWFmDhOWaqL9FaNZnsoFy9UANXr+/D50mhlvzMNlaeMzXw6ubeg==" saltValue="lo6YYCSpg/3NeHl0fk2Y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129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125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126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138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ebaIDWo49wdavOzdQ7XYpz0Uy4FpTY+DvgrssHcje0JExWtXJgDZLa7Cvne0BeDiossTXWq541pQf3NLiTAiw==" saltValue="w5ILjaeejOmFW+XWf9gW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3.9771899999999971E-2</v>
      </c>
      <c r="D5" s="52">
        <f t="shared" si="0"/>
        <v>7.5788600000000095E-2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frldjBTVm5SOKHNtp2vSxa5ws/6qWcDG8rNi2pwZC09TWtn+gGtUvMzXxv08YcLNC0FA8/LJN1+wyyG5e2trSw==" saltValue="n0OK+KMOMzqjs6XWjPRpy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GF9zkb5PdPoUzdSRiWOyZSkEKbwfv1YKaT5IrbHA+9VrNgSyoT7k05bem/8ckR8HzyNcjVGd4tguovZV9+N0w==" saltValue="7ujQebA/eB1GrgSBi8NO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3789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0.44990000000000002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0.2006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1.7707414577834226E-2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98375.218500000003</v>
      </c>
      <c r="C22" s="109">
        <v>98201.370869999999</v>
      </c>
      <c r="D22" s="109">
        <v>98038.988530000002</v>
      </c>
      <c r="E22" s="109">
        <v>97865.113920000003</v>
      </c>
      <c r="F22" s="109">
        <v>97649.534109999993</v>
      </c>
      <c r="G22" s="109">
        <v>97408.891860000003</v>
      </c>
      <c r="H22" s="109">
        <v>97107.768819999998</v>
      </c>
      <c r="I22" s="109">
        <v>96710.643060000002</v>
      </c>
      <c r="J22" s="109">
        <v>96111.342900000003</v>
      </c>
      <c r="K22" s="109">
        <v>95137.663050000003</v>
      </c>
      <c r="L22" s="109">
        <v>93522.521410000001</v>
      </c>
      <c r="M22" s="109">
        <v>90922.550220000005</v>
      </c>
      <c r="N22" s="109">
        <v>86532.69412</v>
      </c>
      <c r="O22" s="109">
        <v>86532.69412</v>
      </c>
    </row>
  </sheetData>
  <sheetProtection algorithmName="SHA-512" hashValue="Q1fAcFfVgHS/w+aTbRyGlDQR1JDOxfaprM4VwlGqx5NEFzxwGHTfyiWGbX9U5O8iqYDcZngjInzrBmSCLaFfmg==" saltValue="HxWFYoSOotMrGJ+ARbx1E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f2+RzN+vkTqIXhhUpjj9VcUkuN0cXGiMPbGuASWf4vNzNg+Xi8cvXIGa+BakhK2iZnZoLQHCZGPsTUWB7SBxTA==" saltValue="tLY52ThoWjn3vDNC1deUL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40m+j5ihZcnZiQMvq7ayxog8+abAnT+m+EkUr8CJpkxMGyDmCSxpXZtY+vHGW7tyEBg1MAbuTUsCS0tSb/4QA==" saltValue="Wp88aVbIu1sABrKsACBnb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0.29442049999999997</v>
      </c>
      <c r="C10" s="98">
        <v>0.95</v>
      </c>
      <c r="D10" s="56">
        <v>12.84078230295372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12.84078230295372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12.84078230295372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12.84078230295372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0.29442049999999997</v>
      </c>
      <c r="C14" s="98">
        <v>0.95</v>
      </c>
      <c r="D14" s="56">
        <v>12.84078230295372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12.84078230295372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0.46563719999999997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0.46563719999999997</v>
      </c>
      <c r="C19" s="98">
        <v>0.95</v>
      </c>
      <c r="D19" s="56">
        <v>6.8217383658846993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3.5702999999999999E-2</v>
      </c>
      <c r="C23" s="98">
        <v>0.95</v>
      </c>
      <c r="D23" s="56">
        <v>4.1722144491998137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0.47122926211659999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0.29442049999999997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0.37447279999999999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0.1497243</v>
      </c>
      <c r="C29" s="98">
        <v>0.95</v>
      </c>
      <c r="D29" s="56">
        <v>96.169549000750962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0.84691320000000003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0.35662080000000002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1.1231400000000001E-2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0.25330259999999999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rBFKWYh8Ek+EvlpHVYb1HO3HcoaG77hAJwtljP4LXXI1kn+Tqq/b95TnQqz3X+TJpsDwUdty+92Nu844b+oidg==" saltValue="GRz92nXY5fDTdfFl1HPZ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vG4fqXtsOkHpROIxjGupqp+vjtBRDNzyzbBHyZH0CvK6WszmHNGxIwzrU5evhSk77O79kWXugTnKAa4kpg9aw==" saltValue="Ebz5ae8Iyg+VbX7R+EqLH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32fC+UcEmx/ULDwJ9p7CefW5A2eVUqh1SaKC7qS0GyOZD8VNcjdaXthUv8MelhM6Mp6o2af5C1W4zvUyem27g==" saltValue="x4Dll2zhEcm+BiLWN2EVp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236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elxUy3UnDb04dR2782QRJ4bXV+pYq+Tgv7kYbdJfx40r3mYhv0jrKyAdMHK/amHFxh6vizE1+8n3EpBlYtdMtA==" saltValue="vPcxmfPGb4pjq2JcYZs7y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3.9E-2</v>
      </c>
      <c r="F2" s="60">
        <f>food_insecure</f>
        <v>3.9E-2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3.9E-2</v>
      </c>
      <c r="I15" s="60">
        <f t="shared" si="0"/>
        <v>3.9E-2</v>
      </c>
      <c r="J15" s="60">
        <f t="shared" si="0"/>
        <v>3.9E-2</v>
      </c>
      <c r="K15" s="60">
        <f t="shared" si="0"/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3.9E-2</v>
      </c>
      <c r="I16" s="60">
        <f t="shared" si="0"/>
        <v>3.9E-2</v>
      </c>
      <c r="J16" s="60">
        <f t="shared" si="0"/>
        <v>3.9E-2</v>
      </c>
      <c r="K16" s="60">
        <f t="shared" si="0"/>
        <v>3.9E-2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2.1600000000000001E-2</v>
      </c>
      <c r="D34" s="60">
        <f t="shared" si="4"/>
        <v>2.1600000000000001E-2</v>
      </c>
      <c r="E34" s="60">
        <f t="shared" si="4"/>
        <v>2.1600000000000001E-2</v>
      </c>
      <c r="F34" s="60">
        <f t="shared" si="4"/>
        <v>2.1600000000000001E-2</v>
      </c>
      <c r="G34" s="60">
        <f t="shared" si="4"/>
        <v>2.1600000000000001E-2</v>
      </c>
      <c r="H34" s="60">
        <f t="shared" si="4"/>
        <v>2.1600000000000001E-2</v>
      </c>
      <c r="I34" s="60">
        <f t="shared" si="4"/>
        <v>2.1600000000000001E-2</v>
      </c>
      <c r="J34" s="60">
        <f t="shared" si="4"/>
        <v>2.1600000000000001E-2</v>
      </c>
      <c r="K34" s="60">
        <f t="shared" si="4"/>
        <v>2.1600000000000001E-2</v>
      </c>
      <c r="L34" s="60">
        <f t="shared" si="4"/>
        <v>2.1600000000000001E-2</v>
      </c>
      <c r="M34" s="60">
        <f t="shared" si="4"/>
        <v>2.1600000000000001E-2</v>
      </c>
      <c r="N34" s="60">
        <f t="shared" si="4"/>
        <v>2.1600000000000001E-2</v>
      </c>
      <c r="O34" s="60">
        <f t="shared" si="4"/>
        <v>2.1600000000000001E-2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fyvSXQlYQaNRf/VARXkYviLxtrwfVJmC9GthXbgIhp8DOTPX3CVROzFL8PQflq3a4+e/D2LJJjLWlhkNAhViQ==" saltValue="XoY0lvVuCwUkaEDp+ozj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UOCeDSPWSmNc76+PnW1p63iUkxx1wp+RsIzYn3+kRToaSpNBIEWhixZLxdy8Tydez3aIPnCXr4CAhdPKw2tXig==" saltValue="Z9tloSV5oi6rr6NfBM7eW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Ks3ZvP8lxdGOuvlXIGS7/mfshfg/5msRvGzQ9CIIdk6RR013TuUuWJJtY+kmF7FP2S9JKS53I4DrRZkUJNtVQ==" saltValue="A6aDYvSAq651WIXWcM9yc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vimcJjBt0iIUvWtrqTB55pfLwq/2Ixl7WGze1wTDFrnw58PH4fCCRkFC/KPWDzC6reVhEykmiUpl5trHoKM2w==" saltValue="aCISu2dZ5hT3ejRA8tG4f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qxmOaQRo8fJEeDecQ5mRd4USKcqxgTiVqwZvG00T2q57EsxB49qQiaWeECrSGF6yEHKjtxqwdQi6czaaILdXhA==" saltValue="3f0N5FTRK/ZOlqZswOBwr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qKMCa4PM9WdH+kXAUuDLu8+ib9kM0Dhe62rnj0h6MIW2YnG8KY1AgoYw7cB0lXngI6QM31PWT5ES5tRDuZ9pVw==" saltValue="ANJEKuvBnAAm21eMKk8Nz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VJ7PSRrFxhTe3h4y+vNpjjvhk6EQCeUQ2L1M7etp68RbtH7e9md4/3Cz4QBHDVtcIL5u29vPS7srmJdsRlp3w==" saltValue="7L7vzCru4X+seamRaH8aw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XjogIM7pQW0EqT0Rxq5YthytWhJkanSGrIuEV0P5BGW3/bELpQwu+d5IhZVe1LTo1NlnuR8S+kcrbSposl3TA==" saltValue="RiycTTkBP5q5V5ysmvA2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/W0UJ+bMQY//LJoNuIN9IVS+zRIv81Jy6D2gLGDlIDOWA11hSEGEXCuLt1++9lc0IecNbkNxBGsH8V6/R6Xolg==" saltValue="tlDyYxN7eSaZd5rk0Qmi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kIG17Pq1HfLn23o3+APHZniCQM+sLON7CVz+SVtEDQBu7FmVBah5dP00RgCA89w498c+opzoIMs4ZNO0iSQ3Q==" saltValue="fivxxEtXN14D/oHVgWQc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2L5XoX5c/VkKPy8trX/gEzeTmF3pVej7FXGTjdipq7tO+LKOH6AHa3RGRO+mgR92187cAyb1ai3FPId9GsErA==" saltValue="Yp2idwG7zKVICgsijsEr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5i/OO73UwHOZCpD5x4MWkn8Rgw4i5h0TIMSxvnnQaj6NVPSzHkT4xueAgWFy9Nzg8heuPAcqxXRBxottjx5hA==" saltValue="9ZJBPOlLOG84zkJBK41y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Uz7QNJmq+5tOw2YFcyIrurTomt69/ZqE/4XjLcVBkWE28dH6d8S/TfAQvIqqeG9f59+17nczy3fIETQyE1j8w==" saltValue="QlfNMMrQtnz+vOb39gty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6VrZJlLA/z0yzV24CeaJmMjJgXiX1ktJKZOXNDDOGaCfXDgFPptrT+FyMtQQtp5n9qsDgRl1wh6gmUsgVuz3Q==" saltValue="TpPwcCP2uh3kA0dnQR5y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Fs56/jEbPSptVjTP5I+E1GOEbM45sqDWDK+wTtqpbpFb7TPZ8SWssGZsJ8EAgnb3c9sOfCXh852zwg9P7eDgPQ==" saltValue="gTsMMNvKmwROFGwOg5YyC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