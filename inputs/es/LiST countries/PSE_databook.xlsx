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97665967-5632-46BD-84CB-D3ECA6E3CC8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I38" i="2" s="1"/>
  <c r="A29" i="2"/>
  <c r="A26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33" i="2" l="1"/>
  <c r="A18" i="2"/>
  <c r="A34" i="2"/>
  <c r="A23" i="2"/>
  <c r="A15" i="2"/>
  <c r="A31" i="2"/>
  <c r="A17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21" i="2"/>
  <c r="A37" i="2"/>
  <c r="A25" i="2"/>
  <c r="A16" i="2"/>
  <c r="A24" i="2"/>
  <c r="A32" i="2"/>
  <c r="A19" i="2"/>
  <c r="A27" i="2"/>
  <c r="A35" i="2"/>
  <c r="A20" i="2"/>
  <c r="A28" i="2"/>
  <c r="A36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<sst xmlns="http://schemas.openxmlformats.org/spreadsheetml/2006/main" count="2101" uniqueCount="341">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</sst>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30416861</v>
      </c>
    </row>
    <row r="8" spans="1:3" ht="15" customHeight="1" x14ac:dyDescent="0.25">
      <c r="B8" s="5" t="s">
        <v>44</v>
      </c>
      <c r="C8" s="44">
        <v>3.9E-2</v>
      </c>
    </row>
    <row r="9" spans="1:3" ht="15" customHeight="1" x14ac:dyDescent="0.25">
      <c r="B9" s="5" t="s">
        <v>43</v>
      </c>
      <c r="C9" s="45">
        <v>2.1600000000000001E-2</v>
      </c>
    </row>
    <row r="10" spans="1:3" ht="15" customHeight="1" x14ac:dyDescent="0.25">
      <c r="B10" s="5" t="s">
        <v>56</v>
      </c>
      <c r="C10" s="45">
        <v>0.89200000000000002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8.3599999999999994E-2</v>
      </c>
    </row>
    <row r="24" spans="1:3" ht="15" customHeight="1" x14ac:dyDescent="0.25">
      <c r="B24" s="15" t="s">
        <v>46</v>
      </c>
      <c r="C24" s="45">
        <v>0.50800000000000001</v>
      </c>
    </row>
    <row r="25" spans="1:3" ht="15" customHeight="1" x14ac:dyDescent="0.25">
      <c r="B25" s="15" t="s">
        <v>47</v>
      </c>
      <c r="C25" s="45">
        <v>0.35120000000000012</v>
      </c>
    </row>
    <row r="26" spans="1:3" ht="15" customHeight="1" x14ac:dyDescent="0.25">
      <c r="B26" s="15" t="s">
        <v>48</v>
      </c>
      <c r="C26" s="45">
        <v>5.7200000000000001E-2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0.24354971332209699</v>
      </c>
    </row>
    <row r="30" spans="1:3" ht="14.25" customHeight="1" x14ac:dyDescent="0.25">
      <c r="B30" s="25" t="s">
        <v>63</v>
      </c>
      <c r="C30" s="99">
        <v>0.13757511584770599</v>
      </c>
    </row>
    <row r="31" spans="1:3" ht="14.25" customHeight="1" x14ac:dyDescent="0.25">
      <c r="B31" s="25" t="s">
        <v>10</v>
      </c>
      <c r="C31" s="99">
        <v>0.13914799772598499</v>
      </c>
    </row>
    <row r="32" spans="1:3" ht="14.25" customHeight="1" x14ac:dyDescent="0.25">
      <c r="B32" s="25" t="s">
        <v>11</v>
      </c>
      <c r="C32" s="99">
        <v>0.47972717310421198</v>
      </c>
    </row>
    <row r="33" spans="1:5" ht="13" customHeight="1" x14ac:dyDescent="0.25">
      <c r="B33" s="27" t="s">
        <v>60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39.443519999999999</v>
      </c>
    </row>
    <row r="38" spans="1:5" ht="15" customHeight="1" x14ac:dyDescent="0.25">
      <c r="B38" s="11" t="s">
        <v>35</v>
      </c>
      <c r="C38" s="43">
        <v>52.780679999999997</v>
      </c>
      <c r="D38" s="12"/>
      <c r="E38" s="13"/>
    </row>
    <row r="39" spans="1:5" ht="15" customHeight="1" x14ac:dyDescent="0.25">
      <c r="B39" s="11" t="s">
        <v>61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100">
        <v>1.54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2.2391600000000001E-2</v>
      </c>
      <c r="D45" s="12"/>
    </row>
    <row r="46" spans="1:5" ht="15.75" customHeight="1" x14ac:dyDescent="0.25">
      <c r="B46" s="11" t="s">
        <v>51</v>
      </c>
      <c r="C46" s="45">
        <v>0.12125619999999999</v>
      </c>
      <c r="D46" s="12"/>
    </row>
    <row r="47" spans="1:5" ht="15.75" customHeight="1" x14ac:dyDescent="0.25">
      <c r="B47" s="11" t="s">
        <v>59</v>
      </c>
      <c r="C47" s="45">
        <v>0.39803450000000001</v>
      </c>
      <c r="D47" s="12"/>
      <c r="E47" s="13"/>
    </row>
    <row r="48" spans="1:5" ht="15" customHeight="1" x14ac:dyDescent="0.25">
      <c r="B48" s="11" t="s">
        <v>58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0.43655699999999997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elSwvii4SzkULdc0EmDolJ7QkDoMzIqB/lCsC252WSmHMK/dePXUheu0A4lMyQxKYJTweliEvTQhPJYn/GFMFA==" saltValue="SKv356Dm7ePnzPXBv9WP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147537</v>
      </c>
      <c r="C2" s="49">
        <v>348597.00000000012</v>
      </c>
      <c r="D2" s="49">
        <v>479371.5</v>
      </c>
      <c r="E2" s="49">
        <v>379314</v>
      </c>
      <c r="F2" s="49">
        <v>218394</v>
      </c>
      <c r="G2" s="17">
        <f t="shared" ref="G2:G13" si="0">C2+D2+E2+F2</f>
        <v>1425676.5</v>
      </c>
      <c r="H2" s="17">
        <f t="shared" ref="H2:H13" si="1">(B2 + stillbirth*B2/(1000-stillbirth))/(1-abortion)</f>
        <v>173004.42681105822</v>
      </c>
      <c r="I2" s="17">
        <f t="shared" ref="I2:I13" si="2">G2-H2</f>
        <v>1252672.0731889417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148529</v>
      </c>
      <c r="C3" s="50">
        <v>357605.49999999988</v>
      </c>
      <c r="D3" s="50">
        <v>488191.5</v>
      </c>
      <c r="E3" s="50">
        <v>391871</v>
      </c>
      <c r="F3" s="50">
        <v>227253.5</v>
      </c>
      <c r="G3" s="17">
        <f t="shared" si="0"/>
        <v>1464921.5</v>
      </c>
      <c r="H3" s="17">
        <f t="shared" si="1"/>
        <v>174167.66309345904</v>
      </c>
      <c r="I3" s="17">
        <f t="shared" si="2"/>
        <v>1290753.8369065409</v>
      </c>
    </row>
    <row r="4" spans="1:9" ht="15.75" customHeight="1" x14ac:dyDescent="0.25">
      <c r="A4" s="5">
        <f t="shared" si="3"/>
        <v>2026</v>
      </c>
      <c r="B4" s="49">
        <v>149180</v>
      </c>
      <c r="C4" s="50">
        <v>366142.5</v>
      </c>
      <c r="D4" s="50">
        <v>498086</v>
      </c>
      <c r="E4" s="50">
        <v>403444.5</v>
      </c>
      <c r="F4" s="50">
        <v>236494</v>
      </c>
      <c r="G4" s="17">
        <f t="shared" si="0"/>
        <v>1504167</v>
      </c>
      <c r="H4" s="17">
        <f t="shared" si="1"/>
        <v>174931.03690378458</v>
      </c>
      <c r="I4" s="17">
        <f t="shared" si="2"/>
        <v>1329235.9630962154</v>
      </c>
    </row>
    <row r="5" spans="1:9" ht="15.75" customHeight="1" x14ac:dyDescent="0.25">
      <c r="A5" s="5">
        <f t="shared" si="3"/>
        <v>2027</v>
      </c>
      <c r="B5" s="49">
        <v>150745</v>
      </c>
      <c r="C5" s="50">
        <v>374461</v>
      </c>
      <c r="D5" s="50">
        <v>508810</v>
      </c>
      <c r="E5" s="50">
        <v>413758</v>
      </c>
      <c r="F5" s="50">
        <v>246139</v>
      </c>
      <c r="G5" s="17">
        <f t="shared" si="0"/>
        <v>1543168</v>
      </c>
      <c r="H5" s="17">
        <f t="shared" si="1"/>
        <v>176766.18285333828</v>
      </c>
      <c r="I5" s="17">
        <f t="shared" si="2"/>
        <v>1366401.8171466617</v>
      </c>
    </row>
    <row r="6" spans="1:9" ht="15.75" customHeight="1" x14ac:dyDescent="0.25">
      <c r="A6" s="5">
        <f t="shared" si="3"/>
        <v>2028</v>
      </c>
      <c r="B6" s="49">
        <v>151802</v>
      </c>
      <c r="C6" s="50">
        <v>382734.00000000012</v>
      </c>
      <c r="D6" s="50">
        <v>520209</v>
      </c>
      <c r="E6" s="50">
        <v>423109</v>
      </c>
      <c r="F6" s="50">
        <v>256364</v>
      </c>
      <c r="G6" s="17">
        <f t="shared" si="0"/>
        <v>1582416</v>
      </c>
      <c r="H6" s="17">
        <f t="shared" si="1"/>
        <v>178005.63925504961</v>
      </c>
      <c r="I6" s="17">
        <f t="shared" si="2"/>
        <v>1404410.3607449504</v>
      </c>
    </row>
    <row r="7" spans="1:9" ht="15.75" customHeight="1" x14ac:dyDescent="0.25">
      <c r="A7" s="5">
        <f t="shared" si="3"/>
        <v>2029</v>
      </c>
      <c r="B7" s="49">
        <v>152525</v>
      </c>
      <c r="C7" s="50">
        <v>391153.5</v>
      </c>
      <c r="D7" s="50">
        <v>532388.5</v>
      </c>
      <c r="E7" s="50">
        <v>431802.5</v>
      </c>
      <c r="F7" s="50">
        <v>267182.5</v>
      </c>
      <c r="G7" s="17">
        <f t="shared" si="0"/>
        <v>1622527</v>
      </c>
      <c r="H7" s="17">
        <f t="shared" si="1"/>
        <v>178853.44150522683</v>
      </c>
      <c r="I7" s="17">
        <f t="shared" si="2"/>
        <v>1443673.5584947732</v>
      </c>
    </row>
    <row r="8" spans="1:9" ht="15.75" customHeight="1" x14ac:dyDescent="0.25">
      <c r="A8" s="5">
        <f t="shared" si="3"/>
        <v>2030</v>
      </c>
      <c r="B8" s="49">
        <v>153811</v>
      </c>
      <c r="C8" s="50">
        <v>398525</v>
      </c>
      <c r="D8" s="50">
        <v>545781.5</v>
      </c>
      <c r="E8" s="50">
        <v>439693.5</v>
      </c>
      <c r="F8" s="50">
        <v>278566.5</v>
      </c>
      <c r="G8" s="17">
        <f t="shared" si="0"/>
        <v>1662566.5</v>
      </c>
      <c r="H8" s="17">
        <f t="shared" si="1"/>
        <v>180361.42725035534</v>
      </c>
      <c r="I8" s="17">
        <f t="shared" si="2"/>
        <v>1482205.0727496448</v>
      </c>
    </row>
    <row r="9" spans="1:9" ht="15.75" customHeight="1" x14ac:dyDescent="0.25">
      <c r="A9" s="5">
        <f t="shared" si="3"/>
        <v>2031</v>
      </c>
      <c r="B9" s="49">
        <v>154824</v>
      </c>
      <c r="C9" s="50">
        <v>403877</v>
      </c>
      <c r="D9" s="50">
        <v>559878.5</v>
      </c>
      <c r="E9" s="50">
        <v>446997.5</v>
      </c>
      <c r="F9" s="50">
        <v>290555</v>
      </c>
      <c r="G9" s="17">
        <f t="shared" si="0"/>
        <v>1701308</v>
      </c>
      <c r="H9" s="17">
        <f t="shared" si="1"/>
        <v>181549.28849437955</v>
      </c>
      <c r="I9" s="17">
        <f t="shared" si="2"/>
        <v>1519758.7115056205</v>
      </c>
    </row>
    <row r="10" spans="1:9" ht="15.75" customHeight="1" x14ac:dyDescent="0.25">
      <c r="A10" s="5">
        <f t="shared" si="3"/>
        <v>2032</v>
      </c>
      <c r="B10" s="49">
        <v>155906</v>
      </c>
      <c r="C10" s="50">
        <v>407999.99999999988</v>
      </c>
      <c r="D10" s="50">
        <v>573595.5</v>
      </c>
      <c r="E10" s="50">
        <v>454100.5</v>
      </c>
      <c r="F10" s="50">
        <v>303039.5</v>
      </c>
      <c r="G10" s="17">
        <f t="shared" si="0"/>
        <v>1738735.5</v>
      </c>
      <c r="H10" s="17">
        <f t="shared" si="1"/>
        <v>182818.06032659495</v>
      </c>
      <c r="I10" s="17">
        <f t="shared" si="2"/>
        <v>1555917.4396734051</v>
      </c>
    </row>
    <row r="11" spans="1:9" ht="15.75" customHeight="1" x14ac:dyDescent="0.25">
      <c r="A11" s="5">
        <f t="shared" si="3"/>
        <v>2033</v>
      </c>
      <c r="B11" s="49">
        <v>157184</v>
      </c>
      <c r="C11" s="50">
        <v>411270.5</v>
      </c>
      <c r="D11" s="50">
        <v>587039</v>
      </c>
      <c r="E11" s="50">
        <v>461179.5</v>
      </c>
      <c r="F11" s="50">
        <v>315820</v>
      </c>
      <c r="G11" s="17">
        <f t="shared" si="0"/>
        <v>1775309</v>
      </c>
      <c r="H11" s="17">
        <f t="shared" si="1"/>
        <v>184316.66513396215</v>
      </c>
      <c r="I11" s="17">
        <f t="shared" si="2"/>
        <v>1590992.3348660378</v>
      </c>
    </row>
    <row r="12" spans="1:9" ht="15.75" customHeight="1" x14ac:dyDescent="0.25">
      <c r="A12" s="5">
        <f t="shared" si="3"/>
        <v>2034</v>
      </c>
      <c r="B12" s="49">
        <v>158273</v>
      </c>
      <c r="C12" s="50">
        <v>413457.99999999988</v>
      </c>
      <c r="D12" s="50">
        <v>600417.5</v>
      </c>
      <c r="E12" s="50">
        <v>468852.5</v>
      </c>
      <c r="F12" s="50">
        <v>328448</v>
      </c>
      <c r="G12" s="17">
        <f t="shared" si="0"/>
        <v>1811176</v>
      </c>
      <c r="H12" s="17">
        <f t="shared" si="1"/>
        <v>185593.6452867187</v>
      </c>
      <c r="I12" s="17">
        <f t="shared" si="2"/>
        <v>1625582.3547132814</v>
      </c>
    </row>
    <row r="13" spans="1:9" ht="15.75" customHeight="1" x14ac:dyDescent="0.25">
      <c r="A13" s="5">
        <f t="shared" si="3"/>
        <v>2035</v>
      </c>
      <c r="B13" s="49">
        <v>159827</v>
      </c>
      <c r="C13" s="50">
        <v>413984.00000000012</v>
      </c>
      <c r="D13" s="50">
        <v>614031</v>
      </c>
      <c r="E13" s="50">
        <v>477666.5</v>
      </c>
      <c r="F13" s="50">
        <v>340488.5</v>
      </c>
      <c r="G13" s="17">
        <f t="shared" si="0"/>
        <v>1846170</v>
      </c>
      <c r="H13" s="17">
        <f t="shared" si="1"/>
        <v>187415.89244685063</v>
      </c>
      <c r="I13" s="17">
        <f t="shared" si="2"/>
        <v>1658754.1075531493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YQZP7eSLoJTJ635F6qJrzWG2skxJlU6GjaRMsDL6jMMixbmbhaQo/nX0qYTWCMHkcHxyvEKjXv32pm7elsSmQ==" saltValue="7ZeDefW9TOWi28SzEnAL/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1.944252351986717E-2</v>
      </c>
    </row>
    <row r="4" spans="1:8" ht="15.75" customHeight="1" x14ac:dyDescent="0.25">
      <c r="B4" s="19" t="s">
        <v>97</v>
      </c>
      <c r="C4" s="101">
        <v>7.3235278675737148E-2</v>
      </c>
    </row>
    <row r="5" spans="1:8" ht="15.75" customHeight="1" x14ac:dyDescent="0.25">
      <c r="B5" s="19" t="s">
        <v>95</v>
      </c>
      <c r="C5" s="101">
        <v>6.0525674969561093E-2</v>
      </c>
    </row>
    <row r="6" spans="1:8" ht="15.75" customHeight="1" x14ac:dyDescent="0.25">
      <c r="B6" s="19" t="s">
        <v>91</v>
      </c>
      <c r="C6" s="101">
        <v>0.3183471214882706</v>
      </c>
    </row>
    <row r="7" spans="1:8" ht="15.75" customHeight="1" x14ac:dyDescent="0.25">
      <c r="B7" s="19" t="s">
        <v>96</v>
      </c>
      <c r="C7" s="101">
        <v>0.3406088789217484</v>
      </c>
    </row>
    <row r="8" spans="1:8" ht="15.75" customHeight="1" x14ac:dyDescent="0.25">
      <c r="B8" s="19" t="s">
        <v>98</v>
      </c>
      <c r="C8" s="101">
        <v>2.8573357234468609E-3</v>
      </c>
    </row>
    <row r="9" spans="1:8" ht="15.75" customHeight="1" x14ac:dyDescent="0.25">
      <c r="B9" s="19" t="s">
        <v>92</v>
      </c>
      <c r="C9" s="101">
        <v>9.1026223745628063E-2</v>
      </c>
    </row>
    <row r="10" spans="1:8" ht="15.75" customHeight="1" x14ac:dyDescent="0.25">
      <c r="B10" s="19" t="s">
        <v>94</v>
      </c>
      <c r="C10" s="101">
        <v>9.3956962955740589E-2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102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2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90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3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101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79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88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99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5.2819977999999997E-2</v>
      </c>
    </row>
    <row r="27" spans="1:8" ht="15.75" customHeight="1" x14ac:dyDescent="0.25">
      <c r="B27" s="19" t="s">
        <v>89</v>
      </c>
      <c r="C27" s="101">
        <v>7.1861679999999997E-3</v>
      </c>
    </row>
    <row r="28" spans="1:8" ht="15.75" customHeight="1" x14ac:dyDescent="0.25">
      <c r="B28" s="19" t="s">
        <v>103</v>
      </c>
      <c r="C28" s="101">
        <v>0.250016285</v>
      </c>
    </row>
    <row r="29" spans="1:8" ht="15.75" customHeight="1" x14ac:dyDescent="0.25">
      <c r="B29" s="19" t="s">
        <v>86</v>
      </c>
      <c r="C29" s="101">
        <v>9.3256678999999995E-2</v>
      </c>
    </row>
    <row r="30" spans="1:8" ht="15.75" customHeight="1" x14ac:dyDescent="0.25">
      <c r="B30" s="19" t="s">
        <v>4</v>
      </c>
      <c r="C30" s="101">
        <v>0.12997281799999999</v>
      </c>
    </row>
    <row r="31" spans="1:8" ht="15.75" customHeight="1" x14ac:dyDescent="0.25">
      <c r="B31" s="19" t="s">
        <v>80</v>
      </c>
      <c r="C31" s="101">
        <v>6.0292912999999997E-2</v>
      </c>
    </row>
    <row r="32" spans="1:8" ht="15.75" customHeight="1" x14ac:dyDescent="0.25">
      <c r="B32" s="19" t="s">
        <v>85</v>
      </c>
      <c r="C32" s="101">
        <v>6.2887368999999999E-2</v>
      </c>
    </row>
    <row r="33" spans="2:3" ht="15.75" customHeight="1" x14ac:dyDescent="0.25">
      <c r="B33" s="19" t="s">
        <v>100</v>
      </c>
      <c r="C33" s="101">
        <v>0.164273895</v>
      </c>
    </row>
    <row r="34" spans="2:3" ht="15.75" customHeight="1" x14ac:dyDescent="0.25">
      <c r="B34" s="19" t="s">
        <v>87</v>
      </c>
      <c r="C34" s="101">
        <v>0.17929389600000001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CCoBaLPSPZtiXWji5HycnINm0lpBUHe0PQQDGwLVrr41f4NTyUECcRl88cqZxX1b+oIm5xLKpN0zDWA8f93eKQ==" saltValue="TK73/BPgIPmRgwuhLvWoH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110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106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107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119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0.38510173949999998</v>
      </c>
      <c r="D14" s="54">
        <v>0.38329127910900002</v>
      </c>
      <c r="E14" s="54">
        <v>0.38329127910900002</v>
      </c>
      <c r="F14" s="54">
        <v>0.26921571210599998</v>
      </c>
      <c r="G14" s="54">
        <v>0.26921571210599998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0.16811886009090149</v>
      </c>
      <c r="D15" s="52">
        <f t="shared" si="0"/>
        <v>0.16732849093398772</v>
      </c>
      <c r="E15" s="52">
        <f t="shared" si="0"/>
        <v>0.16732849093398772</v>
      </c>
      <c r="F15" s="52">
        <f t="shared" si="0"/>
        <v>0.11752800362985903</v>
      </c>
      <c r="G15" s="52">
        <f t="shared" si="0"/>
        <v>0.11752800362985903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jD7k7zeC7wQn7Ona/U23sRpFziKaFT8bgJJC0RUDzMZ1jml//pQi7y6cTaFHFqOKVP5xKD9gSEV1xQyOn5rQA==" saltValue="LwWd7gJC8Fc+xydnuA1u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125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xPyM3FEMaCHfwz9mW/obda0Z0ns1JRDmVqm3mE30L/seMDQD64agP9kw+zCpnyakFh+nLplNxxkxU9NxUzYXWw==" saltValue="pw/HpmeEiyNp5XzB0dkOh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mJZoUkx7Zc7zwsr3biFW3BpTIDQNHGg/p3Wv1N+8ZyD1W16XU74jVeeuHU1SrGqbEYe9bJ3FWYGX44aiAHm1g==" saltValue="avbQMyAz+ZU+B+mF86Mji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mTFHWBze9OapDSGDBDtnt1pxTZOFg+WC2PLUR03ph9pOQolftQELeGgU/MzRUZC4nPGZwXlL21bVi7pY+HcH6g==" saltValue="S8GFDvHTHVb+8ESNepPp5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K0v00odSy1llqqy3Qb8ZDaY3FwPfTqfcfSTCyQz1ba+ornxj1OUSmk9k10tOC1+EL69GKP3MdmE9lZqYkR2Uig==" saltValue="XpQ+tYFjoSK9Tk3KIyUyF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wVgvraoPTb29iRFcbq+re9NIePqKMGGxOSWAMYuh8TuVwyKvcUgmijNdqHccj76F4qGa+Sw+5aRl9vYm8Kd8gg==" saltValue="9dB1jLpQ3bzkGVAAWxOQO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50.371303540921957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39.708482859157797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294.34045337363011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1.2966630747405239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0.29442049999999997</v>
      </c>
      <c r="C10" s="98">
        <v>0.95</v>
      </c>
      <c r="D10" s="56">
        <v>12.84078230295372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12.84078230295372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12.84078230295372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12.84078230295372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0.29442049999999997</v>
      </c>
      <c r="C14" s="98">
        <v>0.95</v>
      </c>
      <c r="D14" s="56">
        <v>12.84078230295372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12.84078230295372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3.6473E-3</v>
      </c>
      <c r="C16" s="98">
        <v>0.95</v>
      </c>
      <c r="D16" s="56">
        <v>0.54754810284906963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0.46563719999999997</v>
      </c>
      <c r="C18" s="98">
        <v>0.95</v>
      </c>
      <c r="D18" s="56">
        <v>6.8217383658846993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0.46563719999999997</v>
      </c>
      <c r="C19" s="98">
        <v>0.95</v>
      </c>
      <c r="D19" s="56">
        <v>6.8217383658846993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12.15441108429366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22.06922301210663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3.5702999999999999E-2</v>
      </c>
      <c r="C23" s="98">
        <v>0.95</v>
      </c>
      <c r="D23" s="56">
        <v>4.1722144491998137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0.47122926211659999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0.29442049999999997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18.399477267230779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0.37447279999999999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0.1497243</v>
      </c>
      <c r="C29" s="98">
        <v>0.95</v>
      </c>
      <c r="D29" s="56">
        <v>96.169549000750962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0.34386987590081408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0.92</v>
      </c>
      <c r="C32" s="98">
        <v>0.95</v>
      </c>
      <c r="D32" s="56">
        <v>1.1580402463781181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0.84691320000000003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0.35662080000000002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1.1231400000000001E-2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0.25330259999999999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0.1247952</v>
      </c>
      <c r="C38" s="98">
        <v>0.95</v>
      </c>
      <c r="D38" s="56">
        <v>3.7067724725609019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u5Kpg/sKo8srRUvF47dNJUnUMTcOBR54UC6+A55lCwRWg5VQ3jzJ7LFEf9kwqt1WD0gjEJcq8QVi8wZS9kL+zQ==" saltValue="L+AN+m82hA2QsQu2fP6D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PWHHXrX4CW4l6IoPdLtaCXMIFblJwwl3D7RjsZDr89mDUoFVBd8ZNy+CGBLl+D3ZcVHhUZRqD4BWTtIRZdIGiA==" saltValue="eiDkWJZvF68jlcpuqr0ym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yCTA1gJuglFP7CXUefiDgV8eAe4rNbWdvz3N/x0u3zTETSdgav4ll7tNwSKBqXJHec/zKCdcs1hhSE6uuoQFeA==" saltValue="PAraKmokma5LzNG8NKA27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207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uAgiPdSk67THYyoGS+h5nrDr/N4E7cWsFAuCKBquhmSHi0x8hjF5fCu0pqvolk/Lfkp8iP3twZOJr5Ekv+kjgQ==" saltValue="genUKpr1zdUVx6KWWrCEI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</v>
      </c>
      <c r="M24" s="60">
        <f>famplan_unmet_need</f>
        <v>0.1</v>
      </c>
      <c r="N24" s="60">
        <f>famplan_unmet_need</f>
        <v>0.1</v>
      </c>
      <c r="O24" s="60">
        <f>famplan_unmet_need</f>
        <v>0.1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5.3804519999999988E-2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2.3059079999999996E-2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3.1136399999999995E-2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0.89200000000000002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Udjm4dJxysn2NiNRH+qe8c5pbdgFT3c08oTe7TueVMU7M73mfSUB1nurHOFFOs8GsVzhjSQ/Ki7SrZ8P5RGyA==" saltValue="0oMhqA3pqG7bffykidNVF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+ITePrNYSbYrJnzt4p4aXvAtz8MPfkyomnQYhCsAShQPbHuT92wE21TJWhJ4v7M4vMTFFq/8p+jtRYtjTZu0iA==" saltValue="CjpIeXmp4fXHkdVnjva42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Fwjw4bLHiQ/6fRkDl+iCHpfPBbBMVNsPmzEpmtXcxJXRC9B10FG6X4Wbjw31po2nEOiB2m2FB9fzpPnu9s1mA==" saltValue="0M/gtvqY4ohY4mAhV8O7f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dsjEriBbMYnt2dR1KLFxIGOfclDswngy+xkPiM2W7FwGGblOC2d8LXjslAn0FaIClcqBqzzLbdPr3jSsYWpfw==" saltValue="GhNKeLU32ce0zrOTLanvg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8TA8Xix8YhXpZwg271YuYCBGweimjhHhgrnotAC5osZRSHnlkXtluyqAp9vE4BavTJPUpudMJzmfRHk8gq9ZIQ==" saltValue="VU6fxCMoqLKfUvAr12jFl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vLSrKOguJzGBXypaNhXVLDUECC+Tju5iNuF6EWzzUre1YGAXxz4l+5N2O9QfyDuK5iVLm9aVBCSbTw74ocfkJg==" saltValue="39xUa5DXUG04sxJws1P3i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3HjV9AU1ga8VD93ao8W9dyTtSggiEplTmGduhrSfhVuRZXCryMO/Qy6QkKOcNZyduVILVM3GTNVjOWZApVqW3w==" saltValue="61m4Sf59xU4iA6oXgMrdY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gRLy2CMNEI5zw/yrmfKXHWQCr2MTPLoZalRolbFmTvwAnQ2haLZc5g5Hfh4HA8zs0zF2W7nikl1savGbKnGwA==" saltValue="Hr/AuIEP/BjZCpQWMF7f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GGuXDy/hQkuHve/WYQj2H4PUKZ+QK4OH2GaGGbLLY3NhF+F/tS6WXq2HHr1XMevxEtPuY7SPrhV++LL+i3WYQ==" saltValue="kNq/nW187To7aOPO0swO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JgNiG77d4Jy++1VHgdDDMD5VNZK23t6uqOKB1ihvXHjiA6Y/jZabqGI1EdsgXuwi8oolMn6UZJAm/dkxZ9/yQ==" saltValue="o2t5Xvc5YJwurxGswD25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awtzh/XP5ahTElQFcPL4OkVu3xkWAhoZtOa5anHcYqpNzG/XzlvoBTQTLdu8Xoe4qZmz5hHkbveiXMgo4jIfxg==" saltValue="51ZmI0fm9iwj2NUxD8/L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6G3SVuy9LODvviTfg29VqyxOmGf7T1sKFYZXk4yIDlux6ODlgLBd8St2ogYqfrq9QrmO2xwjxVUT8NClW1RDQ==" saltValue="7SBHH9N5KqfS3DNn0AOs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HGQ2IW4HgAj7RGrPlpSKhRLWnjLIlQlnanh5QE0vHAMPO8rGWNCEJ8yljzmFxqhNaks3ELPFHhgCCFtrxkqZg==" saltValue="si8uIQBriHpssDofRPTG3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0.10543171259957373</v>
      </c>
      <c r="G18" s="90">
        <f>MIN(MAX(1-0.89/(1-frac_sam_12_23months+(frac_sam_12_23months*0.89)),0),1)</f>
        <v>0.10798156119309177</v>
      </c>
      <c r="H18" s="90">
        <f>MIN(MAX(1-0.89/(1-frac_sam_24_59months+(frac_sam_24_59months*0.89)),0),1)</f>
        <v>0.10872577197441857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0.10206683773362857</v>
      </c>
      <c r="G20" s="90">
        <f>MIN(MAX(1-0.89/(1-frac_mam_12_23months+(frac_mam_12_23months*0.89)),0),1)</f>
        <v>0.10499195113730708</v>
      </c>
      <c r="H20" s="90">
        <f>MIN(MAX(1-0.89/(1-frac_mam_24_59months+(frac_mam_24_59months*0.89)),0),1)</f>
        <v>0.10654921699976116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9.5401839827130575E-3</v>
      </c>
      <c r="G73" s="90">
        <f>MIN(MAX(1-0.99/(1-frac_sam_12_23months+(frac_sam_12_23months*0.99)),0),1)</f>
        <v>9.7963081691645471E-3</v>
      </c>
      <c r="H73" s="90">
        <f>MIN(MAX(1-0.99/(1-frac_sam_24_59months+(frac_sam_24_59months*0.99)),0),1)</f>
        <v>9.8713129745472417E-3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9.2042185890610639E-3</v>
      </c>
      <c r="G75" s="90">
        <f>MIN(MAX(1-0.99/(1-frac_mam_12_23months+(frac_mam_12_23months*0.99)),0),1)</f>
        <v>9.496145546797452E-3</v>
      </c>
      <c r="H75" s="90">
        <f>MIN(MAX(1-0.99/(1-frac_mam_24_59months+(frac_mam_24_59months*0.99)),0),1)</f>
        <v>9.6522700954236873E-3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0.19250246614793698</v>
      </c>
      <c r="G128" s="90">
        <f>MIN(MAX(1-0.8/(1-frac_sam_12_23months+(frac_sam_12_23months*0.8)),0),1)</f>
        <v>0.19669509114227191</v>
      </c>
      <c r="H128" s="90">
        <f>MIN(MAX(1-0.8/(1-frac_sam_24_59months+(frac_sam_24_59months*0.8)),0),1)</f>
        <v>0.19791506040802453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0.18693941759576105</v>
      </c>
      <c r="G130" s="90">
        <f>MIN(MAX(1-0.8/(1-frac_mam_12_23months+(frac_mam_12_23months*0.8)),0),1)</f>
        <v>0.19177738558775415</v>
      </c>
      <c r="H130" s="90">
        <f>MIN(MAX(1-0.8/(1-frac_mam_24_59months+(frac_mam_24_59months*0.8)),0),1)</f>
        <v>0.19434236594375609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RbKpLAYJKQadm4AdVJD5hb5+TI5nFYnqUxdmx0z1S4+ldeK7Lp4D5zNuHg1OshdKujbllbaBQyK1xVGf2bpTg==" saltValue="ZRYaMAYDrnRnQzpQ6WzQ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+i/C65RNDKlDrVl5YRLhZXw3znHxkAApHbA77JFQaEX1COmRxLgBd8cQhPLKIis2zExXYgMxdmYlzYfa5uYvA==" saltValue="0vDpaAXdVv6WjRuoPQoA4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2024-08-06T08:12:59Z</dcterms:modified>
</cp:coreProperties>
</file>