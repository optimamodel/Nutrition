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F4E876A-D93D-498E-B9EB-0FD8AB6239B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4" i="2" l="1"/>
  <c r="A31" i="2"/>
  <c r="A22" i="2"/>
  <c r="A23" i="2"/>
  <c r="A36" i="2"/>
  <c r="A37" i="2"/>
  <c r="I9" i="2"/>
  <c r="I13" i="2"/>
  <c r="I38" i="2"/>
  <c r="A26" i="2"/>
  <c r="I39" i="2"/>
  <c r="A34" i="2"/>
  <c r="A40" i="2"/>
  <c r="I2" i="2"/>
  <c r="I6" i="2"/>
  <c r="A19" i="2"/>
  <c r="A35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<sst xmlns="http://schemas.openxmlformats.org/spreadsheetml/2006/main" count="2169" uniqueCount="373">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</sst>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715928</v>
      </c>
    </row>
    <row r="8" spans="1:3" ht="15" customHeight="1" x14ac:dyDescent="0.25">
      <c r="B8" s="5" t="s">
        <v>63</v>
      </c>
      <c r="C8" s="44">
        <v>3.9E-2</v>
      </c>
    </row>
    <row r="9" spans="1:3" ht="15" customHeight="1" x14ac:dyDescent="0.25">
      <c r="B9" s="5" t="s">
        <v>62</v>
      </c>
      <c r="C9" s="45">
        <v>2.1600000000000001E-2</v>
      </c>
    </row>
    <row r="10" spans="1:3" ht="15" customHeight="1" x14ac:dyDescent="0.25">
      <c r="B10" s="5" t="s">
        <v>75</v>
      </c>
      <c r="C10" s="45">
        <v>0.89200000000000002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8.3599999999999994E-2</v>
      </c>
    </row>
    <row r="24" spans="1:3" ht="15" customHeight="1" x14ac:dyDescent="0.25">
      <c r="B24" s="15" t="s">
        <v>65</v>
      </c>
      <c r="C24" s="45">
        <v>0.50800000000000001</v>
      </c>
    </row>
    <row r="25" spans="1:3" ht="15" customHeight="1" x14ac:dyDescent="0.25">
      <c r="B25" s="15" t="s">
        <v>66</v>
      </c>
      <c r="C25" s="45">
        <v>0.35120000000000012</v>
      </c>
    </row>
    <row r="26" spans="1:3" ht="15" customHeight="1" x14ac:dyDescent="0.25">
      <c r="B26" s="15" t="s">
        <v>67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0.24354971332209699</v>
      </c>
    </row>
    <row r="30" spans="1:3" ht="14.25" customHeight="1" x14ac:dyDescent="0.25">
      <c r="B30" s="25" t="s">
        <v>82</v>
      </c>
      <c r="C30" s="97">
        <v>0.13757511584770599</v>
      </c>
    </row>
    <row r="31" spans="1:3" ht="14.25" customHeight="1" x14ac:dyDescent="0.25">
      <c r="B31" s="25" t="s">
        <v>29</v>
      </c>
      <c r="C31" s="97">
        <v>0.13914799772598499</v>
      </c>
    </row>
    <row r="32" spans="1:3" ht="14.25" customHeight="1" x14ac:dyDescent="0.25">
      <c r="B32" s="25" t="s">
        <v>30</v>
      </c>
      <c r="C32" s="97">
        <v>0.47972717310421198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39.443519999999999</v>
      </c>
    </row>
    <row r="38" spans="1:5" ht="15" customHeight="1" x14ac:dyDescent="0.25">
      <c r="B38" s="11" t="s">
        <v>54</v>
      </c>
      <c r="C38" s="43">
        <v>52.780679999999997</v>
      </c>
      <c r="D38" s="12"/>
      <c r="E38" s="13"/>
    </row>
    <row r="39" spans="1:5" ht="15" customHeight="1" x14ac:dyDescent="0.25">
      <c r="B39" s="11" t="s">
        <v>80</v>
      </c>
      <c r="C39" s="43">
        <v>63.332549999999998</v>
      </c>
      <c r="D39" s="12"/>
      <c r="E39" s="12"/>
    </row>
    <row r="40" spans="1:5" ht="15" customHeight="1" x14ac:dyDescent="0.25">
      <c r="B40" s="11" t="s">
        <v>55</v>
      </c>
      <c r="C40" s="98">
        <v>1.54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2.2391600000000001E-2</v>
      </c>
      <c r="D45" s="12"/>
    </row>
    <row r="46" spans="1:5" ht="15.75" customHeight="1" x14ac:dyDescent="0.25">
      <c r="B46" s="11" t="s">
        <v>70</v>
      </c>
      <c r="C46" s="45">
        <v>0.12125619999999999</v>
      </c>
      <c r="D46" s="12"/>
    </row>
    <row r="47" spans="1:5" ht="15.75" customHeight="1" x14ac:dyDescent="0.25">
      <c r="B47" s="11" t="s">
        <v>78</v>
      </c>
      <c r="C47" s="45">
        <v>0.39803450000000001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0.43655699999999997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RYnmyB7sJ+zlQLvCQ17fnxBkQhk9F8GNmIurifsRMxu9Zf9UGlHNwqbcm1+dKmIRkmZd1PZn2ztvR1bJZuBJA==" saltValue="CwkYY0PQzVmdDoyySUkK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145440</v>
      </c>
      <c r="C2" s="49">
        <v>283857.5</v>
      </c>
      <c r="D2" s="49">
        <v>475690</v>
      </c>
      <c r="E2" s="49">
        <v>388408.5</v>
      </c>
      <c r="F2" s="49">
        <v>251001</v>
      </c>
      <c r="G2" s="17">
        <f t="shared" ref="G2:G13" si="0">C2+D2+E2+F2</f>
        <v>1398957</v>
      </c>
      <c r="H2" s="17">
        <f t="shared" ref="H2:H13" si="1">(B2 + stillbirth*B2/(1000-stillbirth))/(1-abortion)</f>
        <v>170545.44850037826</v>
      </c>
      <c r="I2" s="17">
        <f t="shared" ref="I2:I13" si="2">G2-H2</f>
        <v>1228411.5514996217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144890</v>
      </c>
      <c r="C3" s="50">
        <v>291757</v>
      </c>
      <c r="D3" s="50">
        <v>480193.99999999994</v>
      </c>
      <c r="E3" s="50">
        <v>399241.99999999994</v>
      </c>
      <c r="F3" s="50">
        <v>260778.00000000003</v>
      </c>
      <c r="G3" s="17">
        <f t="shared" si="0"/>
        <v>1431971</v>
      </c>
      <c r="H3" s="17">
        <f t="shared" si="1"/>
        <v>169900.50902928907</v>
      </c>
      <c r="I3" s="17">
        <f t="shared" si="2"/>
        <v>1262070.490970711</v>
      </c>
    </row>
    <row r="4" spans="1:9" ht="15.75" customHeight="1" x14ac:dyDescent="0.25">
      <c r="A4" s="5">
        <f t="shared" si="3"/>
        <v>2026</v>
      </c>
      <c r="B4" s="49">
        <v>144467</v>
      </c>
      <c r="C4" s="50">
        <v>300363</v>
      </c>
      <c r="D4" s="50">
        <v>486356</v>
      </c>
      <c r="E4" s="50">
        <v>408930.5</v>
      </c>
      <c r="F4" s="50">
        <v>271228.5</v>
      </c>
      <c r="G4" s="17">
        <f t="shared" si="0"/>
        <v>1466878</v>
      </c>
      <c r="H4" s="17">
        <f t="shared" si="1"/>
        <v>169404.49194516049</v>
      </c>
      <c r="I4" s="17">
        <f t="shared" si="2"/>
        <v>1297473.5080548394</v>
      </c>
    </row>
    <row r="5" spans="1:9" ht="15.75" customHeight="1" x14ac:dyDescent="0.25">
      <c r="A5" s="5">
        <f t="shared" si="3"/>
        <v>2027</v>
      </c>
      <c r="B5" s="49">
        <v>144381</v>
      </c>
      <c r="C5" s="50">
        <v>308517</v>
      </c>
      <c r="D5" s="50">
        <v>494175.5</v>
      </c>
      <c r="E5" s="50">
        <v>416972.99999999994</v>
      </c>
      <c r="F5" s="50">
        <v>282393.5</v>
      </c>
      <c r="G5" s="17">
        <f t="shared" si="0"/>
        <v>1502059</v>
      </c>
      <c r="H5" s="17">
        <f t="shared" si="1"/>
        <v>169303.64686422658</v>
      </c>
      <c r="I5" s="17">
        <f t="shared" si="2"/>
        <v>1332755.3531357734</v>
      </c>
    </row>
    <row r="6" spans="1:9" ht="15.75" customHeight="1" x14ac:dyDescent="0.25">
      <c r="A6" s="5">
        <f t="shared" si="3"/>
        <v>2028</v>
      </c>
      <c r="B6" s="49">
        <v>144654</v>
      </c>
      <c r="C6" s="50">
        <v>315825</v>
      </c>
      <c r="D6" s="50">
        <v>503311.5</v>
      </c>
      <c r="E6" s="50">
        <v>423405.49999999994</v>
      </c>
      <c r="F6" s="50">
        <v>294200</v>
      </c>
      <c r="G6" s="17">
        <f t="shared" si="0"/>
        <v>1536742</v>
      </c>
      <c r="H6" s="17">
        <f t="shared" si="1"/>
        <v>169623.77136533082</v>
      </c>
      <c r="I6" s="17">
        <f t="shared" si="2"/>
        <v>1367118.2286346692</v>
      </c>
    </row>
    <row r="7" spans="1:9" ht="15.75" customHeight="1" x14ac:dyDescent="0.25">
      <c r="A7" s="5">
        <f t="shared" si="3"/>
        <v>2029</v>
      </c>
      <c r="B7" s="49">
        <v>145015</v>
      </c>
      <c r="C7" s="50">
        <v>322341.5</v>
      </c>
      <c r="D7" s="50">
        <v>513845</v>
      </c>
      <c r="E7" s="50">
        <v>428926.50000000006</v>
      </c>
      <c r="F7" s="50">
        <v>306646</v>
      </c>
      <c r="G7" s="17">
        <f t="shared" si="0"/>
        <v>1571759</v>
      </c>
      <c r="H7" s="17">
        <f t="shared" si="1"/>
        <v>170047.08618180934</v>
      </c>
      <c r="I7" s="17">
        <f t="shared" si="2"/>
        <v>1401711.9138181906</v>
      </c>
    </row>
    <row r="8" spans="1:9" ht="15.75" customHeight="1" x14ac:dyDescent="0.25">
      <c r="A8" s="5">
        <f t="shared" si="3"/>
        <v>2030</v>
      </c>
      <c r="B8" s="49">
        <v>145600</v>
      </c>
      <c r="C8" s="50">
        <v>328041.5</v>
      </c>
      <c r="D8" s="50">
        <v>526715.5</v>
      </c>
      <c r="E8" s="50">
        <v>433414.5</v>
      </c>
      <c r="F8" s="50">
        <v>319844.50000000006</v>
      </c>
      <c r="G8" s="17">
        <f t="shared" si="0"/>
        <v>1608016</v>
      </c>
      <c r="H8" s="17">
        <f t="shared" si="1"/>
        <v>170733.0672556042</v>
      </c>
      <c r="I8" s="17">
        <f t="shared" si="2"/>
        <v>1437282.9327443959</v>
      </c>
    </row>
    <row r="9" spans="1:9" ht="15.75" customHeight="1" x14ac:dyDescent="0.25">
      <c r="A9" s="5">
        <f t="shared" si="3"/>
        <v>2031</v>
      </c>
      <c r="B9" s="49">
        <v>146485</v>
      </c>
      <c r="C9" s="50">
        <v>333175.5</v>
      </c>
      <c r="D9" s="50">
        <v>541299</v>
      </c>
      <c r="E9" s="50">
        <v>437008.00000000006</v>
      </c>
      <c r="F9" s="50">
        <v>333621.49999999994</v>
      </c>
      <c r="G9" s="17">
        <f t="shared" si="0"/>
        <v>1645104</v>
      </c>
      <c r="H9" s="17">
        <f t="shared" si="1"/>
        <v>171770.83349544767</v>
      </c>
      <c r="I9" s="17">
        <f t="shared" si="2"/>
        <v>1473333.1665045524</v>
      </c>
    </row>
    <row r="10" spans="1:9" ht="15.75" customHeight="1" x14ac:dyDescent="0.25">
      <c r="A10" s="5">
        <f t="shared" si="3"/>
        <v>2032</v>
      </c>
      <c r="B10" s="49">
        <v>147579</v>
      </c>
      <c r="C10" s="50">
        <v>337937.5</v>
      </c>
      <c r="D10" s="50">
        <v>555775.5</v>
      </c>
      <c r="E10" s="50">
        <v>440359.00000000006</v>
      </c>
      <c r="F10" s="50">
        <v>347485.5</v>
      </c>
      <c r="G10" s="17">
        <f t="shared" si="0"/>
        <v>1681557.5</v>
      </c>
      <c r="H10" s="17">
        <f t="shared" si="1"/>
        <v>173053.67673430502</v>
      </c>
      <c r="I10" s="17">
        <f t="shared" si="2"/>
        <v>1508503.823265695</v>
      </c>
    </row>
    <row r="11" spans="1:9" ht="15.75" customHeight="1" x14ac:dyDescent="0.25">
      <c r="A11" s="5">
        <f t="shared" si="3"/>
        <v>2033</v>
      </c>
      <c r="B11" s="49">
        <v>148904</v>
      </c>
      <c r="C11" s="50">
        <v>341893.5</v>
      </c>
      <c r="D11" s="50">
        <v>570141.5</v>
      </c>
      <c r="E11" s="50">
        <v>444057.5</v>
      </c>
      <c r="F11" s="50">
        <v>360997</v>
      </c>
      <c r="G11" s="17">
        <f t="shared" si="0"/>
        <v>1717089.5</v>
      </c>
      <c r="H11" s="17">
        <f t="shared" si="1"/>
        <v>174607.39455101982</v>
      </c>
      <c r="I11" s="17">
        <f t="shared" si="2"/>
        <v>1542482.1054489801</v>
      </c>
    </row>
    <row r="12" spans="1:9" ht="15.75" customHeight="1" x14ac:dyDescent="0.25">
      <c r="A12" s="5">
        <f t="shared" si="3"/>
        <v>2034</v>
      </c>
      <c r="B12" s="49">
        <v>150469</v>
      </c>
      <c r="C12" s="50">
        <v>344432.5</v>
      </c>
      <c r="D12" s="50">
        <v>584584.49999999988</v>
      </c>
      <c r="E12" s="50">
        <v>448728.5</v>
      </c>
      <c r="F12" s="50">
        <v>373691.5</v>
      </c>
      <c r="G12" s="17">
        <f t="shared" si="0"/>
        <v>1751437</v>
      </c>
      <c r="H12" s="17">
        <f t="shared" si="1"/>
        <v>176442.54050057352</v>
      </c>
      <c r="I12" s="17">
        <f t="shared" si="2"/>
        <v>1574994.4594994264</v>
      </c>
    </row>
    <row r="13" spans="1:9" ht="15.75" customHeight="1" x14ac:dyDescent="0.25">
      <c r="A13" s="5">
        <f t="shared" si="3"/>
        <v>2035</v>
      </c>
      <c r="B13" s="49">
        <v>152051</v>
      </c>
      <c r="C13" s="50">
        <v>344959.5</v>
      </c>
      <c r="D13" s="50">
        <v>599233.5</v>
      </c>
      <c r="E13" s="50">
        <v>454865</v>
      </c>
      <c r="F13" s="50">
        <v>385305.5</v>
      </c>
      <c r="G13" s="17">
        <f t="shared" si="0"/>
        <v>1784363.5</v>
      </c>
      <c r="H13" s="17">
        <f t="shared" si="1"/>
        <v>178297.62094287001</v>
      </c>
      <c r="I13" s="17">
        <f t="shared" si="2"/>
        <v>1606065.8790571301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Rlu8xS5IZKz4eZQt/4nud+Tfo4AItGQDL4933lAQQ3MW96vjaIDRPcjOJQL0sG2n96Qnm73A9L8QjHJzbGkdA==" saltValue="ptTIjgHqt7uf6fQUc3+St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1.944252351986717E-2</v>
      </c>
    </row>
    <row r="4" spans="1:8" ht="15.75" customHeight="1" x14ac:dyDescent="0.25">
      <c r="B4" s="19" t="s">
        <v>116</v>
      </c>
      <c r="C4" s="99">
        <v>7.3235278675737148E-2</v>
      </c>
    </row>
    <row r="5" spans="1:8" ht="15.75" customHeight="1" x14ac:dyDescent="0.25">
      <c r="B5" s="19" t="s">
        <v>114</v>
      </c>
      <c r="C5" s="99">
        <v>6.0525674969561093E-2</v>
      </c>
    </row>
    <row r="6" spans="1:8" ht="15.75" customHeight="1" x14ac:dyDescent="0.25">
      <c r="B6" s="19" t="s">
        <v>110</v>
      </c>
      <c r="C6" s="99">
        <v>0.3183471214882706</v>
      </c>
    </row>
    <row r="7" spans="1:8" ht="15.75" customHeight="1" x14ac:dyDescent="0.25">
      <c r="B7" s="19" t="s">
        <v>115</v>
      </c>
      <c r="C7" s="99">
        <v>0.3406088789217484</v>
      </c>
    </row>
    <row r="8" spans="1:8" ht="15.75" customHeight="1" x14ac:dyDescent="0.25">
      <c r="B8" s="19" t="s">
        <v>117</v>
      </c>
      <c r="C8" s="99">
        <v>2.8573357234468609E-3</v>
      </c>
    </row>
    <row r="9" spans="1:8" ht="15.75" customHeight="1" x14ac:dyDescent="0.25">
      <c r="B9" s="19" t="s">
        <v>111</v>
      </c>
      <c r="C9" s="99">
        <v>9.1026223745628063E-2</v>
      </c>
    </row>
    <row r="10" spans="1:8" ht="15.75" customHeight="1" x14ac:dyDescent="0.25">
      <c r="B10" s="19" t="s">
        <v>113</v>
      </c>
      <c r="C10" s="99">
        <v>9.3956962955740589E-2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121</v>
      </c>
      <c r="C15" s="99">
        <v>0.25469599219282613</v>
      </c>
      <c r="D15" s="99">
        <v>0.25469599219282613</v>
      </c>
      <c r="E15" s="99">
        <v>0.25469599219282613</v>
      </c>
      <c r="F15" s="99">
        <v>0.25469599219282613</v>
      </c>
    </row>
    <row r="16" spans="1:8" ht="15.75" customHeight="1" x14ac:dyDescent="0.25">
      <c r="B16" s="19" t="s">
        <v>2</v>
      </c>
      <c r="C16" s="99">
        <v>4.4329835998382708E-2</v>
      </c>
      <c r="D16" s="99">
        <v>4.4329835998382708E-2</v>
      </c>
      <c r="E16" s="99">
        <v>4.4329835998382708E-2</v>
      </c>
      <c r="F16" s="99">
        <v>4.4329835998382708E-2</v>
      </c>
    </row>
    <row r="17" spans="1:8" ht="15.75" customHeight="1" x14ac:dyDescent="0.25">
      <c r="B17" s="19" t="s">
        <v>109</v>
      </c>
      <c r="C17" s="99">
        <v>1.624506748778283E-2</v>
      </c>
      <c r="D17" s="99">
        <v>1.624506748778283E-2</v>
      </c>
      <c r="E17" s="99">
        <v>1.624506748778283E-2</v>
      </c>
      <c r="F17" s="99">
        <v>1.624506748778283E-2</v>
      </c>
    </row>
    <row r="18" spans="1:8" ht="15.75" customHeight="1" x14ac:dyDescent="0.25">
      <c r="B18" s="19" t="s">
        <v>3</v>
      </c>
      <c r="C18" s="99">
        <v>1.0885857198653019E-3</v>
      </c>
      <c r="D18" s="99">
        <v>1.0885857198653019E-3</v>
      </c>
      <c r="E18" s="99">
        <v>1.0885857198653019E-3</v>
      </c>
      <c r="F18" s="99">
        <v>1.0885857198653019E-3</v>
      </c>
    </row>
    <row r="19" spans="1:8" ht="15.75" customHeight="1" x14ac:dyDescent="0.25">
      <c r="B19" s="19" t="s">
        <v>120</v>
      </c>
      <c r="C19" s="99">
        <v>5.4722176235299548E-2</v>
      </c>
      <c r="D19" s="99">
        <v>5.4722176235299548E-2</v>
      </c>
      <c r="E19" s="99">
        <v>5.4722176235299548E-2</v>
      </c>
      <c r="F19" s="99">
        <v>5.4722176235299548E-2</v>
      </c>
    </row>
    <row r="20" spans="1:8" ht="15.75" customHeight="1" x14ac:dyDescent="0.25">
      <c r="B20" s="19" t="s">
        <v>98</v>
      </c>
      <c r="C20" s="99">
        <v>5.8387503878920381E-3</v>
      </c>
      <c r="D20" s="99">
        <v>5.8387503878920381E-3</v>
      </c>
      <c r="E20" s="99">
        <v>5.8387503878920381E-3</v>
      </c>
      <c r="F20" s="99">
        <v>5.8387503878920381E-3</v>
      </c>
    </row>
    <row r="21" spans="1:8" ht="15.75" customHeight="1" x14ac:dyDescent="0.25">
      <c r="B21" s="19" t="s">
        <v>107</v>
      </c>
      <c r="C21" s="99">
        <v>0.17162996652247201</v>
      </c>
      <c r="D21" s="99">
        <v>0.17162996652247201</v>
      </c>
      <c r="E21" s="99">
        <v>0.17162996652247201</v>
      </c>
      <c r="F21" s="99">
        <v>0.17162996652247201</v>
      </c>
    </row>
    <row r="22" spans="1:8" ht="15.75" customHeight="1" x14ac:dyDescent="0.25">
      <c r="B22" s="19" t="s">
        <v>118</v>
      </c>
      <c r="C22" s="99">
        <v>0.23866009663688079</v>
      </c>
      <c r="D22" s="99">
        <v>0.23866009663688079</v>
      </c>
      <c r="E22" s="99">
        <v>0.23866009663688079</v>
      </c>
      <c r="F22" s="99">
        <v>0.23866009663688079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5.2819977999999997E-2</v>
      </c>
    </row>
    <row r="27" spans="1:8" ht="15.75" customHeight="1" x14ac:dyDescent="0.25">
      <c r="B27" s="19" t="s">
        <v>108</v>
      </c>
      <c r="C27" s="99">
        <v>7.1861679999999997E-3</v>
      </c>
    </row>
    <row r="28" spans="1:8" ht="15.75" customHeight="1" x14ac:dyDescent="0.25">
      <c r="B28" s="19" t="s">
        <v>122</v>
      </c>
      <c r="C28" s="99">
        <v>0.250016285</v>
      </c>
    </row>
    <row r="29" spans="1:8" ht="15.75" customHeight="1" x14ac:dyDescent="0.25">
      <c r="B29" s="19" t="s">
        <v>105</v>
      </c>
      <c r="C29" s="99">
        <v>9.3256678999999995E-2</v>
      </c>
    </row>
    <row r="30" spans="1:8" ht="15.75" customHeight="1" x14ac:dyDescent="0.25">
      <c r="B30" s="19" t="s">
        <v>4</v>
      </c>
      <c r="C30" s="99">
        <v>0.12997281799999999</v>
      </c>
    </row>
    <row r="31" spans="1:8" ht="15.75" customHeight="1" x14ac:dyDescent="0.25">
      <c r="B31" s="19" t="s">
        <v>99</v>
      </c>
      <c r="C31" s="99">
        <v>6.0292912999999997E-2</v>
      </c>
    </row>
    <row r="32" spans="1:8" ht="15.75" customHeight="1" x14ac:dyDescent="0.25">
      <c r="B32" s="19" t="s">
        <v>104</v>
      </c>
      <c r="C32" s="99">
        <v>6.2887368999999999E-2</v>
      </c>
    </row>
    <row r="33" spans="2:3" ht="15.75" customHeight="1" x14ac:dyDescent="0.25">
      <c r="B33" s="19" t="s">
        <v>119</v>
      </c>
      <c r="C33" s="99">
        <v>0.164273895</v>
      </c>
    </row>
    <row r="34" spans="2:3" ht="15.75" customHeight="1" x14ac:dyDescent="0.25">
      <c r="B34" s="19" t="s">
        <v>106</v>
      </c>
      <c r="C34" s="99">
        <v>0.17929389600000001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IjSFqz0CKP1DqxX4KCUf5Juqs9RnfthfcJAJ/hQAP7Uv5B0IUefxszvtsVXdKTXAtwWeRdlyB1tZyiIVengPQw==" saltValue="VnFixgcV1dnIm55rJM4PM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129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125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126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138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GeaJrPDGF3vvakwSsRpFEWxn1W8KXM1pAo8lS/nXBgS95WF7EsadBy/KFOZDDmv19tarjDvmj4RlHUybdBsBg==" saltValue="536h3agW/AwSIEbGY+XK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FnbFhDrdB6JyjlcVlknandNdDzMq4iL/O1ebp57HN7iks6wqSWF9Rsf4b88iiT3nstZjtm5k9iULdMf19a8r2Q==" saltValue="mGoLPrpwfa3DxgXGF2JrX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IWV6wdfDWIrOTSGs/Gfehf9CCIhbSRbujcJCVdIUJ9MZ2wvoYPzdlVyXTYXor1fTdkvGgHPlelDmteIJ/brLQ==" saltValue="TUqFWBklYhPlX1NPRt5S3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3789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0.44990000000000002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0.2006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1.7707414577834226E-2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98375.218500000003</v>
      </c>
      <c r="C22" s="107">
        <v>98201.370869999999</v>
      </c>
      <c r="D22" s="107">
        <v>98038.988530000002</v>
      </c>
      <c r="E22" s="107">
        <v>97865.113920000003</v>
      </c>
      <c r="F22" s="107">
        <v>97649.534109999993</v>
      </c>
      <c r="G22" s="107">
        <v>97408.891860000003</v>
      </c>
      <c r="H22" s="107">
        <v>97107.768819999998</v>
      </c>
      <c r="I22" s="107">
        <v>96710.643060000002</v>
      </c>
      <c r="J22" s="107">
        <v>96111.342900000003</v>
      </c>
      <c r="K22" s="107">
        <v>95137.663050000003</v>
      </c>
      <c r="L22" s="107">
        <v>93522.521410000001</v>
      </c>
      <c r="M22" s="107">
        <v>90922.550220000005</v>
      </c>
      <c r="N22" s="107">
        <v>86532.69412</v>
      </c>
      <c r="O22" s="107">
        <v>86532.69412</v>
      </c>
    </row>
  </sheetData>
  <sheetProtection algorithmName="SHA-512" hashValue="tgoozqxvxdE9nNxkTXy/hkHZrlcPDtYBbdLRUj4y30sF9MJFGCPCAayn5Qp0tqMdG3Ju1UIAGcDUpV2hFN6h1w==" saltValue="OxJZc1thj9lJcL2YXCFQb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OGtKs1aBhIUoGtpQxEzHkyeSOMsBriI+w2nUV13wjvHu81INqF666mTT+UF8gm2rxOzqAJ6IAY+CREsIO+t8HQ==" saltValue="gKrPWGFFUkygmfC21YmLM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EcUKaplxO/5k3HNJcpOOGqqvQZDaEirQ3NmmhlmYu9MbRrh4ePWM3a/xzRs1IyKSQ2EloAYNXB30k58tnrZFA==" saltValue="qvI+0QOeD74AUp7ZjtF5o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0.29442049999999997</v>
      </c>
      <c r="C10" s="96">
        <v>0.95</v>
      </c>
      <c r="D10" s="56">
        <v>12.84078230295372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12.84078230295372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12.84078230295372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12.84078230295372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0.29442049999999997</v>
      </c>
      <c r="C14" s="96">
        <v>0.95</v>
      </c>
      <c r="D14" s="56">
        <v>12.84078230295372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12.84078230295372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0.46563719999999997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0.46563719999999997</v>
      </c>
      <c r="C19" s="96">
        <v>0.95</v>
      </c>
      <c r="D19" s="56">
        <v>6.8217383658846993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3.5702999999999999E-2</v>
      </c>
      <c r="C23" s="96">
        <v>0.95</v>
      </c>
      <c r="D23" s="56">
        <v>4.1722144491998137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0.47122926211659999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0.29442049999999997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0.37447279999999999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0.1497243</v>
      </c>
      <c r="C29" s="96">
        <v>0.95</v>
      </c>
      <c r="D29" s="56">
        <v>96.169549000750962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0.84691320000000003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0.35662080000000002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1.1231400000000001E-2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0.25330259999999999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Fy4OscHLlpwxzyV+gB7A2Lh1WqnjKyr1MbshgYuC9EjLBjImOw3iYdv3BLoypxE7S07wkv2uaDc9xlaTeHF7iA==" saltValue="+VFlWV02eBFKseB9mOP3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scrFj7d1Kcj9cNyxS9K78B+7hc2iLJcpnkoHX++y3zt8eR77fgw6ff1CdMcjstSu4CjpnPcSazdGDEPONXvCg==" saltValue="jdebmGmxFntkfLuRojId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YoP0QibgQoWbMRCWWuDPCkZ3TvcYKUdDEFwAgVZMzyzJ+bx0spb4yES4nZJo745V8c60cdGBKsVHSdWBglw6g==" saltValue="VJfZZ3FT6AlEh/sl+K1Wl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236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S7waIJyh6zShfA5TcfHnFPjQf12r5p5fLe9IVUkLVyYqrZfkDOV7L4geDnNZmBLDIDjb/oz7Do1QrU0vD396dA==" saltValue="Fwg7FSstcE4RJgCfWEsRk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3.9E-2</v>
      </c>
      <c r="F2" s="60">
        <f>food_insecure</f>
        <v>3.9E-2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3.9E-2</v>
      </c>
      <c r="I15" s="60">
        <f t="shared" si="0"/>
        <v>3.9E-2</v>
      </c>
      <c r="J15" s="60">
        <f t="shared" si="0"/>
        <v>3.9E-2</v>
      </c>
      <c r="K15" s="60">
        <f t="shared" si="0"/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3.9E-2</v>
      </c>
      <c r="I16" s="60">
        <f t="shared" si="0"/>
        <v>3.9E-2</v>
      </c>
      <c r="J16" s="60">
        <f t="shared" si="0"/>
        <v>3.9E-2</v>
      </c>
      <c r="K16" s="60">
        <f t="shared" si="0"/>
        <v>3.9E-2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9ppwPELkewEzH3PYKNiBVG6ftA4WRrfX2Jd1A8ZchGhcE3667tEkjA3n24aRY3Pl3bPqGdy1J59b6UH889CJw==" saltValue="fLbB6Xiy+K4R7gpSgpkoh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FwEBiek2Z/KxTRBXUe5un9/e0+KzvlwCD0WT/Xi1kiKzR+I4BXCCTMck9lS9LfXlwj2QCOV6ds8zXBUGnXJ2LA==" saltValue="d3YhOl5DjU807wDoCpioj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jEcV+CQnaVE3R9Q4ccJzQTHDMTx4xfH8qlB0Zr+zaWF8H7C+K8dJlsRm9Ql+0HS4N7kH6Y2XrYhX2cV6ZHstA==" saltValue="o5vPhiN7PZwOBXdW4XuQU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CAnr3xd/NH2N4d2rmuly+YwbYz3W3/+5nTkUD+MrJbnyCIWk0gNKrccW9ZlE6XQx6cKtUBYWTLYreSpGoVQVw==" saltValue="ZDHZU5vxZMotfw2rda90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by6ns1TWgdPC68lW84NHe2owy34lH4VYJ+YuzlPXTuLUjxT1jHb5KNKg74ka3POl/kKxfbCAVpny9OeOkAKwCg==" saltValue="8vpyXrJyIyfT+X9xIZe6+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DvATSlNJ/S6QQ2/FpMJcbKh+fkqgSx0Fc1zwoJEiB5FnBXYAopDk0XWsdE7Y/Mw+QqZxmJdXVZCXWLtjBvvjLQ==" saltValue="PzEueN5xl7VZfN4AK+4d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hEPKf0OD2qHY/bkuMk1en/NlLjWOE4sTdNbMRkNnFaOX56hCfCQI1RtPhmnPokPZh3bowd6jwVBUZ35apWSHQ==" saltValue="daG4Oib5y+Wwjhl8n0Wxc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eM0DmNFuwRFp0sIQSCFSPoKWuVTvKca7c62kiZZYBxY3ezdLFkJC7LXU+ES6Nfd/smVncTyd5/QaBFCKW4Cv6A==" saltValue="L8NRpPNZOIcajwoL1uYv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N2m/ZvymlmDROO6IO5h7/M0S71OUOIat2+klxAbuZR3+GxHPnMBA6lF0gLTWicjEk96rHwCCGzahGWC5436yTA==" saltValue="Js4N9fJ2a4X+oElMRUEr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5BeDat5qlbPZwzVzSREGHlh/kYsRb5WDHYKWDGirqwUSF8CGGPp1wLrnCXeB+5x5kaYP9dOTmgu+WBybjvKGA==" saltValue="YpdwEfLanUzF3Lk/hCRY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gUMa9lF2a/STnVrRITYcQiw3VWEmd55LIajksSK5MvYh/44RXRQMCv90R1Eq1DhVU7nIAzURZpzg50cOrmpTg==" saltValue="XZ3/CU8jwmPTU73oxm4V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O4mhmIxKYBrx+VZew9/seCpCcMUwN7HCjj55s/uzxVlduh2aet+XySHXJSYwcjRY/szdbpxAQIc7WhJKsH5+w==" saltValue="E2OAfCmHp0rYI4Tw701a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OhJePfCRsnKiegZiS3+w+No0PK/x9uHgW9JB2EuQVIZGUc0/Q5mNx8yW/k8bsm34HKfHqUeVlEnJ8W8gDpfIA==" saltValue="Wwzk2JqdJmCJZ64vJOLa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XOK+YZGBfPvHxNnFzGWDgLYgomM3F1m7zv4bynxr/abQ2NIO8qRsgbVBkpahbrTP1hctSxo+D0QIoZNFsNzUg==" saltValue="HqmzZIWYzDgfCt1henfG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T1ZbZW0+39EiMslSFtCx+/sVNjBmgIZ7ZhOziplOJ35l5cmhi9x+7vzmkhibAXYKdngSS36WbaF3/TcsKkOSw==" saltValue="nqjzLOJEtiI6QjluOvbAP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2025-07-30T00:54:58Z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