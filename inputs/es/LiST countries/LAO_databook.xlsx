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B8CC114-68B8-455C-AF34-E26EF7F032C5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29" i="2" l="1"/>
  <c r="A31" i="2"/>
  <c r="A21" i="2"/>
  <c r="A23" i="2"/>
  <c r="A37" i="2"/>
  <c r="A16" i="2"/>
  <c r="A32" i="2"/>
  <c r="A17" i="2"/>
  <c r="A25" i="2"/>
  <c r="A24" i="2"/>
  <c r="A18" i="2"/>
  <c r="A26" i="2"/>
  <c r="A39" i="2"/>
  <c r="A19" i="2"/>
  <c r="A27" i="2"/>
  <c r="A35" i="2"/>
  <c r="A33" i="2"/>
  <c r="A3" i="2"/>
  <c r="A34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<sst xmlns="http://schemas.openxmlformats.org/spreadsheetml/2006/main" count="2101" uniqueCount="341">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</sst>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765421.328125</v>
      </c>
    </row>
    <row r="8" spans="1:3" ht="15" customHeight="1" x14ac:dyDescent="0.25">
      <c r="B8" s="5" t="s">
        <v>44</v>
      </c>
      <c r="C8" s="44">
        <v>9.0000000000000011E-3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0.59812629699706998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0.38700000000000001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0.12590000000000001</v>
      </c>
    </row>
    <row r="24" spans="1:3" ht="15" customHeight="1" x14ac:dyDescent="0.25">
      <c r="B24" s="15" t="s">
        <v>46</v>
      </c>
      <c r="C24" s="45">
        <v>0.54390000000000005</v>
      </c>
    </row>
    <row r="25" spans="1:3" ht="15" customHeight="1" x14ac:dyDescent="0.25">
      <c r="B25" s="15" t="s">
        <v>47</v>
      </c>
      <c r="C25" s="45">
        <v>0.28079999999999999</v>
      </c>
    </row>
    <row r="26" spans="1:3" ht="15" customHeight="1" x14ac:dyDescent="0.25">
      <c r="B26" s="15" t="s">
        <v>48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0.33982819653213803</v>
      </c>
    </row>
    <row r="30" spans="1:3" ht="14.25" customHeight="1" x14ac:dyDescent="0.25">
      <c r="B30" s="25" t="s">
        <v>63</v>
      </c>
      <c r="C30" s="99">
        <v>6.2561187920877309E-2</v>
      </c>
    </row>
    <row r="31" spans="1:3" ht="14.25" customHeight="1" x14ac:dyDescent="0.25">
      <c r="B31" s="25" t="s">
        <v>10</v>
      </c>
      <c r="C31" s="99">
        <v>0.10830365564404</v>
      </c>
    </row>
    <row r="32" spans="1:3" ht="14.25" customHeight="1" x14ac:dyDescent="0.25">
      <c r="B32" s="25" t="s">
        <v>11</v>
      </c>
      <c r="C32" s="99">
        <v>0.48930695990294498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11.92366</v>
      </c>
    </row>
    <row r="38" spans="1:5" ht="15" customHeight="1" x14ac:dyDescent="0.25">
      <c r="B38" s="11" t="s">
        <v>35</v>
      </c>
      <c r="C38" s="43">
        <v>15.550739999999999</v>
      </c>
      <c r="D38" s="12"/>
      <c r="E38" s="13"/>
    </row>
    <row r="39" spans="1:5" ht="15" customHeight="1" x14ac:dyDescent="0.25">
      <c r="B39" s="11" t="s">
        <v>61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5.9365999999999993E-3</v>
      </c>
      <c r="D45" s="12"/>
    </row>
    <row r="46" spans="1:5" ht="15.75" customHeight="1" x14ac:dyDescent="0.25">
      <c r="B46" s="11" t="s">
        <v>51</v>
      </c>
      <c r="C46" s="45">
        <v>6.3787999999999997E-2</v>
      </c>
      <c r="D46" s="12"/>
    </row>
    <row r="47" spans="1:5" ht="15.75" customHeight="1" x14ac:dyDescent="0.25">
      <c r="B47" s="11" t="s">
        <v>59</v>
      </c>
      <c r="C47" s="45">
        <v>7.5355800000000001E-2</v>
      </c>
      <c r="D47" s="12"/>
      <c r="E47" s="13"/>
    </row>
    <row r="48" spans="1:5" ht="15" customHeight="1" x14ac:dyDescent="0.25">
      <c r="B48" s="11" t="s">
        <v>58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0.58899100000000004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0.17313998999999899</v>
      </c>
    </row>
    <row r="63" spans="1:4" ht="15.75" customHeight="1" x14ac:dyDescent="0.3">
      <c r="A63" s="4"/>
    </row>
  </sheetData>
  <sheetProtection algorithmName="SHA-512" hashValue="91NSPzh9jRiT3uLiPBAfVYG2wt91R570zNJBCTn5Yi1clP7PXrb6mL40BHp2jJG9KwkgfYPMJSDP5OvlHPufGw==" saltValue="Pt3ShcZ8bbnzvzFY8hnK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ViRQzbyWBwgTAAtP6SAvOyJxQgu5DIw17I5EJzGdZgtznGfwHftasjMYQ/glJE70dgPxMmErnsKrsYZISJkuQ==" saltValue="g3iR4v67AdAfezQpkkks3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1.5407999999999991E-3</v>
      </c>
    </row>
    <row r="4" spans="1:8" ht="15.75" customHeight="1" x14ac:dyDescent="0.25">
      <c r="B4" s="19" t="s">
        <v>97</v>
      </c>
      <c r="C4" s="101">
        <v>5.5218899999999987E-2</v>
      </c>
    </row>
    <row r="5" spans="1:8" ht="15.75" customHeight="1" x14ac:dyDescent="0.25">
      <c r="B5" s="19" t="s">
        <v>95</v>
      </c>
      <c r="C5" s="101">
        <v>4.9336599999999987E-2</v>
      </c>
    </row>
    <row r="6" spans="1:8" ht="15.75" customHeight="1" x14ac:dyDescent="0.25">
      <c r="B6" s="19" t="s">
        <v>91</v>
      </c>
      <c r="C6" s="101">
        <v>0.19651040000000031</v>
      </c>
    </row>
    <row r="7" spans="1:8" ht="15.75" customHeight="1" x14ac:dyDescent="0.25">
      <c r="B7" s="19" t="s">
        <v>96</v>
      </c>
      <c r="C7" s="101">
        <v>0.41559819999999958</v>
      </c>
    </row>
    <row r="8" spans="1:8" ht="15.75" customHeight="1" x14ac:dyDescent="0.25">
      <c r="B8" s="19" t="s">
        <v>98</v>
      </c>
      <c r="C8" s="101">
        <v>1.9750000000000041E-4</v>
      </c>
    </row>
    <row r="9" spans="1:8" ht="15.75" customHeight="1" x14ac:dyDescent="0.25">
      <c r="B9" s="19" t="s">
        <v>92</v>
      </c>
      <c r="C9" s="101">
        <v>0.19013440000000001</v>
      </c>
    </row>
    <row r="10" spans="1:8" ht="15.75" customHeight="1" x14ac:dyDescent="0.25">
      <c r="B10" s="19" t="s">
        <v>94</v>
      </c>
      <c r="C10" s="101">
        <v>9.1463199999999953E-2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102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2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90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79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99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8.6989028999999995E-2</v>
      </c>
    </row>
    <row r="27" spans="1:8" ht="15.75" customHeight="1" x14ac:dyDescent="0.25">
      <c r="B27" s="19" t="s">
        <v>89</v>
      </c>
      <c r="C27" s="101">
        <v>5.4674084999999983E-2</v>
      </c>
    </row>
    <row r="28" spans="1:8" ht="15.75" customHeight="1" x14ac:dyDescent="0.25">
      <c r="B28" s="19" t="s">
        <v>103</v>
      </c>
      <c r="C28" s="101">
        <v>7.8007822000000004E-2</v>
      </c>
    </row>
    <row r="29" spans="1:8" ht="15.75" customHeight="1" x14ac:dyDescent="0.25">
      <c r="B29" s="19" t="s">
        <v>86</v>
      </c>
      <c r="C29" s="101">
        <v>0.25304623700000001</v>
      </c>
    </row>
    <row r="30" spans="1:8" ht="15.75" customHeight="1" x14ac:dyDescent="0.25">
      <c r="B30" s="19" t="s">
        <v>4</v>
      </c>
      <c r="C30" s="101">
        <v>6.4168437999999994E-2</v>
      </c>
    </row>
    <row r="31" spans="1:8" ht="15.75" customHeight="1" x14ac:dyDescent="0.25">
      <c r="B31" s="19" t="s">
        <v>80</v>
      </c>
      <c r="C31" s="101">
        <v>3.8459681000000003E-2</v>
      </c>
    </row>
    <row r="32" spans="1:8" ht="15.75" customHeight="1" x14ac:dyDescent="0.25">
      <c r="B32" s="19" t="s">
        <v>85</v>
      </c>
      <c r="C32" s="101">
        <v>7.8795084000000001E-2</v>
      </c>
    </row>
    <row r="33" spans="2:3" ht="15.75" customHeight="1" x14ac:dyDescent="0.25">
      <c r="B33" s="19" t="s">
        <v>100</v>
      </c>
      <c r="C33" s="101">
        <v>6.8855599000000017E-2</v>
      </c>
    </row>
    <row r="34" spans="2:3" ht="15.75" customHeight="1" x14ac:dyDescent="0.25">
      <c r="B34" s="19" t="s">
        <v>87</v>
      </c>
      <c r="C34" s="101">
        <v>0.27700402600000001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yodX9MnPZzM3QTMgfNgMf311dT7BvHy164LxussvM0aaoIN0dYDwfjHLRkblZt5ccm1lE0CeE//umPinSd0PIg==" saltValue="SSzg3h5s3EaEPKQYW+Co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110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106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107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119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etw39n6nEYFRTJN0Nkr3SVoDo+zTpMQ9Yf/sEtiBdoyrcEyIgx51mLA7WFIQVnMtQ4Ol6EVnUnfN9OpVaAV8Q==" saltValue="6Rpxifg0YRO1+7iP4wJp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125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A7vC1CEpPfeOnh32WC8VaS61DVsaFsG5ecB0hVIsgHIIf+j5hY1jdWkgZQrgiWlRY7Uq69XCc8Ad43q51JQvzw==" saltValue="nCu/DyhbHXEI4RD3WzH7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5xbuP5TAMWIlUKLhy217ZA/LSZqIvX+++Dn+MYGZemvcwERDkfvrRzTqRO2kFcq+L+cyRx33ED1UzumjkXK+Q==" saltValue="huai9FUDrLIIuQP21THjT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wg33TOa0Mt8vLk+TQRDvrvLIO+Lal367eNgPy4/StRpQGYIpe+yigVFcxaqjMCCpY0QO7kvMHfwSROJx46yiFQ==" saltValue="5O4mXCikihuRpwZ5uOm4W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4uiLlBHzUfo+JABeC8Uy3mJyRwG613k00PqrDqfeSsJGU+G18hIUhsp+Cc4UiCyS4Lm3uqlp9A6gguC0mbPQLA==" saltValue="lCwnEPO8Fqgv48dGrBx/w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p65wuxe5qOBm0AdrZNG7gZ0lRypWmc0t/QYoK3PEuH0ckUmHLNmS1omPm3pGUB4T1vXMRAX/Q/QyOfg0fq1jMg==" saltValue="fu9AgrTXCHRPu9bxzSfh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70.346306973761287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3.110690637764288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0.73934083451614718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1.899427422400078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0.76169932167312793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2.3195500000000001E-2</v>
      </c>
      <c r="C10" s="98">
        <v>0.95</v>
      </c>
      <c r="D10" s="56">
        <v>13.73182685574543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13.73182685574543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13.73182685574543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13.73182685574543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2.3195500000000001E-2</v>
      </c>
      <c r="C14" s="98">
        <v>0.95</v>
      </c>
      <c r="D14" s="56">
        <v>13.73182685574543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13.73182685574543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0.41442689999999999</v>
      </c>
      <c r="C18" s="98">
        <v>0.95</v>
      </c>
      <c r="D18" s="56">
        <v>3.110690637764288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0.41442689999999999</v>
      </c>
      <c r="C19" s="98">
        <v>0.95</v>
      </c>
      <c r="D19" s="56">
        <v>3.110690637764288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23.53711431198905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4.58111376863544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0.71204221746141994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2.3195500000000001E-2</v>
      </c>
      <c r="C26" s="98">
        <v>0.95</v>
      </c>
      <c r="D26" s="56">
        <v>13.467741075377949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13.765699948727031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0.36409789999999997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0.59765410000000008</v>
      </c>
      <c r="C29" s="98">
        <v>0.95</v>
      </c>
      <c r="D29" s="56">
        <v>33.321934882307978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56.731369485662889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0.97</v>
      </c>
      <c r="C32" s="98">
        <v>0.95</v>
      </c>
      <c r="D32" s="56">
        <v>3.1633023129352069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0.61718569999999995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7.1143999999999999E-2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0.93661349999999999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0.21817230000000001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2.717384924943516</v>
      </c>
      <c r="E39" s="56" t="s">
        <v>183</v>
      </c>
      <c r="F39" s="98">
        <v>1</v>
      </c>
      <c r="G39" s="98">
        <v>1</v>
      </c>
    </row>
  </sheetData>
  <sheetProtection algorithmName="SHA-512" hashValue="r4MQRurKxMwKttAyyeVfq5JqB1abswcBU53pqQNIesyD2O2Wv6KTS9SHVuDmxp2fm//yaKYHEDt4upC7Nf79pg==" saltValue="pa7T57fnEUCLdWCjniia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q0OVIF4UhShwHnYkAAO/QfL15Ej4ZAN0zAZrnlgD2vg9TBbjdqevtWN377ng5LRqNAEywMbGsDjHX0Cz4w7qLw==" saltValue="fNzJQcGgiRbMf40Us5h7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99Qll2iX//XWqzObs5uERlF3wVqgjbsLGDlrXfDp0BmBXVfFVZ6qEZuV26u7w0IYMlVitbkkQGh2CW4zIR57ig==" saltValue="zB6JBzgN94DhkEWc1gGv4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207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Eq5B8lVmAKGX4SzcVnVMigrnz7LwZW0+jxMTBH+Q/m3FKvRFll5/xN5C47VvqDulm+vudcKYa+6TRvG1bebU1w==" saltValue="sZ0PRbt0pg5IvC1mOa4f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0.38700000000000001</v>
      </c>
      <c r="M24" s="60">
        <f>famplan_unmet_need</f>
        <v>0.38700000000000001</v>
      </c>
      <c r="N24" s="60">
        <f>famplan_unmet_need</f>
        <v>0.38700000000000001</v>
      </c>
      <c r="O24" s="60">
        <f>famplan_unmet_need</f>
        <v>0.38700000000000001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0.19767765577011123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8.4718995330047675E-2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0.11947705190277109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0.59812629699706998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2k9mT3O0E2KjRS0RT+z/RmgpLSvrsYd9sZkGq8yopSUqzesvIftVhS8f8Ed9147uXLF6FOhOoP5LiiJTf8wQA==" saltValue="CfxDnA7HUNvBwdyUKNkW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eberIA/CTykDO3fX0IOKyn/pc6U6Ac6Jxg86dWsSU8YBcA0tdF5t7IRgO3b3tBDROIVyEQ0qke+BqBhrFlEu2Q==" saltValue="WE5ifLTyztoisEhofVGO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JEc+I5b1G4Uq1jZfLHVT5Kbd/9fR0sGgENrf9AA5HX5VU6P2lM1a59jzEJxkMcM5ACsGcBDL1cT9aSEwBdl8Q==" saltValue="m4yxkwrsx29JUsSFtYS7/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S7hUtnUOIL9CI3i2RiHyQm/djg+FGexYKATcPpOYinedCyaNDl3lqp/L4ik3D6iMS5HvEZBRZraobLkSLm2yA==" saltValue="Pz7p3VOiyNpek7MsfdkB+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6aeaRHF3HPoNzgF6ASHAfT42iyHIsD/Bm8g+nFYNQkqHWOW9RVKHv5dgJYrTBrF90G3KmtE/LsATS0rWA67DA==" saltValue="LkquEzGNg+ccdvI5xjRO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NqqT96nB+/Sg7ESPp5vhVgo4rvDnQI+bKcnzaK5dwGRCxD3zZMMTGl5GLRsEEyA25DEv9UropgZc42QnQDhGg==" saltValue="ljDFBK7Nvx2e6vh3OQx3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jYv953Yh3eUQKIMpdBiqXmlRcLEwuhzarNyWhfWv9FuLZrCJJd+zLXXcCdsQCERNlFx0zWXay7VLWSNn5yZAQ==" saltValue="aQ4CGU2V+JxU51pbLWn7+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LM7+M6UYn3Rr4gKAYtk3qvcTt3VHbh0vM5UHfV/eRaU6HGXhUs06YN7FUS1KmeYMGELwGgy+8ncpyUcSM9Q2g==" saltValue="2Jo1Hj0kvjAZbrVPGycu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dGoLHi+YCw2RbCIq8AQ8k0ZgquMVRtH4FtWqxZq1pV9AVEKduJvb8QSloHE5fs/flqqM56F1jIsENmWBHUAsQ==" saltValue="8YxYGPzDWMmorl0L9I+G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YFKvdfJEh+3dkeV/4Ly5MQrARbVG5QeGR2/uT4IDYpoY/vwmuUaitQUpSu7RPgaBV84uWD/nUsnFHwJ4HemJA==" saltValue="BKqlEOG9iKMpjIzmokYb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RVDOg/40TIxdFSJUwrcZYsS1sDa/4AjDqZ2+BbmPHGHMzATWV4npCP7GtShRS4IxFUIT3tP/2P0XVWsxrFTOA==" saltValue="VMt+5yZP/M8CLRZP87Fb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3pE/rf0l1ceJ23nnkkuVFZqfeJpwv4UVtZuFVqfpN31syWfxDssCFMufDs5xdVgrXxGmdBtAPsSrwtIKPQVvA==" saltValue="Llizy5qnvWJDTeTH6a7z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TZ3/nv6L06Qhlu9IDpmN0Ecs6zAMHYNtX2mNgvNwNQ96b6BBrgmdgX1BkE5txJgm34YCZKgJQCVijClBkm7WA==" saltValue="lNjJZWOQ2Mm7a+yK7K7a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0.10910165463536647</v>
      </c>
      <c r="G18" s="90">
        <f>MIN(MAX(1-0.89/(1-frac_sam_12_23months+(frac_sam_12_23months*0.89)),0),1)</f>
        <v>0.10908718498433989</v>
      </c>
      <c r="H18" s="90">
        <f>MIN(MAX(1-0.89/(1-frac_sam_24_59months+(frac_sam_24_59months*0.89)),0),1)</f>
        <v>0.10959478370930786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0.10795911839984551</v>
      </c>
      <c r="G20" s="90">
        <f>MIN(MAX(1-0.89/(1-frac_mam_12_23months+(frac_mam_12_23months*0.89)),0),1)</f>
        <v>0.10894820335028643</v>
      </c>
      <c r="H20" s="90">
        <f>MIN(MAX(1-0.89/(1-frac_mam_24_59months+(frac_mam_24_59months*0.89)),0),1)</f>
        <v>0.1090771099056862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9.909239370063827E-3</v>
      </c>
      <c r="G73" s="90">
        <f>MIN(MAX(1-0.99/(1-frac_sam_12_23months+(frac_sam_12_23months*0.99)),0),1)</f>
        <v>9.9077788501531483E-3</v>
      </c>
      <c r="H73" s="90">
        <f>MIN(MAX(1-0.99/(1-frac_sam_24_59months+(frac_sam_24_59months*0.99)),0),1)</f>
        <v>9.9590400254039313E-3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9.7940480542607622E-3</v>
      </c>
      <c r="G75" s="90">
        <f>MIN(MAX(1-0.99/(1-frac_mam_12_23months+(frac_mam_12_23months*0.99)),0),1)</f>
        <v>9.8937526887072913E-3</v>
      </c>
      <c r="H75" s="90">
        <f>MIN(MAX(1-0.99/(1-frac_mam_24_59months+(frac_mam_24_59months*0.99)),0),1)</f>
        <v>9.9067619296777654E-3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0.19853060203515915</v>
      </c>
      <c r="G128" s="90">
        <f>MIN(MAX(1-0.8/(1-frac_sam_12_23months+(frac_sam_12_23months*0.8)),0),1)</f>
        <v>0.19850691456099734</v>
      </c>
      <c r="H128" s="90">
        <f>MIN(MAX(1-0.8/(1-frac_sam_24_59months+(frac_sam_24_59months*0.8)),0),1)</f>
        <v>0.1993374998208518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0.19665827515984446</v>
      </c>
      <c r="G130" s="90">
        <f>MIN(MAX(1-0.8/(1-frac_mam_12_23months+(frac_mam_12_23months*0.8)),0),1)</f>
        <v>0.19827936320372053</v>
      </c>
      <c r="H130" s="90">
        <f>MIN(MAX(1-0.8/(1-frac_mam_24_59months+(frac_mam_24_59months*0.8)),0),1)</f>
        <v>0.19849042082839663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5FWTRoQ59rtUfwSC0ipTTHQ8JIwzXpieBPk6N0QDqzGlfA3FcxxkTGN12JPTw2VDckh9jZVlGp+sehneKqb/Q==" saltValue="5RHwS+j4n3sLFjy74lzx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8EwtI7W0jhumr3bacyW57XeNmN2OzxfCTp6gCJY7T/wkSZKnWjv6HKE9r+sRTai53237uR0oJGshVIm637yzg==" saltValue="fjbKarp3YenDt2b2mzHcV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2024-08-06T07:50:21Z</dcterms:modified>
</cp:coreProperties>
</file>