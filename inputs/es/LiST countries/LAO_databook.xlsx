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AADB7534-5B0B-4CCF-993C-03BE22B7C17F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F116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7" i="2"/>
  <c r="A34" i="2"/>
  <c r="A31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I7" i="2" l="1"/>
  <c r="A40" i="2"/>
  <c r="A24" i="2"/>
  <c r="A25" i="2"/>
  <c r="A26" i="2"/>
  <c r="I6" i="2"/>
  <c r="I12" i="2"/>
  <c r="A35" i="2"/>
  <c r="A36" i="2"/>
  <c r="I13" i="2"/>
  <c r="A19" i="2"/>
  <c r="A22" i="2"/>
  <c r="I38" i="2"/>
  <c r="I3" i="2"/>
  <c r="I9" i="2"/>
  <c r="A23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<sst xmlns="http://schemas.openxmlformats.org/spreadsheetml/2006/main" count="2169" uniqueCount="373">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</sst>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787658</v>
      </c>
    </row>
    <row r="8" spans="1:3" ht="15" customHeight="1" x14ac:dyDescent="0.25">
      <c r="B8" s="5" t="s">
        <v>63</v>
      </c>
      <c r="C8" s="44">
        <v>0.183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0.5935568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0.1330297503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0.12590000000000001</v>
      </c>
    </row>
    <row r="24" spans="1:3" ht="15" customHeight="1" x14ac:dyDescent="0.25">
      <c r="B24" s="15" t="s">
        <v>65</v>
      </c>
      <c r="C24" s="45">
        <v>0.54390000000000005</v>
      </c>
    </row>
    <row r="25" spans="1:3" ht="15" customHeight="1" x14ac:dyDescent="0.25">
      <c r="B25" s="15" t="s">
        <v>66</v>
      </c>
      <c r="C25" s="45">
        <v>0.28079999999999999</v>
      </c>
    </row>
    <row r="26" spans="1:3" ht="15" customHeight="1" x14ac:dyDescent="0.25">
      <c r="B26" s="15" t="s">
        <v>67</v>
      </c>
      <c r="C26" s="45">
        <v>4.9400000000000013E-2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0.33982819653213803</v>
      </c>
    </row>
    <row r="30" spans="1:3" ht="14.25" customHeight="1" x14ac:dyDescent="0.25">
      <c r="B30" s="25" t="s">
        <v>82</v>
      </c>
      <c r="C30" s="97">
        <v>6.2561187920877309E-2</v>
      </c>
    </row>
    <row r="31" spans="1:3" ht="14.25" customHeight="1" x14ac:dyDescent="0.25">
      <c r="B31" s="25" t="s">
        <v>29</v>
      </c>
      <c r="C31" s="97">
        <v>0.10830365564404</v>
      </c>
    </row>
    <row r="32" spans="1:3" ht="14.25" customHeight="1" x14ac:dyDescent="0.25">
      <c r="B32" s="25" t="s">
        <v>30</v>
      </c>
      <c r="C32" s="97">
        <v>0.48930695990294498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11.92366</v>
      </c>
    </row>
    <row r="38" spans="1:5" ht="15" customHeight="1" x14ac:dyDescent="0.25">
      <c r="B38" s="11" t="s">
        <v>54</v>
      </c>
      <c r="C38" s="43">
        <v>15.550739999999999</v>
      </c>
      <c r="D38" s="12"/>
      <c r="E38" s="13"/>
    </row>
    <row r="39" spans="1:5" ht="15" customHeight="1" x14ac:dyDescent="0.25">
      <c r="B39" s="11" t="s">
        <v>80</v>
      </c>
      <c r="C39" s="43">
        <v>17.399979999999999</v>
      </c>
      <c r="D39" s="12"/>
      <c r="E39" s="12"/>
    </row>
    <row r="40" spans="1:5" ht="15" customHeight="1" x14ac:dyDescent="0.25">
      <c r="B40" s="11" t="s">
        <v>55</v>
      </c>
      <c r="C40" s="98">
        <v>0.5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5.9365999999999993E-3</v>
      </c>
      <c r="D45" s="12"/>
    </row>
    <row r="46" spans="1:5" ht="15.75" customHeight="1" x14ac:dyDescent="0.25">
      <c r="B46" s="11" t="s">
        <v>70</v>
      </c>
      <c r="C46" s="45">
        <v>6.3787999999999997E-2</v>
      </c>
      <c r="D46" s="12"/>
    </row>
    <row r="47" spans="1:5" ht="15.75" customHeight="1" x14ac:dyDescent="0.25">
      <c r="B47" s="11" t="s">
        <v>78</v>
      </c>
      <c r="C47" s="45">
        <v>7.5355800000000001E-2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0.58899100000000004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0.16732315780000001</v>
      </c>
    </row>
    <row r="63" spans="1:4" ht="15.75" customHeight="1" x14ac:dyDescent="0.3">
      <c r="A63" s="4"/>
    </row>
  </sheetData>
  <sheetProtection algorithmName="SHA-512" hashValue="5VxwD29piVVpPE2LEnl/1fu7mm2C8PSk8uERUqs7oTG2VEsDIfHpTuyG620d2jgNoqzA8Ea6xC/vDsThPDOtyw==" saltValue="lwcmoEl3gNkbqIVd8TvM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159480</v>
      </c>
      <c r="C2" s="49">
        <v>436563.5</v>
      </c>
      <c r="D2" s="49">
        <v>691655.5</v>
      </c>
      <c r="E2" s="49">
        <v>606398</v>
      </c>
      <c r="F2" s="49">
        <v>379353.5</v>
      </c>
      <c r="G2" s="17">
        <f t="shared" ref="G2:G13" si="0">C2+D2+E2+F2</f>
        <v>2113970.5</v>
      </c>
      <c r="H2" s="17">
        <f t="shared" ref="H2:H13" si="1">(B2 + stillbirth*B2/(1000-stillbirth))/(1-abortion)</f>
        <v>182397.06903363721</v>
      </c>
      <c r="I2" s="17">
        <f t="shared" ref="I2:I13" si="2">G2-H2</f>
        <v>1931573.4309663628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158759</v>
      </c>
      <c r="C3" s="50">
        <v>438436.5</v>
      </c>
      <c r="D3" s="50">
        <v>693107.5</v>
      </c>
      <c r="E3" s="50">
        <v>617312</v>
      </c>
      <c r="F3" s="50">
        <v>392883</v>
      </c>
      <c r="G3" s="17">
        <f t="shared" si="0"/>
        <v>2141739</v>
      </c>
      <c r="H3" s="17">
        <f t="shared" si="1"/>
        <v>181572.46226932036</v>
      </c>
      <c r="I3" s="17">
        <f t="shared" si="2"/>
        <v>1960166.5377306796</v>
      </c>
    </row>
    <row r="4" spans="1:9" ht="15.75" customHeight="1" x14ac:dyDescent="0.25">
      <c r="A4" s="5">
        <f t="shared" si="3"/>
        <v>2026</v>
      </c>
      <c r="B4" s="49">
        <v>157668</v>
      </c>
      <c r="C4" s="50">
        <v>439025.99999999988</v>
      </c>
      <c r="D4" s="50">
        <v>695243.5</v>
      </c>
      <c r="E4" s="50">
        <v>627082.5</v>
      </c>
      <c r="F4" s="50">
        <v>407093.5</v>
      </c>
      <c r="G4" s="17">
        <f t="shared" si="0"/>
        <v>2168445.5</v>
      </c>
      <c r="H4" s="17">
        <f t="shared" si="1"/>
        <v>180324.68698517376</v>
      </c>
      <c r="I4" s="17">
        <f t="shared" si="2"/>
        <v>1988120.8130148263</v>
      </c>
    </row>
    <row r="5" spans="1:9" ht="15.75" customHeight="1" x14ac:dyDescent="0.25">
      <c r="A5" s="5">
        <f t="shared" si="3"/>
        <v>2027</v>
      </c>
      <c r="B5" s="49">
        <v>156472</v>
      </c>
      <c r="C5" s="50">
        <v>439013</v>
      </c>
      <c r="D5" s="50">
        <v>697990.5</v>
      </c>
      <c r="E5" s="50">
        <v>635388</v>
      </c>
      <c r="F5" s="50">
        <v>421973.5</v>
      </c>
      <c r="G5" s="17">
        <f t="shared" si="0"/>
        <v>2194365</v>
      </c>
      <c r="H5" s="17">
        <f t="shared" si="1"/>
        <v>178956.82333729172</v>
      </c>
      <c r="I5" s="17">
        <f t="shared" si="2"/>
        <v>2015408.1766627082</v>
      </c>
    </row>
    <row r="6" spans="1:9" ht="15.75" customHeight="1" x14ac:dyDescent="0.25">
      <c r="A6" s="5">
        <f t="shared" si="3"/>
        <v>2028</v>
      </c>
      <c r="B6" s="49">
        <v>155336</v>
      </c>
      <c r="C6" s="50">
        <v>439325.50000000012</v>
      </c>
      <c r="D6" s="50">
        <v>700412</v>
      </c>
      <c r="E6" s="50">
        <v>642588</v>
      </c>
      <c r="F6" s="50">
        <v>437462</v>
      </c>
      <c r="G6" s="17">
        <f t="shared" si="0"/>
        <v>2219787.5</v>
      </c>
      <c r="H6" s="17">
        <f t="shared" si="1"/>
        <v>177657.58161154418</v>
      </c>
      <c r="I6" s="17">
        <f t="shared" si="2"/>
        <v>2042129.9183884559</v>
      </c>
    </row>
    <row r="7" spans="1:9" ht="15.75" customHeight="1" x14ac:dyDescent="0.25">
      <c r="A7" s="5">
        <f t="shared" si="3"/>
        <v>2029</v>
      </c>
      <c r="B7" s="49">
        <v>154182</v>
      </c>
      <c r="C7" s="50">
        <v>440978</v>
      </c>
      <c r="D7" s="50">
        <v>701834</v>
      </c>
      <c r="E7" s="50">
        <v>649376</v>
      </c>
      <c r="F7" s="50">
        <v>453319.5</v>
      </c>
      <c r="G7" s="17">
        <f t="shared" si="0"/>
        <v>2245507.5</v>
      </c>
      <c r="H7" s="17">
        <f t="shared" si="1"/>
        <v>176337.75330915631</v>
      </c>
      <c r="I7" s="17">
        <f t="shared" si="2"/>
        <v>2069169.7466908437</v>
      </c>
    </row>
    <row r="8" spans="1:9" ht="15.75" customHeight="1" x14ac:dyDescent="0.25">
      <c r="A8" s="5">
        <f t="shared" si="3"/>
        <v>2030</v>
      </c>
      <c r="B8" s="49">
        <v>152707</v>
      </c>
      <c r="C8" s="50">
        <v>443932.5</v>
      </c>
      <c r="D8" s="50">
        <v>702359</v>
      </c>
      <c r="E8" s="50">
        <v>655887</v>
      </c>
      <c r="F8" s="50">
        <v>469002.5</v>
      </c>
      <c r="G8" s="17">
        <f t="shared" si="0"/>
        <v>2271181</v>
      </c>
      <c r="H8" s="17">
        <f t="shared" si="1"/>
        <v>174650.7977233486</v>
      </c>
      <c r="I8" s="17">
        <f t="shared" si="2"/>
        <v>2096530.2022766513</v>
      </c>
    </row>
    <row r="9" spans="1:9" ht="15.75" customHeight="1" x14ac:dyDescent="0.25">
      <c r="A9" s="5">
        <f t="shared" si="3"/>
        <v>2031</v>
      </c>
      <c r="B9" s="49">
        <v>151402</v>
      </c>
      <c r="C9" s="50">
        <v>447240</v>
      </c>
      <c r="D9" s="50">
        <v>702848.5</v>
      </c>
      <c r="E9" s="50">
        <v>661395.5</v>
      </c>
      <c r="F9" s="50">
        <v>483994.5</v>
      </c>
      <c r="G9" s="17">
        <f t="shared" si="0"/>
        <v>2295478.5</v>
      </c>
      <c r="H9" s="17">
        <f t="shared" si="1"/>
        <v>173158.27091692211</v>
      </c>
      <c r="I9" s="17">
        <f t="shared" si="2"/>
        <v>2122320.229083078</v>
      </c>
    </row>
    <row r="10" spans="1:9" ht="15.75" customHeight="1" x14ac:dyDescent="0.25">
      <c r="A10" s="5">
        <f t="shared" si="3"/>
        <v>2032</v>
      </c>
      <c r="B10" s="49">
        <v>150873</v>
      </c>
      <c r="C10" s="50">
        <v>450398</v>
      </c>
      <c r="D10" s="50">
        <v>704542.5</v>
      </c>
      <c r="E10" s="50">
        <v>664916</v>
      </c>
      <c r="F10" s="50">
        <v>498051</v>
      </c>
      <c r="G10" s="17">
        <f t="shared" si="0"/>
        <v>2317907.5</v>
      </c>
      <c r="H10" s="17">
        <f t="shared" si="1"/>
        <v>172553.25430343582</v>
      </c>
      <c r="I10" s="17">
        <f t="shared" si="2"/>
        <v>2145354.2456965642</v>
      </c>
    </row>
    <row r="11" spans="1:9" ht="15.75" customHeight="1" x14ac:dyDescent="0.25">
      <c r="A11" s="5">
        <f t="shared" si="3"/>
        <v>2033</v>
      </c>
      <c r="B11" s="49">
        <v>149785</v>
      </c>
      <c r="C11" s="50">
        <v>453062.5</v>
      </c>
      <c r="D11" s="50">
        <v>707526.5</v>
      </c>
      <c r="E11" s="50">
        <v>666809</v>
      </c>
      <c r="F11" s="50">
        <v>511055.5</v>
      </c>
      <c r="G11" s="17">
        <f t="shared" si="0"/>
        <v>2338453.5</v>
      </c>
      <c r="H11" s="17">
        <f t="shared" si="1"/>
        <v>171308.91011539596</v>
      </c>
      <c r="I11" s="17">
        <f t="shared" si="2"/>
        <v>2167144.5898846039</v>
      </c>
    </row>
    <row r="12" spans="1:9" ht="15.75" customHeight="1" x14ac:dyDescent="0.25">
      <c r="A12" s="5">
        <f t="shared" si="3"/>
        <v>2034</v>
      </c>
      <c r="B12" s="49">
        <v>149287</v>
      </c>
      <c r="C12" s="50">
        <v>455132.49999999988</v>
      </c>
      <c r="D12" s="50">
        <v>711119</v>
      </c>
      <c r="E12" s="50">
        <v>668258.5</v>
      </c>
      <c r="F12" s="50">
        <v>522850.5</v>
      </c>
      <c r="G12" s="17">
        <f t="shared" si="0"/>
        <v>2357360.5</v>
      </c>
      <c r="H12" s="17">
        <f t="shared" si="1"/>
        <v>170739.3481616792</v>
      </c>
      <c r="I12" s="17">
        <f t="shared" si="2"/>
        <v>2186621.1518383208</v>
      </c>
    </row>
    <row r="13" spans="1:9" ht="15.75" customHeight="1" x14ac:dyDescent="0.25">
      <c r="A13" s="5">
        <f t="shared" si="3"/>
        <v>2035</v>
      </c>
      <c r="B13" s="49">
        <v>148782</v>
      </c>
      <c r="C13" s="50">
        <v>455799.00000000012</v>
      </c>
      <c r="D13" s="50">
        <v>715207.5</v>
      </c>
      <c r="E13" s="50">
        <v>669954</v>
      </c>
      <c r="F13" s="50">
        <v>533250.5</v>
      </c>
      <c r="G13" s="17">
        <f t="shared" si="0"/>
        <v>2374211</v>
      </c>
      <c r="H13" s="17">
        <f t="shared" si="1"/>
        <v>170161.78031704671</v>
      </c>
      <c r="I13" s="17">
        <f t="shared" si="2"/>
        <v>2204049.2196829533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0I0cA4LaRsjLYVq9GHOl0o64BiKAnkeJyBt26mLtakrFuGmAUgUGOKqS5yrEFbkrE1mxd2OU4o2x8u7rRhfFg==" saltValue="4phU1cz2vyzSz8gQWObSP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1.5407999999999991E-3</v>
      </c>
    </row>
    <row r="4" spans="1:8" ht="15.75" customHeight="1" x14ac:dyDescent="0.25">
      <c r="B4" s="19" t="s">
        <v>116</v>
      </c>
      <c r="C4" s="99">
        <v>5.5218899999999987E-2</v>
      </c>
    </row>
    <row r="5" spans="1:8" ht="15.75" customHeight="1" x14ac:dyDescent="0.25">
      <c r="B5" s="19" t="s">
        <v>114</v>
      </c>
      <c r="C5" s="99">
        <v>4.9336599999999987E-2</v>
      </c>
    </row>
    <row r="6" spans="1:8" ht="15.75" customHeight="1" x14ac:dyDescent="0.25">
      <c r="B6" s="19" t="s">
        <v>110</v>
      </c>
      <c r="C6" s="99">
        <v>0.19651040000000031</v>
      </c>
    </row>
    <row r="7" spans="1:8" ht="15.75" customHeight="1" x14ac:dyDescent="0.25">
      <c r="B7" s="19" t="s">
        <v>115</v>
      </c>
      <c r="C7" s="99">
        <v>0.41559819999999958</v>
      </c>
    </row>
    <row r="8" spans="1:8" ht="15.75" customHeight="1" x14ac:dyDescent="0.25">
      <c r="B8" s="19" t="s">
        <v>117</v>
      </c>
      <c r="C8" s="99">
        <v>1.9750000000000041E-4</v>
      </c>
    </row>
    <row r="9" spans="1:8" ht="15.75" customHeight="1" x14ac:dyDescent="0.25">
      <c r="B9" s="19" t="s">
        <v>111</v>
      </c>
      <c r="C9" s="99">
        <v>0.19013440000000001</v>
      </c>
    </row>
    <row r="10" spans="1:8" ht="15.75" customHeight="1" x14ac:dyDescent="0.25">
      <c r="B10" s="19" t="s">
        <v>113</v>
      </c>
      <c r="C10" s="99">
        <v>9.1463199999999953E-2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121</v>
      </c>
      <c r="C15" s="99">
        <v>0.54966072134015409</v>
      </c>
      <c r="D15" s="99">
        <v>0.54966072134015409</v>
      </c>
      <c r="E15" s="99">
        <v>0.54966072134015409</v>
      </c>
      <c r="F15" s="99">
        <v>0.54966072134015409</v>
      </c>
    </row>
    <row r="16" spans="1:8" ht="15.75" customHeight="1" x14ac:dyDescent="0.25">
      <c r="B16" s="19" t="s">
        <v>2</v>
      </c>
      <c r="C16" s="99">
        <v>4.0830961878845301E-2</v>
      </c>
      <c r="D16" s="99">
        <v>4.0830961878845301E-2</v>
      </c>
      <c r="E16" s="99">
        <v>4.0830961878845301E-2</v>
      </c>
      <c r="F16" s="99">
        <v>4.0830961878845301E-2</v>
      </c>
    </row>
    <row r="17" spans="1:8" ht="15.75" customHeight="1" x14ac:dyDescent="0.25">
      <c r="B17" s="19" t="s">
        <v>109</v>
      </c>
      <c r="C17" s="99">
        <v>1.353392173711137E-3</v>
      </c>
      <c r="D17" s="99">
        <v>1.353392173711137E-3</v>
      </c>
      <c r="E17" s="99">
        <v>1.353392173711137E-3</v>
      </c>
      <c r="F17" s="99">
        <v>1.353392173711137E-3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6.0295701086369472E-3</v>
      </c>
      <c r="D19" s="99">
        <v>6.0295701086369472E-3</v>
      </c>
      <c r="E19" s="99">
        <v>6.0295701086369472E-3</v>
      </c>
      <c r="F19" s="99">
        <v>6.0295701086369472E-3</v>
      </c>
    </row>
    <row r="20" spans="1:8" ht="15.75" customHeight="1" x14ac:dyDescent="0.25">
      <c r="B20" s="19" t="s">
        <v>98</v>
      </c>
      <c r="C20" s="99">
        <v>2.2324405642405711E-2</v>
      </c>
      <c r="D20" s="99">
        <v>2.2324405642405711E-2</v>
      </c>
      <c r="E20" s="99">
        <v>2.2324405642405711E-2</v>
      </c>
      <c r="F20" s="99">
        <v>2.2324405642405711E-2</v>
      </c>
    </row>
    <row r="21" spans="1:8" ht="15.75" customHeight="1" x14ac:dyDescent="0.25">
      <c r="B21" s="19" t="s">
        <v>107</v>
      </c>
      <c r="C21" s="99">
        <v>0.2122611559734788</v>
      </c>
      <c r="D21" s="99">
        <v>0.2122611559734788</v>
      </c>
      <c r="E21" s="99">
        <v>0.2122611559734788</v>
      </c>
      <c r="F21" s="99">
        <v>0.2122611559734788</v>
      </c>
    </row>
    <row r="22" spans="1:8" ht="15.75" customHeight="1" x14ac:dyDescent="0.25">
      <c r="B22" s="19" t="s">
        <v>118</v>
      </c>
      <c r="C22" s="99">
        <v>5.2325457713380492E-2</v>
      </c>
      <c r="D22" s="99">
        <v>5.2325457713380492E-2</v>
      </c>
      <c r="E22" s="99">
        <v>5.2325457713380492E-2</v>
      </c>
      <c r="F22" s="99">
        <v>5.2325457713380492E-2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8.6989028999999995E-2</v>
      </c>
    </row>
    <row r="27" spans="1:8" ht="15.75" customHeight="1" x14ac:dyDescent="0.25">
      <c r="B27" s="19" t="s">
        <v>108</v>
      </c>
      <c r="C27" s="99">
        <v>5.4674084999999983E-2</v>
      </c>
    </row>
    <row r="28" spans="1:8" ht="15.75" customHeight="1" x14ac:dyDescent="0.25">
      <c r="B28" s="19" t="s">
        <v>122</v>
      </c>
      <c r="C28" s="99">
        <v>7.8007822000000004E-2</v>
      </c>
    </row>
    <row r="29" spans="1:8" ht="15.75" customHeight="1" x14ac:dyDescent="0.25">
      <c r="B29" s="19" t="s">
        <v>105</v>
      </c>
      <c r="C29" s="99">
        <v>0.25304623700000001</v>
      </c>
    </row>
    <row r="30" spans="1:8" ht="15.75" customHeight="1" x14ac:dyDescent="0.25">
      <c r="B30" s="19" t="s">
        <v>4</v>
      </c>
      <c r="C30" s="99">
        <v>6.4168437999999994E-2</v>
      </c>
    </row>
    <row r="31" spans="1:8" ht="15.75" customHeight="1" x14ac:dyDescent="0.25">
      <c r="B31" s="19" t="s">
        <v>99</v>
      </c>
      <c r="C31" s="99">
        <v>3.8459681000000003E-2</v>
      </c>
    </row>
    <row r="32" spans="1:8" ht="15.75" customHeight="1" x14ac:dyDescent="0.25">
      <c r="B32" s="19" t="s">
        <v>104</v>
      </c>
      <c r="C32" s="99">
        <v>7.8795084000000001E-2</v>
      </c>
    </row>
    <row r="33" spans="2:3" ht="15.75" customHeight="1" x14ac:dyDescent="0.25">
      <c r="B33" s="19" t="s">
        <v>119</v>
      </c>
      <c r="C33" s="99">
        <v>6.8855599000000017E-2</v>
      </c>
    </row>
    <row r="34" spans="2:3" ht="15.75" customHeight="1" x14ac:dyDescent="0.25">
      <c r="B34" s="19" t="s">
        <v>106</v>
      </c>
      <c r="C34" s="99">
        <v>0.27700402600000001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/NaZBOIyOgOzoxlsI0w5tyKuzEvcbj00dPHZrjlH7yFUrws+2drjRBl6v9WPfHczKf55j6ev3iQpP58Udy/VzQ==" saltValue="hXLgk74hhubAUcU8LCZBv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129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125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126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138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0.50327564699999994</v>
      </c>
      <c r="D14" s="54">
        <v>0.51439987297800005</v>
      </c>
      <c r="E14" s="54">
        <v>0.51439987297800005</v>
      </c>
      <c r="F14" s="54">
        <v>0.32239856251900001</v>
      </c>
      <c r="G14" s="54">
        <v>0.32239856251900001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0.29642482660217701</v>
      </c>
      <c r="D15" s="52">
        <f t="shared" si="0"/>
        <v>0.30297689558518526</v>
      </c>
      <c r="E15" s="52">
        <f t="shared" si="0"/>
        <v>0.30297689558518526</v>
      </c>
      <c r="F15" s="52">
        <f t="shared" si="0"/>
        <v>0.18988985173662834</v>
      </c>
      <c r="G15" s="52">
        <f t="shared" si="0"/>
        <v>0.18988985173662834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89jbhBgnetKJDtDCSQbbVLgadDeAixufywV7v9fNeKRrKVnrtTn/e/jQbBKVMqxmXNlY1Yg+EHutIMRRQVHtrg==" saltValue="H0goo2kiSKZRl2JB8VWE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2.9951999999998646E-3</v>
      </c>
      <c r="D5" s="52">
        <f t="shared" si="0"/>
        <v>1.9772099999999959E-2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QD5VQFnTHXKf+cPVFDQr6yPeHkW6pMJxnhHqSUWaiwHXfTP/3EOuSpX/JAECuHwjHxS5o+PLweXLBSEOJHJzuA==" saltValue="MbNK4QfmJS2IrIpbUk6YW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1nS4M3FUSWEdYahSuU8nvGxj0k3xVkNniPy/LeXIkOPP8rT585rYk/UmTKOc9O+LxPXVmb5hFOCXm9N2suwynQ==" saltValue="4GucxTqpTAdxO6o6RtcZd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2054.4307808649601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0.45286000000000004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0.58804000000000001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1.8231930184053856E-2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95514.403850000002</v>
      </c>
      <c r="C22" s="107">
        <v>95181.562569999995</v>
      </c>
      <c r="D22" s="107">
        <v>94744.028479999994</v>
      </c>
      <c r="E22" s="107">
        <v>94298.388489999998</v>
      </c>
      <c r="F22" s="107">
        <v>93666.388959999997</v>
      </c>
      <c r="G22" s="107">
        <v>92966.42353</v>
      </c>
      <c r="H22" s="107">
        <v>92102.515169999999</v>
      </c>
      <c r="I22" s="107">
        <v>90949.745920000001</v>
      </c>
      <c r="J22" s="107">
        <v>89252.106629999995</v>
      </c>
      <c r="K22" s="107">
        <v>86802.733049999995</v>
      </c>
      <c r="L22" s="107">
        <v>83085.947740000003</v>
      </c>
      <c r="M22" s="107">
        <v>77736.847880000001</v>
      </c>
      <c r="N22" s="107">
        <v>69990.703120000006</v>
      </c>
      <c r="O22" s="107">
        <v>59886.300360000001</v>
      </c>
    </row>
  </sheetData>
  <sheetProtection algorithmName="SHA-512" hashValue="by9Gmqvvf/2Zc25xJaf1D3cIohEPbo+H9SSTuYArPm1T9M4X64SjALigDKXy5RsybwRIA6ECizk78Ai5ce5TNQ==" saltValue="m6aZgD+L2SevUyC5Jv9BC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nI96c8gon0lDK9ur+7dbxsyUwP8vTKGCmsDhW62N71OF5iuYEnY200QAX2z/eucVMp1emoaAbberZNFtVElGSA==" saltValue="FjwEFMMJFtOGRafPtnWyc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rgEcN5/0nG7YydeSHdFXb0Al8bKWQeE+9B962VBkNFFuFHwFWNGbtaaXNzOVeSOihYKOKW0Ah6VYfDrqjfSeVQ==" saltValue="Xn5M0Rskdu2D8I2XlsbZa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0.73934083451614718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1.899427422400078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2.3195500000000001E-2</v>
      </c>
      <c r="C10" s="96">
        <v>0.95</v>
      </c>
      <c r="D10" s="56">
        <v>13.73182685574543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13.73182685574543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13.73182685574543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13.73182685574543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2.3195500000000001E-2</v>
      </c>
      <c r="C14" s="96">
        <v>0.95</v>
      </c>
      <c r="D14" s="56">
        <v>13.73182685574543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13.73182685574543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0.41442689999999999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0.41442689999999999</v>
      </c>
      <c r="C19" s="96">
        <v>0.95</v>
      </c>
      <c r="D19" s="56">
        <v>5.4458602900381443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4.58111376863544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0.71204221746141994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0.36409789999999997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0.59765410000000008</v>
      </c>
      <c r="C29" s="96">
        <v>0.95</v>
      </c>
      <c r="D29" s="56">
        <v>33.321934882307978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53.05041964170676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0.97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0.61718569999999995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7.1143999999999999E-2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0.93661349999999999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0.21817230000000001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BUGvV2AW0VXnGweD7QkllT6jee+0J5pVlEqsi6vqxz1q4/bpRWeLDS1YNtZz8xXTyGmi3kwREuzMOB8UJH4kgg==" saltValue="sri8bxV7xa2phG2ibz+P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WecuBv0Q0S6nQ4LAT5B1jBwXSRJiEGuk+sPoLoTnU2wh0hF7Bo65Uq5foRuw6x6qHuWLyZ0eOrEWD3QwqKeQA==" saltValue="oNDp/+XrxBthqC6rZXnDb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ZXcsY1uDRE1oHQoWSjz2udlR/IewVo1cdzyOQDRykxP/lpzlhAMeg65o3XVpY4i0no7JVqj4rldEBOUTfbivQ==" saltValue="gJXbSdGSG5IIhgy5ASabf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236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sheetProtection algorithmName="SHA-512" hashValue="kS4LWQKA4UKuHRO4qcMqzK0iRiTBKeMjGtuh3FDXcTyCZOL+8tgjdbQ+poSMVFSUXoqbePF7OfiGpi+GGv/xjQ==" saltValue="GJ37DXq7PC0rd+OlxLTBj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0.183</v>
      </c>
      <c r="F2" s="60">
        <f>food_insecure</f>
        <v>0.183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0.183</v>
      </c>
      <c r="F5" s="60">
        <f>food_insecure</f>
        <v>0.183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0.183</v>
      </c>
      <c r="F8" s="60">
        <f>food_insecure</f>
        <v>0.183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0.183</v>
      </c>
      <c r="F9" s="60">
        <f>food_insecure</f>
        <v>0.183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0.183</v>
      </c>
      <c r="I15" s="60">
        <f t="shared" si="0"/>
        <v>0.183</v>
      </c>
      <c r="J15" s="60">
        <f t="shared" si="0"/>
        <v>0.183</v>
      </c>
      <c r="K15" s="60">
        <f t="shared" si="0"/>
        <v>0.183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0.183</v>
      </c>
      <c r="I16" s="60">
        <f t="shared" si="0"/>
        <v>0.183</v>
      </c>
      <c r="J16" s="60">
        <f t="shared" si="0"/>
        <v>0.183</v>
      </c>
      <c r="K16" s="60">
        <f t="shared" si="0"/>
        <v>0.183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0.1330297503</v>
      </c>
      <c r="M24" s="60">
        <f>famplan_unmet_need</f>
        <v>0.1330297503</v>
      </c>
      <c r="N24" s="60">
        <f>famplan_unmet_need</f>
        <v>0.1330297503</v>
      </c>
      <c r="O24" s="60">
        <f>famplan_unmet_need</f>
        <v>0.1330297503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0.21477678017599997</v>
      </c>
      <c r="M25" s="60">
        <f>(1-food_insecure)*(0.49)+food_insecure*(0.7)</f>
        <v>0.52842999999999996</v>
      </c>
      <c r="N25" s="60">
        <f>(1-food_insecure)*(0.49)+food_insecure*(0.7)</f>
        <v>0.52842999999999996</v>
      </c>
      <c r="O25" s="60">
        <f>(1-food_insecure)*(0.49)+food_insecure*(0.7)</f>
        <v>0.52842999999999996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9.2047191503999995E-2</v>
      </c>
      <c r="M26" s="60">
        <f>(1-food_insecure)*(0.21)+food_insecure*(0.3)</f>
        <v>0.22646999999999998</v>
      </c>
      <c r="N26" s="60">
        <f>(1-food_insecure)*(0.21)+food_insecure*(0.3)</f>
        <v>0.22646999999999998</v>
      </c>
      <c r="O26" s="60">
        <f>(1-food_insecure)*(0.21)+food_insecure*(0.3)</f>
        <v>0.22646999999999998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9.9619228319999989E-2</v>
      </c>
      <c r="M27" s="60">
        <f>(1-food_insecure)*(0.3)</f>
        <v>0.24509999999999998</v>
      </c>
      <c r="N27" s="60">
        <f>(1-food_insecure)*(0.3)</f>
        <v>0.24509999999999998</v>
      </c>
      <c r="O27" s="60">
        <f>(1-food_insecure)*(0.3)</f>
        <v>0.24509999999999998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0.5935568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kzrL8KSex631D4gmRV8rMNMNkgxOI99ks7vQyrqdv9NaFOjaO94D9SrHmljamFiMXhyXW08Kns+FsTM0pOjFA==" saltValue="BEZjjXA9lHBT10mjpxUtb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yL1qUse1/0NzQNpwlPgREKXpmsC4BwcErFWvoN3JFUIDxsF+Pu8s6xUhpkT3TGduArPmpujIILHy8RnKK/Oyww==" saltValue="VYUd74vVkax+py0u4ZEr2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3xoNdVxJpk+YZtAOb2/EwJ9Bpqcty+zUTpK1dYwzvjyCJKiV9dC9cF0psh9rXjixubJ+yXMzKIXbbknRn35XHQ==" saltValue="Pr3IHF/LhkN5QDf7v20A+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MP5Og1p/0yf0n3SFcbMzhhlyVuq64FP6KWmDF4nDDB8ml1K6MUaOpCfqkYQHu1iNu5shuXYMdsWFQsAHXUonQ==" saltValue="Ey6RzTaD8La3sL+Z52Mt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F1DmiEu+O6NyMjyQKaP1+3mpeeqQHuP1IlXKiD7kMdB66DnpRe56Kxro2XhAzo81P8do31Sf1CGeAFaHRluekw==" saltValue="ZDrRqwLLsCOeif0sZWZK+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yPs1PraA8l8VQT5qQvRs5c8dLhtFBDae0XhBJs7lh+9eZF6CpHVlkvUxm4kso4/FDE8t6Iq+nsLtJFjeiVgmhQ==" saltValue="RW1lYepOca6YOXjDFnBl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+bPbuxXfpgW9C0MJ5885R3M1uEBzGtZN8nWKp/OB9c96zBRcwuBGLVrEyb4zWHfE5tx+TYc2sRACuXOyJHTaFw==" saltValue="d1kj+RPLPMsWg4MEyRAwV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v4O2uJINilNkkp/DQKiyqFyWBeqBXnwKkHd7JwyO2xOQo1oHXDh0C3OswezodNwQ5Mkwk4b5xRnAS4n2UIQqeA==" saltValue="aSNzwAz0a5hrLtUR8OFc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27kSXTRUxZmrCRvZkdvPzpr6iQrFt9WljptUSoqI3Bmjv6+UJE5we21Dq/Fn44KMJF+AKDOG7pM//KX464PH4A==" saltValue="AM+lroZQJ/7zTHGcDVKV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a9knOKZx4vl/KPaKxVNU7WVLyXbYjxO23IkN04pmBBCfgyF98ORj9HYGHy+3kutVdfHFeXNFVH6CmIKhmfqdQ==" saltValue="4qpWtAZ0QePNod8tH98L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/6qwW++1p71VL5Bkc/rdZ5pnqrSxpqss+w9TbLlc6XoK9A3g90WesyZ3WPYaXU7iP6pFvFP4j9p90pUcMk5JQ==" saltValue="IR//yBKtsIXkhK9aWhyC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KMgj83KZsVLBtpbsGxZ2Ci1MV/zuddjiHh+kx08nL/wiJ67PkYsCirWURiujeENh5fZN7rjl3HDf3JL26u5Ow==" saltValue="ojEbD6EchQR9NuDcY2mO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FexCs4TFJywzXQ7JtQezE55LRaR1tlH0KRyKoPBbBMPqNFU4VLCLcZlODK7WaRrS25PbutqOTjfXisjm6+96AQ==" saltValue="gVNvxQszd+3eL2XZELv4b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gUZJz/OnE7INYXCt49gDN4loQ26y+NJ4hGKB9evxTJISrvQh1yaqMu8os3aRoMj6WdWNuiZb481z2UPo7LzX5g==" saltValue="HIxa40X/gk0QjHc7s+IC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yMdF0cM5V7Mow8ftyLLRuwpG0e7BBc5u+uRHwb2I5whQx4CIKAbOiy8M8ia0RmBhB858GqXuE2HmeXjpAqWvcg==" saltValue="Jba1lOI6eXSntuqDoJT4V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2026-04-29T02:42:06Z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