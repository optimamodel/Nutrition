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169A0D89-1101-403F-914B-A48EF23805D6}" xr6:coauthVersionLast="47" xr6:coauthVersionMax="47" xr10:uidLastSave="{00000000-0000-0000-0000-000000000000}"/>
  <bookViews>
    <workbookView xWindow="-110" yWindow="-110" windowWidth="19420" windowHeight="10420" tabRatio="961" firstSheet="3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I9" i="2" l="1"/>
  <c r="I13" i="2"/>
  <c r="A25" i="2"/>
  <c r="A31" i="2"/>
  <c r="A26" i="2"/>
  <c r="I39" i="2"/>
  <c r="A34" i="2"/>
  <c r="A40" i="2"/>
  <c r="I2" i="2"/>
  <c r="I6" i="2"/>
  <c r="A19" i="2"/>
  <c r="A35" i="2"/>
  <c r="A22" i="2"/>
  <c r="A36" i="2"/>
  <c r="I3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<sst xmlns="http://schemas.openxmlformats.org/spreadsheetml/2006/main" count="2159" uniqueCount="372">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</sst>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787658</v>
      </c>
    </row>
    <row r="8" spans="1:3" ht="15" customHeight="1" x14ac:dyDescent="0.25">
      <c r="B8" s="5" t="s">
        <v>63</v>
      </c>
      <c r="C8" s="44">
        <v>0.183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0.5935568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0.1330297503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0.12590000000000001</v>
      </c>
    </row>
    <row r="24" spans="1:3" ht="15" customHeight="1" x14ac:dyDescent="0.25">
      <c r="B24" s="15" t="s">
        <v>65</v>
      </c>
      <c r="C24" s="45">
        <v>0.54390000000000005</v>
      </c>
    </row>
    <row r="25" spans="1:3" ht="15" customHeight="1" x14ac:dyDescent="0.25">
      <c r="B25" s="15" t="s">
        <v>66</v>
      </c>
      <c r="C25" s="45">
        <v>0.28079999999999999</v>
      </c>
    </row>
    <row r="26" spans="1:3" ht="15" customHeight="1" x14ac:dyDescent="0.25">
      <c r="B26" s="15" t="s">
        <v>67</v>
      </c>
      <c r="C26" s="45">
        <v>4.9400000000000013E-2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0.33982819653213803</v>
      </c>
    </row>
    <row r="30" spans="1:3" ht="14.25" customHeight="1" x14ac:dyDescent="0.25">
      <c r="B30" s="25" t="s">
        <v>82</v>
      </c>
      <c r="C30" s="99">
        <v>6.2561187920877309E-2</v>
      </c>
    </row>
    <row r="31" spans="1:3" ht="14.25" customHeight="1" x14ac:dyDescent="0.25">
      <c r="B31" s="25" t="s">
        <v>29</v>
      </c>
      <c r="C31" s="99">
        <v>0.10830365564404</v>
      </c>
    </row>
    <row r="32" spans="1:3" ht="14.25" customHeight="1" x14ac:dyDescent="0.25">
      <c r="B32" s="25" t="s">
        <v>30</v>
      </c>
      <c r="C32" s="99">
        <v>0.48930695990294498</v>
      </c>
    </row>
    <row r="33" spans="1:5" ht="13.25" customHeight="1" x14ac:dyDescent="0.25">
      <c r="B33" s="27" t="s">
        <v>79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11.92366</v>
      </c>
    </row>
    <row r="38" spans="1:5" ht="15" customHeight="1" x14ac:dyDescent="0.25">
      <c r="B38" s="11" t="s">
        <v>54</v>
      </c>
      <c r="C38" s="43">
        <v>15.550739999999999</v>
      </c>
      <c r="D38" s="12"/>
      <c r="E38" s="13"/>
    </row>
    <row r="39" spans="1:5" ht="15" customHeight="1" x14ac:dyDescent="0.25">
      <c r="B39" s="11" t="s">
        <v>80</v>
      </c>
      <c r="C39" s="43">
        <v>17.399979999999999</v>
      </c>
      <c r="D39" s="12"/>
      <c r="E39" s="12"/>
    </row>
    <row r="40" spans="1:5" ht="15" customHeight="1" x14ac:dyDescent="0.25">
      <c r="B40" s="11" t="s">
        <v>55</v>
      </c>
      <c r="C40" s="100">
        <v>0.5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6.4134599999999997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5.9365999999999993E-3</v>
      </c>
      <c r="D45" s="12"/>
    </row>
    <row r="46" spans="1:5" ht="15.75" customHeight="1" x14ac:dyDescent="0.25">
      <c r="B46" s="11" t="s">
        <v>70</v>
      </c>
      <c r="C46" s="45">
        <v>6.3787999999999997E-2</v>
      </c>
      <c r="D46" s="12"/>
    </row>
    <row r="47" spans="1:5" ht="15.75" customHeight="1" x14ac:dyDescent="0.25">
      <c r="B47" s="11" t="s">
        <v>78</v>
      </c>
      <c r="C47" s="45">
        <v>7.5355800000000001E-2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2.8</v>
      </c>
      <c r="D51" s="12"/>
    </row>
    <row r="52" spans="1:4" ht="15" customHeight="1" x14ac:dyDescent="0.25">
      <c r="B52" s="11" t="s">
        <v>32</v>
      </c>
      <c r="C52" s="100">
        <v>2.8</v>
      </c>
    </row>
    <row r="53" spans="1:4" ht="15.75" customHeight="1" x14ac:dyDescent="0.25">
      <c r="B53" s="11" t="s">
        <v>35</v>
      </c>
      <c r="C53" s="100">
        <v>2.8</v>
      </c>
    </row>
    <row r="54" spans="1:4" ht="15.75" customHeight="1" x14ac:dyDescent="0.25">
      <c r="B54" s="11" t="s">
        <v>33</v>
      </c>
      <c r="C54" s="100">
        <v>2.8</v>
      </c>
    </row>
    <row r="55" spans="1:4" ht="15.75" customHeight="1" x14ac:dyDescent="0.25">
      <c r="B55" s="11" t="s">
        <v>34</v>
      </c>
      <c r="C55" s="100">
        <v>2.8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1.6428571428571431E-2</v>
      </c>
    </row>
    <row r="59" spans="1:4" ht="15.75" customHeight="1" x14ac:dyDescent="0.25">
      <c r="B59" s="11" t="s">
        <v>59</v>
      </c>
      <c r="C59" s="45">
        <v>0.58899100000000004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0.16732315780000001</v>
      </c>
    </row>
    <row r="63" spans="1:4" ht="15.75" customHeight="1" x14ac:dyDescent="0.3">
      <c r="A63" s="4"/>
    </row>
  </sheetData>
  <sheetProtection algorithmName="SHA-512" hashValue="ZNZagYHAuPRCZMa/Cd+x127jobOY0ZmpyP5xfGjWO8C9Tv7p5CYicSQbu29w9s1mxjhTqzFf5K/AIKUAQe83Ow==" saltValue="p1vkyAAnzcTQoNFKSzwp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159480</v>
      </c>
      <c r="C2" s="49">
        <v>436563.5</v>
      </c>
      <c r="D2" s="49">
        <v>691655.5</v>
      </c>
      <c r="E2" s="49">
        <v>606398</v>
      </c>
      <c r="F2" s="49">
        <v>379353.5</v>
      </c>
      <c r="G2" s="17">
        <f t="shared" ref="G2:G13" si="0">C2+D2+E2+F2</f>
        <v>2113970.5</v>
      </c>
      <c r="H2" s="17">
        <f t="shared" ref="H2:H13" si="1">(B2 + stillbirth*B2/(1000-stillbirth))/(1-abortion)</f>
        <v>182397.06903363721</v>
      </c>
      <c r="I2" s="17">
        <f t="shared" ref="I2:I13" si="2">G2-H2</f>
        <v>1931573.4309663628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158759</v>
      </c>
      <c r="C3" s="50">
        <v>438436.5</v>
      </c>
      <c r="D3" s="50">
        <v>693107.5</v>
      </c>
      <c r="E3" s="50">
        <v>617312</v>
      </c>
      <c r="F3" s="50">
        <v>392883</v>
      </c>
      <c r="G3" s="17">
        <f t="shared" si="0"/>
        <v>2141739</v>
      </c>
      <c r="H3" s="17">
        <f t="shared" si="1"/>
        <v>181572.46226932036</v>
      </c>
      <c r="I3" s="17">
        <f t="shared" si="2"/>
        <v>1960166.5377306796</v>
      </c>
    </row>
    <row r="4" spans="1:9" ht="15.75" customHeight="1" x14ac:dyDescent="0.25">
      <c r="A4" s="5">
        <f t="shared" si="3"/>
        <v>2026</v>
      </c>
      <c r="B4" s="49">
        <v>157668</v>
      </c>
      <c r="C4" s="50">
        <v>439025.99999999988</v>
      </c>
      <c r="D4" s="50">
        <v>695243.5</v>
      </c>
      <c r="E4" s="50">
        <v>627082.5</v>
      </c>
      <c r="F4" s="50">
        <v>407093.5</v>
      </c>
      <c r="G4" s="17">
        <f t="shared" si="0"/>
        <v>2168445.5</v>
      </c>
      <c r="H4" s="17">
        <f t="shared" si="1"/>
        <v>180324.68698517376</v>
      </c>
      <c r="I4" s="17">
        <f t="shared" si="2"/>
        <v>1988120.8130148263</v>
      </c>
    </row>
    <row r="5" spans="1:9" ht="15.75" customHeight="1" x14ac:dyDescent="0.25">
      <c r="A5" s="5">
        <f t="shared" si="3"/>
        <v>2027</v>
      </c>
      <c r="B5" s="49">
        <v>156472</v>
      </c>
      <c r="C5" s="50">
        <v>439013</v>
      </c>
      <c r="D5" s="50">
        <v>697990.5</v>
      </c>
      <c r="E5" s="50">
        <v>635388</v>
      </c>
      <c r="F5" s="50">
        <v>421973.5</v>
      </c>
      <c r="G5" s="17">
        <f t="shared" si="0"/>
        <v>2194365</v>
      </c>
      <c r="H5" s="17">
        <f t="shared" si="1"/>
        <v>178956.82333729172</v>
      </c>
      <c r="I5" s="17">
        <f t="shared" si="2"/>
        <v>2015408.1766627082</v>
      </c>
    </row>
    <row r="6" spans="1:9" ht="15.75" customHeight="1" x14ac:dyDescent="0.25">
      <c r="A6" s="5">
        <f t="shared" si="3"/>
        <v>2028</v>
      </c>
      <c r="B6" s="49">
        <v>155336</v>
      </c>
      <c r="C6" s="50">
        <v>439325.50000000012</v>
      </c>
      <c r="D6" s="50">
        <v>700412</v>
      </c>
      <c r="E6" s="50">
        <v>642588</v>
      </c>
      <c r="F6" s="50">
        <v>437462</v>
      </c>
      <c r="G6" s="17">
        <f t="shared" si="0"/>
        <v>2219787.5</v>
      </c>
      <c r="H6" s="17">
        <f t="shared" si="1"/>
        <v>177657.58161154418</v>
      </c>
      <c r="I6" s="17">
        <f t="shared" si="2"/>
        <v>2042129.9183884559</v>
      </c>
    </row>
    <row r="7" spans="1:9" ht="15.75" customHeight="1" x14ac:dyDescent="0.25">
      <c r="A7" s="5">
        <f t="shared" si="3"/>
        <v>2029</v>
      </c>
      <c r="B7" s="49">
        <v>154182</v>
      </c>
      <c r="C7" s="50">
        <v>440978</v>
      </c>
      <c r="D7" s="50">
        <v>701834</v>
      </c>
      <c r="E7" s="50">
        <v>649376</v>
      </c>
      <c r="F7" s="50">
        <v>453319.5</v>
      </c>
      <c r="G7" s="17">
        <f t="shared" si="0"/>
        <v>2245507.5</v>
      </c>
      <c r="H7" s="17">
        <f t="shared" si="1"/>
        <v>176337.75330915631</v>
      </c>
      <c r="I7" s="17">
        <f t="shared" si="2"/>
        <v>2069169.7466908437</v>
      </c>
    </row>
    <row r="8" spans="1:9" ht="15.75" customHeight="1" x14ac:dyDescent="0.25">
      <c r="A8" s="5">
        <f t="shared" si="3"/>
        <v>2030</v>
      </c>
      <c r="B8" s="49">
        <v>152707</v>
      </c>
      <c r="C8" s="50">
        <v>443932.5</v>
      </c>
      <c r="D8" s="50">
        <v>702359</v>
      </c>
      <c r="E8" s="50">
        <v>655887</v>
      </c>
      <c r="F8" s="50">
        <v>469002.5</v>
      </c>
      <c r="G8" s="17">
        <f t="shared" si="0"/>
        <v>2271181</v>
      </c>
      <c r="H8" s="17">
        <f t="shared" si="1"/>
        <v>174650.7977233486</v>
      </c>
      <c r="I8" s="17">
        <f t="shared" si="2"/>
        <v>2096530.2022766513</v>
      </c>
    </row>
    <row r="9" spans="1:9" ht="15.75" customHeight="1" x14ac:dyDescent="0.25">
      <c r="A9" s="5">
        <f t="shared" si="3"/>
        <v>2031</v>
      </c>
      <c r="B9" s="49">
        <v>151402</v>
      </c>
      <c r="C9" s="50">
        <v>447240</v>
      </c>
      <c r="D9" s="50">
        <v>702848.5</v>
      </c>
      <c r="E9" s="50">
        <v>661395.5</v>
      </c>
      <c r="F9" s="50">
        <v>483994.5</v>
      </c>
      <c r="G9" s="17">
        <f t="shared" si="0"/>
        <v>2295478.5</v>
      </c>
      <c r="H9" s="17">
        <f t="shared" si="1"/>
        <v>173158.27091692211</v>
      </c>
      <c r="I9" s="17">
        <f t="shared" si="2"/>
        <v>2122320.229083078</v>
      </c>
    </row>
    <row r="10" spans="1:9" ht="15.75" customHeight="1" x14ac:dyDescent="0.25">
      <c r="A10" s="5">
        <f t="shared" si="3"/>
        <v>2032</v>
      </c>
      <c r="B10" s="49">
        <v>150873</v>
      </c>
      <c r="C10" s="50">
        <v>450398</v>
      </c>
      <c r="D10" s="50">
        <v>704542.5</v>
      </c>
      <c r="E10" s="50">
        <v>664916</v>
      </c>
      <c r="F10" s="50">
        <v>498051</v>
      </c>
      <c r="G10" s="17">
        <f t="shared" si="0"/>
        <v>2317907.5</v>
      </c>
      <c r="H10" s="17">
        <f t="shared" si="1"/>
        <v>172553.25430343582</v>
      </c>
      <c r="I10" s="17">
        <f t="shared" si="2"/>
        <v>2145354.2456965642</v>
      </c>
    </row>
    <row r="11" spans="1:9" ht="15.75" customHeight="1" x14ac:dyDescent="0.25">
      <c r="A11" s="5">
        <f t="shared" si="3"/>
        <v>2033</v>
      </c>
      <c r="B11" s="49">
        <v>149785</v>
      </c>
      <c r="C11" s="50">
        <v>453062.5</v>
      </c>
      <c r="D11" s="50">
        <v>707526.5</v>
      </c>
      <c r="E11" s="50">
        <v>666809</v>
      </c>
      <c r="F11" s="50">
        <v>511055.5</v>
      </c>
      <c r="G11" s="17">
        <f t="shared" si="0"/>
        <v>2338453.5</v>
      </c>
      <c r="H11" s="17">
        <f t="shared" si="1"/>
        <v>171308.91011539596</v>
      </c>
      <c r="I11" s="17">
        <f t="shared" si="2"/>
        <v>2167144.5898846039</v>
      </c>
    </row>
    <row r="12" spans="1:9" ht="15.75" customHeight="1" x14ac:dyDescent="0.25">
      <c r="A12" s="5">
        <f t="shared" si="3"/>
        <v>2034</v>
      </c>
      <c r="B12" s="49">
        <v>149287</v>
      </c>
      <c r="C12" s="50">
        <v>455132.49999999988</v>
      </c>
      <c r="D12" s="50">
        <v>711119</v>
      </c>
      <c r="E12" s="50">
        <v>668258.5</v>
      </c>
      <c r="F12" s="50">
        <v>522850.5</v>
      </c>
      <c r="G12" s="17">
        <f t="shared" si="0"/>
        <v>2357360.5</v>
      </c>
      <c r="H12" s="17">
        <f t="shared" si="1"/>
        <v>170739.3481616792</v>
      </c>
      <c r="I12" s="17">
        <f t="shared" si="2"/>
        <v>2186621.1518383208</v>
      </c>
    </row>
    <row r="13" spans="1:9" ht="15.75" customHeight="1" x14ac:dyDescent="0.25">
      <c r="A13" s="5">
        <f t="shared" si="3"/>
        <v>2035</v>
      </c>
      <c r="B13" s="49">
        <v>148782</v>
      </c>
      <c r="C13" s="50">
        <v>455799.00000000012</v>
      </c>
      <c r="D13" s="50">
        <v>715207.5</v>
      </c>
      <c r="E13" s="50">
        <v>669954</v>
      </c>
      <c r="F13" s="50">
        <v>533250.5</v>
      </c>
      <c r="G13" s="17">
        <f t="shared" si="0"/>
        <v>2374211</v>
      </c>
      <c r="H13" s="17">
        <f t="shared" si="1"/>
        <v>170161.78031704671</v>
      </c>
      <c r="I13" s="17">
        <f t="shared" si="2"/>
        <v>2204049.2196829533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gTB1Sr2XM8K95mqCIQtUKoKoNd+lYex19JE7mTDrCTxVsIo3nF0oDuEtvCXwNiU9wlE0qzHv+eL8WSzvUfF7aQ==" saltValue="RLYJYup8vQRiYyMt9UxD7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1.5407999999999991E-3</v>
      </c>
    </row>
    <row r="4" spans="1:8" ht="15.75" customHeight="1" x14ac:dyDescent="0.25">
      <c r="B4" s="19" t="s">
        <v>116</v>
      </c>
      <c r="C4" s="101">
        <v>5.5218899999999987E-2</v>
      </c>
    </row>
    <row r="5" spans="1:8" ht="15.75" customHeight="1" x14ac:dyDescent="0.25">
      <c r="B5" s="19" t="s">
        <v>114</v>
      </c>
      <c r="C5" s="101">
        <v>4.9336599999999987E-2</v>
      </c>
    </row>
    <row r="6" spans="1:8" ht="15.75" customHeight="1" x14ac:dyDescent="0.25">
      <c r="B6" s="19" t="s">
        <v>110</v>
      </c>
      <c r="C6" s="101">
        <v>0.19651040000000031</v>
      </c>
    </row>
    <row r="7" spans="1:8" ht="15.75" customHeight="1" x14ac:dyDescent="0.25">
      <c r="B7" s="19" t="s">
        <v>115</v>
      </c>
      <c r="C7" s="101">
        <v>0.41559819999999958</v>
      </c>
    </row>
    <row r="8" spans="1:8" ht="15.75" customHeight="1" x14ac:dyDescent="0.25">
      <c r="B8" s="19" t="s">
        <v>117</v>
      </c>
      <c r="C8" s="101">
        <v>1.9750000000000041E-4</v>
      </c>
    </row>
    <row r="9" spans="1:8" ht="15.75" customHeight="1" x14ac:dyDescent="0.25">
      <c r="B9" s="19" t="s">
        <v>111</v>
      </c>
      <c r="C9" s="101">
        <v>0.19013440000000001</v>
      </c>
    </row>
    <row r="10" spans="1:8" ht="15.75" customHeight="1" x14ac:dyDescent="0.25">
      <c r="B10" s="19" t="s">
        <v>113</v>
      </c>
      <c r="C10" s="101">
        <v>9.1463199999999953E-2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0.11521433516938739</v>
      </c>
      <c r="D14" s="55">
        <v>0.11521433516938739</v>
      </c>
      <c r="E14" s="55">
        <v>0.11521433516938739</v>
      </c>
      <c r="F14" s="55">
        <v>0.11521433516938739</v>
      </c>
    </row>
    <row r="15" spans="1:8" ht="15.75" customHeight="1" x14ac:dyDescent="0.25">
      <c r="B15" s="19" t="s">
        <v>121</v>
      </c>
      <c r="C15" s="101">
        <v>0.54966072134015409</v>
      </c>
      <c r="D15" s="101">
        <v>0.54966072134015409</v>
      </c>
      <c r="E15" s="101">
        <v>0.54966072134015409</v>
      </c>
      <c r="F15" s="101">
        <v>0.54966072134015409</v>
      </c>
    </row>
    <row r="16" spans="1:8" ht="15.75" customHeight="1" x14ac:dyDescent="0.25">
      <c r="B16" s="19" t="s">
        <v>2</v>
      </c>
      <c r="C16" s="101">
        <v>4.0830961878845301E-2</v>
      </c>
      <c r="D16" s="101">
        <v>4.0830961878845301E-2</v>
      </c>
      <c r="E16" s="101">
        <v>4.0830961878845301E-2</v>
      </c>
      <c r="F16" s="101">
        <v>4.0830961878845301E-2</v>
      </c>
    </row>
    <row r="17" spans="1:8" ht="15.75" customHeight="1" x14ac:dyDescent="0.25">
      <c r="B17" s="19" t="s">
        <v>109</v>
      </c>
      <c r="C17" s="101">
        <v>1.353392173711137E-3</v>
      </c>
      <c r="D17" s="101">
        <v>1.353392173711137E-3</v>
      </c>
      <c r="E17" s="101">
        <v>1.353392173711137E-3</v>
      </c>
      <c r="F17" s="101">
        <v>1.353392173711137E-3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6.0295701086369472E-3</v>
      </c>
      <c r="D19" s="101">
        <v>6.0295701086369472E-3</v>
      </c>
      <c r="E19" s="101">
        <v>6.0295701086369472E-3</v>
      </c>
      <c r="F19" s="101">
        <v>6.0295701086369472E-3</v>
      </c>
    </row>
    <row r="20" spans="1:8" ht="15.75" customHeight="1" x14ac:dyDescent="0.25">
      <c r="B20" s="19" t="s">
        <v>98</v>
      </c>
      <c r="C20" s="101">
        <v>2.2324405642405711E-2</v>
      </c>
      <c r="D20" s="101">
        <v>2.2324405642405711E-2</v>
      </c>
      <c r="E20" s="101">
        <v>2.2324405642405711E-2</v>
      </c>
      <c r="F20" s="101">
        <v>2.2324405642405711E-2</v>
      </c>
    </row>
    <row r="21" spans="1:8" ht="15.75" customHeight="1" x14ac:dyDescent="0.25">
      <c r="B21" s="19" t="s">
        <v>107</v>
      </c>
      <c r="C21" s="101">
        <v>0.2122611559734788</v>
      </c>
      <c r="D21" s="101">
        <v>0.2122611559734788</v>
      </c>
      <c r="E21" s="101">
        <v>0.2122611559734788</v>
      </c>
      <c r="F21" s="101">
        <v>0.2122611559734788</v>
      </c>
    </row>
    <row r="22" spans="1:8" ht="15.75" customHeight="1" x14ac:dyDescent="0.25">
      <c r="B22" s="19" t="s">
        <v>118</v>
      </c>
      <c r="C22" s="101">
        <v>5.2325457713380492E-2</v>
      </c>
      <c r="D22" s="101">
        <v>5.2325457713380492E-2</v>
      </c>
      <c r="E22" s="101">
        <v>5.2325457713380492E-2</v>
      </c>
      <c r="F22" s="101">
        <v>5.2325457713380492E-2</v>
      </c>
    </row>
    <row r="23" spans="1:8" ht="15.75" customHeight="1" x14ac:dyDescent="0.25">
      <c r="B23" s="27" t="s">
        <v>79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8.6989028999999995E-2</v>
      </c>
    </row>
    <row r="27" spans="1:8" ht="15.75" customHeight="1" x14ac:dyDescent="0.25">
      <c r="B27" s="19" t="s">
        <v>108</v>
      </c>
      <c r="C27" s="101">
        <v>5.4674084999999983E-2</v>
      </c>
    </row>
    <row r="28" spans="1:8" ht="15.75" customHeight="1" x14ac:dyDescent="0.25">
      <c r="B28" s="19" t="s">
        <v>122</v>
      </c>
      <c r="C28" s="101">
        <v>7.8007822000000004E-2</v>
      </c>
    </row>
    <row r="29" spans="1:8" ht="15.75" customHeight="1" x14ac:dyDescent="0.25">
      <c r="B29" s="19" t="s">
        <v>105</v>
      </c>
      <c r="C29" s="101">
        <v>0.25304623700000001</v>
      </c>
    </row>
    <row r="30" spans="1:8" ht="15.75" customHeight="1" x14ac:dyDescent="0.25">
      <c r="B30" s="19" t="s">
        <v>4</v>
      </c>
      <c r="C30" s="101">
        <v>6.4168437999999994E-2</v>
      </c>
    </row>
    <row r="31" spans="1:8" ht="15.75" customHeight="1" x14ac:dyDescent="0.25">
      <c r="B31" s="19" t="s">
        <v>99</v>
      </c>
      <c r="C31" s="101">
        <v>3.8459681000000003E-2</v>
      </c>
    </row>
    <row r="32" spans="1:8" ht="15.75" customHeight="1" x14ac:dyDescent="0.25">
      <c r="B32" s="19" t="s">
        <v>104</v>
      </c>
      <c r="C32" s="101">
        <v>7.8795084000000001E-2</v>
      </c>
    </row>
    <row r="33" spans="2:3" ht="15.75" customHeight="1" x14ac:dyDescent="0.25">
      <c r="B33" s="19" t="s">
        <v>119</v>
      </c>
      <c r="C33" s="101">
        <v>6.8855599000000017E-2</v>
      </c>
    </row>
    <row r="34" spans="2:3" ht="15.75" customHeight="1" x14ac:dyDescent="0.25">
      <c r="B34" s="19" t="s">
        <v>106</v>
      </c>
      <c r="C34" s="101">
        <v>0.27700402600000001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pZTIP8gPavioiLp3KFVhcbxXZ5z9FVvrcyWXyBCsokmm0qRV4CjwL1sF84rQJaarGsudP7Dh+MvAfT7sTBRrLw==" saltValue="h7kHSzWkQqrrLX2J3HGKL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0.72671771537825036</v>
      </c>
      <c r="D2" s="52">
        <f>IFERROR(1-_xlfn.NORM.DIST(_xlfn.NORM.INV(SUM(D4:D5), 0, 1) + 1, 0, 1, TRUE), "")</f>
        <v>0.72671771537825036</v>
      </c>
      <c r="E2" s="52">
        <f>IFERROR(1-_xlfn.NORM.DIST(_xlfn.NORM.INV(SUM(E4:E5), 0, 1) + 1, 0, 1, TRUE), "")</f>
        <v>0.62659155412491141</v>
      </c>
      <c r="F2" s="52">
        <f>IFERROR(1-_xlfn.NORM.DIST(_xlfn.NORM.INV(SUM(F4:F5), 0, 1) + 1, 0, 1, TRUE), "")</f>
        <v>0.51965388532462375</v>
      </c>
      <c r="G2" s="52">
        <f>IFERROR(1-_xlfn.NORM.DIST(_xlfn.NORM.INV(SUM(G4:G5), 0, 1) + 1, 0, 1, TRUE), "")</f>
        <v>0.56275773337121771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0.21880568462174965</v>
      </c>
      <c r="D3" s="52">
        <f>IFERROR(_xlfn.NORM.DIST(_xlfn.NORM.INV(SUM(D4:D5), 0, 1) + 1, 0, 1, TRUE) - SUM(D4:D5), "")</f>
        <v>0.21880568462174965</v>
      </c>
      <c r="E3" s="52">
        <f>IFERROR(_xlfn.NORM.DIST(_xlfn.NORM.INV(SUM(E4:E5), 0, 1) + 1, 0, 1, TRUE) - SUM(E4:E5), "")</f>
        <v>0.28046404587508861</v>
      </c>
      <c r="F3" s="52">
        <f>IFERROR(_xlfn.NORM.DIST(_xlfn.NORM.INV(SUM(F4:F5), 0, 1) + 1, 0, 1, TRUE) - SUM(F4:F5), "")</f>
        <v>0.33332261467537627</v>
      </c>
      <c r="G3" s="52">
        <f>IFERROR(_xlfn.NORM.DIST(_xlfn.NORM.INV(SUM(G4:G5), 0, 1) + 1, 0, 1, TRUE) - SUM(G4:G5), "")</f>
        <v>0.31380306662878238</v>
      </c>
    </row>
    <row r="4" spans="1:15" ht="15.75" customHeight="1" x14ac:dyDescent="0.25">
      <c r="B4" s="5" t="s">
        <v>129</v>
      </c>
      <c r="C4" s="45">
        <v>3.57805E-2</v>
      </c>
      <c r="D4" s="53">
        <v>3.57805E-2</v>
      </c>
      <c r="E4" s="53">
        <v>3.1043899999999999E-2</v>
      </c>
      <c r="F4" s="53">
        <v>0.11139780000000001</v>
      </c>
      <c r="G4" s="53">
        <v>9.3345199999999989E-2</v>
      </c>
    </row>
    <row r="5" spans="1:15" ht="15.75" customHeight="1" x14ac:dyDescent="0.25">
      <c r="B5" s="5" t="s">
        <v>125</v>
      </c>
      <c r="C5" s="45">
        <v>1.86961E-2</v>
      </c>
      <c r="D5" s="53">
        <v>1.86961E-2</v>
      </c>
      <c r="E5" s="53">
        <v>6.1900499999999997E-2</v>
      </c>
      <c r="F5" s="53">
        <v>3.5625700000000003E-2</v>
      </c>
      <c r="G5" s="53">
        <v>3.0093999999999999E-2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0.73878735174891208</v>
      </c>
      <c r="D8" s="52">
        <f>IFERROR(1-_xlfn.NORM.DIST(_xlfn.NORM.INV(SUM(D10:D11), 0, 1) + 1, 0, 1, TRUE), "")</f>
        <v>0.73878735174891208</v>
      </c>
      <c r="E8" s="52">
        <f>IFERROR(1-_xlfn.NORM.DIST(_xlfn.NORM.INV(SUM(E10:E11), 0, 1) + 1, 0, 1, TRUE), "")</f>
        <v>0.81092131378354604</v>
      </c>
      <c r="F8" s="52">
        <f>IFERROR(1-_xlfn.NORM.DIST(_xlfn.NORM.INV(SUM(F10:F11), 0, 1) + 1, 0, 1, TRUE), "")</f>
        <v>0.85378692413781465</v>
      </c>
      <c r="G8" s="52">
        <f>IFERROR(1-_xlfn.NORM.DIST(_xlfn.NORM.INV(SUM(G10:G11), 0, 1) + 1, 0, 1, TRUE), "")</f>
        <v>0.88685105031614997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0.21066964825108792</v>
      </c>
      <c r="D9" s="52">
        <f>IFERROR(_xlfn.NORM.DIST(_xlfn.NORM.INV(SUM(D10:D11), 0, 1) + 1, 0, 1, TRUE) - SUM(D10:D11), "")</f>
        <v>0.21066964825108792</v>
      </c>
      <c r="E9" s="52">
        <f>IFERROR(_xlfn.NORM.DIST(_xlfn.NORM.INV(SUM(E10:E11), 0, 1) + 1, 0, 1, TRUE) - SUM(E10:E11), "")</f>
        <v>0.15911288621645392</v>
      </c>
      <c r="F9" s="52">
        <f>IFERROR(_xlfn.NORM.DIST(_xlfn.NORM.INV(SUM(F10:F11), 0, 1) + 1, 0, 1, TRUE) - SUM(F10:F11), "")</f>
        <v>0.12616777586218536</v>
      </c>
      <c r="G9" s="52">
        <f>IFERROR(_xlfn.NORM.DIST(_xlfn.NORM.INV(SUM(G10:G11), 0, 1) + 1, 0, 1, TRUE) - SUM(G10:G11), "")</f>
        <v>9.9594649683850053E-2</v>
      </c>
    </row>
    <row r="10" spans="1:15" ht="15.75" customHeight="1" x14ac:dyDescent="0.25">
      <c r="B10" s="5" t="s">
        <v>126</v>
      </c>
      <c r="C10" s="45">
        <v>3.4095800000000002E-2</v>
      </c>
      <c r="D10" s="53">
        <v>3.4095800000000002E-2</v>
      </c>
      <c r="E10" s="53">
        <v>2.0798899999999999E-2</v>
      </c>
      <c r="F10" s="53">
        <v>1.07309E-2</v>
      </c>
      <c r="G10" s="53">
        <v>9.4171000000000012E-3</v>
      </c>
    </row>
    <row r="11" spans="1:15" ht="15.75" customHeight="1" x14ac:dyDescent="0.25">
      <c r="B11" s="5" t="s">
        <v>138</v>
      </c>
      <c r="C11" s="45">
        <v>1.6447199999999999E-2</v>
      </c>
      <c r="D11" s="53">
        <v>1.6447199999999999E-2</v>
      </c>
      <c r="E11" s="53">
        <v>9.1669000000000004E-3</v>
      </c>
      <c r="F11" s="53">
        <v>9.3144000000000005E-3</v>
      </c>
      <c r="G11" s="53">
        <v>4.1371999999999997E-3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0.50327564699999994</v>
      </c>
      <c r="D14" s="54">
        <v>0.51439987297800005</v>
      </c>
      <c r="E14" s="54">
        <v>0.51439987297800005</v>
      </c>
      <c r="F14" s="54">
        <v>0.32239856251900001</v>
      </c>
      <c r="G14" s="54">
        <v>0.32239856251900001</v>
      </c>
      <c r="H14" s="45">
        <v>0.39800000000000002</v>
      </c>
      <c r="I14" s="55">
        <v>0.39800000000000002</v>
      </c>
      <c r="J14" s="55">
        <v>0.39800000000000002</v>
      </c>
      <c r="K14" s="55">
        <v>0.39800000000000002</v>
      </c>
      <c r="L14" s="45">
        <v>0.35899999999999999</v>
      </c>
      <c r="M14" s="55">
        <v>0.35899999999999999</v>
      </c>
      <c r="N14" s="55">
        <v>0.35899999999999999</v>
      </c>
      <c r="O14" s="55">
        <v>0.35899999999999999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0.29642482660217701</v>
      </c>
      <c r="D15" s="52">
        <f t="shared" si="0"/>
        <v>0.30297689558518526</v>
      </c>
      <c r="E15" s="52">
        <f t="shared" si="0"/>
        <v>0.30297689558518526</v>
      </c>
      <c r="F15" s="52">
        <f t="shared" si="0"/>
        <v>0.18988985173662834</v>
      </c>
      <c r="G15" s="52">
        <f t="shared" si="0"/>
        <v>0.18988985173662834</v>
      </c>
      <c r="H15" s="52">
        <f t="shared" si="0"/>
        <v>0.23441841800000002</v>
      </c>
      <c r="I15" s="52">
        <f t="shared" si="0"/>
        <v>0.23441841800000002</v>
      </c>
      <c r="J15" s="52">
        <f t="shared" si="0"/>
        <v>0.23441841800000002</v>
      </c>
      <c r="K15" s="52">
        <f t="shared" si="0"/>
        <v>0.23441841800000002</v>
      </c>
      <c r="L15" s="52">
        <f t="shared" si="0"/>
        <v>0.21144776900000001</v>
      </c>
      <c r="M15" s="52">
        <f t="shared" si="0"/>
        <v>0.21144776900000001</v>
      </c>
      <c r="N15" s="52">
        <f t="shared" si="0"/>
        <v>0.21144776900000001</v>
      </c>
      <c r="O15" s="52">
        <f t="shared" si="0"/>
        <v>0.21144776900000001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2uMQeRd/LwnYOsZ3aLNNB0VexGas6iyHFFHmVgSkvoq+SxieUj3s5FkdjrCoswAB2EVqWjkzmrq42hPnOOFxiw==" saltValue="LWlRAxOUw+2KiRi/qKdz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0.70550790000000008</v>
      </c>
      <c r="D2" s="53">
        <v>0.41442689999999999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0.14739630000000001</v>
      </c>
      <c r="D3" s="53">
        <v>0.24610799999999999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0.1441006</v>
      </c>
      <c r="D4" s="53">
        <v>0.319693</v>
      </c>
      <c r="E4" s="53">
        <v>0.90135670000000001</v>
      </c>
      <c r="F4" s="53">
        <v>0.47346310000000003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2.9951999999998646E-3</v>
      </c>
      <c r="D5" s="52">
        <f t="shared" si="0"/>
        <v>1.9772099999999959E-2</v>
      </c>
      <c r="E5" s="52">
        <f>1-SUM(E2:E4)</f>
        <v>9.8643299999999989E-2</v>
      </c>
      <c r="F5" s="52">
        <f>1-SUM(F2:F4)</f>
        <v>0.52653689999999997</v>
      </c>
      <c r="G5" s="52">
        <f>1-SUM(G2:G4)</f>
        <v>1</v>
      </c>
    </row>
  </sheetData>
  <sheetProtection algorithmName="SHA-512" hashValue="OuAYVQSJ0NF1tRDPmeXTs36tovce6xNcPJmcJwLNZPtvmlR1YoiFdkU1c6EbANi6E4XaOkeZd5pnYIRAtsoL7w==" saltValue="T9oTT0daBw23CFtKg3J/J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brWxB/UBDrmsiBSfwLuKjD+x17a8/SJ86Q42ECZ6bORaDYtdio8d9OK2ft1Rmr49THne4m+DgIrJXSyYcaYY3Q==" saltValue="ePmigGH4GrmNCGQJAbgwj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2054.4307808649601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0.45286000000000004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0.58804000000000001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1.8231930184053856E-2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95514.403850000002</v>
      </c>
      <c r="C22" s="109">
        <v>95181.562569999995</v>
      </c>
      <c r="D22" s="109">
        <v>94744.028479999994</v>
      </c>
      <c r="E22" s="109">
        <v>94298.388489999998</v>
      </c>
      <c r="F22" s="109">
        <v>93666.388959999997</v>
      </c>
      <c r="G22" s="109">
        <v>92966.42353</v>
      </c>
      <c r="H22" s="109">
        <v>92102.515169999999</v>
      </c>
      <c r="I22" s="109">
        <v>90949.745920000001</v>
      </c>
      <c r="J22" s="109">
        <v>89252.106629999995</v>
      </c>
      <c r="K22" s="109">
        <v>86802.733049999995</v>
      </c>
      <c r="L22" s="109">
        <v>83085.947740000003</v>
      </c>
      <c r="M22" s="109">
        <v>77736.847880000001</v>
      </c>
      <c r="N22" s="109">
        <v>69990.703120000006</v>
      </c>
      <c r="O22" s="109">
        <v>59886.300360000001</v>
      </c>
    </row>
  </sheetData>
  <sheetProtection algorithmName="SHA-512" hashValue="x6Eq4DgB2PFSQzsqPu4xr/SWdPGTqLW7UMFuDDRnUpWrHmQf/ZAF6dybg1ZJ4Q3MvZIJNgPprgRSQRZpGLYKXA==" saltValue="tTTzbiBeQKpghMI08JD+F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C75ywAjY2QTNYsrVkAIOoRo8EYxwJ+8ZfJyHwUwwjsAx8OBaQ25wTy0fVIAQyIs8S0heSG1sw8+vb/dY2FmqOw==" saltValue="E4O8rrNkZXPa1x+0q/4mH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WmjxZ6SvIF9/FsLF8MFCAjd9xI1Xt/Wb9yYOxkY4hpKiCqYVqrCJ/e8fh2k7BLCyst6zwVu7YiK0Tv+Km60UFg==" saltValue="bsZAlVBFSpLH5hHGoP05u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23.266651740020471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23.266651740020471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0.80999999999999994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0.73934083451614718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1.899427422400078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0.33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2.3195500000000001E-2</v>
      </c>
      <c r="C10" s="98">
        <v>0.95</v>
      </c>
      <c r="D10" s="56">
        <v>13.73182685574543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13.73182685574543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13.73182685574543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13.73182685574543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2.3195500000000001E-2</v>
      </c>
      <c r="C14" s="98">
        <v>0.95</v>
      </c>
      <c r="D14" s="56">
        <v>13.73182685574543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13.73182685574543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1.57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0.1369044839662158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0.41442689999999999</v>
      </c>
      <c r="C18" s="98">
        <v>0.95</v>
      </c>
      <c r="D18" s="56">
        <v>8.0823886898669404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0.41442689999999999</v>
      </c>
      <c r="C19" s="98">
        <v>0.95</v>
      </c>
      <c r="D19" s="56">
        <v>5.4458602900381443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8.32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0.80999999999999994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4.58111376863544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0.71204221746141994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8.469314227226203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14.964151740020471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0.36409789999999997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0.59765410000000008</v>
      </c>
      <c r="C29" s="98">
        <v>0.95</v>
      </c>
      <c r="D29" s="56">
        <v>33.321934882307978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53.05041964170676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118.83755373592631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0.97</v>
      </c>
      <c r="C32" s="98">
        <v>0.95</v>
      </c>
      <c r="D32" s="56">
        <v>0.69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0.99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0.61718569999999995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7.1143999999999999E-2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0.93661349999999999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0.21817230000000001</v>
      </c>
      <c r="C38" s="98">
        <v>0.95</v>
      </c>
      <c r="D38" s="56">
        <v>3.45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3.07</v>
      </c>
      <c r="E39" s="56" t="s">
        <v>212</v>
      </c>
      <c r="F39" s="98">
        <v>1</v>
      </c>
      <c r="G39" s="98">
        <v>1</v>
      </c>
    </row>
  </sheetData>
  <sheetProtection algorithmName="SHA-512" hashValue="BowsPjk9uf0XmjjOrl7UEBpURKHrOAmuuvsvTWlYwxUOdyeCz+gMRtHMI9QLhV1NdkQrtqE6gPb9Amg4VC2Zpw==" saltValue="nk9/Uju8/pse8pGua3rL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5KPvG1vKCophDpT0YizGUHn4jb0fzBa+nU5Hhrkirwd+V9nTnuu46GDl2KxET+JEhaJkxZtbyFwHn9YWpgvXBQ==" saltValue="yjEyL0+h0rjbM37S2qe3l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uV87w/MfQwQbCPExIGOqR3MiB5zT/LIT4DIZu/DUXl2nf+gDoXguKWdCv1FAXuUwq+TminuBLpipxo1kSROZhQ==" saltValue="spr8I45ybyE2QDAnfLwT/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8.8649080000000005E-2</v>
      </c>
      <c r="C3" s="21">
        <f>frac_mam_1_5months * 2.6</f>
        <v>8.8649080000000005E-2</v>
      </c>
      <c r="D3" s="21">
        <f>frac_mam_6_11months * 2.6</f>
        <v>5.4077139999999996E-2</v>
      </c>
      <c r="E3" s="21">
        <f>frac_mam_12_23months * 2.6</f>
        <v>2.7900339999999999E-2</v>
      </c>
      <c r="F3" s="21">
        <f>frac_mam_24_59months * 2.6</f>
        <v>2.4484460000000003E-2</v>
      </c>
    </row>
    <row r="4" spans="1:6" ht="15.75" customHeight="1" x14ac:dyDescent="0.25">
      <c r="A4" s="3" t="s">
        <v>236</v>
      </c>
      <c r="B4" s="21">
        <f>frac_sam_1month * 2.6</f>
        <v>4.2762719999999997E-2</v>
      </c>
      <c r="C4" s="21">
        <f>frac_sam_1_5months * 2.6</f>
        <v>4.2762719999999997E-2</v>
      </c>
      <c r="D4" s="21">
        <f>frac_sam_6_11months * 2.6</f>
        <v>2.3833940000000001E-2</v>
      </c>
      <c r="E4" s="21">
        <f>frac_sam_12_23months * 2.6</f>
        <v>2.4217440000000003E-2</v>
      </c>
      <c r="F4" s="21">
        <f>frac_sam_24_59months * 2.6</f>
        <v>1.0756719999999999E-2</v>
      </c>
    </row>
  </sheetData>
  <sheetProtection algorithmName="SHA-512" hashValue="zrvNiyy9cdNyWomxq/+tPNGSQThf4GeMfNMN/nD1wVasB3g5A8i76cmVLRlD5lhuwsWCy94CN6/pb7UTg4qqKg==" saltValue="gj8232l1mVWoj3BI7YYSu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0.183</v>
      </c>
      <c r="F2" s="60">
        <f>food_insecure</f>
        <v>0.183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0.183</v>
      </c>
      <c r="F5" s="60">
        <f>food_insecure</f>
        <v>0.183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0.183</v>
      </c>
      <c r="F8" s="60">
        <f>food_insecure</f>
        <v>0.183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0.183</v>
      </c>
      <c r="F9" s="60">
        <f>food_insecure</f>
        <v>0.183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0.183</v>
      </c>
      <c r="I15" s="60">
        <f t="shared" si="0"/>
        <v>0.183</v>
      </c>
      <c r="J15" s="60">
        <f t="shared" si="0"/>
        <v>0.183</v>
      </c>
      <c r="K15" s="60">
        <f t="shared" si="0"/>
        <v>0.183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0.183</v>
      </c>
      <c r="I16" s="60">
        <f t="shared" si="0"/>
        <v>0.183</v>
      </c>
      <c r="J16" s="60">
        <f t="shared" si="0"/>
        <v>0.183</v>
      </c>
      <c r="K16" s="60">
        <f t="shared" si="0"/>
        <v>0.183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0.1330297503</v>
      </c>
      <c r="M24" s="60">
        <f>famplan_unmet_need</f>
        <v>0.1330297503</v>
      </c>
      <c r="N24" s="60">
        <f>famplan_unmet_need</f>
        <v>0.1330297503</v>
      </c>
      <c r="O24" s="60">
        <f>famplan_unmet_need</f>
        <v>0.1330297503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0.21477678017599997</v>
      </c>
      <c r="M25" s="60">
        <f>(1-food_insecure)*(0.49)+food_insecure*(0.7)</f>
        <v>0.52842999999999996</v>
      </c>
      <c r="N25" s="60">
        <f>(1-food_insecure)*(0.49)+food_insecure*(0.7)</f>
        <v>0.52842999999999996</v>
      </c>
      <c r="O25" s="60">
        <f>(1-food_insecure)*(0.49)+food_insecure*(0.7)</f>
        <v>0.52842999999999996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9.2047191503999995E-2</v>
      </c>
      <c r="M26" s="60">
        <f>(1-food_insecure)*(0.21)+food_insecure*(0.3)</f>
        <v>0.22646999999999998</v>
      </c>
      <c r="N26" s="60">
        <f>(1-food_insecure)*(0.21)+food_insecure*(0.3)</f>
        <v>0.22646999999999998</v>
      </c>
      <c r="O26" s="60">
        <f>(1-food_insecure)*(0.21)+food_insecure*(0.3)</f>
        <v>0.22646999999999998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9.9619228319999989E-2</v>
      </c>
      <c r="M27" s="60">
        <f>(1-food_insecure)*(0.3)</f>
        <v>0.24509999999999998</v>
      </c>
      <c r="N27" s="60">
        <f>(1-food_insecure)*(0.3)</f>
        <v>0.24509999999999998</v>
      </c>
      <c r="O27" s="60">
        <f>(1-food_insecure)*(0.3)</f>
        <v>0.24509999999999998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0.5935568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Xrq8/P+jA6Qnat/6CXLHt+L5dzHWScAmPRwtwtmV+2NsFhYTYqmYo7HtHvIspyaJwiVBcKRe+B+wGO01b7vNdw==" saltValue="2zFrcoD4jatYdsXU2nHJe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rUFiL/fDAHy47W4Cmfll2Ii+acHUJ6DnsdxELp3IdFlq94e+9FqgJxdcqKeIi9aSFBRPhmSNNw+WCYKHTH454g==" saltValue="rZALIM9SXETsVnDHrqQCx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1KqIYLFBOCfqnRiTh5FkfQXRoLPpJksPIEqmeHLpIFLh34NAcDwOtT4xgO5y+XiT3a5C2qxtDt3Kt1jSfw1q7w==" saltValue="bxD01iOEi+/i0HojRvSuC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HTFwXVNURp5i1ip+vHG6aYd/hnS8oezYAk4cf1sdBC6T3S107WJuCd+Aai1k1IiG2RXbXE4iLa1wlYdxoYEjlA==" saltValue="oG7ph+V77s5KI3fQa+5pR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9IHtNX8IGiXjHVDr2Xjh2YV47/DBNbOpw7I6/MyIF3PCfZbm+XKZCR+JJl5tsPHPmmYTVxIeLFM8pdyNdi7LiQ==" saltValue="3A/qn4g9QqzyUR1farwrx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sZRKjvy611b0IuGYkcXCaHWmmV+kFjJY4qhtl3FPILeHnINk1L0s0DMj7yq7nM5vB0m49yqLgzUKY9IOD44xKQ==" saltValue="Lnqyo7yW2zYL9tv/4QmFA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XhPcer43Kff0Hp9jWDeb2+7rsJdmjM9IzU8ATRkxOpBCFIxhqqF5tPpzlaslT9a8k+LVoWDjxI+XIu1lwYpP6w==" saltValue="9XSnEih6vstMiOZvvbQl+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wE8TI7vhBobPi/vN4NC8JTzhoD2mO10JeEP9i7oim+B9epF+k76ttWAOLo23xyS/nSlf9JDrWKK2svo0mgL4VA==" saltValue="4mGfHEENgf+eYFIO0Qyl6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lc4/HrxfTqr5RXpXK5OVFdQsfGfYIkiUfEB1JMTgTferx5avvJxhvgBboAW836szFPhOeMYmBgdC1paA4+j3gw==" saltValue="QHYp9R4CAQU2n3LEz2a+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cZCb9GH7Hkge6LPUOCIuWifp3QNQONKE5GyMbEnqE+SVOQ5E7xVqXHxEzm5yY5IWq/7+AoODYIRLi0b2wv2NIw==" saltValue="/rsx0as3jVWlX3mW6iWV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sVdYTlXpgWr3c3/4vtLfjvleLZ8f5APD8IF4xOamgk1hsZI7W6d/7hVll2qrLem8yEKV0+7SKPnHv6gAAj6fsg==" saltValue="y71LsOFzQImDxVDhy9Dr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mNwpG2M0ST1AZ7kRb3Aj8R+yX+V2cfFrV28BGjpQi2RDjY9cdE3a15alohENpi+1esJLTWEXsajgjaSO+OXarQ==" saltValue="nQXvijTS/80hz5ihfN0W6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cVN/uzcOu6HLW6rLOWadnSd61KZjHyMkzJSgRcR6g+DSFat1UaO2Dls1HeSf74jJl5UGHNIsUqfaHU8XAZO/+A==" saltValue="kAaEo4V/RYsauSdhxRqsG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jGn9zR1tLpTWDKHnwFTNIoyTJP+5l6zLFalfDbA5D0gJ78atA/SjxSajIiq6Zoca4hUC4kbhw1JCsJ4UeoFUCQ==" saltValue="1DcvQv5ZUSqYu8vdD3VZ9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yTPgmeHORusyzYBDomRxFlGlWWlWQB4YFA34cY6yBYukR7xcfUT8q9q8OoRHmm22O5Cz1ct7oZEWVvXh7+mK5Q==" saltValue="T3vvphny7k/l+MX/Cp4Ac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2025-07-08T03:24:34Z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