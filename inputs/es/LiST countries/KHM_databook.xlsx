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2BE10F21-7BA9-46D6-8BB0-F669E2537E4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4" i="2" l="1"/>
  <c r="A22" i="2"/>
  <c r="A35" i="2"/>
  <c r="A36" i="2"/>
  <c r="A19" i="2"/>
  <c r="A23" i="2"/>
  <c r="I9" i="2"/>
  <c r="I13" i="2"/>
  <c r="A37" i="2"/>
  <c r="I4" i="2"/>
  <c r="I8" i="2"/>
  <c r="I12" i="2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<sst xmlns="http://schemas.openxmlformats.org/spreadsheetml/2006/main" count="2159" uniqueCount="372">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</sst>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1781459.5</v>
      </c>
    </row>
    <row r="8" spans="1:3" ht="15" customHeight="1" x14ac:dyDescent="0.25">
      <c r="B8" s="5" t="s">
        <v>63</v>
      </c>
      <c r="C8" s="44">
        <v>0.14199999999999999</v>
      </c>
    </row>
    <row r="9" spans="1:3" ht="15" customHeight="1" x14ac:dyDescent="0.25">
      <c r="B9" s="5" t="s">
        <v>62</v>
      </c>
      <c r="C9" s="45">
        <v>0.17799999999999999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0.1135</v>
      </c>
    </row>
    <row r="24" spans="1:3" ht="15" customHeight="1" x14ac:dyDescent="0.25">
      <c r="B24" s="15" t="s">
        <v>65</v>
      </c>
      <c r="C24" s="45">
        <v>0.59699999999999998</v>
      </c>
    </row>
    <row r="25" spans="1:3" ht="15" customHeight="1" x14ac:dyDescent="0.25">
      <c r="B25" s="15" t="s">
        <v>66</v>
      </c>
      <c r="C25" s="45">
        <v>0.25979999999999998</v>
      </c>
    </row>
    <row r="26" spans="1:3" ht="15" customHeight="1" x14ac:dyDescent="0.25">
      <c r="B26" s="15" t="s">
        <v>67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0.35360940846886901</v>
      </c>
    </row>
    <row r="30" spans="1:3" ht="14.25" customHeight="1" x14ac:dyDescent="0.25">
      <c r="B30" s="25" t="s">
        <v>82</v>
      </c>
      <c r="C30" s="99">
        <v>2.37391160515825E-2</v>
      </c>
    </row>
    <row r="31" spans="1:3" ht="14.25" customHeight="1" x14ac:dyDescent="0.25">
      <c r="B31" s="25" t="s">
        <v>29</v>
      </c>
      <c r="C31" s="99">
        <v>4.6299410961796898E-2</v>
      </c>
    </row>
    <row r="32" spans="1:3" ht="14.25" customHeight="1" x14ac:dyDescent="0.25">
      <c r="B32" s="25" t="s">
        <v>30</v>
      </c>
      <c r="C32" s="99">
        <v>0.57635206451775101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12.831490000000001</v>
      </c>
    </row>
    <row r="38" spans="1:5" ht="15" customHeight="1" x14ac:dyDescent="0.25">
      <c r="B38" s="11" t="s">
        <v>54</v>
      </c>
      <c r="C38" s="43">
        <v>21.255769999999998</v>
      </c>
      <c r="D38" s="12"/>
      <c r="E38" s="13"/>
    </row>
    <row r="39" spans="1:5" ht="15" customHeight="1" x14ac:dyDescent="0.25">
      <c r="B39" s="11" t="s">
        <v>80</v>
      </c>
      <c r="C39" s="43">
        <v>24.763559999999998</v>
      </c>
      <c r="D39" s="12"/>
      <c r="E39" s="12"/>
    </row>
    <row r="40" spans="1:5" ht="15" customHeight="1" x14ac:dyDescent="0.25">
      <c r="B40" s="11" t="s">
        <v>55</v>
      </c>
      <c r="C40" s="100">
        <v>2.1800000000000002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5.2859999999999999E-3</v>
      </c>
      <c r="D45" s="12"/>
    </row>
    <row r="46" spans="1:5" ht="15.75" customHeight="1" x14ac:dyDescent="0.25">
      <c r="B46" s="11" t="s">
        <v>70</v>
      </c>
      <c r="C46" s="45">
        <v>5.6797599999999997E-2</v>
      </c>
      <c r="D46" s="12"/>
    </row>
    <row r="47" spans="1:5" ht="15.75" customHeight="1" x14ac:dyDescent="0.25">
      <c r="B47" s="11" t="s">
        <v>78</v>
      </c>
      <c r="C47" s="45">
        <v>7.5974799999999995E-2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1.6120000000000001</v>
      </c>
      <c r="D51" s="12"/>
    </row>
    <row r="52" spans="1:4" ht="15" customHeight="1" x14ac:dyDescent="0.25">
      <c r="B52" s="11" t="s">
        <v>32</v>
      </c>
      <c r="C52" s="100">
        <v>1.6120000000000001</v>
      </c>
    </row>
    <row r="53" spans="1:4" ht="15.75" customHeight="1" x14ac:dyDescent="0.25">
      <c r="B53" s="11" t="s">
        <v>35</v>
      </c>
      <c r="C53" s="100">
        <v>3.1720000000000002</v>
      </c>
    </row>
    <row r="54" spans="1:4" ht="15.75" customHeight="1" x14ac:dyDescent="0.25">
      <c r="B54" s="11" t="s">
        <v>33</v>
      </c>
      <c r="C54" s="100">
        <v>2.34</v>
      </c>
    </row>
    <row r="55" spans="1:4" ht="15.75" customHeight="1" x14ac:dyDescent="0.25">
      <c r="B55" s="11" t="s">
        <v>34</v>
      </c>
      <c r="C55" s="100">
        <v>1.031333333333333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0.47050399999999998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0.1144900477</v>
      </c>
    </row>
    <row r="63" spans="1:4" ht="15.75" customHeight="1" x14ac:dyDescent="0.3">
      <c r="A63" s="4"/>
    </row>
  </sheetData>
  <sheetProtection algorithmName="SHA-512" hashValue="vceZZYoY2++yugR1bRdXZZr25mX3Mc5dsl1jHR0Do3rS8Kep5aiFb67r3qYA0ISwEQvU5L4jucGd13lFCWilDg==" saltValue="9srHtG5DDsi57mcTlQSg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jHtAhErbXtB3G023/n/av74dHsaE/MXyfgICN6QE5v/sqHbZdK+lvL7lNiJ+E2Jew8vAkx4GJfJeOgL1avktw==" saltValue="uMWd8RnWpalST3PoQlR4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4.6268999999999928E-3</v>
      </c>
    </row>
    <row r="4" spans="1:8" ht="15.75" customHeight="1" x14ac:dyDescent="0.25">
      <c r="B4" s="19" t="s">
        <v>116</v>
      </c>
      <c r="C4" s="101">
        <v>5.4811399999999962E-2</v>
      </c>
    </row>
    <row r="5" spans="1:8" ht="15.75" customHeight="1" x14ac:dyDescent="0.25">
      <c r="B5" s="19" t="s">
        <v>114</v>
      </c>
      <c r="C5" s="101">
        <v>5.0352800000000079E-2</v>
      </c>
    </row>
    <row r="6" spans="1:8" ht="15.75" customHeight="1" x14ac:dyDescent="0.25">
      <c r="B6" s="19" t="s">
        <v>110</v>
      </c>
      <c r="C6" s="101">
        <v>0.2002200999999994</v>
      </c>
    </row>
    <row r="7" spans="1:8" ht="15.75" customHeight="1" x14ac:dyDescent="0.25">
      <c r="B7" s="19" t="s">
        <v>115</v>
      </c>
      <c r="C7" s="101">
        <v>0.44372300000000048</v>
      </c>
    </row>
    <row r="8" spans="1:8" ht="15.75" customHeight="1" x14ac:dyDescent="0.25">
      <c r="B8" s="19" t="s">
        <v>117</v>
      </c>
      <c r="C8" s="101">
        <v>6.0170000000000048E-4</v>
      </c>
    </row>
    <row r="9" spans="1:8" ht="15.75" customHeight="1" x14ac:dyDescent="0.25">
      <c r="B9" s="19" t="s">
        <v>111</v>
      </c>
      <c r="C9" s="101">
        <v>0.15703459999999991</v>
      </c>
    </row>
    <row r="10" spans="1:8" ht="15.75" customHeight="1" x14ac:dyDescent="0.25">
      <c r="B10" s="19" t="s">
        <v>113</v>
      </c>
      <c r="C10" s="101">
        <v>8.8629500000000097E-2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121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2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109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3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120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98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107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118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4.7776088999999987E-2</v>
      </c>
    </row>
    <row r="27" spans="1:8" ht="15.75" customHeight="1" x14ac:dyDescent="0.25">
      <c r="B27" s="19" t="s">
        <v>108</v>
      </c>
      <c r="C27" s="101">
        <v>1.8197206E-2</v>
      </c>
    </row>
    <row r="28" spans="1:8" ht="15.75" customHeight="1" x14ac:dyDescent="0.25">
      <c r="B28" s="19" t="s">
        <v>122</v>
      </c>
      <c r="C28" s="101">
        <v>0.22881369300000001</v>
      </c>
    </row>
    <row r="29" spans="1:8" ht="15.75" customHeight="1" x14ac:dyDescent="0.25">
      <c r="B29" s="19" t="s">
        <v>105</v>
      </c>
      <c r="C29" s="101">
        <v>0.13822648400000001</v>
      </c>
    </row>
    <row r="30" spans="1:8" ht="15.75" customHeight="1" x14ac:dyDescent="0.25">
      <c r="B30" s="19" t="s">
        <v>4</v>
      </c>
      <c r="C30" s="101">
        <v>5.0121434999999999E-2</v>
      </c>
    </row>
    <row r="31" spans="1:8" ht="15.75" customHeight="1" x14ac:dyDescent="0.25">
      <c r="B31" s="19" t="s">
        <v>99</v>
      </c>
      <c r="C31" s="101">
        <v>6.9180167000000001E-2</v>
      </c>
    </row>
    <row r="32" spans="1:8" ht="15.75" customHeight="1" x14ac:dyDescent="0.25">
      <c r="B32" s="19" t="s">
        <v>104</v>
      </c>
      <c r="C32" s="101">
        <v>0.14697111700000001</v>
      </c>
    </row>
    <row r="33" spans="2:3" ht="15.75" customHeight="1" x14ac:dyDescent="0.25">
      <c r="B33" s="19" t="s">
        <v>119</v>
      </c>
      <c r="C33" s="101">
        <v>0.122692382</v>
      </c>
    </row>
    <row r="34" spans="2:3" ht="15.75" customHeight="1" x14ac:dyDescent="0.25">
      <c r="B34" s="19" t="s">
        <v>106</v>
      </c>
      <c r="C34" s="101">
        <v>0.17802142600000001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y39ynNiA7oW4JybEcYzEK5EZxn9ZEoWdRl4fEpVK32nbWkNPdydoXWVBrjw6NEkcbSqwxzoC/Tj/kFQFa+x6LA==" saltValue="qypRIBoWma5ybpzFja/5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129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125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126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138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4/cDSMdMPc06uQyVtPwUyl7/icGI78JqaifBlHTcj+6fc5i/Ip4m4+vBwehK3OJc9N2s4q+JrVqUxHmXyy77g==" saltValue="lMQob9QImnUjsgt0xwJH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0.19904269999999991</v>
      </c>
      <c r="D5" s="52">
        <f t="shared" si="0"/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fWU1U8F20rLOLQi+WzkObLCHDftBNmVcLyt+a6XoBFsB1ja9gnRFXjK8kjopRLQfV+ZGfuKnwVs9roKF2iv9lA==" saltValue="qOM0LYsBnODilE0sqhFI+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sC2WrwH96ALcHuw2Zy7mZYe7eXHVavgcCzCskzWCux5Cq44+trTcT8/LTkYeX1EZhHEe5NzUvceH8/YuZo5Sw==" saltValue="zhCWGcun5QsVAbokSPDC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1759.6080234604401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0.42314000000000002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0.73861999999999994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1.9184676845374407E-2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97269.828099999999</v>
      </c>
      <c r="C22" s="109">
        <v>96983.273650000003</v>
      </c>
      <c r="D22" s="109">
        <v>96811.436279999994</v>
      </c>
      <c r="E22" s="109">
        <v>96358.799939999997</v>
      </c>
      <c r="F22" s="109">
        <v>95741.665299999993</v>
      </c>
      <c r="G22" s="109">
        <v>95080.704729999998</v>
      </c>
      <c r="H22" s="109">
        <v>94271.259430000006</v>
      </c>
      <c r="I22" s="109">
        <v>93129.812300000005</v>
      </c>
      <c r="J22" s="109">
        <v>91427.028510000004</v>
      </c>
      <c r="K22" s="109">
        <v>88877.14301</v>
      </c>
      <c r="L22" s="109">
        <v>85063.655830000003</v>
      </c>
      <c r="M22" s="109">
        <v>79673.528420000002</v>
      </c>
      <c r="N22" s="109">
        <v>72185.250419999997</v>
      </c>
      <c r="O22" s="109">
        <v>61999.453289999998</v>
      </c>
    </row>
  </sheetData>
  <sheetProtection algorithmName="SHA-512" hashValue="f69pvhjY4LnldE5ZSgWQWTW9Xln5kApVuq5P58xCeE7J7gx9jSRFtGNHfuqO3c+vO7zvCqM39AdBG48HiHobPw==" saltValue="iSrmzigUG7hEMFbvhgTZ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DQcQHECA/Evtdi6sXDQ/P7Foyk+lfRNVB5FL5vWnZd31+lc1QJx81GfPQWOmaQPRzwNWSXhiwoDtoJ/h7NskA==" saltValue="fTkWY5rMKJwIymrCKTLQ0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gdpqbJIWnYdtpMSd3rHHk5WomWFWdzf9sgANrexolfP1sc/voy0ImV+cwLzKQFz8PlnOs/W7Mt9qB9fUb/e3Q==" saltValue="B11C/5y4rU/rTSGswyudm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0.63782823352220286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0.89073059999999993</v>
      </c>
      <c r="C10" s="98">
        <v>0.95</v>
      </c>
      <c r="D10" s="56">
        <v>13.57902668055927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13.57902668055927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13.57902668055927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13.57902668055927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0.89073059999999993</v>
      </c>
      <c r="C14" s="98">
        <v>0.95</v>
      </c>
      <c r="D14" s="56">
        <v>13.57902668055927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13.57902668055927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4.1250299999999997E-2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0.64700000000000002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0.48294340000000002</v>
      </c>
      <c r="C19" s="98">
        <v>0.95</v>
      </c>
      <c r="D19" s="56">
        <v>3.014096374602512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4.50575E-2</v>
      </c>
      <c r="C23" s="98">
        <v>0.95</v>
      </c>
      <c r="D23" s="56">
        <v>4.4856136591440912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0.69694892887370008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3.7000000000000012E-2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0.28605269999999999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0.48644500000000002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2.46E-2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0.39700000000000002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0.83350530000000012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0.30354370000000003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0.1965143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0.34371230000000003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9.5000000000000001E-2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V2R+g7f50tMHv1LyMFVYC+hU0lCoB2UwCWH637dp9wV7mTJgH57yq0jdgxCw8KPsr+Ud5xUz/btu8WgDcndDUw==" saltValue="po3ggFmc7sx6xckherhG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f6WG1O07uTU535tiB1ZYzqP7/dc35voLwTVbTl19NEzAqrwdyQ/iQ9ljpkqZHN57RpHxiimm9tAI/kVkt7+Nw==" saltValue="cPKarcx0BxGR8kWDG5cc2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3mmR4xmLv1LnEAstgz6vm4WjNtgTrdI7cY4WnNtPlIL9KZ6TUVJ2Kv3f8ZCAESgn1iumEOLX9o2lhUdlK8m3w==" saltValue="ZauYG0aiDJRS2VvoEQPo+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1.6120000000000001</v>
      </c>
      <c r="C2" s="21">
        <f>'Entradas de población-año base'!C52</f>
        <v>1.6120000000000001</v>
      </c>
      <c r="D2" s="21">
        <f>'Entradas de población-año base'!C53</f>
        <v>3.1720000000000002</v>
      </c>
      <c r="E2" s="21">
        <f>'Entradas de población-año base'!C54</f>
        <v>2.34</v>
      </c>
      <c r="F2" s="21">
        <f>'Entradas de población-año base'!C55</f>
        <v>1.031333333333333</v>
      </c>
    </row>
    <row r="3" spans="1:6" ht="15.75" customHeight="1" x14ac:dyDescent="0.25">
      <c r="A3" s="3" t="s">
        <v>6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236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sheetProtection algorithmName="SHA-512" hashValue="UxPBywcFrUYDoaw7UtWJVMebreznOoHyhizqDtJK+iFihOSlpYfrNTPjjUzB/kzm/u1F+a63LW+3cOv6KAz+Aw==" saltValue="04OrJDhqa69Tifhv0J+CR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0.14199999999999999</v>
      </c>
      <c r="F2" s="60">
        <f>food_insecure</f>
        <v>0.14199999999999999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3.4438181818181812E-2</v>
      </c>
      <c r="D7" s="60">
        <f>diarrhoea_1_5mo*frac_diarrhea_severe</f>
        <v>3.4438181818181812E-2</v>
      </c>
      <c r="E7" s="60">
        <f>diarrhoea_6_11mo*frac_diarrhea_severe</f>
        <v>6.7765454545454532E-2</v>
      </c>
      <c r="F7" s="60">
        <f>diarrhoea_12_23mo*frac_diarrhea_severe</f>
        <v>4.9990909090909079E-2</v>
      </c>
      <c r="G7" s="60">
        <f>diarrhoea_24_59mo*frac_diarrhea_severe</f>
        <v>2.203303030303029E-2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3.4438181818181812E-2</v>
      </c>
      <c r="D12" s="60">
        <f>diarrhoea_1_5mo*frac_diarrhea_severe</f>
        <v>3.4438181818181812E-2</v>
      </c>
      <c r="E12" s="60">
        <f>diarrhoea_6_11mo*frac_diarrhea_severe</f>
        <v>6.7765454545454532E-2</v>
      </c>
      <c r="F12" s="60">
        <f>diarrhoea_12_23mo*frac_diarrhea_severe</f>
        <v>4.9990909090909079E-2</v>
      </c>
      <c r="G12" s="60">
        <f>diarrhoea_24_59mo*frac_diarrhea_severe</f>
        <v>2.203303030303029E-2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0.14199999999999999</v>
      </c>
      <c r="I15" s="60">
        <f t="shared" si="0"/>
        <v>0.14199999999999999</v>
      </c>
      <c r="J15" s="60">
        <f t="shared" si="0"/>
        <v>0.14199999999999999</v>
      </c>
      <c r="K15" s="60">
        <f t="shared" si="0"/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0.14199999999999999</v>
      </c>
      <c r="I16" s="60">
        <f t="shared" si="0"/>
        <v>0.14199999999999999</v>
      </c>
      <c r="J16" s="60">
        <f t="shared" si="0"/>
        <v>0.14199999999999999</v>
      </c>
      <c r="K16" s="60">
        <f t="shared" si="0"/>
        <v>0.14199999999999999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0.17799999999999999</v>
      </c>
      <c r="D34" s="60">
        <f t="shared" si="4"/>
        <v>0.17799999999999999</v>
      </c>
      <c r="E34" s="60">
        <f t="shared" si="4"/>
        <v>0.17799999999999999</v>
      </c>
      <c r="F34" s="60">
        <f t="shared" si="4"/>
        <v>0.17799999999999999</v>
      </c>
      <c r="G34" s="60">
        <f t="shared" si="4"/>
        <v>0.17799999999999999</v>
      </c>
      <c r="H34" s="60">
        <f t="shared" si="4"/>
        <v>0.17799999999999999</v>
      </c>
      <c r="I34" s="60">
        <f t="shared" si="4"/>
        <v>0.17799999999999999</v>
      </c>
      <c r="J34" s="60">
        <f t="shared" si="4"/>
        <v>0.17799999999999999</v>
      </c>
      <c r="K34" s="60">
        <f t="shared" si="4"/>
        <v>0.17799999999999999</v>
      </c>
      <c r="L34" s="60">
        <f t="shared" si="4"/>
        <v>0.17799999999999999</v>
      </c>
      <c r="M34" s="60">
        <f t="shared" si="4"/>
        <v>0.17799999999999999</v>
      </c>
      <c r="N34" s="60">
        <f t="shared" si="4"/>
        <v>0.17799999999999999</v>
      </c>
      <c r="O34" s="60">
        <f t="shared" si="4"/>
        <v>0.17799999999999999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+8nfjDS/sHoN0rehJOwxVLYrUtWQGyjCqqNF3DtViqMkQodbt+m2bCAjd1aa9hYVKF9ALfSi0lElTYwRoRtIA==" saltValue="HyN0LLz5sUCEEXq/8NOK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Y71nFgI+fgOiDEs4X4tp+Q+ehmODhWQrfLZk1K8zNFPxH6XGYfUqaCpgnba5UMhAFy+ussJrx/wQE3QGLw8nA==" saltValue="cgTYpzyGUciFNFHP3npg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t85tRjj2jjq2z/yGu/UZZxV90xizQsDbQ8Iscvg7OS/ceInenZgVkoQ0SJd+k1zIIXRYG5QD7x1iOyDVqRjRw==" saltValue="BLT4HSac6NYj0OdNZiCi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jt/4Ne/nOmtDWTjJ7vK1YrcAxpI2z7uV+pmKpnyOYEtpa+CD4DHstlNvcidlosPV1llA+gm8MwI9lxZAChg7g==" saltValue="e39W6FIV5w6lms2uWCIWq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LHrc+L9KfweddLP0Jc+oaJmQi09MkbRKQYH1wltfr8+vptsdF1RyZ3Opz6Q3/qbFj7VObbUbasNw8S7Qfnvi0Q==" saltValue="mCItzTZ5rJwpG3oyblHn0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q+RrDuJ7L+cfLSLL/u6ClhH1IMerEGYsOgw95vvguEvXWt7cOqX5EfVRvLPk4W+AzQzcdKjyr/jXvX8RWsheFQ==" saltValue="yRI+9NhBT5A1zXxGkrdv6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1vWphMjM0LEfHfJ4tOiX9uxU5Bfmyer+zVKfV5c4eX77/GitKw4qyOEU9urngHo0JheRho1h9s6S6IRYEfnrg==" saltValue="KpFtcPA8h++I3/jZeAhyi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wEIkspQWWkIcg63RGFzSHkAjdLw9KWlXULYfJvDWAG9zIZ3UKKMX01mGMJuytUKCoqPts1QlWyEusxGnTdWVg==" saltValue="zbovdMrWQHj2sD+EeB1g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qLAg8Sk9fSC1EAUPtbXbodA0LcuqO6ohUfosT7wvJSjNoQ8UGPxW9TsBFSFG+M4UML6O8F5Bc7pAHuSi+lVYOA==" saltValue="gO9KvCMoxjBcks/NV1Sc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Wu7Okw/ndQefmET76Z79yY+tJY4IiZeecwiir3D+/f7ZHXbN4EWZPZx5L7ctGL8UzHIyy2FMKmwkrEvUCCk9w==" saltValue="jBDL6UcwUpiiSNAxipI/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KDhSamABZvWLpbdTyjmSCx5Mydv2ZllXf85T8bc4tqEBYg/nQlNIAwLUNj+wgaG8E8bhwkeOAjMcwAKZrLfmw==" saltValue="NtEIrdYYmULmbwg0fwws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0SpFzinMkE+3RIqRlN6ofAsZcYD7UvBVG2uLaC7xcAHqufLAyyBNUkhwfUmTjRdF4BZh4JyXNfqwJiJaavu5g==" saltValue="hRCVo4EXAgPKy98CtN0z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YHDCAAJ4C/aBoWrhP3HLsujOnnciJPQEWzwEPoUkd7e8wI8xMlJ2WkYeeW6zykZWJaWm0cw+xknEG0ji1D7uw==" saltValue="8vZFJMpQuebsKNi3vt4h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PmIg5cq+XiEhHlbIgZ4YtL7GOzW40dEDzKRw0sj5gonol/enF47sSSeUPVvZrJweyurl4b5CPCswcIqdadPPg==" saltValue="i2iIFZgw9u6uV1OwyHMw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j9HzbAt0sMiwE5fnoBuv2kY+KYtzfnEJEKqqmZwSP8C3YgVfeRgi5x/vDoVVR2wSDVEssf8oK4x7pJITGN0iaw==" saltValue="bmh8ZcqRAaRPox1oZ93G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2025-07-04T01:38:47Z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