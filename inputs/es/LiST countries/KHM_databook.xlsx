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609A4F52-44EF-4535-B9A0-8577CFF98832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31" i="2" l="1"/>
  <c r="A36" i="2"/>
  <c r="A37" i="2"/>
  <c r="I7" i="2"/>
  <c r="I13" i="2"/>
  <c r="A34" i="2"/>
  <c r="I6" i="2"/>
  <c r="I12" i="2"/>
  <c r="A35" i="2"/>
  <c r="I39" i="2"/>
  <c r="A24" i="2"/>
  <c r="A40" i="2"/>
  <c r="I4" i="2"/>
  <c r="A25" i="2"/>
  <c r="A19" i="2"/>
  <c r="A22" i="2"/>
  <c r="A23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<sst xmlns="http://schemas.openxmlformats.org/spreadsheetml/2006/main" count="2169" uniqueCount="373">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</sst>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1781459.5</v>
      </c>
    </row>
    <row r="8" spans="1:3" ht="15" customHeight="1" x14ac:dyDescent="0.25">
      <c r="B8" s="5" t="s">
        <v>63</v>
      </c>
      <c r="C8" s="44">
        <v>0.14199999999999999</v>
      </c>
    </row>
    <row r="9" spans="1:3" ht="15" customHeight="1" x14ac:dyDescent="0.25">
      <c r="B9" s="5" t="s">
        <v>62</v>
      </c>
      <c r="C9" s="45">
        <v>0.17799999999999999</v>
      </c>
    </row>
    <row r="10" spans="1:3" ht="15" customHeight="1" x14ac:dyDescent="0.25">
      <c r="B10" s="5" t="s">
        <v>75</v>
      </c>
      <c r="C10" s="45">
        <v>0.81408699039999999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0.125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0.1135</v>
      </c>
    </row>
    <row r="24" spans="1:3" ht="15" customHeight="1" x14ac:dyDescent="0.25">
      <c r="B24" s="15" t="s">
        <v>65</v>
      </c>
      <c r="C24" s="45">
        <v>0.59699999999999998</v>
      </c>
    </row>
    <row r="25" spans="1:3" ht="15" customHeight="1" x14ac:dyDescent="0.25">
      <c r="B25" s="15" t="s">
        <v>66</v>
      </c>
      <c r="C25" s="45">
        <v>0.25979999999999998</v>
      </c>
    </row>
    <row r="26" spans="1:3" ht="15" customHeight="1" x14ac:dyDescent="0.25">
      <c r="B26" s="15" t="s">
        <v>67</v>
      </c>
      <c r="C26" s="45">
        <v>2.9700000000000001E-2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0.35360940846886901</v>
      </c>
    </row>
    <row r="30" spans="1:3" ht="14.25" customHeight="1" x14ac:dyDescent="0.25">
      <c r="B30" s="25" t="s">
        <v>82</v>
      </c>
      <c r="C30" s="97">
        <v>2.37391160515825E-2</v>
      </c>
    </row>
    <row r="31" spans="1:3" ht="14.25" customHeight="1" x14ac:dyDescent="0.25">
      <c r="B31" s="25" t="s">
        <v>29</v>
      </c>
      <c r="C31" s="97">
        <v>4.6299410961796898E-2</v>
      </c>
    </row>
    <row r="32" spans="1:3" ht="14.25" customHeight="1" x14ac:dyDescent="0.25">
      <c r="B32" s="25" t="s">
        <v>30</v>
      </c>
      <c r="C32" s="97">
        <v>0.57635206451775101</v>
      </c>
    </row>
    <row r="33" spans="1:5" ht="13.25" customHeight="1" x14ac:dyDescent="0.25">
      <c r="B33" s="27" t="s">
        <v>79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12.831490000000001</v>
      </c>
    </row>
    <row r="38" spans="1:5" ht="15" customHeight="1" x14ac:dyDescent="0.25">
      <c r="B38" s="11" t="s">
        <v>54</v>
      </c>
      <c r="C38" s="43">
        <v>21.255769999999998</v>
      </c>
      <c r="D38" s="12"/>
      <c r="E38" s="13"/>
    </row>
    <row r="39" spans="1:5" ht="15" customHeight="1" x14ac:dyDescent="0.25">
      <c r="B39" s="11" t="s">
        <v>80</v>
      </c>
      <c r="C39" s="43">
        <v>24.763559999999998</v>
      </c>
      <c r="D39" s="12"/>
      <c r="E39" s="12"/>
    </row>
    <row r="40" spans="1:5" ht="15" customHeight="1" x14ac:dyDescent="0.25">
      <c r="B40" s="11" t="s">
        <v>55</v>
      </c>
      <c r="C40" s="98">
        <v>2.1800000000000002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11.4114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5.2859999999999999E-3</v>
      </c>
      <c r="D45" s="12"/>
    </row>
    <row r="46" spans="1:5" ht="15.75" customHeight="1" x14ac:dyDescent="0.25">
      <c r="B46" s="11" t="s">
        <v>70</v>
      </c>
      <c r="C46" s="45">
        <v>5.6797599999999997E-2</v>
      </c>
      <c r="D46" s="12"/>
    </row>
    <row r="47" spans="1:5" ht="15.75" customHeight="1" x14ac:dyDescent="0.25">
      <c r="B47" s="11" t="s">
        <v>78</v>
      </c>
      <c r="C47" s="45">
        <v>7.5974799999999995E-2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1.6120000000000001</v>
      </c>
      <c r="D51" s="12"/>
    </row>
    <row r="52" spans="1:4" ht="15" customHeight="1" x14ac:dyDescent="0.25">
      <c r="B52" s="11" t="s">
        <v>32</v>
      </c>
      <c r="C52" s="98">
        <v>1.6120000000000001</v>
      </c>
    </row>
    <row r="53" spans="1:4" ht="15.75" customHeight="1" x14ac:dyDescent="0.25">
      <c r="B53" s="11" t="s">
        <v>35</v>
      </c>
      <c r="C53" s="98">
        <v>3.1720000000000002</v>
      </c>
    </row>
    <row r="54" spans="1:4" ht="15.75" customHeight="1" x14ac:dyDescent="0.25">
      <c r="B54" s="11" t="s">
        <v>33</v>
      </c>
      <c r="C54" s="98">
        <v>2.34</v>
      </c>
    </row>
    <row r="55" spans="1:4" ht="15.75" customHeight="1" x14ac:dyDescent="0.25">
      <c r="B55" s="11" t="s">
        <v>34</v>
      </c>
      <c r="C55" s="98">
        <v>1.031333333333333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0.47050399999999998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0.1144900477</v>
      </c>
    </row>
    <row r="63" spans="1:4" ht="15.75" customHeight="1" x14ac:dyDescent="0.3">
      <c r="A63" s="4"/>
    </row>
  </sheetData>
  <sheetProtection algorithmName="SHA-512" hashValue="lIqmnxbeBypq8Zzry73yrUM2FK1cS96qVDcA8U0Vb9IQNqhksXiTnkJaZeHCdZw0GrCfQyBwtIMuIosPoRe1YQ==" saltValue="Ww8POIOwyyN5gAu+nwvc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310610</v>
      </c>
      <c r="C2" s="49">
        <v>911915</v>
      </c>
      <c r="D2" s="49">
        <v>1342319</v>
      </c>
      <c r="E2" s="49">
        <v>1422995.5</v>
      </c>
      <c r="F2" s="49">
        <v>786848</v>
      </c>
      <c r="G2" s="17">
        <f t="shared" ref="G2:G13" si="0">C2+D2+E2+F2</f>
        <v>4464077.5</v>
      </c>
      <c r="H2" s="17">
        <f t="shared" ref="H2:H13" si="1">(B2 + stillbirth*B2/(1000-stillbirth))/(1-abortion)</f>
        <v>357040.23806354741</v>
      </c>
      <c r="I2" s="17">
        <f t="shared" ref="I2:I13" si="2">G2-H2</f>
        <v>4107037.2619364527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307406</v>
      </c>
      <c r="C3" s="50">
        <v>920790.99999999988</v>
      </c>
      <c r="D3" s="50">
        <v>1343114</v>
      </c>
      <c r="E3" s="50">
        <v>1419868.5</v>
      </c>
      <c r="F3" s="50">
        <v>846354</v>
      </c>
      <c r="G3" s="17">
        <f t="shared" si="0"/>
        <v>4530127.5</v>
      </c>
      <c r="H3" s="17">
        <f t="shared" si="1"/>
        <v>353357.30151045643</v>
      </c>
      <c r="I3" s="17">
        <f t="shared" si="2"/>
        <v>4176770.1984895435</v>
      </c>
    </row>
    <row r="4" spans="1:9" ht="15.75" customHeight="1" x14ac:dyDescent="0.25">
      <c r="A4" s="5">
        <f t="shared" si="3"/>
        <v>2026</v>
      </c>
      <c r="B4" s="49">
        <v>305439</v>
      </c>
      <c r="C4" s="50">
        <v>928851.5</v>
      </c>
      <c r="D4" s="50">
        <v>1353975.5</v>
      </c>
      <c r="E4" s="50">
        <v>1407444</v>
      </c>
      <c r="F4" s="50">
        <v>915445</v>
      </c>
      <c r="G4" s="17">
        <f t="shared" si="0"/>
        <v>4605716</v>
      </c>
      <c r="H4" s="17">
        <f t="shared" si="1"/>
        <v>351096.27273394889</v>
      </c>
      <c r="I4" s="17">
        <f t="shared" si="2"/>
        <v>4254619.7272660509</v>
      </c>
    </row>
    <row r="5" spans="1:9" ht="15.75" customHeight="1" x14ac:dyDescent="0.25">
      <c r="A5" s="5">
        <f t="shared" si="3"/>
        <v>2027</v>
      </c>
      <c r="B5" s="49">
        <v>302873</v>
      </c>
      <c r="C5" s="50">
        <v>935617.99999999977</v>
      </c>
      <c r="D5" s="50">
        <v>1377387.5</v>
      </c>
      <c r="E5" s="50">
        <v>1384139</v>
      </c>
      <c r="F5" s="50">
        <v>993388.50000000012</v>
      </c>
      <c r="G5" s="17">
        <f t="shared" si="0"/>
        <v>4690533</v>
      </c>
      <c r="H5" s="17">
        <f t="shared" si="1"/>
        <v>348146.70494517498</v>
      </c>
      <c r="I5" s="17">
        <f t="shared" si="2"/>
        <v>4342386.295054825</v>
      </c>
    </row>
    <row r="6" spans="1:9" ht="15.75" customHeight="1" x14ac:dyDescent="0.25">
      <c r="A6" s="5">
        <f t="shared" si="3"/>
        <v>2028</v>
      </c>
      <c r="B6" s="49">
        <v>302793</v>
      </c>
      <c r="C6" s="50">
        <v>940971.5</v>
      </c>
      <c r="D6" s="50">
        <v>1401247.5</v>
      </c>
      <c r="E6" s="50">
        <v>1361697.5</v>
      </c>
      <c r="F6" s="50">
        <v>1071877.5</v>
      </c>
      <c r="G6" s="17">
        <f t="shared" si="0"/>
        <v>4775794</v>
      </c>
      <c r="H6" s="17">
        <f t="shared" si="1"/>
        <v>348054.74647942994</v>
      </c>
      <c r="I6" s="17">
        <f t="shared" si="2"/>
        <v>4427739.2535205698</v>
      </c>
    </row>
    <row r="7" spans="1:9" ht="15.75" customHeight="1" x14ac:dyDescent="0.25">
      <c r="A7" s="5">
        <f t="shared" si="3"/>
        <v>2029</v>
      </c>
      <c r="B7" s="49">
        <v>302612</v>
      </c>
      <c r="C7" s="50">
        <v>945708.5</v>
      </c>
      <c r="D7" s="50">
        <v>1418721</v>
      </c>
      <c r="E7" s="50">
        <v>1347437.5</v>
      </c>
      <c r="F7" s="50">
        <v>1135227.5</v>
      </c>
      <c r="G7" s="17">
        <f t="shared" si="0"/>
        <v>4847094.5</v>
      </c>
      <c r="H7" s="17">
        <f t="shared" si="1"/>
        <v>347846.69045068161</v>
      </c>
      <c r="I7" s="17">
        <f t="shared" si="2"/>
        <v>4499247.8095493186</v>
      </c>
    </row>
    <row r="8" spans="1:9" ht="15.75" customHeight="1" x14ac:dyDescent="0.25">
      <c r="A8" s="5">
        <f t="shared" si="3"/>
        <v>2030</v>
      </c>
      <c r="B8" s="49">
        <v>301287</v>
      </c>
      <c r="C8" s="50">
        <v>949339.5</v>
      </c>
      <c r="D8" s="50">
        <v>1436537.5</v>
      </c>
      <c r="E8" s="50">
        <v>1333776</v>
      </c>
      <c r="F8" s="50">
        <v>1174424.5</v>
      </c>
      <c r="G8" s="17">
        <f t="shared" si="0"/>
        <v>4894077.5</v>
      </c>
      <c r="H8" s="17">
        <f t="shared" si="1"/>
        <v>346323.62836177851</v>
      </c>
      <c r="I8" s="17">
        <f t="shared" si="2"/>
        <v>4547753.8716382217</v>
      </c>
    </row>
    <row r="9" spans="1:9" ht="15.75" customHeight="1" x14ac:dyDescent="0.25">
      <c r="A9" s="5">
        <f t="shared" si="3"/>
        <v>2031</v>
      </c>
      <c r="B9" s="49">
        <v>301412</v>
      </c>
      <c r="C9" s="50">
        <v>951471</v>
      </c>
      <c r="D9" s="50">
        <v>1453922</v>
      </c>
      <c r="E9" s="50">
        <v>1319653.5</v>
      </c>
      <c r="F9" s="50">
        <v>1198350</v>
      </c>
      <c r="G9" s="17">
        <f t="shared" si="0"/>
        <v>4923396.5</v>
      </c>
      <c r="H9" s="17">
        <f t="shared" si="1"/>
        <v>346467.31346450525</v>
      </c>
      <c r="I9" s="17">
        <f t="shared" si="2"/>
        <v>4576929.1865354944</v>
      </c>
    </row>
    <row r="10" spans="1:9" ht="15.75" customHeight="1" x14ac:dyDescent="0.25">
      <c r="A10" s="5">
        <f t="shared" si="3"/>
        <v>2032</v>
      </c>
      <c r="B10" s="49">
        <v>300939</v>
      </c>
      <c r="C10" s="50">
        <v>950725.49999999988</v>
      </c>
      <c r="D10" s="50">
        <v>1470589.5</v>
      </c>
      <c r="E10" s="50">
        <v>1307751</v>
      </c>
      <c r="F10" s="50">
        <v>1218081.5</v>
      </c>
      <c r="G10" s="17">
        <f t="shared" si="0"/>
        <v>4947147.5</v>
      </c>
      <c r="H10" s="17">
        <f t="shared" si="1"/>
        <v>345923.60903578735</v>
      </c>
      <c r="I10" s="17">
        <f t="shared" si="2"/>
        <v>4601223.8909642128</v>
      </c>
    </row>
    <row r="11" spans="1:9" ht="15.75" customHeight="1" x14ac:dyDescent="0.25">
      <c r="A11" s="5">
        <f t="shared" si="3"/>
        <v>2033</v>
      </c>
      <c r="B11" s="49">
        <v>300709</v>
      </c>
      <c r="C11" s="50">
        <v>946866</v>
      </c>
      <c r="D11" s="50">
        <v>1486777.5</v>
      </c>
      <c r="E11" s="50">
        <v>1298314.5</v>
      </c>
      <c r="F11" s="50">
        <v>1231389.5</v>
      </c>
      <c r="G11" s="17">
        <f t="shared" si="0"/>
        <v>4963347.5</v>
      </c>
      <c r="H11" s="17">
        <f t="shared" si="1"/>
        <v>345659.22844677023</v>
      </c>
      <c r="I11" s="17">
        <f t="shared" si="2"/>
        <v>4617688.2715532295</v>
      </c>
    </row>
    <row r="12" spans="1:9" ht="15.75" customHeight="1" x14ac:dyDescent="0.25">
      <c r="A12" s="5">
        <f t="shared" si="3"/>
        <v>2034</v>
      </c>
      <c r="B12" s="49">
        <v>301733</v>
      </c>
      <c r="C12" s="50">
        <v>940687</v>
      </c>
      <c r="D12" s="50">
        <v>1501924.5</v>
      </c>
      <c r="E12" s="50">
        <v>1292318.5</v>
      </c>
      <c r="F12" s="50">
        <v>1238678</v>
      </c>
      <c r="G12" s="17">
        <f t="shared" si="0"/>
        <v>4973608</v>
      </c>
      <c r="H12" s="17">
        <f t="shared" si="1"/>
        <v>346836.29680830741</v>
      </c>
      <c r="I12" s="17">
        <f t="shared" si="2"/>
        <v>4626771.7031916929</v>
      </c>
    </row>
    <row r="13" spans="1:9" ht="15.75" customHeight="1" x14ac:dyDescent="0.25">
      <c r="A13" s="5">
        <f t="shared" si="3"/>
        <v>2035</v>
      </c>
      <c r="B13" s="49">
        <v>301170</v>
      </c>
      <c r="C13" s="50">
        <v>932518</v>
      </c>
      <c r="D13" s="50">
        <v>1514953</v>
      </c>
      <c r="E13" s="50">
        <v>1293469</v>
      </c>
      <c r="F13" s="50">
        <v>1240815</v>
      </c>
      <c r="G13" s="17">
        <f t="shared" si="0"/>
        <v>4981755</v>
      </c>
      <c r="H13" s="17">
        <f t="shared" si="1"/>
        <v>346189.13910562632</v>
      </c>
      <c r="I13" s="17">
        <f t="shared" si="2"/>
        <v>4635565.8608943736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KR5L2+PFDl2Z+vmyBKfWNevjb3QpN2k89PkBa4w+tiqp7s9aNXgtv82HE1moXvoYv0FaOuD5uy2OUe1MOp3Gg==" saltValue="WacU8JEF57MfkIVQ5o78n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4.6268999999999928E-3</v>
      </c>
    </row>
    <row r="4" spans="1:8" ht="15.75" customHeight="1" x14ac:dyDescent="0.25">
      <c r="B4" s="19" t="s">
        <v>116</v>
      </c>
      <c r="C4" s="99">
        <v>5.4811399999999962E-2</v>
      </c>
    </row>
    <row r="5" spans="1:8" ht="15.75" customHeight="1" x14ac:dyDescent="0.25">
      <c r="B5" s="19" t="s">
        <v>114</v>
      </c>
      <c r="C5" s="99">
        <v>5.0352800000000079E-2</v>
      </c>
    </row>
    <row r="6" spans="1:8" ht="15.75" customHeight="1" x14ac:dyDescent="0.25">
      <c r="B6" s="19" t="s">
        <v>110</v>
      </c>
      <c r="C6" s="99">
        <v>0.2002200999999994</v>
      </c>
    </row>
    <row r="7" spans="1:8" ht="15.75" customHeight="1" x14ac:dyDescent="0.25">
      <c r="B7" s="19" t="s">
        <v>115</v>
      </c>
      <c r="C7" s="99">
        <v>0.44372300000000048</v>
      </c>
    </row>
    <row r="8" spans="1:8" ht="15.75" customHeight="1" x14ac:dyDescent="0.25">
      <c r="B8" s="19" t="s">
        <v>117</v>
      </c>
      <c r="C8" s="99">
        <v>6.0170000000000048E-4</v>
      </c>
    </row>
    <row r="9" spans="1:8" ht="15.75" customHeight="1" x14ac:dyDescent="0.25">
      <c r="B9" s="19" t="s">
        <v>111</v>
      </c>
      <c r="C9" s="99">
        <v>0.15703459999999991</v>
      </c>
    </row>
    <row r="10" spans="1:8" ht="15.75" customHeight="1" x14ac:dyDescent="0.25">
      <c r="B10" s="19" t="s">
        <v>113</v>
      </c>
      <c r="C10" s="99">
        <v>8.8629500000000097E-2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0.36419804647153858</v>
      </c>
      <c r="D14" s="55">
        <v>0.36419804647153858</v>
      </c>
      <c r="E14" s="55">
        <v>0.36419804647153858</v>
      </c>
      <c r="F14" s="55">
        <v>0.36419804647153858</v>
      </c>
    </row>
    <row r="15" spans="1:8" ht="15.75" customHeight="1" x14ac:dyDescent="0.25">
      <c r="B15" s="19" t="s">
        <v>121</v>
      </c>
      <c r="C15" s="99">
        <v>0.27034716125610042</v>
      </c>
      <c r="D15" s="99">
        <v>0.27034716125610042</v>
      </c>
      <c r="E15" s="99">
        <v>0.27034716125610042</v>
      </c>
      <c r="F15" s="99">
        <v>0.27034716125610042</v>
      </c>
    </row>
    <row r="16" spans="1:8" ht="15.75" customHeight="1" x14ac:dyDescent="0.25">
      <c r="B16" s="19" t="s">
        <v>2</v>
      </c>
      <c r="C16" s="99">
        <v>8.5757967093804868E-3</v>
      </c>
      <c r="D16" s="99">
        <v>8.5757967093804868E-3</v>
      </c>
      <c r="E16" s="99">
        <v>8.5757967093804868E-3</v>
      </c>
      <c r="F16" s="99">
        <v>8.5757967093804868E-3</v>
      </c>
    </row>
    <row r="17" spans="1:8" ht="15.75" customHeight="1" x14ac:dyDescent="0.25">
      <c r="B17" s="19" t="s">
        <v>109</v>
      </c>
      <c r="C17" s="99">
        <v>1.267147177193201E-2</v>
      </c>
      <c r="D17" s="99">
        <v>1.267147177193201E-2</v>
      </c>
      <c r="E17" s="99">
        <v>1.267147177193201E-2</v>
      </c>
      <c r="F17" s="99">
        <v>1.267147177193201E-2</v>
      </c>
    </row>
    <row r="18" spans="1:8" ht="15.75" customHeight="1" x14ac:dyDescent="0.25">
      <c r="B18" s="19" t="s">
        <v>3</v>
      </c>
      <c r="C18" s="99">
        <v>6.3469102387174016E-3</v>
      </c>
      <c r="D18" s="99">
        <v>6.3469102387174016E-3</v>
      </c>
      <c r="E18" s="99">
        <v>6.3469102387174016E-3</v>
      </c>
      <c r="F18" s="99">
        <v>6.3469102387174016E-3</v>
      </c>
    </row>
    <row r="19" spans="1:8" ht="15.75" customHeight="1" x14ac:dyDescent="0.25">
      <c r="B19" s="19" t="s">
        <v>120</v>
      </c>
      <c r="C19" s="99">
        <v>5.9720748190468909E-2</v>
      </c>
      <c r="D19" s="99">
        <v>5.9720748190468909E-2</v>
      </c>
      <c r="E19" s="99">
        <v>5.9720748190468909E-2</v>
      </c>
      <c r="F19" s="99">
        <v>5.9720748190468909E-2</v>
      </c>
    </row>
    <row r="20" spans="1:8" ht="15.75" customHeight="1" x14ac:dyDescent="0.25">
      <c r="B20" s="19" t="s">
        <v>98</v>
      </c>
      <c r="C20" s="99">
        <v>1.390684585984274E-2</v>
      </c>
      <c r="D20" s="99">
        <v>1.390684585984274E-2</v>
      </c>
      <c r="E20" s="99">
        <v>1.390684585984274E-2</v>
      </c>
      <c r="F20" s="99">
        <v>1.390684585984274E-2</v>
      </c>
    </row>
    <row r="21" spans="1:8" ht="15.75" customHeight="1" x14ac:dyDescent="0.25">
      <c r="B21" s="19" t="s">
        <v>107</v>
      </c>
      <c r="C21" s="99">
        <v>0.12955471305520669</v>
      </c>
      <c r="D21" s="99">
        <v>0.12955471305520669</v>
      </c>
      <c r="E21" s="99">
        <v>0.12955471305520669</v>
      </c>
      <c r="F21" s="99">
        <v>0.12955471305520669</v>
      </c>
    </row>
    <row r="22" spans="1:8" ht="15.75" customHeight="1" x14ac:dyDescent="0.25">
      <c r="B22" s="19" t="s">
        <v>118</v>
      </c>
      <c r="C22" s="99">
        <v>0.13467830644681281</v>
      </c>
      <c r="D22" s="99">
        <v>0.13467830644681281</v>
      </c>
      <c r="E22" s="99">
        <v>0.13467830644681281</v>
      </c>
      <c r="F22" s="99">
        <v>0.13467830644681281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4.7776088999999987E-2</v>
      </c>
    </row>
    <row r="27" spans="1:8" ht="15.75" customHeight="1" x14ac:dyDescent="0.25">
      <c r="B27" s="19" t="s">
        <v>108</v>
      </c>
      <c r="C27" s="99">
        <v>1.8197206E-2</v>
      </c>
    </row>
    <row r="28" spans="1:8" ht="15.75" customHeight="1" x14ac:dyDescent="0.25">
      <c r="B28" s="19" t="s">
        <v>122</v>
      </c>
      <c r="C28" s="99">
        <v>0.22881369300000001</v>
      </c>
    </row>
    <row r="29" spans="1:8" ht="15.75" customHeight="1" x14ac:dyDescent="0.25">
      <c r="B29" s="19" t="s">
        <v>105</v>
      </c>
      <c r="C29" s="99">
        <v>0.13822648400000001</v>
      </c>
    </row>
    <row r="30" spans="1:8" ht="15.75" customHeight="1" x14ac:dyDescent="0.25">
      <c r="B30" s="19" t="s">
        <v>4</v>
      </c>
      <c r="C30" s="99">
        <v>5.0121434999999999E-2</v>
      </c>
    </row>
    <row r="31" spans="1:8" ht="15.75" customHeight="1" x14ac:dyDescent="0.25">
      <c r="B31" s="19" t="s">
        <v>99</v>
      </c>
      <c r="C31" s="99">
        <v>6.9180167000000001E-2</v>
      </c>
    </row>
    <row r="32" spans="1:8" ht="15.75" customHeight="1" x14ac:dyDescent="0.25">
      <c r="B32" s="19" t="s">
        <v>104</v>
      </c>
      <c r="C32" s="99">
        <v>0.14697111700000001</v>
      </c>
    </row>
    <row r="33" spans="2:3" ht="15.75" customHeight="1" x14ac:dyDescent="0.25">
      <c r="B33" s="19" t="s">
        <v>119</v>
      </c>
      <c r="C33" s="99">
        <v>0.122692382</v>
      </c>
    </row>
    <row r="34" spans="2:3" ht="15.75" customHeight="1" x14ac:dyDescent="0.25">
      <c r="B34" s="19" t="s">
        <v>106</v>
      </c>
      <c r="C34" s="99">
        <v>0.17802142600000001</v>
      </c>
    </row>
    <row r="35" spans="2:3" ht="15.75" customHeight="1" x14ac:dyDescent="0.25">
      <c r="B35" s="27" t="s">
        <v>79</v>
      </c>
      <c r="C35" s="48">
        <f>SUM(C26:C34)</f>
        <v>0.99999999900000003</v>
      </c>
    </row>
  </sheetData>
  <sheetProtection algorithmName="SHA-512" hashValue="492kvmRNSHqJedVvF8OixOgBKDjSLaPYPkk6GG2NN3v85LNtkU/EyekAYgAVhZYESqCqbvbf/jsXEwP5Qs6SPg==" saltValue="ryV+mt3ez6Fjn2QMTLAKR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0.56802544355195139</v>
      </c>
      <c r="D2" s="52">
        <f>IFERROR(1-_xlfn.NORM.DIST(_xlfn.NORM.INV(SUM(D4:D5), 0, 1) + 1, 0, 1, TRUE), "")</f>
        <v>0.56802544355195139</v>
      </c>
      <c r="E2" s="52">
        <f>IFERROR(1-_xlfn.NORM.DIST(_xlfn.NORM.INV(SUM(E4:E5), 0, 1) + 1, 0, 1, TRUE), "")</f>
        <v>0.52929573482120729</v>
      </c>
      <c r="F2" s="52">
        <f>IFERROR(1-_xlfn.NORM.DIST(_xlfn.NORM.INV(SUM(F4:F5), 0, 1) + 1, 0, 1, TRUE), "")</f>
        <v>0.35137155509413887</v>
      </c>
      <c r="G2" s="52">
        <f>IFERROR(1-_xlfn.NORM.DIST(_xlfn.NORM.INV(SUM(G4:G5), 0, 1) + 1, 0, 1, TRUE), "")</f>
        <v>0.40054549397173722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0.31124535644804863</v>
      </c>
      <c r="D3" s="52">
        <f>IFERROR(_xlfn.NORM.DIST(_xlfn.NORM.INV(SUM(D4:D5), 0, 1) + 1, 0, 1, TRUE) - SUM(D4:D5), "")</f>
        <v>0.31124535644804863</v>
      </c>
      <c r="E3" s="52">
        <f>IFERROR(_xlfn.NORM.DIST(_xlfn.NORM.INV(SUM(E4:E5), 0, 1) + 1, 0, 1, TRUE) - SUM(E4:E5), "")</f>
        <v>0.32918076517879269</v>
      </c>
      <c r="F3" s="52">
        <f>IFERROR(_xlfn.NORM.DIST(_xlfn.NORM.INV(SUM(F4:F5), 0, 1) + 1, 0, 1, TRUE) - SUM(F4:F5), "")</f>
        <v>0.38046594490586116</v>
      </c>
      <c r="G3" s="52">
        <f>IFERROR(_xlfn.NORM.DIST(_xlfn.NORM.INV(SUM(G4:G5), 0, 1) + 1, 0, 1, TRUE) - SUM(G4:G5), "")</f>
        <v>0.37224390602826274</v>
      </c>
    </row>
    <row r="4" spans="1:15" ht="15.75" customHeight="1" x14ac:dyDescent="0.25">
      <c r="B4" s="5" t="s">
        <v>129</v>
      </c>
      <c r="C4" s="45">
        <v>9.3787099999999998E-2</v>
      </c>
      <c r="D4" s="53">
        <v>9.3787099999999998E-2</v>
      </c>
      <c r="E4" s="53">
        <v>0.10796219999999999</v>
      </c>
      <c r="F4" s="53">
        <v>0.20964169999999999</v>
      </c>
      <c r="G4" s="53">
        <v>0.1695499</v>
      </c>
    </row>
    <row r="5" spans="1:15" ht="15.75" customHeight="1" x14ac:dyDescent="0.25">
      <c r="B5" s="5" t="s">
        <v>125</v>
      </c>
      <c r="C5" s="45">
        <v>2.69421E-2</v>
      </c>
      <c r="D5" s="53">
        <v>2.69421E-2</v>
      </c>
      <c r="E5" s="53">
        <v>3.3561300000000002E-2</v>
      </c>
      <c r="F5" s="53">
        <v>5.8520799999999998E-2</v>
      </c>
      <c r="G5" s="53">
        <v>5.7660700000000002E-2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0.49095611288391061</v>
      </c>
      <c r="D8" s="52">
        <f>IFERROR(1-_xlfn.NORM.DIST(_xlfn.NORM.INV(SUM(D10:D11), 0, 1) + 1, 0, 1, TRUE), "")</f>
        <v>0.49095611288391061</v>
      </c>
      <c r="E8" s="52">
        <f>IFERROR(1-_xlfn.NORM.DIST(_xlfn.NORM.INV(SUM(E10:E11), 0, 1) + 1, 0, 1, TRUE), "")</f>
        <v>0.59544043499011456</v>
      </c>
      <c r="F8" s="52">
        <f>IFERROR(1-_xlfn.NORM.DIST(_xlfn.NORM.INV(SUM(F10:F11), 0, 1) + 1, 0, 1, TRUE), "")</f>
        <v>0.68684643317972061</v>
      </c>
      <c r="G8" s="52">
        <f>IFERROR(1-_xlfn.NORM.DIST(_xlfn.NORM.INV(SUM(G10:G11), 0, 1) + 1, 0, 1, TRUE), "")</f>
        <v>0.62193947083351397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0.34484058711608939</v>
      </c>
      <c r="D9" s="52">
        <f>IFERROR(_xlfn.NORM.DIST(_xlfn.NORM.INV(SUM(D10:D11), 0, 1) + 1, 0, 1, TRUE) - SUM(D10:D11), "")</f>
        <v>0.34484058711608939</v>
      </c>
      <c r="E9" s="52">
        <f>IFERROR(_xlfn.NORM.DIST(_xlfn.NORM.INV(SUM(E10:E11), 0, 1) + 1, 0, 1, TRUE) - SUM(E10:E11), "")</f>
        <v>0.29736056500988539</v>
      </c>
      <c r="F9" s="52">
        <f>IFERROR(_xlfn.NORM.DIST(_xlfn.NORM.INV(SUM(F10:F11), 0, 1) + 1, 0, 1, TRUE) - SUM(F10:F11), "")</f>
        <v>0.24463706682027941</v>
      </c>
      <c r="G9" s="52">
        <f>IFERROR(_xlfn.NORM.DIST(_xlfn.NORM.INV(SUM(G10:G11), 0, 1) + 1, 0, 1, TRUE) - SUM(G10:G11), "")</f>
        <v>0.2830604291664861</v>
      </c>
    </row>
    <row r="10" spans="1:15" ht="15.75" customHeight="1" x14ac:dyDescent="0.25">
      <c r="B10" s="5" t="s">
        <v>126</v>
      </c>
      <c r="C10" s="45">
        <v>9.3542699999999993E-2</v>
      </c>
      <c r="D10" s="53">
        <v>9.3542699999999993E-2</v>
      </c>
      <c r="E10" s="53">
        <v>8.6329700000000009E-2</v>
      </c>
      <c r="F10" s="53">
        <v>5.0465099999999999E-2</v>
      </c>
      <c r="G10" s="53">
        <v>7.5331599999999999E-2</v>
      </c>
    </row>
    <row r="11" spans="1:15" ht="15.75" customHeight="1" x14ac:dyDescent="0.25">
      <c r="B11" s="5" t="s">
        <v>138</v>
      </c>
      <c r="C11" s="45">
        <v>7.0660600000000004E-2</v>
      </c>
      <c r="D11" s="53">
        <v>7.0660600000000004E-2</v>
      </c>
      <c r="E11" s="53">
        <v>2.08693E-2</v>
      </c>
      <c r="F11" s="53">
        <v>1.8051399999999999E-2</v>
      </c>
      <c r="G11" s="53">
        <v>1.9668499999999998E-2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0.80253134725000008</v>
      </c>
      <c r="D14" s="54">
        <v>0.77318331069899993</v>
      </c>
      <c r="E14" s="54">
        <v>0.77318331069899993</v>
      </c>
      <c r="F14" s="54">
        <v>0.58703675869799998</v>
      </c>
      <c r="G14" s="54">
        <v>0.58703675869799998</v>
      </c>
      <c r="H14" s="45">
        <v>0.55799999999999994</v>
      </c>
      <c r="I14" s="55">
        <v>0.55799999999999994</v>
      </c>
      <c r="J14" s="55">
        <v>0.55799999999999994</v>
      </c>
      <c r="K14" s="55">
        <v>0.55799999999999994</v>
      </c>
      <c r="L14" s="45">
        <v>0.46300000000000002</v>
      </c>
      <c r="M14" s="55">
        <v>0.46300000000000002</v>
      </c>
      <c r="N14" s="55">
        <v>0.46300000000000002</v>
      </c>
      <c r="O14" s="55">
        <v>0.46300000000000002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0.37759420900651403</v>
      </c>
      <c r="D15" s="52">
        <f t="shared" si="0"/>
        <v>0.36378584041712225</v>
      </c>
      <c r="E15" s="52">
        <f t="shared" si="0"/>
        <v>0.36378584041712225</v>
      </c>
      <c r="F15" s="52">
        <f t="shared" si="0"/>
        <v>0.27620314311444377</v>
      </c>
      <c r="G15" s="52">
        <f t="shared" si="0"/>
        <v>0.27620314311444377</v>
      </c>
      <c r="H15" s="52">
        <f t="shared" si="0"/>
        <v>0.26254123199999996</v>
      </c>
      <c r="I15" s="52">
        <f t="shared" si="0"/>
        <v>0.26254123199999996</v>
      </c>
      <c r="J15" s="52">
        <f t="shared" si="0"/>
        <v>0.26254123199999996</v>
      </c>
      <c r="K15" s="52">
        <f t="shared" si="0"/>
        <v>0.26254123199999996</v>
      </c>
      <c r="L15" s="52">
        <f t="shared" si="0"/>
        <v>0.21784335199999999</v>
      </c>
      <c r="M15" s="52">
        <f t="shared" si="0"/>
        <v>0.21784335199999999</v>
      </c>
      <c r="N15" s="52">
        <f t="shared" si="0"/>
        <v>0.21784335199999999</v>
      </c>
      <c r="O15" s="52">
        <f t="shared" si="0"/>
        <v>0.21784335199999999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4cAKkft9mUCw+46LdI9Wwkd4N0qEtriIGBIxHDrxCEuuiXl1szzax2V42OI5mXhOF5AgPYcSm17ZLnJVWSUbA==" saltValue="V1lCfEVgRFocmCaXhgyD6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0.59807180000000004</v>
      </c>
      <c r="D2" s="53">
        <v>0.48294340000000002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3.1429400000000003E-2</v>
      </c>
      <c r="D3" s="53">
        <v>9.0230499999999991E-2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0.1714561</v>
      </c>
      <c r="D4" s="53">
        <v>0.2021809</v>
      </c>
      <c r="E4" s="53">
        <v>0.71213789999999999</v>
      </c>
      <c r="F4" s="53">
        <v>0.42822979999999999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0.19904269999999991</v>
      </c>
      <c r="D5" s="52">
        <f t="shared" si="0"/>
        <v>0.22464519999999999</v>
      </c>
      <c r="E5" s="52">
        <f>1-SUM(E2:E4)</f>
        <v>0.28786210000000001</v>
      </c>
      <c r="F5" s="52">
        <f>1-SUM(F2:F4)</f>
        <v>0.57177020000000001</v>
      </c>
      <c r="G5" s="52">
        <f>1-SUM(G2:G4)</f>
        <v>1</v>
      </c>
    </row>
  </sheetData>
  <sheetProtection algorithmName="SHA-512" hashValue="fakvuMX+FMVl7d5PE8pHhFcaZRDNVYOCyMu1gzLRm3qzm8bdXUOxgGQhkAZrdLKI2Ur05xp2EmUumh8TYxlU7w==" saltValue="aNIi3CvqZp7n4lMNCvWcf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0Dc69KobbQNMFx7TWquUoBUWuFWzEpJ0GihuCzdQXh4mOhDn/vdIXJnYIcVcNJjUAyNPemwAHbBKhkzPRHhZaw==" saltValue="8mUwnqdUWDeHY2uMcHTxI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1759.6080234604401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0.42314000000000002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0.73861999999999994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1.9184676845374407E-2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97269.828099999999</v>
      </c>
      <c r="C22" s="107">
        <v>96983.273650000003</v>
      </c>
      <c r="D22" s="107">
        <v>96811.436279999994</v>
      </c>
      <c r="E22" s="107">
        <v>96358.799939999997</v>
      </c>
      <c r="F22" s="107">
        <v>95741.665299999993</v>
      </c>
      <c r="G22" s="107">
        <v>95080.704729999998</v>
      </c>
      <c r="H22" s="107">
        <v>94271.259430000006</v>
      </c>
      <c r="I22" s="107">
        <v>93129.812300000005</v>
      </c>
      <c r="J22" s="107">
        <v>91427.028510000004</v>
      </c>
      <c r="K22" s="107">
        <v>88877.14301</v>
      </c>
      <c r="L22" s="107">
        <v>85063.655830000003</v>
      </c>
      <c r="M22" s="107">
        <v>79673.528420000002</v>
      </c>
      <c r="N22" s="107">
        <v>72185.250419999997</v>
      </c>
      <c r="O22" s="107">
        <v>61999.453289999998</v>
      </c>
    </row>
  </sheetData>
  <sheetProtection algorithmName="SHA-512" hashValue="OAtpL5c9Tw/Z11OsZKM3ifWr7MLwo5JT/E/kE9kcMDL3Udvl5oRg3TMC7c33Tr7wEU9WnM/hrxnWTSTrHGiPAQ==" saltValue="Oa4PtpUnVILX13BzlD+JT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qnxtv1Mnf2d72bE8TrjarQ6Al77Dl1rw1D5IfwvXdGqdG5lPb0YW1qw/hD/9uchOPtUoEulRkVkdU2bKbs7t3g==" saltValue="GyzFd/rCCUFDVqS0Qx3kY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pujZ4HtJfH+Z/3IMGevCDLb2dFeUlOoYkuWxq1VsAs6gJp3KlK2n85fVsimD0xfUz5XJb/+apInjhTnV0/87Sg==" saltValue="wu+b8tbwafqma66QpUctl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23.266651740020471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23.266651740020471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0.80999999999999994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0.63782823352220286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1.812651550310735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0.89073059999999993</v>
      </c>
      <c r="C10" s="96">
        <v>0.95</v>
      </c>
      <c r="D10" s="56">
        <v>13.57902668055927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13.57902668055927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13.57902668055927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13.57902668055927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0.89073059999999993</v>
      </c>
      <c r="C14" s="96">
        <v>0.95</v>
      </c>
      <c r="D14" s="56">
        <v>13.57902668055927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13.57902668055927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4.1250299999999997E-2</v>
      </c>
      <c r="C16" s="96">
        <v>0.95</v>
      </c>
      <c r="D16" s="56">
        <v>1.57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0.1369044839662158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0.64700000000000002</v>
      </c>
      <c r="C18" s="96">
        <v>0.95</v>
      </c>
      <c r="D18" s="56">
        <v>8.0823886898669404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0.48294340000000002</v>
      </c>
      <c r="C19" s="96">
        <v>0.95</v>
      </c>
      <c r="D19" s="56">
        <v>3.014096374602512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8.32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0.80999999999999994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4.50575E-2</v>
      </c>
      <c r="C23" s="96">
        <v>0.95</v>
      </c>
      <c r="D23" s="56">
        <v>4.4856136591440912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0.69694892887370008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3.7000000000000012E-2</v>
      </c>
      <c r="C26" s="96">
        <v>0.95</v>
      </c>
      <c r="D26" s="56">
        <v>8.469314227226203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14.964151740020471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0.28605269999999999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0.48644500000000002</v>
      </c>
      <c r="C29" s="96">
        <v>0.95</v>
      </c>
      <c r="D29" s="56">
        <v>33.321934882307978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53.05041964170676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2.46E-2</v>
      </c>
      <c r="C31" s="96">
        <v>0.95</v>
      </c>
      <c r="D31" s="56">
        <v>118.83755373592631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0.39700000000000002</v>
      </c>
      <c r="C32" s="96">
        <v>0.95</v>
      </c>
      <c r="D32" s="56">
        <v>0.69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0.83350530000000012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0.30354370000000003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0.1965143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0.34371230000000003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9.5000000000000001E-2</v>
      </c>
      <c r="C38" s="96">
        <v>0.95</v>
      </c>
      <c r="D38" s="56">
        <v>3.45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3.07</v>
      </c>
      <c r="E39" s="56" t="s">
        <v>212</v>
      </c>
      <c r="F39" s="96">
        <v>1</v>
      </c>
      <c r="G39" s="96">
        <v>1</v>
      </c>
    </row>
  </sheetData>
  <sheetProtection algorithmName="SHA-512" hashValue="Hj6921OI+HogfLwShtpu6+REtgLUceqxB95kzqr4jHVfrmqv9TcfIHXLgN3I1jm0ShOIvHuqwnddRPlR7Bpfzw==" saltValue="6ciLGUKliSxGdVbmkZcm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bKkOUIM8Rgz08XPwSCeJ9zWyELuZ3U3ytPX8eAacmEZSEU9y25+UgrhzXp9deTDDYoyzvbC8QOcT1jOFdPzqvg==" saltValue="k8cHcJc7jRSpA5s9+fm/D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val1T7j7RHTB8fWSAYJXbsmjmZjTKOhCYiRG9xH2g8UX/b6IPQpiZT80FCK3uioQBAURBFveXXNdtbMTLVRtpg==" saltValue="/YNQxtCyg2gIFMV2K8gn2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1.6120000000000001</v>
      </c>
      <c r="C2" s="21">
        <f>'Entradas de población-año base'!C52</f>
        <v>1.6120000000000001</v>
      </c>
      <c r="D2" s="21">
        <f>'Entradas de población-año base'!C53</f>
        <v>3.1720000000000002</v>
      </c>
      <c r="E2" s="21">
        <f>'Entradas de población-año base'!C54</f>
        <v>2.34</v>
      </c>
      <c r="F2" s="21">
        <f>'Entradas de población-año base'!C55</f>
        <v>1.031333333333333</v>
      </c>
    </row>
    <row r="3" spans="1:6" ht="15.75" customHeight="1" x14ac:dyDescent="0.25">
      <c r="A3" s="3" t="s">
        <v>6</v>
      </c>
      <c r="B3" s="21">
        <f>frac_mam_1month * 2.6</f>
        <v>0.24321102</v>
      </c>
      <c r="C3" s="21">
        <f>frac_mam_1_5months * 2.6</f>
        <v>0.24321102</v>
      </c>
      <c r="D3" s="21">
        <f>frac_mam_6_11months * 2.6</f>
        <v>0.22445722000000004</v>
      </c>
      <c r="E3" s="21">
        <f>frac_mam_12_23months * 2.6</f>
        <v>0.13120925999999999</v>
      </c>
      <c r="F3" s="21">
        <f>frac_mam_24_59months * 2.6</f>
        <v>0.19586216000000001</v>
      </c>
    </row>
    <row r="4" spans="1:6" ht="15.75" customHeight="1" x14ac:dyDescent="0.25">
      <c r="A4" s="3" t="s">
        <v>236</v>
      </c>
      <c r="B4" s="21">
        <f>frac_sam_1month * 2.6</f>
        <v>0.18371756000000003</v>
      </c>
      <c r="C4" s="21">
        <f>frac_sam_1_5months * 2.6</f>
        <v>0.18371756000000003</v>
      </c>
      <c r="D4" s="21">
        <f>frac_sam_6_11months * 2.6</f>
        <v>5.4260180000000005E-2</v>
      </c>
      <c r="E4" s="21">
        <f>frac_sam_12_23months * 2.6</f>
        <v>4.6933639999999999E-2</v>
      </c>
      <c r="F4" s="21">
        <f>frac_sam_24_59months * 2.6</f>
        <v>5.1138099999999999E-2</v>
      </c>
    </row>
  </sheetData>
  <sheetProtection algorithmName="SHA-512" hashValue="bQY92NuIcQWv+p8Xslf7ONRVvSsEeCfBrdnGfsts+zaOuhcmuHLqT9DzrqlYFD4IDqVN2GA4g/47MUT6fH5Fsw==" saltValue="sZ6zX/13Qp+7CNYgDYYNq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0.14199999999999999</v>
      </c>
      <c r="F2" s="60">
        <f>food_insecure</f>
        <v>0.14199999999999999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0.14199999999999999</v>
      </c>
      <c r="F5" s="60">
        <f>food_insecure</f>
        <v>0.14199999999999999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3.4438181818181812E-2</v>
      </c>
      <c r="D7" s="60">
        <f>diarrhoea_1_5mo*frac_diarrhea_severe</f>
        <v>3.4438181818181812E-2</v>
      </c>
      <c r="E7" s="60">
        <f>diarrhoea_6_11mo*frac_diarrhea_severe</f>
        <v>6.7765454545454532E-2</v>
      </c>
      <c r="F7" s="60">
        <f>diarrhoea_12_23mo*frac_diarrhea_severe</f>
        <v>4.9990909090909079E-2</v>
      </c>
      <c r="G7" s="60">
        <f>diarrhoea_24_59mo*frac_diarrhea_severe</f>
        <v>2.203303030303029E-2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0.14199999999999999</v>
      </c>
      <c r="F8" s="60">
        <f>food_insecure</f>
        <v>0.14199999999999999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0.14199999999999999</v>
      </c>
      <c r="F9" s="60">
        <f>food_insecure</f>
        <v>0.14199999999999999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3.4438181818181812E-2</v>
      </c>
      <c r="D12" s="60">
        <f>diarrhoea_1_5mo*frac_diarrhea_severe</f>
        <v>3.4438181818181812E-2</v>
      </c>
      <c r="E12" s="60">
        <f>diarrhoea_6_11mo*frac_diarrhea_severe</f>
        <v>6.7765454545454532E-2</v>
      </c>
      <c r="F12" s="60">
        <f>diarrhoea_12_23mo*frac_diarrhea_severe</f>
        <v>4.9990909090909079E-2</v>
      </c>
      <c r="G12" s="60">
        <f>diarrhoea_24_59mo*frac_diarrhea_severe</f>
        <v>2.203303030303029E-2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0.14199999999999999</v>
      </c>
      <c r="I15" s="60">
        <f t="shared" si="0"/>
        <v>0.14199999999999999</v>
      </c>
      <c r="J15" s="60">
        <f t="shared" si="0"/>
        <v>0.14199999999999999</v>
      </c>
      <c r="K15" s="60">
        <f t="shared" si="0"/>
        <v>0.14199999999999999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0.14199999999999999</v>
      </c>
      <c r="I16" s="60">
        <f t="shared" si="0"/>
        <v>0.14199999999999999</v>
      </c>
      <c r="J16" s="60">
        <f t="shared" si="0"/>
        <v>0.14199999999999999</v>
      </c>
      <c r="K16" s="60">
        <f t="shared" si="0"/>
        <v>0.14199999999999999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0.17799999999999999</v>
      </c>
      <c r="I19" s="60">
        <f>frac_malaria_risk</f>
        <v>0.17799999999999999</v>
      </c>
      <c r="J19" s="60">
        <f>frac_malaria_risk</f>
        <v>0.17799999999999999</v>
      </c>
      <c r="K19" s="60">
        <f>frac_malaria_risk</f>
        <v>0.17799999999999999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0.125</v>
      </c>
      <c r="M24" s="60">
        <f>famplan_unmet_need</f>
        <v>0.125</v>
      </c>
      <c r="N24" s="60">
        <f>famplan_unmet_need</f>
        <v>0.125</v>
      </c>
      <c r="O24" s="60">
        <f>famplan_unmet_need</f>
        <v>0.125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9.6641300650271988E-2</v>
      </c>
      <c r="M25" s="60">
        <f>(1-food_insecure)*(0.49)+food_insecure*(0.7)</f>
        <v>0.51981999999999995</v>
      </c>
      <c r="N25" s="60">
        <f>(1-food_insecure)*(0.49)+food_insecure*(0.7)</f>
        <v>0.51981999999999995</v>
      </c>
      <c r="O25" s="60">
        <f>(1-food_insecure)*(0.49)+food_insecure*(0.7)</f>
        <v>0.51981999999999995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4.1417700278687998E-2</v>
      </c>
      <c r="M26" s="60">
        <f>(1-food_insecure)*(0.21)+food_insecure*(0.3)</f>
        <v>0.22277999999999998</v>
      </c>
      <c r="N26" s="60">
        <f>(1-food_insecure)*(0.21)+food_insecure*(0.3)</f>
        <v>0.22277999999999998</v>
      </c>
      <c r="O26" s="60">
        <f>(1-food_insecure)*(0.21)+food_insecure*(0.3)</f>
        <v>0.22277999999999998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4.7854008671039998E-2</v>
      </c>
      <c r="M27" s="60">
        <f>(1-food_insecure)*(0.3)</f>
        <v>0.25739999999999996</v>
      </c>
      <c r="N27" s="60">
        <f>(1-food_insecure)*(0.3)</f>
        <v>0.25739999999999996</v>
      </c>
      <c r="O27" s="60">
        <f>(1-food_insecure)*(0.3)</f>
        <v>0.25739999999999996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0.17799999999999999</v>
      </c>
      <c r="D34" s="60">
        <f t="shared" si="4"/>
        <v>0.17799999999999999</v>
      </c>
      <c r="E34" s="60">
        <f t="shared" si="4"/>
        <v>0.17799999999999999</v>
      </c>
      <c r="F34" s="60">
        <f t="shared" si="4"/>
        <v>0.17799999999999999</v>
      </c>
      <c r="G34" s="60">
        <f t="shared" si="4"/>
        <v>0.17799999999999999</v>
      </c>
      <c r="H34" s="60">
        <f t="shared" si="4"/>
        <v>0.17799999999999999</v>
      </c>
      <c r="I34" s="60">
        <f t="shared" si="4"/>
        <v>0.17799999999999999</v>
      </c>
      <c r="J34" s="60">
        <f t="shared" si="4"/>
        <v>0.17799999999999999</v>
      </c>
      <c r="K34" s="60">
        <f t="shared" si="4"/>
        <v>0.17799999999999999</v>
      </c>
      <c r="L34" s="60">
        <f t="shared" si="4"/>
        <v>0.17799999999999999</v>
      </c>
      <c r="M34" s="60">
        <f t="shared" si="4"/>
        <v>0.17799999999999999</v>
      </c>
      <c r="N34" s="60">
        <f t="shared" si="4"/>
        <v>0.17799999999999999</v>
      </c>
      <c r="O34" s="60">
        <f t="shared" si="4"/>
        <v>0.17799999999999999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2Ibf5ia+dbDoIxZOviCxzEAxLKggUmNzVqRazo4CE9y+MlHkILLmpejIfiQpR2GYCwR3dPHY0X7el6cCPkTw/A==" saltValue="cxA9MMaqKTb7BXPY6Opxp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H0dc36u8IQdHso1B/Sq+9HEXTBQUB5tebLtSFwyUTruztF/0ymjhEmlA5AGsX5q5bWTvjAMmTKYZwcKpDynvtg==" saltValue="Vs/mLGRjke8/HJdRkf7cH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xSbV1oJJWsl2SD01t1VydC2dpNE3a+nZ/nFSyejATgZyO4f6DZtO9uVVDKxyRpd0vgM4CGOWaDj69lH3oTiiqw==" saltValue="eCgM8v2ax/iQot11pyxOz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9hn2qd97e5nxQH54U36T35tMsXIoQRP9VyXYYuZbZl2tkunkFncIgTKv3/gOxfxn3g3EOu+MrkG+x7Hkq7sZMA==" saltValue="07/njlMPIeV0kBg7XbqFf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yeb/EUBCmDGTAi/b4DS199BjwceJBHkhIrQEMOxcqa2d/ft4n8OUtdk+VtflZJo5f37QcGvG0DCd/m2POIM8qw==" saltValue="XuSJuxYX59WvSDSJFDecU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LrEYYo/iz6yRbAy7rIBcO4FoewY5owfdj3Df34vDG2TAeZWuhiUR293Zxe0Dy7J7if1AXDrrfwiWxN9yVUXW8g==" saltValue="5gls5ZGaUgP8KFTQKRGqT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TmEi/dSwA0RQ/3g0ZQXFQ3nKYVYquQj+nTR7g1EuzUAqn0X9eM/HvMSaFrUt/6/h0Uw+e9Nufm7gPqeZFqnWw==" saltValue="lW99KDNMu2D0Bf7PD6Byj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D7iVVRgHw/oaeXIfDF4hvwImkF0dvQa3TlWvFw8mmocIPJPBVA/Af7Mn2oMrrRQGZk99ijNhoji0nIMv4sK7yg==" saltValue="PUA64XS0EsfJgs7gwnVn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X+YCtJMQPuNW12y9wMus1OzXW+vWJlrueC98YAr5iQLpBoKqOGTXRHi7mIieff1nZur2Qw96ewos+0d5hVUzbw==" saltValue="WyzdrrPJLESM0mOvkXM0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v0L8mCBEFYXRXSahDGxTWdHodfgkS749Jl+OkGdCIuwj07V8Ojke7hQrlw4mivym2LUgNssC+llDhhEi3lPHQ==" saltValue="ii4ZR84hhvCMhzdmQw5d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aw6GQLHlrYbqgmyTB5rwH++hcfkzsX/0EHlKBoiMnwZRd+UyBslyS95owluBfkb8stpVCCARb1vohtpxjuMBA==" saltValue="Y8t+2bPzMtZJFh3WbP4s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ssIO8KCRkyMLeo9SoUGenIRvH5Oz1gPFp94FZZpVSTvTFBGooOPAudm8rNeY/TXuPSjXyr/Rq4ZYF5WFPsbBw==" saltValue="SAEA4K5a9qgt4ficAZcP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YzzhoNGSa2q77Jfzy2HH4M1EyV2AjZUOiPt3L8eLZKbhPZeadZxuhonalHFQLX9+ZyyJU59sSt/X+hroswmfA==" saltValue="bPggV/DPKodkAtAuJs+Cb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7kWc+DK++qDDwVY8b3SQdQaB7i9PSIIgl9Z04gp4q80rWCCUGwtLXzijLCbfBBsV30KAZ7C246ZhjXY2wr/oQQ==" saltValue="gbm5p4yIsUPBQyW5neda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Sw/HnTmj5glcNqeVZR4dtW7bmlAOQOyTUJ5kfJHnQ+9iwTv7CGxhtL6vSl6GZ9LuRxdSXcsMF5gKYz6ft53abQ==" saltValue="Pn2zWqBD5m/A47ZBIr1Pc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2026-04-29T02:39:37Z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