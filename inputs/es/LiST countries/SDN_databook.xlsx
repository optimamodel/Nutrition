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8DD41A12-622C-4CB9-8309-F88B4C160E72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2" i="2" l="1"/>
  <c r="A23" i="2"/>
  <c r="A26" i="2"/>
  <c r="A35" i="2"/>
  <c r="A36" i="2"/>
  <c r="A19" i="2"/>
  <c r="A37" i="2"/>
  <c r="I4" i="2"/>
  <c r="I8" i="2"/>
  <c r="I12" i="2"/>
  <c r="A25" i="2"/>
  <c r="I9" i="2"/>
  <c r="I13" i="2"/>
  <c r="A31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<sst xmlns="http://schemas.openxmlformats.org/spreadsheetml/2006/main" count="2159" uniqueCount="372">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</sst>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7373054.5</v>
      </c>
    </row>
    <row r="8" spans="1:3" ht="15" customHeight="1" x14ac:dyDescent="0.25">
      <c r="B8" s="5" t="s">
        <v>63</v>
      </c>
      <c r="C8" s="44">
        <v>0.127</v>
      </c>
    </row>
    <row r="9" spans="1:3" ht="15" customHeight="1" x14ac:dyDescent="0.25">
      <c r="B9" s="5" t="s">
        <v>62</v>
      </c>
      <c r="C9" s="45">
        <v>0.1</v>
      </c>
    </row>
    <row r="10" spans="1:3" ht="15" customHeight="1" x14ac:dyDescent="0.25">
      <c r="B10" s="5" t="s">
        <v>75</v>
      </c>
      <c r="C10" s="45">
        <v>0.30839620590209998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7.4299999999999991E-2</v>
      </c>
    </row>
    <row r="24" spans="1:3" ht="15" customHeight="1" x14ac:dyDescent="0.25">
      <c r="B24" s="15" t="s">
        <v>65</v>
      </c>
      <c r="C24" s="45">
        <v>0.44829999999999998</v>
      </c>
    </row>
    <row r="25" spans="1:3" ht="15" customHeight="1" x14ac:dyDescent="0.25">
      <c r="B25" s="15" t="s">
        <v>66</v>
      </c>
      <c r="C25" s="45">
        <v>0.39019999999999999</v>
      </c>
    </row>
    <row r="26" spans="1:3" ht="15" customHeight="1" x14ac:dyDescent="0.25">
      <c r="B26" s="15" t="s">
        <v>67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0.18136659999999999</v>
      </c>
    </row>
    <row r="30" spans="1:3" ht="14.25" customHeight="1" x14ac:dyDescent="0.25">
      <c r="B30" s="25" t="s">
        <v>82</v>
      </c>
      <c r="C30" s="99">
        <v>0.1032511</v>
      </c>
    </row>
    <row r="31" spans="1:3" ht="14.25" customHeight="1" x14ac:dyDescent="0.25">
      <c r="B31" s="25" t="s">
        <v>29</v>
      </c>
      <c r="C31" s="99">
        <v>0.13079470000000001</v>
      </c>
    </row>
    <row r="32" spans="1:3" ht="14.25" customHeight="1" x14ac:dyDescent="0.25">
      <c r="B32" s="25" t="s">
        <v>30</v>
      </c>
      <c r="C32" s="99">
        <v>0.58458759999999999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26.66048</v>
      </c>
    </row>
    <row r="38" spans="1:5" ht="15" customHeight="1" x14ac:dyDescent="0.25">
      <c r="B38" s="11" t="s">
        <v>54</v>
      </c>
      <c r="C38" s="43">
        <v>38.948050000000002</v>
      </c>
      <c r="D38" s="12"/>
      <c r="E38" s="13"/>
    </row>
    <row r="39" spans="1:5" ht="15" customHeight="1" x14ac:dyDescent="0.25">
      <c r="B39" s="11" t="s">
        <v>80</v>
      </c>
      <c r="C39" s="43">
        <v>54.895539999999997</v>
      </c>
      <c r="D39" s="12"/>
      <c r="E39" s="12"/>
    </row>
    <row r="40" spans="1:5" ht="15" customHeight="1" x14ac:dyDescent="0.25">
      <c r="B40" s="11" t="s">
        <v>55</v>
      </c>
      <c r="C40" s="100">
        <v>2.7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7.4790999999999998E-3</v>
      </c>
      <c r="D45" s="12"/>
    </row>
    <row r="46" spans="1:5" ht="15.75" customHeight="1" x14ac:dyDescent="0.25">
      <c r="B46" s="11" t="s">
        <v>70</v>
      </c>
      <c r="C46" s="45">
        <v>8.0361700000000008E-2</v>
      </c>
      <c r="D46" s="12"/>
    </row>
    <row r="47" spans="1:5" ht="15.75" customHeight="1" x14ac:dyDescent="0.25">
      <c r="B47" s="11" t="s">
        <v>78</v>
      </c>
      <c r="C47" s="45">
        <v>7.3888400000000007E-2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jGJrZ+rP51k6nojJB3p+y7umlnQPkocTw8QLnnP84r1XCEbDIHhFXGh8TZB6TgBIG5FtwS/rDNj2w3WauG2tQ==" saltValue="M2gvEyzn1sGkYbSeChSe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7731508</v>
      </c>
      <c r="C2" s="49">
        <v>1797020</v>
      </c>
      <c r="D2" s="49">
        <v>3363398</v>
      </c>
      <c r="E2" s="49">
        <v>5342887.5000000009</v>
      </c>
      <c r="F2" s="49">
        <v>4559808.4999999991</v>
      </c>
      <c r="G2" s="17">
        <f t="shared" ref="G2:G13" si="0">C2+D2+E2+F2</f>
        <v>15063114</v>
      </c>
      <c r="H2" s="17">
        <f t="shared" ref="H2:H13" si="1">(B2 + stillbirth*B2/(1000-stillbirth))/(1-abortion)</f>
        <v>8983352.6015038099</v>
      </c>
      <c r="I2" s="17">
        <f t="shared" ref="I2:I13" si="2">G2-H2</f>
        <v>6079761.3984961901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1664612</v>
      </c>
      <c r="C3" s="50">
        <v>2695345</v>
      </c>
      <c r="D3" s="50">
        <v>4475205</v>
      </c>
      <c r="E3" s="50">
        <v>3182024.9999999995</v>
      </c>
      <c r="F3" s="50">
        <v>2171777</v>
      </c>
      <c r="G3" s="17">
        <f t="shared" si="0"/>
        <v>12524352</v>
      </c>
      <c r="H3" s="17">
        <f t="shared" si="1"/>
        <v>1934137.1102111596</v>
      </c>
      <c r="I3" s="17">
        <f t="shared" si="2"/>
        <v>10590214.88978884</v>
      </c>
    </row>
    <row r="4" spans="1:9" ht="15.75" customHeight="1" x14ac:dyDescent="0.25">
      <c r="A4" s="5">
        <f t="shared" si="3"/>
        <v>2026</v>
      </c>
      <c r="B4" s="49">
        <v>1656421</v>
      </c>
      <c r="C4" s="50">
        <v>2742180</v>
      </c>
      <c r="D4" s="50">
        <v>4553865</v>
      </c>
      <c r="E4" s="50">
        <v>3305404.5</v>
      </c>
      <c r="F4" s="50">
        <v>2248363.5000000005</v>
      </c>
      <c r="G4" s="17">
        <f t="shared" si="0"/>
        <v>12849813</v>
      </c>
      <c r="H4" s="17">
        <f t="shared" si="1"/>
        <v>1924619.8671120233</v>
      </c>
      <c r="I4" s="17">
        <f t="shared" si="2"/>
        <v>10925193.132887976</v>
      </c>
    </row>
    <row r="5" spans="1:9" ht="15.75" customHeight="1" x14ac:dyDescent="0.25">
      <c r="A5" s="5">
        <f t="shared" si="3"/>
        <v>2027</v>
      </c>
      <c r="B5" s="49">
        <v>1694024</v>
      </c>
      <c r="C5" s="50">
        <v>2804231.5</v>
      </c>
      <c r="D5" s="50">
        <v>4689747.4999999991</v>
      </c>
      <c r="E5" s="50">
        <v>3471060.9999999995</v>
      </c>
      <c r="F5" s="50">
        <v>2347397</v>
      </c>
      <c r="G5" s="17">
        <f t="shared" si="0"/>
        <v>13312436.999999998</v>
      </c>
      <c r="H5" s="17">
        <f t="shared" si="1"/>
        <v>1968311.3446186555</v>
      </c>
      <c r="I5" s="17">
        <f t="shared" si="2"/>
        <v>11344125.655381342</v>
      </c>
    </row>
    <row r="6" spans="1:9" ht="15.75" customHeight="1" x14ac:dyDescent="0.25">
      <c r="A6" s="5">
        <f t="shared" si="3"/>
        <v>2028</v>
      </c>
      <c r="B6" s="49">
        <v>1724552</v>
      </c>
      <c r="C6" s="50">
        <v>2854180.5</v>
      </c>
      <c r="D6" s="50">
        <v>4787850</v>
      </c>
      <c r="E6" s="50">
        <v>3620423</v>
      </c>
      <c r="F6" s="50">
        <v>2441147</v>
      </c>
      <c r="G6" s="17">
        <f t="shared" si="0"/>
        <v>13703600.5</v>
      </c>
      <c r="H6" s="17">
        <f t="shared" si="1"/>
        <v>2003782.2758029352</v>
      </c>
      <c r="I6" s="17">
        <f t="shared" si="2"/>
        <v>11699818.224197065</v>
      </c>
    </row>
    <row r="7" spans="1:9" ht="15.75" customHeight="1" x14ac:dyDescent="0.25">
      <c r="A7" s="5">
        <f t="shared" si="3"/>
        <v>2029</v>
      </c>
      <c r="B7" s="49">
        <v>1736764</v>
      </c>
      <c r="C7" s="50">
        <v>2894906.5</v>
      </c>
      <c r="D7" s="50">
        <v>4853130</v>
      </c>
      <c r="E7" s="50">
        <v>3753353.5</v>
      </c>
      <c r="F7" s="50">
        <v>2529502</v>
      </c>
      <c r="G7" s="17">
        <f t="shared" si="0"/>
        <v>14030892</v>
      </c>
      <c r="H7" s="17">
        <f t="shared" si="1"/>
        <v>2017971.5778083869</v>
      </c>
      <c r="I7" s="17">
        <f t="shared" si="2"/>
        <v>12012920.422191612</v>
      </c>
    </row>
    <row r="8" spans="1:9" ht="15.75" customHeight="1" x14ac:dyDescent="0.25">
      <c r="A8" s="5">
        <f t="shared" si="3"/>
        <v>2030</v>
      </c>
      <c r="B8" s="49">
        <v>1749542</v>
      </c>
      <c r="C8" s="50">
        <v>2934944.5</v>
      </c>
      <c r="D8" s="50">
        <v>4917271.5</v>
      </c>
      <c r="E8" s="50">
        <v>3886923.5</v>
      </c>
      <c r="F8" s="50">
        <v>2620463.5</v>
      </c>
      <c r="G8" s="17">
        <f t="shared" si="0"/>
        <v>14359603</v>
      </c>
      <c r="H8" s="17">
        <f t="shared" si="1"/>
        <v>2032818.5235196264</v>
      </c>
      <c r="I8" s="17">
        <f t="shared" si="2"/>
        <v>12326784.476480374</v>
      </c>
    </row>
    <row r="9" spans="1:9" ht="15.75" customHeight="1" x14ac:dyDescent="0.25">
      <c r="A9" s="5">
        <f t="shared" si="3"/>
        <v>2031</v>
      </c>
      <c r="B9" s="49">
        <v>1756395</v>
      </c>
      <c r="C9" s="50">
        <v>2979851</v>
      </c>
      <c r="D9" s="50">
        <v>4984100</v>
      </c>
      <c r="E9" s="50">
        <v>4020388.5</v>
      </c>
      <c r="F9" s="50">
        <v>2714078</v>
      </c>
      <c r="G9" s="17">
        <f t="shared" si="0"/>
        <v>14698417.5</v>
      </c>
      <c r="H9" s="17">
        <f t="shared" si="1"/>
        <v>2040781.1247842317</v>
      </c>
      <c r="I9" s="17">
        <f t="shared" si="2"/>
        <v>12657636.375215769</v>
      </c>
    </row>
    <row r="10" spans="1:9" ht="15.75" customHeight="1" x14ac:dyDescent="0.25">
      <c r="A10" s="5">
        <f t="shared" si="3"/>
        <v>2032</v>
      </c>
      <c r="B10" s="49">
        <v>1761601</v>
      </c>
      <c r="C10" s="50">
        <v>3035593</v>
      </c>
      <c r="D10" s="50">
        <v>5050871.5</v>
      </c>
      <c r="E10" s="50">
        <v>4148968.5</v>
      </c>
      <c r="F10" s="50">
        <v>2812759</v>
      </c>
      <c r="G10" s="17">
        <f t="shared" si="0"/>
        <v>15048192</v>
      </c>
      <c r="H10" s="17">
        <f t="shared" si="1"/>
        <v>2046830.0525798737</v>
      </c>
      <c r="I10" s="17">
        <f t="shared" si="2"/>
        <v>13001361.947420126</v>
      </c>
    </row>
    <row r="11" spans="1:9" ht="15.75" customHeight="1" x14ac:dyDescent="0.25">
      <c r="A11" s="5">
        <f t="shared" si="3"/>
        <v>2033</v>
      </c>
      <c r="B11" s="49">
        <v>1772840</v>
      </c>
      <c r="C11" s="50">
        <v>3102759.5</v>
      </c>
      <c r="D11" s="50">
        <v>5115271.0000000009</v>
      </c>
      <c r="E11" s="50">
        <v>4267712</v>
      </c>
      <c r="F11" s="50">
        <v>2922108</v>
      </c>
      <c r="G11" s="17">
        <f t="shared" si="0"/>
        <v>15407850.5</v>
      </c>
      <c r="H11" s="17">
        <f t="shared" si="1"/>
        <v>2059888.8116070004</v>
      </c>
      <c r="I11" s="17">
        <f t="shared" si="2"/>
        <v>13347961.688393001</v>
      </c>
    </row>
    <row r="12" spans="1:9" ht="15.75" customHeight="1" x14ac:dyDescent="0.25">
      <c r="A12" s="5">
        <f t="shared" si="3"/>
        <v>2034</v>
      </c>
      <c r="B12" s="49">
        <v>1777543</v>
      </c>
      <c r="C12" s="50">
        <v>3183593.5</v>
      </c>
      <c r="D12" s="50">
        <v>5182938</v>
      </c>
      <c r="E12" s="50">
        <v>4375026.5</v>
      </c>
      <c r="F12" s="50">
        <v>3043719.5</v>
      </c>
      <c r="G12" s="17">
        <f t="shared" si="0"/>
        <v>15785277.5</v>
      </c>
      <c r="H12" s="17">
        <f t="shared" si="1"/>
        <v>2065353.2963213499</v>
      </c>
      <c r="I12" s="17">
        <f t="shared" si="2"/>
        <v>13719924.203678651</v>
      </c>
    </row>
    <row r="13" spans="1:9" ht="15.75" customHeight="1" x14ac:dyDescent="0.25">
      <c r="A13" s="5">
        <f t="shared" si="3"/>
        <v>2035</v>
      </c>
      <c r="B13" s="49">
        <v>1792919</v>
      </c>
      <c r="C13" s="50">
        <v>3275140.5</v>
      </c>
      <c r="D13" s="50">
        <v>5256943</v>
      </c>
      <c r="E13" s="50">
        <v>4471682.0000000009</v>
      </c>
      <c r="F13" s="50">
        <v>3172314.5</v>
      </c>
      <c r="G13" s="17">
        <f t="shared" si="0"/>
        <v>16176080</v>
      </c>
      <c r="H13" s="17">
        <f t="shared" si="1"/>
        <v>2083218.8963570381</v>
      </c>
      <c r="I13" s="17">
        <f t="shared" si="2"/>
        <v>14092861.103642963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RGigGy5qgyCFbNUDlJ4cvOMb5zpZJj/xJ0TTOD1s0uSkdQY8j+0BkZohZOeD+qvo9Qv/xTdmCL0mhqPCYnC7A==" saltValue="dAXiJSsIQm+Qbr6B1uXn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1.2673685844453639E-2</v>
      </c>
    </row>
    <row r="4" spans="1:8" ht="15.75" customHeight="1" x14ac:dyDescent="0.25">
      <c r="B4" s="19" t="s">
        <v>116</v>
      </c>
      <c r="C4" s="101">
        <v>5.3770801095202957E-2</v>
      </c>
    </row>
    <row r="5" spans="1:8" ht="15.75" customHeight="1" x14ac:dyDescent="0.25">
      <c r="B5" s="19" t="s">
        <v>114</v>
      </c>
      <c r="C5" s="101">
        <v>7.0625709105514814E-2</v>
      </c>
    </row>
    <row r="6" spans="1:8" ht="15.75" customHeight="1" x14ac:dyDescent="0.25">
      <c r="B6" s="19" t="s">
        <v>110</v>
      </c>
      <c r="C6" s="101">
        <v>0.23263621626898029</v>
      </c>
    </row>
    <row r="7" spans="1:8" ht="15.75" customHeight="1" x14ac:dyDescent="0.25">
      <c r="B7" s="19" t="s">
        <v>115</v>
      </c>
      <c r="C7" s="101">
        <v>0.4193640013634034</v>
      </c>
    </row>
    <row r="8" spans="1:8" ht="15.75" customHeight="1" x14ac:dyDescent="0.25">
      <c r="B8" s="19" t="s">
        <v>117</v>
      </c>
      <c r="C8" s="101">
        <v>1.7560613019217261E-3</v>
      </c>
    </row>
    <row r="9" spans="1:8" ht="15.75" customHeight="1" x14ac:dyDescent="0.25">
      <c r="B9" s="19" t="s">
        <v>111</v>
      </c>
      <c r="C9" s="101">
        <v>9.6119102522455382E-2</v>
      </c>
    </row>
    <row r="10" spans="1:8" ht="15.75" customHeight="1" x14ac:dyDescent="0.25">
      <c r="B10" s="19" t="s">
        <v>113</v>
      </c>
      <c r="C10" s="101">
        <v>0.1130544224980677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121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2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109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3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120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98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107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118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101">
        <v>2.7708330999999999E-2</v>
      </c>
    </row>
    <row r="28" spans="1:8" ht="15.75" customHeight="1" x14ac:dyDescent="0.25">
      <c r="B28" s="19" t="s">
        <v>122</v>
      </c>
      <c r="C28" s="101">
        <v>0.192682248</v>
      </c>
    </row>
    <row r="29" spans="1:8" ht="15.75" customHeight="1" x14ac:dyDescent="0.25">
      <c r="B29" s="19" t="s">
        <v>105</v>
      </c>
      <c r="C29" s="101">
        <v>0.15047112300000001</v>
      </c>
    </row>
    <row r="30" spans="1:8" ht="15.75" customHeight="1" x14ac:dyDescent="0.25">
      <c r="B30" s="19" t="s">
        <v>4</v>
      </c>
      <c r="C30" s="101">
        <v>4.9998465000000013E-2</v>
      </c>
    </row>
    <row r="31" spans="1:8" ht="15.75" customHeight="1" x14ac:dyDescent="0.25">
      <c r="B31" s="19" t="s">
        <v>99</v>
      </c>
      <c r="C31" s="101">
        <v>3.0442113E-2</v>
      </c>
    </row>
    <row r="32" spans="1:8" ht="15.75" customHeight="1" x14ac:dyDescent="0.25">
      <c r="B32" s="19" t="s">
        <v>104</v>
      </c>
      <c r="C32" s="101">
        <v>8.5598303000000001E-2</v>
      </c>
    </row>
    <row r="33" spans="2:3" ht="15.75" customHeight="1" x14ac:dyDescent="0.25">
      <c r="B33" s="19" t="s">
        <v>119</v>
      </c>
      <c r="C33" s="101">
        <v>0.16741062000000001</v>
      </c>
    </row>
    <row r="34" spans="2:3" ht="15.75" customHeight="1" x14ac:dyDescent="0.25">
      <c r="B34" s="19" t="s">
        <v>106</v>
      </c>
      <c r="C34" s="101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W8juEmFgHNYDxrVIaBIBEZTKtF9rwioDJXTF6awvLFlMhCKQ72bzw0Rn+1+C6d5zMH0Ck5buzc+Pw+7rP6sfvQ==" saltValue="4Zl+9PoP9C5JdPCRo/8S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129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125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126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138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KctaH6vZ3X74e98Pbb6MYpvZ0o3fns+ibfMNYk2Z/d7D8+tl7+is8KC0aGH8FwTG/oR4sq8rP6QNMtOqinDag==" saltValue="L0u2yngEMPJNpJzRQcsK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pyg3F11VEzQ8mewEf1htQ/u1ZJb+oGU0MzTlYit+aTct2RGuXAV1u1gN50EVK2AkRh4cN72HnmuRDPsVdCisPQ==" saltValue="zOcQbKcPGFoAgje5FlRL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BbB7ngw88ywlubMRvSs2sQNv8atQDGgOQDZ9DcLgNTDSBOdD7tm2XK94bMZbTxr1ycq7tolP2ZjjEfRNE2GWQ==" saltValue="fuLRvAHgwMVIdltjeL0q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1102.146484375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0.37470999999999999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0.29842999999999997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1.4415690056630329E-2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94163.123760000002</v>
      </c>
      <c r="C22" s="109">
        <v>93653.046489999993</v>
      </c>
      <c r="D22" s="109">
        <v>93383.457240000003</v>
      </c>
      <c r="E22" s="109">
        <v>93016.656539999996</v>
      </c>
      <c r="F22" s="109">
        <v>92514.947839999993</v>
      </c>
      <c r="G22" s="109">
        <v>91911.989600000001</v>
      </c>
      <c r="H22" s="109">
        <v>91139.916620000004</v>
      </c>
      <c r="I22" s="109">
        <v>90124.339940000005</v>
      </c>
      <c r="J22" s="109">
        <v>88700.336049999998</v>
      </c>
      <c r="K22" s="109">
        <v>86692.228560000003</v>
      </c>
      <c r="L22" s="109">
        <v>83711.116200000004</v>
      </c>
      <c r="M22" s="109">
        <v>79390.338369999998</v>
      </c>
      <c r="N22" s="109">
        <v>72846.033169999995</v>
      </c>
      <c r="O22" s="109">
        <v>63814.850120000003</v>
      </c>
    </row>
  </sheetData>
  <sheetProtection algorithmName="SHA-512" hashValue="06NMbaZorMmh/p2f30svw6oCgRQEoO02TCOTeN3EiNFmD2wp571ITV5Ctwr//VtiBrIoWISRgS7IkmRdy+my8w==" saltValue="RYCyQCgtZeGYOM/KALTz/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6T1TmjwKbRvhn+MTLDWMPaxbrvE20SZ/lQdXmxoXzcCuk+F1d7i3Oj9BJuFk7VwsJWlTyTGvoWuBtfPe7RBoA==" saltValue="SW1YI+3rnC91C/+wBLSk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sh7Jqa6a2wuyw2WogqU8Ch4tFYM84dstwuKTt8t11GmqU0fPngIyexy0VWQt3Ov29ugovic50rmxlvf26JBRw==" saltValue="vl7yzc3VltAL/XnfDMyy8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12.76524374254179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12.76524374254179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12.76524374254179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12.76524374254179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12.76524374254179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3.6484599999999999E-2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4.938E-2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0.53045450000000005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0.53045450000000005</v>
      </c>
      <c r="C19" s="98">
        <v>0.95</v>
      </c>
      <c r="D19" s="56">
        <v>5.6195673264216497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0.2500193</v>
      </c>
      <c r="C23" s="98">
        <v>0.95</v>
      </c>
      <c r="D23" s="56">
        <v>4.1250028489423594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0.19827547772213999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0.19644320000000001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0.23971219999999999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0.39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0.10762579999999999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0.53042900000000004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7.5948000000000014E-3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0.59316859999999993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0.15218699999999999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e7MEsA0vyuYccwPufuN+DV8n12NwB9u5b+/PEON0f5ykNcNGp1t33duvwyRtM4iqTikWC3IANopqMUp8Zux3kg==" saltValue="qoKvGmG4EZMD6x8rrmxE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I5HHD19QWsQhkeYVmuKJTvy/repfFs/6BE1MDd8QDlLDnxCxI0yF/3bKmL/uCWE3JqmDWcZ3m2WtEO/XKMj/Q==" saltValue="DDLhTEDuwEIxoVb6lvWY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dZFL3lhgl9/JLvACxE1nR/0vvf2NKhUVulWcdzHNLVdQsSiSQ4imW97L3wh/ZJourAsHSQ75JIPIrA4b1hUDQ==" saltValue="qJGy8zpXcjtdCppgmywH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236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ZiPsFjnFqG/2+o+B+B455PCjm1gEcPSqVA6Gt4BMRh0fQ0jyTjtl6/tYs6O44EnBgXuU552CSPNDSwdjJv/nrQ==" saltValue="ZHAF0ELMqhJFfIMsjJJA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rX9PBA4Y2likpZXNTgafj7uV/RrbZqbKe0NXQB7cKvJRVBCACB/283NVEkzOob/ThGRn18sBaYloj54bdJ1IA==" saltValue="O+0pSnVtgTJbfRd1BF3yD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AgZINjs7OEg1zKdker3l3NE/tI7pT6WrQtoufocZy8uHReGcF8NGAJuiRoQ2ry4et+eoHS9abjrw1yQsCqe/A==" saltValue="euW2QEx6XH2QHP4Fwt3H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2SLr5RPipGC5aYq+aFYCInAZKMaN5A2BBsuScuoxBmGwU9V8wX4u9gsEeg3rQ3szC8K2m5VHG9J/mC2pyzMqg==" saltValue="Oma59PxRAzwWFVOEmna6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LnQ5tF4n+1ANiKw0z15sOzfOfa72P6Op4o2NspErq4B3H1aARHcVKRSauuqDN5o5rnTkBm7PZ7RynhLiDGsUQ==" saltValue="Keyn/HUB3Tk4vidJgW2Q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EA3Vazh7ZrBEWnA+rkN/IxsRiwvw7GGSltGmwwzR/5LIfjubNfRLuxCtBnbKcSjZB2jKd0HBdqiCvk/TKj1Zw==" saltValue="/ARiqtRL9y3dS4ovJ3td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jnOn8IMWXMPbTdB4Ib7MhtrVGwMtGhoXZ0mTstHTZGNXO4lAbvkyP1oQYeFe3UqmnWTTkaWxzRewHisv9hLJg==" saltValue="3ntKWPC1PpE0EKPTBbfq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b0tQaxoE0/GHRnQBctYXDwLsFLWANd68payHCwRnLZEYOwr6pDPutBwr/v7HkFrj4Rp/rFRNMPc7DslFzzSWA==" saltValue="0RLdzZG0ph/LjiqmGnAzQ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03lICl/PH332jBxGCiGUo6QQEYuEtfS/FJpEGkC1yGdJ8boFtpV+rbgXDCwIovb2wH36EG6qsuC38d5O65mfA==" saltValue="UY1mNDhkWzV0WLv0HpJ0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Fc03Gze5EKhefORMPowsHp4OlPotaQu2lNv9Us9jwI/EMwjHvKSAsf6NhAe256gsiUNM82J+uZyuOgLVnV7Kw==" saltValue="bOxkTTikWf7io7ddtrSO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6YrWHnRlainc8zvoi1ytIFaMJbbes8eNBsw1nwv9yIy8wJq6mRcjOM6HxtfEB6f4v28xt3eVzIJ2MojXXszGQ==" saltValue="Nmj/Mxr1Vx+LsjZME+l8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ftdmEjJTt1aQSegToN3dUbM3r/q9qJk0OniFZd3EvkelPdF9xPWz2A16NNK76oo70cuMTeg04uxElOmUZ8s9w==" saltValue="jouYV1hHWwySTE+42Yo9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EaQoObtZ6pYy+/9RfN7GbzS7SF/ZVYc0tXr9qc/Jcwizbi5UomwLh9A5g21s5dLXb6N4Jfy0TLY7Sv6S7x4KQ==" saltValue="PpoTWu673yoXJcn1Ng4r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vvDXR4uD+eUO/OZtnfTU9C61Hc5ZpGYDp8ucdbw4DXE5z5GXnRH09i6uWfXGAkyK3zU2Rh78U600k6sy2Xdew==" saltValue="VC26dql27VinD4jzp0Ro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f3DLXhHBKpsnrFJ/shbmkQzjXBDxJy0Jp37B/baSlbz/MBNVCsKkc58Hd5fGYk7A+mtE0umjQAaIryD+NFqOg==" saltValue="iovzj8+j06y/rthC3Xfv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Xx5KkISC3JGsU2yJNFaNo+N54BzHFKyO/XgAGdqFQDOiSGsooHUaaX0Fp1Q47vF6Wsl0G3mRBeIxWzZmJee0A==" saltValue="8/CW7FdOYW4K9mjqhNHG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