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6D26A46-0525-4B4E-9E5E-D0701499AD4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4" i="2"/>
  <c r="A31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7" i="2" l="1"/>
  <c r="I7" i="2"/>
  <c r="I13" i="2"/>
  <c r="A23" i="2"/>
  <c r="A24" i="2"/>
  <c r="A25" i="2"/>
  <c r="A26" i="2"/>
  <c r="I6" i="2"/>
  <c r="I12" i="2"/>
  <c r="A35" i="2"/>
  <c r="A36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<sst xmlns="http://schemas.openxmlformats.org/spreadsheetml/2006/main" count="2169" uniqueCount="373">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</sst>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7373054.5</v>
      </c>
    </row>
    <row r="8" spans="1:3" ht="15" customHeight="1" x14ac:dyDescent="0.25">
      <c r="B8" s="5" t="s">
        <v>63</v>
      </c>
      <c r="C8" s="44">
        <v>0.127</v>
      </c>
    </row>
    <row r="9" spans="1:3" ht="15" customHeight="1" x14ac:dyDescent="0.25">
      <c r="B9" s="5" t="s">
        <v>62</v>
      </c>
      <c r="C9" s="45">
        <v>0.1</v>
      </c>
    </row>
    <row r="10" spans="1:3" ht="15" customHeight="1" x14ac:dyDescent="0.25">
      <c r="B10" s="5" t="s">
        <v>75</v>
      </c>
      <c r="C10" s="45">
        <v>0.30839620590209998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7.4299999999999991E-2</v>
      </c>
    </row>
    <row r="24" spans="1:3" ht="15" customHeight="1" x14ac:dyDescent="0.25">
      <c r="B24" s="15" t="s">
        <v>65</v>
      </c>
      <c r="C24" s="45">
        <v>0.44829999999999998</v>
      </c>
    </row>
    <row r="25" spans="1:3" ht="15" customHeight="1" x14ac:dyDescent="0.25">
      <c r="B25" s="15" t="s">
        <v>66</v>
      </c>
      <c r="C25" s="45">
        <v>0.39019999999999999</v>
      </c>
    </row>
    <row r="26" spans="1:3" ht="15" customHeight="1" x14ac:dyDescent="0.25">
      <c r="B26" s="15" t="s">
        <v>67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0.18136659999999999</v>
      </c>
    </row>
    <row r="30" spans="1:3" ht="14.25" customHeight="1" x14ac:dyDescent="0.25">
      <c r="B30" s="25" t="s">
        <v>82</v>
      </c>
      <c r="C30" s="97">
        <v>0.1032511</v>
      </c>
    </row>
    <row r="31" spans="1:3" ht="14.25" customHeight="1" x14ac:dyDescent="0.25">
      <c r="B31" s="25" t="s">
        <v>29</v>
      </c>
      <c r="C31" s="97">
        <v>0.13079470000000001</v>
      </c>
    </row>
    <row r="32" spans="1:3" ht="14.25" customHeight="1" x14ac:dyDescent="0.25">
      <c r="B32" s="25" t="s">
        <v>30</v>
      </c>
      <c r="C32" s="97">
        <v>0.58458759999999999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26.66048</v>
      </c>
    </row>
    <row r="38" spans="1:5" ht="15" customHeight="1" x14ac:dyDescent="0.25">
      <c r="B38" s="11" t="s">
        <v>54</v>
      </c>
      <c r="C38" s="43">
        <v>38.948050000000002</v>
      </c>
      <c r="D38" s="12"/>
      <c r="E38" s="13"/>
    </row>
    <row r="39" spans="1:5" ht="15" customHeight="1" x14ac:dyDescent="0.25">
      <c r="B39" s="11" t="s">
        <v>80</v>
      </c>
      <c r="C39" s="43">
        <v>54.895539999999997</v>
      </c>
      <c r="D39" s="12"/>
      <c r="E39" s="12"/>
    </row>
    <row r="40" spans="1:5" ht="15" customHeight="1" x14ac:dyDescent="0.25">
      <c r="B40" s="11" t="s">
        <v>55</v>
      </c>
      <c r="C40" s="98">
        <v>2.7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7.4790999999999998E-3</v>
      </c>
      <c r="D45" s="12"/>
    </row>
    <row r="46" spans="1:5" ht="15.75" customHeight="1" x14ac:dyDescent="0.25">
      <c r="B46" s="11" t="s">
        <v>70</v>
      </c>
      <c r="C46" s="45">
        <v>8.0361700000000008E-2</v>
      </c>
      <c r="D46" s="12"/>
    </row>
    <row r="47" spans="1:5" ht="15.75" customHeight="1" x14ac:dyDescent="0.25">
      <c r="B47" s="11" t="s">
        <v>78</v>
      </c>
      <c r="C47" s="45">
        <v>7.3888400000000007E-2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0.52577700000000005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+3+nw4o6HIRmek788x1YD+/QyjzKkjGHXlum6/bhiypmbswCzgTNdb5o9LUqzZx3TOPu2GWRbWqTogPA0LgwBA==" saltValue="1PbYvQv5zi61JDNSiAqY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1664612</v>
      </c>
      <c r="C2" s="49">
        <v>2695345</v>
      </c>
      <c r="D2" s="49">
        <v>4475205</v>
      </c>
      <c r="E2" s="49">
        <v>3182025</v>
      </c>
      <c r="F2" s="49">
        <v>2171777</v>
      </c>
      <c r="G2" s="17">
        <f t="shared" ref="G2:G13" si="0">C2+D2+E2+F2</f>
        <v>12524352</v>
      </c>
      <c r="H2" s="17">
        <f t="shared" ref="H2:H13" si="1">(B2 + stillbirth*B2/(1000-stillbirth))/(1-abortion)</f>
        <v>1934137.1102111596</v>
      </c>
      <c r="I2" s="17">
        <f t="shared" ref="I2:I13" si="2">G2-H2</f>
        <v>10590214.88978884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1656421</v>
      </c>
      <c r="C3" s="50">
        <v>2742180</v>
      </c>
      <c r="D3" s="50">
        <v>4553865</v>
      </c>
      <c r="E3" s="50">
        <v>3305404.5</v>
      </c>
      <c r="F3" s="50">
        <v>2248363.5</v>
      </c>
      <c r="G3" s="17">
        <f t="shared" si="0"/>
        <v>12849813</v>
      </c>
      <c r="H3" s="17">
        <f t="shared" si="1"/>
        <v>1924619.8671120233</v>
      </c>
      <c r="I3" s="17">
        <f t="shared" si="2"/>
        <v>10925193.132887976</v>
      </c>
    </row>
    <row r="4" spans="1:9" ht="15.75" customHeight="1" x14ac:dyDescent="0.25">
      <c r="A4" s="5">
        <f t="shared" si="3"/>
        <v>2026</v>
      </c>
      <c r="B4" s="49">
        <v>1694024</v>
      </c>
      <c r="C4" s="50">
        <v>2804231.5</v>
      </c>
      <c r="D4" s="50">
        <v>4689747.4999999991</v>
      </c>
      <c r="E4" s="50">
        <v>3471061</v>
      </c>
      <c r="F4" s="50">
        <v>2347397</v>
      </c>
      <c r="G4" s="17">
        <f t="shared" si="0"/>
        <v>13312437</v>
      </c>
      <c r="H4" s="17">
        <f t="shared" si="1"/>
        <v>1968311.3446186555</v>
      </c>
      <c r="I4" s="17">
        <f t="shared" si="2"/>
        <v>11344125.655381344</v>
      </c>
    </row>
    <row r="5" spans="1:9" ht="15.75" customHeight="1" x14ac:dyDescent="0.25">
      <c r="A5" s="5">
        <f t="shared" si="3"/>
        <v>2027</v>
      </c>
      <c r="B5" s="49">
        <v>1724552</v>
      </c>
      <c r="C5" s="50">
        <v>2854180.5</v>
      </c>
      <c r="D5" s="50">
        <v>4787850</v>
      </c>
      <c r="E5" s="50">
        <v>3620423</v>
      </c>
      <c r="F5" s="50">
        <v>2441147</v>
      </c>
      <c r="G5" s="17">
        <f t="shared" si="0"/>
        <v>13703600.5</v>
      </c>
      <c r="H5" s="17">
        <f t="shared" si="1"/>
        <v>2003782.2758029352</v>
      </c>
      <c r="I5" s="17">
        <f t="shared" si="2"/>
        <v>11699818.224197065</v>
      </c>
    </row>
    <row r="6" spans="1:9" ht="15.75" customHeight="1" x14ac:dyDescent="0.25">
      <c r="A6" s="5">
        <f t="shared" si="3"/>
        <v>2028</v>
      </c>
      <c r="B6" s="49">
        <v>1736764</v>
      </c>
      <c r="C6" s="50">
        <v>2894906.5</v>
      </c>
      <c r="D6" s="50">
        <v>4853130</v>
      </c>
      <c r="E6" s="50">
        <v>3753353.5</v>
      </c>
      <c r="F6" s="50">
        <v>2529502</v>
      </c>
      <c r="G6" s="17">
        <f t="shared" si="0"/>
        <v>14030892</v>
      </c>
      <c r="H6" s="17">
        <f t="shared" si="1"/>
        <v>2017971.5778083869</v>
      </c>
      <c r="I6" s="17">
        <f t="shared" si="2"/>
        <v>12012920.422191612</v>
      </c>
    </row>
    <row r="7" spans="1:9" ht="15.75" customHeight="1" x14ac:dyDescent="0.25">
      <c r="A7" s="5">
        <f t="shared" si="3"/>
        <v>2029</v>
      </c>
      <c r="B7" s="49">
        <v>1749542</v>
      </c>
      <c r="C7" s="50">
        <v>2934944.5</v>
      </c>
      <c r="D7" s="50">
        <v>4917271.5</v>
      </c>
      <c r="E7" s="50">
        <v>3886923.5</v>
      </c>
      <c r="F7" s="50">
        <v>2620463.5</v>
      </c>
      <c r="G7" s="17">
        <f t="shared" si="0"/>
        <v>14359603</v>
      </c>
      <c r="H7" s="17">
        <f t="shared" si="1"/>
        <v>2032818.5235196264</v>
      </c>
      <c r="I7" s="17">
        <f t="shared" si="2"/>
        <v>12326784.476480374</v>
      </c>
    </row>
    <row r="8" spans="1:9" ht="15.75" customHeight="1" x14ac:dyDescent="0.25">
      <c r="A8" s="5">
        <f t="shared" si="3"/>
        <v>2030</v>
      </c>
      <c r="B8" s="49">
        <v>1756395</v>
      </c>
      <c r="C8" s="50">
        <v>2979851</v>
      </c>
      <c r="D8" s="50">
        <v>4984100</v>
      </c>
      <c r="E8" s="50">
        <v>4020388.5</v>
      </c>
      <c r="F8" s="50">
        <v>2714078</v>
      </c>
      <c r="G8" s="17">
        <f t="shared" si="0"/>
        <v>14698417.5</v>
      </c>
      <c r="H8" s="17">
        <f t="shared" si="1"/>
        <v>2040781.1247842317</v>
      </c>
      <c r="I8" s="17">
        <f t="shared" si="2"/>
        <v>12657636.375215769</v>
      </c>
    </row>
    <row r="9" spans="1:9" ht="15.75" customHeight="1" x14ac:dyDescent="0.25">
      <c r="A9" s="5">
        <f t="shared" si="3"/>
        <v>2031</v>
      </c>
      <c r="B9" s="49">
        <v>1761601</v>
      </c>
      <c r="C9" s="50">
        <v>3035593</v>
      </c>
      <c r="D9" s="50">
        <v>5050871.5</v>
      </c>
      <c r="E9" s="50">
        <v>4148968.5</v>
      </c>
      <c r="F9" s="50">
        <v>2812759</v>
      </c>
      <c r="G9" s="17">
        <f t="shared" si="0"/>
        <v>15048192</v>
      </c>
      <c r="H9" s="17">
        <f t="shared" si="1"/>
        <v>2046830.0525798737</v>
      </c>
      <c r="I9" s="17">
        <f t="shared" si="2"/>
        <v>13001361.947420126</v>
      </c>
    </row>
    <row r="10" spans="1:9" ht="15.75" customHeight="1" x14ac:dyDescent="0.25">
      <c r="A10" s="5">
        <f t="shared" si="3"/>
        <v>2032</v>
      </c>
      <c r="B10" s="49">
        <v>1772840</v>
      </c>
      <c r="C10" s="50">
        <v>3102759.5</v>
      </c>
      <c r="D10" s="50">
        <v>5115271.0000000009</v>
      </c>
      <c r="E10" s="50">
        <v>4267712</v>
      </c>
      <c r="F10" s="50">
        <v>2922108</v>
      </c>
      <c r="G10" s="17">
        <f t="shared" si="0"/>
        <v>15407850.5</v>
      </c>
      <c r="H10" s="17">
        <f t="shared" si="1"/>
        <v>2059888.8116070004</v>
      </c>
      <c r="I10" s="17">
        <f t="shared" si="2"/>
        <v>13347961.688393001</v>
      </c>
    </row>
    <row r="11" spans="1:9" ht="15.75" customHeight="1" x14ac:dyDescent="0.25">
      <c r="A11" s="5">
        <f t="shared" si="3"/>
        <v>2033</v>
      </c>
      <c r="B11" s="49">
        <v>1777543</v>
      </c>
      <c r="C11" s="50">
        <v>3183593.5</v>
      </c>
      <c r="D11" s="50">
        <v>5182938</v>
      </c>
      <c r="E11" s="50">
        <v>4375026.5</v>
      </c>
      <c r="F11" s="50">
        <v>3043719.5</v>
      </c>
      <c r="G11" s="17">
        <f t="shared" si="0"/>
        <v>15785277.5</v>
      </c>
      <c r="H11" s="17">
        <f t="shared" si="1"/>
        <v>2065353.2963213499</v>
      </c>
      <c r="I11" s="17">
        <f t="shared" si="2"/>
        <v>13719924.203678651</v>
      </c>
    </row>
    <row r="12" spans="1:9" ht="15.75" customHeight="1" x14ac:dyDescent="0.25">
      <c r="A12" s="5">
        <f t="shared" si="3"/>
        <v>2034</v>
      </c>
      <c r="B12" s="49">
        <v>1792919</v>
      </c>
      <c r="C12" s="50">
        <v>3275140.5</v>
      </c>
      <c r="D12" s="50">
        <v>5256943</v>
      </c>
      <c r="E12" s="50">
        <v>4471682.0000000009</v>
      </c>
      <c r="F12" s="50">
        <v>3172314.5</v>
      </c>
      <c r="G12" s="17">
        <f t="shared" si="0"/>
        <v>16176080</v>
      </c>
      <c r="H12" s="17">
        <f t="shared" si="1"/>
        <v>2083218.8963570381</v>
      </c>
      <c r="I12" s="17">
        <f t="shared" si="2"/>
        <v>14092861.103642963</v>
      </c>
    </row>
    <row r="13" spans="1:9" ht="15.75" customHeight="1" x14ac:dyDescent="0.25">
      <c r="A13" s="5">
        <f t="shared" si="3"/>
        <v>2035</v>
      </c>
      <c r="B13" s="49">
        <v>1797020</v>
      </c>
      <c r="C13" s="50">
        <v>3363398</v>
      </c>
      <c r="D13" s="50">
        <v>5342887.5000000009</v>
      </c>
      <c r="E13" s="50">
        <v>4559808.4999999991</v>
      </c>
      <c r="F13" s="50">
        <v>3303554.5</v>
      </c>
      <c r="G13" s="17">
        <f t="shared" si="0"/>
        <v>16569648.5</v>
      </c>
      <c r="H13" s="17">
        <f t="shared" si="1"/>
        <v>2087983.9084373163</v>
      </c>
      <c r="I13" s="17">
        <f t="shared" si="2"/>
        <v>14481664.591562685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O9Ji0QQd2tKvavd9pUIO+5Wu29fQX9I8Zs1Ay0ZL5Sl9ujnYP6NuM4giMP1sEjSOIaVfroCn0X2h+naEkiR4g==" saltValue="qqBAsfIs9cDjfdkec+4b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1.2673685844453639E-2</v>
      </c>
    </row>
    <row r="4" spans="1:8" ht="15.75" customHeight="1" x14ac:dyDescent="0.25">
      <c r="B4" s="19" t="s">
        <v>116</v>
      </c>
      <c r="C4" s="99">
        <v>5.3770801095202957E-2</v>
      </c>
    </row>
    <row r="5" spans="1:8" ht="15.75" customHeight="1" x14ac:dyDescent="0.25">
      <c r="B5" s="19" t="s">
        <v>114</v>
      </c>
      <c r="C5" s="99">
        <v>7.0625709105514814E-2</v>
      </c>
    </row>
    <row r="6" spans="1:8" ht="15.75" customHeight="1" x14ac:dyDescent="0.25">
      <c r="B6" s="19" t="s">
        <v>110</v>
      </c>
      <c r="C6" s="99">
        <v>0.23263621626898029</v>
      </c>
    </row>
    <row r="7" spans="1:8" ht="15.75" customHeight="1" x14ac:dyDescent="0.25">
      <c r="B7" s="19" t="s">
        <v>115</v>
      </c>
      <c r="C7" s="99">
        <v>0.4193640013634034</v>
      </c>
    </row>
    <row r="8" spans="1:8" ht="15.75" customHeight="1" x14ac:dyDescent="0.25">
      <c r="B8" s="19" t="s">
        <v>117</v>
      </c>
      <c r="C8" s="99">
        <v>1.7560613019217261E-3</v>
      </c>
    </row>
    <row r="9" spans="1:8" ht="15.75" customHeight="1" x14ac:dyDescent="0.25">
      <c r="B9" s="19" t="s">
        <v>111</v>
      </c>
      <c r="C9" s="99">
        <v>9.6119102522455382E-2</v>
      </c>
    </row>
    <row r="10" spans="1:8" ht="15.75" customHeight="1" x14ac:dyDescent="0.25">
      <c r="B10" s="19" t="s">
        <v>113</v>
      </c>
      <c r="C10" s="99">
        <v>0.1130544224980677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121</v>
      </c>
      <c r="C15" s="99">
        <v>0.237643577182027</v>
      </c>
      <c r="D15" s="99">
        <v>0.237643577182027</v>
      </c>
      <c r="E15" s="99">
        <v>0.237643577182027</v>
      </c>
      <c r="F15" s="99">
        <v>0.237643577182027</v>
      </c>
    </row>
    <row r="16" spans="1:8" ht="15.75" customHeight="1" x14ac:dyDescent="0.25">
      <c r="B16" s="19" t="s">
        <v>2</v>
      </c>
      <c r="C16" s="99">
        <v>2.112581045049176E-2</v>
      </c>
      <c r="D16" s="99">
        <v>2.112581045049176E-2</v>
      </c>
      <c r="E16" s="99">
        <v>2.112581045049176E-2</v>
      </c>
      <c r="F16" s="99">
        <v>2.112581045049176E-2</v>
      </c>
    </row>
    <row r="17" spans="1:8" ht="15.75" customHeight="1" x14ac:dyDescent="0.25">
      <c r="B17" s="19" t="s">
        <v>109</v>
      </c>
      <c r="C17" s="99">
        <v>0.17447843039335451</v>
      </c>
      <c r="D17" s="99">
        <v>0.17447843039335451</v>
      </c>
      <c r="E17" s="99">
        <v>0.17447843039335451</v>
      </c>
      <c r="F17" s="99">
        <v>0.17447843039335451</v>
      </c>
    </row>
    <row r="18" spans="1:8" ht="15.75" customHeight="1" x14ac:dyDescent="0.25">
      <c r="B18" s="19" t="s">
        <v>3</v>
      </c>
      <c r="C18" s="99">
        <v>4.9477412798970923E-2</v>
      </c>
      <c r="D18" s="99">
        <v>4.9477412798970923E-2</v>
      </c>
      <c r="E18" s="99">
        <v>4.9477412798970923E-2</v>
      </c>
      <c r="F18" s="99">
        <v>4.9477412798970923E-2</v>
      </c>
    </row>
    <row r="19" spans="1:8" ht="15.75" customHeight="1" x14ac:dyDescent="0.25">
      <c r="B19" s="19" t="s">
        <v>120</v>
      </c>
      <c r="C19" s="99">
        <v>2.5739877859644749E-2</v>
      </c>
      <c r="D19" s="99">
        <v>2.5739877859644749E-2</v>
      </c>
      <c r="E19" s="99">
        <v>2.5739877859644749E-2</v>
      </c>
      <c r="F19" s="99">
        <v>2.5739877859644749E-2</v>
      </c>
    </row>
    <row r="20" spans="1:8" ht="15.75" customHeight="1" x14ac:dyDescent="0.25">
      <c r="B20" s="19" t="s">
        <v>98</v>
      </c>
      <c r="C20" s="99">
        <v>1.3433343141782111E-2</v>
      </c>
      <c r="D20" s="99">
        <v>1.3433343141782111E-2</v>
      </c>
      <c r="E20" s="99">
        <v>1.3433343141782111E-2</v>
      </c>
      <c r="F20" s="99">
        <v>1.3433343141782111E-2</v>
      </c>
    </row>
    <row r="21" spans="1:8" ht="15.75" customHeight="1" x14ac:dyDescent="0.25">
      <c r="B21" s="19" t="s">
        <v>107</v>
      </c>
      <c r="C21" s="99">
        <v>0.1269383015398666</v>
      </c>
      <c r="D21" s="99">
        <v>0.1269383015398666</v>
      </c>
      <c r="E21" s="99">
        <v>0.1269383015398666</v>
      </c>
      <c r="F21" s="99">
        <v>0.1269383015398666</v>
      </c>
    </row>
    <row r="22" spans="1:8" ht="15.75" customHeight="1" x14ac:dyDescent="0.25">
      <c r="B22" s="19" t="s">
        <v>118</v>
      </c>
      <c r="C22" s="99">
        <v>0.17663836338323571</v>
      </c>
      <c r="D22" s="99">
        <v>0.17663836338323571</v>
      </c>
      <c r="E22" s="99">
        <v>0.17663836338323571</v>
      </c>
      <c r="F22" s="99">
        <v>0.17663836338323571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4.6824316999999997E-2</v>
      </c>
    </row>
    <row r="27" spans="1:8" ht="15.75" customHeight="1" x14ac:dyDescent="0.25">
      <c r="B27" s="19" t="s">
        <v>108</v>
      </c>
      <c r="C27" s="99">
        <v>2.7708330999999999E-2</v>
      </c>
    </row>
    <row r="28" spans="1:8" ht="15.75" customHeight="1" x14ac:dyDescent="0.25">
      <c r="B28" s="19" t="s">
        <v>122</v>
      </c>
      <c r="C28" s="99">
        <v>0.192682248</v>
      </c>
    </row>
    <row r="29" spans="1:8" ht="15.75" customHeight="1" x14ac:dyDescent="0.25">
      <c r="B29" s="19" t="s">
        <v>105</v>
      </c>
      <c r="C29" s="99">
        <v>0.15047112300000001</v>
      </c>
    </row>
    <row r="30" spans="1:8" ht="15.75" customHeight="1" x14ac:dyDescent="0.25">
      <c r="B30" s="19" t="s">
        <v>4</v>
      </c>
      <c r="C30" s="99">
        <v>4.9998465000000013E-2</v>
      </c>
    </row>
    <row r="31" spans="1:8" ht="15.75" customHeight="1" x14ac:dyDescent="0.25">
      <c r="B31" s="19" t="s">
        <v>99</v>
      </c>
      <c r="C31" s="99">
        <v>3.0442113E-2</v>
      </c>
    </row>
    <row r="32" spans="1:8" ht="15.75" customHeight="1" x14ac:dyDescent="0.25">
      <c r="B32" s="19" t="s">
        <v>104</v>
      </c>
      <c r="C32" s="99">
        <v>8.5598303000000001E-2</v>
      </c>
    </row>
    <row r="33" spans="2:3" ht="15.75" customHeight="1" x14ac:dyDescent="0.25">
      <c r="B33" s="19" t="s">
        <v>119</v>
      </c>
      <c r="C33" s="99">
        <v>0.16741062000000001</v>
      </c>
    </row>
    <row r="34" spans="2:3" ht="15.75" customHeight="1" x14ac:dyDescent="0.25">
      <c r="B34" s="19" t="s">
        <v>106</v>
      </c>
      <c r="C34" s="99">
        <v>0.24886448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ChmaambIFWXSS2o/IrNbrUaSLoGxhbDc/JovbjrfSoVFhp5wApPtVVFNlfIdEm3Wo5EUt7tG9XBJItjRT8yMjQ==" saltValue="DMa4TSv2W83PqnjIOmrp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129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125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126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138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PtKfMc/k01yRWk4VsAF8P0WkJwN6xJFRIGQwKZXOHFAOfxxckT0oGAmOXjTat6fD3Km+UOX0ghJfsy/NB5j6A==" saltValue="LUOTkZ0uaUcAFUe7Pb6F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VAEvgC2AgMzXqBI4fC5h04R95XhzFThllUbTMGTyDWv5alADf0jghL5k6NFueMe0R2Yd2N63d3Y77NEU9sryGA==" saltValue="VjpEyTIU6eIuTaSOTW3c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UGXiBy8YXNqk9YfBQKvBqVURI5SXUG/BLZ8JDwkfxPbQUzjMA0SYmKmpSkyjudTzr0Jdedyrpw6RWqzNkImXQ==" saltValue="X3xd6BXGFrITVqUMEkkJT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1102.146484375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0.37470999999999999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0.29842999999999997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1.4415690056630329E-2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94163.123760000002</v>
      </c>
      <c r="C22" s="107">
        <v>93653.046489999993</v>
      </c>
      <c r="D22" s="107">
        <v>93383.457240000003</v>
      </c>
      <c r="E22" s="107">
        <v>93016.656539999996</v>
      </c>
      <c r="F22" s="107">
        <v>92514.947839999993</v>
      </c>
      <c r="G22" s="107">
        <v>91911.989600000001</v>
      </c>
      <c r="H22" s="107">
        <v>91139.916620000004</v>
      </c>
      <c r="I22" s="107">
        <v>90124.339940000005</v>
      </c>
      <c r="J22" s="107">
        <v>88700.336049999998</v>
      </c>
      <c r="K22" s="107">
        <v>86692.228560000003</v>
      </c>
      <c r="L22" s="107">
        <v>83711.116200000004</v>
      </c>
      <c r="M22" s="107">
        <v>79390.338369999998</v>
      </c>
      <c r="N22" s="107">
        <v>72846.033169999995</v>
      </c>
      <c r="O22" s="107">
        <v>63814.850120000003</v>
      </c>
    </row>
  </sheetData>
  <sheetProtection algorithmName="SHA-512" hashValue="Qn17yODM9rymZFMj5FwoOMALUrDFjuai/ZDaG0yyfTkBK6PeDzqkznVWs7pNKroArJ7lVwzrcsAwxGlT8rgTcA==" saltValue="DBFErb3t5U7hZTotO7wM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S7aoOlyI+uMcKegpsNizN8KTUzlfM33BcXHbJ5nT+//r/5RIdkrcwU9Z3uEY+ZXlJz+/diF9WTAZaaE4h0Qlg==" saltValue="5EC9f9RAS1wjfpr4mYUs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Ff70AitF04wlGJ/okMTFfyGG/zGMZisLTChW/EJXGKriwMpdSee3enG/CMUAzcadX+XoHIqAzsagiTTVOGFLw==" saltValue="mHBEAkUf+izQbPjxynNF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12.76524374254179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12.76524374254179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12.76524374254179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12.76524374254179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12.76524374254179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3.6484599999999999E-2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4.938E-2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0.53045450000000005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0.53045450000000005</v>
      </c>
      <c r="C19" s="96">
        <v>0.95</v>
      </c>
      <c r="D19" s="56">
        <v>5.6195673264216497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0.2500193</v>
      </c>
      <c r="C23" s="96">
        <v>0.95</v>
      </c>
      <c r="D23" s="56">
        <v>4.1250028489423594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0.19827547772213999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0.19644320000000001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0.23971219999999999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0.39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0.10762579999999999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0.53042900000000004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7.5948000000000014E-3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0.59316859999999993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0.15218699999999999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TF+bBzVdFyMuUNfLHWazJ5x4Vmi5G6yt7nihTcXsM9ox4U1hZQj9xsE3IFyE6qte+gIyht7H8Qby2h8L8/sOqw==" saltValue="Hy6eH6+zF3fXR+P+tfkP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sE5x9fmKqAVz+kNS0iw6/32R4eV9ntfQmJCrb8iCkEZwq0PS1idBXzaZUJZAHhfoFRUhKLySQQTVK16Fn6iuw==" saltValue="jeZ/yAMwXP4CtaTNSne+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ZoTxByCqXMbl6qLeqTDmWAhWqC6c97pP6oAznmKd4TZC73pUKz3x/AlFqYJri5gKVMmo/n6rk5zV9QCacm6xg==" saltValue="2Isl1FoB8KprGlFgyoOXR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236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Tn3NGMhjjAVT2r7wW6jyU72G7/MGkE/nhCeGAEVpmIIDJ5TGWB7gKU2wc/KX5KSReyGACzma+wXsTNZVfvYssg==" saltValue="UvVKQImaMQN9fRbnksGY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aIW78EqH+Ly6Xy6HNcbVvvGQVa8GiqyuKCEkqlRPz3MD3SUo8weuNAz4KbBucAcgdQ7wlxHk8VjjIeI9KAZ5Q==" saltValue="A2bYatPeAKk7zBKY6l6c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5F46v/NSf4HE49Ma9AvDymjMJhS24gYAsPbPlFUquJIbReyXo/KfYr4X4l6LyRIprm/1RJAqIxVDCQWtMNpuA==" saltValue="HpZaoLK1g/wDLx6JfT1d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Orp0raLbURkKDWTJIN//NDF0H7DLsqZgb6dkBjLc9RbImjzLlnzMBP9cIRHg6ZScExg3TyXNCkNrWvdOkXpag==" saltValue="Q++iKX3cUsjM1oFK9o8X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y2gDN9QKfKkwaO2GuNts4sGJpD/+OwYjVfKzffoD6ssATrgA9yPTmFSfdzZ95XXsuczzxT9D0HWqhvz0+7r5w==" saltValue="y2c6c4VyGgeFhqqqG5HR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+PVhNg7kLZxHxTVYrdXbU3Lt3dKQnbpeelCZgR2LSAQZ6MgBlPF5Z5MZZBUtB0pdfmwgMXHZaKOOSrBWvrgsA==" saltValue="KmnB2GVqbxB0V+0zIb6x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NjA/CtHsfyj+cYc76lh2zHcU6o2L0csBuTCG6MrG/4EtWwu3FKtItq825bdR59XaRweZIiUHtBDFEixYTfroIA==" saltValue="27EJkc3NUYPxBj8LzyJN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saVfoYAa9FnTaCRVhfoMefYelo2CKZ1eleZE+gGkSKqDM2ACRNVz9zFbIGoecolqO0tx3mQ7dk248TKrjZDdQ==" saltValue="O4ltV19wtgBaDdlqjbvr5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ys8o0nVfrnhTju2gFrm5IVAGQPIvjW9fe00J1jCBHKMjV6WfVVttslKVPVOU2uYb+1uZyzLxrniyk+wBAO59g==" saltValue="AVanvtsGIRwirXWzQnvE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gQYLrmScSwycoNwd8CqvKh2sZSx/kYOK7zn16rgBOXrFMPfWPo49OnGiM7j61cW+hBYSYXc/V6pmzjosuKZsw==" saltValue="cr/3u8BGlm5pXlekAx+7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gnB2is7YyS7hBZdCCfwho4vi0ihiQP125cJi5iIyMVIQ6IC5t7jCMaIkAgHHx97RFCGOxljXxpBsZEbXNZFMQ==" saltValue="9IWgpqqk2lt57djZUm+r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j3CdGKchOssLt7+jzZ372VtXaDvWTdYVhDiqrS7SbUHxafECEx2ksvmicd+w9MDQBPvAi24Xtzkuyl8dt2dRQ==" saltValue="IbsAe8wn5rFtreD5U6a/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JCyTl43tyvqQksObDAkyns1aVSHHjzcM4RkEjtzZ4SLfPHTd40fjrXyGhIsZkjfV80chw6O0aS87ssHk9s4aA==" saltValue="oFE1ldBWJ1uI9+CH5O35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n+KFwTTC+goU9lL2E0AjRlvrtzooMWVPCIlcrKk4qWTpEAc95fIMT0gn/+0xC7M3UuvOkjERIywXiDC2255pg==" saltValue="/5m2ln8MulTSNImPeuxO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jypFt5ClXL7SxPAaTjXH3bgl2jSVOM1HjY4eUwkRVj8l9U8KQLSl2uJEcJ11Lx4hgQE3LAnfNC9z8+q0k8aMQ==" saltValue="eYdQf96dhUaLwh6w970U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1VsW/flGWKVd+LF53U2iZEYmWi2rwq/4jTGQLvMFpieus6uV+ESZ1xuIaPKMChGZVTvo85kOX3uyWiN5JRZwJA==" saltValue="W3O7g29jYCye72OJns2Tq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2026-04-29T03:37:48Z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