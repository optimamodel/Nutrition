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A03C660B-69DB-4853-963F-513BFE37C92F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4" i="2" l="1"/>
  <c r="A23" i="2"/>
  <c r="A25" i="2"/>
  <c r="A31" i="2"/>
  <c r="A37" i="2"/>
  <c r="I38" i="2"/>
  <c r="A26" i="2"/>
  <c r="I39" i="2"/>
  <c r="A34" i="2"/>
  <c r="A40" i="2"/>
  <c r="I2" i="2"/>
  <c r="I6" i="2"/>
  <c r="A19" i="2"/>
  <c r="A35" i="2"/>
  <c r="A22" i="2"/>
  <c r="A36" i="2"/>
  <c r="I3" i="2"/>
  <c r="I7" i="2"/>
  <c r="I1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<sst xmlns="http://schemas.openxmlformats.org/spreadsheetml/2006/main" count="2169" uniqueCount="373">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</sst>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16210</v>
      </c>
    </row>
    <row r="8" spans="1:3" ht="15" customHeight="1" x14ac:dyDescent="0.25">
      <c r="B8" s="5" t="s">
        <v>63</v>
      </c>
      <c r="C8" s="44">
        <v>0.129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0.81408699039999999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0.64200000000000002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2.3699999999999999E-2</v>
      </c>
    </row>
    <row r="24" spans="1:3" ht="15" customHeight="1" x14ac:dyDescent="0.25">
      <c r="B24" s="15" t="s">
        <v>65</v>
      </c>
      <c r="C24" s="45">
        <v>0.4365</v>
      </c>
    </row>
    <row r="25" spans="1:3" ht="15" customHeight="1" x14ac:dyDescent="0.25">
      <c r="B25" s="15" t="s">
        <v>66</v>
      </c>
      <c r="C25" s="45">
        <v>0.4929</v>
      </c>
    </row>
    <row r="26" spans="1:3" ht="15" customHeight="1" x14ac:dyDescent="0.25">
      <c r="B26" s="15" t="s">
        <v>67</v>
      </c>
      <c r="C26" s="45">
        <v>4.6899999999999997E-2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0.35185775257007201</v>
      </c>
    </row>
    <row r="30" spans="1:3" ht="14.25" customHeight="1" x14ac:dyDescent="0.25">
      <c r="B30" s="25" t="s">
        <v>82</v>
      </c>
      <c r="C30" s="97">
        <v>2.3858720907234902E-2</v>
      </c>
    </row>
    <row r="31" spans="1:3" ht="14.25" customHeight="1" x14ac:dyDescent="0.25">
      <c r="B31" s="25" t="s">
        <v>29</v>
      </c>
      <c r="C31" s="97">
        <v>3.4342930038455802E-2</v>
      </c>
    </row>
    <row r="32" spans="1:3" ht="14.25" customHeight="1" x14ac:dyDescent="0.25">
      <c r="B32" s="25" t="s">
        <v>30</v>
      </c>
      <c r="C32" s="97">
        <v>0.58994059648423802</v>
      </c>
    </row>
    <row r="33" spans="1:5" ht="13.25" customHeight="1" x14ac:dyDescent="0.25">
      <c r="B33" s="27" t="s">
        <v>79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20.781860000000002</v>
      </c>
    </row>
    <row r="38" spans="1:5" ht="15" customHeight="1" x14ac:dyDescent="0.25">
      <c r="B38" s="11" t="s">
        <v>54</v>
      </c>
      <c r="C38" s="43">
        <v>38.256639999999997</v>
      </c>
      <c r="D38" s="12"/>
      <c r="E38" s="13"/>
    </row>
    <row r="39" spans="1:5" ht="15" customHeight="1" x14ac:dyDescent="0.25">
      <c r="B39" s="11" t="s">
        <v>80</v>
      </c>
      <c r="C39" s="43">
        <v>48.229109999999999</v>
      </c>
      <c r="D39" s="12"/>
      <c r="E39" s="12"/>
    </row>
    <row r="40" spans="1:5" ht="15" customHeight="1" x14ac:dyDescent="0.25">
      <c r="B40" s="11" t="s">
        <v>55</v>
      </c>
      <c r="C40" s="98">
        <v>0.76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14.117010000000001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6.1607999999999993E-3</v>
      </c>
      <c r="D45" s="12"/>
    </row>
    <row r="46" spans="1:5" ht="15.75" customHeight="1" x14ac:dyDescent="0.25">
      <c r="B46" s="11" t="s">
        <v>70</v>
      </c>
      <c r="C46" s="45">
        <v>6.6196500000000005E-2</v>
      </c>
      <c r="D46" s="12"/>
    </row>
    <row r="47" spans="1:5" ht="15.75" customHeight="1" x14ac:dyDescent="0.25">
      <c r="B47" s="11" t="s">
        <v>78</v>
      </c>
      <c r="C47" s="45">
        <v>7.5142600000000004E-2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2.2000000000000002</v>
      </c>
      <c r="D51" s="12"/>
    </row>
    <row r="52" spans="1:4" ht="15" customHeight="1" x14ac:dyDescent="0.25">
      <c r="B52" s="11" t="s">
        <v>32</v>
      </c>
      <c r="C52" s="98">
        <v>2.2000000000000002</v>
      </c>
    </row>
    <row r="53" spans="1:4" ht="15.75" customHeight="1" x14ac:dyDescent="0.25">
      <c r="B53" s="11" t="s">
        <v>35</v>
      </c>
      <c r="C53" s="98">
        <v>2.2000000000000002</v>
      </c>
    </row>
    <row r="54" spans="1:4" ht="15.75" customHeight="1" x14ac:dyDescent="0.25">
      <c r="B54" s="11" t="s">
        <v>33</v>
      </c>
      <c r="C54" s="98">
        <v>2.2000000000000002</v>
      </c>
    </row>
    <row r="55" spans="1:4" ht="15.75" customHeight="1" x14ac:dyDescent="0.25">
      <c r="B55" s="11" t="s">
        <v>34</v>
      </c>
      <c r="C55" s="98">
        <v>2.2000000000000002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0.56834600000000002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9SAyo6CHIwWPUpeVry9A7rRFPnliksbdIJA2YByLio3PqRBq7ek+PUuDEvkjqJ5zIoWxhnj+Nm6HBuFP1P5VA==" saltValue="5+ZQmwiaJanuQOQqGKJy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3405</v>
      </c>
      <c r="C2" s="49">
        <v>6281</v>
      </c>
      <c r="D2" s="49">
        <v>11286.999999999998</v>
      </c>
      <c r="E2" s="49">
        <v>10271.5</v>
      </c>
      <c r="F2" s="49">
        <v>7147</v>
      </c>
      <c r="G2" s="17">
        <f t="shared" ref="G2:G13" si="0">C2+D2+E2+F2</f>
        <v>34986.5</v>
      </c>
      <c r="H2" s="17">
        <f t="shared" ref="H2:H13" si="1">(B2 + stillbirth*B2/(1000-stillbirth))/(1-abortion)</f>
        <v>3924.7235433265582</v>
      </c>
      <c r="I2" s="17">
        <f t="shared" ref="I2:I13" si="2">G2-H2</f>
        <v>31061.77645667344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3385</v>
      </c>
      <c r="C3" s="50">
        <v>6600.5</v>
      </c>
      <c r="D3" s="50">
        <v>11146.5</v>
      </c>
      <c r="E3" s="50">
        <v>10441</v>
      </c>
      <c r="F3" s="50">
        <v>7457</v>
      </c>
      <c r="G3" s="17">
        <f t="shared" si="0"/>
        <v>35645</v>
      </c>
      <c r="H3" s="17">
        <f t="shared" si="1"/>
        <v>3901.6708352893979</v>
      </c>
      <c r="I3" s="17">
        <f t="shared" si="2"/>
        <v>31743.329164710602</v>
      </c>
    </row>
    <row r="4" spans="1:9" ht="15.75" customHeight="1" x14ac:dyDescent="0.25">
      <c r="A4" s="5">
        <f t="shared" si="3"/>
        <v>2026</v>
      </c>
      <c r="B4" s="49">
        <v>3370</v>
      </c>
      <c r="C4" s="50">
        <v>6901.5</v>
      </c>
      <c r="D4" s="50">
        <v>11056.999999999998</v>
      </c>
      <c r="E4" s="50">
        <v>10610</v>
      </c>
      <c r="F4" s="50">
        <v>7771</v>
      </c>
      <c r="G4" s="17">
        <f t="shared" si="0"/>
        <v>36339.5</v>
      </c>
      <c r="H4" s="17">
        <f t="shared" si="1"/>
        <v>3884.3813042615275</v>
      </c>
      <c r="I4" s="17">
        <f t="shared" si="2"/>
        <v>32455.118695738471</v>
      </c>
    </row>
    <row r="5" spans="1:9" ht="15.75" customHeight="1" x14ac:dyDescent="0.25">
      <c r="A5" s="5">
        <f t="shared" si="3"/>
        <v>2027</v>
      </c>
      <c r="B5" s="49">
        <v>3363</v>
      </c>
      <c r="C5" s="50">
        <v>7141.5</v>
      </c>
      <c r="D5" s="50">
        <v>11045</v>
      </c>
      <c r="E5" s="50">
        <v>10765.5</v>
      </c>
      <c r="F5" s="50">
        <v>8081.5</v>
      </c>
      <c r="G5" s="17">
        <f t="shared" si="0"/>
        <v>37033.5</v>
      </c>
      <c r="H5" s="17">
        <f t="shared" si="1"/>
        <v>3876.3128564485214</v>
      </c>
      <c r="I5" s="17">
        <f t="shared" si="2"/>
        <v>33157.187143551477</v>
      </c>
    </row>
    <row r="6" spans="1:9" ht="15.75" customHeight="1" x14ac:dyDescent="0.25">
      <c r="A6" s="5">
        <f t="shared" si="3"/>
        <v>2028</v>
      </c>
      <c r="B6" s="49">
        <v>3363</v>
      </c>
      <c r="C6" s="50">
        <v>7299</v>
      </c>
      <c r="D6" s="50">
        <v>11119.499999999998</v>
      </c>
      <c r="E6" s="50">
        <v>10893.999999999998</v>
      </c>
      <c r="F6" s="50">
        <v>8374.5000000000018</v>
      </c>
      <c r="G6" s="17">
        <f t="shared" si="0"/>
        <v>37687</v>
      </c>
      <c r="H6" s="17">
        <f t="shared" si="1"/>
        <v>3876.3128564485214</v>
      </c>
      <c r="I6" s="17">
        <f t="shared" si="2"/>
        <v>33810.687143551477</v>
      </c>
    </row>
    <row r="7" spans="1:9" ht="15.75" customHeight="1" x14ac:dyDescent="0.25">
      <c r="A7" s="5">
        <f t="shared" si="3"/>
        <v>2029</v>
      </c>
      <c r="B7" s="49">
        <v>3368</v>
      </c>
      <c r="C7" s="50">
        <v>7388.5</v>
      </c>
      <c r="D7" s="50">
        <v>11273.5</v>
      </c>
      <c r="E7" s="50">
        <v>10984.5</v>
      </c>
      <c r="F7" s="50">
        <v>8634.5</v>
      </c>
      <c r="G7" s="17">
        <f t="shared" si="0"/>
        <v>38281</v>
      </c>
      <c r="H7" s="17">
        <f t="shared" si="1"/>
        <v>3882.0760334578117</v>
      </c>
      <c r="I7" s="17">
        <f t="shared" si="2"/>
        <v>34398.923966542192</v>
      </c>
    </row>
    <row r="8" spans="1:9" ht="15.75" customHeight="1" x14ac:dyDescent="0.25">
      <c r="A8" s="5">
        <f t="shared" si="3"/>
        <v>2030</v>
      </c>
      <c r="B8" s="49">
        <v>3376</v>
      </c>
      <c r="C8" s="50">
        <v>7424</v>
      </c>
      <c r="D8" s="50">
        <v>11517.5</v>
      </c>
      <c r="E8" s="50">
        <v>11012</v>
      </c>
      <c r="F8" s="50">
        <v>8880.5</v>
      </c>
      <c r="G8" s="17">
        <f t="shared" si="0"/>
        <v>38834</v>
      </c>
      <c r="H8" s="17">
        <f t="shared" si="1"/>
        <v>3891.2971166726757</v>
      </c>
      <c r="I8" s="17">
        <f t="shared" si="2"/>
        <v>34942.702883327322</v>
      </c>
    </row>
    <row r="9" spans="1:9" ht="15.75" customHeight="1" x14ac:dyDescent="0.25">
      <c r="A9" s="5">
        <f t="shared" si="3"/>
        <v>2031</v>
      </c>
      <c r="B9" s="49">
        <v>3389</v>
      </c>
      <c r="C9" s="50">
        <v>7418</v>
      </c>
      <c r="D9" s="50">
        <v>11854.500000000002</v>
      </c>
      <c r="E9" s="50">
        <v>10965.499999999998</v>
      </c>
      <c r="F9" s="50">
        <v>9128</v>
      </c>
      <c r="G9" s="17">
        <f t="shared" si="0"/>
        <v>39366</v>
      </c>
      <c r="H9" s="17">
        <f t="shared" si="1"/>
        <v>3906.2813768968299</v>
      </c>
      <c r="I9" s="17">
        <f t="shared" si="2"/>
        <v>35459.718623103166</v>
      </c>
    </row>
    <row r="10" spans="1:9" ht="15.75" customHeight="1" x14ac:dyDescent="0.25">
      <c r="A10" s="5">
        <f t="shared" si="3"/>
        <v>2032</v>
      </c>
      <c r="B10" s="49">
        <v>3406</v>
      </c>
      <c r="C10" s="50">
        <v>7403</v>
      </c>
      <c r="D10" s="50">
        <v>12251.000000000002</v>
      </c>
      <c r="E10" s="50">
        <v>10856.5</v>
      </c>
      <c r="F10" s="50">
        <v>9354.5</v>
      </c>
      <c r="G10" s="17">
        <f t="shared" si="0"/>
        <v>39865</v>
      </c>
      <c r="H10" s="17">
        <f t="shared" si="1"/>
        <v>3925.8761787284166</v>
      </c>
      <c r="I10" s="17">
        <f t="shared" si="2"/>
        <v>35939.123821271583</v>
      </c>
    </row>
    <row r="11" spans="1:9" ht="15.75" customHeight="1" x14ac:dyDescent="0.25">
      <c r="A11" s="5">
        <f t="shared" si="3"/>
        <v>2033</v>
      </c>
      <c r="B11" s="49">
        <v>3422</v>
      </c>
      <c r="C11" s="50">
        <v>7409</v>
      </c>
      <c r="D11" s="50">
        <v>12670.5</v>
      </c>
      <c r="E11" s="50">
        <v>10703.5</v>
      </c>
      <c r="F11" s="50">
        <v>9550.5</v>
      </c>
      <c r="G11" s="17">
        <f t="shared" si="0"/>
        <v>40333.5</v>
      </c>
      <c r="H11" s="17">
        <f t="shared" si="1"/>
        <v>3944.3183451581449</v>
      </c>
      <c r="I11" s="17">
        <f t="shared" si="2"/>
        <v>36389.181654841857</v>
      </c>
    </row>
    <row r="12" spans="1:9" ht="15.75" customHeight="1" x14ac:dyDescent="0.25">
      <c r="A12" s="5">
        <f t="shared" si="3"/>
        <v>2034</v>
      </c>
      <c r="B12" s="49">
        <v>3436</v>
      </c>
      <c r="C12" s="50">
        <v>7444.5</v>
      </c>
      <c r="D12" s="50">
        <v>13068.999999999998</v>
      </c>
      <c r="E12" s="50">
        <v>10544</v>
      </c>
      <c r="F12" s="50">
        <v>9726</v>
      </c>
      <c r="G12" s="17">
        <f t="shared" si="0"/>
        <v>40783.5</v>
      </c>
      <c r="H12" s="17">
        <f t="shared" si="1"/>
        <v>3960.455240784157</v>
      </c>
      <c r="I12" s="17">
        <f t="shared" si="2"/>
        <v>36823.044759215845</v>
      </c>
    </row>
    <row r="13" spans="1:9" ht="15.75" customHeight="1" x14ac:dyDescent="0.25">
      <c r="A13" s="5">
        <f t="shared" si="3"/>
        <v>2035</v>
      </c>
      <c r="B13" s="49">
        <v>3449</v>
      </c>
      <c r="C13" s="50">
        <v>7494</v>
      </c>
      <c r="D13" s="50">
        <v>13418</v>
      </c>
      <c r="E13" s="50">
        <v>10413</v>
      </c>
      <c r="F13" s="50">
        <v>9897.5</v>
      </c>
      <c r="G13" s="17">
        <f t="shared" si="0"/>
        <v>41222.5</v>
      </c>
      <c r="H13" s="17">
        <f t="shared" si="1"/>
        <v>3975.4395010083113</v>
      </c>
      <c r="I13" s="17">
        <f t="shared" si="2"/>
        <v>37247.06049899169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btrZ2DqmxsAL0YjKbVP4Rig+WrlVP34AgZvsPBCxp8WUXKKc5Zmak/pw8rXWm9MuIYvbGB9AU7U066rKD9V8mQ==" saltValue="A8bu0c2CX7KEvijucexEk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7.2434000000000057E-3</v>
      </c>
    </row>
    <row r="4" spans="1:8" ht="15.75" customHeight="1" x14ac:dyDescent="0.25">
      <c r="B4" s="19" t="s">
        <v>116</v>
      </c>
      <c r="C4" s="99">
        <v>4.3596400000000077E-2</v>
      </c>
    </row>
    <row r="5" spans="1:8" ht="15.75" customHeight="1" x14ac:dyDescent="0.25">
      <c r="B5" s="19" t="s">
        <v>114</v>
      </c>
      <c r="C5" s="99">
        <v>6.4211200000000065E-2</v>
      </c>
    </row>
    <row r="6" spans="1:8" ht="15.75" customHeight="1" x14ac:dyDescent="0.25">
      <c r="B6" s="19" t="s">
        <v>110</v>
      </c>
      <c r="C6" s="99">
        <v>0.23054500000000039</v>
      </c>
    </row>
    <row r="7" spans="1:8" ht="15.75" customHeight="1" x14ac:dyDescent="0.25">
      <c r="B7" s="19" t="s">
        <v>115</v>
      </c>
      <c r="C7" s="99">
        <v>0.41386899999999921</v>
      </c>
    </row>
    <row r="8" spans="1:8" ht="15.75" customHeight="1" x14ac:dyDescent="0.25">
      <c r="B8" s="19" t="s">
        <v>117</v>
      </c>
      <c r="C8" s="99">
        <v>1.0072000000000011E-3</v>
      </c>
    </row>
    <row r="9" spans="1:8" ht="15.75" customHeight="1" x14ac:dyDescent="0.25">
      <c r="B9" s="19" t="s">
        <v>111</v>
      </c>
      <c r="C9" s="99">
        <v>0.1080942</v>
      </c>
    </row>
    <row r="10" spans="1:8" ht="15.75" customHeight="1" x14ac:dyDescent="0.25">
      <c r="B10" s="19" t="s">
        <v>113</v>
      </c>
      <c r="C10" s="99">
        <v>0.13143360000000009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0.22235742576796599</v>
      </c>
      <c r="D14" s="55">
        <v>0.22235742576796599</v>
      </c>
      <c r="E14" s="55">
        <v>0.22235742576796599</v>
      </c>
      <c r="F14" s="55">
        <v>0.22235742576796599</v>
      </c>
    </row>
    <row r="15" spans="1:8" ht="15.75" customHeight="1" x14ac:dyDescent="0.25">
      <c r="B15" s="19" t="s">
        <v>121</v>
      </c>
      <c r="C15" s="99">
        <v>0.27767046684836882</v>
      </c>
      <c r="D15" s="99">
        <v>0.27767046684836882</v>
      </c>
      <c r="E15" s="99">
        <v>0.27767046684836882</v>
      </c>
      <c r="F15" s="99">
        <v>0.27767046684836882</v>
      </c>
    </row>
    <row r="16" spans="1:8" ht="15.75" customHeight="1" x14ac:dyDescent="0.25">
      <c r="B16" s="19" t="s">
        <v>2</v>
      </c>
      <c r="C16" s="99">
        <v>1.9460982459906701E-2</v>
      </c>
      <c r="D16" s="99">
        <v>1.9460982459906701E-2</v>
      </c>
      <c r="E16" s="99">
        <v>1.9460982459906701E-2</v>
      </c>
      <c r="F16" s="99">
        <v>1.9460982459906701E-2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0</v>
      </c>
      <c r="D19" s="99">
        <v>0</v>
      </c>
      <c r="E19" s="99">
        <v>0</v>
      </c>
      <c r="F19" s="99">
        <v>0</v>
      </c>
    </row>
    <row r="20" spans="1:8" ht="15.75" customHeight="1" x14ac:dyDescent="0.25">
      <c r="B20" s="19" t="s">
        <v>98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107</v>
      </c>
      <c r="C21" s="99">
        <v>0.16417924456219579</v>
      </c>
      <c r="D21" s="99">
        <v>0.16417924456219579</v>
      </c>
      <c r="E21" s="99">
        <v>0.16417924456219579</v>
      </c>
      <c r="F21" s="99">
        <v>0.16417924456219579</v>
      </c>
    </row>
    <row r="22" spans="1:8" ht="15.75" customHeight="1" x14ac:dyDescent="0.25">
      <c r="B22" s="19" t="s">
        <v>118</v>
      </c>
      <c r="C22" s="99">
        <v>0.3163318803615629</v>
      </c>
      <c r="D22" s="99">
        <v>0.3163318803615629</v>
      </c>
      <c r="E22" s="99">
        <v>0.3163318803615629</v>
      </c>
      <c r="F22" s="99">
        <v>0.3163318803615629</v>
      </c>
    </row>
    <row r="23" spans="1:8" ht="15.75" customHeight="1" x14ac:dyDescent="0.25">
      <c r="B23" s="27" t="s">
        <v>79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3.8186174000000003E-2</v>
      </c>
    </row>
    <row r="27" spans="1:8" ht="15.75" customHeight="1" x14ac:dyDescent="0.25">
      <c r="B27" s="19" t="s">
        <v>108</v>
      </c>
      <c r="C27" s="99">
        <v>3.5979345000000003E-2</v>
      </c>
    </row>
    <row r="28" spans="1:8" ht="15.75" customHeight="1" x14ac:dyDescent="0.25">
      <c r="B28" s="19" t="s">
        <v>122</v>
      </c>
      <c r="C28" s="99">
        <v>0.17918920699999999</v>
      </c>
    </row>
    <row r="29" spans="1:8" ht="15.75" customHeight="1" x14ac:dyDescent="0.25">
      <c r="B29" s="19" t="s">
        <v>105</v>
      </c>
      <c r="C29" s="99">
        <v>9.3383905000000003E-2</v>
      </c>
    </row>
    <row r="30" spans="1:8" ht="15.75" customHeight="1" x14ac:dyDescent="0.25">
      <c r="B30" s="19" t="s">
        <v>4</v>
      </c>
      <c r="C30" s="99">
        <v>4.2695289999999983E-2</v>
      </c>
    </row>
    <row r="31" spans="1:8" ht="15.75" customHeight="1" x14ac:dyDescent="0.25">
      <c r="B31" s="19" t="s">
        <v>99</v>
      </c>
      <c r="C31" s="99">
        <v>0.135273369</v>
      </c>
    </row>
    <row r="32" spans="1:8" ht="15.75" customHeight="1" x14ac:dyDescent="0.25">
      <c r="B32" s="19" t="s">
        <v>104</v>
      </c>
      <c r="C32" s="99">
        <v>0.18705686599999999</v>
      </c>
    </row>
    <row r="33" spans="2:3" ht="15.75" customHeight="1" x14ac:dyDescent="0.25">
      <c r="B33" s="19" t="s">
        <v>119</v>
      </c>
      <c r="C33" s="99">
        <v>0.13805392899999999</v>
      </c>
    </row>
    <row r="34" spans="2:3" ht="15.75" customHeight="1" x14ac:dyDescent="0.25">
      <c r="B34" s="19" t="s">
        <v>106</v>
      </c>
      <c r="C34" s="99">
        <v>0.150181916</v>
      </c>
    </row>
    <row r="35" spans="2:3" ht="15.75" customHeight="1" x14ac:dyDescent="0.25">
      <c r="B35" s="27" t="s">
        <v>79</v>
      </c>
      <c r="C35" s="48">
        <f>SUM(C26:C34)</f>
        <v>1.0000000009999999</v>
      </c>
    </row>
  </sheetData>
  <sheetProtection algorithmName="SHA-512" hashValue="8oZvXYZj86ajQGt8+DYYvBQujgnJbo6MdPupdON2TUrSb1UZqr5JTvyugiNs6Hh53Y+uAY0ky7JU1/oD3rLX4w==" saltValue="Yuj5ibfwjZ2cgOZBF1ysJ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0.68530893122159209</v>
      </c>
      <c r="D2" s="52">
        <f>IFERROR(1-_xlfn.NORM.DIST(_xlfn.NORM.INV(SUM(D4:D5), 0, 1) + 1, 0, 1, TRUE), "")</f>
        <v>0.68530893122159209</v>
      </c>
      <c r="E2" s="52">
        <f>IFERROR(1-_xlfn.NORM.DIST(_xlfn.NORM.INV(SUM(E4:E5), 0, 1) + 1, 0, 1, TRUE), "")</f>
        <v>0.71403464461608135</v>
      </c>
      <c r="F2" s="52">
        <f>IFERROR(1-_xlfn.NORM.DIST(_xlfn.NORM.INV(SUM(F4:F5), 0, 1) + 1, 0, 1, TRUE), "")</f>
        <v>0.53686912809634602</v>
      </c>
      <c r="G2" s="52">
        <f>IFERROR(1-_xlfn.NORM.DIST(_xlfn.NORM.INV(SUM(G4:G5), 0, 1) + 1, 0, 1, TRUE), "")</f>
        <v>0.45067441162678157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0.24560026877840796</v>
      </c>
      <c r="D3" s="52">
        <f>IFERROR(_xlfn.NORM.DIST(_xlfn.NORM.INV(SUM(D4:D5), 0, 1) + 1, 0, 1, TRUE) - SUM(D4:D5), "")</f>
        <v>0.24560026877840796</v>
      </c>
      <c r="E3" s="52">
        <f>IFERROR(_xlfn.NORM.DIST(_xlfn.NORM.INV(SUM(E4:E5), 0, 1) + 1, 0, 1, TRUE) - SUM(E4:E5), "")</f>
        <v>0.22719855538391864</v>
      </c>
      <c r="F3" s="52">
        <f>IFERROR(_xlfn.NORM.DIST(_xlfn.NORM.INV(SUM(F4:F5), 0, 1) + 1, 0, 1, TRUE) - SUM(F4:F5), "")</f>
        <v>0.32583497190365407</v>
      </c>
      <c r="G3" s="52">
        <f>IFERROR(_xlfn.NORM.DIST(_xlfn.NORM.INV(SUM(G4:G5), 0, 1) + 1, 0, 1, TRUE) - SUM(G4:G5), "")</f>
        <v>0.35882208837321844</v>
      </c>
    </row>
    <row r="4" spans="1:15" ht="15.75" customHeight="1" x14ac:dyDescent="0.25">
      <c r="B4" s="5" t="s">
        <v>129</v>
      </c>
      <c r="C4" s="45">
        <v>5.7732699999999998E-2</v>
      </c>
      <c r="D4" s="53">
        <v>5.7732699999999998E-2</v>
      </c>
      <c r="E4" s="53">
        <v>3.7514100000000002E-2</v>
      </c>
      <c r="F4" s="53">
        <v>8.4266199999999999E-2</v>
      </c>
      <c r="G4" s="53">
        <v>0.14328250000000001</v>
      </c>
    </row>
    <row r="5" spans="1:15" ht="15.75" customHeight="1" x14ac:dyDescent="0.25">
      <c r="B5" s="5" t="s">
        <v>125</v>
      </c>
      <c r="C5" s="45">
        <v>1.1358099999999999E-2</v>
      </c>
      <c r="D5" s="53">
        <v>1.1358099999999999E-2</v>
      </c>
      <c r="E5" s="53">
        <v>2.1252699999999999E-2</v>
      </c>
      <c r="F5" s="53">
        <v>5.3029699999999999E-2</v>
      </c>
      <c r="G5" s="53">
        <v>4.7220999999999999E-2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0.59564306203041173</v>
      </c>
      <c r="D8" s="52">
        <f>IFERROR(1-_xlfn.NORM.DIST(_xlfn.NORM.INV(SUM(D10:D11), 0, 1) + 1, 0, 1, TRUE), "")</f>
        <v>0.59564306203041173</v>
      </c>
      <c r="E8" s="52">
        <f>IFERROR(1-_xlfn.NORM.DIST(_xlfn.NORM.INV(SUM(E10:E11), 0, 1) + 1, 0, 1, TRUE), "")</f>
        <v>0.70919815778332507</v>
      </c>
      <c r="F8" s="52">
        <f>IFERROR(1-_xlfn.NORM.DIST(_xlfn.NORM.INV(SUM(F10:F11), 0, 1) + 1, 0, 1, TRUE), "")</f>
        <v>0.77746088192221219</v>
      </c>
      <c r="G8" s="52">
        <f>IFERROR(1-_xlfn.NORM.DIST(_xlfn.NORM.INV(SUM(G10:G11), 0, 1) + 1, 0, 1, TRUE), "")</f>
        <v>0.87476102653628784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0.29725443796958828</v>
      </c>
      <c r="D9" s="52">
        <f>IFERROR(_xlfn.NORM.DIST(_xlfn.NORM.INV(SUM(D10:D11), 0, 1) + 1, 0, 1, TRUE) - SUM(D10:D11), "")</f>
        <v>0.29725443796958828</v>
      </c>
      <c r="E9" s="52">
        <f>IFERROR(_xlfn.NORM.DIST(_xlfn.NORM.INV(SUM(E10:E11), 0, 1) + 1, 0, 1, TRUE) - SUM(E10:E11), "")</f>
        <v>0.23035624221667494</v>
      </c>
      <c r="F9" s="52">
        <f>IFERROR(_xlfn.NORM.DIST(_xlfn.NORM.INV(SUM(F10:F11), 0, 1) + 1, 0, 1, TRUE) - SUM(F10:F11), "")</f>
        <v>0.18364331807778783</v>
      </c>
      <c r="G9" s="52">
        <f>IFERROR(_xlfn.NORM.DIST(_xlfn.NORM.INV(SUM(G10:G11), 0, 1) + 1, 0, 1, TRUE) - SUM(G10:G11), "")</f>
        <v>0.10942927346371215</v>
      </c>
    </row>
    <row r="10" spans="1:15" ht="15.75" customHeight="1" x14ac:dyDescent="0.25">
      <c r="B10" s="5" t="s">
        <v>126</v>
      </c>
      <c r="C10" s="45">
        <v>7.4211700000000005E-2</v>
      </c>
      <c r="D10" s="53">
        <v>7.4211700000000005E-2</v>
      </c>
      <c r="E10" s="53">
        <v>4.0096399999999997E-2</v>
      </c>
      <c r="F10" s="53">
        <v>2.40913E-2</v>
      </c>
      <c r="G10" s="53">
        <v>8.5543000000000008E-3</v>
      </c>
    </row>
    <row r="11" spans="1:15" ht="15.75" customHeight="1" x14ac:dyDescent="0.25">
      <c r="B11" s="5" t="s">
        <v>138</v>
      </c>
      <c r="C11" s="45">
        <v>3.2890799999999998E-2</v>
      </c>
      <c r="D11" s="53">
        <v>3.2890799999999998E-2</v>
      </c>
      <c r="E11" s="53">
        <v>2.0349200000000001E-2</v>
      </c>
      <c r="F11" s="53">
        <v>1.48045E-2</v>
      </c>
      <c r="G11" s="53">
        <v>7.2554000000000004E-3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0.51340841550000005</v>
      </c>
      <c r="D14" s="54">
        <v>0.51488794754</v>
      </c>
      <c r="E14" s="54">
        <v>0.51488794754</v>
      </c>
      <c r="F14" s="54">
        <v>0.30718176750999998</v>
      </c>
      <c r="G14" s="54">
        <v>0.30718176750999998</v>
      </c>
      <c r="H14" s="45">
        <v>0.36</v>
      </c>
      <c r="I14" s="55">
        <v>0.36</v>
      </c>
      <c r="J14" s="55">
        <v>0.36</v>
      </c>
      <c r="K14" s="55">
        <v>0.36</v>
      </c>
      <c r="L14" s="45">
        <v>0.253</v>
      </c>
      <c r="M14" s="55">
        <v>0.253</v>
      </c>
      <c r="N14" s="55">
        <v>0.253</v>
      </c>
      <c r="O14" s="55">
        <v>0.253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0.29179361931576303</v>
      </c>
      <c r="D15" s="52">
        <f t="shared" si="0"/>
        <v>0.29263450543256886</v>
      </c>
      <c r="E15" s="52">
        <f t="shared" si="0"/>
        <v>0.29263450543256886</v>
      </c>
      <c r="F15" s="52">
        <f t="shared" si="0"/>
        <v>0.17458552883723846</v>
      </c>
      <c r="G15" s="52">
        <f t="shared" si="0"/>
        <v>0.17458552883723846</v>
      </c>
      <c r="H15" s="52">
        <f t="shared" si="0"/>
        <v>0.20460455999999999</v>
      </c>
      <c r="I15" s="52">
        <f t="shared" si="0"/>
        <v>0.20460455999999999</v>
      </c>
      <c r="J15" s="52">
        <f t="shared" si="0"/>
        <v>0.20460455999999999</v>
      </c>
      <c r="K15" s="52">
        <f t="shared" si="0"/>
        <v>0.20460455999999999</v>
      </c>
      <c r="L15" s="52">
        <f t="shared" si="0"/>
        <v>0.143791538</v>
      </c>
      <c r="M15" s="52">
        <f t="shared" si="0"/>
        <v>0.143791538</v>
      </c>
      <c r="N15" s="52">
        <f t="shared" si="0"/>
        <v>0.143791538</v>
      </c>
      <c r="O15" s="52">
        <f t="shared" si="0"/>
        <v>0.143791538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IW0IZjVUzdDx451/bnQFeHeTDSvTysqmC3CoGoYEwWYsGPjyq12N3QZi5ZE29MBTADGK9QkbmTUI9TftZVNoA==" saltValue="cIA1RCS4j0aUrUtHT4IM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0.75947090000000006</v>
      </c>
      <c r="D2" s="53">
        <v>0.62829849999999998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9.82682E-2</v>
      </c>
      <c r="D3" s="53">
        <v>0.1174654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9.82682E-2</v>
      </c>
      <c r="D4" s="53">
        <v>0.1495677</v>
      </c>
      <c r="E4" s="53">
        <v>0.77113910000000008</v>
      </c>
      <c r="F4" s="53">
        <v>0.61218490000000003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4.3992699999999885E-2</v>
      </c>
      <c r="D5" s="52">
        <f t="shared" si="0"/>
        <v>0.10466839999999999</v>
      </c>
      <c r="E5" s="52">
        <f>1-SUM(E2:E4)</f>
        <v>0.22886089999999992</v>
      </c>
      <c r="F5" s="52">
        <f>1-SUM(F2:F4)</f>
        <v>0.38781509999999997</v>
      </c>
      <c r="G5" s="52">
        <f>1-SUM(G2:G4)</f>
        <v>1</v>
      </c>
    </row>
  </sheetData>
  <sheetProtection algorithmName="SHA-512" hashValue="6R5JEi5Ha5A4DHYIFTkNB0+pwsJoCG9hMBe6B+3btjf/F/FI+CUVhQBPXAZbG3uJ8uS0k+WyPtPc5eq8IJsW/g==" saltValue="JSc5HitPIhZb4axx3v1/C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PNYagiCx6IyBu/k1VqFyuGABJZMgq6OLDcLdKg1NNCdnZZECm/M5ZH2GzoUBl6isaM33GOsF4NbYuULrmhPNQ==" saltValue="a4zAZxXNxjzoLOedaQEXn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1701.9706648880799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0.42786000000000002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0.41177000000000002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1.9653477213582189E-2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94773.202749999997</v>
      </c>
      <c r="C22" s="107">
        <v>94252.389890000006</v>
      </c>
      <c r="D22" s="107">
        <v>93886.773430000001</v>
      </c>
      <c r="E22" s="107">
        <v>93081.456699999995</v>
      </c>
      <c r="F22" s="107">
        <v>91671.541849999994</v>
      </c>
      <c r="G22" s="107">
        <v>89898.854250000004</v>
      </c>
      <c r="H22" s="107">
        <v>87657.911559999993</v>
      </c>
      <c r="I22" s="107">
        <v>84619.157200000001</v>
      </c>
      <c r="J22" s="107">
        <v>80361.275609999997</v>
      </c>
      <c r="K22" s="107">
        <v>74598.932979999998</v>
      </c>
      <c r="L22" s="107">
        <v>67251.099560000002</v>
      </c>
      <c r="M22" s="107">
        <v>58082.532160000002</v>
      </c>
      <c r="N22" s="107">
        <v>47553.40797</v>
      </c>
      <c r="O22" s="107">
        <v>36338.407200000001</v>
      </c>
    </row>
  </sheetData>
  <sheetProtection algorithmName="SHA-512" hashValue="osp5IH7aXb8ze0gtcGg4fSH9yDKoUoI2la01+VcqNWTox5iJwzMOkcm+yd+Ns0/Ap+3K29z02TKdPSbAyliy+A==" saltValue="YpSk+rKoB/FkqhRPHv/PI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xDk0/j7dsBsEMHEHgqeKPQ8MXtMW7Z+Rz1uNW9HOaAOXkkEthKgqqheZDv5KF78tTkmWBCIPUFBIBPP9Iq2Xlg==" saltValue="Xx0j8M5C7qnmAOff4uCn3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Q+V4yK8/8sWfKVtu9CYler8e0i86hJDHlAu14yDhJXPTTick/7o3XNLzECPXfMUbH+1KpG5BrGLAmw5dE5sWSg==" saltValue="NWsTx1J54o/WpyIxueS+3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23.266651740020471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23.266651740020471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0.80999999999999994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2.172624196694712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0.195379</v>
      </c>
      <c r="C10" s="96">
        <v>0.95</v>
      </c>
      <c r="D10" s="56">
        <v>14.31436711706729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14.31436711706729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14.31436711706729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14.31436711706729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0.195379</v>
      </c>
      <c r="C14" s="96">
        <v>0.95</v>
      </c>
      <c r="D14" s="56">
        <v>14.31436711706729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14.31436711706729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1.57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0.1369044839662158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0.62829849999999998</v>
      </c>
      <c r="C18" s="96">
        <v>0.95</v>
      </c>
      <c r="D18" s="56">
        <v>8.0823886898669404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0.62829849999999998</v>
      </c>
      <c r="C19" s="96">
        <v>0.95</v>
      </c>
      <c r="D19" s="56">
        <v>3.7356966196012209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8.32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0.80999999999999994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4.7368458458873084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0.61590661134138003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0.195379</v>
      </c>
      <c r="C26" s="96">
        <v>0.95</v>
      </c>
      <c r="D26" s="56">
        <v>8.469314227226203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14.964151740020471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0.6128325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9.3018500000000004E-2</v>
      </c>
      <c r="C29" s="96">
        <v>0.95</v>
      </c>
      <c r="D29" s="56">
        <v>76.423918391184941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118.83755373592631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0.37</v>
      </c>
      <c r="C32" s="96">
        <v>0.95</v>
      </c>
      <c r="D32" s="56">
        <v>0.69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0.55683169999999993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5.30184E-2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2.0643499999999999E-2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0.41100759999999997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0.1351242</v>
      </c>
      <c r="C38" s="96">
        <v>0.95</v>
      </c>
      <c r="D38" s="56">
        <v>3.45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3.07</v>
      </c>
      <c r="E39" s="56" t="s">
        <v>212</v>
      </c>
      <c r="F39" s="96">
        <v>1</v>
      </c>
      <c r="G39" s="96">
        <v>1</v>
      </c>
    </row>
  </sheetData>
  <sheetProtection algorithmName="SHA-512" hashValue="O+mON9r873GiktyLQuDTW9fzYzMViqXCXPPr/GlJcgpF41rL0EnGf2yeMV222vq5grWfbVIIEYVB7sNuF7flrA==" saltValue="YHlKgs4abT3a4iaU31sw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/KC6yt+7wif2EmOWs4a2V/Q0e4i7In5RRbn63XAipBgToiwfz5tsCKMi/4Pc0/ecQs5/9iUTCe5m6exVQgEhlQ==" saltValue="06XIaJHX03wAKPsGhCBKR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F08nfiPV1TARxvEpIPkaS9ZT3zpz+OQ4tPugg1byVIHspfqwB6UdWO/Rt/+yzd56V5cKeUFeVM5OOmcQlwOblg==" saltValue="+u5ah8f9I3vWxDfEg2ovm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2.2000000000000002</v>
      </c>
      <c r="C2" s="21">
        <f>'Entradas de población-año base'!C52</f>
        <v>2.2000000000000002</v>
      </c>
      <c r="D2" s="21">
        <f>'Entradas de población-año base'!C53</f>
        <v>2.2000000000000002</v>
      </c>
      <c r="E2" s="21">
        <f>'Entradas de población-año base'!C54</f>
        <v>2.2000000000000002</v>
      </c>
      <c r="F2" s="21">
        <f>'Entradas de población-año base'!C55</f>
        <v>2.2000000000000002</v>
      </c>
    </row>
    <row r="3" spans="1:6" ht="15.75" customHeight="1" x14ac:dyDescent="0.25">
      <c r="A3" s="3" t="s">
        <v>6</v>
      </c>
      <c r="B3" s="21">
        <f>frac_mam_1month * 2.6</f>
        <v>0.19295042000000001</v>
      </c>
      <c r="C3" s="21">
        <f>frac_mam_1_5months * 2.6</f>
        <v>0.19295042000000001</v>
      </c>
      <c r="D3" s="21">
        <f>frac_mam_6_11months * 2.6</f>
        <v>0.10425063999999999</v>
      </c>
      <c r="E3" s="21">
        <f>frac_mam_12_23months * 2.6</f>
        <v>6.2637380000000006E-2</v>
      </c>
      <c r="F3" s="21">
        <f>frac_mam_24_59months * 2.6</f>
        <v>2.2241180000000003E-2</v>
      </c>
    </row>
    <row r="4" spans="1:6" ht="15.75" customHeight="1" x14ac:dyDescent="0.25">
      <c r="A4" s="3" t="s">
        <v>236</v>
      </c>
      <c r="B4" s="21">
        <f>frac_sam_1month * 2.6</f>
        <v>8.5516079999999994E-2</v>
      </c>
      <c r="C4" s="21">
        <f>frac_sam_1_5months * 2.6</f>
        <v>8.5516079999999994E-2</v>
      </c>
      <c r="D4" s="21">
        <f>frac_sam_6_11months * 2.6</f>
        <v>5.2907920000000004E-2</v>
      </c>
      <c r="E4" s="21">
        <f>frac_sam_12_23months * 2.6</f>
        <v>3.8491700000000004E-2</v>
      </c>
      <c r="F4" s="21">
        <f>frac_sam_24_59months * 2.6</f>
        <v>1.8864040000000002E-2</v>
      </c>
    </row>
  </sheetData>
  <sheetProtection algorithmName="SHA-512" hashValue="FyO4B6nBiBBKzt+YxRsRXu/6amP1xAMHv21sgA6BWh1A23SZoCMVG+1XESqTsaB8s7hNOihQ9nu6behraIwILQ==" saltValue="xHCoCxmor/LLwyeg3zBtb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0.129</v>
      </c>
      <c r="F2" s="60">
        <f>food_insecure</f>
        <v>0.129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0.129</v>
      </c>
      <c r="F5" s="60">
        <f>food_insecure</f>
        <v>0.129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0.129</v>
      </c>
      <c r="F8" s="60">
        <f>food_insecure</f>
        <v>0.129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0.129</v>
      </c>
      <c r="F9" s="60">
        <f>food_insecure</f>
        <v>0.129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0.129</v>
      </c>
      <c r="I15" s="60">
        <f t="shared" si="0"/>
        <v>0.129</v>
      </c>
      <c r="J15" s="60">
        <f t="shared" si="0"/>
        <v>0.129</v>
      </c>
      <c r="K15" s="60">
        <f t="shared" si="0"/>
        <v>0.129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0.129</v>
      </c>
      <c r="I16" s="60">
        <f t="shared" si="0"/>
        <v>0.129</v>
      </c>
      <c r="J16" s="60">
        <f t="shared" si="0"/>
        <v>0.129</v>
      </c>
      <c r="K16" s="60">
        <f t="shared" si="0"/>
        <v>0.129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0.64200000000000002</v>
      </c>
      <c r="M24" s="60">
        <f>famplan_unmet_need</f>
        <v>0.64200000000000002</v>
      </c>
      <c r="N24" s="60">
        <f>famplan_unmet_need</f>
        <v>0.64200000000000002</v>
      </c>
      <c r="O24" s="60">
        <f>famplan_unmet_need</f>
        <v>0.64200000000000002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9.613375813406401E-2</v>
      </c>
      <c r="M25" s="60">
        <f>(1-food_insecure)*(0.49)+food_insecure*(0.7)</f>
        <v>0.51709000000000005</v>
      </c>
      <c r="N25" s="60">
        <f>(1-food_insecure)*(0.49)+food_insecure*(0.7)</f>
        <v>0.51709000000000005</v>
      </c>
      <c r="O25" s="60">
        <f>(1-food_insecure)*(0.49)+food_insecure*(0.7)</f>
        <v>0.51709000000000005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4.1200182057456E-2</v>
      </c>
      <c r="M26" s="60">
        <f>(1-food_insecure)*(0.21)+food_insecure*(0.3)</f>
        <v>0.22160999999999997</v>
      </c>
      <c r="N26" s="60">
        <f>(1-food_insecure)*(0.21)+food_insecure*(0.3)</f>
        <v>0.22160999999999997</v>
      </c>
      <c r="O26" s="60">
        <f>(1-food_insecure)*(0.21)+food_insecure*(0.3)</f>
        <v>0.22160999999999997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4.8579069408479995E-2</v>
      </c>
      <c r="M27" s="60">
        <f>(1-food_insecure)*(0.3)</f>
        <v>0.26129999999999998</v>
      </c>
      <c r="N27" s="60">
        <f>(1-food_insecure)*(0.3)</f>
        <v>0.26129999999999998</v>
      </c>
      <c r="O27" s="60">
        <f>(1-food_insecure)*(0.3)</f>
        <v>0.26129999999999998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3UsdcHwKdNN88xNhMJQwBTYFQvfgcMOty+r+ol7fJbN1lx2iCWHcPBOQZdJ/EWoQrF3EtOi+jNIktWbLRC/UIw==" saltValue="t7ZWATGBoT5PPwU5lC3FB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GEP5T1509wM92HAvriF2FcH+AGMXfgO/MjywoY486QeUUeGmQPuW/Hz2Vj5uEFxuNlvxwBglW9/1dZAbt6Nn7w==" saltValue="D1pK7WuzR9FAp5yIACDp1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O+pffS7CVEaUjHv2jmhWGHH+bG3DodqLFXC93CMCrzWOXHWYLgV//iF/dEHmf5nClqoYq5KlKM8cEUSSEGVCow==" saltValue="ysWkVgWCN8q4J5PECwx1b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fdMpfpN/0IhUb4Lg7RZqh5nDvFHaiE3DXztjYAOmOQ25q239lflC8YujWCC2uDW9pozJHfEay2sPcQjvswNdgg==" saltValue="8cySWYLzoqy24nv1GKq/m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mhHfoS2ObljRyCMxS6IkIDJHZ5tYmG74kyVX9+05wgkA1vTJyF9qY4Ej3B797lhUO6lLcejIYKIQYDR0rjsbJA==" saltValue="E4V/EyR5zdS89EzNjyFfF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k0KsdaBigHIfCMR3cRQp5QGsFBc5eITzQlqE6BWz4JGmqLqwIrnBZSsRSi6G95Aa0c8F0mbMAv3P0f8vZ5fTaw==" saltValue="sM8lGZghy6XF8niDWgrYe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TLtM40frqkm2t8o9aIhBMdlS71ijSmaI+sstTIlX62BOBXEc8uLinF6lwUmnKhODiybzS8M+kw6BosyxJ9RjKg==" saltValue="fgva3MYfQpRivKOCzwHJr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onWLurn3izUS8PAQmawlzw1EVq57g5Q6P2Kb7CYfNQEQ0MNitW1/0wqKO68i0SXhz+5+Rwi4dQ+ePVtBdXltKA==" saltValue="muT9Q/LEKvWrFLaTEl+b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SNmRtBto8xLDGpRyUGP/7LDoQJZsu5jPpUZ0ghqArUrw8w336XV9exqAAfewUnFDnsTrbCiMR2JIf1P5gXPLSg==" saltValue="o/YjF9ZshW4znJvHT33N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KcgoQmoud5JRay5za3g2vl2nKoNfzw5qU+ocviJ3ItqIEvvPCqWPhhDlBblrAu7GRrd5bwnFMWcKhhMlJzKrQ==" saltValue="REUsf9xjkP/ytvhIRL8v7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BL5tttW4Y37tRZPj/YuwvU9sNhb8d6Aex9Um5XAPWugtS8iIppGM5U6AnjKhqIngxn2+lfE2Ya2hYnQetKpZ5g==" saltValue="owqP/fcB5smq1NKpczq6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otG6Gus/BMtwLUNPGg1OUGVcS4lsd6G/llM+YIkdQhzqOqZPJNxLUREDRH1oalEYORuTiN949r1jib2rRtQgQ==" saltValue="jOvGHZ9j5wgksz8jwNWW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YoEnzcjJcYP+C11BRoaqhkap1Kv+yrU3kogtm4YFYexkuEAuvofjwJGPvTgBVKsbPRp05eAfz6mFEXsyp2zqEw==" saltValue="3INxD9JB78ALrcLneO7hB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L7wKFGL+Gy5PYEAAO1ri5O9Mrof2OCSfGoqI9DHgbIEC11u24nrC3l6SmCJBnghjUjBUZeqOWZN/erInWmTVNg==" saltValue="87RITZQ9yWgJImWKV0RR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g3KBb+dTEDrvJUL+6ST5okSQ6cqkmauYcoQe/M5h76uztMDIaVAIxpDwKYrP1Jc3e/7zTrXe74Rk02U6mbTWTg==" saltValue="N3QYxtk3suMTjANheGiF9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2025-07-30T00:22:23Z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