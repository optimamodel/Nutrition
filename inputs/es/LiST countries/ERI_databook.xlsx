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AEF1B41E-6636-4C0C-B8C2-455FA69E782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19" i="2" l="1"/>
  <c r="I3" i="2"/>
  <c r="I7" i="2"/>
  <c r="A25" i="2"/>
  <c r="A23" i="2"/>
  <c r="A35" i="2"/>
  <c r="A26" i="2"/>
  <c r="I39" i="2"/>
  <c r="I9" i="2"/>
  <c r="I13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<sst xmlns="http://schemas.openxmlformats.org/spreadsheetml/2006/main" count="2159" uniqueCount="372">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</sst>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502472.00000000012</v>
      </c>
    </row>
    <row r="8" spans="1:3" ht="15" customHeight="1" x14ac:dyDescent="0.25">
      <c r="B8" s="5" t="s">
        <v>63</v>
      </c>
      <c r="C8" s="44">
        <v>0.45200000000000001</v>
      </c>
    </row>
    <row r="9" spans="1:3" ht="15" customHeight="1" x14ac:dyDescent="0.25">
      <c r="B9" s="5" t="s">
        <v>62</v>
      </c>
      <c r="C9" s="45">
        <v>0.16</v>
      </c>
    </row>
    <row r="10" spans="1:3" ht="15" customHeight="1" x14ac:dyDescent="0.25">
      <c r="B10" s="5" t="s">
        <v>75</v>
      </c>
      <c r="C10" s="45">
        <v>0.40256750000000002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8.4900000000000003E-2</v>
      </c>
    </row>
    <row r="24" spans="1:3" ht="15" customHeight="1" x14ac:dyDescent="0.25">
      <c r="B24" s="15" t="s">
        <v>65</v>
      </c>
      <c r="C24" s="45">
        <v>0.46400000000000002</v>
      </c>
    </row>
    <row r="25" spans="1:3" ht="15" customHeight="1" x14ac:dyDescent="0.25">
      <c r="B25" s="15" t="s">
        <v>66</v>
      </c>
      <c r="C25" s="45">
        <v>0.35129999999999989</v>
      </c>
    </row>
    <row r="26" spans="1:3" ht="15" customHeight="1" x14ac:dyDescent="0.25">
      <c r="B26" s="15" t="s">
        <v>67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0.21829699999999999</v>
      </c>
    </row>
    <row r="30" spans="1:3" ht="14.25" customHeight="1" x14ac:dyDescent="0.25">
      <c r="B30" s="25" t="s">
        <v>82</v>
      </c>
      <c r="C30" s="99">
        <v>7.5314300000000001E-2</v>
      </c>
    </row>
    <row r="31" spans="1:3" ht="14.25" customHeight="1" x14ac:dyDescent="0.25">
      <c r="B31" s="25" t="s">
        <v>29</v>
      </c>
      <c r="C31" s="99">
        <v>0.11899999999999999</v>
      </c>
    </row>
    <row r="32" spans="1:3" ht="14.25" customHeight="1" x14ac:dyDescent="0.25">
      <c r="B32" s="25" t="s">
        <v>30</v>
      </c>
      <c r="C32" s="99">
        <v>0.58738869999999999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17.335930000000001</v>
      </c>
    </row>
    <row r="38" spans="1:5" ht="15" customHeight="1" x14ac:dyDescent="0.25">
      <c r="B38" s="11" t="s">
        <v>54</v>
      </c>
      <c r="C38" s="43">
        <v>28.94961</v>
      </c>
      <c r="D38" s="12"/>
      <c r="E38" s="13"/>
    </row>
    <row r="39" spans="1:5" ht="15" customHeight="1" x14ac:dyDescent="0.25">
      <c r="B39" s="11" t="s">
        <v>80</v>
      </c>
      <c r="C39" s="43">
        <v>38.091560000000001</v>
      </c>
      <c r="D39" s="12"/>
      <c r="E39" s="12"/>
    </row>
    <row r="40" spans="1:5" ht="15" customHeight="1" x14ac:dyDescent="0.25">
      <c r="B40" s="11" t="s">
        <v>55</v>
      </c>
      <c r="C40" s="100">
        <v>3.22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7.9316999999999999E-3</v>
      </c>
      <c r="D45" s="12"/>
    </row>
    <row r="46" spans="1:5" ht="15.75" customHeight="1" x14ac:dyDescent="0.25">
      <c r="B46" s="11" t="s">
        <v>70</v>
      </c>
      <c r="C46" s="45">
        <v>8.5224899999999992E-2</v>
      </c>
      <c r="D46" s="12"/>
    </row>
    <row r="47" spans="1:5" ht="15.75" customHeight="1" x14ac:dyDescent="0.25">
      <c r="B47" s="11" t="s">
        <v>78</v>
      </c>
      <c r="C47" s="45">
        <v>7.3457800000000004E-2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1.8460000000000001</v>
      </c>
      <c r="D51" s="12"/>
    </row>
    <row r="52" spans="1:4" ht="15" customHeight="1" x14ac:dyDescent="0.25">
      <c r="B52" s="11" t="s">
        <v>32</v>
      </c>
      <c r="C52" s="100">
        <v>1.8460000000000001</v>
      </c>
    </row>
    <row r="53" spans="1:4" ht="15.75" customHeight="1" x14ac:dyDescent="0.25">
      <c r="B53" s="11" t="s">
        <v>35</v>
      </c>
      <c r="C53" s="100">
        <v>5.3039999999999994</v>
      </c>
    </row>
    <row r="54" spans="1:4" ht="15.75" customHeight="1" x14ac:dyDescent="0.25">
      <c r="B54" s="11" t="s">
        <v>33</v>
      </c>
      <c r="C54" s="100">
        <v>5.8760000000000003</v>
      </c>
    </row>
    <row r="55" spans="1:4" ht="15.75" customHeight="1" x14ac:dyDescent="0.25">
      <c r="B55" s="11" t="s">
        <v>34</v>
      </c>
      <c r="C55" s="100">
        <v>2.8166666666666669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0.50167899999999999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0.15160142900000001</v>
      </c>
    </row>
    <row r="63" spans="1:4" ht="15.75" customHeight="1" x14ac:dyDescent="0.3">
      <c r="A63" s="4"/>
    </row>
  </sheetData>
  <sheetProtection algorithmName="SHA-512" hashValue="eOBxKeYC9wf5/DU+k2CIK+WiavhUtqZ5ggApGbE9VMnV5DCaLpnOwyNtPEDJlyhiIHDp9ZMR/uGK6lAXHMcDsg==" saltValue="qs+MXJY2cxqU+PR6o7JM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476046.5</v>
      </c>
      <c r="C2" s="49">
        <v>115986</v>
      </c>
      <c r="D2" s="49">
        <v>213467.5</v>
      </c>
      <c r="E2" s="49">
        <v>416290.5</v>
      </c>
      <c r="F2" s="49">
        <v>325508</v>
      </c>
      <c r="G2" s="17">
        <f t="shared" ref="G2:G13" si="0">C2+D2+E2+F2</f>
        <v>1071252</v>
      </c>
      <c r="H2" s="17">
        <f t="shared" ref="H2:H13" si="1">(B2 + stillbirth*B2/(1000-stillbirth))/(1-abortion)</f>
        <v>549834.93710246787</v>
      </c>
      <c r="I2" s="17">
        <f t="shared" ref="I2:I13" si="2">G2-H2</f>
        <v>521417.06289753213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101539</v>
      </c>
      <c r="C3" s="50">
        <v>211512</v>
      </c>
      <c r="D3" s="50">
        <v>326817.5</v>
      </c>
      <c r="E3" s="50">
        <v>194239.50000000003</v>
      </c>
      <c r="F3" s="50">
        <v>144839.99999999997</v>
      </c>
      <c r="G3" s="17">
        <f t="shared" si="0"/>
        <v>877409</v>
      </c>
      <c r="H3" s="17">
        <f t="shared" si="1"/>
        <v>117277.80726976773</v>
      </c>
      <c r="I3" s="17">
        <f t="shared" si="2"/>
        <v>760131.19273023226</v>
      </c>
    </row>
    <row r="4" spans="1:9" ht="15.75" customHeight="1" x14ac:dyDescent="0.25">
      <c r="A4" s="5">
        <f t="shared" si="3"/>
        <v>2026</v>
      </c>
      <c r="B4" s="49">
        <v>103276</v>
      </c>
      <c r="C4" s="50">
        <v>213414.5</v>
      </c>
      <c r="D4" s="50">
        <v>340270</v>
      </c>
      <c r="E4" s="50">
        <v>202782.5</v>
      </c>
      <c r="F4" s="50">
        <v>145983</v>
      </c>
      <c r="G4" s="17">
        <f t="shared" si="0"/>
        <v>902450</v>
      </c>
      <c r="H4" s="17">
        <f t="shared" si="1"/>
        <v>119284.04675634517</v>
      </c>
      <c r="I4" s="17">
        <f t="shared" si="2"/>
        <v>783165.9532436548</v>
      </c>
    </row>
    <row r="5" spans="1:9" ht="15.75" customHeight="1" x14ac:dyDescent="0.25">
      <c r="A5" s="5">
        <f t="shared" si="3"/>
        <v>2027</v>
      </c>
      <c r="B5" s="49">
        <v>105398</v>
      </c>
      <c r="C5" s="50">
        <v>214842</v>
      </c>
      <c r="D5" s="50">
        <v>351986.99999999994</v>
      </c>
      <c r="E5" s="50">
        <v>213441.50000000003</v>
      </c>
      <c r="F5" s="50">
        <v>147714.5</v>
      </c>
      <c r="G5" s="17">
        <f t="shared" si="0"/>
        <v>927985</v>
      </c>
      <c r="H5" s="17">
        <f t="shared" si="1"/>
        <v>121734.96223735687</v>
      </c>
      <c r="I5" s="17">
        <f t="shared" si="2"/>
        <v>806250.03776264307</v>
      </c>
    </row>
    <row r="6" spans="1:9" ht="15.75" customHeight="1" x14ac:dyDescent="0.25">
      <c r="A6" s="5">
        <f t="shared" si="3"/>
        <v>2028</v>
      </c>
      <c r="B6" s="49">
        <v>107199</v>
      </c>
      <c r="C6" s="50">
        <v>216074</v>
      </c>
      <c r="D6" s="50">
        <v>361609.00000000006</v>
      </c>
      <c r="E6" s="50">
        <v>225442</v>
      </c>
      <c r="F6" s="50">
        <v>150261</v>
      </c>
      <c r="G6" s="17">
        <f t="shared" si="0"/>
        <v>953386</v>
      </c>
      <c r="H6" s="17">
        <f t="shared" si="1"/>
        <v>123815.12188924287</v>
      </c>
      <c r="I6" s="17">
        <f t="shared" si="2"/>
        <v>829570.8781107571</v>
      </c>
    </row>
    <row r="7" spans="1:9" ht="15.75" customHeight="1" x14ac:dyDescent="0.25">
      <c r="A7" s="5">
        <f t="shared" si="3"/>
        <v>2029</v>
      </c>
      <c r="B7" s="49">
        <v>108940</v>
      </c>
      <c r="C7" s="50">
        <v>217081.5</v>
      </c>
      <c r="D7" s="50">
        <v>371204</v>
      </c>
      <c r="E7" s="50">
        <v>236910.5</v>
      </c>
      <c r="F7" s="50">
        <v>153461.5</v>
      </c>
      <c r="G7" s="17">
        <f t="shared" si="0"/>
        <v>978657.5</v>
      </c>
      <c r="H7" s="17">
        <f t="shared" si="1"/>
        <v>125825.9813861521</v>
      </c>
      <c r="I7" s="17">
        <f t="shared" si="2"/>
        <v>852831.5186138479</v>
      </c>
    </row>
    <row r="8" spans="1:9" ht="15.75" customHeight="1" x14ac:dyDescent="0.25">
      <c r="A8" s="5">
        <f t="shared" si="3"/>
        <v>2030</v>
      </c>
      <c r="B8" s="49">
        <v>110590</v>
      </c>
      <c r="C8" s="50">
        <v>217242</v>
      </c>
      <c r="D8" s="50">
        <v>380964.5</v>
      </c>
      <c r="E8" s="50">
        <v>248238.99999999997</v>
      </c>
      <c r="F8" s="50">
        <v>156988.5</v>
      </c>
      <c r="G8" s="17">
        <f t="shared" si="0"/>
        <v>1003434</v>
      </c>
      <c r="H8" s="17">
        <f t="shared" si="1"/>
        <v>127731.7356480132</v>
      </c>
      <c r="I8" s="17">
        <f t="shared" si="2"/>
        <v>875702.26435198681</v>
      </c>
    </row>
    <row r="9" spans="1:9" ht="15.75" customHeight="1" x14ac:dyDescent="0.25">
      <c r="A9" s="5">
        <f t="shared" si="3"/>
        <v>2031</v>
      </c>
      <c r="B9" s="49">
        <v>111974</v>
      </c>
      <c r="C9" s="50">
        <v>216570.5</v>
      </c>
      <c r="D9" s="50">
        <v>390563.5</v>
      </c>
      <c r="E9" s="50">
        <v>259933.49999999997</v>
      </c>
      <c r="F9" s="50">
        <v>160942.5</v>
      </c>
      <c r="G9" s="17">
        <f t="shared" si="0"/>
        <v>1028010</v>
      </c>
      <c r="H9" s="17">
        <f t="shared" si="1"/>
        <v>129330.25922281065</v>
      </c>
      <c r="I9" s="17">
        <f t="shared" si="2"/>
        <v>898679.74077718938</v>
      </c>
    </row>
    <row r="10" spans="1:9" ht="15.75" customHeight="1" x14ac:dyDescent="0.25">
      <c r="A10" s="5">
        <f t="shared" si="3"/>
        <v>2032</v>
      </c>
      <c r="B10" s="49">
        <v>113264</v>
      </c>
      <c r="C10" s="50">
        <v>215382</v>
      </c>
      <c r="D10" s="50">
        <v>399215.00000000006</v>
      </c>
      <c r="E10" s="50">
        <v>271938</v>
      </c>
      <c r="F10" s="50">
        <v>165359.5</v>
      </c>
      <c r="G10" s="17">
        <f t="shared" si="0"/>
        <v>1051894.5</v>
      </c>
      <c r="H10" s="17">
        <f t="shared" si="1"/>
        <v>130820.21255481118</v>
      </c>
      <c r="I10" s="17">
        <f t="shared" si="2"/>
        <v>921074.28744518885</v>
      </c>
    </row>
    <row r="11" spans="1:9" ht="15.75" customHeight="1" x14ac:dyDescent="0.25">
      <c r="A11" s="5">
        <f t="shared" si="3"/>
        <v>2033</v>
      </c>
      <c r="B11" s="49">
        <v>114266</v>
      </c>
      <c r="C11" s="50">
        <v>214055.5</v>
      </c>
      <c r="D11" s="50">
        <v>406087.99999999994</v>
      </c>
      <c r="E11" s="50">
        <v>284429</v>
      </c>
      <c r="F11" s="50">
        <v>170686</v>
      </c>
      <c r="G11" s="17">
        <f t="shared" si="0"/>
        <v>1075258.5</v>
      </c>
      <c r="H11" s="17">
        <f t="shared" si="1"/>
        <v>131977.5251429232</v>
      </c>
      <c r="I11" s="17">
        <f t="shared" si="2"/>
        <v>943280.97485707677</v>
      </c>
    </row>
    <row r="12" spans="1:9" ht="15.75" customHeight="1" x14ac:dyDescent="0.25">
      <c r="A12" s="5">
        <f t="shared" si="3"/>
        <v>2034</v>
      </c>
      <c r="B12" s="49">
        <v>115029</v>
      </c>
      <c r="C12" s="50">
        <v>213118.5</v>
      </c>
      <c r="D12" s="50">
        <v>411196</v>
      </c>
      <c r="E12" s="50">
        <v>297768</v>
      </c>
      <c r="F12" s="50">
        <v>177129.5</v>
      </c>
      <c r="G12" s="17">
        <f t="shared" si="0"/>
        <v>1099212</v>
      </c>
      <c r="H12" s="17">
        <f t="shared" si="1"/>
        <v>132858.7921137111</v>
      </c>
      <c r="I12" s="17">
        <f t="shared" si="2"/>
        <v>966353.20788628887</v>
      </c>
    </row>
    <row r="13" spans="1:9" ht="15.75" customHeight="1" x14ac:dyDescent="0.25">
      <c r="A13" s="5">
        <f t="shared" si="3"/>
        <v>2035</v>
      </c>
      <c r="B13" s="49">
        <v>115561</v>
      </c>
      <c r="C13" s="50">
        <v>212833</v>
      </c>
      <c r="D13" s="50">
        <v>414665.5</v>
      </c>
      <c r="E13" s="50">
        <v>311559.49999999994</v>
      </c>
      <c r="F13" s="50">
        <v>184954</v>
      </c>
      <c r="G13" s="17">
        <f t="shared" si="0"/>
        <v>1124012</v>
      </c>
      <c r="H13" s="17">
        <f t="shared" si="1"/>
        <v>133473.25348783846</v>
      </c>
      <c r="I13" s="17">
        <f t="shared" si="2"/>
        <v>990538.74651216157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FuQh6w+q8FGyqHNbLNKs82ovGAlKAbe9BxVokKFjhQuQXmRx+Fy+iIVS6uKsMacI6XuL3/Uu5rg6oVjme6LkA==" saltValue="Ih3JKcxFb91ped2wO8dBs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9.54159904584009E-3</v>
      </c>
    </row>
    <row r="4" spans="1:8" ht="15.75" customHeight="1" x14ac:dyDescent="0.25">
      <c r="B4" s="19" t="s">
        <v>116</v>
      </c>
      <c r="C4" s="101">
        <v>6.4930893506910725E-2</v>
      </c>
    </row>
    <row r="5" spans="1:8" ht="15.75" customHeight="1" x14ac:dyDescent="0.25">
      <c r="B5" s="19" t="s">
        <v>114</v>
      </c>
      <c r="C5" s="101">
        <v>8.333079166692095E-2</v>
      </c>
    </row>
    <row r="6" spans="1:8" ht="15.75" customHeight="1" x14ac:dyDescent="0.25">
      <c r="B6" s="19" t="s">
        <v>110</v>
      </c>
      <c r="C6" s="101">
        <v>0.24122667587733301</v>
      </c>
    </row>
    <row r="7" spans="1:8" ht="15.75" customHeight="1" x14ac:dyDescent="0.25">
      <c r="B7" s="19" t="s">
        <v>115</v>
      </c>
      <c r="C7" s="101">
        <v>0.41004985899501339</v>
      </c>
    </row>
    <row r="8" spans="1:8" ht="15.75" customHeight="1" x14ac:dyDescent="0.25">
      <c r="B8" s="19" t="s">
        <v>117</v>
      </c>
      <c r="C8" s="101">
        <v>1.193399880660011E-3</v>
      </c>
    </row>
    <row r="9" spans="1:8" ht="15.75" customHeight="1" x14ac:dyDescent="0.25">
      <c r="B9" s="19" t="s">
        <v>111</v>
      </c>
      <c r="C9" s="101">
        <v>8.1527291847270894E-2</v>
      </c>
    </row>
    <row r="10" spans="1:8" ht="15.75" customHeight="1" x14ac:dyDescent="0.25">
      <c r="B10" s="19" t="s">
        <v>113</v>
      </c>
      <c r="C10" s="101">
        <v>0.108199489180051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121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2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109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3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120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98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107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118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8.7620265000000017E-2</v>
      </c>
    </row>
    <row r="27" spans="1:8" ht="15.75" customHeight="1" x14ac:dyDescent="0.25">
      <c r="B27" s="19" t="s">
        <v>108</v>
      </c>
      <c r="C27" s="101">
        <v>8.4936790000000005E-3</v>
      </c>
    </row>
    <row r="28" spans="1:8" ht="15.75" customHeight="1" x14ac:dyDescent="0.25">
      <c r="B28" s="19" t="s">
        <v>122</v>
      </c>
      <c r="C28" s="101">
        <v>0.15420750799999999</v>
      </c>
    </row>
    <row r="29" spans="1:8" ht="15.75" customHeight="1" x14ac:dyDescent="0.25">
      <c r="B29" s="19" t="s">
        <v>105</v>
      </c>
      <c r="C29" s="101">
        <v>0.168404365</v>
      </c>
    </row>
    <row r="30" spans="1:8" ht="15.75" customHeight="1" x14ac:dyDescent="0.25">
      <c r="B30" s="19" t="s">
        <v>4</v>
      </c>
      <c r="C30" s="101">
        <v>0.105568509</v>
      </c>
    </row>
    <row r="31" spans="1:8" ht="15.75" customHeight="1" x14ac:dyDescent="0.25">
      <c r="B31" s="19" t="s">
        <v>99</v>
      </c>
      <c r="C31" s="101">
        <v>0.10981025899999999</v>
      </c>
    </row>
    <row r="32" spans="1:8" ht="15.75" customHeight="1" x14ac:dyDescent="0.25">
      <c r="B32" s="19" t="s">
        <v>104</v>
      </c>
      <c r="C32" s="101">
        <v>1.8832593000000002E-2</v>
      </c>
    </row>
    <row r="33" spans="2:3" ht="15.75" customHeight="1" x14ac:dyDescent="0.25">
      <c r="B33" s="19" t="s">
        <v>119</v>
      </c>
      <c r="C33" s="101">
        <v>8.4520607999999997E-2</v>
      </c>
    </row>
    <row r="34" spans="2:3" ht="15.75" customHeight="1" x14ac:dyDescent="0.25">
      <c r="B34" s="19" t="s">
        <v>106</v>
      </c>
      <c r="C34" s="101">
        <v>0.26254221300000002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NfO69TUDMTdsd0x2HaK4yzkTK23UTgEHd+o+LjmgpG+S5lBo5nqrQ/TiWhMJGHb5TIpIuoDxcPiNEa+3E0jqFA==" saltValue="uvl/E8IUantnDIpdjCCw/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129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125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126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1utbRpqy/RCWWqz1J6+v0OGOV/2wa7demEgDPs6uYqVGf8j+YA4GmLPmjwXcoOeLCcozz0MTZZRqWBoTyVINw==" saltValue="llQMOm0FLSYVc4LN7bAD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DTiwYtbstmOu0oRHRBr1WoDxZ4kRl3d4/av72DOe5mEz2fduAWtCbTYuNJYlZrLMZtG8v1ptlz0QNHGLf+D0fQ==" saltValue="fj6/AKxURy3AV8+ww64jj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2B0R2CHkbjLyMUYWOy8+p0YD4g75mb+6DV9cM0LdXInopGeEcsRTHaeqi9vjfBeq2+g/DzSgLZw6Nfa722Sew==" saltValue="64xnpDa2DitaFc2YQCsQl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643.79004231123895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0.38130999999999998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0.73868999999999996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1.4661369499999998E-2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95935.472460000005</v>
      </c>
      <c r="C22" s="109">
        <v>95585.087790000005</v>
      </c>
      <c r="D22" s="109">
        <v>95215.541410000005</v>
      </c>
      <c r="E22" s="109">
        <v>94528.811369999996</v>
      </c>
      <c r="F22" s="109">
        <v>93532.808940000003</v>
      </c>
      <c r="G22" s="109">
        <v>92327.932209999999</v>
      </c>
      <c r="H22" s="109">
        <v>90792.587190000006</v>
      </c>
      <c r="I22" s="109">
        <v>88637.59822</v>
      </c>
      <c r="J22" s="109">
        <v>85524.114249999999</v>
      </c>
      <c r="K22" s="109">
        <v>81231.095660000006</v>
      </c>
      <c r="L22" s="109">
        <v>75422.882159999994</v>
      </c>
      <c r="M22" s="109">
        <v>67838.960309999995</v>
      </c>
      <c r="N22" s="109">
        <v>58239.989220000003</v>
      </c>
      <c r="O22" s="109">
        <v>47098.437530000003</v>
      </c>
    </row>
  </sheetData>
  <sheetProtection algorithmName="SHA-512" hashValue="XLl30DdHOsE2+9QR6HyYRGEF+7twcRF8jfvS8+fnJ6moUTDgeLvtKPkir+MJu245/cG4xNovXUjyEk7hGpv3MQ==" saltValue="l4mZmPgxl71YhVBQMbM70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YxsT0T2miu39VkBKSMWtMjQhCT2bfcXFUrVij0liR14K1y8i8xA8pf1LdwGPzbDf9mn1632lXiCIxztD86X1g==" saltValue="hIkB9Gq9rH3PIlP90A4+/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c12U8qWJtBGlQZVyIkHuI5cJDcmSbgJZ/NouYDjZammKCsD/f81HdjTEN2FhwaI8+hlybIzzSxepdBC9MxiYMg==" saltValue="tKaNlmWxGvczUAhLDYH1i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15.05101211717766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15.05101211717766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15.05101211717766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15.05101211717766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15.05101211717766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0.14499999999999999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0.373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0.25800000000000001</v>
      </c>
      <c r="C19" s="98">
        <v>0.95</v>
      </c>
      <c r="D19" s="56">
        <v>7.29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0.70900000000000007</v>
      </c>
      <c r="C23" s="98">
        <v>0.95</v>
      </c>
      <c r="D23" s="56">
        <v>4.9325180741630454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0.24025928639999999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0.434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0.42499999999999999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0.78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0.26800000000000002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0.51764500000000002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Eju04gi5+gmoDmrRnZMtJ/0ejqyQ/l3Y/l8vrGT6Kwe20xESsJ03V/NcdAAXj78GT1qCYE1LjklJ8eTWEtjFiQ==" saltValue="nlZgI3PypXAiEupNPs+j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FsopIkACg9alH92wFLITdpSsi5rZ0ti0Ha66M6Fx/USr4fciUpETLbfr4Lirr53iQ1srjBHA9kPZ9KIvmidPw==" saltValue="asBNkeJaACIY1Olzman7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s+A2uAUcHzhFP19r8B+AE03RWz2mirDH6E5D8iMh1A4UYNXIvkrUJeKE9Dvpy6ZtOHLoIwMPt+WjAGGp7BW8Q==" saltValue="PRAB9sOKEImsf2La5Q0wm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1.8460000000000001</v>
      </c>
      <c r="C2" s="21">
        <f>'Entradas de población-año base'!C52</f>
        <v>1.8460000000000001</v>
      </c>
      <c r="D2" s="21">
        <f>'Entradas de población-año base'!C53</f>
        <v>5.3039999999999994</v>
      </c>
      <c r="E2" s="21">
        <f>'Entradas de población-año base'!C54</f>
        <v>5.8760000000000003</v>
      </c>
      <c r="F2" s="21">
        <f>'Entradas de población-año base'!C55</f>
        <v>2.8166666666666669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236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RskphUH9KWnRSdS0wuCTzWqo9J4wjs/UWaY2hA57bVG8vOUSPUhI++zmVoa0fJulMfcN2ivh6xfPn5rYBH5CDg==" saltValue="ifxWnYsELhSYGDpD9A57j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4.0276363636363638E-2</v>
      </c>
      <c r="D7" s="60">
        <f>diarrhoea_1_5mo*frac_diarrhea_severe</f>
        <v>4.0276363636363638E-2</v>
      </c>
      <c r="E7" s="60">
        <f>diarrhoea_6_11mo*frac_diarrhea_severe</f>
        <v>0.11572363636363636</v>
      </c>
      <c r="F7" s="60">
        <f>diarrhoea_12_23mo*frac_diarrhea_severe</f>
        <v>0.12820363636363638</v>
      </c>
      <c r="G7" s="60">
        <f>diarrhoea_24_59mo*frac_diarrhea_severe</f>
        <v>6.1454545454545463E-2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4.0276363636363638E-2</v>
      </c>
      <c r="D12" s="60">
        <f>diarrhoea_1_5mo*frac_diarrhea_severe</f>
        <v>4.0276363636363638E-2</v>
      </c>
      <c r="E12" s="60">
        <f>diarrhoea_6_11mo*frac_diarrhea_severe</f>
        <v>0.11572363636363636</v>
      </c>
      <c r="F12" s="60">
        <f>diarrhoea_12_23mo*frac_diarrhea_severe</f>
        <v>0.12820363636363638</v>
      </c>
      <c r="G12" s="60">
        <f>diarrhoea_24_59mo*frac_diarrhea_severe</f>
        <v>6.1454545454545463E-2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0.34945021790000008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0.14976437910000001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9.8217903000000023E-2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0.40256750000000008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12H6K8KeK1uBxL9jwOTAvdNsgQrsNEKGHhrKj2mCXj/4B5a9Cj1zL3u7i7kiEGbLm2nrfasRgCXyPg1fpl5mw==" saltValue="mczFGZWWBkew56ArF2gN/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t+Rrav6R+1n+uxPaEL05fRUHGjsY+fRgi4YKMzzR32JPOzzj9IZUmWC/crj1STexZIGMTtJGNOzHdAUN2WkTrg==" saltValue="2VJ24kbHGfGkzC57lsYWQ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O9OdcyeAKcx2aOaLzF95/XVIly+VCjECJWCPadbG9HitfwA3NIUMVPzfBUff69et3peaQGcD/z1vp02/8nvEg==" saltValue="v7B2TqURxUG0x2qcM5h6G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UBPRKDLOWsGekxX4aQB6i+rZzfNv46gWPc5KC7ExvlRW0RS3O0AMSVlMjF535t3X9B63AiMYR0uOKBiHp2/Hg==" saltValue="aHiznq71oWvhCb5Yt3ukX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eXHu1WLd4cZog4WKCBINhCE0hVfgSB7mgaMYEX6styW4Jh2Drg5kw5SfQYvrVspFwCcHRauBNKniN3h1Ph+TEg==" saltValue="nCP/RQfjKoXm8TqWzxLBh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hwbpdyxvsGUdl50UpP6dqoKE+qUTvGdQHuAiavKKsK34MYS5n34My/Bk3smmqajxXbmteCA8X107Ge0A7tkrpw==" saltValue="5xr1ptogWixEFGfFr0JIg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E9xQWIAwf8HpSWGUS0uJ2v2gRG0l4S2AQE6ZOnsbb7YbEiVmOb+/i4POQOVUlqBPqNPgfZwTaK6Uwz05jAEQw==" saltValue="RRCeuS5p8bP5wkaLawN3Y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escEFx1xwxbBB3SKXZQbD7cZPgLN22Z5y29cxwFm5q2GADStlxKdU/YrdV763TGjdIFpILGTLIg6BvaFJdX3A==" saltValue="EvFlXx1X0U+Pp31aCYU1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r9jFjpkO+WP23Nu6zM4Mhx1fum0ev7tuFOyYx9VUDs8KoYmTHHWLOJE+/THNAjOs4MwxFtN2WyXK57CnWODK3A==" saltValue="bp0OgY8uKW8sFYMiqH2N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vc8K/DFbP+WlRT/KcRoqlXOErsKFx5v//aS51han9+66lYOK+XFHAyw9zOUx+zEKD8ydPC4vM3yqYfNnodCHg==" saltValue="7phRX3MMVRAD2rFY7HNS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Tp7FGmxevv9PZXdd/4XfuGs7lJSRuARFx99uIDEYAL02ZUJZH/PgIiPB7mp+hjEsYf471Ukro06Jp7n7/7dmw==" saltValue="qhlPYtPwpiW0n81uqP/B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jk1i+3VI1yXPIpsSmeeN0vbx2vXcmuxhUriKgGLPruEXaDutGSyYBW4Tc53cULA1rpTmfm042TwYwwcz0Yknw==" saltValue="X6PxLC0Z4ETlpJBpQ2Sm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uo+uhUK5RjlM6v+dcdj450RDYbDiTEW1640PAMVT5S3ZpcUJieilC6HiDv5AMiIKuH4O3F57cXJYxrrwRt20w==" saltValue="UiSX5dDwTkg0JSmdbmyM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o6pbEdfxFiZP4Dd3SHSUArt3B52AaBhEz47GUjTjJgpIWoMhnn+0tGx6By1EmszPtzdDs2jX2Dkiy1FUehkbA==" saltValue="gcoiVjzENYtBAgJPxdL/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PUmp1VD6VllK8Z42lwLq040hNm4D2sog0iXoP2yeBd/U2SfadMINlbQ8WlJy2T+J1WKK1dZukWynWItKkDMSQ==" saltValue="JAl0VZD3Gu2IwWSzkFIR9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2025-07-04T01:11:54Z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