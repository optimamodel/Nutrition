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FBAA47A5-D5EE-4279-9C48-1E8409AB7085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I40" i="2" s="1"/>
  <c r="G40" i="2"/>
  <c r="H39" i="2"/>
  <c r="I39" i="2" s="1"/>
  <c r="G39" i="2"/>
  <c r="A39" i="2"/>
  <c r="I38" i="2"/>
  <c r="H38" i="2"/>
  <c r="G38" i="2"/>
  <c r="A37" i="2"/>
  <c r="A36" i="2"/>
  <c r="A34" i="2"/>
  <c r="A33" i="2"/>
  <c r="A31" i="2"/>
  <c r="A29" i="2"/>
  <c r="A25" i="2"/>
  <c r="A23" i="2"/>
  <c r="A21" i="2"/>
  <c r="A20" i="2"/>
  <c r="A18" i="2"/>
  <c r="A17" i="2"/>
  <c r="H13" i="2"/>
  <c r="I13" i="2" s="1"/>
  <c r="G13" i="2"/>
  <c r="H12" i="2"/>
  <c r="I12" i="2" s="1"/>
  <c r="G12" i="2"/>
  <c r="H11" i="2"/>
  <c r="I11" i="2" s="1"/>
  <c r="G11" i="2"/>
  <c r="H10" i="2"/>
  <c r="I10" i="2" s="1"/>
  <c r="G10" i="2"/>
  <c r="H9" i="2"/>
  <c r="I9" i="2" s="1"/>
  <c r="G9" i="2"/>
  <c r="H8" i="2"/>
  <c r="I8" i="2" s="1"/>
  <c r="G8" i="2"/>
  <c r="H7" i="2"/>
  <c r="I7" i="2" s="1"/>
  <c r="G7" i="2"/>
  <c r="H6" i="2"/>
  <c r="I6" i="2" s="1"/>
  <c r="G6" i="2"/>
  <c r="H5" i="2"/>
  <c r="I5" i="2" s="1"/>
  <c r="G5" i="2"/>
  <c r="I4" i="2"/>
  <c r="H4" i="2"/>
  <c r="G4" i="2"/>
  <c r="H3" i="2"/>
  <c r="I3" i="2" s="1"/>
  <c r="G3" i="2"/>
  <c r="A3" i="2"/>
  <c r="H2" i="2"/>
  <c r="I2" i="2" s="1"/>
  <c r="G2" i="2"/>
  <c r="A2" i="2"/>
  <c r="A40" i="2" s="1"/>
  <c r="C33" i="1"/>
  <c r="C20" i="1"/>
  <c r="A26" i="2" l="1"/>
  <c r="A15" i="2"/>
  <c r="A28" i="2"/>
  <c r="A16" i="2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<sst xmlns="http://schemas.openxmlformats.org/spreadsheetml/2006/main" count="2101" uniqueCount="341">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</sst>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503774.5703125</v>
      </c>
    </row>
    <row r="8" spans="1:3" ht="15" customHeight="1" x14ac:dyDescent="0.25">
      <c r="B8" s="5" t="s">
        <v>44</v>
      </c>
      <c r="C8" s="44">
        <v>0.45200000000000001</v>
      </c>
    </row>
    <row r="9" spans="1:3" ht="15" customHeight="1" x14ac:dyDescent="0.25">
      <c r="B9" s="5" t="s">
        <v>43</v>
      </c>
      <c r="C9" s="45">
        <v>0.16</v>
      </c>
    </row>
    <row r="10" spans="1:3" ht="15" customHeight="1" x14ac:dyDescent="0.25">
      <c r="B10" s="5" t="s">
        <v>56</v>
      </c>
      <c r="C10" s="45">
        <v>0.30309999999999998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8.4900000000000003E-2</v>
      </c>
    </row>
    <row r="24" spans="1:3" ht="15" customHeight="1" x14ac:dyDescent="0.25">
      <c r="B24" s="15" t="s">
        <v>46</v>
      </c>
      <c r="C24" s="45">
        <v>0.46400000000000002</v>
      </c>
    </row>
    <row r="25" spans="1:3" ht="15" customHeight="1" x14ac:dyDescent="0.25">
      <c r="B25" s="15" t="s">
        <v>47</v>
      </c>
      <c r="C25" s="45">
        <v>0.35129999999999989</v>
      </c>
    </row>
    <row r="26" spans="1:3" ht="15" customHeight="1" x14ac:dyDescent="0.25">
      <c r="B26" s="15" t="s">
        <v>48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0.21829699999999999</v>
      </c>
    </row>
    <row r="30" spans="1:3" ht="14.25" customHeight="1" x14ac:dyDescent="0.25">
      <c r="B30" s="25" t="s">
        <v>63</v>
      </c>
      <c r="C30" s="99">
        <v>7.5314300000000001E-2</v>
      </c>
    </row>
    <row r="31" spans="1:3" ht="14.25" customHeight="1" x14ac:dyDescent="0.25">
      <c r="B31" s="25" t="s">
        <v>10</v>
      </c>
      <c r="C31" s="99">
        <v>0.11899999999999999</v>
      </c>
    </row>
    <row r="32" spans="1:3" ht="14.25" customHeight="1" x14ac:dyDescent="0.25">
      <c r="B32" s="25" t="s">
        <v>11</v>
      </c>
      <c r="C32" s="99">
        <v>0.58738869999999999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17.335930000000001</v>
      </c>
    </row>
    <row r="38" spans="1:5" ht="15" customHeight="1" x14ac:dyDescent="0.25">
      <c r="B38" s="11" t="s">
        <v>35</v>
      </c>
      <c r="C38" s="43">
        <v>28.94961</v>
      </c>
      <c r="D38" s="12"/>
      <c r="E38" s="13"/>
    </row>
    <row r="39" spans="1:5" ht="15" customHeight="1" x14ac:dyDescent="0.25">
      <c r="B39" s="11" t="s">
        <v>61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100">
        <v>3.22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7.9316999999999999E-3</v>
      </c>
      <c r="D45" s="12"/>
    </row>
    <row r="46" spans="1:5" ht="15.75" customHeight="1" x14ac:dyDescent="0.25">
      <c r="B46" s="11" t="s">
        <v>51</v>
      </c>
      <c r="C46" s="45">
        <v>8.5224899999999992E-2</v>
      </c>
      <c r="D46" s="12"/>
    </row>
    <row r="47" spans="1:5" ht="15.75" customHeight="1" x14ac:dyDescent="0.25">
      <c r="B47" s="11" t="s">
        <v>59</v>
      </c>
      <c r="C47" s="45">
        <v>7.3457800000000004E-2</v>
      </c>
      <c r="D47" s="12"/>
      <c r="E47" s="13"/>
    </row>
    <row r="48" spans="1:5" ht="15" customHeight="1" x14ac:dyDescent="0.25">
      <c r="B48" s="11" t="s">
        <v>58</v>
      </c>
      <c r="C48" s="46">
        <v>0.83338560000000006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0.50167899999999999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0.15160000000000001</v>
      </c>
    </row>
    <row r="63" spans="1:4" ht="15.75" customHeight="1" x14ac:dyDescent="0.3">
      <c r="A63" s="4"/>
    </row>
  </sheetData>
  <sheetProtection algorithmName="SHA-512" hashValue="FahV5XE2T9rrGidWH+XdcTx5OPBfZk5TvEEnO3WZbG+L/4/wwux/gFGp90+bwgYhPxgabl8ZTUlmAwzAC0A5aw==" saltValue="R1e6rBG3PAIij2wZf67c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107286</v>
      </c>
      <c r="C2" s="49">
        <v>275962.5</v>
      </c>
      <c r="D2" s="49">
        <v>350286</v>
      </c>
      <c r="E2" s="49">
        <v>211773</v>
      </c>
      <c r="F2" s="49">
        <v>144809</v>
      </c>
      <c r="G2" s="17">
        <f t="shared" ref="G2:G13" si="0">C2+D2+E2+F2</f>
        <v>982830.5</v>
      </c>
      <c r="H2" s="17">
        <f t="shared" ref="H2:H13" si="1">(B2 + stillbirth*B2/(1000-stillbirth))/(1-abortion)</f>
        <v>123915.60711395918</v>
      </c>
      <c r="I2" s="17">
        <f t="shared" ref="I2:I13" si="2">G2-H2</f>
        <v>858914.89288604085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108679</v>
      </c>
      <c r="C3" s="50">
        <v>277892.5</v>
      </c>
      <c r="D3" s="50">
        <v>364123.49999999988</v>
      </c>
      <c r="E3" s="50">
        <v>218688</v>
      </c>
      <c r="F3" s="50">
        <v>147036.5</v>
      </c>
      <c r="G3" s="17">
        <f t="shared" si="0"/>
        <v>1007740.4999999999</v>
      </c>
      <c r="H3" s="17">
        <f t="shared" si="1"/>
        <v>125524.52571200315</v>
      </c>
      <c r="I3" s="17">
        <f t="shared" si="2"/>
        <v>882215.97428799677</v>
      </c>
    </row>
    <row r="4" spans="1:9" ht="15.75" customHeight="1" x14ac:dyDescent="0.25">
      <c r="A4" s="5">
        <f t="shared" si="3"/>
        <v>2026</v>
      </c>
      <c r="B4" s="49">
        <v>109897</v>
      </c>
      <c r="C4" s="50">
        <v>279236.99999999988</v>
      </c>
      <c r="D4" s="50">
        <v>376094</v>
      </c>
      <c r="E4" s="50">
        <v>228269</v>
      </c>
      <c r="F4" s="50">
        <v>149249.5</v>
      </c>
      <c r="G4" s="17">
        <f t="shared" si="0"/>
        <v>1032849.4999999999</v>
      </c>
      <c r="H4" s="17">
        <f t="shared" si="1"/>
        <v>126931.31885803155</v>
      </c>
      <c r="I4" s="17">
        <f t="shared" si="2"/>
        <v>905918.18114196835</v>
      </c>
    </row>
    <row r="5" spans="1:9" ht="15.75" customHeight="1" x14ac:dyDescent="0.25">
      <c r="A5" s="5">
        <f t="shared" si="3"/>
        <v>2027</v>
      </c>
      <c r="B5" s="49">
        <v>111776</v>
      </c>
      <c r="C5" s="50">
        <v>280189.5</v>
      </c>
      <c r="D5" s="50">
        <v>386187.5</v>
      </c>
      <c r="E5" s="50">
        <v>239987</v>
      </c>
      <c r="F5" s="50">
        <v>151529</v>
      </c>
      <c r="G5" s="17">
        <f t="shared" si="0"/>
        <v>1057893</v>
      </c>
      <c r="H5" s="17">
        <f t="shared" si="1"/>
        <v>129101.56871138733</v>
      </c>
      <c r="I5" s="17">
        <f t="shared" si="2"/>
        <v>928791.43128861266</v>
      </c>
    </row>
    <row r="6" spans="1:9" ht="15.75" customHeight="1" x14ac:dyDescent="0.25">
      <c r="A6" s="5">
        <f t="shared" si="3"/>
        <v>2028</v>
      </c>
      <c r="B6" s="49">
        <v>113415</v>
      </c>
      <c r="C6" s="50">
        <v>281051</v>
      </c>
      <c r="D6" s="50">
        <v>396432.5</v>
      </c>
      <c r="E6" s="50">
        <v>251416</v>
      </c>
      <c r="F6" s="50">
        <v>153967</v>
      </c>
      <c r="G6" s="17">
        <f t="shared" si="0"/>
        <v>1082866.5</v>
      </c>
      <c r="H6" s="17">
        <f t="shared" si="1"/>
        <v>130994.61794483603</v>
      </c>
      <c r="I6" s="17">
        <f t="shared" si="2"/>
        <v>951871.88205516397</v>
      </c>
    </row>
    <row r="7" spans="1:9" ht="15.75" customHeight="1" x14ac:dyDescent="0.25">
      <c r="A7" s="5">
        <f t="shared" si="3"/>
        <v>2029</v>
      </c>
      <c r="B7" s="49">
        <v>114328</v>
      </c>
      <c r="C7" s="50">
        <v>280942.5</v>
      </c>
      <c r="D7" s="50">
        <v>407210.00000000012</v>
      </c>
      <c r="E7" s="50">
        <v>262756.5</v>
      </c>
      <c r="F7" s="50">
        <v>156688.5</v>
      </c>
      <c r="G7" s="17">
        <f t="shared" si="0"/>
        <v>1107597.5</v>
      </c>
      <c r="H7" s="17">
        <f t="shared" si="1"/>
        <v>132049.13530306588</v>
      </c>
      <c r="I7" s="17">
        <f t="shared" si="2"/>
        <v>975548.36469693412</v>
      </c>
    </row>
    <row r="8" spans="1:9" ht="15.75" customHeight="1" x14ac:dyDescent="0.25">
      <c r="A8" s="5">
        <f t="shared" si="3"/>
        <v>2030</v>
      </c>
      <c r="B8" s="49">
        <v>115732</v>
      </c>
      <c r="C8" s="50">
        <v>279947.5</v>
      </c>
      <c r="D8" s="50">
        <v>417870</v>
      </c>
      <c r="E8" s="50">
        <v>274506.5</v>
      </c>
      <c r="F8" s="50">
        <v>159702</v>
      </c>
      <c r="G8" s="17">
        <f t="shared" si="0"/>
        <v>1132026</v>
      </c>
      <c r="H8" s="17">
        <f t="shared" si="1"/>
        <v>133670.75892952224</v>
      </c>
      <c r="I8" s="17">
        <f t="shared" si="2"/>
        <v>998355.24107047776</v>
      </c>
    </row>
    <row r="9" spans="1:9" ht="15.75" customHeight="1" x14ac:dyDescent="0.25">
      <c r="A9" s="5">
        <f t="shared" si="3"/>
        <v>2031</v>
      </c>
      <c r="B9" s="49">
        <v>116752</v>
      </c>
      <c r="C9" s="50">
        <v>278789.50000000012</v>
      </c>
      <c r="D9" s="50">
        <v>427743.5</v>
      </c>
      <c r="E9" s="50">
        <v>286855</v>
      </c>
      <c r="F9" s="50">
        <v>162924</v>
      </c>
      <c r="G9" s="17">
        <f t="shared" si="0"/>
        <v>1156312</v>
      </c>
      <c r="H9" s="17">
        <f t="shared" si="1"/>
        <v>134848.86156412729</v>
      </c>
      <c r="I9" s="17">
        <f t="shared" si="2"/>
        <v>1021463.1384358727</v>
      </c>
    </row>
    <row r="10" spans="1:9" ht="15.75" customHeight="1" x14ac:dyDescent="0.25">
      <c r="A10" s="5">
        <f t="shared" si="3"/>
        <v>2032</v>
      </c>
      <c r="B10" s="49">
        <v>117648</v>
      </c>
      <c r="C10" s="50">
        <v>277729</v>
      </c>
      <c r="D10" s="50">
        <v>436071</v>
      </c>
      <c r="E10" s="50">
        <v>300085.5</v>
      </c>
      <c r="F10" s="50">
        <v>166320.5</v>
      </c>
      <c r="G10" s="17">
        <f t="shared" si="0"/>
        <v>1180206</v>
      </c>
      <c r="H10" s="17">
        <f t="shared" si="1"/>
        <v>135883.74387844704</v>
      </c>
      <c r="I10" s="17">
        <f t="shared" si="2"/>
        <v>1044322.256121553</v>
      </c>
    </row>
    <row r="11" spans="1:9" ht="15.75" customHeight="1" x14ac:dyDescent="0.25">
      <c r="A11" s="5">
        <f t="shared" si="3"/>
        <v>2033</v>
      </c>
      <c r="B11" s="49">
        <v>118560</v>
      </c>
      <c r="C11" s="50">
        <v>277367.5</v>
      </c>
      <c r="D11" s="50">
        <v>442362</v>
      </c>
      <c r="E11" s="50">
        <v>314280.5</v>
      </c>
      <c r="F11" s="50">
        <v>170188.5</v>
      </c>
      <c r="G11" s="17">
        <f t="shared" si="0"/>
        <v>1204198.5</v>
      </c>
      <c r="H11" s="17">
        <f t="shared" si="1"/>
        <v>136937.10623409392</v>
      </c>
      <c r="I11" s="17">
        <f t="shared" si="2"/>
        <v>1067261.3937659061</v>
      </c>
    </row>
    <row r="12" spans="1:9" ht="15.75" customHeight="1" x14ac:dyDescent="0.25">
      <c r="A12" s="5">
        <f t="shared" si="3"/>
        <v>2034</v>
      </c>
      <c r="B12" s="49">
        <v>118811</v>
      </c>
      <c r="C12" s="50">
        <v>277695</v>
      </c>
      <c r="D12" s="50">
        <v>446557</v>
      </c>
      <c r="E12" s="50">
        <v>328919.5</v>
      </c>
      <c r="F12" s="50">
        <v>174679</v>
      </c>
      <c r="G12" s="17">
        <f t="shared" si="0"/>
        <v>1227850.5</v>
      </c>
      <c r="H12" s="17">
        <f t="shared" si="1"/>
        <v>137227.01188241341</v>
      </c>
      <c r="I12" s="17">
        <f t="shared" si="2"/>
        <v>1090623.4881175866</v>
      </c>
    </row>
    <row r="13" spans="1:9" ht="15.75" customHeight="1" x14ac:dyDescent="0.25">
      <c r="A13" s="5">
        <f t="shared" si="3"/>
        <v>2035</v>
      </c>
      <c r="B13" s="49">
        <v>119568</v>
      </c>
      <c r="C13" s="50">
        <v>279009</v>
      </c>
      <c r="D13" s="50">
        <v>448648.99999999988</v>
      </c>
      <c r="E13" s="50">
        <v>343753.5</v>
      </c>
      <c r="F13" s="50">
        <v>180478.5</v>
      </c>
      <c r="G13" s="17">
        <f t="shared" si="0"/>
        <v>1251890</v>
      </c>
      <c r="H13" s="17">
        <f t="shared" si="1"/>
        <v>138101.34883770361</v>
      </c>
      <c r="I13" s="17">
        <f t="shared" si="2"/>
        <v>1113788.6511622963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74hshTzPJzeh7MWElOxB1nOJ/tiYKDJVEe5gihdMNhnnL9ZtrqeZmx95OcLWzRueJtEatcDvcYGwozvRjfj1lw==" saltValue="1LbC+pzpXr7XDw109Osb7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9.54159904584009E-3</v>
      </c>
    </row>
    <row r="4" spans="1:8" ht="15.75" customHeight="1" x14ac:dyDescent="0.25">
      <c r="B4" s="19" t="s">
        <v>97</v>
      </c>
      <c r="C4" s="101">
        <v>6.4930893506910725E-2</v>
      </c>
    </row>
    <row r="5" spans="1:8" ht="15.75" customHeight="1" x14ac:dyDescent="0.25">
      <c r="B5" s="19" t="s">
        <v>95</v>
      </c>
      <c r="C5" s="101">
        <v>8.333079166692095E-2</v>
      </c>
    </row>
    <row r="6" spans="1:8" ht="15.75" customHeight="1" x14ac:dyDescent="0.25">
      <c r="B6" s="19" t="s">
        <v>91</v>
      </c>
      <c r="C6" s="101">
        <v>0.24122667587733301</v>
      </c>
    </row>
    <row r="7" spans="1:8" ht="15.75" customHeight="1" x14ac:dyDescent="0.25">
      <c r="B7" s="19" t="s">
        <v>96</v>
      </c>
      <c r="C7" s="101">
        <v>0.41004985899501339</v>
      </c>
    </row>
    <row r="8" spans="1:8" ht="15.75" customHeight="1" x14ac:dyDescent="0.25">
      <c r="B8" s="19" t="s">
        <v>98</v>
      </c>
      <c r="C8" s="101">
        <v>1.193399880660011E-3</v>
      </c>
    </row>
    <row r="9" spans="1:8" ht="15.75" customHeight="1" x14ac:dyDescent="0.25">
      <c r="B9" s="19" t="s">
        <v>92</v>
      </c>
      <c r="C9" s="101">
        <v>8.1527291847270894E-2</v>
      </c>
    </row>
    <row r="10" spans="1:8" ht="15.75" customHeight="1" x14ac:dyDescent="0.25">
      <c r="B10" s="19" t="s">
        <v>94</v>
      </c>
      <c r="C10" s="101">
        <v>0.108199489180051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102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2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90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3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101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79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88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99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8.7620265000000017E-2</v>
      </c>
    </row>
    <row r="27" spans="1:8" ht="15.75" customHeight="1" x14ac:dyDescent="0.25">
      <c r="B27" s="19" t="s">
        <v>89</v>
      </c>
      <c r="C27" s="101">
        <v>8.4936790000000005E-3</v>
      </c>
    </row>
    <row r="28" spans="1:8" ht="15.75" customHeight="1" x14ac:dyDescent="0.25">
      <c r="B28" s="19" t="s">
        <v>103</v>
      </c>
      <c r="C28" s="101">
        <v>0.15420750799999999</v>
      </c>
    </row>
    <row r="29" spans="1:8" ht="15.75" customHeight="1" x14ac:dyDescent="0.25">
      <c r="B29" s="19" t="s">
        <v>86</v>
      </c>
      <c r="C29" s="101">
        <v>0.168404365</v>
      </c>
    </row>
    <row r="30" spans="1:8" ht="15.75" customHeight="1" x14ac:dyDescent="0.25">
      <c r="B30" s="19" t="s">
        <v>4</v>
      </c>
      <c r="C30" s="101">
        <v>0.105568509</v>
      </c>
    </row>
    <row r="31" spans="1:8" ht="15.75" customHeight="1" x14ac:dyDescent="0.25">
      <c r="B31" s="19" t="s">
        <v>80</v>
      </c>
      <c r="C31" s="101">
        <v>0.10981025899999999</v>
      </c>
    </row>
    <row r="32" spans="1:8" ht="15.75" customHeight="1" x14ac:dyDescent="0.25">
      <c r="B32" s="19" t="s">
        <v>85</v>
      </c>
      <c r="C32" s="101">
        <v>1.8832593000000002E-2</v>
      </c>
    </row>
    <row r="33" spans="2:3" ht="15.75" customHeight="1" x14ac:dyDescent="0.25">
      <c r="B33" s="19" t="s">
        <v>100</v>
      </c>
      <c r="C33" s="101">
        <v>8.4520607999999997E-2</v>
      </c>
    </row>
    <row r="34" spans="2:3" ht="15.75" customHeight="1" x14ac:dyDescent="0.25">
      <c r="B34" s="19" t="s">
        <v>87</v>
      </c>
      <c r="C34" s="101">
        <v>0.26254221300000002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htLL1QSKrVVBnf7thlw/1qW1FsoIhQ2wilPBzq6lN09rlVnxbOvbQQIBlws/Yc60fo++MrV9ESFzROPZLU91CA==" saltValue="/JTg3rIw49OknvNfBpJCc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110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106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107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119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ojKbkyj8mbOEfV9sDrdjnDGoOT7/Axywvk+bnzTTpUXFRbWn98j0lVNbOAd/1tPpAGslCwlsfwrS8N+yCfCvw==" saltValue="z+kJA0qd2alzcMMyaEW1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125</v>
      </c>
      <c r="C5" s="52">
        <v>0</v>
      </c>
      <c r="D5" s="52">
        <v>1E-3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dMTgqWyxv8Hgd9CK6B1IhDMG+gk9StNMHP1bTtasZtXEgGcFdGFBXoisqR5WRmiEOd2aoER+RUTRsc+Ob0eYCA==" saltValue="ul/77IvR8KL5X8jqcL0kz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ASOoYhh/MGwzCZLVGLHEQKuEj7tOI1CtHkD798g2+aoFXNU3xSScbHSWc003wcjPNGy4r+1mRqz1+iLKjAwKoA==" saltValue="D4SEBy9StJ9V3O1FDiNQ3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RcJhwYvCFcBUhPUudg+vythUbHJ4dkD05IwftoKxSG+BOmfeF40bTGOThaZokI2CEcDKv0g28BBkPk064JRhZg==" saltValue="lotWe8VuPj6N/HRlvNXYq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5BQDaMtOT8NFhOGFlTv4ELjYpIS1V28HlbM6zqWe8ChErOUeGgrNI49F57NAN2opq9dxtECFxabGPN3Xfo+2wQ==" saltValue="ykUq2U4iJV2tw8O/ax6uM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GoAfs68bdvBGKfNiwGlchBR2cL/0Mbf+Y78yHNaRbo9UeRPL9/TjsjyVj+6mVikryJLBMfdAGWR7pa7KqcwlaQ==" saltValue="yXbznVgwdZYuv5K5AQIgg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0.1622916426232176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0.2139553248340432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0.78848199824391296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0.40394964285693302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15.05101211717766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15.05101211717766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15.05101211717766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15.05101211717766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15.05101211717766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15.05101211717766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0.14499999999999999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0.373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0.25800000000000001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25.652464004019169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0.70900000000000007</v>
      </c>
      <c r="C23" s="98">
        <v>0.95</v>
      </c>
      <c r="D23" s="56">
        <v>4.9325180741630454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0.24025928639999999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0.434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0.42499999999999999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0.78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0.26800000000000002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0.51764500000000002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TrC7v4ySc/vxmAblpi+7nPlcgr1StzHFN+zMI+UDqY0eKY7tIypF28kBWQ2hh0AEfyx4sh1I83dADuUx/SI8TQ==" saltValue="tOWQzcCYV/c1wgZmJvRY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tsdUe+fnELGqQGMW/A3ejaXL/puKX2+PYEYz+hgV/xnnxyCQhcILD6OeAx05jeR/37m6obK6QOMzdu/nLI+93Q==" saltValue="snXW0Jvd93DxWp9Rg1/A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UtDql731Q6bkcz8xTm5r1YqoyNe+IaE/sEAaaRcByGwv2O9xHmnZ5SGorUMLrJPx8I3zWWNalh1HbMZEVetY/Q==" saltValue="sw7O5Ew4Kqe1fx50F/jZ4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207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86XXvO2yVCvoqaWFpSBl60rlSaT3kHdNYdXqmk/shmgFkyaKBETZGR+o9gk6T20UC1iD2T7YfiZuLWZ4zgn98Q==" saltValue="pf3RcX1sGtEWGcmgyjOKE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0.4076307480000001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0.17469889200000002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0.11457036000000002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0.30309999999999998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0.16</v>
      </c>
      <c r="D34" s="60">
        <f t="shared" si="3"/>
        <v>0.16</v>
      </c>
      <c r="E34" s="60">
        <f t="shared" si="3"/>
        <v>0.16</v>
      </c>
      <c r="F34" s="60">
        <f t="shared" si="3"/>
        <v>0.16</v>
      </c>
      <c r="G34" s="60">
        <f t="shared" si="3"/>
        <v>0.16</v>
      </c>
      <c r="H34" s="60">
        <f t="shared" si="3"/>
        <v>0.16</v>
      </c>
      <c r="I34" s="60">
        <f t="shared" si="3"/>
        <v>0.16</v>
      </c>
      <c r="J34" s="60">
        <f t="shared" si="3"/>
        <v>0.16</v>
      </c>
      <c r="K34" s="60">
        <f t="shared" si="3"/>
        <v>0.16</v>
      </c>
      <c r="L34" s="60">
        <f t="shared" si="3"/>
        <v>0.16</v>
      </c>
      <c r="M34" s="60">
        <f t="shared" si="3"/>
        <v>0.16</v>
      </c>
      <c r="N34" s="60">
        <f t="shared" si="3"/>
        <v>0.16</v>
      </c>
      <c r="O34" s="60">
        <f t="shared" si="3"/>
        <v>0.16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aj3EWedjqM1tMaKLIMZSzGkbDjKx78ydq1wlQOAdIDzz6b+8XkPBkkViN/ZghbG92zGpOkMNk6RW6pKN70aFIQ==" saltValue="+KLhotXUKKCxNOAAa45Lo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+KQHOyjwEkdnD2CCZUg+AI32TA8Uh+RmFPw+TOoSPerwHGpcMabOkZHxAwsdSv4H9cLnuaUhEX1BmY69A8OEdw==" saltValue="Ll3tK4rdncJevYm0BkH03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MKdidcU60E4Dx1txk1+smf0e+oJYODuMU5nYsnHmF0r1EYvP3EIU9nqfqcYGclsfogrA4c3555NOhc1MhlgZA==" saltValue="KkkPPyy2aHywdqE3pSWVl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vJClOSrqkv2l8dkE9K8Mx5bkJk8ARdz+yfdjK1GO0BFSpfpfMpalhaB9bEzZ2oQsQbTdA6qi3O/3ZQiNjBORA==" saltValue="oBPHgQrsQ7l0zk2ch8N+X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us3p/oKwyeLUcy0Qmo9sVZ30R6BC+OrocWr3LK/qlfoYxIyG3e3FeuXG5F1J7wudAAanOPzFi/D4pHXn/tJgQ==" saltValue="fGVJ79RNhWPxVmqUHsQp/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zzmDwfvspDaIBHsh/ZzDFvovbuOzd0seW8f11qU5iMpNy5Qm8Qz9M6NA8FkXe1c1cU8YIwXE5/hIKQa+bo1PTQ==" saltValue="gSZO4GVfV4AixhSCLdT+S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XSX2k1+Yg8ELCoEPl73OEh+OpKwNPBNdVH9YFOsrRqOUhUXQtlX5wjv1NXLXzXZ8Z34nz7y40kXTiyeJHsAdQ==" saltValue="ESUxkzCjlMCUlU3YRvwmQ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2uLJqhaXQniDcnHlhtyQ5mm65eMNezK2It6TR1n7gB8T4c2uFId5rHgGZlTeuD+i73S2RtdgNVgeAn2fZEWtg==" saltValue="2ayxuMAso9hQdavl5m+M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jgNxXdMlBdoVJjLn245+Yifpa9WL9za3/lPRCEnQfbEUh1ehRoL9jRByXeR3XzyNEGlUvxhSa0uR69ZKynZag==" saltValue="A3DOdMUpRkac4HEHuq2D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eZIxGfOppT56Zcgq5FqBxEmzgBdNoHoTccboU596Cn9N1Z07EVIvx9+qzNaKe5OIh07lki4hftzvcvPgKA74sw==" saltValue="V3pWe1PxRK9FN/wKfAnT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ed6gk1zHx27VbNwdW3EtaQEIWWGmmaCfBCATo+/r4gTZa4VMNI/rCXTRo7GnnO+qPoGhauggSNRntGOs8krmGw==" saltValue="QhPOaxiDB+/RgGsXiUkc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jC4gDBOeRJmOtRD5yke9pb9JluOrInlYqbVyoC2LWTaNbQLt6uZSMZV0/Ydz/NfCW7cFeBJmLRW1fguhGOn5QQ==" saltValue="zm7n/lH2ir2Ad06RmZiLP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u+LKXhEMKPbHDrr3VqYKSVg4ULqlplRdNWRh6SFCH4zA+nGfjo972qrcY7pQUi3URPVGj5EhdR3BFYvl4Rh5w==" saltValue="j7T6JPA/5J9ehRj0vzHi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0.10613897534876815</v>
      </c>
      <c r="G18" s="90">
        <f>MIN(MAX(1-0.89/(1-frac_sam_12_23months+(frac_sam_12_23months*0.89)),0),1)</f>
        <v>0.1070258482022014</v>
      </c>
      <c r="H18" s="90">
        <f>MIN(MAX(1-0.89/(1-frac_sam_24_59months+(frac_sam_24_59months*0.89)),0),1)</f>
        <v>0.10831925094766515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0.10301108328944886</v>
      </c>
      <c r="G20" s="90">
        <f>MIN(MAX(1-0.89/(1-frac_mam_12_23months+(frac_mam_12_23months*0.89)),0),1)</f>
        <v>0.1041137332236276</v>
      </c>
      <c r="H20" s="90">
        <f>MIN(MAX(1-0.89/(1-frac_mam_24_59months+(frac_mam_24_59months*0.89)),0),1)</f>
        <v>0.10667793735770292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9.6110930936471606E-3</v>
      </c>
      <c r="G73" s="90">
        <f>MIN(MAX(1-0.99/(1-frac_sam_12_23months+(frac_sam_12_23months*0.99)),0),1)</f>
        <v>9.7001539934192804E-3</v>
      </c>
      <c r="H73" s="90">
        <f>MIN(MAX(1-0.99/(1-frac_sam_24_59months+(frac_sam_24_59months*0.99)),0),1)</f>
        <v>9.8303279060572013E-3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9.2982651806544636E-3</v>
      </c>
      <c r="G75" s="90">
        <f>MIN(MAX(1-0.99/(1-frac_mam_12_23months+(frac_mam_12_23months*0.99)),0),1)</f>
        <v>9.4083170508934E-3</v>
      </c>
      <c r="H75" s="90">
        <f>MIN(MAX(1-0.99/(1-frac_mam_24_59months+(frac_mam_24_59months*0.99)),0),1)</f>
        <v>9.6651971750458809E-3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0.19366736992982825</v>
      </c>
      <c r="G128" s="90">
        <f>MIN(MAX(1-0.8/(1-frac_sam_12_23months+(frac_sam_12_23months*0.8)),0),1)</f>
        <v>0.19512595565940538</v>
      </c>
      <c r="H128" s="90">
        <f>MIN(MAX(1-0.8/(1-frac_sam_24_59months+(frac_sam_24_59months*0.8)),0),1)</f>
        <v>0.19724886613605008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0.1885040073354487</v>
      </c>
      <c r="G130" s="90">
        <f>MIN(MAX(1-0.8/(1-frac_mam_12_23months+(frac_mam_12_23months*0.8)),0),1)</f>
        <v>0.19032761218412675</v>
      </c>
      <c r="H130" s="90">
        <f>MIN(MAX(1-0.8/(1-frac_mam_24_59months+(frac_mam_24_59months*0.8)),0),1)</f>
        <v>0.19455405226840106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3pBFbpI3L/RnoqbVQIvlWszJHg0+KB3UMIC+n7Q+Y1GP1GUEywCfZkvk0IoTXLwZV2/51XVZBNMUt71T/U3AhQ==" saltValue="lO1rV7FYQfVQ0dMaFEid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JkNzfIKV3/dRWtHjj1FJTEh7pPGAu26WZjPJAP3M7Nkl5HZbP+AGS/I4cZPoJ9JgoCN4LhduBCluLM3sKYQVfg==" saltValue="oftecK4FFAvXmOMm8oUCt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2024-08-06T07:34:47Z</dcterms:modified>
</cp:coreProperties>
</file>