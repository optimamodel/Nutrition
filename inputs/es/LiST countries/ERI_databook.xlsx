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E8335B59-06A5-4914-B619-C7AD97DE4462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A31" i="2"/>
  <c r="A25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4" i="2" l="1"/>
  <c r="A26" i="2"/>
  <c r="I39" i="2"/>
  <c r="I2" i="2"/>
  <c r="I6" i="2"/>
  <c r="A19" i="2"/>
  <c r="A35" i="2"/>
  <c r="A34" i="2"/>
  <c r="A40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<sst xmlns="http://schemas.openxmlformats.org/spreadsheetml/2006/main" count="2169" uniqueCount="373">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</sst>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502472.00000000012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0.40256750000000002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0.41799999999999998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8.4900000000000003E-2</v>
      </c>
    </row>
    <row r="24" spans="1:3" ht="15" customHeight="1" x14ac:dyDescent="0.25">
      <c r="B24" s="15" t="s">
        <v>65</v>
      </c>
      <c r="C24" s="45">
        <v>0.46400000000000002</v>
      </c>
    </row>
    <row r="25" spans="1:3" ht="15" customHeight="1" x14ac:dyDescent="0.25">
      <c r="B25" s="15" t="s">
        <v>66</v>
      </c>
      <c r="C25" s="45">
        <v>0.35129999999999989</v>
      </c>
    </row>
    <row r="26" spans="1:3" ht="15" customHeight="1" x14ac:dyDescent="0.25">
      <c r="B26" s="15" t="s">
        <v>67</v>
      </c>
      <c r="C26" s="45">
        <v>9.98E-2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0.21829699999999999</v>
      </c>
    </row>
    <row r="30" spans="1:3" ht="14.25" customHeight="1" x14ac:dyDescent="0.25">
      <c r="B30" s="25" t="s">
        <v>82</v>
      </c>
      <c r="C30" s="97">
        <v>7.5314300000000001E-2</v>
      </c>
    </row>
    <row r="31" spans="1:3" ht="14.25" customHeight="1" x14ac:dyDescent="0.25">
      <c r="B31" s="25" t="s">
        <v>29</v>
      </c>
      <c r="C31" s="97">
        <v>0.11899999999999999</v>
      </c>
    </row>
    <row r="32" spans="1:3" ht="14.25" customHeight="1" x14ac:dyDescent="0.25">
      <c r="B32" s="25" t="s">
        <v>30</v>
      </c>
      <c r="C32" s="97">
        <v>0.58738869999999999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98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1.8460000000000001</v>
      </c>
      <c r="D51" s="12"/>
    </row>
    <row r="52" spans="1:4" ht="15" customHeight="1" x14ac:dyDescent="0.25">
      <c r="B52" s="11" t="s">
        <v>32</v>
      </c>
      <c r="C52" s="98">
        <v>1.8460000000000001</v>
      </c>
    </row>
    <row r="53" spans="1:4" ht="15.75" customHeight="1" x14ac:dyDescent="0.25">
      <c r="B53" s="11" t="s">
        <v>35</v>
      </c>
      <c r="C53" s="98">
        <v>5.3039999999999994</v>
      </c>
    </row>
    <row r="54" spans="1:4" ht="15.75" customHeight="1" x14ac:dyDescent="0.25">
      <c r="B54" s="11" t="s">
        <v>33</v>
      </c>
      <c r="C54" s="98">
        <v>5.8760000000000003</v>
      </c>
    </row>
    <row r="55" spans="1:4" ht="15.75" customHeight="1" x14ac:dyDescent="0.25">
      <c r="B55" s="11" t="s">
        <v>34</v>
      </c>
      <c r="C55" s="98">
        <v>2.8166666666666669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0.15160142900000001</v>
      </c>
    </row>
    <row r="63" spans="1:4" ht="15.75" customHeight="1" x14ac:dyDescent="0.3">
      <c r="A63" s="4"/>
    </row>
  </sheetData>
  <sheetProtection algorithmName="SHA-512" hashValue="fVrpoEWNPBbMdW4rsVS7TOkkm25t9B4dyMj9IxhTKpKmiU0+uHYN/nn2Dd0LJMB2N9mPsdKUoarAQ9qxOTH5YA==" saltValue="JQmO3yEGQxCGmvy3WaDW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476046.5</v>
      </c>
      <c r="C2" s="49">
        <v>115986</v>
      </c>
      <c r="D2" s="49">
        <v>213467.5</v>
      </c>
      <c r="E2" s="49">
        <v>416290.5</v>
      </c>
      <c r="F2" s="49">
        <v>325508</v>
      </c>
      <c r="G2" s="17">
        <f t="shared" ref="G2:G13" si="0">C2+D2+E2+F2</f>
        <v>1071252</v>
      </c>
      <c r="H2" s="17">
        <f t="shared" ref="H2:H13" si="1">(B2 + stillbirth*B2/(1000-stillbirth))/(1-abortion)</f>
        <v>549834.93710246787</v>
      </c>
      <c r="I2" s="17">
        <f t="shared" ref="I2:I13" si="2">G2-H2</f>
        <v>521417.06289753213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101539</v>
      </c>
      <c r="C3" s="50">
        <v>211512</v>
      </c>
      <c r="D3" s="50">
        <v>326817.5</v>
      </c>
      <c r="E3" s="50">
        <v>194239.50000000003</v>
      </c>
      <c r="F3" s="50">
        <v>144839.99999999997</v>
      </c>
      <c r="G3" s="17">
        <f t="shared" si="0"/>
        <v>877409</v>
      </c>
      <c r="H3" s="17">
        <f t="shared" si="1"/>
        <v>117277.80726976773</v>
      </c>
      <c r="I3" s="17">
        <f t="shared" si="2"/>
        <v>760131.19273023226</v>
      </c>
    </row>
    <row r="4" spans="1:9" ht="15.75" customHeight="1" x14ac:dyDescent="0.25">
      <c r="A4" s="5">
        <f t="shared" si="3"/>
        <v>2026</v>
      </c>
      <c r="B4" s="49">
        <v>103276</v>
      </c>
      <c r="C4" s="50">
        <v>213414.5</v>
      </c>
      <c r="D4" s="50">
        <v>340270</v>
      </c>
      <c r="E4" s="50">
        <v>202782.5</v>
      </c>
      <c r="F4" s="50">
        <v>145983</v>
      </c>
      <c r="G4" s="17">
        <f t="shared" si="0"/>
        <v>902450</v>
      </c>
      <c r="H4" s="17">
        <f t="shared" si="1"/>
        <v>119284.04675634517</v>
      </c>
      <c r="I4" s="17">
        <f t="shared" si="2"/>
        <v>783165.9532436548</v>
      </c>
    </row>
    <row r="5" spans="1:9" ht="15.75" customHeight="1" x14ac:dyDescent="0.25">
      <c r="A5" s="5">
        <f t="shared" si="3"/>
        <v>2027</v>
      </c>
      <c r="B5" s="49">
        <v>105398</v>
      </c>
      <c r="C5" s="50">
        <v>214842</v>
      </c>
      <c r="D5" s="50">
        <v>351986.99999999994</v>
      </c>
      <c r="E5" s="50">
        <v>213441.50000000003</v>
      </c>
      <c r="F5" s="50">
        <v>147714.5</v>
      </c>
      <c r="G5" s="17">
        <f t="shared" si="0"/>
        <v>927985</v>
      </c>
      <c r="H5" s="17">
        <f t="shared" si="1"/>
        <v>121734.96223735687</v>
      </c>
      <c r="I5" s="17">
        <f t="shared" si="2"/>
        <v>806250.03776264307</v>
      </c>
    </row>
    <row r="6" spans="1:9" ht="15.75" customHeight="1" x14ac:dyDescent="0.25">
      <c r="A6" s="5">
        <f t="shared" si="3"/>
        <v>2028</v>
      </c>
      <c r="B6" s="49">
        <v>107199</v>
      </c>
      <c r="C6" s="50">
        <v>216074</v>
      </c>
      <c r="D6" s="50">
        <v>361609.00000000006</v>
      </c>
      <c r="E6" s="50">
        <v>225442</v>
      </c>
      <c r="F6" s="50">
        <v>150261</v>
      </c>
      <c r="G6" s="17">
        <f t="shared" si="0"/>
        <v>953386</v>
      </c>
      <c r="H6" s="17">
        <f t="shared" si="1"/>
        <v>123815.12188924287</v>
      </c>
      <c r="I6" s="17">
        <f t="shared" si="2"/>
        <v>829570.8781107571</v>
      </c>
    </row>
    <row r="7" spans="1:9" ht="15.75" customHeight="1" x14ac:dyDescent="0.25">
      <c r="A7" s="5">
        <f t="shared" si="3"/>
        <v>2029</v>
      </c>
      <c r="B7" s="49">
        <v>108940</v>
      </c>
      <c r="C7" s="50">
        <v>217081.5</v>
      </c>
      <c r="D7" s="50">
        <v>371204</v>
      </c>
      <c r="E7" s="50">
        <v>236910.5</v>
      </c>
      <c r="F7" s="50">
        <v>153461.5</v>
      </c>
      <c r="G7" s="17">
        <f t="shared" si="0"/>
        <v>978657.5</v>
      </c>
      <c r="H7" s="17">
        <f t="shared" si="1"/>
        <v>125825.9813861521</v>
      </c>
      <c r="I7" s="17">
        <f t="shared" si="2"/>
        <v>852831.5186138479</v>
      </c>
    </row>
    <row r="8" spans="1:9" ht="15.75" customHeight="1" x14ac:dyDescent="0.25">
      <c r="A8" s="5">
        <f t="shared" si="3"/>
        <v>2030</v>
      </c>
      <c r="B8" s="49">
        <v>110590</v>
      </c>
      <c r="C8" s="50">
        <v>217242</v>
      </c>
      <c r="D8" s="50">
        <v>380964.5</v>
      </c>
      <c r="E8" s="50">
        <v>248238.99999999997</v>
      </c>
      <c r="F8" s="50">
        <v>156988.5</v>
      </c>
      <c r="G8" s="17">
        <f t="shared" si="0"/>
        <v>1003434</v>
      </c>
      <c r="H8" s="17">
        <f t="shared" si="1"/>
        <v>127731.7356480132</v>
      </c>
      <c r="I8" s="17">
        <f t="shared" si="2"/>
        <v>875702.26435198681</v>
      </c>
    </row>
    <row r="9" spans="1:9" ht="15.75" customHeight="1" x14ac:dyDescent="0.25">
      <c r="A9" s="5">
        <f t="shared" si="3"/>
        <v>2031</v>
      </c>
      <c r="B9" s="49">
        <v>111974</v>
      </c>
      <c r="C9" s="50">
        <v>216570.5</v>
      </c>
      <c r="D9" s="50">
        <v>390563.5</v>
      </c>
      <c r="E9" s="50">
        <v>259933.49999999997</v>
      </c>
      <c r="F9" s="50">
        <v>160942.5</v>
      </c>
      <c r="G9" s="17">
        <f t="shared" si="0"/>
        <v>1028010</v>
      </c>
      <c r="H9" s="17">
        <f t="shared" si="1"/>
        <v>129330.25922281065</v>
      </c>
      <c r="I9" s="17">
        <f t="shared" si="2"/>
        <v>898679.74077718938</v>
      </c>
    </row>
    <row r="10" spans="1:9" ht="15.75" customHeight="1" x14ac:dyDescent="0.25">
      <c r="A10" s="5">
        <f t="shared" si="3"/>
        <v>2032</v>
      </c>
      <c r="B10" s="49">
        <v>113264</v>
      </c>
      <c r="C10" s="50">
        <v>215382</v>
      </c>
      <c r="D10" s="50">
        <v>399215.00000000006</v>
      </c>
      <c r="E10" s="50">
        <v>271938</v>
      </c>
      <c r="F10" s="50">
        <v>165359.5</v>
      </c>
      <c r="G10" s="17">
        <f t="shared" si="0"/>
        <v>1051894.5</v>
      </c>
      <c r="H10" s="17">
        <f t="shared" si="1"/>
        <v>130820.21255481118</v>
      </c>
      <c r="I10" s="17">
        <f t="shared" si="2"/>
        <v>921074.28744518885</v>
      </c>
    </row>
    <row r="11" spans="1:9" ht="15.75" customHeight="1" x14ac:dyDescent="0.25">
      <c r="A11" s="5">
        <f t="shared" si="3"/>
        <v>2033</v>
      </c>
      <c r="B11" s="49">
        <v>114266</v>
      </c>
      <c r="C11" s="50">
        <v>214055.5</v>
      </c>
      <c r="D11" s="50">
        <v>406087.99999999994</v>
      </c>
      <c r="E11" s="50">
        <v>284429</v>
      </c>
      <c r="F11" s="50">
        <v>170686</v>
      </c>
      <c r="G11" s="17">
        <f t="shared" si="0"/>
        <v>1075258.5</v>
      </c>
      <c r="H11" s="17">
        <f t="shared" si="1"/>
        <v>131977.5251429232</v>
      </c>
      <c r="I11" s="17">
        <f t="shared" si="2"/>
        <v>943280.97485707677</v>
      </c>
    </row>
    <row r="12" spans="1:9" ht="15.75" customHeight="1" x14ac:dyDescent="0.25">
      <c r="A12" s="5">
        <f t="shared" si="3"/>
        <v>2034</v>
      </c>
      <c r="B12" s="49">
        <v>115029</v>
      </c>
      <c r="C12" s="50">
        <v>213118.5</v>
      </c>
      <c r="D12" s="50">
        <v>411196</v>
      </c>
      <c r="E12" s="50">
        <v>297768</v>
      </c>
      <c r="F12" s="50">
        <v>177129.5</v>
      </c>
      <c r="G12" s="17">
        <f t="shared" si="0"/>
        <v>1099212</v>
      </c>
      <c r="H12" s="17">
        <f t="shared" si="1"/>
        <v>132858.7921137111</v>
      </c>
      <c r="I12" s="17">
        <f t="shared" si="2"/>
        <v>966353.20788628887</v>
      </c>
    </row>
    <row r="13" spans="1:9" ht="15.75" customHeight="1" x14ac:dyDescent="0.25">
      <c r="A13" s="5">
        <f t="shared" si="3"/>
        <v>2035</v>
      </c>
      <c r="B13" s="49">
        <v>115561</v>
      </c>
      <c r="C13" s="50">
        <v>212833</v>
      </c>
      <c r="D13" s="50">
        <v>414665.5</v>
      </c>
      <c r="E13" s="50">
        <v>311559.49999999994</v>
      </c>
      <c r="F13" s="50">
        <v>184954</v>
      </c>
      <c r="G13" s="17">
        <f t="shared" si="0"/>
        <v>1124012</v>
      </c>
      <c r="H13" s="17">
        <f t="shared" si="1"/>
        <v>133473.25348783846</v>
      </c>
      <c r="I13" s="17">
        <f t="shared" si="2"/>
        <v>990538.74651216157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DkNJabej+gTXy8QzJS1tteQiuqS+Z58m++sV8kGZzVdDRWPeiLJQaXBp7EP5db+q+Cv6SVQs59MZiiriomrGQ==" saltValue="pIn+wl7oktoEMsFugJCOT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99">
        <v>6.4930893506910725E-2</v>
      </c>
    </row>
    <row r="5" spans="1:8" ht="15.75" customHeight="1" x14ac:dyDescent="0.25">
      <c r="B5" s="19" t="s">
        <v>114</v>
      </c>
      <c r="C5" s="99">
        <v>8.333079166692095E-2</v>
      </c>
    </row>
    <row r="6" spans="1:8" ht="15.75" customHeight="1" x14ac:dyDescent="0.25">
      <c r="B6" s="19" t="s">
        <v>110</v>
      </c>
      <c r="C6" s="99">
        <v>0.24122667587733301</v>
      </c>
    </row>
    <row r="7" spans="1:8" ht="15.75" customHeight="1" x14ac:dyDescent="0.25">
      <c r="B7" s="19" t="s">
        <v>115</v>
      </c>
      <c r="C7" s="99">
        <v>0.41004985899501339</v>
      </c>
    </row>
    <row r="8" spans="1:8" ht="15.75" customHeight="1" x14ac:dyDescent="0.25">
      <c r="B8" s="19" t="s">
        <v>117</v>
      </c>
      <c r="C8" s="99">
        <v>1.193399880660011E-3</v>
      </c>
    </row>
    <row r="9" spans="1:8" ht="15.75" customHeight="1" x14ac:dyDescent="0.25">
      <c r="B9" s="19" t="s">
        <v>111</v>
      </c>
      <c r="C9" s="99">
        <v>8.1527291847270894E-2</v>
      </c>
    </row>
    <row r="10" spans="1:8" ht="15.75" customHeight="1" x14ac:dyDescent="0.25">
      <c r="B10" s="19" t="s">
        <v>113</v>
      </c>
      <c r="C10" s="99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99">
        <v>0.24104474898363951</v>
      </c>
      <c r="D15" s="99">
        <v>0.24104474898363951</v>
      </c>
      <c r="E15" s="99">
        <v>0.24104474898363951</v>
      </c>
      <c r="F15" s="99">
        <v>0.24104474898363951</v>
      </c>
    </row>
    <row r="16" spans="1:8" ht="15.75" customHeight="1" x14ac:dyDescent="0.25">
      <c r="B16" s="19" t="s">
        <v>2</v>
      </c>
      <c r="C16" s="99">
        <v>2.6390130677189091E-2</v>
      </c>
      <c r="D16" s="99">
        <v>2.6390130677189091E-2</v>
      </c>
      <c r="E16" s="99">
        <v>2.6390130677189091E-2</v>
      </c>
      <c r="F16" s="99">
        <v>2.6390130677189091E-2</v>
      </c>
    </row>
    <row r="17" spans="1:8" ht="15.75" customHeight="1" x14ac:dyDescent="0.25">
      <c r="B17" s="19" t="s">
        <v>109</v>
      </c>
      <c r="C17" s="99">
        <v>6.6708176145966061E-3</v>
      </c>
      <c r="D17" s="99">
        <v>6.6708176145966061E-3</v>
      </c>
      <c r="E17" s="99">
        <v>6.6708176145966061E-3</v>
      </c>
      <c r="F17" s="99">
        <v>6.6708176145966061E-3</v>
      </c>
    </row>
    <row r="18" spans="1:8" ht="15.75" customHeight="1" x14ac:dyDescent="0.25">
      <c r="B18" s="19" t="s">
        <v>3</v>
      </c>
      <c r="C18" s="99">
        <v>8.4191652621648683E-2</v>
      </c>
      <c r="D18" s="99">
        <v>8.4191652621648683E-2</v>
      </c>
      <c r="E18" s="99">
        <v>8.4191652621648683E-2</v>
      </c>
      <c r="F18" s="99">
        <v>8.4191652621648683E-2</v>
      </c>
    </row>
    <row r="19" spans="1:8" ht="15.75" customHeight="1" x14ac:dyDescent="0.25">
      <c r="B19" s="19" t="s">
        <v>120</v>
      </c>
      <c r="C19" s="99">
        <v>6.8330843258333274E-2</v>
      </c>
      <c r="D19" s="99">
        <v>6.8330843258333274E-2</v>
      </c>
      <c r="E19" s="99">
        <v>6.8330843258333274E-2</v>
      </c>
      <c r="F19" s="99">
        <v>6.8330843258333274E-2</v>
      </c>
    </row>
    <row r="20" spans="1:8" ht="15.75" customHeight="1" x14ac:dyDescent="0.25">
      <c r="B20" s="19" t="s">
        <v>98</v>
      </c>
      <c r="C20" s="99">
        <v>1.250400620514191E-2</v>
      </c>
      <c r="D20" s="99">
        <v>1.250400620514191E-2</v>
      </c>
      <c r="E20" s="99">
        <v>1.250400620514191E-2</v>
      </c>
      <c r="F20" s="99">
        <v>1.250400620514191E-2</v>
      </c>
    </row>
    <row r="21" spans="1:8" ht="15.75" customHeight="1" x14ac:dyDescent="0.25">
      <c r="B21" s="19" t="s">
        <v>107</v>
      </c>
      <c r="C21" s="99">
        <v>0.1655459558925296</v>
      </c>
      <c r="D21" s="99">
        <v>0.1655459558925296</v>
      </c>
      <c r="E21" s="99">
        <v>0.1655459558925296</v>
      </c>
      <c r="F21" s="99">
        <v>0.1655459558925296</v>
      </c>
    </row>
    <row r="22" spans="1:8" ht="15.75" customHeight="1" x14ac:dyDescent="0.25">
      <c r="B22" s="19" t="s">
        <v>118</v>
      </c>
      <c r="C22" s="99">
        <v>0.21903383257052109</v>
      </c>
      <c r="D22" s="99">
        <v>0.21903383257052109</v>
      </c>
      <c r="E22" s="99">
        <v>0.21903383257052109</v>
      </c>
      <c r="F22" s="99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99">
        <v>8.4936790000000005E-3</v>
      </c>
    </row>
    <row r="28" spans="1:8" ht="15.75" customHeight="1" x14ac:dyDescent="0.25">
      <c r="B28" s="19" t="s">
        <v>122</v>
      </c>
      <c r="C28" s="99">
        <v>0.15420750799999999</v>
      </c>
    </row>
    <row r="29" spans="1:8" ht="15.75" customHeight="1" x14ac:dyDescent="0.25">
      <c r="B29" s="19" t="s">
        <v>105</v>
      </c>
      <c r="C29" s="99">
        <v>0.168404365</v>
      </c>
    </row>
    <row r="30" spans="1:8" ht="15.75" customHeight="1" x14ac:dyDescent="0.25">
      <c r="B30" s="19" t="s">
        <v>4</v>
      </c>
      <c r="C30" s="99">
        <v>0.105568509</v>
      </c>
    </row>
    <row r="31" spans="1:8" ht="15.75" customHeight="1" x14ac:dyDescent="0.25">
      <c r="B31" s="19" t="s">
        <v>99</v>
      </c>
      <c r="C31" s="99">
        <v>0.10981025899999999</v>
      </c>
    </row>
    <row r="32" spans="1:8" ht="15.75" customHeight="1" x14ac:dyDescent="0.25">
      <c r="B32" s="19" t="s">
        <v>104</v>
      </c>
      <c r="C32" s="99">
        <v>1.8832593000000002E-2</v>
      </c>
    </row>
    <row r="33" spans="2:3" ht="15.75" customHeight="1" x14ac:dyDescent="0.25">
      <c r="B33" s="19" t="s">
        <v>119</v>
      </c>
      <c r="C33" s="99">
        <v>8.4520607999999997E-2</v>
      </c>
    </row>
    <row r="34" spans="2:3" ht="15.75" customHeight="1" x14ac:dyDescent="0.25">
      <c r="B34" s="19" t="s">
        <v>106</v>
      </c>
      <c r="C34" s="99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eVn8QhrFQawNR7uLGOFDWovoYpiJX2sioli9grBzRCmQo+5SQt6waT+2fTxOJyrXJ+dEQ7l01ZiwL78thmhgjw==" saltValue="tTDGEmljFvysbgQW57fL0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0.90827927350000015</v>
      </c>
      <c r="D14" s="54">
        <v>0.900232278725</v>
      </c>
      <c r="E14" s="54">
        <v>0.900232278725</v>
      </c>
      <c r="F14" s="54">
        <v>0.62486000702099997</v>
      </c>
      <c r="G14" s="54">
        <v>0.62486000702099997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0.45566463765020654</v>
      </c>
      <c r="D15" s="52">
        <f t="shared" si="0"/>
        <v>0.45162762935847928</v>
      </c>
      <c r="E15" s="52">
        <f t="shared" si="0"/>
        <v>0.45162762935847928</v>
      </c>
      <c r="F15" s="52">
        <f t="shared" si="0"/>
        <v>0.31347914346228822</v>
      </c>
      <c r="G15" s="52">
        <f t="shared" si="0"/>
        <v>0.31347914346228822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Zk1HptFq/7asqRV6BjiQar31BtsoCUtIWHrF0Fj9wVk0iTM9EtfxKM2ow10SSemKEn2f7sgciUWkJNHldyoSGQ==" saltValue="0tjirILieeIYaLsRKfAd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3xj2eL43dswluFJ9wp7jw+1JZY3/6EbpjR2sL2eWKjPuPbMWKsnt8eUoUW9WHdeCCFcGiTKNWHfRzQUkW12GSQ==" saltValue="aAsdkMvbtqVByaZGHomiA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ljBXhjIf79aYaXG7+ElO5TKt1+sNyB27Fkq6/YV1JkOinySPIxVZUYpmj1YdYsHDb5UvqyJ/94bJrUHW6Q6lA==" saltValue="jaIJmViASHey4YHvh5RrO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643.79004231123895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0.38130999999999998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0.73868999999999996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1.4661369499999998E-2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95935.472460000005</v>
      </c>
      <c r="C22" s="107">
        <v>95585.087790000005</v>
      </c>
      <c r="D22" s="107">
        <v>95215.541410000005</v>
      </c>
      <c r="E22" s="107">
        <v>94528.811369999996</v>
      </c>
      <c r="F22" s="107">
        <v>93532.808940000003</v>
      </c>
      <c r="G22" s="107">
        <v>92327.932209999999</v>
      </c>
      <c r="H22" s="107">
        <v>90792.587190000006</v>
      </c>
      <c r="I22" s="107">
        <v>88637.59822</v>
      </c>
      <c r="J22" s="107">
        <v>85524.114249999999</v>
      </c>
      <c r="K22" s="107">
        <v>81231.095660000006</v>
      </c>
      <c r="L22" s="107">
        <v>75422.882159999994</v>
      </c>
      <c r="M22" s="107">
        <v>67838.960309999995</v>
      </c>
      <c r="N22" s="107">
        <v>58239.989220000003</v>
      </c>
      <c r="O22" s="107">
        <v>47098.437530000003</v>
      </c>
    </row>
  </sheetData>
  <sheetProtection algorithmName="SHA-512" hashValue="gqm/xii6og1HFmzvOkNMCdXrtQxpNuGHTDDjVqb57AWVqDdztuNwZTJc1YHzn8JHPKyAvHPmg5GIOD4fY4VMOQ==" saltValue="ImS48Xuerwxl9qcMz9Uh8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zQvTdOzkl/HtTS1s1skI1MjW6rVPvGjxivm3TRAiBQ5hnWiNN1mjgkRSVzP9xwZKhHnysELeVaux2y5AyHVJvg==" saltValue="2ILsji7LnOJ96HUgRUG1a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qI/t/B0vH6cUnUNlvlTyHT4W4bteXYaiUrUhCTcnjK1vYmVj1jsL+R1HO8aRt2xNB/PEcP7iTT52W1NIx3nc/A==" saltValue="e6cy6Ti9qTHZnctri7au3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6.8747382117628364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2.1291837256908908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0.2139553248340432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0.78848199824391296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</v>
      </c>
      <c r="C9" s="96">
        <v>0.95</v>
      </c>
      <c r="D9" s="56">
        <v>0.22197642864885933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0</v>
      </c>
      <c r="C10" s="96">
        <v>0.95</v>
      </c>
      <c r="D10" s="56">
        <v>15.05101211717766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15.05101211717766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15.05101211717766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15.05101211717766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0.31330000000000002</v>
      </c>
      <c r="C14" s="96">
        <v>0.95</v>
      </c>
      <c r="D14" s="56">
        <v>2.7509100930955666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15.05101211717766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0.14499999999999999</v>
      </c>
      <c r="C16" s="96">
        <v>0.95</v>
      </c>
      <c r="D16" s="56">
        <v>2.1562548532894295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</v>
      </c>
      <c r="C17" s="96">
        <v>0.95</v>
      </c>
      <c r="D17" s="56">
        <v>0.58636119533868591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0.373</v>
      </c>
      <c r="C18" s="96">
        <v>0.95</v>
      </c>
      <c r="D18" s="56">
        <v>6.8747382117628364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0.25800000000000001</v>
      </c>
      <c r="C19" s="96">
        <v>0.95</v>
      </c>
      <c r="D19" s="56">
        <v>7.29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7.2638561333206297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6.8747382117628364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0.70900000000000007</v>
      </c>
      <c r="C23" s="96">
        <v>0.95</v>
      </c>
      <c r="D23" s="56">
        <v>4.9325180741630454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0.24025928639999999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0</v>
      </c>
      <c r="C26" s="96">
        <v>0.95</v>
      </c>
      <c r="D26" s="56">
        <v>4.4432147531692987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8.8360724993186164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0.434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0.42499999999999999</v>
      </c>
      <c r="C29" s="96">
        <v>0.95</v>
      </c>
      <c r="D29" s="56">
        <v>88.005851455993124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57.448392612859095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125.66324080233395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0.78</v>
      </c>
      <c r="C32" s="96">
        <v>0.95</v>
      </c>
      <c r="D32" s="56">
        <v>0.65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0.26800000000000002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0.51764500000000002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2.2145073762257557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5.8497136845734818</v>
      </c>
      <c r="E39" s="56" t="s">
        <v>212</v>
      </c>
      <c r="F39" s="96">
        <v>1</v>
      </c>
      <c r="G39" s="96">
        <v>1</v>
      </c>
    </row>
  </sheetData>
  <sheetProtection algorithmName="SHA-512" hashValue="25ZfvMeXii6+yOUFbx1aAy5h0VWe3JXkX9I5xL+XF23OxXEPC2qDEp1kDBvSa1pVqq4yP0ducuv2jYr/3J27JQ==" saltValue="sPy+Nn8LmFpR2yUaHPxe5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eXU/TMrFqicxxbCRzlIikd09nUN2cj7sn6y10LAdzG24oQf7W6JyOe+fSDClLR6mduk94nWSK/9JEc7W+MaMQ==" saltValue="diDrgyHsZujAXV3xehgiz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vP2UKsvUpJRVjs7T6Kzb/K6c6r/tLwg+mjt2GjHfNmn6djDJBZO2qFK7kvfaixmo8AlOLuUYu5zIDE7IUPPVQ==" saltValue="HuSfuL/EJAI0pg9C36BiO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1.8460000000000001</v>
      </c>
      <c r="C2" s="21">
        <f>'Entradas de población-año base'!C52</f>
        <v>1.8460000000000001</v>
      </c>
      <c r="D2" s="21">
        <f>'Entradas de población-año base'!C53</f>
        <v>5.3039999999999994</v>
      </c>
      <c r="E2" s="21">
        <f>'Entradas de población-año base'!C54</f>
        <v>5.8760000000000003</v>
      </c>
      <c r="F2" s="21">
        <f>'Entradas de población-año base'!C55</f>
        <v>2.8166666666666669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31PCfwXF4YaNpV5yYOya0u3TDXFH5oNlfIuCl1qL0Z7vzluzN/LAWfdyatFUnDSaJnYxyWVv5exYdSK0+v0bSg==" saltValue="N8lYF3C4/xWYgg45ak1aA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4.0276363636363638E-2</v>
      </c>
      <c r="D7" s="60">
        <f>diarrhoea_1_5mo*frac_diarrhea_severe</f>
        <v>4.0276363636363638E-2</v>
      </c>
      <c r="E7" s="60">
        <f>diarrhoea_6_11mo*frac_diarrhea_severe</f>
        <v>0.11572363636363636</v>
      </c>
      <c r="F7" s="60">
        <f>diarrhoea_12_23mo*frac_diarrhea_severe</f>
        <v>0.12820363636363638</v>
      </c>
      <c r="G7" s="60">
        <f>diarrhoea_24_59mo*frac_diarrhea_severe</f>
        <v>6.1454545454545463E-2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4.0276363636363638E-2</v>
      </c>
      <c r="D12" s="60">
        <f>diarrhoea_1_5mo*frac_diarrhea_severe</f>
        <v>4.0276363636363638E-2</v>
      </c>
      <c r="E12" s="60">
        <f>diarrhoea_6_11mo*frac_diarrhea_severe</f>
        <v>0.11572363636363636</v>
      </c>
      <c r="F12" s="60">
        <f>diarrhoea_12_23mo*frac_diarrhea_severe</f>
        <v>0.12820363636363638</v>
      </c>
      <c r="G12" s="60">
        <f>diarrhoea_24_59mo*frac_diarrhea_severe</f>
        <v>6.1454545454545463E-2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0.41799999999999998</v>
      </c>
      <c r="M24" s="60">
        <f>famplan_unmet_need</f>
        <v>0.41799999999999998</v>
      </c>
      <c r="N24" s="60">
        <f>famplan_unmet_need</f>
        <v>0.41799999999999998</v>
      </c>
      <c r="O24" s="60">
        <f>famplan_unmet_need</f>
        <v>0.41799999999999998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0.34945021790000008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0.14976437910000001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9.8217903000000023E-2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0.40256750000000008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+8Hg+EDmrJA7gePFnv3pG4hv9HmW9HLPu3EM8Qck68PUHvV4477yCBkGmcZW3y7gRKtZ0D4TAfkFC+essitSQ==" saltValue="TLHNsU3WFtMuSwsFDzAC+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od1QrGynaV6FVBNRX39wSiqmqWosjDpQhBnia4yi3c4cZbPv4XxCWZu6SC8Z2crNpee1iufm7Ffs1C4/Wo2vqQ==" saltValue="+D5JuKKvcC9kQNZS/7JKm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pauLt6bsUZuJXVvCQo90gL3gACTAmIzJnzqjSfqroczywz6oV0tHI7+UCdr6a+HQdkvnjDNaMfIakiISToNGQ==" saltValue="1Y5Ux/VWKFkxR34uveVrt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5B1yUQafUb1T7rIMjdF3uELIeLLFIPXazbwzWGJ1/ENhYxHBpgUikpt124mB5xMGVaktGugOlTs2vqeG7cPCPQ==" saltValue="p3A435TnuytATVrfkT0CX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16tORcnOmbZwYsuzc0DHXmoDlpms383FNxqdJ/RtInk1VvWRgtfrpRxU7jfz8GFXw4BlA5Vc+VyK1Enp9828Cg==" saltValue="gtEkWhoc3ivUTL1b4Jr5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LyfVwyWHfeGyJ10yco0SHXhN1fS9UBh4fbWc6/kEN/pvfWzIwRVVLbd6TUMP7vW9n1j+Y581E70ber9gjLac1g==" saltValue="e1fi8S/H9i5Dp7iNa2pMq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LyaJwNQosxvhse2RIAwN6VWB4pzjqMCPYHvLNTQz2ZXgcvJ6Thij7hjP8erW6mOv+Yd1dTpFBtEfV4NsXcgzQ==" saltValue="nlfY2eC2rXL2x7I8uny5fg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BEvs2JDn+FxjUFVfu5haSiIfG+Pkn2orh6gbhle7ugkamkXKkZe7eagF8kXhF3NVOeo6qpMLSc393/7OK68Vw==" saltValue="qGPQtMtKLaubzy0wJtju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9Xn7rOUGewpkn0MewUOAPSnHzfR4Ue5h4PlFVyeNt/G88V7JtKPaGa6Ovu68knPDZg8S9lOjH1wh9wytjSQ55A==" saltValue="0rr2fwGvGB8637wvV8p2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OI1hSMjx5U4FW7ISqIp5dphZo401cdD2O2FLfdSbXojOxIJDS64ztgV7vkn8SBuliJ60UgN4eGUtZjDfYnC5w==" saltValue="HhSivbiBbCKJpeABmM6y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f1v0YOH7zLCSRaly23Y3/iHFJK7uAOLOZuOpqjM8a1TD6b+LXIGwK5atGNdOkjnJTwlFdck829UDGjIZz7J0w==" saltValue="mpErrjtWWpjhr/oCHj5M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7om0wUCo46liJi0cjA0QZ/grGM93gpXKRRvICOn+tXzvVbwfkftEC+DACyMj2pHOIZCLOoRmYSCXd2awgfzB8g==" saltValue="CucWtIpuKm06hl7hFZ5y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iSnsf/z9hNpanm1v5W+EOBP4pxPhFN/JSXdmDE1pAptr3m8YAcroxqHYui6b6dv2QnAz2Q+bCFATDyR7QSTf0w==" saltValue="I8W7wRvEcQSOWe3hNM7dV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5s4ob5W6DmvGLNU8W9+w4dSQw1AIDo7ujpRqd681rbW1s9qnThYroWi2Ksfiwz3+sCQII9try20ZL5+td39Bhw==" saltValue="QycxOsQOFOUwtPxQmoox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McARkp9VSv2XAAxrtbiaD4DygzIzBZHc5ILzBVF/Cdi3n4TmQAgFr5vEMgvWVI+uHG7HUZfkRZl//l2aBmPSTw==" saltValue="2I5TogyySwYfHUyh+GHUk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2025-07-29T23:56:45Z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