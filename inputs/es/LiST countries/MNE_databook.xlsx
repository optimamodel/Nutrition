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0A8B797C-2940-4ECE-950B-D3ABAC555542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<sst xmlns="http://schemas.openxmlformats.org/spreadsheetml/2006/main" count="2102" uniqueCount="341">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</sst>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33985.198974609397</v>
      </c>
    </row>
    <row r="8" spans="1:3" ht="15" customHeight="1" x14ac:dyDescent="0.25">
      <c r="B8" s="5" t="s">
        <v>44</v>
      </c>
      <c r="C8" s="44">
        <v>1.7000000000000001E-2</v>
      </c>
    </row>
    <row r="9" spans="1:3" ht="15" customHeight="1" x14ac:dyDescent="0.25">
      <c r="B9" s="5" t="s">
        <v>43</v>
      </c>
      <c r="C9" s="45">
        <v>0.01</v>
      </c>
    </row>
    <row r="10" spans="1:3" ht="15" customHeight="1" x14ac:dyDescent="0.25">
      <c r="B10" s="5" t="s">
        <v>56</v>
      </c>
      <c r="C10" s="45">
        <v>0.89240097045898392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0.65900000000000003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3.6700000000000003E-2</v>
      </c>
    </row>
    <row r="24" spans="1:3" ht="15" customHeight="1" x14ac:dyDescent="0.25">
      <c r="B24" s="15" t="s">
        <v>46</v>
      </c>
      <c r="C24" s="45">
        <v>0.53120000000000001</v>
      </c>
    </row>
    <row r="25" spans="1:3" ht="15" customHeight="1" x14ac:dyDescent="0.25">
      <c r="B25" s="15" t="s">
        <v>47</v>
      </c>
      <c r="C25" s="45">
        <v>0.40350000000000003</v>
      </c>
    </row>
    <row r="26" spans="1:3" ht="15" customHeight="1" x14ac:dyDescent="0.25">
      <c r="B26" s="15" t="s">
        <v>48</v>
      </c>
      <c r="C26" s="45">
        <v>2.86E-2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0.443381353500297</v>
      </c>
    </row>
    <row r="30" spans="1:3" ht="14.25" customHeight="1" x14ac:dyDescent="0.25">
      <c r="B30" s="25" t="s">
        <v>63</v>
      </c>
      <c r="C30" s="99">
        <v>5.9529082105141198E-2</v>
      </c>
    </row>
    <row r="31" spans="1:3" ht="14.25" customHeight="1" x14ac:dyDescent="0.25">
      <c r="B31" s="25" t="s">
        <v>10</v>
      </c>
      <c r="C31" s="99">
        <v>6.7946136004371396E-2</v>
      </c>
    </row>
    <row r="32" spans="1:3" ht="14.25" customHeight="1" x14ac:dyDescent="0.25">
      <c r="B32" s="25" t="s">
        <v>11</v>
      </c>
      <c r="C32" s="99">
        <v>0.42914342839018998</v>
      </c>
    </row>
    <row r="33" spans="1:5" ht="13" customHeight="1" x14ac:dyDescent="0.25">
      <c r="B33" s="27" t="s">
        <v>60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0.96101999999999999</v>
      </c>
    </row>
    <row r="38" spans="1:5" ht="15" customHeight="1" x14ac:dyDescent="0.25">
      <c r="B38" s="11" t="s">
        <v>35</v>
      </c>
      <c r="C38" s="43">
        <v>1.9053599999999999</v>
      </c>
      <c r="D38" s="12"/>
      <c r="E38" s="13"/>
    </row>
    <row r="39" spans="1:5" ht="15" customHeight="1" x14ac:dyDescent="0.25">
      <c r="B39" s="11" t="s">
        <v>61</v>
      </c>
      <c r="C39" s="43">
        <v>2.26294</v>
      </c>
      <c r="D39" s="12"/>
      <c r="E39" s="12"/>
    </row>
    <row r="40" spans="1:5" ht="15" customHeight="1" x14ac:dyDescent="0.25">
      <c r="B40" s="11" t="s">
        <v>36</v>
      </c>
      <c r="C40" s="100">
        <v>0.06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3.3729499999999999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5.9347000000000002E-3</v>
      </c>
      <c r="D45" s="12"/>
    </row>
    <row r="46" spans="1:5" ht="15.75" customHeight="1" x14ac:dyDescent="0.25">
      <c r="B46" s="11" t="s">
        <v>51</v>
      </c>
      <c r="C46" s="45">
        <v>6.3767500000000005E-2</v>
      </c>
      <c r="D46" s="12"/>
    </row>
    <row r="47" spans="1:5" ht="15.75" customHeight="1" x14ac:dyDescent="0.25">
      <c r="B47" s="11" t="s">
        <v>59</v>
      </c>
      <c r="C47" s="45">
        <v>7.53577E-2</v>
      </c>
      <c r="D47" s="12"/>
      <c r="E47" s="13"/>
    </row>
    <row r="48" spans="1:5" ht="15" customHeight="1" x14ac:dyDescent="0.25">
      <c r="B48" s="11" t="s">
        <v>58</v>
      </c>
      <c r="C48" s="46">
        <v>0.85494009999999998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2.8</v>
      </c>
      <c r="D51" s="12"/>
    </row>
    <row r="52" spans="1:4" ht="15" customHeight="1" x14ac:dyDescent="0.25">
      <c r="B52" s="11" t="s">
        <v>13</v>
      </c>
      <c r="C52" s="100">
        <v>2.8</v>
      </c>
    </row>
    <row r="53" spans="1:4" ht="15.75" customHeight="1" x14ac:dyDescent="0.25">
      <c r="B53" s="11" t="s">
        <v>16</v>
      </c>
      <c r="C53" s="100">
        <v>2.8</v>
      </c>
    </row>
    <row r="54" spans="1:4" ht="15.75" customHeight="1" x14ac:dyDescent="0.25">
      <c r="B54" s="11" t="s">
        <v>14</v>
      </c>
      <c r="C54" s="100">
        <v>2.8</v>
      </c>
    </row>
    <row r="55" spans="1:4" ht="15.75" customHeight="1" x14ac:dyDescent="0.25">
      <c r="B55" s="11" t="s">
        <v>15</v>
      </c>
      <c r="C55" s="100">
        <v>2.8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1.6428571428571431E-2</v>
      </c>
    </row>
    <row r="59" spans="1:4" ht="15.75" customHeight="1" x14ac:dyDescent="0.25">
      <c r="B59" s="11" t="s">
        <v>40</v>
      </c>
      <c r="C59" s="45">
        <v>0.62463999999999997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5.4530763999999898E-2</v>
      </c>
    </row>
    <row r="63" spans="1:4" ht="15.75" customHeight="1" x14ac:dyDescent="0.3">
      <c r="A63" s="4"/>
    </row>
  </sheetData>
  <sheetProtection algorithmName="SHA-512" hashValue="14xxMn9Q7ssuxn4incxXEfi7MwyBUSIoXBnozWtqiQz0JAyK1BDrXZJgqr0emR2WvznFyhL+rQSAfo4WlOYXOA==" saltValue="Jls9Yhkwl3QwaoShMpXN/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6707</v>
      </c>
      <c r="C2" s="49">
        <v>22235.5</v>
      </c>
      <c r="D2" s="49">
        <v>39059.5</v>
      </c>
      <c r="E2" s="49">
        <v>41160.5</v>
      </c>
      <c r="F2" s="49">
        <v>39869</v>
      </c>
      <c r="G2" s="17">
        <f t="shared" ref="G2:G13" si="0">C2+D2+E2+F2</f>
        <v>142324.5</v>
      </c>
      <c r="H2" s="17">
        <f t="shared" ref="H2:H13" si="1">(B2 + stillbirth*B2/(1000-stillbirth))/(1-abortion)</f>
        <v>7647.3851568557257</v>
      </c>
      <c r="I2" s="17">
        <f t="shared" ref="I2:I13" si="2">G2-H2</f>
        <v>134677.11484314429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6635</v>
      </c>
      <c r="C3" s="50">
        <v>22376</v>
      </c>
      <c r="D3" s="50">
        <v>38399.5</v>
      </c>
      <c r="E3" s="50">
        <v>40790.5</v>
      </c>
      <c r="F3" s="50">
        <v>40054</v>
      </c>
      <c r="G3" s="17">
        <f t="shared" si="0"/>
        <v>141620</v>
      </c>
      <c r="H3" s="17">
        <f t="shared" si="1"/>
        <v>7565.2900724225046</v>
      </c>
      <c r="I3" s="17">
        <f t="shared" si="2"/>
        <v>134054.7099275775</v>
      </c>
    </row>
    <row r="4" spans="1:9" ht="15.75" customHeight="1" x14ac:dyDescent="0.25">
      <c r="A4" s="5">
        <f t="shared" si="3"/>
        <v>2026</v>
      </c>
      <c r="B4" s="49">
        <v>6568</v>
      </c>
      <c r="C4" s="50">
        <v>22428.5</v>
      </c>
      <c r="D4" s="50">
        <v>37717</v>
      </c>
      <c r="E4" s="50">
        <v>40484.5</v>
      </c>
      <c r="F4" s="50">
        <v>40091.5</v>
      </c>
      <c r="G4" s="17">
        <f t="shared" si="0"/>
        <v>140721.5</v>
      </c>
      <c r="H4" s="17">
        <f t="shared" si="1"/>
        <v>7488.8960355193685</v>
      </c>
      <c r="I4" s="17">
        <f t="shared" si="2"/>
        <v>133232.60396448063</v>
      </c>
    </row>
    <row r="5" spans="1:9" ht="15.75" customHeight="1" x14ac:dyDescent="0.25">
      <c r="A5" s="5">
        <f t="shared" si="3"/>
        <v>2027</v>
      </c>
      <c r="B5" s="49">
        <v>6472</v>
      </c>
      <c r="C5" s="50">
        <v>22437</v>
      </c>
      <c r="D5" s="50">
        <v>37285</v>
      </c>
      <c r="E5" s="50">
        <v>40088.5</v>
      </c>
      <c r="F5" s="50">
        <v>39988.5</v>
      </c>
      <c r="G5" s="17">
        <f t="shared" si="0"/>
        <v>139799</v>
      </c>
      <c r="H5" s="17">
        <f t="shared" si="1"/>
        <v>7379.4359229417405</v>
      </c>
      <c r="I5" s="17">
        <f t="shared" si="2"/>
        <v>132419.56407705825</v>
      </c>
    </row>
    <row r="6" spans="1:9" ht="15.75" customHeight="1" x14ac:dyDescent="0.25">
      <c r="A6" s="5">
        <f t="shared" si="3"/>
        <v>2028</v>
      </c>
      <c r="B6" s="49">
        <v>6423</v>
      </c>
      <c r="C6" s="50">
        <v>22315.5</v>
      </c>
      <c r="D6" s="50">
        <v>37078.5</v>
      </c>
      <c r="E6" s="50">
        <v>39735</v>
      </c>
      <c r="F6" s="50">
        <v>39767</v>
      </c>
      <c r="G6" s="17">
        <f t="shared" si="0"/>
        <v>138896</v>
      </c>
      <c r="H6" s="17">
        <f t="shared" si="1"/>
        <v>7323.5656571469099</v>
      </c>
      <c r="I6" s="17">
        <f t="shared" si="2"/>
        <v>131572.43434285308</v>
      </c>
    </row>
    <row r="7" spans="1:9" ht="15.75" customHeight="1" x14ac:dyDescent="0.25">
      <c r="A7" s="5">
        <f t="shared" si="3"/>
        <v>2029</v>
      </c>
      <c r="B7" s="49">
        <v>6367</v>
      </c>
      <c r="C7" s="50">
        <v>22093.5</v>
      </c>
      <c r="D7" s="50">
        <v>37029.499999999993</v>
      </c>
      <c r="E7" s="50">
        <v>39466.5</v>
      </c>
      <c r="F7" s="50">
        <v>39417.5</v>
      </c>
      <c r="G7" s="17">
        <f t="shared" si="0"/>
        <v>138007</v>
      </c>
      <c r="H7" s="17">
        <f t="shared" si="1"/>
        <v>7259.7139248099602</v>
      </c>
      <c r="I7" s="17">
        <f t="shared" si="2"/>
        <v>130747.28607519004</v>
      </c>
    </row>
    <row r="8" spans="1:9" ht="15.75" customHeight="1" x14ac:dyDescent="0.25">
      <c r="A8" s="5">
        <f t="shared" si="3"/>
        <v>2030</v>
      </c>
      <c r="B8" s="49">
        <v>6309</v>
      </c>
      <c r="C8" s="50">
        <v>21839.5</v>
      </c>
      <c r="D8" s="50">
        <v>37011.5</v>
      </c>
      <c r="E8" s="50">
        <v>39284</v>
      </c>
      <c r="F8" s="50">
        <v>38901.5</v>
      </c>
      <c r="G8" s="17">
        <f t="shared" si="0"/>
        <v>137036.5</v>
      </c>
      <c r="H8" s="17">
        <f t="shared" si="1"/>
        <v>7193.5817734609764</v>
      </c>
      <c r="I8" s="17">
        <f t="shared" si="2"/>
        <v>129842.91822653903</v>
      </c>
    </row>
    <row r="9" spans="1:9" ht="15.75" customHeight="1" x14ac:dyDescent="0.25">
      <c r="A9" s="5">
        <f t="shared" si="3"/>
        <v>2031</v>
      </c>
      <c r="B9" s="49">
        <v>6252</v>
      </c>
      <c r="C9" s="50">
        <v>21779</v>
      </c>
      <c r="D9" s="50">
        <v>36740.5</v>
      </c>
      <c r="E9" s="50">
        <v>39203.5</v>
      </c>
      <c r="F9" s="50">
        <v>38313.5</v>
      </c>
      <c r="G9" s="17">
        <f t="shared" si="0"/>
        <v>136036.5</v>
      </c>
      <c r="H9" s="17">
        <f t="shared" si="1"/>
        <v>7128.5898316180101</v>
      </c>
      <c r="I9" s="17">
        <f t="shared" si="2"/>
        <v>128907.91016838199</v>
      </c>
    </row>
    <row r="10" spans="1:9" ht="15.75" customHeight="1" x14ac:dyDescent="0.25">
      <c r="A10" s="5">
        <f t="shared" si="3"/>
        <v>2032</v>
      </c>
      <c r="B10" s="49">
        <v>6195</v>
      </c>
      <c r="C10" s="50">
        <v>21794.5</v>
      </c>
      <c r="D10" s="50">
        <v>36358.5</v>
      </c>
      <c r="E10" s="50">
        <v>38978.5</v>
      </c>
      <c r="F10" s="50">
        <v>37650.5</v>
      </c>
      <c r="G10" s="17">
        <f t="shared" si="0"/>
        <v>134782</v>
      </c>
      <c r="H10" s="17">
        <f t="shared" si="1"/>
        <v>7063.5978897750438</v>
      </c>
      <c r="I10" s="17">
        <f t="shared" si="2"/>
        <v>127718.40211022495</v>
      </c>
    </row>
    <row r="11" spans="1:9" ht="15.75" customHeight="1" x14ac:dyDescent="0.25">
      <c r="A11" s="5">
        <f t="shared" si="3"/>
        <v>2033</v>
      </c>
      <c r="B11" s="49">
        <v>6131</v>
      </c>
      <c r="C11" s="50">
        <v>21690</v>
      </c>
      <c r="D11" s="50">
        <v>36137.5</v>
      </c>
      <c r="E11" s="50">
        <v>38632</v>
      </c>
      <c r="F11" s="50">
        <v>37030.5</v>
      </c>
      <c r="G11" s="17">
        <f t="shared" si="0"/>
        <v>133490</v>
      </c>
      <c r="H11" s="17">
        <f t="shared" si="1"/>
        <v>6990.6244813899593</v>
      </c>
      <c r="I11" s="17">
        <f t="shared" si="2"/>
        <v>126499.37551861005</v>
      </c>
    </row>
    <row r="12" spans="1:9" ht="15.75" customHeight="1" x14ac:dyDescent="0.25">
      <c r="A12" s="5">
        <f t="shared" si="3"/>
        <v>2034</v>
      </c>
      <c r="B12" s="49">
        <v>6098</v>
      </c>
      <c r="C12" s="50">
        <v>21478.5</v>
      </c>
      <c r="D12" s="50">
        <v>36082.5</v>
      </c>
      <c r="E12" s="50">
        <v>38195.5</v>
      </c>
      <c r="F12" s="50">
        <v>36536</v>
      </c>
      <c r="G12" s="17">
        <f t="shared" si="0"/>
        <v>132292.5</v>
      </c>
      <c r="H12" s="17">
        <f t="shared" si="1"/>
        <v>6952.9975676913991</v>
      </c>
      <c r="I12" s="17">
        <f t="shared" si="2"/>
        <v>125339.5024323086</v>
      </c>
    </row>
    <row r="13" spans="1:9" ht="15.75" customHeight="1" x14ac:dyDescent="0.25">
      <c r="A13" s="5">
        <f t="shared" si="3"/>
        <v>2035</v>
      </c>
      <c r="B13" s="49">
        <v>6050</v>
      </c>
      <c r="C13" s="50">
        <v>21190</v>
      </c>
      <c r="D13" s="50">
        <v>36149.5</v>
      </c>
      <c r="E13" s="50">
        <v>37539</v>
      </c>
      <c r="F13" s="50">
        <v>36097</v>
      </c>
      <c r="G13" s="17">
        <f t="shared" si="0"/>
        <v>130975.5</v>
      </c>
      <c r="H13" s="17">
        <f t="shared" si="1"/>
        <v>6898.2675114025851</v>
      </c>
      <c r="I13" s="17">
        <f t="shared" si="2"/>
        <v>124077.23248859741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/SiTH9uulkLtAie6GaCC0ymVHCCi/2gDKKRKUWB2PamopnpEaf9hllT73jCUjUcJkEt9o6UbUzxZETzI5hSuWw==" saltValue="a9TLT8ArA/hYmSY9+wWet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0</v>
      </c>
    </row>
    <row r="4" spans="1:8" ht="15.75" customHeight="1" x14ac:dyDescent="0.25">
      <c r="B4" s="19" t="s">
        <v>97</v>
      </c>
      <c r="C4" s="101">
        <v>3.4142703414270288E-2</v>
      </c>
    </row>
    <row r="5" spans="1:8" ht="15.75" customHeight="1" x14ac:dyDescent="0.25">
      <c r="B5" s="19" t="s">
        <v>95</v>
      </c>
      <c r="C5" s="101">
        <v>3.795040379504043E-2</v>
      </c>
    </row>
    <row r="6" spans="1:8" ht="15.75" customHeight="1" x14ac:dyDescent="0.25">
      <c r="B6" s="19" t="s">
        <v>91</v>
      </c>
      <c r="C6" s="101">
        <v>0.4935597493559748</v>
      </c>
    </row>
    <row r="7" spans="1:8" ht="15.75" customHeight="1" x14ac:dyDescent="0.25">
      <c r="B7" s="19" t="s">
        <v>96</v>
      </c>
      <c r="C7" s="101">
        <v>0.35620743562074381</v>
      </c>
    </row>
    <row r="8" spans="1:8" ht="15.75" customHeight="1" x14ac:dyDescent="0.25">
      <c r="B8" s="19" t="s">
        <v>98</v>
      </c>
      <c r="C8" s="101">
        <v>0</v>
      </c>
    </row>
    <row r="9" spans="1:8" ht="15.75" customHeight="1" x14ac:dyDescent="0.25">
      <c r="B9" s="19" t="s">
        <v>92</v>
      </c>
      <c r="C9" s="101">
        <v>7.3214107321410649E-2</v>
      </c>
    </row>
    <row r="10" spans="1:8" ht="15.75" customHeight="1" x14ac:dyDescent="0.25">
      <c r="B10" s="19" t="s">
        <v>94</v>
      </c>
      <c r="C10" s="101">
        <v>4.9256004925600444E-3</v>
      </c>
    </row>
    <row r="11" spans="1:8" ht="15.75" customHeight="1" x14ac:dyDescent="0.25">
      <c r="B11" s="27" t="s">
        <v>60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0</v>
      </c>
      <c r="D14" s="55">
        <v>0</v>
      </c>
      <c r="E14" s="55">
        <v>0</v>
      </c>
      <c r="F14" s="55">
        <v>0</v>
      </c>
    </row>
    <row r="15" spans="1:8" ht="15.75" customHeight="1" x14ac:dyDescent="0.25">
      <c r="B15" s="19" t="s">
        <v>102</v>
      </c>
      <c r="C15" s="101">
        <v>0.28262021445446389</v>
      </c>
      <c r="D15" s="101">
        <v>0.28262021445446389</v>
      </c>
      <c r="E15" s="101">
        <v>0.28262021445446389</v>
      </c>
      <c r="F15" s="101">
        <v>0.28262021445446389</v>
      </c>
    </row>
    <row r="16" spans="1:8" ht="15.75" customHeight="1" x14ac:dyDescent="0.25">
      <c r="B16" s="19" t="s">
        <v>2</v>
      </c>
      <c r="C16" s="101">
        <v>0.1449917491390243</v>
      </c>
      <c r="D16" s="101">
        <v>0.1449917491390243</v>
      </c>
      <c r="E16" s="101">
        <v>0.1449917491390243</v>
      </c>
      <c r="F16" s="101">
        <v>0.1449917491390243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101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79</v>
      </c>
      <c r="C20" s="101">
        <v>1.370030254797487E-2</v>
      </c>
      <c r="D20" s="101">
        <v>1.370030254797487E-2</v>
      </c>
      <c r="E20" s="101">
        <v>1.370030254797487E-2</v>
      </c>
      <c r="F20" s="101">
        <v>1.370030254797487E-2</v>
      </c>
    </row>
    <row r="21" spans="1:8" ht="15.75" customHeight="1" x14ac:dyDescent="0.25">
      <c r="B21" s="19" t="s">
        <v>88</v>
      </c>
      <c r="C21" s="101">
        <v>0.25732604138176512</v>
      </c>
      <c r="D21" s="101">
        <v>0.25732604138176512</v>
      </c>
      <c r="E21" s="101">
        <v>0.25732604138176512</v>
      </c>
      <c r="F21" s="101">
        <v>0.25732604138176512</v>
      </c>
    </row>
    <row r="22" spans="1:8" ht="15.75" customHeight="1" x14ac:dyDescent="0.25">
      <c r="B22" s="19" t="s">
        <v>99</v>
      </c>
      <c r="C22" s="101">
        <v>0.3013616924767718</v>
      </c>
      <c r="D22" s="101">
        <v>0.3013616924767718</v>
      </c>
      <c r="E22" s="101">
        <v>0.3013616924767718</v>
      </c>
      <c r="F22" s="101">
        <v>0.3013616924767718</v>
      </c>
    </row>
    <row r="23" spans="1:8" ht="15.75" customHeight="1" x14ac:dyDescent="0.25">
      <c r="B23" s="27" t="s">
        <v>60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4.1039101000000001E-2</v>
      </c>
    </row>
    <row r="27" spans="1:8" ht="15.75" customHeight="1" x14ac:dyDescent="0.25">
      <c r="B27" s="19" t="s">
        <v>89</v>
      </c>
      <c r="C27" s="101">
        <v>0.311955555</v>
      </c>
    </row>
    <row r="28" spans="1:8" ht="15.75" customHeight="1" x14ac:dyDescent="0.25">
      <c r="B28" s="19" t="s">
        <v>103</v>
      </c>
      <c r="C28" s="101">
        <v>7.1433338999999998E-2</v>
      </c>
    </row>
    <row r="29" spans="1:8" ht="15.75" customHeight="1" x14ac:dyDescent="0.25">
      <c r="B29" s="19" t="s">
        <v>86</v>
      </c>
      <c r="C29" s="101">
        <v>8.7817816000000007E-2</v>
      </c>
    </row>
    <row r="30" spans="1:8" ht="15.75" customHeight="1" x14ac:dyDescent="0.25">
      <c r="B30" s="19" t="s">
        <v>4</v>
      </c>
      <c r="C30" s="101">
        <v>4.5304205E-2</v>
      </c>
    </row>
    <row r="31" spans="1:8" ht="15.75" customHeight="1" x14ac:dyDescent="0.25">
      <c r="B31" s="19" t="s">
        <v>80</v>
      </c>
      <c r="C31" s="101">
        <v>6.0519333000000002E-2</v>
      </c>
    </row>
    <row r="32" spans="1:8" ht="15.75" customHeight="1" x14ac:dyDescent="0.25">
      <c r="B32" s="19" t="s">
        <v>85</v>
      </c>
      <c r="C32" s="101">
        <v>0.111584815</v>
      </c>
    </row>
    <row r="33" spans="2:3" ht="15.75" customHeight="1" x14ac:dyDescent="0.25">
      <c r="B33" s="19" t="s">
        <v>100</v>
      </c>
      <c r="C33" s="101">
        <v>0.13530931600000001</v>
      </c>
    </row>
    <row r="34" spans="2:3" ht="15.75" customHeight="1" x14ac:dyDescent="0.25">
      <c r="B34" s="19" t="s">
        <v>87</v>
      </c>
      <c r="C34" s="101">
        <v>0.13503651999999999</v>
      </c>
    </row>
    <row r="35" spans="2:3" ht="15.75" customHeight="1" x14ac:dyDescent="0.25">
      <c r="B35" s="27" t="s">
        <v>60</v>
      </c>
      <c r="C35" s="48">
        <f>SUM(C26:C34)</f>
        <v>1</v>
      </c>
    </row>
  </sheetData>
  <sheetProtection algorithmName="SHA-512" hashValue="Wt6Fw0Klw0y2OuxoTCbIMW85TCAOcOVkuin3otgKBDdZhEUn/rSy1zw53gsRCVV1VcGuKZbhc8pJfmBvGGDhUg==" saltValue="kYl8G5eYyJ+zzuoru+f/1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0.73379732410774468</v>
      </c>
      <c r="D2" s="52">
        <f>IFERROR(1-_xlfn.NORM.DIST(_xlfn.NORM.INV(SUM(D4:D5), 0, 1) + 1, 0, 1, TRUE), "")</f>
        <v>0.73379732410774468</v>
      </c>
      <c r="E2" s="52">
        <f>IFERROR(1-_xlfn.NORM.DIST(_xlfn.NORM.INV(SUM(E4:E5), 0, 1) + 1, 0, 1, TRUE), "")</f>
        <v>0.84971398857514879</v>
      </c>
      <c r="F2" s="52">
        <f>IFERROR(1-_xlfn.NORM.DIST(_xlfn.NORM.INV(SUM(F4:F5), 0, 1) + 1, 0, 1, TRUE), "")</f>
        <v>0.51602508714629003</v>
      </c>
      <c r="G2" s="52">
        <f>IFERROR(1-_xlfn.NORM.DIST(_xlfn.NORM.INV(SUM(G4:G5), 0, 1) + 1, 0, 1, TRUE), "")</f>
        <v>0.70998917774218107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0.21405087589225538</v>
      </c>
      <c r="D3" s="52">
        <f>IFERROR(_xlfn.NORM.DIST(_xlfn.NORM.INV(SUM(D4:D5), 0, 1) + 1, 0, 1, TRUE) - SUM(D4:D5), "")</f>
        <v>0.21405087589225538</v>
      </c>
      <c r="E3" s="52">
        <f>IFERROR(_xlfn.NORM.DIST(_xlfn.NORM.INV(SUM(E4:E5), 0, 1) + 1, 0, 1, TRUE) - SUM(E4:E5), "")</f>
        <v>0.12937101142485125</v>
      </c>
      <c r="F3" s="52">
        <f>IFERROR(_xlfn.NORM.DIST(_xlfn.NORM.INV(SUM(F4:F5), 0, 1) + 1, 0, 1, TRUE) - SUM(F4:F5), "")</f>
        <v>0.33484671285370993</v>
      </c>
      <c r="G3" s="52">
        <f>IFERROR(_xlfn.NORM.DIST(_xlfn.NORM.INV(SUM(G4:G5), 0, 1) + 1, 0, 1, TRUE) - SUM(G4:G5), "")</f>
        <v>0.22984142225781892</v>
      </c>
    </row>
    <row r="4" spans="1:15" ht="15.75" customHeight="1" x14ac:dyDescent="0.25">
      <c r="B4" s="5" t="s">
        <v>110</v>
      </c>
      <c r="C4" s="45">
        <v>2.89261E-2</v>
      </c>
      <c r="D4" s="53">
        <v>2.89261E-2</v>
      </c>
      <c r="E4" s="53">
        <v>4.0536000000000001E-3</v>
      </c>
      <c r="F4" s="53">
        <v>2.2028599999999999E-2</v>
      </c>
      <c r="G4" s="53">
        <v>5.1829600000000003E-2</v>
      </c>
    </row>
    <row r="5" spans="1:15" ht="15.75" customHeight="1" x14ac:dyDescent="0.25">
      <c r="B5" s="5" t="s">
        <v>106</v>
      </c>
      <c r="C5" s="45">
        <v>2.3225699999999998E-2</v>
      </c>
      <c r="D5" s="53">
        <v>2.3225699999999998E-2</v>
      </c>
      <c r="E5" s="53">
        <v>1.6861399999999999E-2</v>
      </c>
      <c r="F5" s="53">
        <v>0.12709960000000001</v>
      </c>
      <c r="G5" s="53">
        <v>8.3398000000000014E-3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0.62194306958466594</v>
      </c>
      <c r="D8" s="52">
        <f>IFERROR(1-_xlfn.NORM.DIST(_xlfn.NORM.INV(SUM(D10:D11), 0, 1) + 1, 0, 1, TRUE), "")</f>
        <v>0.62194306958466594</v>
      </c>
      <c r="E8" s="52">
        <f>IFERROR(1-_xlfn.NORM.DIST(_xlfn.NORM.INV(SUM(E10:E11), 0, 1) + 1, 0, 1, TRUE), "")</f>
        <v>0.78668978038263804</v>
      </c>
      <c r="F8" s="52">
        <f>IFERROR(1-_xlfn.NORM.DIST(_xlfn.NORM.INV(SUM(F10:F11), 0, 1) + 1, 0, 1, TRUE), "")</f>
        <v>0.91254295194752388</v>
      </c>
      <c r="G8" s="52">
        <f>IFERROR(1-_xlfn.NORM.DIST(_xlfn.NORM.INV(SUM(G10:G11), 0, 1) + 1, 0, 1, TRUE), "")</f>
        <v>0.88141686201740033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0.28305843041533413</v>
      </c>
      <c r="D9" s="52">
        <f>IFERROR(_xlfn.NORM.DIST(_xlfn.NORM.INV(SUM(D10:D11), 0, 1) + 1, 0, 1, TRUE) - SUM(D10:D11), "")</f>
        <v>0.28305843041533413</v>
      </c>
      <c r="E9" s="52">
        <f>IFERROR(_xlfn.NORM.DIST(_xlfn.NORM.INV(SUM(E10:E11), 0, 1) + 1, 0, 1, TRUE) - SUM(E10:E11), "")</f>
        <v>0.17698241961736197</v>
      </c>
      <c r="F9" s="52">
        <f>IFERROR(_xlfn.NORM.DIST(_xlfn.NORM.INV(SUM(F10:F11), 0, 1) + 1, 0, 1, TRUE) - SUM(F10:F11), "")</f>
        <v>7.8235048052476164E-2</v>
      </c>
      <c r="G9" s="52">
        <f>IFERROR(_xlfn.NORM.DIST(_xlfn.NORM.INV(SUM(G10:G11), 0, 1) + 1, 0, 1, TRUE) - SUM(G10:G11), "")</f>
        <v>0.10403203798259969</v>
      </c>
    </row>
    <row r="10" spans="1:15" ht="15.75" customHeight="1" x14ac:dyDescent="0.25">
      <c r="B10" s="5" t="s">
        <v>107</v>
      </c>
      <c r="C10" s="45">
        <v>7.9534300000000002E-2</v>
      </c>
      <c r="D10" s="53">
        <v>7.9534300000000002E-2</v>
      </c>
      <c r="E10" s="53">
        <v>3.63278E-2</v>
      </c>
      <c r="F10" s="53">
        <v>0</v>
      </c>
      <c r="G10" s="53">
        <v>1.0352800000000001E-2</v>
      </c>
    </row>
    <row r="11" spans="1:15" ht="15.75" customHeight="1" x14ac:dyDescent="0.25">
      <c r="B11" s="5" t="s">
        <v>119</v>
      </c>
      <c r="C11" s="45">
        <v>1.5464200000000001E-2</v>
      </c>
      <c r="D11" s="53">
        <v>1.5464200000000001E-2</v>
      </c>
      <c r="E11" s="53">
        <v>0</v>
      </c>
      <c r="F11" s="53">
        <v>9.222000000000001E-3</v>
      </c>
      <c r="G11" s="53">
        <v>4.1982999999999994E-3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0.38283535024999998</v>
      </c>
      <c r="D14" s="54">
        <v>0.38541007546400002</v>
      </c>
      <c r="E14" s="54">
        <v>0.38541007546400002</v>
      </c>
      <c r="F14" s="54">
        <v>0.17029895451300001</v>
      </c>
      <c r="G14" s="54">
        <v>0.17029895451300001</v>
      </c>
      <c r="H14" s="45">
        <v>0.27200000000000002</v>
      </c>
      <c r="I14" s="55">
        <v>0.27200000000000002</v>
      </c>
      <c r="J14" s="55">
        <v>0.27200000000000002</v>
      </c>
      <c r="K14" s="55">
        <v>0.27200000000000002</v>
      </c>
      <c r="L14" s="45">
        <v>0.251</v>
      </c>
      <c r="M14" s="55">
        <v>0.251</v>
      </c>
      <c r="N14" s="55">
        <v>0.251</v>
      </c>
      <c r="O14" s="55">
        <v>0.251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0.23913427318015998</v>
      </c>
      <c r="D15" s="52">
        <f t="shared" si="0"/>
        <v>0.24074254953783297</v>
      </c>
      <c r="E15" s="52">
        <f t="shared" si="0"/>
        <v>0.24074254953783297</v>
      </c>
      <c r="F15" s="52">
        <f t="shared" si="0"/>
        <v>0.10637553894700032</v>
      </c>
      <c r="G15" s="52">
        <f t="shared" si="0"/>
        <v>0.10637553894700032</v>
      </c>
      <c r="H15" s="52">
        <f t="shared" si="0"/>
        <v>0.16990208000000001</v>
      </c>
      <c r="I15" s="52">
        <f t="shared" si="0"/>
        <v>0.16990208000000001</v>
      </c>
      <c r="J15" s="52">
        <f t="shared" si="0"/>
        <v>0.16990208000000001</v>
      </c>
      <c r="K15" s="52">
        <f t="shared" si="0"/>
        <v>0.16990208000000001</v>
      </c>
      <c r="L15" s="52">
        <f t="shared" si="0"/>
        <v>0.15678464</v>
      </c>
      <c r="M15" s="52">
        <f t="shared" si="0"/>
        <v>0.15678464</v>
      </c>
      <c r="N15" s="52">
        <f t="shared" si="0"/>
        <v>0.15678464</v>
      </c>
      <c r="O15" s="52">
        <f t="shared" si="0"/>
        <v>0.15678464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DinwOEUqGCYLN2DI1WDP3+Tt+NWPidAhygVbULkI6HBuAAytDt+UzpeNtdreHEHzFCZCZc5GTmwycmVkRNa5Jg==" saltValue="a9wiw/iORHvQMzJkjKJSL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0.31399870000000002</v>
      </c>
      <c r="D2" s="53">
        <v>0.17159460000000001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5.1355600000000001E-2</v>
      </c>
      <c r="D3" s="53">
        <v>0.1553949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0.4142324</v>
      </c>
      <c r="D4" s="53">
        <v>0.40510950000000001</v>
      </c>
      <c r="E4" s="53">
        <v>0.42326510000000001</v>
      </c>
      <c r="F4" s="53">
        <v>0.2488464</v>
      </c>
      <c r="G4" s="53">
        <v>0</v>
      </c>
    </row>
    <row r="5" spans="1:7" x14ac:dyDescent="0.25">
      <c r="B5" s="3" t="s">
        <v>125</v>
      </c>
      <c r="C5" s="52">
        <v>0.22041330000000001</v>
      </c>
      <c r="D5" s="52">
        <v>0.2679011</v>
      </c>
      <c r="E5" s="52">
        <f>1-SUM(E2:E4)</f>
        <v>0.57673489999999994</v>
      </c>
      <c r="F5" s="52">
        <f>1-SUM(F2:F4)</f>
        <v>0.75115359999999998</v>
      </c>
      <c r="G5" s="52">
        <f>1-SUM(G2:G4)</f>
        <v>1</v>
      </c>
    </row>
  </sheetData>
  <sheetProtection algorithmName="SHA-512" hashValue="T1K2CSaUSzWFE3zZYFyNAwEq2QJrZiBXLj6TC2wqTyXPhYQnhI0El74cK3FL6SXZjDSlUiZTb/m1L9fjFkb6sQ==" saltValue="gUkFn02zAoa9GvDN8ZieY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9p1R/O46F3LQRfLa1t+EvL8pho1l4ZE5hDUJZ5fqANnjBlAcPag5L3SFhDo+01pXBeFcyfO8bXVZ4/TOPAP5GA==" saltValue="Mi9/hqcxSfM7kD0Bkgdr1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x14ac:dyDescent="0.25">
      <c r="A2" s="8" t="s">
        <v>144</v>
      </c>
      <c r="B2" s="41">
        <v>10</v>
      </c>
    </row>
    <row r="3" spans="1:2" x14ac:dyDescent="0.25">
      <c r="A3" s="8" t="s">
        <v>143</v>
      </c>
      <c r="B3" s="41">
        <v>10</v>
      </c>
    </row>
    <row r="4" spans="1:2" x14ac:dyDescent="0.25">
      <c r="A4" s="8" t="s">
        <v>142</v>
      </c>
      <c r="B4" s="41">
        <v>10</v>
      </c>
    </row>
    <row r="5" spans="1:2" x14ac:dyDescent="0.25">
      <c r="A5" s="8" t="s">
        <v>146</v>
      </c>
      <c r="B5" s="41">
        <v>10</v>
      </c>
    </row>
    <row r="6" spans="1:2" x14ac:dyDescent="0.25">
      <c r="A6" s="8" t="s">
        <v>140</v>
      </c>
      <c r="B6" s="41">
        <v>10</v>
      </c>
    </row>
    <row r="7" spans="1:2" x14ac:dyDescent="0.25">
      <c r="A7" s="8" t="s">
        <v>141</v>
      </c>
      <c r="B7" s="41">
        <v>10</v>
      </c>
    </row>
  </sheetData>
  <sheetProtection algorithmName="SHA-512" hashValue="B5ELZsjTA33ViqKZUH6KrjdGSwox426G7+8pib1dQ/c2rveaMNNZ1Lb7/luSilWnPTbUj9kZL7k6fn8f939XxA==" saltValue="s1HG7c8UOnoBmZapAhGR6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x14ac:dyDescent="0.25">
      <c r="B10" s="32" t="s">
        <v>78</v>
      </c>
      <c r="C10" s="47"/>
      <c r="D10" s="47"/>
      <c r="E10" s="38" t="str">
        <f>IF(E$7="","",E$7)</f>
        <v/>
      </c>
    </row>
    <row r="11" spans="1:5" x14ac:dyDescent="0.25">
      <c r="B11" s="32" t="s">
        <v>74</v>
      </c>
      <c r="C11" s="47"/>
      <c r="D11" s="47"/>
      <c r="E11" s="38" t="str">
        <f>IF(E$7="","",E$7)</f>
        <v/>
      </c>
    </row>
    <row r="12" spans="1:5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fkxg/VXN+MQTc0KFNdZPaZl7luxA8sP50Tu+MEx194oehoyZZh3HTu37Re5nj/cGGZhoVmilMBa0K+W7Bnv2fA==" saltValue="o9ffK2vtBHDorsbLi1EzR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ZPCJ3wLqLIU+J/IgWKeY2FfGvH8ZTq9/Y0jf3lwTX2tUyg/27D8iLCXNK+gnN0obUVfzoNCBTHmWlzix3QonYQ==" saltValue="fdWaiG4pBTiBwNV4+IYj3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76.430830296277207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0.2403544522204</v>
      </c>
      <c r="C3" s="98">
        <v>0.95</v>
      </c>
      <c r="D3" s="56">
        <v>40.292575813137638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702.89347992688124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7.032941165257669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</v>
      </c>
      <c r="C10" s="98">
        <v>0.95</v>
      </c>
      <c r="D10" s="56">
        <v>13.42487525693355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13.42487525693355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13.42487525693355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13.42487525693355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</v>
      </c>
      <c r="C14" s="98">
        <v>0.95</v>
      </c>
      <c r="D14" s="56">
        <v>13.42487525693355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13.42487525693355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</v>
      </c>
      <c r="C16" s="98">
        <v>0.95</v>
      </c>
      <c r="D16" s="56">
        <v>1.131641056828899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0.12417602840599</v>
      </c>
      <c r="C18" s="98">
        <v>0.95</v>
      </c>
      <c r="D18" s="56">
        <v>16.11738326300533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0.97810450000000004</v>
      </c>
      <c r="C19" s="98">
        <v>0.95</v>
      </c>
      <c r="D19" s="56">
        <v>16.11738326300533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0.89577870000000004</v>
      </c>
      <c r="C21" s="98">
        <v>0.95</v>
      </c>
      <c r="D21" s="56">
        <v>70.114008769456447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23.383432158561249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4.5372725454372071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0.94096500146188011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18.854821117415401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0.73790266105588997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</v>
      </c>
      <c r="C29" s="98">
        <v>0.95</v>
      </c>
      <c r="D29" s="56">
        <v>155.6465054085146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1.36088480804361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2.472250321876178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0.66023089999999995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0.31886409999999998</v>
      </c>
      <c r="C38" s="98">
        <v>0.95</v>
      </c>
      <c r="D38" s="56">
        <v>2.134910144430378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Xm7TJY+zxsQlS9C/ZQ0crO6fFbD2Amn1E7Wf8JyH8IJkq76tyiZukVUlacY/1tl1I1y9JJotLWqFMcAbJZrsYw==" saltValue="6eIMfcIm0cDvS4BeNAsDM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x14ac:dyDescent="0.25">
      <c r="A2" s="57" t="s">
        <v>178</v>
      </c>
      <c r="B2" s="47" t="s">
        <v>191</v>
      </c>
      <c r="C2" s="47"/>
    </row>
    <row r="3" spans="1:3" x14ac:dyDescent="0.25">
      <c r="A3" s="57" t="s">
        <v>179</v>
      </c>
      <c r="B3" s="47" t="s">
        <v>191</v>
      </c>
      <c r="C3" s="47"/>
    </row>
    <row r="4" spans="1:3" x14ac:dyDescent="0.25">
      <c r="A4" s="57" t="s">
        <v>193</v>
      </c>
      <c r="B4" s="47" t="s">
        <v>184</v>
      </c>
      <c r="C4" s="47"/>
    </row>
    <row r="5" spans="1:3" x14ac:dyDescent="0.25">
      <c r="A5" s="57" t="s">
        <v>190</v>
      </c>
      <c r="B5" s="47" t="s">
        <v>184</v>
      </c>
      <c r="C5" s="47"/>
    </row>
    <row r="6" spans="1:3" x14ac:dyDescent="0.25">
      <c r="A6" s="57" t="s">
        <v>193</v>
      </c>
      <c r="B6" s="58" t="s">
        <v>204</v>
      </c>
      <c r="C6" s="58"/>
    </row>
    <row r="7" spans="1:3" x14ac:dyDescent="0.25">
      <c r="A7" s="57" t="s">
        <v>190</v>
      </c>
      <c r="B7" s="58" t="s">
        <v>204</v>
      </c>
      <c r="C7" s="58"/>
    </row>
    <row r="8" spans="1:3" x14ac:dyDescent="0.25">
      <c r="A8" s="57" t="s">
        <v>203</v>
      </c>
      <c r="B8" s="58" t="s">
        <v>204</v>
      </c>
      <c r="C8" s="58"/>
    </row>
    <row r="9" spans="1:3" x14ac:dyDescent="0.25">
      <c r="A9" s="57" t="s">
        <v>196</v>
      </c>
      <c r="B9" s="58" t="s">
        <v>204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hKP1kUnO726jiE1D+Mu6R0jOGvR74WUsjx4X3uKYtLIHG2HDTNqXUtoJyTJYjxWpMnA5ROYF2d3Ssrcy6BDiuA==" saltValue="GNAlVpGOJB/wupGJkFClY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x14ac:dyDescent="0.25">
      <c r="A2" s="33" t="s">
        <v>170</v>
      </c>
    </row>
    <row r="3" spans="1:1" x14ac:dyDescent="0.25">
      <c r="A3" s="33" t="s">
        <v>180</v>
      </c>
    </row>
    <row r="4" spans="1:1" x14ac:dyDescent="0.25">
      <c r="A4" s="33" t="s">
        <v>185</v>
      </c>
    </row>
    <row r="5" spans="1:1" x14ac:dyDescent="0.25">
      <c r="A5" s="33" t="s">
        <v>197</v>
      </c>
    </row>
    <row r="6" spans="1:1" x14ac:dyDescent="0.25">
      <c r="A6" s="33" t="s">
        <v>198</v>
      </c>
    </row>
    <row r="7" spans="1:1" x14ac:dyDescent="0.25">
      <c r="A7" s="33" t="s">
        <v>199</v>
      </c>
    </row>
    <row r="8" spans="1:1" x14ac:dyDescent="0.25">
      <c r="A8" s="33" t="s">
        <v>200</v>
      </c>
    </row>
    <row r="9" spans="1:1" x14ac:dyDescent="0.25">
      <c r="A9" s="33" t="s">
        <v>201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U7L/mS5B4Zm6YG49y7wSvRYbirgclVuakYGHKKO+OHnWIbYrD2bq8wwlAGD+Cd9z21ioHS8iyV+A/4Nq8yc58A==" saltValue="T6XEL7Vq1DpK9E2N7qBjW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2.8</v>
      </c>
      <c r="C2" s="21">
        <f>'Entradas de población-año base'!C52</f>
        <v>2.8</v>
      </c>
      <c r="D2" s="21">
        <f>'Entradas de población-año base'!C53</f>
        <v>2.8</v>
      </c>
      <c r="E2" s="21">
        <f>'Entradas de población-año base'!C54</f>
        <v>2.8</v>
      </c>
      <c r="F2" s="21">
        <f>'Entradas de población-año base'!C55</f>
        <v>2.8</v>
      </c>
    </row>
    <row r="3" spans="1:6" ht="15.75" customHeight="1" x14ac:dyDescent="0.25">
      <c r="A3" s="3" t="s">
        <v>6</v>
      </c>
      <c r="B3" s="21">
        <f>frac_mam_1month * 2.6</f>
        <v>0.20678918000000002</v>
      </c>
      <c r="C3" s="21">
        <f>frac_mam_1_5months * 2.6</f>
        <v>0.20678918000000002</v>
      </c>
      <c r="D3" s="21">
        <f>frac_mam_6_11months * 2.6</f>
        <v>9.445228E-2</v>
      </c>
      <c r="E3" s="21">
        <f>frac_mam_12_23months * 2.6</f>
        <v>0</v>
      </c>
      <c r="F3" s="21">
        <f>frac_mam_24_59months * 2.6</f>
        <v>2.6917280000000002E-2</v>
      </c>
    </row>
    <row r="4" spans="1:6" ht="15.75" customHeight="1" x14ac:dyDescent="0.25">
      <c r="A4" s="3" t="s">
        <v>207</v>
      </c>
      <c r="B4" s="21">
        <f>frac_sam_1month * 2.6</f>
        <v>4.020692E-2</v>
      </c>
      <c r="C4" s="21">
        <f>frac_sam_1_5months * 2.6</f>
        <v>4.020692E-2</v>
      </c>
      <c r="D4" s="21">
        <f>frac_sam_6_11months * 2.6</f>
        <v>0</v>
      </c>
      <c r="E4" s="21">
        <f>frac_sam_12_23months * 2.6</f>
        <v>2.3977200000000004E-2</v>
      </c>
      <c r="F4" s="21">
        <f>frac_sam_24_59months * 2.6</f>
        <v>1.0915579999999999E-2</v>
      </c>
    </row>
  </sheetData>
  <sheetProtection algorithmName="SHA-512" hashValue="NPWbnBtiKszHlYn8tO1jvoXc5YyxmeCGezB7kSE2Dc9RP1e3L1YYuq8KR86BQkAPWX01X36sk0HqKFWLAczHhA==" saltValue="oyKc6ye+K3gRZz62X5bZd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1.7000000000000001E-2</v>
      </c>
      <c r="E2" s="60">
        <f>food_insecure</f>
        <v>1.7000000000000001E-2</v>
      </c>
      <c r="F2" s="60">
        <f>food_insecure</f>
        <v>1.7000000000000001E-2</v>
      </c>
      <c r="G2" s="60">
        <f>food_insecure</f>
        <v>1.7000000000000001E-2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1.7000000000000001E-2</v>
      </c>
      <c r="F5" s="60">
        <f>food_insecure</f>
        <v>1.7000000000000001E-2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1.7000000000000001E-2</v>
      </c>
      <c r="F8" s="60">
        <f>food_insecure</f>
        <v>1.7000000000000001E-2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1.7000000000000001E-2</v>
      </c>
      <c r="F9" s="60">
        <f>food_insecure</f>
        <v>1.7000000000000001E-2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1.7000000000000001E-2</v>
      </c>
      <c r="I15" s="60">
        <f>food_insecure</f>
        <v>1.7000000000000001E-2</v>
      </c>
      <c r="J15" s="60">
        <f>food_insecure</f>
        <v>1.7000000000000001E-2</v>
      </c>
      <c r="K15" s="60">
        <f>food_insecure</f>
        <v>1.7000000000000001E-2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0.65900000000000003</v>
      </c>
      <c r="M24" s="60">
        <f>famplan_unmet_need</f>
        <v>0.65900000000000003</v>
      </c>
      <c r="N24" s="60">
        <f>famplan_unmet_need</f>
        <v>0.65900000000000003</v>
      </c>
      <c r="O24" s="60">
        <f>famplan_unmet_need</f>
        <v>0.65900000000000003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5.3107653010559308E-2</v>
      </c>
      <c r="M25" s="60">
        <f>(1-food_insecure)*(0.49)+food_insecure*(0.7)</f>
        <v>0.49357000000000001</v>
      </c>
      <c r="N25" s="60">
        <f>(1-food_insecure)*(0.49)+food_insecure*(0.7)</f>
        <v>0.49357000000000001</v>
      </c>
      <c r="O25" s="60">
        <f>(1-food_insecure)*(0.49)+food_insecure*(0.7)</f>
        <v>0.49357000000000001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2.2760422718811131E-2</v>
      </c>
      <c r="M26" s="60">
        <f>(1-food_insecure)*(0.21)+food_insecure*(0.3)</f>
        <v>0.21153</v>
      </c>
      <c r="N26" s="60">
        <f>(1-food_insecure)*(0.21)+food_insecure*(0.3)</f>
        <v>0.21153</v>
      </c>
      <c r="O26" s="60">
        <f>(1-food_insecure)*(0.21)+food_insecure*(0.3)</f>
        <v>0.21153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3.1730953811645639E-2</v>
      </c>
      <c r="M27" s="60">
        <f>(1-food_insecure)*(0.3)</f>
        <v>0.2949</v>
      </c>
      <c r="N27" s="60">
        <f>(1-food_insecure)*(0.3)</f>
        <v>0.2949</v>
      </c>
      <c r="O27" s="60">
        <f>(1-food_insecure)*(0.3)</f>
        <v>0.2949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0.89240097045898392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OLD84Bixaotu2od5ys8uE1ZeL4Hgaxbk48TdnFp476RzzzG0sRhCRcEmALXXUGKpfjjbqiA1gpKr4K1Kvq+gqg==" saltValue="wsT8wWe3AjUeybnNLv7++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nUanWCpy/ccYmzO+G3NVfAPJNL+5ipOPRHx3Jc29SZXB6eQspQAxOtTjZVrJPTwE7auwF+DH42TOQ3L14A70yQ==" saltValue="H3osg8mwENuubAYCxdAZA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yCu2Bj4JD1tILSNiqou07NasQ/7n1P5679vWprtcgbrpe/06oM5tBGPVWGa4NaCeFK2ff5M42noXgKOEWSh86g==" saltValue="PPB/l7zzGSUIwK3vVpqAi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6vp89pTtUgFvqBjoYAlVzhqy9ctsrrQyfM3bdQ7jbCu2C59b2I47qP9SFBPJBbhpPewhGzde0Owck3lRQbZ9Hg==" saltValue="SEbPNAlJeGHyFV9KtjqWF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oMhVXdNVtImb+rXvCic5BOIKq5mEwY8q4f+5h6jVQFSRUNCX/2xBzBOuTp40NNvlXAor2XTkQz7Pz/GTAX4CeQ==" saltValue="LaVUCxMofg6M69jX0SsEQ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VqwVVtNgMANR69zXlP1xgaLfQGPmcgv2ZWDieJFcl07uTqeTMKqTMtT3WHWsR6HGnibXCVwXD1Cg2uIr9U5d8A==" saltValue="oKen4sa/DWr9Cpd5/tu12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78</v>
      </c>
      <c r="C5" s="8" t="s">
        <v>150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149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74</v>
      </c>
      <c r="C8" s="8" t="s">
        <v>150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149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149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78</v>
      </c>
      <c r="C58" s="8" t="s">
        <v>150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149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74</v>
      </c>
      <c r="C61" s="8" t="s">
        <v>150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149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78</v>
      </c>
      <c r="C111" s="8" t="s">
        <v>150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149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74</v>
      </c>
      <c r="C114" s="8" t="s">
        <v>150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149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77</v>
      </c>
      <c r="C117" s="8" t="s">
        <v>150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149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75</v>
      </c>
      <c r="C120" s="8" t="s">
        <v>150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149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149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78</v>
      </c>
      <c r="C128" s="8" t="s">
        <v>150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149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74</v>
      </c>
      <c r="C131" s="8" t="s">
        <v>150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149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77</v>
      </c>
      <c r="C134" s="8" t="s">
        <v>150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149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75</v>
      </c>
      <c r="C137" s="8" t="s">
        <v>150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149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149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78</v>
      </c>
      <c r="C145" s="8" t="s">
        <v>150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149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74</v>
      </c>
      <c r="C148" s="8" t="s">
        <v>150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149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77</v>
      </c>
      <c r="C151" s="8" t="s">
        <v>150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149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75</v>
      </c>
      <c r="C154" s="8" t="s">
        <v>150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149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tffDV4f65PpZ9I79QRqEjBTNATs8AIoEfO5pZCWfiy2QEcEAE3JHSIx8mLu1kgYeoeI9DXirgxBqSHHCB4d2bQ==" saltValue="8DhqqjI/7FiuBvl4fJmWQw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ZeDTrPIXxEVyP31PpQRsdROAKXvrLKtFO8BeI7D1RaDaG5xIbQxZeV2zi65AD+JeGmIObneUvIhlMYp4T9IwnA==" saltValue="ttPqkVNEJTgsEjqcs4mXw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Hgl51cWiYk9/rqTo2hwJhkUYqdFahZa5EOvrOYXbC+p/LWW+vdaJxHxiykC4KQYVTv4VjDvFVZwl7dF61Pj+Ig==" saltValue="27kl5H7KxZBa02khvcBZ+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291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105</v>
      </c>
      <c r="B40" s="11" t="s">
        <v>298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288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293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105</v>
      </c>
      <c r="B63" s="11" t="s">
        <v>299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LQjeEC0QeGetgeC0P34vyF4lEOheudkl6OwK6PQ1wAWTlPF4o0VGYGpUnPTmiqJyKZyw5H6Uk+lH7iQ3YaN6Ug==" saltValue="vIPkRw90QuS3QmXg6p1ib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sZRG2IbHI3IGo8Pp0YYVHLihenvUeNa2qfSDbL9Vg+cmL3Fhle8Chy81Ayj7yaWrFdYMAFZRVTym3eMPznS8Bw==" saltValue="sOLmAFjqZRaqKt4JDcNfj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174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175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176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177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178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191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172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181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174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175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176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177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178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191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172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181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1UD33KvQGaVeYHnJFkHhRfMt9GQvFmS2zTmeoAztKtr9F0iOUhrno58QtvrYkS5ikRnmChHlQW7cKWFXgfaQrw==" saltValue="Z4KoKZdwTd6cuvNibnYRI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JW4cEpH/O1QJVtLBvpwIXX+QUNnX7Mxza7TZKe/gd5QDdb3RkzCJSR8HZ8NdBcjeSBw2HpzW1ahT8iuUsnCGIw==" saltValue="OeKmE026sYCJNBlHyNNId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338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338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fRflNP/lZbfBA/xHDd3Y05T1q0VvaVCIuXohu0OUWyGTaGrBaofCIXJPBC0aXymxrvREeT3/yxgnUwTosIaTUQ==" saltValue="xfRly13I0HNHIGG+YdOhk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AdiOXh5tDFH/WD94cJxfSu2qGn/UZxxFDcNjDkWx1cgc/tgGZ3O8K5khycCjNk+o6Hg0VO/fZKrsBbvzYSjfSw==" saltValue="gAPh+eRTMyP/qbncSt70Q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2024-05-16T23:48:24Z</dcterms:modified>
</cp:coreProperties>
</file>