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C5FFF27C-79BF-47FE-82B6-CA20FFC065F0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3" i="2"/>
  <c r="I3" i="2"/>
  <c r="I7" i="2"/>
  <c r="I11" i="2"/>
  <c r="A31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<sst xmlns="http://schemas.openxmlformats.org/spreadsheetml/2006/main" count="2159" uniqueCount="372">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</sst>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35581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0.89240097045898392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3.6700000000000003E-2</v>
      </c>
    </row>
    <row r="24" spans="1:3" ht="15" customHeight="1" x14ac:dyDescent="0.25">
      <c r="B24" s="15" t="s">
        <v>65</v>
      </c>
      <c r="C24" s="45">
        <v>0.53120000000000001</v>
      </c>
    </row>
    <row r="25" spans="1:3" ht="15" customHeight="1" x14ac:dyDescent="0.25">
      <c r="B25" s="15" t="s">
        <v>66</v>
      </c>
      <c r="C25" s="45">
        <v>0.40350000000000003</v>
      </c>
    </row>
    <row r="26" spans="1:3" ht="15" customHeight="1" x14ac:dyDescent="0.25">
      <c r="B26" s="15" t="s">
        <v>67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9">
        <v>5.9529082105141198E-2</v>
      </c>
    </row>
    <row r="31" spans="1:3" ht="14.25" customHeight="1" x14ac:dyDescent="0.25">
      <c r="B31" s="25" t="s">
        <v>29</v>
      </c>
      <c r="C31" s="99">
        <v>6.7946136004371396E-2</v>
      </c>
    </row>
    <row r="32" spans="1:3" ht="14.25" customHeight="1" x14ac:dyDescent="0.25">
      <c r="B32" s="25" t="s">
        <v>30</v>
      </c>
      <c r="C32" s="99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0.96101999999999999</v>
      </c>
    </row>
    <row r="38" spans="1:5" ht="15" customHeight="1" x14ac:dyDescent="0.25">
      <c r="B38" s="11" t="s">
        <v>54</v>
      </c>
      <c r="C38" s="43">
        <v>1.9053599999999999</v>
      </c>
      <c r="D38" s="12"/>
      <c r="E38" s="13"/>
    </row>
    <row r="39" spans="1:5" ht="15" customHeight="1" x14ac:dyDescent="0.25">
      <c r="B39" s="11" t="s">
        <v>80</v>
      </c>
      <c r="C39" s="43">
        <v>2.26294</v>
      </c>
      <c r="D39" s="12"/>
      <c r="E39" s="12"/>
    </row>
    <row r="40" spans="1:5" ht="15" customHeight="1" x14ac:dyDescent="0.25">
      <c r="B40" s="11" t="s">
        <v>55</v>
      </c>
      <c r="C40" s="100">
        <v>0.06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5.9347000000000002E-3</v>
      </c>
      <c r="D45" s="12"/>
    </row>
    <row r="46" spans="1:5" ht="15.75" customHeight="1" x14ac:dyDescent="0.25">
      <c r="B46" s="11" t="s">
        <v>70</v>
      </c>
      <c r="C46" s="45">
        <v>6.3767500000000005E-2</v>
      </c>
      <c r="D46" s="12"/>
    </row>
    <row r="47" spans="1:5" ht="15.75" customHeight="1" x14ac:dyDescent="0.25">
      <c r="B47" s="11" t="s">
        <v>78</v>
      </c>
      <c r="C47" s="45">
        <v>7.53577E-2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0.62463999999999997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dmqmL7Pnz8jJYIDUxmoJ3IQwDdcewjp9mIJbizP49Ztyjt1xLMvLXUklmtYA/kINAw2GUJSyXasyIadXdiWBdQ==" saltValue="9euHfZ7G2GuRFLlqgww9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7058</v>
      </c>
      <c r="C2" s="49">
        <v>19234</v>
      </c>
      <c r="D2" s="49">
        <v>38638.999999999993</v>
      </c>
      <c r="E2" s="49">
        <v>39997.5</v>
      </c>
      <c r="F2" s="49">
        <v>45464.5</v>
      </c>
      <c r="G2" s="17">
        <f t="shared" ref="G2:G13" si="0">C2+D2+E2+F2</f>
        <v>143335</v>
      </c>
      <c r="H2" s="17">
        <f t="shared" ref="H2:H13" si="1">(B2 + stillbirth*B2/(1000-stillbirth))/(1-abortion)</f>
        <v>8047.5986934676775</v>
      </c>
      <c r="I2" s="17">
        <f t="shared" ref="I2:I13" si="2">G2-H2</f>
        <v>135287.40130653232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6969</v>
      </c>
      <c r="C3" s="50">
        <v>19419.5</v>
      </c>
      <c r="D3" s="50">
        <v>37473</v>
      </c>
      <c r="E3" s="50">
        <v>38891.999999999993</v>
      </c>
      <c r="F3" s="50">
        <v>45142.5</v>
      </c>
      <c r="G3" s="17">
        <f t="shared" si="0"/>
        <v>140927</v>
      </c>
      <c r="H3" s="17">
        <f t="shared" si="1"/>
        <v>7946.1200474321686</v>
      </c>
      <c r="I3" s="17">
        <f t="shared" si="2"/>
        <v>132980.87995256783</v>
      </c>
    </row>
    <row r="4" spans="1:9" ht="15.75" customHeight="1" x14ac:dyDescent="0.25">
      <c r="A4" s="5">
        <f t="shared" si="3"/>
        <v>2026</v>
      </c>
      <c r="B4" s="49">
        <v>6694</v>
      </c>
      <c r="C4" s="50">
        <v>19495</v>
      </c>
      <c r="D4" s="50">
        <v>36205</v>
      </c>
      <c r="E4" s="50">
        <v>37792</v>
      </c>
      <c r="F4" s="50">
        <v>44633.5</v>
      </c>
      <c r="G4" s="17">
        <f t="shared" si="0"/>
        <v>138125.5</v>
      </c>
      <c r="H4" s="17">
        <f t="shared" si="1"/>
        <v>7632.5624332775051</v>
      </c>
      <c r="I4" s="17">
        <f t="shared" si="2"/>
        <v>130492.9375667225</v>
      </c>
    </row>
    <row r="5" spans="1:9" ht="15.75" customHeight="1" x14ac:dyDescent="0.25">
      <c r="A5" s="5">
        <f t="shared" si="3"/>
        <v>2027</v>
      </c>
      <c r="B5" s="49">
        <v>6578</v>
      </c>
      <c r="C5" s="50">
        <v>19450.5</v>
      </c>
      <c r="D5" s="50">
        <v>35778.5</v>
      </c>
      <c r="E5" s="50">
        <v>36974.000000000007</v>
      </c>
      <c r="F5" s="50">
        <v>44137.5</v>
      </c>
      <c r="G5" s="17">
        <f t="shared" si="0"/>
        <v>136340.5</v>
      </c>
      <c r="H5" s="17">
        <f t="shared" si="1"/>
        <v>7500.2981305795383</v>
      </c>
      <c r="I5" s="17">
        <f t="shared" si="2"/>
        <v>128840.20186942046</v>
      </c>
    </row>
    <row r="6" spans="1:9" ht="15.75" customHeight="1" x14ac:dyDescent="0.25">
      <c r="A6" s="5">
        <f t="shared" si="3"/>
        <v>2028</v>
      </c>
      <c r="B6" s="49">
        <v>6482</v>
      </c>
      <c r="C6" s="50">
        <v>19273</v>
      </c>
      <c r="D6" s="50">
        <v>35623.5</v>
      </c>
      <c r="E6" s="50">
        <v>36235.5</v>
      </c>
      <c r="F6" s="50">
        <v>43439.5</v>
      </c>
      <c r="G6" s="17">
        <f t="shared" si="0"/>
        <v>134571.5</v>
      </c>
      <c r="H6" s="17">
        <f t="shared" si="1"/>
        <v>7390.8380180019103</v>
      </c>
      <c r="I6" s="17">
        <f t="shared" si="2"/>
        <v>127180.66198199808</v>
      </c>
    </row>
    <row r="7" spans="1:9" ht="15.75" customHeight="1" x14ac:dyDescent="0.25">
      <c r="A7" s="5">
        <f t="shared" si="3"/>
        <v>2029</v>
      </c>
      <c r="B7" s="49">
        <v>6391</v>
      </c>
      <c r="C7" s="50">
        <v>18985.5</v>
      </c>
      <c r="D7" s="50">
        <v>35644.999999999993</v>
      </c>
      <c r="E7" s="50">
        <v>35629.999999999993</v>
      </c>
      <c r="F7" s="50">
        <v>42544</v>
      </c>
      <c r="G7" s="17">
        <f t="shared" si="0"/>
        <v>132804.5</v>
      </c>
      <c r="H7" s="17">
        <f t="shared" si="1"/>
        <v>7287.0789529543672</v>
      </c>
      <c r="I7" s="17">
        <f t="shared" si="2"/>
        <v>125517.42104704563</v>
      </c>
    </row>
    <row r="8" spans="1:9" ht="15.75" customHeight="1" x14ac:dyDescent="0.25">
      <c r="A8" s="5">
        <f t="shared" si="3"/>
        <v>2030</v>
      </c>
      <c r="B8" s="49">
        <v>6305</v>
      </c>
      <c r="C8" s="50">
        <v>18608</v>
      </c>
      <c r="D8" s="50">
        <v>35705.5</v>
      </c>
      <c r="E8" s="50">
        <v>35176</v>
      </c>
      <c r="F8" s="50">
        <v>41530.5</v>
      </c>
      <c r="G8" s="17">
        <f t="shared" si="0"/>
        <v>131020</v>
      </c>
      <c r="H8" s="17">
        <f t="shared" si="1"/>
        <v>7189.020935436909</v>
      </c>
      <c r="I8" s="17">
        <f t="shared" si="2"/>
        <v>123830.97906456309</v>
      </c>
    </row>
    <row r="9" spans="1:9" ht="15.75" customHeight="1" x14ac:dyDescent="0.25">
      <c r="A9" s="5">
        <f t="shared" si="3"/>
        <v>2031</v>
      </c>
      <c r="B9" s="49">
        <v>6226</v>
      </c>
      <c r="C9" s="50">
        <v>18359</v>
      </c>
      <c r="D9" s="50">
        <v>35522</v>
      </c>
      <c r="E9" s="50">
        <v>34903.5</v>
      </c>
      <c r="F9" s="50">
        <v>40463.499999999993</v>
      </c>
      <c r="G9" s="17">
        <f t="shared" si="0"/>
        <v>129248</v>
      </c>
      <c r="H9" s="17">
        <f t="shared" si="1"/>
        <v>7098.9443844615698</v>
      </c>
      <c r="I9" s="17">
        <f t="shared" si="2"/>
        <v>122149.05561553843</v>
      </c>
    </row>
    <row r="10" spans="1:9" ht="15.75" customHeight="1" x14ac:dyDescent="0.25">
      <c r="A10" s="5">
        <f t="shared" si="3"/>
        <v>2032</v>
      </c>
      <c r="B10" s="49">
        <v>6149</v>
      </c>
      <c r="C10" s="50">
        <v>18210.5</v>
      </c>
      <c r="D10" s="50">
        <v>35189</v>
      </c>
      <c r="E10" s="50">
        <v>34573.499999999993</v>
      </c>
      <c r="F10" s="50">
        <v>39456</v>
      </c>
      <c r="G10" s="17">
        <f t="shared" si="0"/>
        <v>127429</v>
      </c>
      <c r="H10" s="17">
        <f t="shared" si="1"/>
        <v>7011.1482524982639</v>
      </c>
      <c r="I10" s="17">
        <f t="shared" si="2"/>
        <v>120417.85174750173</v>
      </c>
    </row>
    <row r="11" spans="1:9" ht="15.75" customHeight="1" x14ac:dyDescent="0.25">
      <c r="A11" s="5">
        <f t="shared" si="3"/>
        <v>2033</v>
      </c>
      <c r="B11" s="49">
        <v>6077</v>
      </c>
      <c r="C11" s="50">
        <v>17929.5</v>
      </c>
      <c r="D11" s="50">
        <v>34960</v>
      </c>
      <c r="E11" s="50">
        <v>34176.5</v>
      </c>
      <c r="F11" s="50">
        <v>38402</v>
      </c>
      <c r="G11" s="17">
        <f t="shared" si="0"/>
        <v>125468</v>
      </c>
      <c r="H11" s="17">
        <f t="shared" si="1"/>
        <v>6929.0531680650429</v>
      </c>
      <c r="I11" s="17">
        <f t="shared" si="2"/>
        <v>118538.94683193495</v>
      </c>
    </row>
    <row r="12" spans="1:9" ht="15.75" customHeight="1" x14ac:dyDescent="0.25">
      <c r="A12" s="5">
        <f t="shared" si="3"/>
        <v>2034</v>
      </c>
      <c r="B12" s="49">
        <v>6014</v>
      </c>
      <c r="C12" s="50">
        <v>17597.5</v>
      </c>
      <c r="D12" s="50">
        <v>34855.500000000007</v>
      </c>
      <c r="E12" s="50">
        <v>33731.5</v>
      </c>
      <c r="F12" s="50">
        <v>37389.5</v>
      </c>
      <c r="G12" s="17">
        <f t="shared" si="0"/>
        <v>123574</v>
      </c>
      <c r="H12" s="17">
        <f t="shared" si="1"/>
        <v>6857.2199691859751</v>
      </c>
      <c r="I12" s="17">
        <f t="shared" si="2"/>
        <v>116716.78003081403</v>
      </c>
    </row>
    <row r="13" spans="1:9" ht="15.75" customHeight="1" x14ac:dyDescent="0.25">
      <c r="A13" s="5">
        <f t="shared" si="3"/>
        <v>2035</v>
      </c>
      <c r="B13" s="49">
        <v>5958</v>
      </c>
      <c r="C13" s="50">
        <v>17290</v>
      </c>
      <c r="D13" s="50">
        <v>34838.499999999993</v>
      </c>
      <c r="E13" s="50">
        <v>33106.5</v>
      </c>
      <c r="F13" s="50">
        <v>36572.500000000007</v>
      </c>
      <c r="G13" s="17">
        <f t="shared" si="0"/>
        <v>121807.5</v>
      </c>
      <c r="H13" s="17">
        <f t="shared" si="1"/>
        <v>6793.3682368490254</v>
      </c>
      <c r="I13" s="17">
        <f t="shared" si="2"/>
        <v>115014.13176315097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1h0qztorruUNwvVHAsIpMYYKX8YtH/LmbFQ4sekCePUq+06CyBGcgQjjTpwGMmV+sTqRAkoAaRyi7x5mQYXOQ==" saltValue="U/Smff6LpnNzNeab56DEv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3.4142703414270288E-2</v>
      </c>
    </row>
    <row r="5" spans="1:8" ht="15.75" customHeight="1" x14ac:dyDescent="0.25">
      <c r="B5" s="19" t="s">
        <v>114</v>
      </c>
      <c r="C5" s="101">
        <v>3.795040379504043E-2</v>
      </c>
    </row>
    <row r="6" spans="1:8" ht="15.75" customHeight="1" x14ac:dyDescent="0.25">
      <c r="B6" s="19" t="s">
        <v>110</v>
      </c>
      <c r="C6" s="101">
        <v>0.4935597493559748</v>
      </c>
    </row>
    <row r="7" spans="1:8" ht="15.75" customHeight="1" x14ac:dyDescent="0.25">
      <c r="B7" s="19" t="s">
        <v>115</v>
      </c>
      <c r="C7" s="101">
        <v>0.35620743562074381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7.3214107321410649E-2</v>
      </c>
    </row>
    <row r="10" spans="1:8" ht="15.75" customHeight="1" x14ac:dyDescent="0.25">
      <c r="B10" s="19" t="s">
        <v>113</v>
      </c>
      <c r="C10" s="101">
        <v>4.9256004925600444E-3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101">
        <v>0.28262021445446389</v>
      </c>
      <c r="D15" s="101">
        <v>0.28262021445446389</v>
      </c>
      <c r="E15" s="101">
        <v>0.28262021445446389</v>
      </c>
      <c r="F15" s="101">
        <v>0.28262021445446389</v>
      </c>
    </row>
    <row r="16" spans="1:8" ht="15.75" customHeight="1" x14ac:dyDescent="0.25">
      <c r="B16" s="19" t="s">
        <v>2</v>
      </c>
      <c r="C16" s="101">
        <v>0.1449917491390243</v>
      </c>
      <c r="D16" s="101">
        <v>0.1449917491390243</v>
      </c>
      <c r="E16" s="101">
        <v>0.1449917491390243</v>
      </c>
      <c r="F16" s="101">
        <v>0.1449917491390243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1.370030254797487E-2</v>
      </c>
      <c r="D20" s="101">
        <v>1.370030254797487E-2</v>
      </c>
      <c r="E20" s="101">
        <v>1.370030254797487E-2</v>
      </c>
      <c r="F20" s="101">
        <v>1.370030254797487E-2</v>
      </c>
    </row>
    <row r="21" spans="1:8" ht="15.75" customHeight="1" x14ac:dyDescent="0.25">
      <c r="B21" s="19" t="s">
        <v>107</v>
      </c>
      <c r="C21" s="101">
        <v>0.25732604138176512</v>
      </c>
      <c r="D21" s="101">
        <v>0.25732604138176512</v>
      </c>
      <c r="E21" s="101">
        <v>0.25732604138176512</v>
      </c>
      <c r="F21" s="101">
        <v>0.25732604138176512</v>
      </c>
    </row>
    <row r="22" spans="1:8" ht="15.75" customHeight="1" x14ac:dyDescent="0.25">
      <c r="B22" s="19" t="s">
        <v>118</v>
      </c>
      <c r="C22" s="101">
        <v>0.3013616924767718</v>
      </c>
      <c r="D22" s="101">
        <v>0.3013616924767718</v>
      </c>
      <c r="E22" s="101">
        <v>0.3013616924767718</v>
      </c>
      <c r="F22" s="101">
        <v>0.3013616924767718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4.1039101000000001E-2</v>
      </c>
    </row>
    <row r="27" spans="1:8" ht="15.75" customHeight="1" x14ac:dyDescent="0.25">
      <c r="B27" s="19" t="s">
        <v>108</v>
      </c>
      <c r="C27" s="101">
        <v>0.311955555</v>
      </c>
    </row>
    <row r="28" spans="1:8" ht="15.75" customHeight="1" x14ac:dyDescent="0.25">
      <c r="B28" s="19" t="s">
        <v>122</v>
      </c>
      <c r="C28" s="101">
        <v>7.1433338999999998E-2</v>
      </c>
    </row>
    <row r="29" spans="1:8" ht="15.75" customHeight="1" x14ac:dyDescent="0.25">
      <c r="B29" s="19" t="s">
        <v>105</v>
      </c>
      <c r="C29" s="101">
        <v>8.7817816000000007E-2</v>
      </c>
    </row>
    <row r="30" spans="1:8" ht="15.75" customHeight="1" x14ac:dyDescent="0.25">
      <c r="B30" s="19" t="s">
        <v>4</v>
      </c>
      <c r="C30" s="101">
        <v>4.5304205E-2</v>
      </c>
    </row>
    <row r="31" spans="1:8" ht="15.75" customHeight="1" x14ac:dyDescent="0.25">
      <c r="B31" s="19" t="s">
        <v>99</v>
      </c>
      <c r="C31" s="101">
        <v>6.0519333000000002E-2</v>
      </c>
    </row>
    <row r="32" spans="1:8" ht="15.75" customHeight="1" x14ac:dyDescent="0.25">
      <c r="B32" s="19" t="s">
        <v>104</v>
      </c>
      <c r="C32" s="101">
        <v>0.111584815</v>
      </c>
    </row>
    <row r="33" spans="2:3" ht="15.75" customHeight="1" x14ac:dyDescent="0.25">
      <c r="B33" s="19" t="s">
        <v>119</v>
      </c>
      <c r="C33" s="101">
        <v>0.13530931600000001</v>
      </c>
    </row>
    <row r="34" spans="2:3" ht="15.75" customHeight="1" x14ac:dyDescent="0.25">
      <c r="B34" s="19" t="s">
        <v>106</v>
      </c>
      <c r="C34" s="101">
        <v>0.13503651999999999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RZfI7NDCMw4X3xPF0/oAAEai90/TDKnAHfVtQ+ZkB75nWA08Ff6iQjRt4zMEveE148XbvB2Md5UdRt2P6XWkTA==" saltValue="LzYflgH+2WhrOTZiB5UO3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129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125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126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138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SDBKLtU2+cm3Ni/cqV9V4uy6G8QFfWK4hXwWt5lsnTb54Mm+6a8rHI9zLTOwG3x9OrTgteFPGkYABTpAwV9Fg==" saltValue="BhO4n03Un4y1LS06mnOe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0.22041329999999992</v>
      </c>
      <c r="D5" s="52">
        <f t="shared" si="0"/>
        <v>0.26790099999999994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CXwt5B2ywocKFSBf7/Q+4ebZph15O43bjP7l6Pc0RWCXCjUts4PKgw70BdJr3Yy/UKoKGq65uAzvnDrwMgcukw==" saltValue="8RxSwhRcEpYPFNL2qToE6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lE+DsEoV//Cx6SvL11+VBBP3yiGr2gbG3wb1Q4tJo8mO13SNhZ/sfpczK4eG4TtlBIxmTaia1EPH0gKOQkhPQ==" saltValue="PjpYcWJj4BfxbTEYx7AKe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10093.4387007266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0.46494999999999997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0.61499999999999999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1.3562755373185902E-2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99774.199460000003</v>
      </c>
      <c r="C22" s="109">
        <v>99722.030140000003</v>
      </c>
      <c r="D22" s="109">
        <v>99679.394329999996</v>
      </c>
      <c r="E22" s="109">
        <v>99544.296289999998</v>
      </c>
      <c r="F22" s="109">
        <v>99249.454559999998</v>
      </c>
      <c r="G22" s="109">
        <v>98918.60398</v>
      </c>
      <c r="H22" s="109">
        <v>98524.083310000002</v>
      </c>
      <c r="I22" s="109">
        <v>97926.059599999993</v>
      </c>
      <c r="J22" s="109">
        <v>97053.615149999998</v>
      </c>
      <c r="K22" s="109">
        <v>95562.162639999995</v>
      </c>
      <c r="L22" s="109">
        <v>92874.677689999997</v>
      </c>
      <c r="M22" s="109">
        <v>88601.694440000007</v>
      </c>
      <c r="N22" s="109">
        <v>82306.548200000005</v>
      </c>
      <c r="O22" s="109">
        <v>73159.824200000003</v>
      </c>
    </row>
  </sheetData>
  <sheetProtection algorithmName="SHA-512" hashValue="6KxJdA6/O4dwV449knj0YkPUq/tqC5bjNI16yWe6eFb+o5E9Eq8bMJG4Zyjf9u/EYY4KBLla3AH1yaZJBm5aJQ==" saltValue="HLg9pA2jqfx6Ybr7Q7bX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8IAN3DHpvq2FiGh3lD5Wi+5zidDpE8A06HU5th5rThzCxOXCRfhH7I2WzDDXjbmJ+xOjI+z0Ws5SWjwSLlczew==" saltValue="I8vyl6zb5HSQ2Jwm9pqCB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sqvhoyXRljKSImM55jpWF/rH2uqv9DzqnMsQ4Ycfyo/Eu6Zk204V0wMrrqwxO6LFpihLyDWQig6M2y1PhwCOw==" saltValue="z9/GKtQQ9sqbzVRqDTLC+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13.42487525693355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13.42487525693355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13.42487525693355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13.42487525693355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13.42487525693355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13.42487525693355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0.17159460000000001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0.17159460000000001</v>
      </c>
      <c r="C19" s="98">
        <v>0.95</v>
      </c>
      <c r="D19" s="56">
        <v>16.11738326300533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4.5372725454372071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0.70510301442886003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0.31886409999999998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0.66023089999999995</v>
      </c>
      <c r="C29" s="98">
        <v>0.95</v>
      </c>
      <c r="D29" s="56">
        <v>155.6465054085146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0.21345500000000001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1.4174000000000001E-2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0.89577870000000004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PChCcszT7xuI7xUbFMNQF2ePtTLl++52O5LvpiUaBEcFPXzY4Zq/U2A2dOot3+WPQZZFGsq6GuajSZePoU0sUw==" saltValue="B55x5d7meuWUy39a3WrQ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5R4e512aX5GMC6wyXL0lgX0mtMfPZjTb5f7Ap1kKdFpj+/LPJfsRaT4ODuF98b37KK9cYf4YDppauwot9WNyw==" saltValue="S9TPMgfR0ZfGMmhdeI3i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hIjCtVTYvER4tk+AYUk1a4afY4rORviOvAi2i5AnPfR/CmmWJMyKtHsT0hLXc4d/mzJkJHdJE4rvtowYCiwHQ==" saltValue="32rmi4sNgI5d7lKXgKwF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236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sheetProtection algorithmName="SHA-512" hashValue="M6W7UV3SX0dApLEdpA8vbiXrRI+/guY80oB5aCPHlArBIgpO5PwGGezIuYbYezI6gsMN5ueyuyXAhJy53rVC2g==" saltValue="O+oEjPok2oPYTDlMhwSb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y+0J0cqAqo41JESornCPW59nkcQNl+YynrJzmsgr/vCiTWaup48EBQiozgjnHdJsaCRsQkwl7i3Rek2RE0Bjg==" saltValue="JBOqPJVIcbqQfcKRV9CA3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c936M5PY+WC140ENQrc8PTw7a5qcqyem5Ntzx0fZPmPZ/sWZz77uSshQohc1/EZ9STwTxcSVv6XBPDfWSj++A==" saltValue="rt0aCywKYkwedGY7UhhO6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1EqCuZVoEYHkH26BD0NC7kT2mrCwqZ2DU6Zw/5ASgW+CRv7kmeGhi1X6pVmcMIQCqq2u0AACmuIsZc7vZPn4g==" saltValue="W0WEbkX3JJoMMpkE3cyk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fd+yQvydzLl9l2NFcU3bDPRO1wFYqXbRGx25keUf80HSfm0yGMXkqvBo9nvESpFYOBI2YZ8LeaU96IbfoGVjQ==" saltValue="/KBIrIi6A59H9PZc3Ga7+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VuACfwt35SiJ1L1Pcd+i11qzbr0ank/BEbp/k3rjn1U/lGDaW2RpiIwJItqrpXvXJNGTkTnWAJUXNGBAPx3mYQ==" saltValue="arhbFptBYLbuk7XSR9Jtk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nuPwu6Sb7djvkIYV1SkzigItYSbkpNx+Wy9W1SF114OBALGXRc0qnA0UaQmxmhqX0Cl6cRrAb71TaDiieq4ig==" saltValue="aA0Rpf9xc2SY/uXyzBXuV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H+FrmtpQRrW0N/T2LvIm86Ln2mDKyzNxxwGwIoiNaUlpTu8Rf15M9E7WcJqiGOIcZBYY4mDU6vLMQgNtxF8Eg==" saltValue="YNniv/3Nb/wP7HJ6SgAYy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S4xp4yMDL1oQD8WhzBp4vXsfQfQzca6bg5j52y7VYbA5+EoKFkn1VRijY+pjPRjZq2oW7EJEf59qVMfuZnl+NA==" saltValue="D7FEeFLKstwAKlFfHcA6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3+klhx6TaXJ69p+3ON75g+nKtQUTMpm2mYXT8RRud0f24AYhGkLfqf4u0of1UD2WHQiN/mwOAy55WsRSWEv1CA==" saltValue="Y8Q98a/4+D8HKy1bgV6F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S0snE5d0/D9LTD45d1WxdT44ZjbvaqUEbLPcDOUe1Qy8oWakzHBKqFYbjybMi7DbYfErJt9/IuZ8ZH4RipEzA==" saltValue="4NJNL1lekUK0KfX4z18V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rID5BC9mEGi+rP+1DBRQoWFJMhYP42gKUGL0IFIgJfONKDikbrjOZqOlOeCkLkkIpHKBbdcJE+UEb3oljQGng==" saltValue="p2FV4+UzuhrAepCSYOOk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gymomxlWRjyH40s0n2/QxlKZyyWXLbRzQTwH5vuuhu3gkcnrpFaulZC5qgKyBHwg/6tYKPkhqeltHGJQkuFUA==" saltValue="6HHTXw1aadKfB+dABofn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izpBafQL627O6pM8mXCVLaA+Vnh40wIh2PbsWsTnvDoVPTOs3ZT9hDzBz+fGt2OSO5n7S+NybaJQhe7T6hJAQ==" saltValue="7cJNNrG3oJg0cE5VLZcB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NHPqi64mE8nfdkEDQ//CZp82jP6qJ+YsyXGwVxoCoG02RQ07BneQqK0Zr0g4x+pOtCAie0Et1ADDHrL/rFKnQ==" saltValue="4/bSWcHgOdV3U+mbg2yp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jt7Ct19/Bg8bbcRmIgfgkTYmpq4893vEpQbmNiPLBMl97eF0trPVwsqhkYMGk4gDKPwNGFvC6kTwloSwzwl8ew==" saltValue="tNbNiF71RV8vOywU3O2KO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