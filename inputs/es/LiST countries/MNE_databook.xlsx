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366DDB6D-78BF-469E-837F-6358E3C07BD7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I39" i="2" s="1"/>
  <c r="G39" i="2"/>
  <c r="A39" i="2"/>
  <c r="H38" i="2"/>
  <c r="G38" i="2"/>
  <c r="A36" i="2"/>
  <c r="A34" i="2"/>
  <c r="A33" i="2"/>
  <c r="A31" i="2"/>
  <c r="A29" i="2"/>
  <c r="A28" i="2"/>
  <c r="A26" i="2"/>
  <c r="A23" i="2"/>
  <c r="A21" i="2"/>
  <c r="A20" i="2"/>
  <c r="A18" i="2"/>
  <c r="A17" i="2"/>
  <c r="A15" i="2"/>
  <c r="H13" i="2"/>
  <c r="I13" i="2" s="1"/>
  <c r="G13" i="2"/>
  <c r="H12" i="2"/>
  <c r="G12" i="2"/>
  <c r="I12" i="2" s="1"/>
  <c r="H11" i="2"/>
  <c r="I11" i="2" s="1"/>
  <c r="G11" i="2"/>
  <c r="H10" i="2"/>
  <c r="G10" i="2"/>
  <c r="I10" i="2" s="1"/>
  <c r="H9" i="2"/>
  <c r="I9" i="2" s="1"/>
  <c r="G9" i="2"/>
  <c r="H8" i="2"/>
  <c r="G8" i="2"/>
  <c r="I8" i="2" s="1"/>
  <c r="H7" i="2"/>
  <c r="I7" i="2" s="1"/>
  <c r="G7" i="2"/>
  <c r="H6" i="2"/>
  <c r="G6" i="2"/>
  <c r="I6" i="2" s="1"/>
  <c r="H5" i="2"/>
  <c r="I5" i="2" s="1"/>
  <c r="G5" i="2"/>
  <c r="H4" i="2"/>
  <c r="G4" i="2"/>
  <c r="I4" i="2" s="1"/>
  <c r="H3" i="2"/>
  <c r="I3" i="2" s="1"/>
  <c r="G3" i="2"/>
  <c r="A3" i="2"/>
  <c r="H2" i="2"/>
  <c r="G2" i="2"/>
  <c r="A2" i="2"/>
  <c r="A40" i="2" s="1"/>
  <c r="C33" i="1"/>
  <c r="C20" i="1"/>
  <c r="A25" i="2" l="1"/>
  <c r="A37" i="2"/>
  <c r="I2" i="2"/>
  <c r="I38" i="2"/>
  <c r="A16" i="2"/>
  <c r="A24" i="2"/>
  <c r="A32" i="2"/>
  <c r="A19" i="2"/>
  <c r="A27" i="2"/>
  <c r="A35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<sst xmlns="http://schemas.openxmlformats.org/spreadsheetml/2006/main" count="2101" uniqueCount="341">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</sst>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33985.198974609397</v>
      </c>
    </row>
    <row r="8" spans="1:3" ht="15" customHeight="1" x14ac:dyDescent="0.25">
      <c r="B8" s="5" t="s">
        <v>44</v>
      </c>
      <c r="C8" s="44">
        <v>1.7000000000000001E-2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0.89240097045898392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0.65900000000000003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3.6700000000000003E-2</v>
      </c>
    </row>
    <row r="24" spans="1:3" ht="15" customHeight="1" x14ac:dyDescent="0.25">
      <c r="B24" s="15" t="s">
        <v>46</v>
      </c>
      <c r="C24" s="45">
        <v>0.53120000000000001</v>
      </c>
    </row>
    <row r="25" spans="1:3" ht="15" customHeight="1" x14ac:dyDescent="0.25">
      <c r="B25" s="15" t="s">
        <v>47</v>
      </c>
      <c r="C25" s="45">
        <v>0.40350000000000003</v>
      </c>
    </row>
    <row r="26" spans="1:3" ht="15" customHeight="1" x14ac:dyDescent="0.25">
      <c r="B26" s="15" t="s">
        <v>48</v>
      </c>
      <c r="C26" s="45">
        <v>2.86E-2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0.443381353500297</v>
      </c>
    </row>
    <row r="30" spans="1:3" ht="14.25" customHeight="1" x14ac:dyDescent="0.25">
      <c r="B30" s="25" t="s">
        <v>63</v>
      </c>
      <c r="C30" s="99">
        <v>5.9529082105141198E-2</v>
      </c>
    </row>
    <row r="31" spans="1:3" ht="14.25" customHeight="1" x14ac:dyDescent="0.25">
      <c r="B31" s="25" t="s">
        <v>10</v>
      </c>
      <c r="C31" s="99">
        <v>6.7946136004371396E-2</v>
      </c>
    </row>
    <row r="32" spans="1:3" ht="14.25" customHeight="1" x14ac:dyDescent="0.25">
      <c r="B32" s="25" t="s">
        <v>11</v>
      </c>
      <c r="C32" s="99">
        <v>0.42914342839018998</v>
      </c>
    </row>
    <row r="33" spans="1:5" ht="13" customHeight="1" x14ac:dyDescent="0.25">
      <c r="B33" s="27" t="s">
        <v>60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0.96101999999999999</v>
      </c>
    </row>
    <row r="38" spans="1:5" ht="15" customHeight="1" x14ac:dyDescent="0.25">
      <c r="B38" s="11" t="s">
        <v>35</v>
      </c>
      <c r="C38" s="43">
        <v>1.9053599999999999</v>
      </c>
      <c r="D38" s="12"/>
      <c r="E38" s="13"/>
    </row>
    <row r="39" spans="1:5" ht="15" customHeight="1" x14ac:dyDescent="0.25">
      <c r="B39" s="11" t="s">
        <v>61</v>
      </c>
      <c r="C39" s="43">
        <v>2.26294</v>
      </c>
      <c r="D39" s="12"/>
      <c r="E39" s="12"/>
    </row>
    <row r="40" spans="1:5" ht="15" customHeight="1" x14ac:dyDescent="0.25">
      <c r="B40" s="11" t="s">
        <v>36</v>
      </c>
      <c r="C40" s="100">
        <v>0.06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3.3729499999999999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5.9347000000000002E-3</v>
      </c>
      <c r="D45" s="12"/>
    </row>
    <row r="46" spans="1:5" ht="15.75" customHeight="1" x14ac:dyDescent="0.25">
      <c r="B46" s="11" t="s">
        <v>51</v>
      </c>
      <c r="C46" s="45">
        <v>6.3767500000000005E-2</v>
      </c>
      <c r="D46" s="12"/>
    </row>
    <row r="47" spans="1:5" ht="15.75" customHeight="1" x14ac:dyDescent="0.25">
      <c r="B47" s="11" t="s">
        <v>59</v>
      </c>
      <c r="C47" s="45">
        <v>7.53577E-2</v>
      </c>
      <c r="D47" s="12"/>
      <c r="E47" s="13"/>
    </row>
    <row r="48" spans="1:5" ht="15" customHeight="1" x14ac:dyDescent="0.25">
      <c r="B48" s="11" t="s">
        <v>58</v>
      </c>
      <c r="C48" s="46">
        <v>0.85494009999999998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2.8</v>
      </c>
      <c r="D51" s="12"/>
    </row>
    <row r="52" spans="1:4" ht="15" customHeight="1" x14ac:dyDescent="0.25">
      <c r="B52" s="11" t="s">
        <v>13</v>
      </c>
      <c r="C52" s="100">
        <v>2.8</v>
      </c>
    </row>
    <row r="53" spans="1:4" ht="15.75" customHeight="1" x14ac:dyDescent="0.25">
      <c r="B53" s="11" t="s">
        <v>16</v>
      </c>
      <c r="C53" s="100">
        <v>2.8</v>
      </c>
    </row>
    <row r="54" spans="1:4" ht="15.75" customHeight="1" x14ac:dyDescent="0.25">
      <c r="B54" s="11" t="s">
        <v>14</v>
      </c>
      <c r="C54" s="100">
        <v>2.8</v>
      </c>
    </row>
    <row r="55" spans="1:4" ht="15.75" customHeight="1" x14ac:dyDescent="0.25">
      <c r="B55" s="11" t="s">
        <v>15</v>
      </c>
      <c r="C55" s="100">
        <v>2.8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1.6428571428571431E-2</v>
      </c>
    </row>
    <row r="59" spans="1:4" ht="15.75" customHeight="1" x14ac:dyDescent="0.25">
      <c r="B59" s="11" t="s">
        <v>40</v>
      </c>
      <c r="C59" s="45">
        <v>0.62463999999999997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5.4530763999999898E-2</v>
      </c>
    </row>
    <row r="63" spans="1:4" ht="15.75" customHeight="1" x14ac:dyDescent="0.3">
      <c r="A63" s="4"/>
    </row>
  </sheetData>
  <sheetProtection algorithmName="SHA-512" hashValue="4Zhx0TsFss+njbWCKTqSaKl1+Nh17u6ZY7coABGzi0ZvU+PLIFoKcOwCD/pzATBdaKNOPK0mVQdpIUshHNIu3A==" saltValue="0y4/JAiiQB2QO9DRxPxlk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6707</v>
      </c>
      <c r="C2" s="49">
        <v>22235.5</v>
      </c>
      <c r="D2" s="49">
        <v>39059.5</v>
      </c>
      <c r="E2" s="49">
        <v>41160.5</v>
      </c>
      <c r="F2" s="49">
        <v>39869</v>
      </c>
      <c r="G2" s="17">
        <f t="shared" ref="G2:G13" si="0">C2+D2+E2+F2</f>
        <v>142324.5</v>
      </c>
      <c r="H2" s="17">
        <f t="shared" ref="H2:H13" si="1">(B2 + stillbirth*B2/(1000-stillbirth))/(1-abortion)</f>
        <v>7647.3851568557257</v>
      </c>
      <c r="I2" s="17">
        <f t="shared" ref="I2:I13" si="2">G2-H2</f>
        <v>134677.11484314429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6635</v>
      </c>
      <c r="C3" s="50">
        <v>22376</v>
      </c>
      <c r="D3" s="50">
        <v>38399.5</v>
      </c>
      <c r="E3" s="50">
        <v>40790.5</v>
      </c>
      <c r="F3" s="50">
        <v>40054</v>
      </c>
      <c r="G3" s="17">
        <f t="shared" si="0"/>
        <v>141620</v>
      </c>
      <c r="H3" s="17">
        <f t="shared" si="1"/>
        <v>7565.2900724225046</v>
      </c>
      <c r="I3" s="17">
        <f t="shared" si="2"/>
        <v>134054.7099275775</v>
      </c>
    </row>
    <row r="4" spans="1:9" ht="15.75" customHeight="1" x14ac:dyDescent="0.25">
      <c r="A4" s="5">
        <f t="shared" si="3"/>
        <v>2026</v>
      </c>
      <c r="B4" s="49">
        <v>6568</v>
      </c>
      <c r="C4" s="50">
        <v>22428.5</v>
      </c>
      <c r="D4" s="50">
        <v>37717</v>
      </c>
      <c r="E4" s="50">
        <v>40484.5</v>
      </c>
      <c r="F4" s="50">
        <v>40091.5</v>
      </c>
      <c r="G4" s="17">
        <f t="shared" si="0"/>
        <v>140721.5</v>
      </c>
      <c r="H4" s="17">
        <f t="shared" si="1"/>
        <v>7488.8960355193685</v>
      </c>
      <c r="I4" s="17">
        <f t="shared" si="2"/>
        <v>133232.60396448063</v>
      </c>
    </row>
    <row r="5" spans="1:9" ht="15.75" customHeight="1" x14ac:dyDescent="0.25">
      <c r="A5" s="5">
        <f t="shared" si="3"/>
        <v>2027</v>
      </c>
      <c r="B5" s="49">
        <v>6472</v>
      </c>
      <c r="C5" s="50">
        <v>22437</v>
      </c>
      <c r="D5" s="50">
        <v>37285</v>
      </c>
      <c r="E5" s="50">
        <v>40088.5</v>
      </c>
      <c r="F5" s="50">
        <v>39988.5</v>
      </c>
      <c r="G5" s="17">
        <f t="shared" si="0"/>
        <v>139799</v>
      </c>
      <c r="H5" s="17">
        <f t="shared" si="1"/>
        <v>7379.4359229417405</v>
      </c>
      <c r="I5" s="17">
        <f t="shared" si="2"/>
        <v>132419.56407705825</v>
      </c>
    </row>
    <row r="6" spans="1:9" ht="15.75" customHeight="1" x14ac:dyDescent="0.25">
      <c r="A6" s="5">
        <f t="shared" si="3"/>
        <v>2028</v>
      </c>
      <c r="B6" s="49">
        <v>6423</v>
      </c>
      <c r="C6" s="50">
        <v>22315.5</v>
      </c>
      <c r="D6" s="50">
        <v>37078.5</v>
      </c>
      <c r="E6" s="50">
        <v>39735</v>
      </c>
      <c r="F6" s="50">
        <v>39767</v>
      </c>
      <c r="G6" s="17">
        <f t="shared" si="0"/>
        <v>138896</v>
      </c>
      <c r="H6" s="17">
        <f t="shared" si="1"/>
        <v>7323.5656571469099</v>
      </c>
      <c r="I6" s="17">
        <f t="shared" si="2"/>
        <v>131572.43434285308</v>
      </c>
    </row>
    <row r="7" spans="1:9" ht="15.75" customHeight="1" x14ac:dyDescent="0.25">
      <c r="A7" s="5">
        <f t="shared" si="3"/>
        <v>2029</v>
      </c>
      <c r="B7" s="49">
        <v>6367</v>
      </c>
      <c r="C7" s="50">
        <v>22093.5</v>
      </c>
      <c r="D7" s="50">
        <v>37029.499999999993</v>
      </c>
      <c r="E7" s="50">
        <v>39466.5</v>
      </c>
      <c r="F7" s="50">
        <v>39417.5</v>
      </c>
      <c r="G7" s="17">
        <f t="shared" si="0"/>
        <v>138007</v>
      </c>
      <c r="H7" s="17">
        <f t="shared" si="1"/>
        <v>7259.7139248099602</v>
      </c>
      <c r="I7" s="17">
        <f t="shared" si="2"/>
        <v>130747.28607519004</v>
      </c>
    </row>
    <row r="8" spans="1:9" ht="15.75" customHeight="1" x14ac:dyDescent="0.25">
      <c r="A8" s="5">
        <f t="shared" si="3"/>
        <v>2030</v>
      </c>
      <c r="B8" s="49">
        <v>6309</v>
      </c>
      <c r="C8" s="50">
        <v>21839.5</v>
      </c>
      <c r="D8" s="50">
        <v>37011.5</v>
      </c>
      <c r="E8" s="50">
        <v>39284</v>
      </c>
      <c r="F8" s="50">
        <v>38901.5</v>
      </c>
      <c r="G8" s="17">
        <f t="shared" si="0"/>
        <v>137036.5</v>
      </c>
      <c r="H8" s="17">
        <f t="shared" si="1"/>
        <v>7193.5817734609764</v>
      </c>
      <c r="I8" s="17">
        <f t="shared" si="2"/>
        <v>129842.91822653903</v>
      </c>
    </row>
    <row r="9" spans="1:9" ht="15.75" customHeight="1" x14ac:dyDescent="0.25">
      <c r="A9" s="5">
        <f t="shared" si="3"/>
        <v>2031</v>
      </c>
      <c r="B9" s="49">
        <v>6252</v>
      </c>
      <c r="C9" s="50">
        <v>21779</v>
      </c>
      <c r="D9" s="50">
        <v>36740.5</v>
      </c>
      <c r="E9" s="50">
        <v>39203.5</v>
      </c>
      <c r="F9" s="50">
        <v>38313.5</v>
      </c>
      <c r="G9" s="17">
        <f t="shared" si="0"/>
        <v>136036.5</v>
      </c>
      <c r="H9" s="17">
        <f t="shared" si="1"/>
        <v>7128.5898316180101</v>
      </c>
      <c r="I9" s="17">
        <f t="shared" si="2"/>
        <v>128907.91016838199</v>
      </c>
    </row>
    <row r="10" spans="1:9" ht="15.75" customHeight="1" x14ac:dyDescent="0.25">
      <c r="A10" s="5">
        <f t="shared" si="3"/>
        <v>2032</v>
      </c>
      <c r="B10" s="49">
        <v>6195</v>
      </c>
      <c r="C10" s="50">
        <v>21794.5</v>
      </c>
      <c r="D10" s="50">
        <v>36358.5</v>
      </c>
      <c r="E10" s="50">
        <v>38978.5</v>
      </c>
      <c r="F10" s="50">
        <v>37650.5</v>
      </c>
      <c r="G10" s="17">
        <f t="shared" si="0"/>
        <v>134782</v>
      </c>
      <c r="H10" s="17">
        <f t="shared" si="1"/>
        <v>7063.5978897750438</v>
      </c>
      <c r="I10" s="17">
        <f t="shared" si="2"/>
        <v>127718.40211022495</v>
      </c>
    </row>
    <row r="11" spans="1:9" ht="15.75" customHeight="1" x14ac:dyDescent="0.25">
      <c r="A11" s="5">
        <f t="shared" si="3"/>
        <v>2033</v>
      </c>
      <c r="B11" s="49">
        <v>6131</v>
      </c>
      <c r="C11" s="50">
        <v>21690</v>
      </c>
      <c r="D11" s="50">
        <v>36137.5</v>
      </c>
      <c r="E11" s="50">
        <v>38632</v>
      </c>
      <c r="F11" s="50">
        <v>37030.5</v>
      </c>
      <c r="G11" s="17">
        <f t="shared" si="0"/>
        <v>133490</v>
      </c>
      <c r="H11" s="17">
        <f t="shared" si="1"/>
        <v>6990.6244813899593</v>
      </c>
      <c r="I11" s="17">
        <f t="shared" si="2"/>
        <v>126499.37551861005</v>
      </c>
    </row>
    <row r="12" spans="1:9" ht="15.75" customHeight="1" x14ac:dyDescent="0.25">
      <c r="A12" s="5">
        <f t="shared" si="3"/>
        <v>2034</v>
      </c>
      <c r="B12" s="49">
        <v>6098</v>
      </c>
      <c r="C12" s="50">
        <v>21478.5</v>
      </c>
      <c r="D12" s="50">
        <v>36082.5</v>
      </c>
      <c r="E12" s="50">
        <v>38195.5</v>
      </c>
      <c r="F12" s="50">
        <v>36536</v>
      </c>
      <c r="G12" s="17">
        <f t="shared" si="0"/>
        <v>132292.5</v>
      </c>
      <c r="H12" s="17">
        <f t="shared" si="1"/>
        <v>6952.9975676913991</v>
      </c>
      <c r="I12" s="17">
        <f t="shared" si="2"/>
        <v>125339.5024323086</v>
      </c>
    </row>
    <row r="13" spans="1:9" ht="15.75" customHeight="1" x14ac:dyDescent="0.25">
      <c r="A13" s="5">
        <f t="shared" si="3"/>
        <v>2035</v>
      </c>
      <c r="B13" s="49">
        <v>6050</v>
      </c>
      <c r="C13" s="50">
        <v>21190</v>
      </c>
      <c r="D13" s="50">
        <v>36149.5</v>
      </c>
      <c r="E13" s="50">
        <v>37539</v>
      </c>
      <c r="F13" s="50">
        <v>36097</v>
      </c>
      <c r="G13" s="17">
        <f t="shared" si="0"/>
        <v>130975.5</v>
      </c>
      <c r="H13" s="17">
        <f t="shared" si="1"/>
        <v>6898.2675114025851</v>
      </c>
      <c r="I13" s="17">
        <f t="shared" si="2"/>
        <v>124077.23248859741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5gB/JTz9Mpx4B+PJAssvQWU6L1KEX41EcnoVx6cyQNOOI5IJyTkYbShO6wTurKnxZwGhv4x1w6hA22iBxJyW+Q==" saltValue="LhFGEjAI3qALXZI2p+kdl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0</v>
      </c>
    </row>
    <row r="4" spans="1:8" ht="15.75" customHeight="1" x14ac:dyDescent="0.25">
      <c r="B4" s="19" t="s">
        <v>97</v>
      </c>
      <c r="C4" s="101">
        <v>3.4142703414270288E-2</v>
      </c>
    </row>
    <row r="5" spans="1:8" ht="15.75" customHeight="1" x14ac:dyDescent="0.25">
      <c r="B5" s="19" t="s">
        <v>95</v>
      </c>
      <c r="C5" s="101">
        <v>3.795040379504043E-2</v>
      </c>
    </row>
    <row r="6" spans="1:8" ht="15.75" customHeight="1" x14ac:dyDescent="0.25">
      <c r="B6" s="19" t="s">
        <v>91</v>
      </c>
      <c r="C6" s="101">
        <v>0.4935597493559748</v>
      </c>
    </row>
    <row r="7" spans="1:8" ht="15.75" customHeight="1" x14ac:dyDescent="0.25">
      <c r="B7" s="19" t="s">
        <v>96</v>
      </c>
      <c r="C7" s="101">
        <v>0.35620743562074381</v>
      </c>
    </row>
    <row r="8" spans="1:8" ht="15.75" customHeight="1" x14ac:dyDescent="0.25">
      <c r="B8" s="19" t="s">
        <v>98</v>
      </c>
      <c r="C8" s="101">
        <v>0</v>
      </c>
    </row>
    <row r="9" spans="1:8" ht="15.75" customHeight="1" x14ac:dyDescent="0.25">
      <c r="B9" s="19" t="s">
        <v>92</v>
      </c>
      <c r="C9" s="101">
        <v>7.3214107321410649E-2</v>
      </c>
    </row>
    <row r="10" spans="1:8" ht="15.75" customHeight="1" x14ac:dyDescent="0.25">
      <c r="B10" s="19" t="s">
        <v>94</v>
      </c>
      <c r="C10" s="101">
        <v>4.9256004925600444E-3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</v>
      </c>
      <c r="D14" s="55">
        <v>0</v>
      </c>
      <c r="E14" s="55">
        <v>0</v>
      </c>
      <c r="F14" s="55">
        <v>0</v>
      </c>
    </row>
    <row r="15" spans="1:8" ht="15.75" customHeight="1" x14ac:dyDescent="0.25">
      <c r="B15" s="19" t="s">
        <v>102</v>
      </c>
      <c r="C15" s="101">
        <v>0.28262021445446389</v>
      </c>
      <c r="D15" s="101">
        <v>0.28262021445446389</v>
      </c>
      <c r="E15" s="101">
        <v>0.28262021445446389</v>
      </c>
      <c r="F15" s="101">
        <v>0.28262021445446389</v>
      </c>
    </row>
    <row r="16" spans="1:8" ht="15.75" customHeight="1" x14ac:dyDescent="0.25">
      <c r="B16" s="19" t="s">
        <v>2</v>
      </c>
      <c r="C16" s="101">
        <v>0.1449917491390243</v>
      </c>
      <c r="D16" s="101">
        <v>0.1449917491390243</v>
      </c>
      <c r="E16" s="101">
        <v>0.1449917491390243</v>
      </c>
      <c r="F16" s="101">
        <v>0.1449917491390243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101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79</v>
      </c>
      <c r="C20" s="101">
        <v>1.370030254797487E-2</v>
      </c>
      <c r="D20" s="101">
        <v>1.370030254797487E-2</v>
      </c>
      <c r="E20" s="101">
        <v>1.370030254797487E-2</v>
      </c>
      <c r="F20" s="101">
        <v>1.370030254797487E-2</v>
      </c>
    </row>
    <row r="21" spans="1:8" ht="15.75" customHeight="1" x14ac:dyDescent="0.25">
      <c r="B21" s="19" t="s">
        <v>88</v>
      </c>
      <c r="C21" s="101">
        <v>0.25732604138176512</v>
      </c>
      <c r="D21" s="101">
        <v>0.25732604138176512</v>
      </c>
      <c r="E21" s="101">
        <v>0.25732604138176512</v>
      </c>
      <c r="F21" s="101">
        <v>0.25732604138176512</v>
      </c>
    </row>
    <row r="22" spans="1:8" ht="15.75" customHeight="1" x14ac:dyDescent="0.25">
      <c r="B22" s="19" t="s">
        <v>99</v>
      </c>
      <c r="C22" s="101">
        <v>0.3013616924767718</v>
      </c>
      <c r="D22" s="101">
        <v>0.3013616924767718</v>
      </c>
      <c r="E22" s="101">
        <v>0.3013616924767718</v>
      </c>
      <c r="F22" s="101">
        <v>0.3013616924767718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4.1039101000000001E-2</v>
      </c>
    </row>
    <row r="27" spans="1:8" ht="15.75" customHeight="1" x14ac:dyDescent="0.25">
      <c r="B27" s="19" t="s">
        <v>89</v>
      </c>
      <c r="C27" s="101">
        <v>0.311955555</v>
      </c>
    </row>
    <row r="28" spans="1:8" ht="15.75" customHeight="1" x14ac:dyDescent="0.25">
      <c r="B28" s="19" t="s">
        <v>103</v>
      </c>
      <c r="C28" s="101">
        <v>7.1433338999999998E-2</v>
      </c>
    </row>
    <row r="29" spans="1:8" ht="15.75" customHeight="1" x14ac:dyDescent="0.25">
      <c r="B29" s="19" t="s">
        <v>86</v>
      </c>
      <c r="C29" s="101">
        <v>8.7817816000000007E-2</v>
      </c>
    </row>
    <row r="30" spans="1:8" ht="15.75" customHeight="1" x14ac:dyDescent="0.25">
      <c r="B30" s="19" t="s">
        <v>4</v>
      </c>
      <c r="C30" s="101">
        <v>4.5304205E-2</v>
      </c>
    </row>
    <row r="31" spans="1:8" ht="15.75" customHeight="1" x14ac:dyDescent="0.25">
      <c r="B31" s="19" t="s">
        <v>80</v>
      </c>
      <c r="C31" s="101">
        <v>6.0519333000000002E-2</v>
      </c>
    </row>
    <row r="32" spans="1:8" ht="15.75" customHeight="1" x14ac:dyDescent="0.25">
      <c r="B32" s="19" t="s">
        <v>85</v>
      </c>
      <c r="C32" s="101">
        <v>0.111584815</v>
      </c>
    </row>
    <row r="33" spans="2:3" ht="15.75" customHeight="1" x14ac:dyDescent="0.25">
      <c r="B33" s="19" t="s">
        <v>100</v>
      </c>
      <c r="C33" s="101">
        <v>0.13530931600000001</v>
      </c>
    </row>
    <row r="34" spans="2:3" ht="15.75" customHeight="1" x14ac:dyDescent="0.25">
      <c r="B34" s="19" t="s">
        <v>87</v>
      </c>
      <c r="C34" s="101">
        <v>0.13503651999999999</v>
      </c>
    </row>
    <row r="35" spans="2:3" ht="15.75" customHeight="1" x14ac:dyDescent="0.25">
      <c r="B35" s="27" t="s">
        <v>60</v>
      </c>
      <c r="C35" s="48">
        <f>SUM(C26:C34)</f>
        <v>1</v>
      </c>
    </row>
  </sheetData>
  <sheetProtection algorithmName="SHA-512" hashValue="lDPk94kGyLFDTzMAE+gEIC3ANKwXy5qzmFXhkNw5lJkgF8fyvcXpBNvAp3LuwJShydiy5S6QsWY7hkHs1J3k3g==" saltValue="RCypqke4BB1hidCbygu3G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0.73379732410774468</v>
      </c>
      <c r="D2" s="52">
        <f>IFERROR(1-_xlfn.NORM.DIST(_xlfn.NORM.INV(SUM(D4:D5), 0, 1) + 1, 0, 1, TRUE), "")</f>
        <v>0.73379732410774468</v>
      </c>
      <c r="E2" s="52">
        <f>IFERROR(1-_xlfn.NORM.DIST(_xlfn.NORM.INV(SUM(E4:E5), 0, 1) + 1, 0, 1, TRUE), "")</f>
        <v>0.84971398857514879</v>
      </c>
      <c r="F2" s="52">
        <f>IFERROR(1-_xlfn.NORM.DIST(_xlfn.NORM.INV(SUM(F4:F5), 0, 1) + 1, 0, 1, TRUE), "")</f>
        <v>0.51602508714629003</v>
      </c>
      <c r="G2" s="52">
        <f>IFERROR(1-_xlfn.NORM.DIST(_xlfn.NORM.INV(SUM(G4:G5), 0, 1) + 1, 0, 1, TRUE), "")</f>
        <v>0.70998917774218107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0.21405087589225538</v>
      </c>
      <c r="D3" s="52">
        <f>IFERROR(_xlfn.NORM.DIST(_xlfn.NORM.INV(SUM(D4:D5), 0, 1) + 1, 0, 1, TRUE) - SUM(D4:D5), "")</f>
        <v>0.21405087589225538</v>
      </c>
      <c r="E3" s="52">
        <f>IFERROR(_xlfn.NORM.DIST(_xlfn.NORM.INV(SUM(E4:E5), 0, 1) + 1, 0, 1, TRUE) - SUM(E4:E5), "")</f>
        <v>0.12937101142485125</v>
      </c>
      <c r="F3" s="52">
        <f>IFERROR(_xlfn.NORM.DIST(_xlfn.NORM.INV(SUM(F4:F5), 0, 1) + 1, 0, 1, TRUE) - SUM(F4:F5), "")</f>
        <v>0.33484671285370993</v>
      </c>
      <c r="G3" s="52">
        <f>IFERROR(_xlfn.NORM.DIST(_xlfn.NORM.INV(SUM(G4:G5), 0, 1) + 1, 0, 1, TRUE) - SUM(G4:G5), "")</f>
        <v>0.22984142225781892</v>
      </c>
    </row>
    <row r="4" spans="1:15" ht="15.75" customHeight="1" x14ac:dyDescent="0.25">
      <c r="B4" s="5" t="s">
        <v>110</v>
      </c>
      <c r="C4" s="45">
        <v>2.89261E-2</v>
      </c>
      <c r="D4" s="53">
        <v>2.89261E-2</v>
      </c>
      <c r="E4" s="53">
        <v>4.0536000000000001E-3</v>
      </c>
      <c r="F4" s="53">
        <v>2.2028599999999999E-2</v>
      </c>
      <c r="G4" s="53">
        <v>5.1829600000000003E-2</v>
      </c>
    </row>
    <row r="5" spans="1:15" ht="15.75" customHeight="1" x14ac:dyDescent="0.25">
      <c r="B5" s="5" t="s">
        <v>106</v>
      </c>
      <c r="C5" s="45">
        <v>2.3225699999999998E-2</v>
      </c>
      <c r="D5" s="53">
        <v>2.3225699999999998E-2</v>
      </c>
      <c r="E5" s="53">
        <v>1.6861399999999999E-2</v>
      </c>
      <c r="F5" s="53">
        <v>0.12709960000000001</v>
      </c>
      <c r="G5" s="53">
        <v>8.3398000000000014E-3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0.62194306958466594</v>
      </c>
      <c r="D8" s="52">
        <f>IFERROR(1-_xlfn.NORM.DIST(_xlfn.NORM.INV(SUM(D10:D11), 0, 1) + 1, 0, 1, TRUE), "")</f>
        <v>0.62194306958466594</v>
      </c>
      <c r="E8" s="52">
        <f>IFERROR(1-_xlfn.NORM.DIST(_xlfn.NORM.INV(SUM(E10:E11), 0, 1) + 1, 0, 1, TRUE), "")</f>
        <v>0.78668978038263804</v>
      </c>
      <c r="F8" s="52">
        <f>IFERROR(1-_xlfn.NORM.DIST(_xlfn.NORM.INV(SUM(F10:F11), 0, 1) + 1, 0, 1, TRUE), "")</f>
        <v>0.91254295194752388</v>
      </c>
      <c r="G8" s="52">
        <f>IFERROR(1-_xlfn.NORM.DIST(_xlfn.NORM.INV(SUM(G10:G11), 0, 1) + 1, 0, 1, TRUE), "")</f>
        <v>0.88141686201740033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0.28305843041533413</v>
      </c>
      <c r="D9" s="52">
        <f>IFERROR(_xlfn.NORM.DIST(_xlfn.NORM.INV(SUM(D10:D11), 0, 1) + 1, 0, 1, TRUE) - SUM(D10:D11), "")</f>
        <v>0.28305843041533413</v>
      </c>
      <c r="E9" s="52">
        <f>IFERROR(_xlfn.NORM.DIST(_xlfn.NORM.INV(SUM(E10:E11), 0, 1) + 1, 0, 1, TRUE) - SUM(E10:E11), "")</f>
        <v>0.17698241961736197</v>
      </c>
      <c r="F9" s="52">
        <f>IFERROR(_xlfn.NORM.DIST(_xlfn.NORM.INV(SUM(F10:F11), 0, 1) + 1, 0, 1, TRUE) - SUM(F10:F11), "")</f>
        <v>7.8235048052476164E-2</v>
      </c>
      <c r="G9" s="52">
        <f>IFERROR(_xlfn.NORM.DIST(_xlfn.NORM.INV(SUM(G10:G11), 0, 1) + 1, 0, 1, TRUE) - SUM(G10:G11), "")</f>
        <v>0.10403203798259969</v>
      </c>
    </row>
    <row r="10" spans="1:15" ht="15.75" customHeight="1" x14ac:dyDescent="0.25">
      <c r="B10" s="5" t="s">
        <v>107</v>
      </c>
      <c r="C10" s="45">
        <v>7.9534300000000002E-2</v>
      </c>
      <c r="D10" s="53">
        <v>7.9534300000000002E-2</v>
      </c>
      <c r="E10" s="53">
        <v>3.63278E-2</v>
      </c>
      <c r="F10" s="53">
        <v>0</v>
      </c>
      <c r="G10" s="53">
        <v>1.0352800000000001E-2</v>
      </c>
    </row>
    <row r="11" spans="1:15" ht="15.75" customHeight="1" x14ac:dyDescent="0.25">
      <c r="B11" s="5" t="s">
        <v>119</v>
      </c>
      <c r="C11" s="45">
        <v>1.5464200000000001E-2</v>
      </c>
      <c r="D11" s="53">
        <v>1.5464200000000001E-2</v>
      </c>
      <c r="E11" s="53">
        <v>0</v>
      </c>
      <c r="F11" s="53">
        <v>9.222000000000001E-3</v>
      </c>
      <c r="G11" s="53">
        <v>4.1982999999999994E-3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0.38283535024999998</v>
      </c>
      <c r="D14" s="54">
        <v>0.38541007546400002</v>
      </c>
      <c r="E14" s="54">
        <v>0.38541007546400002</v>
      </c>
      <c r="F14" s="54">
        <v>0.17029895451300001</v>
      </c>
      <c r="G14" s="54">
        <v>0.17029895451300001</v>
      </c>
      <c r="H14" s="45">
        <v>0.27200000000000002</v>
      </c>
      <c r="I14" s="55">
        <v>0.27200000000000002</v>
      </c>
      <c r="J14" s="55">
        <v>0.27200000000000002</v>
      </c>
      <c r="K14" s="55">
        <v>0.27200000000000002</v>
      </c>
      <c r="L14" s="45">
        <v>0.251</v>
      </c>
      <c r="M14" s="55">
        <v>0.251</v>
      </c>
      <c r="N14" s="55">
        <v>0.251</v>
      </c>
      <c r="O14" s="55">
        <v>0.251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0.23913427318015998</v>
      </c>
      <c r="D15" s="52">
        <f t="shared" si="0"/>
        <v>0.24074254953783297</v>
      </c>
      <c r="E15" s="52">
        <f t="shared" si="0"/>
        <v>0.24074254953783297</v>
      </c>
      <c r="F15" s="52">
        <f t="shared" si="0"/>
        <v>0.10637553894700032</v>
      </c>
      <c r="G15" s="52">
        <f t="shared" si="0"/>
        <v>0.10637553894700032</v>
      </c>
      <c r="H15" s="52">
        <f t="shared" si="0"/>
        <v>0.16990208000000001</v>
      </c>
      <c r="I15" s="52">
        <f t="shared" si="0"/>
        <v>0.16990208000000001</v>
      </c>
      <c r="J15" s="52">
        <f t="shared" si="0"/>
        <v>0.16990208000000001</v>
      </c>
      <c r="K15" s="52">
        <f t="shared" si="0"/>
        <v>0.16990208000000001</v>
      </c>
      <c r="L15" s="52">
        <f t="shared" si="0"/>
        <v>0.15678464</v>
      </c>
      <c r="M15" s="52">
        <f t="shared" si="0"/>
        <v>0.15678464</v>
      </c>
      <c r="N15" s="52">
        <f t="shared" si="0"/>
        <v>0.15678464</v>
      </c>
      <c r="O15" s="52">
        <f t="shared" si="0"/>
        <v>0.15678464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4EikGHnyb8bJnO8zb45yU80c7qKRK890L8n2T4qrfqqs/dzgWENKsgbMm9MPL52P3i/G43gYcKw7DpC/YlzypQ==" saltValue="V6ynAPG6zyb50eu2ntNCB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0.31399870000000002</v>
      </c>
      <c r="D2" s="53">
        <v>0.17159460000000001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5.1355600000000001E-2</v>
      </c>
      <c r="D3" s="53">
        <v>0.1553949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0.4142324</v>
      </c>
      <c r="D4" s="53">
        <v>0.40510950000000001</v>
      </c>
      <c r="E4" s="53">
        <v>0.42326510000000001</v>
      </c>
      <c r="F4" s="53">
        <v>0.2488464</v>
      </c>
      <c r="G4" s="53">
        <v>0</v>
      </c>
    </row>
    <row r="5" spans="1:7" x14ac:dyDescent="0.25">
      <c r="B5" s="3" t="s">
        <v>125</v>
      </c>
      <c r="C5" s="52">
        <v>0.22041330000000001</v>
      </c>
      <c r="D5" s="52">
        <v>0.2679011</v>
      </c>
      <c r="E5" s="52">
        <f>1-SUM(E2:E4)</f>
        <v>0.57673489999999994</v>
      </c>
      <c r="F5" s="52">
        <f>1-SUM(F2:F4)</f>
        <v>0.75115359999999998</v>
      </c>
      <c r="G5" s="52">
        <f>1-SUM(G2:G4)</f>
        <v>1</v>
      </c>
    </row>
  </sheetData>
  <sheetProtection algorithmName="SHA-512" hashValue="OPhyMzOgHggLK1yhuMRkInog2kNliZDWawjEJsaOZKogk/BpJfPfrFbwvzZIrb3z8pb5vBQWLXv1FybzslHTKw==" saltValue="IJYDqYK21ARnqj5TCHVv8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EG2QMviQ/D+R55y3MeLhC8aXeRJ1LZbhHR71m2Xqz8d1LXZ74VP0LoqZVxDDW0PPRUMSJcvkPJCdRwQLXUpc8g==" saltValue="Lfqr6NXGWSd7Z5peH4hA8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mZ04KJ7UoBXgr6nWvl8Meq40iEJjP/m7qZVqJXJv6VAb+57tATNcXue+LR1U8WvNhcHSc59OGbWVxGI2pSnsOw==" saltValue="zdEAS+b+S/+FJT7DXc6ni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WmlH70Uxy8LvEE+yiDsytefDoOaJ7C05c4sOJc5sqFsKcbcm/5QRa3dlt/uo3X/AIXQL+CN+BXw0KDncAKcY2w==" saltValue="zCHrhq1qz0t8THVSXu9TR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FERP+1ZQQAt40YXAlNFmdrsq1dMuS1bcH01yz1ED8mFn36L5U24i315MAipOHc0sxkizqDY/r3dMyAZCintO4Q==" saltValue="jy/F0EX1RpSj0UPscg7EW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76.430830296277207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40.292575813137638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702.89347992688124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7.032941165257669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</v>
      </c>
      <c r="C10" s="98">
        <v>0.95</v>
      </c>
      <c r="D10" s="56">
        <v>13.42487525693355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13.42487525693355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13.42487525693355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13.42487525693355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</v>
      </c>
      <c r="C14" s="98">
        <v>0.95</v>
      </c>
      <c r="D14" s="56">
        <v>13.42487525693355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13.42487525693355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</v>
      </c>
      <c r="C16" s="98">
        <v>0.95</v>
      </c>
      <c r="D16" s="56">
        <v>1.131641056828899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0.17159460000000001</v>
      </c>
      <c r="C18" s="98">
        <v>0.95</v>
      </c>
      <c r="D18" s="56">
        <v>16.11738326300533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0.17159460000000001</v>
      </c>
      <c r="C19" s="98">
        <v>0.95</v>
      </c>
      <c r="D19" s="56">
        <v>16.11738326300533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70.114008769456447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23.383432158561249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4.5372725454372071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0.70510301442886003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18.854821117415401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0.31886409999999998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0.66023089999999995</v>
      </c>
      <c r="C29" s="98">
        <v>0.95</v>
      </c>
      <c r="D29" s="56">
        <v>155.6465054085146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1.36088480804361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2.472250321876178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0.99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0.21345500000000001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1.4174000000000001E-2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0.89577870000000004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</v>
      </c>
      <c r="C38" s="98">
        <v>0.95</v>
      </c>
      <c r="D38" s="56">
        <v>2.134910144430378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Z7Fa5SLUxwARY1DGTkLw3u9UnsmX4stkvE3jTFleZsQeyz7YtESR1Ou4HgT7xmZYCsMm0hFUqGVYc3QE789S0A==" saltValue="ai3lTTB7NYTTjjnuRVoAm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RQQxodgzKB6BCImH5KFl39bIK4x8wxdGRDXEkK3eIUx0t/FTOj+IiM4xD7v97xPZOlIN+PQFURkIOLRSi/+ouQ==" saltValue="y16PM4OCVtNnJra5VU+6t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cMbhDhXPJoaKb6oYneMCiBAxtzHSKeVyMSmdNcrNpPZiplyLkSWBxpA0cjwPxqN3QQsj3T4Qf5cI5wJsgtUhrw==" saltValue="PpoAvGIVDjvc6LH/3+mvL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2.8</v>
      </c>
      <c r="C2" s="21">
        <f>'Entradas de población-año base'!C52</f>
        <v>2.8</v>
      </c>
      <c r="D2" s="21">
        <f>'Entradas de población-año base'!C53</f>
        <v>2.8</v>
      </c>
      <c r="E2" s="21">
        <f>'Entradas de población-año base'!C54</f>
        <v>2.8</v>
      </c>
      <c r="F2" s="21">
        <f>'Entradas de población-año base'!C55</f>
        <v>2.8</v>
      </c>
    </row>
    <row r="3" spans="1:6" ht="15.75" customHeight="1" x14ac:dyDescent="0.25">
      <c r="A3" s="3" t="s">
        <v>6</v>
      </c>
      <c r="B3" s="21">
        <f>frac_mam_1month * 2.6</f>
        <v>0.20678918000000002</v>
      </c>
      <c r="C3" s="21">
        <f>frac_mam_1_5months * 2.6</f>
        <v>0.20678918000000002</v>
      </c>
      <c r="D3" s="21">
        <f>frac_mam_6_11months * 2.6</f>
        <v>9.445228E-2</v>
      </c>
      <c r="E3" s="21">
        <f>frac_mam_12_23months * 2.6</f>
        <v>0</v>
      </c>
      <c r="F3" s="21">
        <f>frac_mam_24_59months * 2.6</f>
        <v>2.6917280000000002E-2</v>
      </c>
    </row>
    <row r="4" spans="1:6" ht="15.75" customHeight="1" x14ac:dyDescent="0.25">
      <c r="A4" s="3" t="s">
        <v>207</v>
      </c>
      <c r="B4" s="21">
        <f>frac_sam_1month * 2.6</f>
        <v>4.020692E-2</v>
      </c>
      <c r="C4" s="21">
        <f>frac_sam_1_5months * 2.6</f>
        <v>4.020692E-2</v>
      </c>
      <c r="D4" s="21">
        <f>frac_sam_6_11months * 2.6</f>
        <v>0</v>
      </c>
      <c r="E4" s="21">
        <f>frac_sam_12_23months * 2.6</f>
        <v>2.3977200000000004E-2</v>
      </c>
      <c r="F4" s="21">
        <f>frac_sam_24_59months * 2.6</f>
        <v>1.0915579999999999E-2</v>
      </c>
    </row>
  </sheetData>
  <sheetProtection algorithmName="SHA-512" hashValue="atjg0YPYf6e+86mZytqlO6jK1UovDlYCIZVigaUYfqKmH1/UOR/idcDnlFRJW2fmDfuiW7MGxcsmv6dOWV/lRA==" saltValue="CMBewvwzD2E4A8JySTs1V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1.7000000000000001E-2</v>
      </c>
      <c r="E2" s="60">
        <f>food_insecure</f>
        <v>1.7000000000000001E-2</v>
      </c>
      <c r="F2" s="60">
        <f>food_insecure</f>
        <v>1.7000000000000001E-2</v>
      </c>
      <c r="G2" s="60">
        <f>food_insecure</f>
        <v>1.7000000000000001E-2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1.7000000000000001E-2</v>
      </c>
      <c r="F5" s="60">
        <f>food_insecure</f>
        <v>1.7000000000000001E-2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1.7000000000000001E-2</v>
      </c>
      <c r="F8" s="60">
        <f>food_insecure</f>
        <v>1.7000000000000001E-2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1.7000000000000001E-2</v>
      </c>
      <c r="F9" s="60">
        <f>food_insecure</f>
        <v>1.7000000000000001E-2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1.7000000000000001E-2</v>
      </c>
      <c r="I15" s="60">
        <f>food_insecure</f>
        <v>1.7000000000000001E-2</v>
      </c>
      <c r="J15" s="60">
        <f>food_insecure</f>
        <v>1.7000000000000001E-2</v>
      </c>
      <c r="K15" s="60">
        <f>food_insecure</f>
        <v>1.7000000000000001E-2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0.65900000000000003</v>
      </c>
      <c r="M24" s="60">
        <f>famplan_unmet_need</f>
        <v>0.65900000000000003</v>
      </c>
      <c r="N24" s="60">
        <f>famplan_unmet_need</f>
        <v>0.65900000000000003</v>
      </c>
      <c r="O24" s="60">
        <f>famplan_unmet_need</f>
        <v>0.65900000000000003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5.3107653010559308E-2</v>
      </c>
      <c r="M25" s="60">
        <f>(1-food_insecure)*(0.49)+food_insecure*(0.7)</f>
        <v>0.49357000000000001</v>
      </c>
      <c r="N25" s="60">
        <f>(1-food_insecure)*(0.49)+food_insecure*(0.7)</f>
        <v>0.49357000000000001</v>
      </c>
      <c r="O25" s="60">
        <f>(1-food_insecure)*(0.49)+food_insecure*(0.7)</f>
        <v>0.49357000000000001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2.2760422718811131E-2</v>
      </c>
      <c r="M26" s="60">
        <f>(1-food_insecure)*(0.21)+food_insecure*(0.3)</f>
        <v>0.21153</v>
      </c>
      <c r="N26" s="60">
        <f>(1-food_insecure)*(0.21)+food_insecure*(0.3)</f>
        <v>0.21153</v>
      </c>
      <c r="O26" s="60">
        <f>(1-food_insecure)*(0.21)+food_insecure*(0.3)</f>
        <v>0.21153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3.1730953811645639E-2</v>
      </c>
      <c r="M27" s="60">
        <f>(1-food_insecure)*(0.3)</f>
        <v>0.2949</v>
      </c>
      <c r="N27" s="60">
        <f>(1-food_insecure)*(0.3)</f>
        <v>0.2949</v>
      </c>
      <c r="O27" s="60">
        <f>(1-food_insecure)*(0.3)</f>
        <v>0.2949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0.89240097045898392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tu+05+FSnxw29wkIJABxCcuMSZiFYqeS0gxkD5Wx5DYFAvATrt7sRcb8ijNIl766WnkkYF8v2lxId29BsAMspw==" saltValue="NrqNZCpiaVLlJQCGrmIgV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gEV0jx8Uv3dHzXg+XB2mwiuG/t4X98qU83M/dI5QC+SMtxT4msH3PSv1+zeOKl2ZftX/ckq43X38og6IYuGDWg==" saltValue="YTQPD7Nw7yo0TY3xFBRIa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ZJ0BzewssGD3ac3GrXdrB+gWTPxCU1bXkN9WwTQgTGyAEUgWszp6chtu90sb1UgtgqRkgexcL1r5b5pOKzkAZQ==" saltValue="CoiH5sVvsTTqWx6WYsF85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a7o9MGcd/ETvGIAbH20H75oVPODqWFaPQyYhMZd3SdaZvD16rWixIYqpBV/oKC+4STFNRN68ZAtMknIqePhw1w==" saltValue="bGxfpSReHpJVFFh1ClgkO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C+EDrLGXdfSHhXEapXEmh1VrWjudSe90JfIlXyfOTXI489s6rAtZAlqjTqUJNRCm1nI0+p3t3eYj2AxPb048GA==" saltValue="ssJO/dFBmkXGmMapTxNVG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ns6oBdXJ+fT90VCF1DG2A8OaZD63jk9mZSd4IRAb9+Po28k563TNcUGtunujp84aMtIKCBHEbD0E1TSc5iUY+Q==" saltValue="RKTUdSTK/9bSMll6u0wH6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DKf6gNXic8ucvrwaBKIWPrnmRo6YITRjkCj8RUERZJ0AXQoUppbZ10BSuQ8PU7+rO8SOUGDrS/Up8oHLg++3Sw==" saltValue="NvnfZQnm+pi+U+tPQc4aW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WjTDzD8f0U4N8QgHOMJ52CCDu8GUMrPrWZhZlPLxjj1TTs57NZVyc6q23dhFp5eN0M8kSpyARuHJUkSUoGt0cQ==" saltValue="EV/0JPJ0oLo8aTUVhrUsU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8iF//G6Rv1uZgOYqzBVWEekDhMA3qZMQgkwLeWCUn6F3Zq6yfVr+M5IjWKS8dmiDcdCQhEqLA8IYrM2cSqnx9A==" saltValue="9Cb3/U3W/KK/5e3rY8FNs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HQYxQAVU6ieOvNhHusIAI+Whx3VnhYBptfkXpWX8nMCQKAhFy69wfA5idbuUV32xWRQVeg8BCQg2GigA2eJzyg==" saltValue="WYgTiZ7ENowp0jShhBnY9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gGxDfpJLlGn8QV9rCetffjEEgxr9I16JfRHhoJOa5gjSH88rNJ1VUD6Ku+4pS0sQBCUKpggJ+vM3iCGQQaN90w==" saltValue="Ucd+MnvThdN+DKcVb+sbC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d0/hhxp+TP2j0H8+nARbauSqSM5sxRTzU/J+kgD9RhUGUwx0a4YOG6whwKdAflpR++t9SfplvF0TTW4O+mKfjg==" saltValue="kdDid7qsCdyA4Y4xOCMWU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XGIkDZ2G41Za4Ld+r2bMW9QjwzlZUfesNP8FKADW60Th0jM9b2mVV9CjnHkORW48lYbPa/k5PHQHaDiH1Xg0rQ==" saltValue="IJW95i/zMbl3Ej5KnUS5P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0.10999999999999999</v>
      </c>
      <c r="G18" s="90">
        <f>MIN(MAX(1-0.89/(1-frac_sam_12_23months+(frac_sam_12_23months*0.89)),0),1)</f>
        <v>0.10909624941733398</v>
      </c>
      <c r="H18" s="90">
        <f>MIN(MAX(1-0.89/(1-frac_sam_24_59months+(frac_sam_24_59months*0.89)),0),1)</f>
        <v>0.10958879653089226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0.10642923941359261</v>
      </c>
      <c r="G20" s="90">
        <f>MIN(MAX(1-0.89/(1-frac_mam_12_23months+(frac_mam_12_23months*0.89)),0),1)</f>
        <v>0.10999999999999999</v>
      </c>
      <c r="H20" s="90">
        <f>MIN(MAX(1-0.89/(1-frac_mam_24_59months+(frac_mam_24_59months*0.89)),0),1)</f>
        <v>0.10898530533760076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1.0000000000000009E-2</v>
      </c>
      <c r="G73" s="90">
        <f>MIN(MAX(1-0.99/(1-frac_sam_12_23months+(frac_sam_12_23months*0.99)),0),1)</f>
        <v>9.9086937797403518E-3</v>
      </c>
      <c r="H73" s="90">
        <f>MIN(MAX(1-0.99/(1-frac_sam_24_59months+(frac_sam_24_59months*0.99)),0),1)</f>
        <v>9.9584350849801773E-3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9.6402240813238116E-3</v>
      </c>
      <c r="G75" s="90">
        <f>MIN(MAX(1-0.99/(1-frac_mam_12_23months+(frac_mam_12_23months*0.99)),0),1)</f>
        <v>1.0000000000000009E-2</v>
      </c>
      <c r="H75" s="90">
        <f>MIN(MAX(1-0.99/(1-frac_mam_24_59months+(frac_mam_24_59months*0.99)),0),1)</f>
        <v>9.8974966680350773E-3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0.19999999999999996</v>
      </c>
      <c r="G128" s="90">
        <f>MIN(MAX(1-0.8/(1-frac_sam_12_23months+(frac_sam_12_23months*0.8)),0),1)</f>
        <v>0.19852175352219636</v>
      </c>
      <c r="H128" s="90">
        <f>MIN(MAX(1-0.8/(1-frac_sam_24_59months+(frac_sam_24_59months*0.8)),0),1)</f>
        <v>0.19932770750288176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0.19414501223509473</v>
      </c>
      <c r="G130" s="90">
        <f>MIN(MAX(1-0.8/(1-frac_mam_12_23months+(frac_mam_12_23months*0.8)),0),1)</f>
        <v>0.19999999999999996</v>
      </c>
      <c r="H130" s="90">
        <f>MIN(MAX(1-0.8/(1-frac_mam_24_59months+(frac_mam_24_59months*0.8)),0),1)</f>
        <v>0.1983401151087395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KiKNf6AsCCBkZfdJcfZ5KPYc7VusHP4Fg44rUpjRoA3W2b11Hmya/r0uHwTnfQh6xVxBHyaK+bOszqbVbWUcTQ==" saltValue="h4Yn2s0khSJuq0DeWi6Ij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Jd5wXezKhgH7TjN2XAYvJ0zzYw/CsLOYmevFE+RLab1+2s9XuXNkPLkkfV5ayFnMbl5JvuC05P3U2aMLePKhzQ==" saltValue="E+gA4twd19j11MlUqYVWl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2024-08-06T08:01:16Z</dcterms:modified>
</cp:coreProperties>
</file>