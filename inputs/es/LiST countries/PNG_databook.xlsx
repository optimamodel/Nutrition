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35D93718-0B6B-44FD-98D0-DE7E0737940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4" i="2"/>
  <c r="A36" i="2"/>
  <c r="A37" i="2"/>
  <c r="A23" i="2"/>
  <c r="I38" i="2"/>
  <c r="A26" i="2"/>
  <c r="I39" i="2"/>
  <c r="A31" i="2"/>
  <c r="A34" i="2"/>
  <c r="A40" i="2"/>
  <c r="I2" i="2"/>
  <c r="I6" i="2"/>
  <c r="A19" i="2"/>
  <c r="A35" i="2"/>
  <c r="I3" i="2"/>
  <c r="I7" i="2"/>
  <c r="I11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<sst xmlns="http://schemas.openxmlformats.org/spreadsheetml/2006/main" count="2169" uniqueCount="373">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</sst>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1236334</v>
      </c>
    </row>
    <row r="8" spans="1:3" ht="15" customHeight="1" x14ac:dyDescent="0.25">
      <c r="B8" s="5" t="s">
        <v>63</v>
      </c>
      <c r="C8" s="44">
        <v>0.38</v>
      </c>
    </row>
    <row r="9" spans="1:3" ht="15" customHeight="1" x14ac:dyDescent="0.25">
      <c r="B9" s="5" t="s">
        <v>62</v>
      </c>
      <c r="C9" s="45">
        <v>0.3362</v>
      </c>
    </row>
    <row r="10" spans="1:3" ht="15" customHeight="1" x14ac:dyDescent="0.25">
      <c r="B10" s="5" t="s">
        <v>75</v>
      </c>
      <c r="C10" s="45">
        <v>0.2918538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8.43E-2</v>
      </c>
    </row>
    <row r="24" spans="1:3" ht="15" customHeight="1" x14ac:dyDescent="0.25">
      <c r="B24" s="15" t="s">
        <v>65</v>
      </c>
      <c r="C24" s="45">
        <v>0.46639999999999998</v>
      </c>
    </row>
    <row r="25" spans="1:3" ht="15" customHeight="1" x14ac:dyDescent="0.25">
      <c r="B25" s="15" t="s">
        <v>66</v>
      </c>
      <c r="C25" s="45">
        <v>0.34599999999999992</v>
      </c>
    </row>
    <row r="26" spans="1:3" ht="15" customHeight="1" x14ac:dyDescent="0.25">
      <c r="B26" s="15" t="s">
        <v>67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0.24817471964062299</v>
      </c>
    </row>
    <row r="30" spans="1:3" ht="14.25" customHeight="1" x14ac:dyDescent="0.25">
      <c r="B30" s="25" t="s">
        <v>82</v>
      </c>
      <c r="C30" s="97">
        <v>6.3573506524813E-2</v>
      </c>
    </row>
    <row r="31" spans="1:3" ht="14.25" customHeight="1" x14ac:dyDescent="0.25">
      <c r="B31" s="25" t="s">
        <v>29</v>
      </c>
      <c r="C31" s="97">
        <v>0.116568636609094</v>
      </c>
    </row>
    <row r="32" spans="1:3" ht="14.25" customHeight="1" x14ac:dyDescent="0.25">
      <c r="B32" s="25" t="s">
        <v>30</v>
      </c>
      <c r="C32" s="97">
        <v>0.57168313722546993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21.217020000000002</v>
      </c>
    </row>
    <row r="38" spans="1:5" ht="15" customHeight="1" x14ac:dyDescent="0.25">
      <c r="B38" s="11" t="s">
        <v>54</v>
      </c>
      <c r="C38" s="43">
        <v>34.436309999999999</v>
      </c>
      <c r="D38" s="12"/>
      <c r="E38" s="13"/>
    </row>
    <row r="39" spans="1:5" ht="15" customHeight="1" x14ac:dyDescent="0.25">
      <c r="B39" s="11" t="s">
        <v>80</v>
      </c>
      <c r="C39" s="43">
        <v>42.811900000000001</v>
      </c>
      <c r="D39" s="12"/>
      <c r="E39" s="12"/>
    </row>
    <row r="40" spans="1:5" ht="15" customHeight="1" x14ac:dyDescent="0.25">
      <c r="B40" s="11" t="s">
        <v>55</v>
      </c>
      <c r="C40" s="98">
        <v>1.92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7.7334000000000014E-3</v>
      </c>
      <c r="D45" s="12"/>
    </row>
    <row r="46" spans="1:5" ht="15.75" customHeight="1" x14ac:dyDescent="0.25">
      <c r="B46" s="11" t="s">
        <v>70</v>
      </c>
      <c r="C46" s="45">
        <v>8.2766599999999996E-2</v>
      </c>
      <c r="D46" s="12"/>
    </row>
    <row r="47" spans="1:5" ht="15.75" customHeight="1" x14ac:dyDescent="0.25">
      <c r="B47" s="11" t="s">
        <v>78</v>
      </c>
      <c r="C47" s="45">
        <v>0.1917741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1.976</v>
      </c>
      <c r="D51" s="12"/>
    </row>
    <row r="52" spans="1:4" ht="15" customHeight="1" x14ac:dyDescent="0.25">
      <c r="B52" s="11" t="s">
        <v>32</v>
      </c>
      <c r="C52" s="98">
        <v>1.976</v>
      </c>
    </row>
    <row r="53" spans="1:4" ht="15.75" customHeight="1" x14ac:dyDescent="0.25">
      <c r="B53" s="11" t="s">
        <v>35</v>
      </c>
      <c r="C53" s="98">
        <v>5.2</v>
      </c>
    </row>
    <row r="54" spans="1:4" ht="15.75" customHeight="1" x14ac:dyDescent="0.25">
      <c r="B54" s="11" t="s">
        <v>33</v>
      </c>
      <c r="C54" s="98">
        <v>5.7720000000000002</v>
      </c>
    </row>
    <row r="55" spans="1:4" ht="15.75" customHeight="1" x14ac:dyDescent="0.25">
      <c r="B55" s="11" t="s">
        <v>34</v>
      </c>
      <c r="C55" s="98">
        <v>3.007333333333333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0.51547399999999999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0.19380283079999999</v>
      </c>
    </row>
    <row r="63" spans="1:4" ht="15.75" customHeight="1" x14ac:dyDescent="0.3">
      <c r="A63" s="4"/>
    </row>
  </sheetData>
  <sheetProtection algorithmName="SHA-512" hashValue="NQSbazjG6WTO7Ho66wRby3IrMK+VsRkxN6o4Nl7EtmMZdBeEV+A+ONe7COu0W2f21FN4HglUOy6r4OlWPy3ULg==" saltValue="17kXkcZJ0lJ0CCrLSg5c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1xTo3vJ+x6o7gagM0jIaUfUcjDFqGV5glxUJLsr9JbxxuG/7BBoNhQ20VR9EFhVk3WyatY75BKeTY3VJSlDnA==" saltValue="iZeXNeqf0/SZIJsISEEv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1.273287936014751E-2</v>
      </c>
    </row>
    <row r="4" spans="1:8" ht="15.75" customHeight="1" x14ac:dyDescent="0.25">
      <c r="B4" s="19" t="s">
        <v>116</v>
      </c>
      <c r="C4" s="99">
        <v>5.1037667288558748E-2</v>
      </c>
    </row>
    <row r="5" spans="1:8" ht="15.75" customHeight="1" x14ac:dyDescent="0.25">
      <c r="B5" s="19" t="s">
        <v>114</v>
      </c>
      <c r="C5" s="99">
        <v>7.8308673753194405E-2</v>
      </c>
    </row>
    <row r="6" spans="1:8" ht="15.75" customHeight="1" x14ac:dyDescent="0.25">
      <c r="B6" s="19" t="s">
        <v>110</v>
      </c>
      <c r="C6" s="99">
        <v>0.2326897711165167</v>
      </c>
    </row>
    <row r="7" spans="1:8" ht="15.75" customHeight="1" x14ac:dyDescent="0.25">
      <c r="B7" s="19" t="s">
        <v>115</v>
      </c>
      <c r="C7" s="99">
        <v>0.4111986989090074</v>
      </c>
    </row>
    <row r="8" spans="1:8" ht="15.75" customHeight="1" x14ac:dyDescent="0.25">
      <c r="B8" s="19" t="s">
        <v>117</v>
      </c>
      <c r="C8" s="99">
        <v>4.2850122417487308E-3</v>
      </c>
    </row>
    <row r="9" spans="1:8" ht="15.75" customHeight="1" x14ac:dyDescent="0.25">
      <c r="B9" s="19" t="s">
        <v>111</v>
      </c>
      <c r="C9" s="99">
        <v>8.8446834633543872E-2</v>
      </c>
    </row>
    <row r="10" spans="1:8" ht="15.75" customHeight="1" x14ac:dyDescent="0.25">
      <c r="B10" s="19" t="s">
        <v>113</v>
      </c>
      <c r="C10" s="99">
        <v>0.1213004626972827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121</v>
      </c>
      <c r="C15" s="99">
        <v>0.12616701678312611</v>
      </c>
      <c r="D15" s="99">
        <v>0.12616701678312611</v>
      </c>
      <c r="E15" s="99">
        <v>0.12616701678312611</v>
      </c>
      <c r="F15" s="99">
        <v>0.12616701678312611</v>
      </c>
    </row>
    <row r="16" spans="1:8" ht="15.75" customHeight="1" x14ac:dyDescent="0.25">
      <c r="B16" s="19" t="s">
        <v>2</v>
      </c>
      <c r="C16" s="99">
        <v>3.0911997294886868E-2</v>
      </c>
      <c r="D16" s="99">
        <v>3.0911997294886868E-2</v>
      </c>
      <c r="E16" s="99">
        <v>3.0911997294886868E-2</v>
      </c>
      <c r="F16" s="99">
        <v>3.0911997294886868E-2</v>
      </c>
    </row>
    <row r="17" spans="1:8" ht="15.75" customHeight="1" x14ac:dyDescent="0.25">
      <c r="B17" s="19" t="s">
        <v>109</v>
      </c>
      <c r="C17" s="99">
        <v>4.3466035154231718E-2</v>
      </c>
      <c r="D17" s="99">
        <v>4.3466035154231718E-2</v>
      </c>
      <c r="E17" s="99">
        <v>4.3466035154231718E-2</v>
      </c>
      <c r="F17" s="99">
        <v>4.3466035154231718E-2</v>
      </c>
    </row>
    <row r="18" spans="1:8" ht="15.75" customHeight="1" x14ac:dyDescent="0.25">
      <c r="B18" s="19" t="s">
        <v>3</v>
      </c>
      <c r="C18" s="99">
        <v>0.26117847581464998</v>
      </c>
      <c r="D18" s="99">
        <v>0.26117847581464998</v>
      </c>
      <c r="E18" s="99">
        <v>0.26117847581464998</v>
      </c>
      <c r="F18" s="99">
        <v>0.26117847581464998</v>
      </c>
    </row>
    <row r="19" spans="1:8" ht="15.75" customHeight="1" x14ac:dyDescent="0.25">
      <c r="B19" s="19" t="s">
        <v>120</v>
      </c>
      <c r="C19" s="99">
        <v>5.8093570443193618E-2</v>
      </c>
      <c r="D19" s="99">
        <v>5.8093570443193618E-2</v>
      </c>
      <c r="E19" s="99">
        <v>5.8093570443193618E-2</v>
      </c>
      <c r="F19" s="99">
        <v>5.8093570443193618E-2</v>
      </c>
    </row>
    <row r="20" spans="1:8" ht="15.75" customHeight="1" x14ac:dyDescent="0.25">
      <c r="B20" s="19" t="s">
        <v>98</v>
      </c>
      <c r="C20" s="99">
        <v>5.1926603688117058E-2</v>
      </c>
      <c r="D20" s="99">
        <v>5.1926603688117058E-2</v>
      </c>
      <c r="E20" s="99">
        <v>5.1926603688117058E-2</v>
      </c>
      <c r="F20" s="99">
        <v>5.1926603688117058E-2</v>
      </c>
    </row>
    <row r="21" spans="1:8" ht="15.75" customHeight="1" x14ac:dyDescent="0.25">
      <c r="B21" s="19" t="s">
        <v>107</v>
      </c>
      <c r="C21" s="99">
        <v>6.7984117540053082E-2</v>
      </c>
      <c r="D21" s="99">
        <v>6.7984117540053082E-2</v>
      </c>
      <c r="E21" s="99">
        <v>6.7984117540053082E-2</v>
      </c>
      <c r="F21" s="99">
        <v>6.7984117540053082E-2</v>
      </c>
    </row>
    <row r="22" spans="1:8" ht="15.75" customHeight="1" x14ac:dyDescent="0.25">
      <c r="B22" s="19" t="s">
        <v>118</v>
      </c>
      <c r="C22" s="99">
        <v>0.1997532307305715</v>
      </c>
      <c r="D22" s="99">
        <v>0.1997532307305715</v>
      </c>
      <c r="E22" s="99">
        <v>0.1997532307305715</v>
      </c>
      <c r="F22" s="99">
        <v>0.1997532307305715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4.7892169999999998E-2</v>
      </c>
    </row>
    <row r="27" spans="1:8" ht="15.75" customHeight="1" x14ac:dyDescent="0.25">
      <c r="B27" s="19" t="s">
        <v>108</v>
      </c>
      <c r="C27" s="99">
        <v>1.8253354999999999E-2</v>
      </c>
    </row>
    <row r="28" spans="1:8" ht="15.75" customHeight="1" x14ac:dyDescent="0.25">
      <c r="B28" s="19" t="s">
        <v>122</v>
      </c>
      <c r="C28" s="99">
        <v>0.22970390299999999</v>
      </c>
    </row>
    <row r="29" spans="1:8" ht="15.75" customHeight="1" x14ac:dyDescent="0.25">
      <c r="B29" s="19" t="s">
        <v>105</v>
      </c>
      <c r="C29" s="99">
        <v>0.13801279299999999</v>
      </c>
    </row>
    <row r="30" spans="1:8" ht="15.75" customHeight="1" x14ac:dyDescent="0.25">
      <c r="B30" s="19" t="s">
        <v>4</v>
      </c>
      <c r="C30" s="99">
        <v>4.9951097000000007E-2</v>
      </c>
    </row>
    <row r="31" spans="1:8" ht="15.75" customHeight="1" x14ac:dyDescent="0.25">
      <c r="B31" s="19" t="s">
        <v>99</v>
      </c>
      <c r="C31" s="99">
        <v>7.037699800000001E-2</v>
      </c>
    </row>
    <row r="32" spans="1:8" ht="15.75" customHeight="1" x14ac:dyDescent="0.25">
      <c r="B32" s="19" t="s">
        <v>104</v>
      </c>
      <c r="C32" s="99">
        <v>0.14732740899999999</v>
      </c>
    </row>
    <row r="33" spans="2:3" ht="15.75" customHeight="1" x14ac:dyDescent="0.25">
      <c r="B33" s="19" t="s">
        <v>119</v>
      </c>
      <c r="C33" s="99">
        <v>0.124050595</v>
      </c>
    </row>
    <row r="34" spans="2:3" ht="15.75" customHeight="1" x14ac:dyDescent="0.25">
      <c r="B34" s="19" t="s">
        <v>106</v>
      </c>
      <c r="C34" s="99">
        <v>0.17443167800000001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+xwplDvGBrNKVTBA9IdTtzIGiWlOhw8S4Wr5W7TrM864RB1OKE/xoggZL9rhcKJZ0bV8iFmfB8yoA80IT/ocSA==" saltValue="X3NMUYOR9nb98FkwjF/qM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129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125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126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138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Il2fohQf+ZCgPlPVX95+yDdYXuwZpop4eiZc6maQyTydXRDAmpkpCFCzAqWHhnSVGKfoi4wR3VYErUSrD12eg==" saltValue="iaQsPie0Hjz/wiqicNjR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7.4436000000000058E-2</v>
      </c>
      <c r="D5" s="52">
        <f t="shared" si="0"/>
        <v>5.0070099999999895E-2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voxXIKtEYIlCuHmmrFbsyC1NnhmL+tWh7XwURxOMgbdShOZu7GDwIX+8UsVyupZ3wKrTkjLbLplUfUeLXO3cJg==" saltValue="FuNgjtjOOgCR8r1Hk6ze6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xltA+/aUenj3ibcUdlyQtBWCZnUA+xvjHJDugRKEkt4wO/06dPOvEa7zZU1BFNRYiz9YK9xCS1W9D0dr8QnXQ==" saltValue="ZrtWH+bSX7MJ/hoHOodI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3115.92292304288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0.32693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0.47908000000000001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1.3627438130950071E-2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95505.803839999993</v>
      </c>
      <c r="C22" s="107">
        <v>95038.069820000004</v>
      </c>
      <c r="D22" s="107">
        <v>94698.666249999995</v>
      </c>
      <c r="E22" s="107">
        <v>94102.186990000002</v>
      </c>
      <c r="F22" s="107">
        <v>93244.490139999994</v>
      </c>
      <c r="G22" s="107">
        <v>92171.747919999994</v>
      </c>
      <c r="H22" s="107">
        <v>90737.867499999993</v>
      </c>
      <c r="I22" s="107">
        <v>88744.573239999998</v>
      </c>
      <c r="J22" s="107">
        <v>85944.047649999993</v>
      </c>
      <c r="K22" s="107">
        <v>82222.648910000004</v>
      </c>
      <c r="L22" s="107">
        <v>77214.110709999994</v>
      </c>
      <c r="M22" s="107">
        <v>70621.972410000002</v>
      </c>
      <c r="N22" s="107">
        <v>61918.49338</v>
      </c>
      <c r="O22" s="107">
        <v>51384.845679999999</v>
      </c>
    </row>
  </sheetData>
  <sheetProtection algorithmName="SHA-512" hashValue="/ovopyB/w5WzwyR8p6aJFWuAbDBk1llozhhhG0rZqZNbodXolVVTWaRKKT+MV0kAkp05ANOpkmIjH+Z5epodmQ==" saltValue="NvJlMUBkZOJnRMSt2MKJ1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kwKa8YyqZU7dwNDyoixauIY67xJKx5quDQadfNz8JIBvXAq8JxzKb+F1xDiZCdtz7OCTLt3GolgExHJFG/wrg==" saltValue="GHghZGICz/oSKk9zC9tn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EIssfM78euSjPZ3r1nP6hS8nkJqzophjYIC6QZQsKP/DTR0aSgsBDNGcTPmMHkjEJDORbdKwbeL1+VJ1C8eFdg==" saltValue="Jf9cA5PN7yrfTCBt1TNjS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0.48511197719653398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1.899427422400078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8.0286799999999992E-2</v>
      </c>
      <c r="C10" s="96">
        <v>0.95</v>
      </c>
      <c r="D10" s="56">
        <v>14.44490005937495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14.44490005937495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14.44490005937495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14.44490005937495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8.0286799999999992E-2</v>
      </c>
      <c r="C14" s="96">
        <v>0.95</v>
      </c>
      <c r="D14" s="56">
        <v>14.44490005937495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14.44490005937495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0.35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0.20200000000000001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0.57684040000000003</v>
      </c>
      <c r="C19" s="96">
        <v>0.95</v>
      </c>
      <c r="D19" s="56">
        <v>5.8130849373349918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0.67048689999999989</v>
      </c>
      <c r="C23" s="96">
        <v>0.95</v>
      </c>
      <c r="D23" s="56">
        <v>4.8184289348295932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0.40415301668664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0.29989329999999997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0.32183600000000001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1.6899999999999998E-2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0.307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0.29855500000000001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0.244063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0.15965090000000001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0.05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JzAU0OOYdvxNQ1eMdYPgN/Lfu3IB5A7qbCdkuh7jxi32FzJ0hCVZvCWyW2LMZ1AIWxTS4YTitcx+FycWZqYA7A==" saltValue="Ug1cZAvKxVZpXdG7QrXn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1g+vESoNa5nE646R9sSkPs4z17wO4QAp7TgluSB7AQQsIKa+QhaSUSYOIf1mdqR1lEbc1MVZkEvRL5mAjyLCw==" saltValue="Q0fMPimovxdnLM//fXSo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wLF1CsH3F12JhZRwZIv/fyr30vVTjCX2rfPGLToZOWoxGVR4ChCIAXixap7zuKMGtcregnaxAoJ/pWYlnMA6w==" saltValue="ZGzIpodzVtayYyKd1zLSr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1.976</v>
      </c>
      <c r="C2" s="21">
        <f>'Entradas de población-año base'!C52</f>
        <v>1.976</v>
      </c>
      <c r="D2" s="21">
        <f>'Entradas de población-año base'!C53</f>
        <v>5.2</v>
      </c>
      <c r="E2" s="21">
        <f>'Entradas de población-año base'!C54</f>
        <v>5.7720000000000002</v>
      </c>
      <c r="F2" s="21">
        <f>'Entradas de población-año base'!C55</f>
        <v>3.007333333333333</v>
      </c>
    </row>
    <row r="3" spans="1:6" ht="15.75" customHeight="1" x14ac:dyDescent="0.25">
      <c r="A3" s="3" t="s">
        <v>6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236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sheetProtection algorithmName="SHA-512" hashValue="vSv42shh4eQTjClnE1tCOPS1yRVfO16XsLV8BkeKWhV/yhFo8z9mgwki9wqZAtX1yEfOcC09Kj33cO0BXCOmTg==" saltValue="ntMr5h1Se5O6mRe+T05ca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0.38</v>
      </c>
      <c r="F2" s="60">
        <f>food_insecure</f>
        <v>0.38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4.2214545454545442E-2</v>
      </c>
      <c r="D7" s="60">
        <f>diarrhoea_1_5mo*frac_diarrhea_severe</f>
        <v>4.2214545454545442E-2</v>
      </c>
      <c r="E7" s="60">
        <f>diarrhoea_6_11mo*frac_diarrhea_severe</f>
        <v>0.11109090909090907</v>
      </c>
      <c r="F7" s="60">
        <f>diarrhoea_12_23mo*frac_diarrhea_severe</f>
        <v>0.12331090909090907</v>
      </c>
      <c r="G7" s="60">
        <f>diarrhoea_24_59mo*frac_diarrhea_severe</f>
        <v>6.4247575757575739E-2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4.2214545454545442E-2</v>
      </c>
      <c r="D12" s="60">
        <f>diarrhoea_1_5mo*frac_diarrhea_severe</f>
        <v>4.2214545454545442E-2</v>
      </c>
      <c r="E12" s="60">
        <f>diarrhoea_6_11mo*frac_diarrhea_severe</f>
        <v>0.11109090909090907</v>
      </c>
      <c r="F12" s="60">
        <f>diarrhoea_12_23mo*frac_diarrhea_severe</f>
        <v>0.12331090909090907</v>
      </c>
      <c r="G12" s="60">
        <f>diarrhoea_24_59mo*frac_diarrhea_severe</f>
        <v>6.4247575757575739E-2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</v>
      </c>
      <c r="I15" s="60">
        <f t="shared" si="0"/>
        <v>0.38</v>
      </c>
      <c r="J15" s="60">
        <f t="shared" si="0"/>
        <v>0.38</v>
      </c>
      <c r="K15" s="60">
        <f t="shared" si="0"/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</v>
      </c>
      <c r="I16" s="60">
        <f t="shared" si="0"/>
        <v>0.38</v>
      </c>
      <c r="J16" s="60">
        <f t="shared" si="0"/>
        <v>0.38</v>
      </c>
      <c r="K16" s="60">
        <f t="shared" si="0"/>
        <v>0.38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0.40350170476000002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0.17292930204000001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0.1317151932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0.2918538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0.3362</v>
      </c>
      <c r="D34" s="60">
        <f t="shared" si="4"/>
        <v>0.3362</v>
      </c>
      <c r="E34" s="60">
        <f t="shared" si="4"/>
        <v>0.3362</v>
      </c>
      <c r="F34" s="60">
        <f t="shared" si="4"/>
        <v>0.3362</v>
      </c>
      <c r="G34" s="60">
        <f t="shared" si="4"/>
        <v>0.3362</v>
      </c>
      <c r="H34" s="60">
        <f t="shared" si="4"/>
        <v>0.3362</v>
      </c>
      <c r="I34" s="60">
        <f t="shared" si="4"/>
        <v>0.3362</v>
      </c>
      <c r="J34" s="60">
        <f t="shared" si="4"/>
        <v>0.3362</v>
      </c>
      <c r="K34" s="60">
        <f t="shared" si="4"/>
        <v>0.3362</v>
      </c>
      <c r="L34" s="60">
        <f t="shared" si="4"/>
        <v>0.3362</v>
      </c>
      <c r="M34" s="60">
        <f t="shared" si="4"/>
        <v>0.3362</v>
      </c>
      <c r="N34" s="60">
        <f t="shared" si="4"/>
        <v>0.3362</v>
      </c>
      <c r="O34" s="60">
        <f t="shared" si="4"/>
        <v>0.3362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WA5/I4BaqJ/OW3yZmGmFx+XMdFxTqBgms71pFHzIRwH8NnE4p2rmiQVClbtcPfh0n5CnCbFPCryyzbpOuMKFQ==" saltValue="qNAis3JYb2r6TlIPxGwn5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LOTqKSujkeU+VTNjbKGnAmFIoRRWSY4iAdMPoY3Km/CtdPGjMPjF+4ZdRSd+IbtaH7PDBe0RPfZE/AnbQSniw==" saltValue="HXtpyLgsvylWrgK9DYsn0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m3DkKfsc7/l7AhCjq2qdFdvX2ABb0m5zq1dMHzqsoNr4AYF9hD+B5RRqqJrGfjsuYkR7TpGy76wEtzhOV6n4g==" saltValue="oryqMeZiMXLY1IU6aiKqi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dRVnMOMD8Y/vbb/teSoGeWxuYjy+rvaV32TVuvYX1zpubB0C7Tqh9Yi78xFgctrNTSe2jac68RAVyZptQNzRw==" saltValue="KPtY8nS6W18azltHeBFHq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RfQ7zrc/yXBAh0AXumGdHqVljbSr0sebR68i1fbNZZh/bDtemC7WqGqL76WBIf7/iG8bf1OQIR+kiM4xl20TYQ==" saltValue="wH5qebhklpg+KcH+m+TtS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u1YIHitrpQWXsbOO0zoJYyk8iHPW+3Hdq68lIsfUzLz0LitoaVKJ4guUiRuZq1rruL/2A3yU9rD3RFAGhFaRGQ==" saltValue="l1mbDJTp6ESQlm3ZWFyIF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/kIZ/Ts9gTCNDzWtVUTqvgs9hOP9phRL8S3c0dOEbFec37pZunnHj5KmZtPr+o1XScevAQ8PliI+AF+yjMXew==" saltValue="xQkp3su+HVi4jEGf+czss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pCgl9D3rEoCWSZTrD4O8/g7B/bYq3VBO/Ty4ajtvQvYZmI6oBT45QhLbpVIWIY0w990qB9n+BGX+fHqi5zQ8w==" saltValue="0OdMnwTO4ns0rfgCwfl2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3gdzhxXC22yHLHkunKGSuAzYv2NezF0UaK+cDczbt2Cv4e2rRdb+r651ctuwjIQdzMleNZDfynJKAYl0h0fWg==" saltValue="5MA5jwpcdTqy/xrXuqXn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6HQTy26iEXfQVydUHPxVqv4tNWaB7rvvS+Ust5CcTEyBdJ5z9kippOZDpwuTq1b41jxfbOAGibg4LW2QtK7sA==" saltValue="wedvzzRI+y+KOh/SPAmH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kCyikTwggzOBoNIOYMiy0jj6a7Zq6NdtECaCvFSIiipRvka3UchRVcnu64YDtDSpMF+hqEEOis9PrLdBRd49Q==" saltValue="GmVTOmNWZFrhv/0I5DtC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PrwWLAk5QzNai7F3BmcoG+uv5ObBr6KSkClyC6UpL/wBBhKzZpvDaffhveLoF7pN/N4Gnvjr8u5AWt75Zqxuw==" saltValue="KVt5MwUSvBj2tL3XjKTG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v8iAll6lDtWo9jy7PwUOHKdguairOMu5Gvj+2B6rGpLi+aO8QFlcllltK5t0r58cPaH/r5l8inyelisATM91Q==" saltValue="RUYNAvr9BWpetTIahSQ0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0Lfbypun/BJQQjR8MWKyb8M/7x56BRPpIXYWZsKaI/e+/dPyypMuUSLyCNnPxcHFoaNZ72lqpHIsFkXJ/yPjmQ==" saltValue="2ukU8nu6ET33Sutce/bc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EfZ6QgNep1Agc2BBiQ8R0LGsIgSxy/kDvDogNHXLgY+J64ZX9zzctLu55aNd429sujidVSkBqx+KnHZMFdXhw==" saltValue="SXh2t9QD5OKA6M4ISs5VW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2025-07-30T00:54:45Z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