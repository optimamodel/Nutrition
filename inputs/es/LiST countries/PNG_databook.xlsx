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0B501B6D-BA00-46B0-A519-743E644A6EB9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<sst xmlns="http://schemas.openxmlformats.org/spreadsheetml/2006/main" count="2102" uniqueCount="341">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</sst>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1221123.140625</v>
      </c>
    </row>
    <row r="8" spans="1:3" ht="15" customHeight="1" x14ac:dyDescent="0.25">
      <c r="B8" s="5" t="s">
        <v>44</v>
      </c>
      <c r="C8" s="44">
        <v>0.38</v>
      </c>
    </row>
    <row r="9" spans="1:3" ht="15" customHeight="1" x14ac:dyDescent="0.25">
      <c r="B9" s="5" t="s">
        <v>43</v>
      </c>
      <c r="C9" s="45">
        <v>0.3362</v>
      </c>
    </row>
    <row r="10" spans="1:3" ht="15" customHeight="1" x14ac:dyDescent="0.25">
      <c r="B10" s="5" t="s">
        <v>56</v>
      </c>
      <c r="C10" s="45">
        <v>0.299615001678467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0.59399999999999997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8.43E-2</v>
      </c>
    </row>
    <row r="24" spans="1:3" ht="15" customHeight="1" x14ac:dyDescent="0.25">
      <c r="B24" s="15" t="s">
        <v>46</v>
      </c>
      <c r="C24" s="45">
        <v>0.46639999999999998</v>
      </c>
    </row>
    <row r="25" spans="1:3" ht="15" customHeight="1" x14ac:dyDescent="0.25">
      <c r="B25" s="15" t="s">
        <v>47</v>
      </c>
      <c r="C25" s="45">
        <v>0.34599999999999992</v>
      </c>
    </row>
    <row r="26" spans="1:3" ht="15" customHeight="1" x14ac:dyDescent="0.25">
      <c r="B26" s="15" t="s">
        <v>48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0.24817471964062299</v>
      </c>
    </row>
    <row r="30" spans="1:3" ht="14.25" customHeight="1" x14ac:dyDescent="0.25">
      <c r="B30" s="25" t="s">
        <v>63</v>
      </c>
      <c r="C30" s="99">
        <v>6.3573506524813E-2</v>
      </c>
    </row>
    <row r="31" spans="1:3" ht="14.25" customHeight="1" x14ac:dyDescent="0.25">
      <c r="B31" s="25" t="s">
        <v>10</v>
      </c>
      <c r="C31" s="99">
        <v>0.116568636609094</v>
      </c>
    </row>
    <row r="32" spans="1:3" ht="14.25" customHeight="1" x14ac:dyDescent="0.25">
      <c r="B32" s="25" t="s">
        <v>11</v>
      </c>
      <c r="C32" s="99">
        <v>0.57168313722546993</v>
      </c>
    </row>
    <row r="33" spans="1:5" ht="13" customHeight="1" x14ac:dyDescent="0.25">
      <c r="B33" s="27" t="s">
        <v>60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21.217020000000002</v>
      </c>
    </row>
    <row r="38" spans="1:5" ht="15" customHeight="1" x14ac:dyDescent="0.25">
      <c r="B38" s="11" t="s">
        <v>35</v>
      </c>
      <c r="C38" s="43">
        <v>34.436309999999999</v>
      </c>
      <c r="D38" s="12"/>
      <c r="E38" s="13"/>
    </row>
    <row r="39" spans="1:5" ht="15" customHeight="1" x14ac:dyDescent="0.25">
      <c r="B39" s="11" t="s">
        <v>61</v>
      </c>
      <c r="C39" s="43">
        <v>42.811900000000001</v>
      </c>
      <c r="D39" s="12"/>
      <c r="E39" s="12"/>
    </row>
    <row r="40" spans="1:5" ht="15" customHeight="1" x14ac:dyDescent="0.25">
      <c r="B40" s="11" t="s">
        <v>36</v>
      </c>
      <c r="C40" s="100">
        <v>1.92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7.7334000000000014E-3</v>
      </c>
      <c r="D45" s="12"/>
    </row>
    <row r="46" spans="1:5" ht="15.75" customHeight="1" x14ac:dyDescent="0.25">
      <c r="B46" s="11" t="s">
        <v>51</v>
      </c>
      <c r="C46" s="45">
        <v>8.2766599999999996E-2</v>
      </c>
      <c r="D46" s="12"/>
    </row>
    <row r="47" spans="1:5" ht="15.75" customHeight="1" x14ac:dyDescent="0.25">
      <c r="B47" s="11" t="s">
        <v>59</v>
      </c>
      <c r="C47" s="45">
        <v>0.1917741</v>
      </c>
      <c r="D47" s="12"/>
      <c r="E47" s="13"/>
    </row>
    <row r="48" spans="1:5" ht="15" customHeight="1" x14ac:dyDescent="0.25">
      <c r="B48" s="11" t="s">
        <v>58</v>
      </c>
      <c r="C48" s="46">
        <v>0.71772589999999992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0.51547399999999999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3CPbARj8j6CAOFhgIWCWPx11j4xORagojsQctFf6HqIhDL6EuGeFUaS0jzdDWyWyvPWuWxd0/ry+INJBrXXqjw==" saltValue="S5HHhtn8B2cMLaINT/jQ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bXkKzJKlfWFF8fPh/YNMUthY0+6hNH5p824LhymwVDd1ef8qi7kF4HppEUqEOcrLajnu00ITTdKumGfCj2GMw==" saltValue="Myag8G74CJLGfkMGyOEPY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1.273287936014751E-2</v>
      </c>
    </row>
    <row r="4" spans="1:8" ht="15.75" customHeight="1" x14ac:dyDescent="0.25">
      <c r="B4" s="19" t="s">
        <v>97</v>
      </c>
      <c r="C4" s="101">
        <v>5.1037667288558748E-2</v>
      </c>
    </row>
    <row r="5" spans="1:8" ht="15.75" customHeight="1" x14ac:dyDescent="0.25">
      <c r="B5" s="19" t="s">
        <v>95</v>
      </c>
      <c r="C5" s="101">
        <v>7.8308673753194405E-2</v>
      </c>
    </row>
    <row r="6" spans="1:8" ht="15.75" customHeight="1" x14ac:dyDescent="0.25">
      <c r="B6" s="19" t="s">
        <v>91</v>
      </c>
      <c r="C6" s="101">
        <v>0.2326897711165167</v>
      </c>
    </row>
    <row r="7" spans="1:8" ht="15.75" customHeight="1" x14ac:dyDescent="0.25">
      <c r="B7" s="19" t="s">
        <v>96</v>
      </c>
      <c r="C7" s="101">
        <v>0.4111986989090074</v>
      </c>
    </row>
    <row r="8" spans="1:8" ht="15.75" customHeight="1" x14ac:dyDescent="0.25">
      <c r="B8" s="19" t="s">
        <v>98</v>
      </c>
      <c r="C8" s="101">
        <v>4.2850122417487308E-3</v>
      </c>
    </row>
    <row r="9" spans="1:8" ht="15.75" customHeight="1" x14ac:dyDescent="0.25">
      <c r="B9" s="19" t="s">
        <v>92</v>
      </c>
      <c r="C9" s="101">
        <v>8.8446834633543872E-2</v>
      </c>
    </row>
    <row r="10" spans="1:8" ht="15.75" customHeight="1" x14ac:dyDescent="0.25">
      <c r="B10" s="19" t="s">
        <v>94</v>
      </c>
      <c r="C10" s="101">
        <v>0.1213004626972827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102</v>
      </c>
      <c r="C15" s="101">
        <v>0.12616701678312611</v>
      </c>
      <c r="D15" s="101">
        <v>0.12616701678312611</v>
      </c>
      <c r="E15" s="101">
        <v>0.12616701678312611</v>
      </c>
      <c r="F15" s="101">
        <v>0.12616701678312611</v>
      </c>
    </row>
    <row r="16" spans="1:8" ht="15.75" customHeight="1" x14ac:dyDescent="0.25">
      <c r="B16" s="19" t="s">
        <v>2</v>
      </c>
      <c r="C16" s="101">
        <v>3.0911997294886868E-2</v>
      </c>
      <c r="D16" s="101">
        <v>3.0911997294886868E-2</v>
      </c>
      <c r="E16" s="101">
        <v>3.0911997294886868E-2</v>
      </c>
      <c r="F16" s="101">
        <v>3.0911997294886868E-2</v>
      </c>
    </row>
    <row r="17" spans="1:8" ht="15.75" customHeight="1" x14ac:dyDescent="0.25">
      <c r="B17" s="19" t="s">
        <v>90</v>
      </c>
      <c r="C17" s="101">
        <v>4.3466035154231718E-2</v>
      </c>
      <c r="D17" s="101">
        <v>4.3466035154231718E-2</v>
      </c>
      <c r="E17" s="101">
        <v>4.3466035154231718E-2</v>
      </c>
      <c r="F17" s="101">
        <v>4.3466035154231718E-2</v>
      </c>
    </row>
    <row r="18" spans="1:8" ht="15.75" customHeight="1" x14ac:dyDescent="0.25">
      <c r="B18" s="19" t="s">
        <v>3</v>
      </c>
      <c r="C18" s="101">
        <v>0.26117847581464998</v>
      </c>
      <c r="D18" s="101">
        <v>0.26117847581464998</v>
      </c>
      <c r="E18" s="101">
        <v>0.26117847581464998</v>
      </c>
      <c r="F18" s="101">
        <v>0.26117847581464998</v>
      </c>
    </row>
    <row r="19" spans="1:8" ht="15.75" customHeight="1" x14ac:dyDescent="0.25">
      <c r="B19" s="19" t="s">
        <v>101</v>
      </c>
      <c r="C19" s="101">
        <v>5.8093570443193618E-2</v>
      </c>
      <c r="D19" s="101">
        <v>5.8093570443193618E-2</v>
      </c>
      <c r="E19" s="101">
        <v>5.8093570443193618E-2</v>
      </c>
      <c r="F19" s="101">
        <v>5.8093570443193618E-2</v>
      </c>
    </row>
    <row r="20" spans="1:8" ht="15.75" customHeight="1" x14ac:dyDescent="0.25">
      <c r="B20" s="19" t="s">
        <v>79</v>
      </c>
      <c r="C20" s="101">
        <v>5.1926603688117058E-2</v>
      </c>
      <c r="D20" s="101">
        <v>5.1926603688117058E-2</v>
      </c>
      <c r="E20" s="101">
        <v>5.1926603688117058E-2</v>
      </c>
      <c r="F20" s="101">
        <v>5.1926603688117058E-2</v>
      </c>
    </row>
    <row r="21" spans="1:8" ht="15.75" customHeight="1" x14ac:dyDescent="0.25">
      <c r="B21" s="19" t="s">
        <v>88</v>
      </c>
      <c r="C21" s="101">
        <v>6.7984117540053082E-2</v>
      </c>
      <c r="D21" s="101">
        <v>6.7984117540053082E-2</v>
      </c>
      <c r="E21" s="101">
        <v>6.7984117540053082E-2</v>
      </c>
      <c r="F21" s="101">
        <v>6.7984117540053082E-2</v>
      </c>
    </row>
    <row r="22" spans="1:8" ht="15.75" customHeight="1" x14ac:dyDescent="0.25">
      <c r="B22" s="19" t="s">
        <v>99</v>
      </c>
      <c r="C22" s="101">
        <v>0.1997532307305715</v>
      </c>
      <c r="D22" s="101">
        <v>0.1997532307305715</v>
      </c>
      <c r="E22" s="101">
        <v>0.1997532307305715</v>
      </c>
      <c r="F22" s="101">
        <v>0.1997532307305715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4.7892169999999998E-2</v>
      </c>
    </row>
    <row r="27" spans="1:8" ht="15.75" customHeight="1" x14ac:dyDescent="0.25">
      <c r="B27" s="19" t="s">
        <v>89</v>
      </c>
      <c r="C27" s="101">
        <v>1.8253354999999999E-2</v>
      </c>
    </row>
    <row r="28" spans="1:8" ht="15.75" customHeight="1" x14ac:dyDescent="0.25">
      <c r="B28" s="19" t="s">
        <v>103</v>
      </c>
      <c r="C28" s="101">
        <v>0.22970390299999999</v>
      </c>
    </row>
    <row r="29" spans="1:8" ht="15.75" customHeight="1" x14ac:dyDescent="0.25">
      <c r="B29" s="19" t="s">
        <v>86</v>
      </c>
      <c r="C29" s="101">
        <v>0.13801279299999999</v>
      </c>
    </row>
    <row r="30" spans="1:8" ht="15.75" customHeight="1" x14ac:dyDescent="0.25">
      <c r="B30" s="19" t="s">
        <v>4</v>
      </c>
      <c r="C30" s="101">
        <v>4.9951097000000007E-2</v>
      </c>
    </row>
    <row r="31" spans="1:8" ht="15.75" customHeight="1" x14ac:dyDescent="0.25">
      <c r="B31" s="19" t="s">
        <v>80</v>
      </c>
      <c r="C31" s="101">
        <v>7.037699800000001E-2</v>
      </c>
    </row>
    <row r="32" spans="1:8" ht="15.75" customHeight="1" x14ac:dyDescent="0.25">
      <c r="B32" s="19" t="s">
        <v>85</v>
      </c>
      <c r="C32" s="101">
        <v>0.14732740899999999</v>
      </c>
    </row>
    <row r="33" spans="2:3" ht="15.75" customHeight="1" x14ac:dyDescent="0.25">
      <c r="B33" s="19" t="s">
        <v>100</v>
      </c>
      <c r="C33" s="101">
        <v>0.124050595</v>
      </c>
    </row>
    <row r="34" spans="2:3" ht="15.75" customHeight="1" x14ac:dyDescent="0.25">
      <c r="B34" s="19" t="s">
        <v>87</v>
      </c>
      <c r="C34" s="101">
        <v>0.17443167800000001</v>
      </c>
    </row>
    <row r="35" spans="2:3" ht="15.75" customHeight="1" x14ac:dyDescent="0.25">
      <c r="B35" s="27" t="s">
        <v>60</v>
      </c>
      <c r="C35" s="48">
        <f>SUM(C26:C34)</f>
        <v>0.99999999799999995</v>
      </c>
    </row>
  </sheetData>
  <sheetProtection algorithmName="SHA-512" hashValue="YqVc5aAxUuBfbOdk0iY/5aVEmCbzdbFsG17uN3GrMiDsNqlyj3cWYJrhGsbMbiUwwuZdYBEYCh8cBpqZWtRqfQ==" saltValue="EIHDUq7nXtMUe4SVkTn3y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110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106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107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119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2paK845eJ3q0RBrH5I5NwhwkJpE/LzpcJIPFZjJ+Y/PSn/1k2FS5cXZisSkOWnogZTBl/LcTOIgTjkRWP6ouQ==" saltValue="wTh92apWbOSHa4G2o/GH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125</v>
      </c>
      <c r="C5" s="52">
        <v>7.4436000000000002E-2</v>
      </c>
      <c r="D5" s="52">
        <v>5.0070099999999999E-2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ft1nsX3tqhKmrEod/IjFghIkkxtSm94CnVdZJp3i/rMwbjNMHtKOw/OAsLLMj+lOAwo0xlpGc0esnirT/973VQ==" saltValue="KE/yfCmp4Ft/zaasBj2jw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ffOeHKnLmVsRuXU1TK7jbpfO1qzBGg6XF3sg70KIeR7/FLMNjzF8jlh2zIrnNjD/hOC6SGgtmaaUDnCc/Fx8Q==" saltValue="dbhz/GAKDEv8Dm0NEukz0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4G0MFCJCyUm0bCM0Qg8VJKrJNKod2fhQbpztiKEEgQ1M/0GszGKvcMJWUKNy22NdNXgxfnQD56kFZDTvsKmNMw==" saltValue="oYBVJ/2cWCYb3fXi8Eao0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79eFxo8TImUZK/BkXNPU2tcnb9W0kJMfQtFKsuvRTg5x3HjBL/gEAg5PlKSAt+9z/vhc4IdPR6QbIndZF8GTKQ==" saltValue="ZN3Sw2nOV59RezBO6GLE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mxRx/RBPP/18qL516ii5u7sG3n0plg3vAN7k8J0S6f9rijb/wq/LYN2LdwCpO5p4ecg1JsKQI91h1Dn5tBpN6A==" saltValue="aDHIUi8s/erzPYInQubNY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47.543631948570813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0.1842360044154</v>
      </c>
      <c r="C3" s="98">
        <v>0.95</v>
      </c>
      <c r="D3" s="56">
        <v>44.919838190254588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250.00911159604749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0.48511197719653398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8.0286799999999992E-2</v>
      </c>
      <c r="C10" s="98">
        <v>0.95</v>
      </c>
      <c r="D10" s="56">
        <v>14.44490005937495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8.0286799999999992E-2</v>
      </c>
      <c r="C11" s="98">
        <v>0.95</v>
      </c>
      <c r="D11" s="56">
        <v>14.44490005937495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8.0286799999999992E-2</v>
      </c>
      <c r="C12" s="98">
        <v>0.95</v>
      </c>
      <c r="D12" s="56">
        <v>14.44490005937495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8.0286799999999992E-2</v>
      </c>
      <c r="C13" s="98">
        <v>0.95</v>
      </c>
      <c r="D13" s="56">
        <v>14.44490005937495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8.0286799999999992E-2</v>
      </c>
      <c r="C14" s="98">
        <v>0.95</v>
      </c>
      <c r="D14" s="56">
        <v>14.44490005937495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8.0286799999999992E-2</v>
      </c>
      <c r="C15" s="98">
        <v>0.95</v>
      </c>
      <c r="D15" s="56">
        <v>14.44490005937495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0.65</v>
      </c>
      <c r="C16" s="98">
        <v>0.95</v>
      </c>
      <c r="D16" s="56">
        <v>0.50118534166365525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7.1175580664759999E-2</v>
      </c>
      <c r="C18" s="98">
        <v>0.95</v>
      </c>
      <c r="D18" s="56">
        <v>5.8130849373349918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0.19304730000000001</v>
      </c>
      <c r="C19" s="98">
        <v>0.95</v>
      </c>
      <c r="D19" s="56">
        <v>5.8130849373349918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0.15965090000000001</v>
      </c>
      <c r="C21" s="98">
        <v>0.95</v>
      </c>
      <c r="D21" s="56">
        <v>6.2567341056259016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24.762499177403289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4.8184289348295932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0.53934508313712004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8.0286799999999992E-2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20.75026783587251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0.42295321447236001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89.715813228316819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0.34</v>
      </c>
      <c r="C31" s="98">
        <v>0.95</v>
      </c>
      <c r="D31" s="56">
        <v>8.5059079955029304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1.0438007378265179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0.34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0.32183600000000001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0.29989329999999997</v>
      </c>
      <c r="C38" s="98">
        <v>0.95</v>
      </c>
      <c r="D38" s="56">
        <v>6.1730292806260767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s4otKW0qZzTg8r+vJOWKRJup08K6YUaFKWuBSLITsS72dQS4gJHUEVAupaRoPEeysxq177edRlF/yzyWy+WKoA==" saltValue="0MbVLFkkddeEeirkAG3Z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7g6RPtHIbCRaCxwZqD+dON4rWD2mBvBZzsbF/yVyZ6tBfqrn4mOut8hIBdYdDDQMORmdjw+I3I6nVDaxNRCHQQ==" saltValue="f84obDyK8rCHLUY/BvpK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JGjpFF2hwMbNcGWzmY1i5uhA9N+8Q7KuX10U8bjR8zEa/0S3yaO7E+mc+gyTOwu5XvaDe/8jjQTu9i+tBJhww==" saltValue="patrhTWAg7ixwIy5DBrU3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207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sheetProtection algorithmName="SHA-512" hashValue="TAYvi21KFaNiqpcRbW9Yr7aCE9wi8l/84AuaU0kJCmNQ+EUhJSittBnCkKDl2mJgI8k44G3hlWqGJNUIFiAuHQ==" saltValue="mie2ldXxfnEZbNBbOnefZ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0.59399999999999997</v>
      </c>
      <c r="M24" s="60">
        <f>famplan_unmet_need</f>
        <v>0.59399999999999997</v>
      </c>
      <c r="N24" s="60">
        <f>famplan_unmet_need</f>
        <v>0.59399999999999997</v>
      </c>
      <c r="O24" s="60">
        <f>famplan_unmet_need</f>
        <v>0.59399999999999997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0.39907937204360949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0.17103401659011835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0.13027160968780513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0.299615001678467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0.3362</v>
      </c>
      <c r="D34" s="60">
        <f t="shared" si="3"/>
        <v>0.3362</v>
      </c>
      <c r="E34" s="60">
        <f t="shared" si="3"/>
        <v>0.3362</v>
      </c>
      <c r="F34" s="60">
        <f t="shared" si="3"/>
        <v>0.3362</v>
      </c>
      <c r="G34" s="60">
        <f t="shared" si="3"/>
        <v>0.3362</v>
      </c>
      <c r="H34" s="60">
        <f t="shared" si="3"/>
        <v>0.3362</v>
      </c>
      <c r="I34" s="60">
        <f t="shared" si="3"/>
        <v>0.3362</v>
      </c>
      <c r="J34" s="60">
        <f t="shared" si="3"/>
        <v>0.3362</v>
      </c>
      <c r="K34" s="60">
        <f t="shared" si="3"/>
        <v>0.3362</v>
      </c>
      <c r="L34" s="60">
        <f t="shared" si="3"/>
        <v>0.3362</v>
      </c>
      <c r="M34" s="60">
        <f t="shared" si="3"/>
        <v>0.3362</v>
      </c>
      <c r="N34" s="60">
        <f t="shared" si="3"/>
        <v>0.3362</v>
      </c>
      <c r="O34" s="60">
        <f t="shared" si="3"/>
        <v>0.3362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o53WmbxnmZjdgikcSj2+sjRKTDEuTqmpVYXhcY20lxV6vGgtUK/cjhnXcWEh/u3semVPtMG39z49/0rAkawaA==" saltValue="9XVb7OwMSvWTAM9y9TLs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4IpF8GLI2KwPy4k7ME87A2WGsVVRslOdpRDvPJbdPHzncHi82ozFyQ7W38QIYdUV+pn1MlrW4d+GX0suM5t3dg==" saltValue="4G6KPjj3wLyGpGe43+G3X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KrQLHYs77uKi4/NKieZ7WYzLoEIO38WYf/El4S8gS/e84EfFZoR3GKiiCXLX8vE4kONOAlKbD8mzsDsd81nBA==" saltValue="lOul6J9XPLPqpbGvCev1C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nKkoFLbBT4dg1ajE5DYDYIMa/uWg4BVgamPOnkuhkncSCNsiG+9IgWdNRFa3TpWDtJRGbPn3caOIcOez24rwQ==" saltValue="C4kVKg1WcfGBfOx7WOwh1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C/AC/B+7q48ekBAzJ4R95yEP3kmoCTPTNdWru1oQHH1Nft2D/fNkfd+x/a9sQ7GGFQLitgyhNpcwj7CPrZgXA==" saltValue="xxuFUHZ3xXoj+T7P96sRv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hyJ7Z1JLv+8k9hlQsKVYETbzWO0nMSp6a5YlJNH+je/uA4G+NCTmJpchHJt6uiJzvhUZy9yCE5O94/uQhEFTeQ==" saltValue="6ZkXdF3hji20dlfmBoa6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p338hskv3BhotFeYGWQRePv3QjAUez3L9wprHJbMKzRzH8UcMowOrJeufRmbk3hMbThXDdkio8fQS9BVNaq2iQ==" saltValue="q5aFhpS4Smg6KcGuMRj74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xBrJvXGbElttvQ2y0yXgKKHWIcvPiZt9qp2c8B2UtB5aq2qKtC05x4+H7+nkxOpiMaQOBwpVlGaw0NBj+WwqQ==" saltValue="cuYRblAIl8igs1D9ovRF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cejOKQsedODX3MtJuDR3Ojl5VAPXSrwH97eVPcc4cakUbam5+hjRQi4zHPzGmxyW5j6tdLQLqwu6h8VYcYCQw==" saltValue="cSBV0ATOCiBAspmcY1SL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SwmaHt7hBgvsmaJ4yENewA5ZTauHDk/3C1Tme7ZfWdaFLhlemSRvKdysE8HZk2B7g1XmjUXXMuCp1bKLijWp1A==" saltValue="+UiICE50+qCs1w6W0jDg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9/UT+Muu+hHhzPPHW72zLlVOGUIGy7f6z2bFdEM4D8AHDJkTMrrMTiaWaIwDTCFYVJypfwjKzS61KHOONvyjLw==" saltValue="PYJz2gdFnYSAQZ8/rdP9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ixKIPkPr7UrUpa3OFUTUt0FRznuYApKkCWV+eQr5sRWxqf8ba2SwdstCVADRC1AM47qd32UwqQ8535JnlM5TQ==" saltValue="7lVSANwurTYA5GuO8Ssy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Ex+Xi6C27nO9teCkA1M18wrdjpzt3a2oJe0BO90o5+cNZ0TKXVok0smPd3Hcfd0qnID0O56L7WUcTLO6/y9BQ==" saltValue="nLTFu3CKItu1XteIsd8w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BkXovW7nhJyqpH0gR8dOAS4rhCSyNXa4RDGeyEQ+gWsQaBomPgrCJ3flrqpcGvcqnpBsGsL/vbCPrxBEhW+3g==" saltValue="4Uf/Izk39k/jf6/SUT7R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hwWBHbVxpEnBwbIgQRMK/LgmIDqbOgVJGb7fxzyFIe+YacseyBGR4vJ2Fem56hbsVS3ncQCZPFs3QsgklBCQ1Q==" saltValue="8wDDrl0VAHykNcv+HKLgd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2024-05-16T23:55:05Z</dcterms:modified>
</cp:coreProperties>
</file>