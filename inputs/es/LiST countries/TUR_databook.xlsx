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33FC3E07-0637-48C5-8A48-E3D042C9A006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6" i="2" l="1"/>
  <c r="A31" i="2"/>
  <c r="I38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<sst xmlns="http://schemas.openxmlformats.org/spreadsheetml/2006/main" count="2169" uniqueCount="373">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</sst>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5351786</v>
      </c>
    </row>
    <row r="8" spans="1:3" ht="15" customHeight="1" x14ac:dyDescent="0.25">
      <c r="B8" s="5" t="s">
        <v>63</v>
      </c>
      <c r="C8" s="44">
        <v>0.14399999999999999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0.86044359999999998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0.11600000000000001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7.0099999999999996E-2</v>
      </c>
    </row>
    <row r="24" spans="1:3" ht="15" customHeight="1" x14ac:dyDescent="0.25">
      <c r="B24" s="15" t="s">
        <v>65</v>
      </c>
      <c r="C24" s="45">
        <v>0.54359999999999997</v>
      </c>
    </row>
    <row r="25" spans="1:3" ht="15" customHeight="1" x14ac:dyDescent="0.25">
      <c r="B25" s="15" t="s">
        <v>66</v>
      </c>
      <c r="C25" s="45">
        <v>0.36299999999999999</v>
      </c>
    </row>
    <row r="26" spans="1:3" ht="15" customHeight="1" x14ac:dyDescent="0.25">
      <c r="B26" s="15" t="s">
        <v>67</v>
      </c>
      <c r="C26" s="45">
        <v>2.3300000000000001E-2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0.34453989050682299</v>
      </c>
    </row>
    <row r="30" spans="1:3" ht="14.25" customHeight="1" x14ac:dyDescent="0.25">
      <c r="B30" s="25" t="s">
        <v>82</v>
      </c>
      <c r="C30" s="97">
        <v>4.9975046177627103E-2</v>
      </c>
    </row>
    <row r="31" spans="1:3" ht="14.25" customHeight="1" x14ac:dyDescent="0.25">
      <c r="B31" s="25" t="s">
        <v>29</v>
      </c>
      <c r="C31" s="97">
        <v>6.4980512501330898E-2</v>
      </c>
    </row>
    <row r="32" spans="1:3" ht="14.25" customHeight="1" x14ac:dyDescent="0.25">
      <c r="B32" s="25" t="s">
        <v>30</v>
      </c>
      <c r="C32" s="97">
        <v>0.540504550814219</v>
      </c>
    </row>
    <row r="33" spans="1:5" ht="13.25" customHeight="1" x14ac:dyDescent="0.25">
      <c r="B33" s="27" t="s">
        <v>79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4.7240500000000001</v>
      </c>
    </row>
    <row r="38" spans="1:5" ht="15" customHeight="1" x14ac:dyDescent="0.25">
      <c r="B38" s="11" t="s">
        <v>54</v>
      </c>
      <c r="C38" s="43">
        <v>7.6910100000000003</v>
      </c>
      <c r="D38" s="12"/>
      <c r="E38" s="13"/>
    </row>
    <row r="39" spans="1:5" ht="15" customHeight="1" x14ac:dyDescent="0.25">
      <c r="B39" s="11" t="s">
        <v>80</v>
      </c>
      <c r="C39" s="43">
        <v>8.9801699999999993</v>
      </c>
      <c r="D39" s="12"/>
      <c r="E39" s="12"/>
    </row>
    <row r="40" spans="1:5" ht="15" customHeight="1" x14ac:dyDescent="0.25">
      <c r="B40" s="11" t="s">
        <v>55</v>
      </c>
      <c r="C40" s="98">
        <v>0.17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4.2241200000000001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9.3725000000000006E-3</v>
      </c>
      <c r="D45" s="12"/>
    </row>
    <row r="46" spans="1:5" ht="15.75" customHeight="1" x14ac:dyDescent="0.25">
      <c r="B46" s="11" t="s">
        <v>70</v>
      </c>
      <c r="C46" s="45">
        <v>0.1007064</v>
      </c>
      <c r="D46" s="12"/>
    </row>
    <row r="47" spans="1:5" ht="15.75" customHeight="1" x14ac:dyDescent="0.25">
      <c r="B47" s="11" t="s">
        <v>78</v>
      </c>
      <c r="C47" s="45">
        <v>7.2086999999999998E-2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2.9</v>
      </c>
      <c r="D51" s="12"/>
    </row>
    <row r="52" spans="1:4" ht="15" customHeight="1" x14ac:dyDescent="0.25">
      <c r="B52" s="11" t="s">
        <v>32</v>
      </c>
      <c r="C52" s="98">
        <v>2.9</v>
      </c>
    </row>
    <row r="53" spans="1:4" ht="15.75" customHeight="1" x14ac:dyDescent="0.25">
      <c r="B53" s="11" t="s">
        <v>35</v>
      </c>
      <c r="C53" s="98">
        <v>2.9</v>
      </c>
    </row>
    <row r="54" spans="1:4" ht="15.75" customHeight="1" x14ac:dyDescent="0.25">
      <c r="B54" s="11" t="s">
        <v>33</v>
      </c>
      <c r="C54" s="98">
        <v>2.9</v>
      </c>
    </row>
    <row r="55" spans="1:4" ht="15.75" customHeight="1" x14ac:dyDescent="0.25">
      <c r="B55" s="11" t="s">
        <v>34</v>
      </c>
      <c r="C55" s="98">
        <v>2.9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2.0689655172413789E-2</v>
      </c>
    </row>
    <row r="59" spans="1:4" ht="15.75" customHeight="1" x14ac:dyDescent="0.25">
      <c r="B59" s="11" t="s">
        <v>59</v>
      </c>
      <c r="C59" s="45">
        <v>0.59711100000000006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0.12896842219999999</v>
      </c>
    </row>
    <row r="63" spans="1:4" ht="15.75" customHeight="1" x14ac:dyDescent="0.3">
      <c r="A63" s="4"/>
    </row>
  </sheetData>
  <sheetProtection algorithmName="SHA-512" hashValue="/7tbhRdWDclSBFCId7gV4kqgNzLBm4J2UrrUP1kJZBAg0ZNKf0MYyEg38g9ehrg5j3+QZR6eciMdxfhOi/D0qg==" saltValue="owAAH5hIz+ooZZU+pO7H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1060605</v>
      </c>
      <c r="C2" s="49">
        <v>3077254.5</v>
      </c>
      <c r="D2" s="49">
        <v>6577744</v>
      </c>
      <c r="E2" s="49">
        <v>6407914</v>
      </c>
      <c r="F2" s="49">
        <v>6449180</v>
      </c>
      <c r="G2" s="17">
        <f t="shared" ref="G2:G13" si="0">C2+D2+E2+F2</f>
        <v>22512092.5</v>
      </c>
      <c r="H2" s="17">
        <f t="shared" ref="H2:H13" si="1">(B2 + stillbirth*B2/(1000-stillbirth))/(1-abortion)</f>
        <v>1210345.5995996352</v>
      </c>
      <c r="I2" s="17">
        <f t="shared" ref="I2:I13" si="2">G2-H2</f>
        <v>21301746.900400363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1053303</v>
      </c>
      <c r="C3" s="50">
        <v>3094362</v>
      </c>
      <c r="D3" s="50">
        <v>6455627.5000000009</v>
      </c>
      <c r="E3" s="50">
        <v>6420057</v>
      </c>
      <c r="F3" s="50">
        <v>6492492</v>
      </c>
      <c r="G3" s="17">
        <f t="shared" si="0"/>
        <v>22462538.5</v>
      </c>
      <c r="H3" s="17">
        <f t="shared" si="1"/>
        <v>1202012.6730451907</v>
      </c>
      <c r="I3" s="17">
        <f t="shared" si="2"/>
        <v>21260525.826954808</v>
      </c>
    </row>
    <row r="4" spans="1:9" ht="15.75" customHeight="1" x14ac:dyDescent="0.25">
      <c r="A4" s="5">
        <f t="shared" si="3"/>
        <v>2026</v>
      </c>
      <c r="B4" s="49">
        <v>1045681</v>
      </c>
      <c r="C4" s="50">
        <v>3128345</v>
      </c>
      <c r="D4" s="50">
        <v>6320927</v>
      </c>
      <c r="E4" s="50">
        <v>6446982</v>
      </c>
      <c r="F4" s="50">
        <v>6511149</v>
      </c>
      <c r="G4" s="17">
        <f t="shared" si="0"/>
        <v>22407403</v>
      </c>
      <c r="H4" s="17">
        <f t="shared" si="1"/>
        <v>1193314.5675675168</v>
      </c>
      <c r="I4" s="17">
        <f t="shared" si="2"/>
        <v>21214088.432432484</v>
      </c>
    </row>
    <row r="5" spans="1:9" ht="15.75" customHeight="1" x14ac:dyDescent="0.25">
      <c r="A5" s="5">
        <f t="shared" si="3"/>
        <v>2027</v>
      </c>
      <c r="B5" s="49">
        <v>1036040</v>
      </c>
      <c r="C5" s="50">
        <v>3168446</v>
      </c>
      <c r="D5" s="50">
        <v>6183271</v>
      </c>
      <c r="E5" s="50">
        <v>6488548</v>
      </c>
      <c r="F5" s="50">
        <v>6509689.5</v>
      </c>
      <c r="G5" s="17">
        <f t="shared" si="0"/>
        <v>22349954.5</v>
      </c>
      <c r="H5" s="17">
        <f t="shared" si="1"/>
        <v>1182312.4113210915</v>
      </c>
      <c r="I5" s="17">
        <f t="shared" si="2"/>
        <v>21167642.088678908</v>
      </c>
    </row>
    <row r="6" spans="1:9" ht="15.75" customHeight="1" x14ac:dyDescent="0.25">
      <c r="A6" s="5">
        <f t="shared" si="3"/>
        <v>2028</v>
      </c>
      <c r="B6" s="49">
        <v>1028132.0000000001</v>
      </c>
      <c r="C6" s="50">
        <v>3205565.5</v>
      </c>
      <c r="D6" s="50">
        <v>6049808.5</v>
      </c>
      <c r="E6" s="50">
        <v>6538893.5</v>
      </c>
      <c r="F6" s="50">
        <v>6492883.5</v>
      </c>
      <c r="G6" s="17">
        <f t="shared" si="0"/>
        <v>22287151</v>
      </c>
      <c r="H6" s="17">
        <f t="shared" si="1"/>
        <v>1173287.9271807813</v>
      </c>
      <c r="I6" s="17">
        <f t="shared" si="2"/>
        <v>21113863.072819218</v>
      </c>
    </row>
    <row r="7" spans="1:9" ht="15.75" customHeight="1" x14ac:dyDescent="0.25">
      <c r="A7" s="5">
        <f t="shared" si="3"/>
        <v>2029</v>
      </c>
      <c r="B7" s="49">
        <v>1018356</v>
      </c>
      <c r="C7" s="50">
        <v>3233617</v>
      </c>
      <c r="D7" s="50">
        <v>5927880.4999999991</v>
      </c>
      <c r="E7" s="50">
        <v>6588151</v>
      </c>
      <c r="F7" s="50">
        <v>6466640</v>
      </c>
      <c r="G7" s="17">
        <f t="shared" si="0"/>
        <v>22216288.5</v>
      </c>
      <c r="H7" s="17">
        <f t="shared" si="1"/>
        <v>1162131.7110761181</v>
      </c>
      <c r="I7" s="17">
        <f t="shared" si="2"/>
        <v>21054156.788923882</v>
      </c>
    </row>
    <row r="8" spans="1:9" ht="15.75" customHeight="1" x14ac:dyDescent="0.25">
      <c r="A8" s="5">
        <f t="shared" si="3"/>
        <v>2030</v>
      </c>
      <c r="B8" s="49">
        <v>1008818</v>
      </c>
      <c r="C8" s="50">
        <v>3248775.5</v>
      </c>
      <c r="D8" s="50">
        <v>5827950.0000000009</v>
      </c>
      <c r="E8" s="50">
        <v>6627412.5</v>
      </c>
      <c r="F8" s="50">
        <v>6437985.5</v>
      </c>
      <c r="G8" s="17">
        <f t="shared" si="0"/>
        <v>22142123.5</v>
      </c>
      <c r="H8" s="17">
        <f t="shared" si="1"/>
        <v>1151247.0967956071</v>
      </c>
      <c r="I8" s="17">
        <f t="shared" si="2"/>
        <v>20990876.403204393</v>
      </c>
    </row>
    <row r="9" spans="1:9" ht="15.75" customHeight="1" x14ac:dyDescent="0.25">
      <c r="A9" s="5">
        <f t="shared" si="3"/>
        <v>2031</v>
      </c>
      <c r="B9" s="49">
        <v>1000273</v>
      </c>
      <c r="C9" s="50">
        <v>3247468</v>
      </c>
      <c r="D9" s="50">
        <v>5758799.5</v>
      </c>
      <c r="E9" s="50">
        <v>6646555.5</v>
      </c>
      <c r="F9" s="50">
        <v>6413537</v>
      </c>
      <c r="G9" s="17">
        <f t="shared" si="0"/>
        <v>22066360</v>
      </c>
      <c r="H9" s="17">
        <f t="shared" si="1"/>
        <v>1141495.6783612429</v>
      </c>
      <c r="I9" s="17">
        <f t="shared" si="2"/>
        <v>20924864.321638756</v>
      </c>
    </row>
    <row r="10" spans="1:9" ht="15.75" customHeight="1" x14ac:dyDescent="0.25">
      <c r="A10" s="5">
        <f t="shared" si="3"/>
        <v>2032</v>
      </c>
      <c r="B10" s="49">
        <v>991276</v>
      </c>
      <c r="C10" s="50">
        <v>3226289.5</v>
      </c>
      <c r="D10" s="50">
        <v>5725936</v>
      </c>
      <c r="E10" s="50">
        <v>6635531.5</v>
      </c>
      <c r="F10" s="50">
        <v>6398887.0000000009</v>
      </c>
      <c r="G10" s="17">
        <f t="shared" si="0"/>
        <v>21986644</v>
      </c>
      <c r="H10" s="17">
        <f t="shared" si="1"/>
        <v>1131228.4446978169</v>
      </c>
      <c r="I10" s="17">
        <f t="shared" si="2"/>
        <v>20855415.555302184</v>
      </c>
    </row>
    <row r="11" spans="1:9" ht="15.75" customHeight="1" x14ac:dyDescent="0.25">
      <c r="A11" s="5">
        <f t="shared" si="3"/>
        <v>2033</v>
      </c>
      <c r="B11" s="49">
        <v>982292</v>
      </c>
      <c r="C11" s="50">
        <v>3184197.5</v>
      </c>
      <c r="D11" s="50">
        <v>5729343</v>
      </c>
      <c r="E11" s="50">
        <v>6591939</v>
      </c>
      <c r="F11" s="50">
        <v>6397550</v>
      </c>
      <c r="G11" s="17">
        <f t="shared" si="0"/>
        <v>21903029.5</v>
      </c>
      <c r="H11" s="17">
        <f t="shared" si="1"/>
        <v>1120976.0464281472</v>
      </c>
      <c r="I11" s="17">
        <f t="shared" si="2"/>
        <v>20782053.453571852</v>
      </c>
    </row>
    <row r="12" spans="1:9" ht="15.75" customHeight="1" x14ac:dyDescent="0.25">
      <c r="A12" s="5">
        <f t="shared" si="3"/>
        <v>2034</v>
      </c>
      <c r="B12" s="49">
        <v>974164</v>
      </c>
      <c r="C12" s="50">
        <v>3121603</v>
      </c>
      <c r="D12" s="50">
        <v>5758984</v>
      </c>
      <c r="E12" s="50">
        <v>6519268</v>
      </c>
      <c r="F12" s="50">
        <v>6409938</v>
      </c>
      <c r="G12" s="17">
        <f t="shared" si="0"/>
        <v>21809793</v>
      </c>
      <c r="H12" s="17">
        <f t="shared" si="1"/>
        <v>1111700.5017781164</v>
      </c>
      <c r="I12" s="17">
        <f t="shared" si="2"/>
        <v>20698092.498221882</v>
      </c>
    </row>
    <row r="13" spans="1:9" ht="15.75" customHeight="1" x14ac:dyDescent="0.25">
      <c r="A13" s="5">
        <f t="shared" si="3"/>
        <v>2035</v>
      </c>
      <c r="B13" s="49">
        <v>967158</v>
      </c>
      <c r="C13" s="50">
        <v>3039060</v>
      </c>
      <c r="D13" s="50">
        <v>5801683.5</v>
      </c>
      <c r="E13" s="50">
        <v>6423408.5</v>
      </c>
      <c r="F13" s="50">
        <v>6435761</v>
      </c>
      <c r="G13" s="17">
        <f t="shared" si="0"/>
        <v>21699913</v>
      </c>
      <c r="H13" s="17">
        <f t="shared" si="1"/>
        <v>1103705.3657276593</v>
      </c>
      <c r="I13" s="17">
        <f t="shared" si="2"/>
        <v>20596207.634272341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estJgbi7hrkb93ok4u+qaQ1rMS58Ssm4RLIB63D660AgCVi2iIC6BjNlViNi5r4auziLjdenSXEIiGBEVV0ziA==" saltValue="fIX5TsePKSqhyfVfoyQqg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99">
        <v>8.5716908571690814E-2</v>
      </c>
    </row>
    <row r="5" spans="1:8" ht="15.75" customHeight="1" x14ac:dyDescent="0.25">
      <c r="B5" s="19" t="s">
        <v>114</v>
      </c>
      <c r="C5" s="99">
        <v>1.9132901913290239E-2</v>
      </c>
    </row>
    <row r="6" spans="1:8" ht="15.75" customHeight="1" x14ac:dyDescent="0.25">
      <c r="B6" s="19" t="s">
        <v>110</v>
      </c>
      <c r="C6" s="99">
        <v>7.7509707750970658E-2</v>
      </c>
    </row>
    <row r="7" spans="1:8" ht="15.75" customHeight="1" x14ac:dyDescent="0.25">
      <c r="B7" s="19" t="s">
        <v>115</v>
      </c>
      <c r="C7" s="99">
        <v>0.42196434219643392</v>
      </c>
    </row>
    <row r="8" spans="1:8" ht="15.75" customHeight="1" x14ac:dyDescent="0.25">
      <c r="B8" s="19" t="s">
        <v>117</v>
      </c>
      <c r="C8" s="99">
        <v>0</v>
      </c>
    </row>
    <row r="9" spans="1:8" ht="15.75" customHeight="1" x14ac:dyDescent="0.25">
      <c r="B9" s="19" t="s">
        <v>111</v>
      </c>
      <c r="C9" s="99">
        <v>0.27333552733355321</v>
      </c>
    </row>
    <row r="10" spans="1:8" ht="15.75" customHeight="1" x14ac:dyDescent="0.25">
      <c r="B10" s="19" t="s">
        <v>113</v>
      </c>
      <c r="C10" s="99">
        <v>0.1223406122340612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6.9647158173006318E-2</v>
      </c>
      <c r="D14" s="55">
        <v>6.9647158173006318E-2</v>
      </c>
      <c r="E14" s="55">
        <v>6.9647158173006318E-2</v>
      </c>
      <c r="F14" s="55">
        <v>6.9647158173006318E-2</v>
      </c>
    </row>
    <row r="15" spans="1:8" ht="15.75" customHeight="1" x14ac:dyDescent="0.25">
      <c r="B15" s="19" t="s">
        <v>121</v>
      </c>
      <c r="C15" s="99">
        <v>0.26352327801439279</v>
      </c>
      <c r="D15" s="99">
        <v>0.26352327801439279</v>
      </c>
      <c r="E15" s="99">
        <v>0.26352327801439279</v>
      </c>
      <c r="F15" s="99">
        <v>0.26352327801439279</v>
      </c>
    </row>
    <row r="16" spans="1:8" ht="15.75" customHeight="1" x14ac:dyDescent="0.25">
      <c r="B16" s="19" t="s">
        <v>2</v>
      </c>
      <c r="C16" s="99">
        <v>3.3875385519165843E-2</v>
      </c>
      <c r="D16" s="99">
        <v>3.3875385519165843E-2</v>
      </c>
      <c r="E16" s="99">
        <v>3.3875385519165843E-2</v>
      </c>
      <c r="F16" s="99">
        <v>3.3875385519165843E-2</v>
      </c>
    </row>
    <row r="17" spans="1:8" ht="15.75" customHeight="1" x14ac:dyDescent="0.25">
      <c r="B17" s="19" t="s">
        <v>109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3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120</v>
      </c>
      <c r="C19" s="99">
        <v>0</v>
      </c>
      <c r="D19" s="99">
        <v>0</v>
      </c>
      <c r="E19" s="99">
        <v>0</v>
      </c>
      <c r="F19" s="99">
        <v>0</v>
      </c>
    </row>
    <row r="20" spans="1:8" ht="15.75" customHeight="1" x14ac:dyDescent="0.25">
      <c r="B20" s="19" t="s">
        <v>98</v>
      </c>
      <c r="C20" s="99">
        <v>0</v>
      </c>
      <c r="D20" s="99">
        <v>0</v>
      </c>
      <c r="E20" s="99">
        <v>0</v>
      </c>
      <c r="F20" s="99">
        <v>0</v>
      </c>
    </row>
    <row r="21" spans="1:8" ht="15.75" customHeight="1" x14ac:dyDescent="0.25">
      <c r="B21" s="19" t="s">
        <v>107</v>
      </c>
      <c r="C21" s="99">
        <v>0.35043471875458948</v>
      </c>
      <c r="D21" s="99">
        <v>0.35043471875458948</v>
      </c>
      <c r="E21" s="99">
        <v>0.35043471875458948</v>
      </c>
      <c r="F21" s="99">
        <v>0.35043471875458948</v>
      </c>
    </row>
    <row r="22" spans="1:8" ht="15.75" customHeight="1" x14ac:dyDescent="0.25">
      <c r="B22" s="19" t="s">
        <v>118</v>
      </c>
      <c r="C22" s="99">
        <v>0.2825194595388455</v>
      </c>
      <c r="D22" s="99">
        <v>0.2825194595388455</v>
      </c>
      <c r="E22" s="99">
        <v>0.2825194595388455</v>
      </c>
      <c r="F22" s="99">
        <v>0.2825194595388455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3.9700850000000003E-2</v>
      </c>
    </row>
    <row r="27" spans="1:8" ht="15.75" customHeight="1" x14ac:dyDescent="0.25">
      <c r="B27" s="19" t="s">
        <v>108</v>
      </c>
      <c r="C27" s="99">
        <v>2.3007410999999998E-2</v>
      </c>
    </row>
    <row r="28" spans="1:8" ht="15.75" customHeight="1" x14ac:dyDescent="0.25">
      <c r="B28" s="19" t="s">
        <v>122</v>
      </c>
      <c r="C28" s="99">
        <v>0.18789456399999999</v>
      </c>
    </row>
    <row r="29" spans="1:8" ht="15.75" customHeight="1" x14ac:dyDescent="0.25">
      <c r="B29" s="19" t="s">
        <v>105</v>
      </c>
      <c r="C29" s="99">
        <v>0.14356665699999999</v>
      </c>
    </row>
    <row r="30" spans="1:8" ht="15.75" customHeight="1" x14ac:dyDescent="0.25">
      <c r="B30" s="19" t="s">
        <v>4</v>
      </c>
      <c r="C30" s="99">
        <v>5.2092121999999998E-2</v>
      </c>
    </row>
    <row r="31" spans="1:8" ht="15.75" customHeight="1" x14ac:dyDescent="0.25">
      <c r="B31" s="19" t="s">
        <v>99</v>
      </c>
      <c r="C31" s="99">
        <v>2.4076997999999999E-2</v>
      </c>
    </row>
    <row r="32" spans="1:8" ht="15.75" customHeight="1" x14ac:dyDescent="0.25">
      <c r="B32" s="19" t="s">
        <v>104</v>
      </c>
      <c r="C32" s="99">
        <v>8.5285021000000003E-2</v>
      </c>
    </row>
    <row r="33" spans="2:3" ht="15.75" customHeight="1" x14ac:dyDescent="0.25">
      <c r="B33" s="19" t="s">
        <v>119</v>
      </c>
      <c r="C33" s="99">
        <v>0.223807599</v>
      </c>
    </row>
    <row r="34" spans="2:3" ht="15.75" customHeight="1" x14ac:dyDescent="0.25">
      <c r="B34" s="19" t="s">
        <v>106</v>
      </c>
      <c r="C34" s="99">
        <v>0.22056877799999999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8UH95TiERmIO/JyaStP92q50M8ATv+wq4InRKpazWMK6ESSM0En8DsRUlURemXes/0guJ86YrzO8Sv7+ph7a4A==" saltValue="DFn/wShNPu8FPiRUo+9J4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0.76320215731038854</v>
      </c>
      <c r="D2" s="52">
        <f>IFERROR(1-_xlfn.NORM.DIST(_xlfn.NORM.INV(SUM(D4:D5), 0, 1) + 1, 0, 1, TRUE), "")</f>
        <v>0.76320215731038854</v>
      </c>
      <c r="E2" s="52">
        <f>IFERROR(1-_xlfn.NORM.DIST(_xlfn.NORM.INV(SUM(E4:E5), 0, 1) + 1, 0, 1, TRUE), "")</f>
        <v>0.81245159489133334</v>
      </c>
      <c r="F2" s="52">
        <f>IFERROR(1-_xlfn.NORM.DIST(_xlfn.NORM.INV(SUM(F4:F5), 0, 1) + 1, 0, 1, TRUE), "")</f>
        <v>0.65837762988419757</v>
      </c>
      <c r="G2" s="52">
        <f>IFERROR(1-_xlfn.NORM.DIST(_xlfn.NORM.INV(SUM(G4:G5), 0, 1) + 1, 0, 1, TRUE), "")</f>
        <v>0.68856799245129263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0.1937754426896115</v>
      </c>
      <c r="D3" s="52">
        <f>IFERROR(_xlfn.NORM.DIST(_xlfn.NORM.INV(SUM(D4:D5), 0, 1) + 1, 0, 1, TRUE) - SUM(D4:D5), "")</f>
        <v>0.1937754426896115</v>
      </c>
      <c r="E3" s="52">
        <f>IFERROR(_xlfn.NORM.DIST(_xlfn.NORM.INV(SUM(E4:E5), 0, 1) + 1, 0, 1, TRUE) - SUM(E4:E5), "")</f>
        <v>0.1579660051086666</v>
      </c>
      <c r="F3" s="52">
        <f>IFERROR(_xlfn.NORM.DIST(_xlfn.NORM.INV(SUM(F4:F5), 0, 1) + 1, 0, 1, TRUE) - SUM(F4:F5), "")</f>
        <v>0.26206267011580242</v>
      </c>
      <c r="G3" s="52">
        <f>IFERROR(_xlfn.NORM.DIST(_xlfn.NORM.INV(SUM(G4:G5), 0, 1) + 1, 0, 1, TRUE) - SUM(G4:G5), "")</f>
        <v>0.24355560754870742</v>
      </c>
    </row>
    <row r="4" spans="1:15" ht="15.75" customHeight="1" x14ac:dyDescent="0.25">
      <c r="B4" s="5" t="s">
        <v>129</v>
      </c>
      <c r="C4" s="45">
        <v>1.2064399999999999E-2</v>
      </c>
      <c r="D4" s="53">
        <v>1.2064399999999999E-2</v>
      </c>
      <c r="E4" s="53">
        <v>2.33844E-2</v>
      </c>
      <c r="F4" s="53">
        <v>5.81874E-2</v>
      </c>
      <c r="G4" s="53">
        <v>5.3404299999999988E-2</v>
      </c>
    </row>
    <row r="5" spans="1:15" ht="15.75" customHeight="1" x14ac:dyDescent="0.25">
      <c r="B5" s="5" t="s">
        <v>125</v>
      </c>
      <c r="C5" s="45">
        <v>3.0957999999999999E-2</v>
      </c>
      <c r="D5" s="53">
        <v>3.0957999999999999E-2</v>
      </c>
      <c r="E5" s="53">
        <v>6.1980000000000004E-3</v>
      </c>
      <c r="F5" s="53">
        <v>2.13723E-2</v>
      </c>
      <c r="G5" s="53">
        <v>1.44721E-2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0.69376120091511995</v>
      </c>
      <c r="D8" s="52">
        <f>IFERROR(1-_xlfn.NORM.DIST(_xlfn.NORM.INV(SUM(D10:D11), 0, 1) + 1, 0, 1, TRUE), "")</f>
        <v>0.69376120091511995</v>
      </c>
      <c r="E8" s="52">
        <f>IFERROR(1-_xlfn.NORM.DIST(_xlfn.NORM.INV(SUM(E10:E11), 0, 1) + 1, 0, 1, TRUE), "")</f>
        <v>0.72791207852096185</v>
      </c>
      <c r="F8" s="52">
        <f>IFERROR(1-_xlfn.NORM.DIST(_xlfn.NORM.INV(SUM(F10:F11), 0, 1) + 1, 0, 1, TRUE), "")</f>
        <v>0.88185663673910974</v>
      </c>
      <c r="G8" s="52">
        <f>IFERROR(1-_xlfn.NORM.DIST(_xlfn.NORM.INV(SUM(G10:G11), 0, 1) + 1, 0, 1, TRUE), "")</f>
        <v>0.9279426733166809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0.24027449908488005</v>
      </c>
      <c r="D9" s="52">
        <f>IFERROR(_xlfn.NORM.DIST(_xlfn.NORM.INV(SUM(D10:D11), 0, 1) + 1, 0, 1, TRUE) - SUM(D10:D11), "")</f>
        <v>0.24027449908488005</v>
      </c>
      <c r="E9" s="52">
        <f>IFERROR(_xlfn.NORM.DIST(_xlfn.NORM.INV(SUM(E10:E11), 0, 1) + 1, 0, 1, TRUE) - SUM(E10:E11), "")</f>
        <v>0.21800702147903817</v>
      </c>
      <c r="F9" s="52">
        <f>IFERROR(_xlfn.NORM.DIST(_xlfn.NORM.INV(SUM(F10:F11), 0, 1) + 1, 0, 1, TRUE) - SUM(F10:F11), "")</f>
        <v>0.10367396326089023</v>
      </c>
      <c r="G9" s="52">
        <f>IFERROR(_xlfn.NORM.DIST(_xlfn.NORM.INV(SUM(G10:G11), 0, 1) + 1, 0, 1, TRUE) - SUM(G10:G11), "")</f>
        <v>6.5122826683319118E-2</v>
      </c>
    </row>
    <row r="10" spans="1:15" ht="15.75" customHeight="1" x14ac:dyDescent="0.25">
      <c r="B10" s="5" t="s">
        <v>126</v>
      </c>
      <c r="C10" s="45">
        <v>3.9002299999999997E-2</v>
      </c>
      <c r="D10" s="53">
        <v>3.9002299999999997E-2</v>
      </c>
      <c r="E10" s="53">
        <v>2.7101400000000001E-2</v>
      </c>
      <c r="F10" s="53">
        <v>5.1676999999999999E-3</v>
      </c>
      <c r="G10" s="53">
        <v>5.1678999999999996E-3</v>
      </c>
    </row>
    <row r="11" spans="1:15" ht="15.75" customHeight="1" x14ac:dyDescent="0.25">
      <c r="B11" s="5" t="s">
        <v>138</v>
      </c>
      <c r="C11" s="45">
        <v>2.6962E-2</v>
      </c>
      <c r="D11" s="53">
        <v>2.6962E-2</v>
      </c>
      <c r="E11" s="53">
        <v>2.69795E-2</v>
      </c>
      <c r="F11" s="53">
        <v>9.3017000000000013E-3</v>
      </c>
      <c r="G11" s="53">
        <v>1.7665999999999999E-3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0.22474285975</v>
      </c>
      <c r="D14" s="54">
        <v>0.234737514727</v>
      </c>
      <c r="E14" s="54">
        <v>0.234737514727</v>
      </c>
      <c r="F14" s="54">
        <v>0.223199456702</v>
      </c>
      <c r="G14" s="54">
        <v>0.223199456702</v>
      </c>
      <c r="H14" s="45">
        <v>0.34399999999999997</v>
      </c>
      <c r="I14" s="55">
        <v>0.34399999999999997</v>
      </c>
      <c r="J14" s="55">
        <v>0.34399999999999997</v>
      </c>
      <c r="K14" s="55">
        <v>0.34399999999999997</v>
      </c>
      <c r="L14" s="45">
        <v>0.307</v>
      </c>
      <c r="M14" s="55">
        <v>0.307</v>
      </c>
      <c r="N14" s="55">
        <v>0.307</v>
      </c>
      <c r="O14" s="55">
        <v>0.307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0.13419643372818227</v>
      </c>
      <c r="D15" s="52">
        <f t="shared" si="0"/>
        <v>0.14016435215615372</v>
      </c>
      <c r="E15" s="52">
        <f t="shared" si="0"/>
        <v>0.14016435215615372</v>
      </c>
      <c r="F15" s="52">
        <f t="shared" si="0"/>
        <v>0.13327485079078794</v>
      </c>
      <c r="G15" s="52">
        <f t="shared" si="0"/>
        <v>0.13327485079078794</v>
      </c>
      <c r="H15" s="52">
        <f t="shared" si="0"/>
        <v>0.20540618399999999</v>
      </c>
      <c r="I15" s="52">
        <f t="shared" si="0"/>
        <v>0.20540618399999999</v>
      </c>
      <c r="J15" s="52">
        <f t="shared" si="0"/>
        <v>0.20540618399999999</v>
      </c>
      <c r="K15" s="52">
        <f t="shared" si="0"/>
        <v>0.20540618399999999</v>
      </c>
      <c r="L15" s="52">
        <f t="shared" si="0"/>
        <v>0.18331307700000002</v>
      </c>
      <c r="M15" s="52">
        <f t="shared" si="0"/>
        <v>0.18331307700000002</v>
      </c>
      <c r="N15" s="52">
        <f t="shared" si="0"/>
        <v>0.18331307700000002</v>
      </c>
      <c r="O15" s="52">
        <f t="shared" si="0"/>
        <v>0.18331307700000002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ZSZWip83ucX097p+94IKb6trKZeJms2WMppW04tdmYngUN6Pu2tZiqhlGxAUx8HtILpFE4Kfh3N6P18YQNfEA==" saltValue="Lwru8A4tMPLBEXhlFVcbi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0.59230890000000003</v>
      </c>
      <c r="D2" s="53">
        <v>0.36119299999999999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0.12754789999999999</v>
      </c>
      <c r="D3" s="53">
        <v>0.1872413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0.23345560000000001</v>
      </c>
      <c r="D4" s="53">
        <v>0.36847469999999999</v>
      </c>
      <c r="E4" s="53">
        <v>0.77363979999999999</v>
      </c>
      <c r="F4" s="53">
        <v>0.52710790000000007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4.668759999999994E-2</v>
      </c>
      <c r="D5" s="52">
        <f t="shared" si="0"/>
        <v>8.3091000000000026E-2</v>
      </c>
      <c r="E5" s="52">
        <f>1-SUM(E2:E4)</f>
        <v>0.22636020000000001</v>
      </c>
      <c r="F5" s="52">
        <f>1-SUM(F2:F4)</f>
        <v>0.47289209999999993</v>
      </c>
      <c r="G5" s="52">
        <f>1-SUM(G2:G4)</f>
        <v>1</v>
      </c>
    </row>
  </sheetData>
  <sheetProtection algorithmName="SHA-512" hashValue="rxkfOGFwLQ9n9aiEkJfo+pPot0PPtL86gWFoOTBIJED4JmOYwWHzTqg9vkkdiAb4wH/leA7Z8Rqkcn0rhhEnkg==" saltValue="yBQoUPfJwKkzPgDSlhDUT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M6FsDbOqaQ07C8jPo/0FcLE7rD4B9IoJsJaRzVB07EACSP/Rv2Kc34cgMotaJTOQTATnf0rF8O1EhgsF3WSVOw==" saltValue="h6zJA7x5JfiD7RfD4m75o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10674.5041731531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0.32205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0.39433999999999997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9.490516829098598E-3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98993.353090000004</v>
      </c>
      <c r="C22" s="107">
        <v>98906.272410000005</v>
      </c>
      <c r="D22" s="107">
        <v>98802.486910000007</v>
      </c>
      <c r="E22" s="107">
        <v>98637.431289999993</v>
      </c>
      <c r="F22" s="107">
        <v>98436.129639999999</v>
      </c>
      <c r="G22" s="107">
        <v>98215.759210000004</v>
      </c>
      <c r="H22" s="107">
        <v>97954.095369999995</v>
      </c>
      <c r="I22" s="107">
        <v>97573.011369999993</v>
      </c>
      <c r="J22" s="107">
        <v>96950.128500000006</v>
      </c>
      <c r="K22" s="107">
        <v>95930.794840000002</v>
      </c>
      <c r="L22" s="107">
        <v>94166.977029999995</v>
      </c>
      <c r="M22" s="107">
        <v>91384.379979999998</v>
      </c>
      <c r="N22" s="107">
        <v>86973.134430000006</v>
      </c>
      <c r="O22" s="107">
        <v>80275.18118</v>
      </c>
    </row>
  </sheetData>
  <sheetProtection algorithmName="SHA-512" hashValue="m9zMaiiSphiJ2vfqUWYOuYodX1bK3woSAbzvPH2Yu02rJ1Aqhbi+3za5dMx4Val9kQkdMUDZrQ1udnKNdnvGkQ==" saltValue="ilQillfQEoEMXR8uBpb0Y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Aqt/UqYSeAIQYswa9KfhqSALlC+O0Pn1bGefrUUvz/MYSnFtzIYdjpbBRScaD8OoZS+jfZ9ydxsZtwO+0M6LLw==" saltValue="vMXJGKzufbts0OIA1VTml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Y4Ae8Rscf3fIxeBV7ZraaFqQO2UiFPg+TSAKt8R+jeQ3RLV+pMVhYMOlU+ENNSWHUkTZPUBlYnaN/aYs06CZkQ==" saltValue="Udhy3pQfl8BczVIBhu8mY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12.008526100307062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12.008526100307062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8.8894216990788131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0.48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0.47070171463489502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0.61278763993956276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0.40262538382804508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</v>
      </c>
      <c r="C10" s="96">
        <v>0.95</v>
      </c>
      <c r="D10" s="56">
        <v>13.972960063416251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13.972960063416251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13.972960063416251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13.972960063416251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</v>
      </c>
      <c r="C14" s="96">
        <v>0.95</v>
      </c>
      <c r="D14" s="56">
        <v>13.972960063416251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13.972960063416251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</v>
      </c>
      <c r="C16" s="96">
        <v>0.95</v>
      </c>
      <c r="D16" s="56">
        <v>5.5080133892626542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0.14000000000000001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0.76700000000000002</v>
      </c>
      <c r="C18" s="96">
        <v>0.95</v>
      </c>
      <c r="D18" s="56">
        <v>8.8894216990788131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0.36119299999999999</v>
      </c>
      <c r="C19" s="96">
        <v>0.95</v>
      </c>
      <c r="D19" s="56">
        <v>24.839970481111401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7.48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8.8894216990788131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</v>
      </c>
      <c r="C23" s="96">
        <v>0.95</v>
      </c>
      <c r="D23" s="56">
        <v>4.8798255494888956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0.70705347649884009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5.1498336745138182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11.470990276356194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0.1587344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</v>
      </c>
      <c r="C29" s="96">
        <v>0.95</v>
      </c>
      <c r="D29" s="56">
        <v>193.6128732031849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116.7109232117549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170.92419651995908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1.1057036847492325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0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0.95352400000000004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0</v>
      </c>
      <c r="C38" s="96">
        <v>0.95</v>
      </c>
      <c r="D38" s="56">
        <v>2.6374181166837261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3.43</v>
      </c>
      <c r="E39" s="56" t="s">
        <v>212</v>
      </c>
      <c r="F39" s="96">
        <v>1</v>
      </c>
      <c r="G39" s="96">
        <v>1</v>
      </c>
    </row>
  </sheetData>
  <sheetProtection algorithmName="SHA-512" hashValue="10JRvLsSa47HwNC7Y8ImfxGK5ywFjBQJRlkb8DQ4KzuiFEZpFtAQLwqYJl727R5W7uU7lV15ZAdDTZCcQSfM1A==" saltValue="Qoc2ciHbuFIW/NM/2oXl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SL4D0voYcKpcNkuLlIm2r7mXyG07ngsujkFSg7FEDUJAWX2nsXBWwwzUOTEzUpo8Wsu68sW7a0qFoyp6UPfpqg==" saltValue="+9xEOdow+3SL3NOmnBdOn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HEWarzGQKgSfU7QNfczc1n2qYJaiwUoKCjXro40KT1Kfn8YMHWY//Gp32/6DnE4S+np9HHcWjK8pN12JHKUKVA==" saltValue="5IDGRdUN7szd3X3soFEVp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2.9</v>
      </c>
      <c r="C2" s="21">
        <f>'Entradas de población-año base'!C52</f>
        <v>2.9</v>
      </c>
      <c r="D2" s="21">
        <f>'Entradas de población-año base'!C53</f>
        <v>2.9</v>
      </c>
      <c r="E2" s="21">
        <f>'Entradas de población-año base'!C54</f>
        <v>2.9</v>
      </c>
      <c r="F2" s="21">
        <f>'Entradas de población-año base'!C55</f>
        <v>2.9</v>
      </c>
    </row>
    <row r="3" spans="1:6" ht="15.75" customHeight="1" x14ac:dyDescent="0.25">
      <c r="A3" s="3" t="s">
        <v>6</v>
      </c>
      <c r="B3" s="21">
        <f>frac_mam_1month * 2.6</f>
        <v>0.10140597999999999</v>
      </c>
      <c r="C3" s="21">
        <f>frac_mam_1_5months * 2.6</f>
        <v>0.10140597999999999</v>
      </c>
      <c r="D3" s="21">
        <f>frac_mam_6_11months * 2.6</f>
        <v>7.0463640000000008E-2</v>
      </c>
      <c r="E3" s="21">
        <f>frac_mam_12_23months * 2.6</f>
        <v>1.343602E-2</v>
      </c>
      <c r="F3" s="21">
        <f>frac_mam_24_59months * 2.6</f>
        <v>1.3436539999999999E-2</v>
      </c>
    </row>
    <row r="4" spans="1:6" ht="15.75" customHeight="1" x14ac:dyDescent="0.25">
      <c r="A4" s="3" t="s">
        <v>236</v>
      </c>
      <c r="B4" s="21">
        <f>frac_sam_1month * 2.6</f>
        <v>7.0101200000000002E-2</v>
      </c>
      <c r="C4" s="21">
        <f>frac_sam_1_5months * 2.6</f>
        <v>7.0101200000000002E-2</v>
      </c>
      <c r="D4" s="21">
        <f>frac_sam_6_11months * 2.6</f>
        <v>7.0146700000000006E-2</v>
      </c>
      <c r="E4" s="21">
        <f>frac_sam_12_23months * 2.6</f>
        <v>2.4184420000000005E-2</v>
      </c>
      <c r="F4" s="21">
        <f>frac_sam_24_59months * 2.6</f>
        <v>4.5931599999999998E-3</v>
      </c>
    </row>
  </sheetData>
  <sheetProtection algorithmName="SHA-512" hashValue="IHDPTrij7vPu85auyBUAeCFkt/LZ0jlEg2uoGZqnEQcoc86KwlsdZtYUE+DcmZRTc2BPQhU2sG7dnHqHYiUYaQ==" saltValue="z8rqaH8DLegGnoYhto0Jq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0.14399999999999999</v>
      </c>
      <c r="F2" s="60">
        <f>food_insecure</f>
        <v>0.14399999999999999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0.14399999999999999</v>
      </c>
      <c r="F5" s="60">
        <f>food_insecure</f>
        <v>0.14399999999999999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0.14399999999999999</v>
      </c>
      <c r="F8" s="60">
        <f>food_insecure</f>
        <v>0.14399999999999999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0.14399999999999999</v>
      </c>
      <c r="F9" s="60">
        <f>food_insecure</f>
        <v>0.14399999999999999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0.14399999999999999</v>
      </c>
      <c r="I15" s="60">
        <f t="shared" si="0"/>
        <v>0.14399999999999999</v>
      </c>
      <c r="J15" s="60">
        <f t="shared" si="0"/>
        <v>0.14399999999999999</v>
      </c>
      <c r="K15" s="60">
        <f t="shared" si="0"/>
        <v>0.14399999999999999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0.14399999999999999</v>
      </c>
      <c r="I16" s="60">
        <f t="shared" si="0"/>
        <v>0.14399999999999999</v>
      </c>
      <c r="J16" s="60">
        <f t="shared" si="0"/>
        <v>0.14399999999999999</v>
      </c>
      <c r="K16" s="60">
        <f t="shared" si="0"/>
        <v>0.14399999999999999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0.11600000000000001</v>
      </c>
      <c r="M24" s="60">
        <f>famplan_unmet_need</f>
        <v>0.11600000000000001</v>
      </c>
      <c r="N24" s="60">
        <f>famplan_unmet_need</f>
        <v>0.11600000000000001</v>
      </c>
      <c r="O24" s="60">
        <f>famplan_unmet_need</f>
        <v>0.11600000000000001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7.2602821536000006E-2</v>
      </c>
      <c r="M25" s="60">
        <f>(1-food_insecure)*(0.49)+food_insecure*(0.7)</f>
        <v>0.52023999999999992</v>
      </c>
      <c r="N25" s="60">
        <f>(1-food_insecure)*(0.49)+food_insecure*(0.7)</f>
        <v>0.52023999999999992</v>
      </c>
      <c r="O25" s="60">
        <f>(1-food_insecure)*(0.49)+food_insecure*(0.7)</f>
        <v>0.52023999999999992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3.1115494944000007E-2</v>
      </c>
      <c r="M26" s="60">
        <f>(1-food_insecure)*(0.21)+food_insecure*(0.3)</f>
        <v>0.22295999999999999</v>
      </c>
      <c r="N26" s="60">
        <f>(1-food_insecure)*(0.21)+food_insecure*(0.3)</f>
        <v>0.22295999999999999</v>
      </c>
      <c r="O26" s="60">
        <f>(1-food_insecure)*(0.21)+food_insecure*(0.3)</f>
        <v>0.22295999999999999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3.5838083520000001E-2</v>
      </c>
      <c r="M27" s="60">
        <f>(1-food_insecure)*(0.3)</f>
        <v>0.25679999999999997</v>
      </c>
      <c r="N27" s="60">
        <f>(1-food_insecure)*(0.3)</f>
        <v>0.25679999999999997</v>
      </c>
      <c r="O27" s="60">
        <f>(1-food_insecure)*(0.3)</f>
        <v>0.25679999999999997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0.86044359999999986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Tzc36AlmpqoQvIWyearWa2MwbFd+BrPKi6Iei26YKBEyzpCuLZsCyTwpQiy7Pbpq8XAK2ECkuAFsCKm7/ju7pg==" saltValue="HUbk6Bn5J8EPmWfMQLzT2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qmsp3Ycy9/A7stj3MuZA7PFVynYxV47sm7lAn//jLxHpl76ZkjEJMc54eB+xX/JzmiJd8kwAN5v+UwF/LoA1Uw==" saltValue="MxhHX19UWrm0v9UYRXKRK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gJMBCd78vi5k29ffry2BTIGx474EWBx2wuJaCs2c72RuxkXqJ8qGMIvgds42hJ15UR9jknvdU9nzVbulHUUSZQ==" saltValue="tgja7cuZkp6z/niwE/Crg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XUz9E7qErWX0TfRQ3A06t2Gpe+OsdMfpHDX/TNEW78shO2iHXvwgeHccGN4TIVjYSM8AFnuok23jV8Am9YF7+g==" saltValue="tY9MDZctyt5+W3rggHqgH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ukv4Pkb3BAwhSC20UDiZv37puhMJpTkQ0747QPXYQx5gPKI/9whfYgz9HriHvxFn6NAlIT9ekz10i+c5RWM1cQ==" saltValue="GOlK6WzmfJb7u5rL0Fj/L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SWJi56yFtHpYXTuGE61o1r4L7ELL1MDX0j6dC2XX2W6Iqa6x48gJc2VUHWxCNxosA6eDDnNnzKyxSkXbGMZcpA==" saltValue="MXS7LIoAnazjDOqkq1cp1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uiMBOqZ8CuQdPyn5ZqAtfV4cKnYfgdAx0m69hpSDyQz0xn74GE+ej1j8wYtVfBbLEYOgQPpzmlPdwejNZ2USVQ==" saltValue="mpiwQtPCBNHlQLq2A5N+f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XCzxZ2hgpEHChsD2Mz1bOiszjyzwfN4xkixYl0Y6Ass4VRSf8/2IHCA3FGxZNsXNGOP6Pe62PdZ6L5bv0akUxQ==" saltValue="9ihVdf7FGlCUBurnjXu8L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oy3w1oZ1EaXX3BcMorRvwijrz6bl0gpFAiRUgMq+Mbh31dr7wExx/2DMURCl8GfAZ+ombbPQRTGb5nBb0ymdDw==" saltValue="huSzZ1VNQkBZ58fjyAbb1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UzaK10YYhdXLhcQUKQRhbs6BoQtN6ubigyd3CV8P8NDtyc9JycXUTJjq3REYBEHvQvIprlbcJ+pnywtaLn6pg==" saltValue="PhqLa8cAjBZwUu9iYCfb4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ZkyhoAcV58sLvoW3xmN0tnUX3IBG5kP8vFM8cifD07HpM25ma0w+2xURN84aPkD+qLqzpF/5kVrJj44wuY8hfA==" saltValue="FhN8jigrf+BvF84v3qjf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oJtwKVAyiKvitkkk1fKyr+vZ+RNvlmLBKN5Tuwhj6uJFxDeH5hMZM8YJkzbe33RDAXKl/ZlFWibf6cl8Sgl2lA==" saltValue="UMcgf+sllnv+lWBWw3XX3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Qb1bi+dljkNEncPU0oVVMVOuqZvY7y9uZmYK4rfRJI3V6woXOvC5hVAByxdhjgs2HrrvdK3IejqfKICaEX3mDg==" saltValue="0+ll0m3HP8BmbX0824QNK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aaGAaMMBbfCD4SZojBofKnaBUL4qtf8L+m0yy8vvaBQ64383sYg/pBxJBy/mLV6i4VsQp/Za9urRCFtJa0oGbA==" saltValue="Xvbyzw8YGt1kqdNECbeu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LsacdtAsG4CwNBJLlQUbNVD7Q5bonAuqYmeUaVtzf8uRHjRNF6gmfEK0y3pRdui1eJFLKxGIb8UWKA0ehI1B3w==" saltValue="4jriIFBLDx6bR5d0QUxrL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2025-07-30T01:22:24Z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