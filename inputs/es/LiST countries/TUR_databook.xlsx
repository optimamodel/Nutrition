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805F57D-30B3-4009-B347-5A52667A22E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H38" i="2"/>
  <c r="I38" i="2" s="1"/>
  <c r="G38" i="2"/>
  <c r="A37" i="2"/>
  <c r="A36" i="2"/>
  <c r="A35" i="2"/>
  <c r="A34" i="2"/>
  <c r="A32" i="2"/>
  <c r="A31" i="2"/>
  <c r="A29" i="2"/>
  <c r="A28" i="2"/>
  <c r="A27" i="2"/>
  <c r="A26" i="2"/>
  <c r="A25" i="2"/>
  <c r="A23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40" i="2" s="1"/>
  <c r="C33" i="1"/>
  <c r="C20" i="1"/>
  <c r="A15" i="2" l="1"/>
  <c r="A24" i="2"/>
  <c r="A33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<sst xmlns="http://schemas.openxmlformats.org/spreadsheetml/2006/main" count="2101" uniqueCount="341">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</sst>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6050583.625</v>
      </c>
    </row>
    <row r="8" spans="1:3" ht="15" customHeight="1" x14ac:dyDescent="0.25">
      <c r="B8" s="5" t="s">
        <v>44</v>
      </c>
      <c r="C8" s="44">
        <v>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0.8498191070556641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7.0099999999999996E-2</v>
      </c>
    </row>
    <row r="24" spans="1:3" ht="15" customHeight="1" x14ac:dyDescent="0.25">
      <c r="B24" s="15" t="s">
        <v>46</v>
      </c>
      <c r="C24" s="45">
        <v>0.54359999999999997</v>
      </c>
    </row>
    <row r="25" spans="1:3" ht="15" customHeight="1" x14ac:dyDescent="0.25">
      <c r="B25" s="15" t="s">
        <v>47</v>
      </c>
      <c r="C25" s="45">
        <v>0.36299999999999999</v>
      </c>
    </row>
    <row r="26" spans="1:3" ht="15" customHeight="1" x14ac:dyDescent="0.25">
      <c r="B26" s="15" t="s">
        <v>48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4.7240500000000001</v>
      </c>
    </row>
    <row r="38" spans="1:5" ht="15" customHeight="1" x14ac:dyDescent="0.25">
      <c r="B38" s="11" t="s">
        <v>35</v>
      </c>
      <c r="C38" s="43">
        <v>7.6910100000000003</v>
      </c>
      <c r="D38" s="12"/>
      <c r="E38" s="13"/>
    </row>
    <row r="39" spans="1:5" ht="15" customHeight="1" x14ac:dyDescent="0.25">
      <c r="B39" s="11" t="s">
        <v>61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9.3725000000000006E-3</v>
      </c>
      <c r="D45" s="12"/>
    </row>
    <row r="46" spans="1:5" ht="15.75" customHeight="1" x14ac:dyDescent="0.25">
      <c r="B46" s="11" t="s">
        <v>51</v>
      </c>
      <c r="C46" s="45">
        <v>0.1007064</v>
      </c>
      <c r="D46" s="12"/>
    </row>
    <row r="47" spans="1:5" ht="15.75" customHeight="1" x14ac:dyDescent="0.25">
      <c r="B47" s="11" t="s">
        <v>59</v>
      </c>
      <c r="C47" s="45">
        <v>7.2086999999999998E-2</v>
      </c>
      <c r="D47" s="12"/>
      <c r="E47" s="13"/>
    </row>
    <row r="48" spans="1:5" ht="15" customHeight="1" x14ac:dyDescent="0.25">
      <c r="B48" s="11" t="s">
        <v>58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0.59711100000000006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ynX8+DRt4SH9+IIKTjjlwUs0+wNc4jArYHnmUBVWh6XtWYqNibnMwNxZBH68YIx7oqPWhFghL3pJk26t3V000Q==" saltValue="sEQqIPIwgeOkhh6u8EBi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Bf5+Qo9EjlPzsIv6ta9NYaeZOXkeLrqMop1gzk/zhRzgspxjKNpfGp50u6OnhSr63KSc/OzKALDqOSGuZ//pQ==" saltValue="LOGAYtVd7fYiAXoheAJL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8.5716908571690814E-2</v>
      </c>
    </row>
    <row r="5" spans="1:8" ht="15.75" customHeight="1" x14ac:dyDescent="0.25">
      <c r="B5" s="19" t="s">
        <v>95</v>
      </c>
      <c r="C5" s="101">
        <v>1.9132901913290239E-2</v>
      </c>
    </row>
    <row r="6" spans="1:8" ht="15.75" customHeight="1" x14ac:dyDescent="0.25">
      <c r="B6" s="19" t="s">
        <v>91</v>
      </c>
      <c r="C6" s="101">
        <v>7.7509707750970658E-2</v>
      </c>
    </row>
    <row r="7" spans="1:8" ht="15.75" customHeight="1" x14ac:dyDescent="0.25">
      <c r="B7" s="19" t="s">
        <v>96</v>
      </c>
      <c r="C7" s="101">
        <v>0.42196434219643392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0.27333552733355321</v>
      </c>
    </row>
    <row r="10" spans="1:8" ht="15.75" customHeight="1" x14ac:dyDescent="0.25">
      <c r="B10" s="19" t="s">
        <v>94</v>
      </c>
      <c r="C10" s="101">
        <v>0.1223406122340612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102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2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99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3.9700850000000003E-2</v>
      </c>
    </row>
    <row r="27" spans="1:8" ht="15.75" customHeight="1" x14ac:dyDescent="0.25">
      <c r="B27" s="19" t="s">
        <v>89</v>
      </c>
      <c r="C27" s="101">
        <v>2.3007410999999998E-2</v>
      </c>
    </row>
    <row r="28" spans="1:8" ht="15.75" customHeight="1" x14ac:dyDescent="0.25">
      <c r="B28" s="19" t="s">
        <v>103</v>
      </c>
      <c r="C28" s="101">
        <v>0.18789456399999999</v>
      </c>
    </row>
    <row r="29" spans="1:8" ht="15.75" customHeight="1" x14ac:dyDescent="0.25">
      <c r="B29" s="19" t="s">
        <v>86</v>
      </c>
      <c r="C29" s="101">
        <v>0.14356665699999999</v>
      </c>
    </row>
    <row r="30" spans="1:8" ht="15.75" customHeight="1" x14ac:dyDescent="0.25">
      <c r="B30" s="19" t="s">
        <v>4</v>
      </c>
      <c r="C30" s="101">
        <v>5.2092121999999998E-2</v>
      </c>
    </row>
    <row r="31" spans="1:8" ht="15.75" customHeight="1" x14ac:dyDescent="0.25">
      <c r="B31" s="19" t="s">
        <v>80</v>
      </c>
      <c r="C31" s="101">
        <v>2.4076997999999999E-2</v>
      </c>
    </row>
    <row r="32" spans="1:8" ht="15.75" customHeight="1" x14ac:dyDescent="0.25">
      <c r="B32" s="19" t="s">
        <v>85</v>
      </c>
      <c r="C32" s="101">
        <v>8.5285021000000003E-2</v>
      </c>
    </row>
    <row r="33" spans="2:3" ht="15.75" customHeight="1" x14ac:dyDescent="0.25">
      <c r="B33" s="19" t="s">
        <v>100</v>
      </c>
      <c r="C33" s="101">
        <v>0.223807599</v>
      </c>
    </row>
    <row r="34" spans="2:3" ht="15.75" customHeight="1" x14ac:dyDescent="0.25">
      <c r="B34" s="19" t="s">
        <v>87</v>
      </c>
      <c r="C34" s="101">
        <v>0.22056877799999999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lJjBfr3sXOEN624K2tyN0taU1kCpcttzCsDdQdAb8ROHDFMZS9hBN2WVFFcUqdC6LC3zINIdomBwnnzGggebAg==" saltValue="sQn83kx8ZqfZ5FdblzcA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110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106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107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119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yXDoMvqgv2YJVdUbqQvDIBR6MrUsJ1eKRZmtS5n6hu0avePi2rjmrH0BlOOrhMwbFj+y2PW+iiEu/uYzeb2KA==" saltValue="ugBPhrbk7baBBm2zBTXQ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125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fjiRuVDmK8MpOUC8zEUBJKyglY48sRPVtUWNq9WM1xLoRv+YzTKi4fCkzD7vPhn9RztxPLznaP1VP/moCVDhvA==" saltValue="bu4QKFhYyJwDURndm4Qx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2AxKcNnQcnT5xrK3q0cSiHFNjmLoakM1FVBvNYxHag3EljtDRQcuQlwRE/E4YfMtOnBXmfVnrs4Bfp29F8CaA==" saltValue="b9T/pHjvOnzXNmm1hxT0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PCPbcAkkJhk/rJgg9fLfm/VkVqdzGDHgpbqPDeaYcg84z5OdYJWcYYCQ+x4n3Wm/62Dhox8mkotI5RAyjyRxZw==" saltValue="C2SPHrk9ISJCC6EYqOcS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7LhNgVWNvVwSXY5YixqBdg/mxzwdRxBG++AyRUNBjI+nSF+Ur9ZSUjMuilvZLUqRqvoBNggAzd27sM4Ym+l4dQ==" saltValue="kGMfgSDaFUZld5FHYRQ6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xM7IMDCB1XFKzB6Iil0i1IAP1Osr/TFoQ6GNuRqkTKkUWQsbWFM8SytBd/Jmebgix3BbTfn4BqXC+6PFWJBXQ==" saltValue="EkC6GQA4/RjGDnLLH0DN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3.0808634797970562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0.47070171463489502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0.61278763993956276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0.51473162888623747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13.972960063416251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13.972960063416251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13.972960063416251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13.972960063416251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13.972960063416251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13.972960063416251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0.76700000000000002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0.36119299999999999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0.70705347649884009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0.1587344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0.95352400000000004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ko+Crr9VztpvVnQzS+LuRwlEjz15+ktb8T+HKGUpYEsFz+4uM2P/AEak9aNSaJnTj7NEBk8eA8QPCA1Kgfqdmg==" saltValue="1OCYwCVqzONZURAFJkZv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XTTumDG1Hlkc2ZwG5IuAUaxiIAk0jGirTz2JYYVEiI4ejniyXXPKLEN5YJOocyGPbo6Ajp+0n0+L2y4WBsgHQ==" saltValue="svm8ZJkIYK8k7hbqDWbe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y+b3tpK5oYfDHMeStDUv4qROQjT+xmu6WjuOjjidyc8RUhtw063mWZeMZM5lcG3AiJvfhECwkS96lptwke3wA==" saltValue="h0N5WtuqeEjSJA3nxKh2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207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3MoCZkAXfRsQhyHnBtI+cTgvHhot9FOv8Mqg9enUMiZBuk0X7cKPZMaIDhDWg1vnWXMg16qoa7z0AxZoFYyyIQ==" saltValue="LAewchZGFPeSqLRH+DE8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QLy4axIFJtIcFN/8d8jkiZR0Xd+r38qHI05SDvXHxr2WFIaab+Nxn7FPbhEael5tFeLUoOX6gD78ECz67PGjg==" saltValue="10raj51EzPM4qD0r2ctM7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mwpCP+ZbyVqjDQ9u5YRLdC4VYEgkHmYKkfVNwGTgrTNoe31fnkLB5gTZ53m6RDes5av/nkcaaF/eZ1fXdqdkQ==" saltValue="veTP5C3e+DJvcUQByiED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YsyzctqRubVas1KQnALsk4rEDDMb4WGIKDOhacbvx/JyEbka01xqOj/3/jKoYjzZGsaReWBXhUrlRMq0yr4BA==" saltValue="6otLobMZaLlRLtSiueee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udHkjdtl4vv5hVzyScBkIOPLgmBAjeFHWs/xTbKLo1Hgr+0HTuQv8XMeYSr+kTAuGBFOZ6ODTx0hyaIdAiRcQ==" saltValue="mpbJ7YZnJ9NkH9byqiwz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fH0ze2uBLIG3atdJBNYdIq1BXpKRvHEzgQwz02yrTCXup1JARLbmpJTs1u4LQM2viTbO/wN/M0RT+WsgCeYQg==" saltValue="qGDwmjatA9cbCO9IpgdH8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e37YjTvdUVgoU3yP7Idr090R+e2x2JT4AYt+HGgGhzRWoVH94W+UerKugSMBw/mgCiRtNLRYJIkWOdMUqYSYg==" saltValue="eJTML9khd//rQ3mLgeGA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uVy4Pu3m+4j5j3N2GTEcD6rNIs6mH0F7O7eR4kgB9KkJv4QpM2uL/JBcuhxupfmHkaAgYWY9/sECpIurbqcpQ==" saltValue="GHqwdu2bm9d/6M8Mrij5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Ar15rIXw9hxtSVTSvN4Kai+cOSBJ407RpXur6dchZcoW2WRFsM+eorJM+uEKZMvFr7PJj1UNDWLzxNIPTClOg==" saltValue="xEnDtrW12x6woV6RQ5mo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xsVnnZd0QBANXu4zwg7GbPxsAMjINsTh+ZnPNFXe7sf43VRl+AVErILBVebpUsmDafNOdd6vsciSgwks24Trg==" saltValue="qS/MmZ4NQ20rNmxyF3Te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+ZfOfKrcJ4tufVR+Md45cmR5UEekJVfQcHX2qh+3po8tbsDcJizTqkXcKzLF+TNr1ChX37kllAiZUCH8N7OkQ==" saltValue="9jlYq2+lrAuPEx2TA9Mc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ysaekBzT8PMDx8QTYydy1dK51VmnZPSgM2ALaayTaEbvC/YuVMRhuSz5WhVj5oSRxHAEXnbooSTyzUkhCpZIA==" saltValue="QdeShJ595YqBbRWD7Hwe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eMhuZOOJpv9ztJ0QcUqQLQjDCpYZ5KLeRcdAY5OZZSyxn8WLbuWUYn7IhfwWwv1ZFDZLeGkMBpo/+7Uda37xQ==" saltValue="3nQLiofJ+SYhiniCO79/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9TZDS8iObgorArDVhNp9eHXYhtAst0OL+FarRjV9Y29iUpx6DglkpRrXfOMsRkLB0lIxmh9SgblqdYTSQeksw==" saltValue="rxsgVgi19fyi0lwRSxoy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0.1073508449332965</v>
      </c>
      <c r="G18" s="90">
        <f>MIN(MAX(1-0.89/(1-frac_sam_12_23months+(frac_sam_12_23months*0.89)),0),1)</f>
        <v>0.10908843086431086</v>
      </c>
      <c r="H18" s="90">
        <f>MIN(MAX(1-0.89/(1-frac_sam_24_59months+(frac_sam_24_59months*0.89)),0),1)</f>
        <v>0.10982701624475888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0.10733883961106172</v>
      </c>
      <c r="G20" s="90">
        <f>MIN(MAX(1-0.89/(1-frac_mam_12_23months+(frac_mam_12_23months*0.89)),0),1)</f>
        <v>0.10949379441895601</v>
      </c>
      <c r="H20" s="90">
        <f>MIN(MAX(1-0.89/(1-frac_mam_24_59months+(frac_mam_24_59months*0.89)),0),1)</f>
        <v>0.10949377481667633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9.7328308691043697E-3</v>
      </c>
      <c r="G73" s="90">
        <f>MIN(MAX(1-0.99/(1-frac_sam_12_23months+(frac_sam_12_23months*0.99)),0),1)</f>
        <v>9.9079046035625007E-3</v>
      </c>
      <c r="H73" s="90">
        <f>MIN(MAX(1-0.99/(1-frac_sam_24_59months+(frac_sam_24_59months*0.99)),0),1)</f>
        <v>9.9825103510279289E-3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9.7316234061857187E-3</v>
      </c>
      <c r="G75" s="90">
        <f>MIN(MAX(1-0.99/(1-frac_mam_12_23months+(frac_mam_12_23months*0.99)),0),1)</f>
        <v>9.9488371260562092E-3</v>
      </c>
      <c r="H75" s="90">
        <f>MIN(MAX(1-0.99/(1-frac_mam_24_59months+(frac_mam_24_59months*0.99)),0),1)</f>
        <v>9.9488351458514312E-3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0.19565986104420841</v>
      </c>
      <c r="G128" s="90">
        <f>MIN(MAX(1-0.8/(1-frac_sam_12_23months+(frac_sam_12_23months*0.8)),0),1)</f>
        <v>0.19850895414775915</v>
      </c>
      <c r="H128" s="90">
        <f>MIN(MAX(1-0.8/(1-frac_sam_24_59months+(frac_sam_24_59months*0.8)),0),1)</f>
        <v>0.19971724409668423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0.19564014436168065</v>
      </c>
      <c r="G130" s="90">
        <f>MIN(MAX(1-0.8/(1-frac_mam_12_23months+(frac_mam_12_23months*0.8)),0),1)</f>
        <v>0.19917231255191481</v>
      </c>
      <c r="H130" s="90">
        <f>MIN(MAX(1-0.8/(1-frac_mam_24_59months+(frac_mam_24_59months*0.8)),0),1)</f>
        <v>0.19917228048566438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OOkfw0P/RQgJ9+8oBmBQYF9FPzMh5G9H2DaLslriCAjvoF5T3bUexGEg4HfFfkica7zyAcusJVijwVrwvPCcA==" saltValue="q/i0FnenFqLdu4kQJHjl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4k2cL6l3lzgrksQa5QwwJpzvlYYzKo0/5LQtSwD4okqQJaQMpLt7ClwaaH034oY1gTYZ/FGLovYdAacEuoATQ==" saltValue="nSklzRDc7gsdrtEAthygk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2024-08-06T08:27:57Z</dcterms:modified>
</cp:coreProperties>
</file>