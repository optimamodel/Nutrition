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harindu.wickram\Desktop\Modeling\2025 studies\Nutrition\inputs\es\LiST countries\"/>
    </mc:Choice>
  </mc:AlternateContent>
  <xr:revisionPtr revIDLastSave="0" documentId="13_ncr:1_{1A0EA631-FA4A-4AFC-B118-35D84258C359}" xr6:coauthVersionLast="47" xr6:coauthVersionMax="47" xr10:uidLastSave="{00000000-0000-0000-0000-000000000000}"/>
  <bookViews>
    <workbookView xWindow="-110" yWindow="-110" windowWidth="19420" windowHeight="10420" tabRatio="961" firstSheet="4" activeTab="6" xr2:uid="{00000000-000D-0000-FFFF-FFFF00000000}"/>
  </bookViews>
  <sheets>
    <sheet name="Entradas de población-año base" sheetId="1" r:id="rId1"/>
    <sheet name="Proyecciones demográficas" sheetId="2" r:id="rId2"/>
    <sheet name="Causas de muerte" sheetId="3" r:id="rId3"/>
    <sheet name="Distribución estado nutricional" sheetId="4" r:id="rId4"/>
    <sheet name="Distribución de lactancia" sheetId="5" r:id="rId5"/>
    <sheet name="Tendencias temporales" sheetId="6" r:id="rId6"/>
    <sheet name="Variables económicas" sheetId="7" r:id="rId7"/>
    <sheet name="Paquetes de IYCF" sheetId="8" r:id="rId8"/>
    <sheet name="Tratamiento de la MAS" sheetId="9" r:id="rId9"/>
    <sheet name="Costo y cobertura del programa" sheetId="10" r:id="rId10"/>
    <sheet name="Dependencias del programa" sheetId="11" r:id="rId11"/>
    <sheet name="Programas de referencia" sheetId="12" state="hidden" r:id="rId12"/>
    <sheet name="Incidencia de las afecciones" sheetId="13" state="hidden" r:id="rId13"/>
    <sheet name="Población objetivo del programa" sheetId="14" state="hidden" r:id="rId14"/>
    <sheet name="Opciones de la curva de costos" sheetId="15" state="hidden" r:id="rId15"/>
    <sheet name="Prog. de planificación familiar" sheetId="16" state="hidden" r:id="rId16"/>
    <sheet name="Programas población afectada" sheetId="17" state="hidden" r:id="rId17"/>
    <sheet name="Riesgos que impacta programa" sheetId="18" state="hidden" r:id="rId18"/>
    <sheet name="Riegos para la población" sheetId="19" state="hidden" r:id="rId19"/>
    <sheet name="Razón de momios IYCF" sheetId="20" state="hidden" r:id="rId20"/>
    <sheet name="Razón de momios" sheetId="23" state="hidden" r:id="rId21"/>
    <sheet name="Resultados de nacimiento- prog" sheetId="24" state="hidden" r:id="rId22"/>
    <sheet name="Riesgos desenlace de nacimiento" sheetId="21" state="hidden" r:id="rId23"/>
    <sheet name="Riesgos relativos" sheetId="22" state="hidden" r:id="rId24"/>
    <sheet name="Programas de anemia" sheetId="25" state="hidden" r:id="rId25"/>
    <sheet name="Programas para emaciación" sheetId="26" state="hidden" r:id="rId26"/>
    <sheet name="Programas para niños" sheetId="27" state="hidden" r:id="rId27"/>
    <sheet name="Prog. para mujeres embarazadas" sheetId="28" state="hidden" r:id="rId28"/>
  </sheets>
  <definedNames>
    <definedName name="abortion" localSheetId="7">'Entradas de población-año base'!$C$38</definedName>
    <definedName name="abortion">'Entradas de población-año base'!$C$41</definedName>
    <definedName name="comm_deliv">'Tratamiento de la MAS'!$D$3</definedName>
    <definedName name="diarrhoea_1_5mo">'Entradas de población-año base'!$C$52</definedName>
    <definedName name="diarrhoea_12_23mo">'Entradas de población-año base'!$C$54</definedName>
    <definedName name="diarrhoea_1mo">'Entradas de población-año base'!$C$51</definedName>
    <definedName name="diarrhoea_24_59mo">'Entradas de población-año base'!$C$55</definedName>
    <definedName name="diarrhoea_6_11mo">'Entradas de población-año base'!$C$53</definedName>
    <definedName name="end_year">'Entradas de población-año base'!$C$4</definedName>
    <definedName name="famplan_unmet_need">'Entradas de población-año base'!$C$13</definedName>
    <definedName name="food_insecure">'Entradas de población-año base'!$C$8</definedName>
    <definedName name="frac_children_health_facility">'Entradas de población-año base'!$C$12</definedName>
    <definedName name="frac_diarrhea_severe">'Entradas de población-año base'!$C$58</definedName>
    <definedName name="frac_maize">'Entradas de población-año base'!$C$19</definedName>
    <definedName name="frac_malaria_risk">'Entradas de población-año base'!$C$9</definedName>
    <definedName name="frac_mam_1_5months">'Distribución estado nutricional'!$D$10</definedName>
    <definedName name="frac_mam_12_23months">'Distribución estado nutricional'!$F$10</definedName>
    <definedName name="frac_mam_1month">'Distribución estado nutricional'!$C$10</definedName>
    <definedName name="frac_mam_24_59months">'Distribución estado nutricional'!$G$10</definedName>
    <definedName name="frac_mam_6_11months">'Distribución estado nutricional'!$E$10</definedName>
    <definedName name="frac_MAMtoSAM">'Entradas de población-año base'!#REF!</definedName>
    <definedName name="frac_other_staples">'Entradas de población-año base'!$C$20</definedName>
    <definedName name="frac_PW_health_facility">'Entradas de población-año base'!$C$11</definedName>
    <definedName name="frac_rice">'Entradas de población-año base'!$C$17</definedName>
    <definedName name="frac_sam_1_5months">'Distribución estado nutricional'!$D$11</definedName>
    <definedName name="frac_sam_12_23months">'Distribución estado nutricional'!$F$11</definedName>
    <definedName name="frac_sam_1month">'Distribución estado nutricional'!$C$11</definedName>
    <definedName name="frac_sam_24_59months">'Distribución estado nutricional'!$G$11</definedName>
    <definedName name="frac_sam_6_11months">'Distribución estado nutricional'!$E$11</definedName>
    <definedName name="frac_SAMtoMAM">'Entradas de población-año base'!#REF!</definedName>
    <definedName name="frac_subsistence_farming">'Entradas de población-año base'!$C$16</definedName>
    <definedName name="frac_wheat">'Entradas de población-año base'!$C$18</definedName>
    <definedName name="infant_mortality">'Entradas de población-año base'!$C$38</definedName>
    <definedName name="iron_deficiency_anaemia">'Entradas de población-año base'!$C$59</definedName>
    <definedName name="manage_mam">'Tratamiento de la MAS'!$D$2</definedName>
    <definedName name="maternal_mortality">'Entradas de población-año base'!$C$40</definedName>
    <definedName name="neonatal_mortality">'Entradas de población-año base'!$C$37</definedName>
    <definedName name="Percentage_of_pregnant_women_attending_health_facility">'Entradas de población-año base'!$C$11</definedName>
    <definedName name="preterm_AGA">'Entradas de población-año base'!$C$46</definedName>
    <definedName name="preterm_SGA">'Entradas de población-año base'!$C$45</definedName>
    <definedName name="school_attendance">'Entradas de población-año base'!$C$10</definedName>
    <definedName name="start_year">'Entradas de población-año base'!$C$3</definedName>
    <definedName name="stillbirth" localSheetId="7">'Entradas de población-año base'!$C$39</definedName>
    <definedName name="stillbirth">'Entradas de población-año base'!$C$42</definedName>
    <definedName name="term_AGA">'Entradas de población-año base'!$C$48</definedName>
    <definedName name="term_SGA">'Entradas de población-año base'!$C$47</definedName>
    <definedName name="U5_mortality">'Entradas de población-año base'!$C$39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H16" i="14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H153" i="27"/>
  <c r="G153" i="27"/>
  <c r="F153" i="27"/>
  <c r="E153" i="27"/>
  <c r="D153" i="27"/>
  <c r="H136" i="27"/>
  <c r="G136" i="27"/>
  <c r="F136" i="27"/>
  <c r="E136" i="27"/>
  <c r="H135" i="27"/>
  <c r="G135" i="27"/>
  <c r="F135" i="27"/>
  <c r="E135" i="27"/>
  <c r="D135" i="27"/>
  <c r="H134" i="27"/>
  <c r="G134" i="27"/>
  <c r="F134" i="27"/>
  <c r="E134" i="27"/>
  <c r="H133" i="27"/>
  <c r="G133" i="27"/>
  <c r="F133" i="27"/>
  <c r="E133" i="27"/>
  <c r="D133" i="27"/>
  <c r="H132" i="27"/>
  <c r="G132" i="27"/>
  <c r="F132" i="27"/>
  <c r="E132" i="27"/>
  <c r="H131" i="27"/>
  <c r="G131" i="27"/>
  <c r="F131" i="27"/>
  <c r="E131" i="27"/>
  <c r="E130" i="27"/>
  <c r="D130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112" i="27"/>
  <c r="E112" i="27"/>
  <c r="D112" i="27"/>
  <c r="H97" i="27"/>
  <c r="H152" i="27" s="1"/>
  <c r="G97" i="27"/>
  <c r="G152" i="27" s="1"/>
  <c r="F97" i="27"/>
  <c r="F152" i="27" s="1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H79" i="27"/>
  <c r="G79" i="27"/>
  <c r="F79" i="27"/>
  <c r="E79" i="27"/>
  <c r="H78" i="27"/>
  <c r="G78" i="27"/>
  <c r="F78" i="27"/>
  <c r="E78" i="27"/>
  <c r="D78" i="27"/>
  <c r="H77" i="27"/>
  <c r="G77" i="27"/>
  <c r="F77" i="27"/>
  <c r="E77" i="27"/>
  <c r="H76" i="27"/>
  <c r="G76" i="27"/>
  <c r="F76" i="27"/>
  <c r="E76" i="27"/>
  <c r="D76" i="27"/>
  <c r="D131" i="27" s="1"/>
  <c r="E75" i="27"/>
  <c r="D75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G57" i="27"/>
  <c r="G112" i="27" s="1"/>
  <c r="F57" i="27"/>
  <c r="F112" i="27" s="1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H39" i="2"/>
  <c r="G39" i="2"/>
  <c r="H38" i="2"/>
  <c r="G38" i="2"/>
  <c r="I38" i="2" s="1"/>
  <c r="H13" i="2"/>
  <c r="G13" i="2"/>
  <c r="H12" i="2"/>
  <c r="G12" i="2"/>
  <c r="I12" i="2" s="1"/>
  <c r="H11" i="2"/>
  <c r="G11" i="2"/>
  <c r="I11" i="2" s="1"/>
  <c r="H10" i="2"/>
  <c r="G10" i="2"/>
  <c r="H9" i="2"/>
  <c r="G9" i="2"/>
  <c r="H8" i="2"/>
  <c r="G8" i="2"/>
  <c r="I8" i="2" s="1"/>
  <c r="H7" i="2"/>
  <c r="G7" i="2"/>
  <c r="I7" i="2" s="1"/>
  <c r="H6" i="2"/>
  <c r="G6" i="2"/>
  <c r="I6" i="2" s="1"/>
  <c r="H5" i="2"/>
  <c r="G5" i="2"/>
  <c r="H4" i="2"/>
  <c r="G4" i="2"/>
  <c r="H3" i="2"/>
  <c r="G3" i="2"/>
  <c r="I3" i="2" s="1"/>
  <c r="H2" i="2"/>
  <c r="G2" i="2"/>
  <c r="I2" i="2" s="1"/>
  <c r="A2" i="2"/>
  <c r="A39" i="2" s="1"/>
  <c r="C33" i="1"/>
  <c r="C20" i="1"/>
  <c r="A19" i="2" l="1"/>
  <c r="A22" i="2"/>
  <c r="A23" i="2"/>
  <c r="A24" i="2"/>
  <c r="A35" i="2"/>
  <c r="A36" i="2"/>
  <c r="I9" i="2"/>
  <c r="I13" i="2"/>
  <c r="A37" i="2"/>
  <c r="I4" i="2"/>
  <c r="A25" i="2"/>
  <c r="A26" i="2"/>
  <c r="I39" i="2"/>
  <c r="A31" i="2"/>
  <c r="A34" i="2"/>
  <c r="A40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00000000-0006-0000-1A00-00000C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00000000-0006-0000-1A00-00000D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00000000-0006-0000-1A00-00000E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00000000-0006-0000-1A00-00000F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00000000-0006-0000-1A00-000010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00000000-0006-0000-1A00-000011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00000000-0006-0000-1A00-000012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00000000-0006-0000-1A00-000013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1" shapeId="0" xr:uid="{00000000-0006-0000-1A00-000015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0" authorId="1" shapeId="0" xr:uid="{00000000-0006-0000-1A00-000016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2" authorId="0" shapeId="0" xr:uid="{00000000-0006-0000-1A00-000017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8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9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1" shapeId="0" xr:uid="{00000000-0006-0000-1A00-00001A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28" authorId="1" shapeId="0" xr:uid="{00000000-0006-0000-1A00-00001B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28" authorId="1" shapeId="0" xr:uid="{00000000-0006-0000-1A00-00001C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28" authorId="1" shapeId="0" xr:uid="{00000000-0006-0000-1A00-00001D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28" authorId="1" shapeId="0" xr:uid="{00000000-0006-0000-1A00-00001E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3" authorId="0" shapeId="0" xr:uid="{00000000-0006-0000-1A00-00001F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3" authorId="0" shapeId="0" xr:uid="{00000000-0006-0000-1A00-000020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3" authorId="0" shapeId="0" xr:uid="{00000000-0006-0000-1A00-000021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3" authorId="0" shapeId="0" xr:uid="{00000000-0006-0000-1A00-000022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3" authorId="0" shapeId="0" xr:uid="{00000000-0006-0000-1A00-000023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4" authorId="0" shapeId="0" xr:uid="{00000000-0006-0000-1A00-000024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4" authorId="0" shapeId="0" xr:uid="{00000000-0006-0000-1A00-00002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4" authorId="0" shapeId="0" xr:uid="{00000000-0006-0000-1A00-00002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4" authorId="0" shapeId="0" xr:uid="{00000000-0006-0000-1A00-00002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4" authorId="0" shapeId="0" xr:uid="{00000000-0006-0000-1A00-00002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7" authorId="0" shapeId="0" xr:uid="{00000000-0006-0000-1A00-000029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E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3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3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3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3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1" authorId="0" shapeId="0" xr:uid="{00000000-0006-0000-1A00-00003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1" authorId="0" shapeId="0" xr:uid="{00000000-0006-0000-1A00-00003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1" authorId="0" shapeId="0" xr:uid="{00000000-0006-0000-1A00-00003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1" authorId="0" shapeId="0" xr:uid="{00000000-0006-0000-1A00-00003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3" authorId="1" shapeId="0" xr:uid="{00000000-0006-0000-1A00-000038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58" authorId="0" shapeId="0" xr:uid="{00000000-0006-0000-1A00-000039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58" authorId="0" shapeId="0" xr:uid="{00000000-0006-0000-1A00-00003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58" authorId="0" shapeId="0" xr:uid="{00000000-0006-0000-1A00-00003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59" authorId="0" shapeId="0" xr:uid="{00000000-0006-0000-1A00-00003C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59" authorId="0" shapeId="0" xr:uid="{00000000-0006-0000-1A00-00003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59" authorId="0" shapeId="0" xr:uid="{00000000-0006-0000-1A00-00003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1" authorId="1" shapeId="0" xr:uid="{00000000-0006-0000-1A00-00003F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1" authorId="1" shapeId="0" xr:uid="{00000000-0006-0000-1A00-00004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3" authorId="1" shapeId="0" xr:uid="{00000000-0006-0000-1A00-00004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00000000-0006-0000-1A00-00004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00000000-0006-0000-1A00-000043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5" authorId="1" shapeId="0" xr:uid="{00000000-0006-0000-1A00-00004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7" authorId="1" shapeId="0" xr:uid="{00000000-0006-0000-1A00-00004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00000000-0006-0000-1A00-00004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0" shapeId="0" xr:uid="{00000000-0006-0000-1A00-000047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69" authorId="0" shapeId="0" xr:uid="{00000000-0006-0000-1A00-00004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1" authorId="0" shapeId="0" xr:uid="{00000000-0006-0000-1A00-000049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1" authorId="0" shapeId="0" xr:uid="{00000000-0006-0000-1A00-00004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3" authorId="1" shapeId="0" xr:uid="{00000000-0006-0000-1A00-00004B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D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1" shapeId="0" xr:uid="{00000000-0006-0000-1A00-000050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3" authorId="1" shapeId="0" xr:uid="{00000000-0006-0000-1A00-00005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3" authorId="1" shapeId="0" xr:uid="{00000000-0006-0000-1A00-00005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3" authorId="1" shapeId="0" xr:uid="{00000000-0006-0000-1A00-00005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3" authorId="1" shapeId="0" xr:uid="{00000000-0006-0000-1A00-00005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99" authorId="0" shapeId="0" xr:uid="{00000000-0006-0000-1A00-00005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99" authorId="0" shapeId="0" xr:uid="{00000000-0006-0000-1A00-00005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99" authorId="0" shapeId="0" xr:uid="{00000000-0006-0000-1A00-00005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99" authorId="0" shapeId="0" xr:uid="{00000000-0006-0000-1A00-00005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99" authorId="0" shapeId="0" xr:uid="{00000000-0006-0000-1A00-00005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2" authorId="0" shapeId="0" xr:uid="{00000000-0006-0000-1A00-00005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6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6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6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6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06" authorId="0" shapeId="0" xr:uid="{00000000-0006-0000-1A00-00006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06" authorId="0" shapeId="0" xr:uid="{00000000-0006-0000-1A00-00006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06" authorId="0" shapeId="0" xr:uid="{00000000-0006-0000-1A00-00006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06" authorId="0" shapeId="0" xr:uid="{00000000-0006-0000-1A00-00006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08" authorId="1" shapeId="0" xr:uid="{00000000-0006-0000-1A00-000069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3" authorId="0" shapeId="0" xr:uid="{00000000-0006-0000-1A00-00006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3" authorId="0" shapeId="0" xr:uid="{00000000-0006-0000-1A00-00006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3" authorId="0" shapeId="0" xr:uid="{00000000-0006-0000-1A00-00006C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4" authorId="0" shapeId="0" xr:uid="{00000000-0006-0000-1A00-00006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4" authorId="0" shapeId="0" xr:uid="{00000000-0006-0000-1A00-00006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4" authorId="0" shapeId="0" xr:uid="{00000000-0006-0000-1A00-00006F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16" authorId="1" shapeId="0" xr:uid="{00000000-0006-0000-1A00-00007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6" authorId="1" shapeId="0" xr:uid="{00000000-0006-0000-1A00-00007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18" authorId="1" shapeId="0" xr:uid="{00000000-0006-0000-1A00-00007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8" authorId="1" shapeId="0" xr:uid="{00000000-0006-0000-1A00-000073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0" authorId="1" shapeId="0" xr:uid="{00000000-0006-0000-1A00-00007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0" authorId="1" shapeId="0" xr:uid="{00000000-0006-0000-1A00-00007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2" authorId="1" shapeId="0" xr:uid="{00000000-0006-0000-1A00-00007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2" authorId="1" shapeId="0" xr:uid="{00000000-0006-0000-1A00-000077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4" authorId="0" shapeId="0" xr:uid="{00000000-0006-0000-1A00-00007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4" authorId="0" shapeId="0" xr:uid="{00000000-0006-0000-1A00-000079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26" authorId="0" shapeId="0" xr:uid="{00000000-0006-0000-1A00-00007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26" authorId="0" shapeId="0" xr:uid="{00000000-0006-0000-1A00-00007B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28" authorId="1" shapeId="0" xr:uid="{00000000-0006-0000-1A00-00007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D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8" authorId="1" shapeId="0" xr:uid="{00000000-0006-0000-1A00-00008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38" authorId="1" shapeId="0" xr:uid="{00000000-0006-0000-1A00-00008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38" authorId="1" shapeId="0" xr:uid="{00000000-0006-0000-1A00-00008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38" authorId="1" shapeId="0" xr:uid="{00000000-0006-0000-1A00-00008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38" authorId="1" shapeId="0" xr:uid="{00000000-0006-0000-1A00-000085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54" authorId="0" shapeId="0" xr:uid="{00000000-0006-0000-1A00-00008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54" authorId="0" shapeId="0" xr:uid="{00000000-0006-0000-1A00-00008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54" authorId="0" shapeId="0" xr:uid="{00000000-0006-0000-1A00-00008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54" authorId="0" shapeId="0" xr:uid="{00000000-0006-0000-1A00-00008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54" authorId="0" shapeId="0" xr:uid="{00000000-0006-0000-1A00-00008A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57" authorId="0" shapeId="0" xr:uid="{00000000-0006-0000-1A00-00008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F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9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9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9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9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94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1" authorId="0" shapeId="0" xr:uid="{00000000-0006-0000-1A00-00009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1" authorId="0" shapeId="0" xr:uid="{00000000-0006-0000-1A00-00009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1" authorId="0" shapeId="0" xr:uid="{00000000-0006-0000-1A00-00009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1" authorId="0" shapeId="0" xr:uid="{00000000-0006-0000-1A00-000099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3" authorId="1" shapeId="0" xr:uid="{00000000-0006-0000-1A00-00009A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<sst xmlns="http://schemas.openxmlformats.org/spreadsheetml/2006/main" count="2159" uniqueCount="372">
  <si>
    <t>Field</t>
  </si>
  <si>
    <t>Neonatal</t>
  </si>
  <si>
    <t>Meningitis</t>
  </si>
  <si>
    <t>Malaria</t>
  </si>
  <si>
    <t>Sepsis</t>
  </si>
  <si>
    <t>x</t>
  </si>
  <si>
    <t>MAM</t>
  </si>
  <si>
    <t>Normal</t>
  </si>
  <si>
    <t>N/A</t>
  </si>
  <si>
    <t>Outcome</t>
  </si>
  <si>
    <t>Parameter</t>
  </si>
  <si>
    <t>Value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</si>
  <si>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</si>
  <si>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</si>
  <si>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</si>
  <si>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</si>
  <si>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</si>
  <si>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</si>
  <si>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</si>
  <si>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</si>
  <si>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</si>
  <si>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</si>
  <si>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</si>
  <si>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</si>
  <si>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</si>
  <si>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</si>
  <si>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</si>
  <si>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Cash transfers - lower</t>
  </si>
  <si>
    <t>Cash transfers - upper</t>
  </si>
  <si>
    <t>18-23 meses</t>
  </si>
  <si>
    <t>24 meses o más</t>
  </si>
  <si>
    <t>Distribución de edad de las mujeres embarazadas</t>
  </si>
  <si>
    <t>Promedio de episodios por año: 1-5 meses</t>
  </si>
  <si>
    <t>Promedio de episodios por año: 12-23 meses</t>
  </si>
  <si>
    <t>Promedio de episodios por año: 24-59 meses</t>
  </si>
  <si>
    <t>Promedio de episodios por año: 6-11 meses</t>
  </si>
  <si>
    <t>Promedio de episodios por año: &lt;1 mes</t>
  </si>
  <si>
    <t>Año de referencia (año de inicio de la proyección)</t>
  </si>
  <si>
    <t>Datos del año de referencia</t>
  </si>
  <si>
    <t>Mortalidad y factores de riesgo en el año de referencia</t>
  </si>
  <si>
    <t>Distribución del desenlace del nacimiento</t>
  </si>
  <si>
    <t>Espaciamiento entre los nacimientos</t>
  </si>
  <si>
    <t>Población infantil menor de 5 años</t>
  </si>
  <si>
    <t>Datos</t>
  </si>
  <si>
    <t>Incidencia de la diarrea</t>
  </si>
  <si>
    <t>Año final</t>
  </si>
  <si>
    <t>El primer nacimiento</t>
  </si>
  <si>
    <t>Alimento</t>
  </si>
  <si>
    <t>Fracción que consume maíz como principal alimento básico</t>
  </si>
  <si>
    <t>Fracción que consume arroz como principal alimento básico</t>
  </si>
  <si>
    <t>Fracción que consume trigo como principal alimento básico</t>
  </si>
  <si>
    <t>Fracción de embarazos que terminan en aborto espontáneo</t>
  </si>
  <si>
    <t>Fracción de agricultura de subsistencia</t>
  </si>
  <si>
    <t>Fracción de otros alimentos básicos como alimento principal</t>
  </si>
  <si>
    <t>Mortalidad infantil (por cada 1.000 nacidos vivos)</t>
  </si>
  <si>
    <t>Mortalidad materna (por cada 1.000 nacidos vivos)</t>
  </si>
  <si>
    <t>Mortalidad</t>
  </si>
  <si>
    <t>Mortalidad neonatal (por cada 1.000 nacidos vivos)</t>
  </si>
  <si>
    <t>Otros riesgos</t>
  </si>
  <si>
    <t>Porcentaje de anemia que es deficiente en hierro</t>
  </si>
  <si>
    <t>Porcentaje de niños que acuden a un centro de salud</t>
  </si>
  <si>
    <t>Porcentaje de diarrea grave</t>
  </si>
  <si>
    <t>Porcentaje de población con riesgo de malaria</t>
  </si>
  <si>
    <t>Porcentaje de población con inseguridad alimentaria (pobre por defecto)</t>
  </si>
  <si>
    <t>Porcentaje de mujeres embarazadas de 15 a 19 años</t>
  </si>
  <si>
    <t>Porcentaje de mujeres embarazadas de 20 a 29 años</t>
  </si>
  <si>
    <t>Porcentaje de mujeres embarazadas de 30 a 39 años</t>
  </si>
  <si>
    <t>Porcentaje de mujeres embarazadas de 40 a 49 años</t>
  </si>
  <si>
    <t>Porcentaje de mujeres embarazadas que acuden a un centro de salud</t>
  </si>
  <si>
    <t>Datos poblacionales</t>
  </si>
  <si>
    <t>Prematuro AEG (adecuado para edad gestacional)</t>
  </si>
  <si>
    <t>Prematuro PEG (pequeño para la edad gestacional)</t>
  </si>
  <si>
    <t>Prevalencia de eclampsia</t>
  </si>
  <si>
    <t>Prevalencia de preeclampsia</t>
  </si>
  <si>
    <t>Años de proyección</t>
  </si>
  <si>
    <t>Asistencia a la escuela (porcentaje de mujeres de 15 a 19 años)</t>
  </si>
  <si>
    <t>Nacidos muertos (por cada 1.000 nacimientos totales)</t>
  </si>
  <si>
    <t>Nacido a término AEG (Adecuado para la edad gestacional)</t>
  </si>
  <si>
    <t>Nacido a término PEG (pequeño para la edad gestacional)</t>
  </si>
  <si>
    <t>Total (debe ser el 100%)</t>
  </si>
  <si>
    <t>Mortalidad de menores de 5 años (por cada 1.000 nacidos vivos)</t>
  </si>
  <si>
    <t>Necesidad insatisfecha de planificación familiar</t>
  </si>
  <si>
    <t>menos de 18 meses</t>
  </si>
  <si>
    <t>Bajo peso al nacer</t>
  </si>
  <si>
    <t>Estimación de mujeres embarazadas</t>
  </si>
  <si>
    <t>Número de nacimientos</t>
  </si>
  <si>
    <t>Total mujeres en edad reproductiva</t>
  </si>
  <si>
    <t>WRA: 15-19 años  (mujeres en edad reproductiva)</t>
  </si>
  <si>
    <t>WRA: 20-29 años (mujeres en edad reproductiva)</t>
  </si>
  <si>
    <t>WRA: 30-39 años (mujeres en edad reproductiva)</t>
  </si>
  <si>
    <t>WRA: 40-49 años (mujeres en edad reproductiva)</t>
  </si>
  <si>
    <t>mujeres en edad reproductiva no embarazadas</t>
  </si>
  <si>
    <t>año</t>
  </si>
  <si>
    <t>1-5 meses</t>
  </si>
  <si>
    <t>12-23 meses</t>
  </si>
  <si>
    <t>24-59 meses</t>
  </si>
  <si>
    <t>6-11 meses</t>
  </si>
  <si>
    <t>&lt;1 mes</t>
  </si>
  <si>
    <t>SIDA</t>
  </si>
  <si>
    <t>Aborto</t>
  </si>
  <si>
    <t>Hemorragia pre-parto</t>
  </si>
  <si>
    <t>Causas</t>
  </si>
  <si>
    <t>Niños</t>
  </si>
  <si>
    <t>Diarrea</t>
  </si>
  <si>
    <t>Embolia</t>
  </si>
  <si>
    <t>Trastornos hipertensivos</t>
  </si>
  <si>
    <t>Causas indirectas</t>
  </si>
  <si>
    <t>Lesión</t>
  </si>
  <si>
    <t>Hemorragia intraparto</t>
  </si>
  <si>
    <t>Sarampión</t>
  </si>
  <si>
    <t>Asfixia neonatal</t>
  </si>
  <si>
    <t>Anomalías congénitas neonatales</t>
  </si>
  <si>
    <t>Diarrea neonatal</t>
  </si>
  <si>
    <t>Neonatal otros</t>
  </si>
  <si>
    <t>Neumonía neonatal</t>
  </si>
  <si>
    <t>Prematuridad neonatal</t>
  </si>
  <si>
    <t>Sepsis neonatal</t>
  </si>
  <si>
    <t>Tétanos neonatal</t>
  </si>
  <si>
    <t>Otro</t>
  </si>
  <si>
    <t>Otras causas directas</t>
  </si>
  <si>
    <t>Tosferina</t>
  </si>
  <si>
    <t>Neumonía</t>
  </si>
  <si>
    <t>Hemorragia posparto</t>
  </si>
  <si>
    <t>Mujeres embarazadas</t>
  </si>
  <si>
    <t>Anemia</t>
  </si>
  <si>
    <t>Alto (puntuación HAZ &lt; -3)</t>
  </si>
  <si>
    <t>MAM (puntuación WHZ entre -3 y -2)</t>
  </si>
  <si>
    <t>Leve (score HAZ entre -2 y -1)</t>
  </si>
  <si>
    <t>Leve (score WHZ entre -2 y -1)</t>
  </si>
  <si>
    <t>Moderado (score HAZ entre -3 y -2)</t>
  </si>
  <si>
    <t>Normal (score HAZ &gt; -1)</t>
  </si>
  <si>
    <t>Normal (score WHZ &gt; -1)</t>
  </si>
  <si>
    <t>PW: 15-19 años</t>
  </si>
  <si>
    <t>PW: 20-29 años</t>
  </si>
  <si>
    <t>PW: 30-39 años</t>
  </si>
  <si>
    <t>PW: 40-49 años</t>
  </si>
  <si>
    <t>Prevalencia de anemia</t>
  </si>
  <si>
    <t>Prevalencia de anemia por deficiencia de hierro</t>
  </si>
  <si>
    <t>MAS (score WHZ &lt; -3)</t>
  </si>
  <si>
    <t>Estado</t>
  </si>
  <si>
    <t>Retraso en el crecimiento (Talla para la edad)</t>
  </si>
  <si>
    <t>Emaciación (peso para la talla)</t>
  </si>
  <si>
    <t>Lactancia materna</t>
  </si>
  <si>
    <t>Exclusivo</t>
  </si>
  <si>
    <t>Ninguno</t>
  </si>
  <si>
    <t>Parcial</t>
  </si>
  <si>
    <t>Predominante</t>
  </si>
  <si>
    <t>Prevalencia de anemia (%)</t>
  </si>
  <si>
    <t>Niños de 0 a 5 meses</t>
  </si>
  <si>
    <t>Niños de 0 a 59 meses</t>
  </si>
  <si>
    <t>Niños de 6 a 23 meses</t>
  </si>
  <si>
    <t>Materna (muertes por cada 1.000 nacimientos)</t>
  </si>
  <si>
    <t>Población</t>
  </si>
  <si>
    <t>Prevalencia de lactancia materna adecuada para la edad</t>
  </si>
  <si>
    <t>Riesgo</t>
  </si>
  <si>
    <t>Prevalencia del retraso del crecimiento (%)</t>
  </si>
  <si>
    <t>Menores de cinco años (muertes por cada 1.000 nacimientos)</t>
  </si>
  <si>
    <t>Prevalencia de emaciación (%)</t>
  </si>
  <si>
    <t>Mujeres en edad reproductiva</t>
  </si>
  <si>
    <t>Crecimiento anual del PIB</t>
  </si>
  <si>
    <t>PIB per cápita</t>
  </si>
  <si>
    <t>Descuento temporal (costos)</t>
  </si>
  <si>
    <t>Descuento temporal (beneficios)</t>
  </si>
  <si>
    <t>Porcentaje de ingresos vitales que realmente se han ganado</t>
  </si>
  <si>
    <t>Edad a la que se acaba la productividad laboral</t>
  </si>
  <si>
    <t>Edad de inicio de la productividad laboral</t>
  </si>
  <si>
    <t>Participación laboral femenina</t>
  </si>
  <si>
    <t>Porcentaje de embarazos a los cuales se les puede atribuir una pérdida de productividad por anemia materna</t>
  </si>
  <si>
    <t>Aumento de puntuación de CI gracias a la lactancia temprana</t>
  </si>
  <si>
    <t xml:space="preserve">Aumento de ingresos por punto de CI </t>
  </si>
  <si>
    <t>Participación del trabajo en el PIB</t>
  </si>
  <si>
    <t>Reducción total de ingresos vitales en individuos con retraso del crecimiento</t>
  </si>
  <si>
    <t>Disminución de productividad debido a la anemia infantil (%)</t>
  </si>
  <si>
    <t>Disminución de productividad debido al bajo peso al nacer (%)</t>
  </si>
  <si>
    <t>Disminución de productividad debido a la anemia materna (%)</t>
  </si>
  <si>
    <t>Porcentaje de mortinatos a incluir en la pérdida de productividad</t>
  </si>
  <si>
    <t>Número de personas vivas restantes (empezando con 100.000 nacimientos)</t>
  </si>
  <si>
    <t>Todo</t>
  </si>
  <si>
    <t>Comunidad</t>
  </si>
  <si>
    <t>Centro de salud</t>
  </si>
  <si>
    <t>IYCF 1-alimentación del lactante y del niño pequeño</t>
  </si>
  <si>
    <t>IYCF 2-alimentación del lactante y del niño pequeño</t>
  </si>
  <si>
    <t>IYCF 3-alimentación del lactante y del niño pequeño</t>
  </si>
  <si>
    <t>Paquete alimentación del lactante y del niño pequeño (IYCF)</t>
  </si>
  <si>
    <t>Medios de comunicación masivos</t>
  </si>
  <si>
    <t>Población objetivo</t>
  </si>
  <si>
    <t>Añadir extensión</t>
  </si>
  <si>
    <t>Basado en la comunidad</t>
  </si>
  <si>
    <t>Por defecto</t>
  </si>
  <si>
    <t>Método de entrega</t>
  </si>
  <si>
    <t>Extensión</t>
  </si>
  <si>
    <t>Manejo de la Malnutrición Aguda Moderada (MAM)</t>
  </si>
  <si>
    <t>Programa</t>
  </si>
  <si>
    <t>Tratamiento de la MAS</t>
  </si>
  <si>
    <t>Suplemento energético-proteico equilibrado</t>
  </si>
  <si>
    <t>Suplemento con calcio</t>
  </si>
  <si>
    <t>Transferencias de efectivo</t>
  </si>
  <si>
    <t>Relación costo-cobertura</t>
  </si>
  <si>
    <t>Retraso en el pinzamiento del cordón umbilical</t>
  </si>
  <si>
    <t>Planificación familiar</t>
  </si>
  <si>
    <t>Enriquecimiento del maíz con hierro y ácido fólico</t>
  </si>
  <si>
    <t>Enriquecimiento del arroz con hierro y ácido fólico</t>
  </si>
  <si>
    <t>Enriquecimiento de la harina de trigo con hierro y ácido fólico</t>
  </si>
  <si>
    <t>Suplementación con hierro y ácido fólico (comunidad)</t>
  </si>
  <si>
    <t>Suplementación con hierro y ácido fólico (centro de salud)</t>
  </si>
  <si>
    <t>Suplementación con hierro y ácido fólico (minorista)</t>
  </si>
  <si>
    <t>Suplementación con hierro y ácido fólico (escuela)</t>
  </si>
  <si>
    <t>Suplementación con hierro y ácido fólico para mujeres embarazadas (comunidad)</t>
  </si>
  <si>
    <t>Suplementación con hierro y ácido fólico para mujeres embarazadas (centro de salud)</t>
  </si>
  <si>
    <t>IPTp-Tratamiento preventivo intermitente de la malaria en el embarazo</t>
  </si>
  <si>
    <t>Fortificación de la sal con hierro y yodo</t>
  </si>
  <si>
    <t>Método de la madre canguro</t>
  </si>
  <si>
    <t>Lineal (costo marginal constante) [por defecto]</t>
  </si>
  <si>
    <t>Suplementos nutricionales a base de lípidos</t>
  </si>
  <si>
    <t>Mosquiteros tratados con insecticida de larga duración</t>
  </si>
  <si>
    <t>Disminución máxima anual</t>
  </si>
  <si>
    <t>Aumento máximo anual</t>
  </si>
  <si>
    <t>Magnesio para la eclampsia</t>
  </si>
  <si>
    <t>Magnesio para la preeclampsia</t>
  </si>
  <si>
    <t>Micronutrientes en polvo</t>
  </si>
  <si>
    <t>Suplementación con micronutrientes múltiples</t>
  </si>
  <si>
    <t>Sales de rehidratación oral</t>
  </si>
  <si>
    <t>Suministro público de alimentos complementarios</t>
  </si>
  <si>
    <t>Cobertura de saturación de la población objetivo</t>
  </si>
  <si>
    <t>Costo unitario (US$)</t>
  </si>
  <si>
    <t>Suplementación con vitamina A</t>
  </si>
  <si>
    <t>WASH: Lavado de manos</t>
  </si>
  <si>
    <t>WASH: Eliminación higiénica de residuos</t>
  </si>
  <si>
    <t>WASH: Mejora del saneamiento</t>
  </si>
  <si>
    <t>WASH: Mejora de la fuente de agua</t>
  </si>
  <si>
    <t>WASH: Agua corriente o entubada</t>
  </si>
  <si>
    <t>Zinc para el tratamiento + SRO</t>
  </si>
  <si>
    <t>Suplementación con zinc</t>
  </si>
  <si>
    <t>Suplementos nutricionales a base de lípidos en pequeñas cantidades</t>
  </si>
  <si>
    <t>Exclusión de intervención dependiente</t>
  </si>
  <si>
    <t>Dependencia de otra intervención</t>
  </si>
  <si>
    <t>MAS</t>
  </si>
  <si>
    <t>Condición</t>
  </si>
  <si>
    <t>Amplio grupo de población</t>
  </si>
  <si>
    <t>Población general</t>
  </si>
  <si>
    <t>Mujeres en edad reproductiva no embarazadas</t>
  </si>
  <si>
    <t>Curva con costo marginal decreciente</t>
  </si>
  <si>
    <t>Curva con costo marginal creciente</t>
  </si>
  <si>
    <t>En forma de S (costo marginal decreciente y luego creciente)</t>
  </si>
  <si>
    <t>Preservativo/condón</t>
  </si>
  <si>
    <t>Costo</t>
  </si>
  <si>
    <t>Efectividad</t>
  </si>
  <si>
    <t>Esterilización femenina</t>
  </si>
  <si>
    <t>Planificación Familiar Natural</t>
  </si>
  <si>
    <t>Dispositivo Intrauterino (DIU)</t>
  </si>
  <si>
    <t>Implante</t>
  </si>
  <si>
    <t>Inyectable</t>
  </si>
  <si>
    <t>Esterilización masculina</t>
  </si>
  <si>
    <t>Método</t>
  </si>
  <si>
    <t>Cápsula/píldora</t>
  </si>
  <si>
    <t>Costo proporcional</t>
  </si>
  <si>
    <t>Retiro</t>
  </si>
  <si>
    <t>Distribución</t>
  </si>
  <si>
    <t>Número de nacimiento</t>
  </si>
  <si>
    <t>Desenlaces del nacimiento</t>
  </si>
  <si>
    <t>Baja talla o retraso en el crecimiento</t>
  </si>
  <si>
    <t>Prevención de la emaciación</t>
  </si>
  <si>
    <t>Tratamiento de la emaciación</t>
  </si>
  <si>
    <t>Mortinatos</t>
  </si>
  <si>
    <t>Rango de edades</t>
  </si>
  <si>
    <t>Comportamiento</t>
  </si>
  <si>
    <t>Límites inferiores</t>
  </si>
  <si>
    <t>Razón de momios para lactancia materna adecuada</t>
  </si>
  <si>
    <t>Razón de momios para lactancia materna adecuada- inferior</t>
  </si>
  <si>
    <t>Razón de momios para lactancia materna adecuada - superior</t>
  </si>
  <si>
    <t>Razón de momios para alimentación complementaria correcta</t>
  </si>
  <si>
    <t>Razón de momios para alimentación complementaria correcta - inferior</t>
  </si>
  <si>
    <t>Razón de momios para alimentación complementaria correcta - superior</t>
  </si>
  <si>
    <t>Razón de momios para baja talla o retraso en el crecimiento</t>
  </si>
  <si>
    <t>Razón de momios para baja talla - inferior</t>
  </si>
  <si>
    <t>Razón de momios para baja talla - superior</t>
  </si>
  <si>
    <t>Límites superiores</t>
  </si>
  <si>
    <t>Por programa</t>
  </si>
  <si>
    <t>Por programa - inferior</t>
  </si>
  <si>
    <t>Por programa - superior</t>
  </si>
  <si>
    <t>Diarrea (por episodio adicional)</t>
  </si>
  <si>
    <t>Diarrea (por episodio adicional) - inferior</t>
  </si>
  <si>
    <t>Diarrea (por episodio adicional) - superior</t>
  </si>
  <si>
    <t>Planificación familiar - más baja</t>
  </si>
  <si>
    <t>Planificación familiar - superior</t>
  </si>
  <si>
    <t>Para MAM por episodio adicional de diarrea</t>
  </si>
  <si>
    <t>Para MAM por episodio adicional de diarrea - inferior</t>
  </si>
  <si>
    <t>Para MAM por episodio adicional de diarrea - superior</t>
  </si>
  <si>
    <t>Para MAS por episodio adicional de diarrea</t>
  </si>
  <si>
    <t>Para MAS por episodio adicional de diarrea - inferior</t>
  </si>
  <si>
    <t>Para MAS por episodio adicional de diarrea - superior</t>
  </si>
  <si>
    <t>Para anemia por episodio adicional de diarrea grave</t>
  </si>
  <si>
    <t>Para anemia por episodio adicional de diarrea grave - inferior</t>
  </si>
  <si>
    <t>Para anemia por episodio adicional de diarrea grave - superior</t>
  </si>
  <si>
    <t>Dada la baja talla previa  (HAZ &lt; -2 en la banda de edad anterior)</t>
  </si>
  <si>
    <t>Dada a baja talla previa (HAZ &lt; -2 en la banda de edad anterior) - inferior</t>
  </si>
  <si>
    <t>Dada la baja talla previa (HAZ &lt; -2 en la banda de edad anterior) - superior</t>
  </si>
  <si>
    <t>Método madre canguro - inferior</t>
  </si>
  <si>
    <t>Método madre canguro - superior</t>
  </si>
  <si>
    <t>Suplementos nutricionales a base de lípidos: más bajos</t>
  </si>
  <si>
    <t>Suplementos nutricionales a base de lípidos - superior</t>
  </si>
  <si>
    <t>Razón de momios de lactancia materna adecuada por programa</t>
  </si>
  <si>
    <t>Razón de momios de lactancia materna adecuada por programa - inferior</t>
  </si>
  <si>
    <t>Razón de momios de lactancia materna adecuada por programa - superior</t>
  </si>
  <si>
    <t>Razón de momios para el espaciamiento óptimo de los nacimientos por programa</t>
  </si>
  <si>
    <t>Razón de momios para el espaciamiento óptimo de los nacimientos por programa - inferior</t>
  </si>
  <si>
    <t>Razón de momios para el espaciamiento óptimo de los nacimientos por programa - superior</t>
  </si>
  <si>
    <t>Razón de momios de baja talla o retraso en el crecimiento</t>
  </si>
  <si>
    <t>Otras razones de momios</t>
  </si>
  <si>
    <t>Suministro público de alimentos complementarios - inferior</t>
  </si>
  <si>
    <t>Suministro público de alimentos complementarios - superior</t>
  </si>
  <si>
    <t>Emaciación</t>
  </si>
  <si>
    <t>Suplementación con zinc - inferior</t>
  </si>
  <si>
    <t>Suplementación con zinc- superior</t>
  </si>
  <si>
    <t>Suplementos nutricionales a base de lípidos en pequeñas cantidades: lower</t>
  </si>
  <si>
    <t>Suplementos nutricionales a base de lípidos en pequeñas cantidades - superior</t>
  </si>
  <si>
    <t>fracción afectada</t>
  </si>
  <si>
    <t>efectividad</t>
  </si>
  <si>
    <t>MAM (puntuación WHZ entre -3 y -2)-inferior</t>
  </si>
  <si>
    <t>MAM (puntuación WHZ entre -3 y -2)-superior</t>
  </si>
  <si>
    <t>Factores de riesgo materno que conducen a los resultados del nacimiento</t>
  </si>
  <si>
    <t>Razón de momios para las condiciones</t>
  </si>
  <si>
    <t>Razón de momios para las condiciones - inferior</t>
  </si>
  <si>
    <t>Razón de momios para las condiciones - superior</t>
  </si>
  <si>
    <t>Razón de momios para mujeres con anemia materna</t>
  </si>
  <si>
    <t>Razón de momios para mujeres con anemia materna-inferior</t>
  </si>
  <si>
    <t>Razón de momios para mujeres con anemia materna-superior</t>
  </si>
  <si>
    <t>Riesgo relativo según el espaciamiento de los nacimientos</t>
  </si>
  <si>
    <t>Riesgo relativo según el espaciamiento de los nacimientos-inferior</t>
  </si>
  <si>
    <t>Riesgo relativo según el espaciamiento de los nacimientos - superior</t>
  </si>
  <si>
    <t>Riesgos relativos de las causas de muerte neonatal</t>
  </si>
  <si>
    <t>Riesgos relativos de las causas de muerte neonatal - inferior</t>
  </si>
  <si>
    <t>Riesgos relativos de las causas de muerte neonatal - superior</t>
  </si>
  <si>
    <t>Riesgos para los niños que experimentan desenlaces al nacimiento</t>
  </si>
  <si>
    <t>MAS (score WHZ &lt; -3)-Inferior</t>
  </si>
  <si>
    <t>MAS (score WHZ &lt; -3)-superior</t>
  </si>
  <si>
    <t>Retraso en el crecimiento (score HAZ &lt; -2)</t>
  </si>
  <si>
    <t>Retraso en el crecimiento (score HAZ &lt; -2)-Inferior</t>
  </si>
  <si>
    <t>Retraso en el crecimiento (score HAZ &lt; -2)-superior</t>
  </si>
  <si>
    <t>Estado de anemia</t>
  </si>
  <si>
    <t>Anémico</t>
  </si>
  <si>
    <t>Situación de lactancia materna</t>
  </si>
  <si>
    <t>Causa de muerte</t>
  </si>
  <si>
    <t>Estado de HAZ (baja talla)</t>
  </si>
  <si>
    <t>Alto</t>
  </si>
  <si>
    <t>Leve</t>
  </si>
  <si>
    <t>Moderado</t>
  </si>
  <si>
    <t>No anémico</t>
  </si>
  <si>
    <t>Riesgo relativo de las causas de muerte según el estado de la anemia</t>
  </si>
  <si>
    <t>Riesgo relativo de las causas de muerte según el estado de la lactancia materna</t>
  </si>
  <si>
    <t>Riesgo relativo de las causas de muerte según la distribución de talla para la edad (retraso en el crecimiento)</t>
  </si>
  <si>
    <t>Riesgo relativo de las causas de muerte según la distribución del peso para la talla (emaciación)</t>
  </si>
  <si>
    <t>Riesgos relativos de sufrir diarrea según el estado de la lactancia materna</t>
  </si>
  <si>
    <t>Estado de la peso para la talla (WHZ)</t>
  </si>
  <si>
    <t>Razón de momios de ser anémico cuando está cubierto por la intervención</t>
  </si>
  <si>
    <t>Razón de momios de ser anémico cuando está cubierto por la intervención-menor</t>
  </si>
  <si>
    <t>Razón de momios de ser anémico cuando está cubierto por la intervención - superior</t>
  </si>
  <si>
    <t>Riesgos relativos de anemia cuando está cubierto por la intervención</t>
  </si>
  <si>
    <t>Riesgos relativos de anemia cuando está cubierto por la intervención - inferior</t>
  </si>
  <si>
    <t>Riesgos relativos de anemia cuando está cubierto por la intervención - superior</t>
  </si>
  <si>
    <t>Límite inferior</t>
  </si>
  <si>
    <t>Razón de momios de MAM cuando está cubierto por el programa</t>
  </si>
  <si>
    <t>Razón de momios de MAM cuando está cubierto por el programa - inferior</t>
  </si>
  <si>
    <t>Razón de momios de MAM cuando está cubierto por el programaa - superior</t>
  </si>
  <si>
    <t>Razón de momios de MAS cuando está cubierto por el programa</t>
  </si>
  <si>
    <t>Razón de momios de MAS cuando está cubierto por el programa - inferior</t>
  </si>
  <si>
    <t>Razón de momios de MAS cuando está cubierto por el programa - superior</t>
  </si>
  <si>
    <t>Límite superior</t>
  </si>
  <si>
    <t>Fracción afectada</t>
  </si>
  <si>
    <t>Efectividad en incidencia</t>
  </si>
  <si>
    <t>Efectividad en mortalidad</t>
  </si>
  <si>
    <t>Condición objetivo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</si>
</sst>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#,##0.0"/>
    <numFmt numFmtId="170" formatCode="0.0000"/>
  </numFmts>
  <fonts count="22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7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2" borderId="1" xfId="0" applyNumberFormat="1" applyFont="1" applyFill="1" applyBorder="1" applyAlignment="1">
      <alignment horizontal="right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7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7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6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8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9" fontId="4" fillId="2" borderId="1" xfId="0" applyNumberFormat="1" applyFont="1" applyFill="1" applyBorder="1" applyProtection="1">
      <protection locked="0"/>
    </xf>
    <xf numFmtId="167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7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70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opLeftCell="A22" zoomScaleNormal="100" workbookViewId="0">
      <selection activeCell="C29" sqref="C29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38</v>
      </c>
      <c r="B1" s="29" t="s">
        <v>0</v>
      </c>
      <c r="C1" s="29" t="s">
        <v>43</v>
      </c>
    </row>
    <row r="2" spans="1:3" ht="15.9" customHeight="1" x14ac:dyDescent="0.3">
      <c r="A2" s="8" t="s">
        <v>74</v>
      </c>
      <c r="B2" s="29"/>
      <c r="C2" s="29"/>
    </row>
    <row r="3" spans="1:3" ht="15.9" customHeight="1" x14ac:dyDescent="0.3">
      <c r="A3" s="1"/>
      <c r="B3" s="5" t="s">
        <v>37</v>
      </c>
      <c r="C3" s="41">
        <v>2024</v>
      </c>
    </row>
    <row r="4" spans="1:3" ht="15.9" customHeight="1" x14ac:dyDescent="0.3">
      <c r="A4" s="1"/>
      <c r="B4" s="5" t="s">
        <v>45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69</v>
      </c>
    </row>
    <row r="7" spans="1:3" ht="15" customHeight="1" x14ac:dyDescent="0.25">
      <c r="B7" s="11" t="s">
        <v>42</v>
      </c>
      <c r="C7" s="43">
        <v>5351786</v>
      </c>
    </row>
    <row r="8" spans="1:3" ht="15" customHeight="1" x14ac:dyDescent="0.25">
      <c r="B8" s="5" t="s">
        <v>63</v>
      </c>
      <c r="C8" s="44">
        <v>0.14399999999999999</v>
      </c>
    </row>
    <row r="9" spans="1:3" ht="15" customHeight="1" x14ac:dyDescent="0.25">
      <c r="B9" s="5" t="s">
        <v>62</v>
      </c>
      <c r="C9" s="45">
        <v>0.01</v>
      </c>
    </row>
    <row r="10" spans="1:3" ht="15" customHeight="1" x14ac:dyDescent="0.25">
      <c r="B10" s="5" t="s">
        <v>75</v>
      </c>
      <c r="C10" s="45">
        <v>0.86044359999999998</v>
      </c>
    </row>
    <row r="11" spans="1:3" ht="15" customHeight="1" x14ac:dyDescent="0.25">
      <c r="B11" s="5" t="s">
        <v>68</v>
      </c>
      <c r="C11" s="45">
        <v>1</v>
      </c>
    </row>
    <row r="12" spans="1:3" ht="15" customHeight="1" x14ac:dyDescent="0.25">
      <c r="B12" s="5" t="s">
        <v>60</v>
      </c>
      <c r="C12" s="45">
        <v>1</v>
      </c>
    </row>
    <row r="13" spans="1:3" ht="15" customHeight="1" x14ac:dyDescent="0.25">
      <c r="B13" s="5" t="s">
        <v>81</v>
      </c>
      <c r="C13" s="45">
        <v>0.11600000000000001</v>
      </c>
    </row>
    <row r="14" spans="1:3" ht="15" customHeight="1" x14ac:dyDescent="0.25">
      <c r="B14" s="8"/>
    </row>
    <row r="15" spans="1:3" ht="15" customHeight="1" x14ac:dyDescent="0.3">
      <c r="A15" s="8" t="s">
        <v>47</v>
      </c>
      <c r="B15" s="14"/>
      <c r="C15" s="3"/>
    </row>
    <row r="16" spans="1:3" ht="15" customHeight="1" x14ac:dyDescent="0.25">
      <c r="B16" s="5" t="s">
        <v>52</v>
      </c>
      <c r="C16" s="45">
        <v>0.1</v>
      </c>
    </row>
    <row r="17" spans="1:3" ht="15" customHeight="1" x14ac:dyDescent="0.25">
      <c r="B17" s="5" t="s">
        <v>49</v>
      </c>
      <c r="C17" s="45">
        <v>0.01</v>
      </c>
    </row>
    <row r="18" spans="1:3" ht="15" customHeight="1" x14ac:dyDescent="0.25">
      <c r="B18" s="5" t="s">
        <v>50</v>
      </c>
      <c r="C18" s="45">
        <v>0.98</v>
      </c>
    </row>
    <row r="19" spans="1:3" ht="15" customHeight="1" x14ac:dyDescent="0.25">
      <c r="B19" s="5" t="s">
        <v>48</v>
      </c>
      <c r="C19" s="45">
        <v>0.01</v>
      </c>
    </row>
    <row r="20" spans="1:3" ht="15" customHeight="1" x14ac:dyDescent="0.25">
      <c r="B20" s="5" t="s">
        <v>53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31</v>
      </c>
    </row>
    <row r="23" spans="1:3" ht="15" customHeight="1" x14ac:dyDescent="0.25">
      <c r="B23" s="15" t="s">
        <v>64</v>
      </c>
      <c r="C23" s="45">
        <v>7.0099999999999996E-2</v>
      </c>
    </row>
    <row r="24" spans="1:3" ht="15" customHeight="1" x14ac:dyDescent="0.25">
      <c r="B24" s="15" t="s">
        <v>65</v>
      </c>
      <c r="C24" s="45">
        <v>0.54359999999999997</v>
      </c>
    </row>
    <row r="25" spans="1:3" ht="15" customHeight="1" x14ac:dyDescent="0.25">
      <c r="B25" s="15" t="s">
        <v>66</v>
      </c>
      <c r="C25" s="45">
        <v>0.36299999999999999</v>
      </c>
    </row>
    <row r="26" spans="1:3" ht="15" customHeight="1" x14ac:dyDescent="0.25">
      <c r="B26" s="15" t="s">
        <v>67</v>
      </c>
      <c r="C26" s="45">
        <v>2.3300000000000001E-2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41</v>
      </c>
      <c r="B28" s="15"/>
      <c r="C28" s="15"/>
    </row>
    <row r="29" spans="1:3" ht="14.25" customHeight="1" x14ac:dyDescent="0.25">
      <c r="B29" s="25" t="s">
        <v>46</v>
      </c>
      <c r="C29" s="45">
        <v>0.34453989050682299</v>
      </c>
    </row>
    <row r="30" spans="1:3" ht="14.25" customHeight="1" x14ac:dyDescent="0.25">
      <c r="B30" s="25" t="s">
        <v>82</v>
      </c>
      <c r="C30" s="99">
        <v>4.9975046177627103E-2</v>
      </c>
    </row>
    <row r="31" spans="1:3" ht="14.25" customHeight="1" x14ac:dyDescent="0.25">
      <c r="B31" s="25" t="s">
        <v>29</v>
      </c>
      <c r="C31" s="99">
        <v>6.4980512501330898E-2</v>
      </c>
    </row>
    <row r="32" spans="1:3" ht="14.25" customHeight="1" x14ac:dyDescent="0.25">
      <c r="B32" s="25" t="s">
        <v>30</v>
      </c>
      <c r="C32" s="99">
        <v>0.540504550814219</v>
      </c>
    </row>
    <row r="33" spans="1:5" ht="13.25" customHeight="1" x14ac:dyDescent="0.25">
      <c r="B33" s="27" t="s">
        <v>79</v>
      </c>
      <c r="C33" s="48">
        <f>SUM(C29:C32)</f>
        <v>1</v>
      </c>
    </row>
    <row r="34" spans="1:5" ht="15" customHeight="1" x14ac:dyDescent="0.25"/>
    <row r="35" spans="1:5" ht="15" customHeight="1" x14ac:dyDescent="0.3">
      <c r="A35" s="4" t="s">
        <v>39</v>
      </c>
    </row>
    <row r="36" spans="1:5" ht="15" customHeight="1" x14ac:dyDescent="0.25">
      <c r="A36" s="8" t="s">
        <v>56</v>
      </c>
      <c r="B36" s="5"/>
    </row>
    <row r="37" spans="1:5" ht="15" customHeight="1" x14ac:dyDescent="0.25">
      <c r="B37" s="11" t="s">
        <v>57</v>
      </c>
      <c r="C37" s="43">
        <v>4.7240500000000001</v>
      </c>
    </row>
    <row r="38" spans="1:5" ht="15" customHeight="1" x14ac:dyDescent="0.25">
      <c r="B38" s="11" t="s">
        <v>54</v>
      </c>
      <c r="C38" s="43">
        <v>7.6910100000000003</v>
      </c>
      <c r="D38" s="12"/>
      <c r="E38" s="13"/>
    </row>
    <row r="39" spans="1:5" ht="15" customHeight="1" x14ac:dyDescent="0.25">
      <c r="B39" s="11" t="s">
        <v>80</v>
      </c>
      <c r="C39" s="43">
        <v>8.9801699999999993</v>
      </c>
      <c r="D39" s="12"/>
      <c r="E39" s="12"/>
    </row>
    <row r="40" spans="1:5" ht="15" customHeight="1" x14ac:dyDescent="0.25">
      <c r="B40" s="11" t="s">
        <v>55</v>
      </c>
      <c r="C40" s="100">
        <v>0.17</v>
      </c>
    </row>
    <row r="41" spans="1:5" ht="15" customHeight="1" x14ac:dyDescent="0.25">
      <c r="B41" s="11" t="s">
        <v>51</v>
      </c>
      <c r="C41" s="45">
        <v>0.12</v>
      </c>
    </row>
    <row r="42" spans="1:5" ht="15" customHeight="1" x14ac:dyDescent="0.25">
      <c r="B42" s="11" t="s">
        <v>76</v>
      </c>
      <c r="C42" s="43">
        <v>4.2241200000000001</v>
      </c>
    </row>
    <row r="43" spans="1:5" ht="15.75" customHeight="1" x14ac:dyDescent="0.25">
      <c r="D43" s="12"/>
    </row>
    <row r="44" spans="1:5" ht="15.75" customHeight="1" x14ac:dyDescent="0.25">
      <c r="A44" s="8" t="s">
        <v>40</v>
      </c>
      <c r="D44" s="12"/>
    </row>
    <row r="45" spans="1:5" ht="15.75" customHeight="1" x14ac:dyDescent="0.25">
      <c r="B45" s="11" t="s">
        <v>71</v>
      </c>
      <c r="C45" s="45">
        <v>9.3725000000000006E-3</v>
      </c>
      <c r="D45" s="12"/>
    </row>
    <row r="46" spans="1:5" ht="15.75" customHeight="1" x14ac:dyDescent="0.25">
      <c r="B46" s="11" t="s">
        <v>70</v>
      </c>
      <c r="C46" s="45">
        <v>0.1007064</v>
      </c>
      <c r="D46" s="12"/>
    </row>
    <row r="47" spans="1:5" ht="15.75" customHeight="1" x14ac:dyDescent="0.25">
      <c r="B47" s="11" t="s">
        <v>78</v>
      </c>
      <c r="C47" s="45">
        <v>7.2086999999999998E-2</v>
      </c>
      <c r="D47" s="12"/>
      <c r="E47" s="13"/>
    </row>
    <row r="48" spans="1:5" ht="15" customHeight="1" x14ac:dyDescent="0.25">
      <c r="B48" s="11" t="s">
        <v>77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36</v>
      </c>
      <c r="C51" s="100">
        <v>2.9</v>
      </c>
      <c r="D51" s="12"/>
    </row>
    <row r="52" spans="1:4" ht="15" customHeight="1" x14ac:dyDescent="0.25">
      <c r="B52" s="11" t="s">
        <v>32</v>
      </c>
      <c r="C52" s="100">
        <v>2.9</v>
      </c>
    </row>
    <row r="53" spans="1:4" ht="15.75" customHeight="1" x14ac:dyDescent="0.25">
      <c r="B53" s="11" t="s">
        <v>35</v>
      </c>
      <c r="C53" s="100">
        <v>2.9</v>
      </c>
    </row>
    <row r="54" spans="1:4" ht="15.75" customHeight="1" x14ac:dyDescent="0.25">
      <c r="B54" s="11" t="s">
        <v>33</v>
      </c>
      <c r="C54" s="100">
        <v>2.9</v>
      </c>
    </row>
    <row r="55" spans="1:4" ht="15.75" customHeight="1" x14ac:dyDescent="0.25">
      <c r="B55" s="11" t="s">
        <v>34</v>
      </c>
      <c r="C55" s="100">
        <v>2.9</v>
      </c>
    </row>
    <row r="57" spans="1:4" ht="15.75" customHeight="1" x14ac:dyDescent="0.25">
      <c r="A57" s="8" t="s">
        <v>58</v>
      </c>
    </row>
    <row r="58" spans="1:4" ht="15.75" customHeight="1" x14ac:dyDescent="0.25">
      <c r="B58" s="5" t="s">
        <v>61</v>
      </c>
      <c r="C58" s="45">
        <v>2.0689655172413789E-2</v>
      </c>
    </row>
    <row r="59" spans="1:4" ht="15.75" customHeight="1" x14ac:dyDescent="0.25">
      <c r="B59" s="11" t="s">
        <v>59</v>
      </c>
      <c r="C59" s="45">
        <v>0.59711100000000006</v>
      </c>
    </row>
    <row r="60" spans="1:4" ht="15.75" customHeight="1" x14ac:dyDescent="0.25">
      <c r="B60" s="11" t="s">
        <v>73</v>
      </c>
      <c r="C60" s="45">
        <v>4.5999999999999999E-2</v>
      </c>
    </row>
    <row r="61" spans="1:4" ht="15.75" customHeight="1" x14ac:dyDescent="0.25">
      <c r="B61" s="11" t="s">
        <v>72</v>
      </c>
      <c r="C61" s="45">
        <v>1.4E-2</v>
      </c>
    </row>
    <row r="62" spans="1:4" ht="15.75" customHeight="1" x14ac:dyDescent="0.25">
      <c r="B62" s="11" t="s">
        <v>83</v>
      </c>
      <c r="C62" s="44">
        <v>0.12896842219999999</v>
      </c>
    </row>
    <row r="63" spans="1:4" ht="15.75" customHeight="1" x14ac:dyDescent="0.3">
      <c r="A63" s="4"/>
    </row>
  </sheetData>
  <sheetProtection algorithmName="SHA-512" hashValue="YXgTfEjror8bnvTuUS2FsIPhROUYluG9j0rz0ftp/UhOs0+y8N+M8dfLb2Opz4uXyRqVZggIpPApz8ZiXA3GSw==" saltValue="lPdN8GIYZGvoRmCk4AEVi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92</v>
      </c>
      <c r="B1" s="20" t="s">
        <v>85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86</v>
      </c>
      <c r="H1" s="18" t="s">
        <v>84</v>
      </c>
      <c r="I1" s="18" t="s">
        <v>91</v>
      </c>
    </row>
    <row r="2" spans="1:9" ht="15.75" customHeight="1" x14ac:dyDescent="0.25">
      <c r="A2" s="5">
        <f>start_year</f>
        <v>2024</v>
      </c>
      <c r="B2" s="49">
        <v>1060605</v>
      </c>
      <c r="C2" s="49">
        <v>3077254.5</v>
      </c>
      <c r="D2" s="49">
        <v>6577744</v>
      </c>
      <c r="E2" s="49">
        <v>6407914</v>
      </c>
      <c r="F2" s="49">
        <v>6449180</v>
      </c>
      <c r="G2" s="17">
        <f t="shared" ref="G2:G13" si="0">C2+D2+E2+F2</f>
        <v>22512092.5</v>
      </c>
      <c r="H2" s="17">
        <f t="shared" ref="H2:H13" si="1">(B2 + stillbirth*B2/(1000-stillbirth))/(1-abortion)</f>
        <v>1210345.5995996352</v>
      </c>
      <c r="I2" s="17">
        <f t="shared" ref="I2:I13" si="2">G2-H2</f>
        <v>21301746.900400363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1053303</v>
      </c>
      <c r="C3" s="50">
        <v>3094362</v>
      </c>
      <c r="D3" s="50">
        <v>6455627.5000000009</v>
      </c>
      <c r="E3" s="50">
        <v>6420057</v>
      </c>
      <c r="F3" s="50">
        <v>6492492</v>
      </c>
      <c r="G3" s="17">
        <f t="shared" si="0"/>
        <v>22462538.5</v>
      </c>
      <c r="H3" s="17">
        <f t="shared" si="1"/>
        <v>1202012.6730451907</v>
      </c>
      <c r="I3" s="17">
        <f t="shared" si="2"/>
        <v>21260525.826954808</v>
      </c>
    </row>
    <row r="4" spans="1:9" ht="15.75" customHeight="1" x14ac:dyDescent="0.25">
      <c r="A4" s="5">
        <f t="shared" si="3"/>
        <v>2026</v>
      </c>
      <c r="B4" s="49">
        <v>1045681</v>
      </c>
      <c r="C4" s="50">
        <v>3128345</v>
      </c>
      <c r="D4" s="50">
        <v>6320927</v>
      </c>
      <c r="E4" s="50">
        <v>6446982</v>
      </c>
      <c r="F4" s="50">
        <v>6511149</v>
      </c>
      <c r="G4" s="17">
        <f t="shared" si="0"/>
        <v>22407403</v>
      </c>
      <c r="H4" s="17">
        <f t="shared" si="1"/>
        <v>1193314.5675675168</v>
      </c>
      <c r="I4" s="17">
        <f t="shared" si="2"/>
        <v>21214088.432432484</v>
      </c>
    </row>
    <row r="5" spans="1:9" ht="15.75" customHeight="1" x14ac:dyDescent="0.25">
      <c r="A5" s="5">
        <f t="shared" si="3"/>
        <v>2027</v>
      </c>
      <c r="B5" s="49">
        <v>1036040</v>
      </c>
      <c r="C5" s="50">
        <v>3168446</v>
      </c>
      <c r="D5" s="50">
        <v>6183271</v>
      </c>
      <c r="E5" s="50">
        <v>6488548</v>
      </c>
      <c r="F5" s="50">
        <v>6509689.5</v>
      </c>
      <c r="G5" s="17">
        <f t="shared" si="0"/>
        <v>22349954.5</v>
      </c>
      <c r="H5" s="17">
        <f t="shared" si="1"/>
        <v>1182312.4113210915</v>
      </c>
      <c r="I5" s="17">
        <f t="shared" si="2"/>
        <v>21167642.088678908</v>
      </c>
    </row>
    <row r="6" spans="1:9" ht="15.75" customHeight="1" x14ac:dyDescent="0.25">
      <c r="A6" s="5">
        <f t="shared" si="3"/>
        <v>2028</v>
      </c>
      <c r="B6" s="49">
        <v>1028132.0000000001</v>
      </c>
      <c r="C6" s="50">
        <v>3205565.5</v>
      </c>
      <c r="D6" s="50">
        <v>6049808.5</v>
      </c>
      <c r="E6" s="50">
        <v>6538893.5</v>
      </c>
      <c r="F6" s="50">
        <v>6492883.5</v>
      </c>
      <c r="G6" s="17">
        <f t="shared" si="0"/>
        <v>22287151</v>
      </c>
      <c r="H6" s="17">
        <f t="shared" si="1"/>
        <v>1173287.9271807813</v>
      </c>
      <c r="I6" s="17">
        <f t="shared" si="2"/>
        <v>21113863.072819218</v>
      </c>
    </row>
    <row r="7" spans="1:9" ht="15.75" customHeight="1" x14ac:dyDescent="0.25">
      <c r="A7" s="5">
        <f t="shared" si="3"/>
        <v>2029</v>
      </c>
      <c r="B7" s="49">
        <v>1018356</v>
      </c>
      <c r="C7" s="50">
        <v>3233617</v>
      </c>
      <c r="D7" s="50">
        <v>5927880.4999999991</v>
      </c>
      <c r="E7" s="50">
        <v>6588151</v>
      </c>
      <c r="F7" s="50">
        <v>6466640</v>
      </c>
      <c r="G7" s="17">
        <f t="shared" si="0"/>
        <v>22216288.5</v>
      </c>
      <c r="H7" s="17">
        <f t="shared" si="1"/>
        <v>1162131.7110761181</v>
      </c>
      <c r="I7" s="17">
        <f t="shared" si="2"/>
        <v>21054156.788923882</v>
      </c>
    </row>
    <row r="8" spans="1:9" ht="15.75" customHeight="1" x14ac:dyDescent="0.25">
      <c r="A8" s="5">
        <f t="shared" si="3"/>
        <v>2030</v>
      </c>
      <c r="B8" s="49">
        <v>1008818</v>
      </c>
      <c r="C8" s="50">
        <v>3248775.5</v>
      </c>
      <c r="D8" s="50">
        <v>5827950.0000000009</v>
      </c>
      <c r="E8" s="50">
        <v>6627412.5</v>
      </c>
      <c r="F8" s="50">
        <v>6437985.5</v>
      </c>
      <c r="G8" s="17">
        <f t="shared" si="0"/>
        <v>22142123.5</v>
      </c>
      <c r="H8" s="17">
        <f t="shared" si="1"/>
        <v>1151247.0967956071</v>
      </c>
      <c r="I8" s="17">
        <f t="shared" si="2"/>
        <v>20990876.403204393</v>
      </c>
    </row>
    <row r="9" spans="1:9" ht="15.75" customHeight="1" x14ac:dyDescent="0.25">
      <c r="A9" s="5">
        <f t="shared" si="3"/>
        <v>2031</v>
      </c>
      <c r="B9" s="49">
        <v>1000273</v>
      </c>
      <c r="C9" s="50">
        <v>3247468</v>
      </c>
      <c r="D9" s="50">
        <v>5758799.5</v>
      </c>
      <c r="E9" s="50">
        <v>6646555.5</v>
      </c>
      <c r="F9" s="50">
        <v>6413537</v>
      </c>
      <c r="G9" s="17">
        <f t="shared" si="0"/>
        <v>22066360</v>
      </c>
      <c r="H9" s="17">
        <f t="shared" si="1"/>
        <v>1141495.6783612429</v>
      </c>
      <c r="I9" s="17">
        <f t="shared" si="2"/>
        <v>20924864.321638756</v>
      </c>
    </row>
    <row r="10" spans="1:9" ht="15.75" customHeight="1" x14ac:dyDescent="0.25">
      <c r="A10" s="5">
        <f t="shared" si="3"/>
        <v>2032</v>
      </c>
      <c r="B10" s="49">
        <v>991276</v>
      </c>
      <c r="C10" s="50">
        <v>3226289.5</v>
      </c>
      <c r="D10" s="50">
        <v>5725936</v>
      </c>
      <c r="E10" s="50">
        <v>6635531.5</v>
      </c>
      <c r="F10" s="50">
        <v>6398887.0000000009</v>
      </c>
      <c r="G10" s="17">
        <f t="shared" si="0"/>
        <v>21986644</v>
      </c>
      <c r="H10" s="17">
        <f t="shared" si="1"/>
        <v>1131228.4446978169</v>
      </c>
      <c r="I10" s="17">
        <f t="shared" si="2"/>
        <v>20855415.555302184</v>
      </c>
    </row>
    <row r="11" spans="1:9" ht="15.75" customHeight="1" x14ac:dyDescent="0.25">
      <c r="A11" s="5">
        <f t="shared" si="3"/>
        <v>2033</v>
      </c>
      <c r="B11" s="49">
        <v>982292</v>
      </c>
      <c r="C11" s="50">
        <v>3184197.5</v>
      </c>
      <c r="D11" s="50">
        <v>5729343</v>
      </c>
      <c r="E11" s="50">
        <v>6591939</v>
      </c>
      <c r="F11" s="50">
        <v>6397550</v>
      </c>
      <c r="G11" s="17">
        <f t="shared" si="0"/>
        <v>21903029.5</v>
      </c>
      <c r="H11" s="17">
        <f t="shared" si="1"/>
        <v>1120976.0464281472</v>
      </c>
      <c r="I11" s="17">
        <f t="shared" si="2"/>
        <v>20782053.453571852</v>
      </c>
    </row>
    <row r="12" spans="1:9" ht="15.75" customHeight="1" x14ac:dyDescent="0.25">
      <c r="A12" s="5">
        <f t="shared" si="3"/>
        <v>2034</v>
      </c>
      <c r="B12" s="49">
        <v>974164</v>
      </c>
      <c r="C12" s="50">
        <v>3121603</v>
      </c>
      <c r="D12" s="50">
        <v>5758984</v>
      </c>
      <c r="E12" s="50">
        <v>6519268</v>
      </c>
      <c r="F12" s="50">
        <v>6409938</v>
      </c>
      <c r="G12" s="17">
        <f t="shared" si="0"/>
        <v>21809793</v>
      </c>
      <c r="H12" s="17">
        <f t="shared" si="1"/>
        <v>1111700.5017781164</v>
      </c>
      <c r="I12" s="17">
        <f t="shared" si="2"/>
        <v>20698092.498221882</v>
      </c>
    </row>
    <row r="13" spans="1:9" ht="15.75" customHeight="1" x14ac:dyDescent="0.25">
      <c r="A13" s="5">
        <f t="shared" si="3"/>
        <v>2035</v>
      </c>
      <c r="B13" s="49">
        <v>967158</v>
      </c>
      <c r="C13" s="50">
        <v>3039060</v>
      </c>
      <c r="D13" s="50">
        <v>5801683.5</v>
      </c>
      <c r="E13" s="50">
        <v>6423408.5</v>
      </c>
      <c r="F13" s="50">
        <v>6435761</v>
      </c>
      <c r="G13" s="17">
        <f t="shared" si="0"/>
        <v>21699913</v>
      </c>
      <c r="H13" s="17">
        <f t="shared" si="1"/>
        <v>1103705.3657276593</v>
      </c>
      <c r="I13" s="17">
        <f t="shared" si="2"/>
        <v>20596207.634272341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P6nDhmDDGk6tjeVZhfsVrpxxBEzjYZOMKf1n/FWmTsUJ741HruOyFPz8V2Uo/07jaKALJMuVWK81SfJaei4/Fw==" saltValue="TljPV3tFW2e8TtTUdh/mXA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16" zoomScale="115" zoomScaleNormal="115" workbookViewId="0">
      <selection activeCell="C29" sqref="C29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"Porcentaje de muertes en el año de referencia ("&amp;start_year&amp;") atribuible a la causa"</f>
        <v>Porcentaje de muertes en el año de referencia (2024) atribuible a la causa</v>
      </c>
      <c r="B1" s="29"/>
      <c r="C1" s="29"/>
      <c r="D1" s="29"/>
      <c r="E1" s="29"/>
      <c r="F1" s="29"/>
    </row>
    <row r="2" spans="1:8" ht="27.75" customHeight="1" x14ac:dyDescent="0.3">
      <c r="A2" t="s">
        <v>1</v>
      </c>
      <c r="B2" s="29" t="s">
        <v>101</v>
      </c>
      <c r="C2" s="29" t="s">
        <v>97</v>
      </c>
      <c r="D2" s="29"/>
      <c r="E2" s="29"/>
      <c r="F2" s="29"/>
      <c r="G2" s="29"/>
    </row>
    <row r="3" spans="1:8" ht="15.75" customHeight="1" x14ac:dyDescent="0.25">
      <c r="B3" s="19" t="s">
        <v>112</v>
      </c>
      <c r="C3" s="55">
        <v>0</v>
      </c>
    </row>
    <row r="4" spans="1:8" ht="15.75" customHeight="1" x14ac:dyDescent="0.25">
      <c r="B4" s="19" t="s">
        <v>116</v>
      </c>
      <c r="C4" s="101">
        <v>8.5716908571690814E-2</v>
      </c>
    </row>
    <row r="5" spans="1:8" ht="15.75" customHeight="1" x14ac:dyDescent="0.25">
      <c r="B5" s="19" t="s">
        <v>114</v>
      </c>
      <c r="C5" s="101">
        <v>1.9132901913290239E-2</v>
      </c>
    </row>
    <row r="6" spans="1:8" ht="15.75" customHeight="1" x14ac:dyDescent="0.25">
      <c r="B6" s="19" t="s">
        <v>110</v>
      </c>
      <c r="C6" s="101">
        <v>7.7509707750970658E-2</v>
      </c>
    </row>
    <row r="7" spans="1:8" ht="15.75" customHeight="1" x14ac:dyDescent="0.25">
      <c r="B7" s="19" t="s">
        <v>115</v>
      </c>
      <c r="C7" s="101">
        <v>0.42196434219643392</v>
      </c>
    </row>
    <row r="8" spans="1:8" ht="15.75" customHeight="1" x14ac:dyDescent="0.25">
      <c r="B8" s="19" t="s">
        <v>117</v>
      </c>
      <c r="C8" s="101">
        <v>0</v>
      </c>
    </row>
    <row r="9" spans="1:8" ht="15.75" customHeight="1" x14ac:dyDescent="0.25">
      <c r="B9" s="19" t="s">
        <v>111</v>
      </c>
      <c r="C9" s="101">
        <v>0.27333552733355321</v>
      </c>
    </row>
    <row r="10" spans="1:8" ht="15.75" customHeight="1" x14ac:dyDescent="0.25">
      <c r="B10" s="19" t="s">
        <v>113</v>
      </c>
      <c r="C10" s="101">
        <v>0.1223406122340612</v>
      </c>
    </row>
    <row r="11" spans="1:8" ht="15.75" customHeight="1" x14ac:dyDescent="0.25">
      <c r="B11" s="27" t="s">
        <v>79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102</v>
      </c>
      <c r="B13" s="29" t="s">
        <v>101</v>
      </c>
      <c r="C13" s="102" t="s">
        <v>93</v>
      </c>
      <c r="D13" s="102" t="s">
        <v>96</v>
      </c>
      <c r="E13" s="102" t="s">
        <v>94</v>
      </c>
      <c r="F13" s="102" t="s">
        <v>95</v>
      </c>
      <c r="G13" s="19"/>
    </row>
    <row r="14" spans="1:8" ht="15.75" customHeight="1" x14ac:dyDescent="0.25">
      <c r="B14" s="19" t="s">
        <v>103</v>
      </c>
      <c r="C14" s="55">
        <v>6.9647158173006318E-2</v>
      </c>
      <c r="D14" s="55">
        <v>6.9647158173006318E-2</v>
      </c>
      <c r="E14" s="55">
        <v>6.9647158173006318E-2</v>
      </c>
      <c r="F14" s="55">
        <v>6.9647158173006318E-2</v>
      </c>
    </row>
    <row r="15" spans="1:8" ht="15.75" customHeight="1" x14ac:dyDescent="0.25">
      <c r="B15" s="19" t="s">
        <v>121</v>
      </c>
      <c r="C15" s="101">
        <v>0.26352327801439279</v>
      </c>
      <c r="D15" s="101">
        <v>0.26352327801439279</v>
      </c>
      <c r="E15" s="101">
        <v>0.26352327801439279</v>
      </c>
      <c r="F15" s="101">
        <v>0.26352327801439279</v>
      </c>
    </row>
    <row r="16" spans="1:8" ht="15.75" customHeight="1" x14ac:dyDescent="0.25">
      <c r="B16" s="19" t="s">
        <v>2</v>
      </c>
      <c r="C16" s="101">
        <v>3.3875385519165843E-2</v>
      </c>
      <c r="D16" s="101">
        <v>3.3875385519165843E-2</v>
      </c>
      <c r="E16" s="101">
        <v>3.3875385519165843E-2</v>
      </c>
      <c r="F16" s="101">
        <v>3.3875385519165843E-2</v>
      </c>
    </row>
    <row r="17" spans="1:8" ht="15.75" customHeight="1" x14ac:dyDescent="0.25">
      <c r="B17" s="19" t="s">
        <v>109</v>
      </c>
      <c r="C17" s="101">
        <v>0</v>
      </c>
      <c r="D17" s="101">
        <v>0</v>
      </c>
      <c r="E17" s="101">
        <v>0</v>
      </c>
      <c r="F17" s="101">
        <v>0</v>
      </c>
    </row>
    <row r="18" spans="1:8" ht="15.75" customHeight="1" x14ac:dyDescent="0.25">
      <c r="B18" s="19" t="s">
        <v>3</v>
      </c>
      <c r="C18" s="101">
        <v>0</v>
      </c>
      <c r="D18" s="101">
        <v>0</v>
      </c>
      <c r="E18" s="101">
        <v>0</v>
      </c>
      <c r="F18" s="101">
        <v>0</v>
      </c>
    </row>
    <row r="19" spans="1:8" ht="15.75" customHeight="1" x14ac:dyDescent="0.25">
      <c r="B19" s="19" t="s">
        <v>120</v>
      </c>
      <c r="C19" s="101">
        <v>0</v>
      </c>
      <c r="D19" s="101">
        <v>0</v>
      </c>
      <c r="E19" s="101">
        <v>0</v>
      </c>
      <c r="F19" s="101">
        <v>0</v>
      </c>
    </row>
    <row r="20" spans="1:8" ht="15.75" customHeight="1" x14ac:dyDescent="0.25">
      <c r="B20" s="19" t="s">
        <v>98</v>
      </c>
      <c r="C20" s="101">
        <v>0</v>
      </c>
      <c r="D20" s="101">
        <v>0</v>
      </c>
      <c r="E20" s="101">
        <v>0</v>
      </c>
      <c r="F20" s="101">
        <v>0</v>
      </c>
    </row>
    <row r="21" spans="1:8" ht="15.75" customHeight="1" x14ac:dyDescent="0.25">
      <c r="B21" s="19" t="s">
        <v>107</v>
      </c>
      <c r="C21" s="101">
        <v>0.35043471875458948</v>
      </c>
      <c r="D21" s="101">
        <v>0.35043471875458948</v>
      </c>
      <c r="E21" s="101">
        <v>0.35043471875458948</v>
      </c>
      <c r="F21" s="101">
        <v>0.35043471875458948</v>
      </c>
    </row>
    <row r="22" spans="1:8" ht="15.75" customHeight="1" x14ac:dyDescent="0.25">
      <c r="B22" s="19" t="s">
        <v>118</v>
      </c>
      <c r="C22" s="101">
        <v>0.2825194595388455</v>
      </c>
      <c r="D22" s="101">
        <v>0.2825194595388455</v>
      </c>
      <c r="E22" s="101">
        <v>0.2825194595388455</v>
      </c>
      <c r="F22" s="101">
        <v>0.2825194595388455</v>
      </c>
    </row>
    <row r="23" spans="1:8" ht="15.75" customHeight="1" x14ac:dyDescent="0.25">
      <c r="B23" s="27" t="s">
        <v>79</v>
      </c>
      <c r="C23" s="48">
        <f>SUM(C14:C22)</f>
        <v>0.99999999999999989</v>
      </c>
      <c r="D23" s="48">
        <f>SUM(D14:D22)</f>
        <v>0.99999999999999989</v>
      </c>
      <c r="E23" s="48">
        <f>SUM(E14:E22)</f>
        <v>0.99999999999999989</v>
      </c>
      <c r="F23" s="48">
        <f>SUM(F14:F22)</f>
        <v>0.99999999999999989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123</v>
      </c>
      <c r="B25" s="29" t="s">
        <v>101</v>
      </c>
      <c r="C25" s="29" t="s">
        <v>123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100</v>
      </c>
      <c r="C26" s="55">
        <v>3.9700850000000003E-2</v>
      </c>
    </row>
    <row r="27" spans="1:8" ht="15.75" customHeight="1" x14ac:dyDescent="0.25">
      <c r="B27" s="19" t="s">
        <v>108</v>
      </c>
      <c r="C27" s="101">
        <v>2.3007410999999998E-2</v>
      </c>
    </row>
    <row r="28" spans="1:8" ht="15.75" customHeight="1" x14ac:dyDescent="0.25">
      <c r="B28" s="19" t="s">
        <v>122</v>
      </c>
      <c r="C28" s="101">
        <v>0.18789456399999999</v>
      </c>
    </row>
    <row r="29" spans="1:8" ht="15.75" customHeight="1" x14ac:dyDescent="0.25">
      <c r="B29" s="19" t="s">
        <v>105</v>
      </c>
      <c r="C29" s="101">
        <v>0.14356665699999999</v>
      </c>
    </row>
    <row r="30" spans="1:8" ht="15.75" customHeight="1" x14ac:dyDescent="0.25">
      <c r="B30" s="19" t="s">
        <v>4</v>
      </c>
      <c r="C30" s="101">
        <v>5.2092121999999998E-2</v>
      </c>
    </row>
    <row r="31" spans="1:8" ht="15.75" customHeight="1" x14ac:dyDescent="0.25">
      <c r="B31" s="19" t="s">
        <v>99</v>
      </c>
      <c r="C31" s="101">
        <v>2.4076997999999999E-2</v>
      </c>
    </row>
    <row r="32" spans="1:8" ht="15.75" customHeight="1" x14ac:dyDescent="0.25">
      <c r="B32" s="19" t="s">
        <v>104</v>
      </c>
      <c r="C32" s="101">
        <v>8.5285021000000003E-2</v>
      </c>
    </row>
    <row r="33" spans="2:3" ht="15.75" customHeight="1" x14ac:dyDescent="0.25">
      <c r="B33" s="19" t="s">
        <v>119</v>
      </c>
      <c r="C33" s="101">
        <v>0.223807599</v>
      </c>
    </row>
    <row r="34" spans="2:3" ht="15.75" customHeight="1" x14ac:dyDescent="0.25">
      <c r="B34" s="19" t="s">
        <v>106</v>
      </c>
      <c r="C34" s="101">
        <v>0.22056877799999999</v>
      </c>
    </row>
    <row r="35" spans="2:3" ht="15.75" customHeight="1" x14ac:dyDescent="0.25">
      <c r="B35" s="27" t="s">
        <v>79</v>
      </c>
      <c r="C35" s="48">
        <f>SUM(C26:C34)</f>
        <v>1</v>
      </c>
    </row>
  </sheetData>
  <sheetProtection algorithmName="SHA-512" hashValue="M/6dkkFMlmPYMLgQp7PavYjOVrK9rYV4/YUJtxsfTv+nKeHPe+GHngERxNCJl1Ugw4KKjQT646F/JqbYektVvg==" saltValue="kxokKGWyNMhLD/WvjHRlcQ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"Porcentaje de población en cada categoría en el año de referencia ("&amp;start_year&amp;")"</f>
        <v>Porcentaje de población en cada categoría en el año de referencia (2024)</v>
      </c>
      <c r="B1" s="1" t="s">
        <v>139</v>
      </c>
      <c r="C1" s="11" t="s">
        <v>97</v>
      </c>
      <c r="D1" s="11" t="s">
        <v>93</v>
      </c>
      <c r="E1" s="11" t="s">
        <v>96</v>
      </c>
      <c r="F1" s="11" t="s">
        <v>94</v>
      </c>
      <c r="G1" s="11" t="s">
        <v>95</v>
      </c>
    </row>
    <row r="2" spans="1:15" ht="15.75" customHeight="1" x14ac:dyDescent="0.25">
      <c r="A2" s="3" t="s">
        <v>140</v>
      </c>
      <c r="B2" s="5" t="s">
        <v>130</v>
      </c>
      <c r="C2" s="52">
        <f>IFERROR(1-_xlfn.NORM.DIST(_xlfn.NORM.INV(SUM(C4:C5), 0, 1) + 1, 0, 1, TRUE), "")</f>
        <v>0.76320215731038854</v>
      </c>
      <c r="D2" s="52">
        <f>IFERROR(1-_xlfn.NORM.DIST(_xlfn.NORM.INV(SUM(D4:D5), 0, 1) + 1, 0, 1, TRUE), "")</f>
        <v>0.76320215731038854</v>
      </c>
      <c r="E2" s="52">
        <f>IFERROR(1-_xlfn.NORM.DIST(_xlfn.NORM.INV(SUM(E4:E5), 0, 1) + 1, 0, 1, TRUE), "")</f>
        <v>0.81245159489133334</v>
      </c>
      <c r="F2" s="52">
        <f>IFERROR(1-_xlfn.NORM.DIST(_xlfn.NORM.INV(SUM(F4:F5), 0, 1) + 1, 0, 1, TRUE), "")</f>
        <v>0.65837762988419757</v>
      </c>
      <c r="G2" s="52">
        <f>IFERROR(1-_xlfn.NORM.DIST(_xlfn.NORM.INV(SUM(G4:G5), 0, 1) + 1, 0, 1, TRUE), "")</f>
        <v>0.68856799245129263</v>
      </c>
    </row>
    <row r="3" spans="1:15" ht="15.75" customHeight="1" x14ac:dyDescent="0.25">
      <c r="B3" s="5" t="s">
        <v>127</v>
      </c>
      <c r="C3" s="52">
        <f>IFERROR(_xlfn.NORM.DIST(_xlfn.NORM.INV(SUM(C4:C5), 0, 1) + 1, 0, 1, TRUE) - SUM(C4:C5), "")</f>
        <v>0.1937754426896115</v>
      </c>
      <c r="D3" s="52">
        <f>IFERROR(_xlfn.NORM.DIST(_xlfn.NORM.INV(SUM(D4:D5), 0, 1) + 1, 0, 1, TRUE) - SUM(D4:D5), "")</f>
        <v>0.1937754426896115</v>
      </c>
      <c r="E3" s="52">
        <f>IFERROR(_xlfn.NORM.DIST(_xlfn.NORM.INV(SUM(E4:E5), 0, 1) + 1, 0, 1, TRUE) - SUM(E4:E5), "")</f>
        <v>0.1579660051086666</v>
      </c>
      <c r="F3" s="52">
        <f>IFERROR(_xlfn.NORM.DIST(_xlfn.NORM.INV(SUM(F4:F5), 0, 1) + 1, 0, 1, TRUE) - SUM(F4:F5), "")</f>
        <v>0.26206267011580242</v>
      </c>
      <c r="G3" s="52">
        <f>IFERROR(_xlfn.NORM.DIST(_xlfn.NORM.INV(SUM(G4:G5), 0, 1) + 1, 0, 1, TRUE) - SUM(G4:G5), "")</f>
        <v>0.24355560754870742</v>
      </c>
    </row>
    <row r="4" spans="1:15" ht="15.75" customHeight="1" x14ac:dyDescent="0.25">
      <c r="B4" s="5" t="s">
        <v>129</v>
      </c>
      <c r="C4" s="45">
        <v>1.2064399999999999E-2</v>
      </c>
      <c r="D4" s="53">
        <v>1.2064399999999999E-2</v>
      </c>
      <c r="E4" s="53">
        <v>2.33844E-2</v>
      </c>
      <c r="F4" s="53">
        <v>5.81874E-2</v>
      </c>
      <c r="G4" s="53">
        <v>5.3404299999999988E-2</v>
      </c>
    </row>
    <row r="5" spans="1:15" ht="15.75" customHeight="1" x14ac:dyDescent="0.25">
      <c r="B5" s="5" t="s">
        <v>125</v>
      </c>
      <c r="C5" s="45">
        <v>3.0957999999999999E-2</v>
      </c>
      <c r="D5" s="53">
        <v>3.0957999999999999E-2</v>
      </c>
      <c r="E5" s="53">
        <v>6.1980000000000004E-3</v>
      </c>
      <c r="F5" s="53">
        <v>2.13723E-2</v>
      </c>
      <c r="G5" s="53">
        <v>1.44721E-2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141</v>
      </c>
      <c r="B8" s="5" t="s">
        <v>131</v>
      </c>
      <c r="C8" s="52">
        <f>IFERROR(1-_xlfn.NORM.DIST(_xlfn.NORM.INV(SUM(C10:C11), 0, 1) + 1, 0, 1, TRUE), "")</f>
        <v>0.69376120091511995</v>
      </c>
      <c r="D8" s="52">
        <f>IFERROR(1-_xlfn.NORM.DIST(_xlfn.NORM.INV(SUM(D10:D11), 0, 1) + 1, 0, 1, TRUE), "")</f>
        <v>0.69376120091511995</v>
      </c>
      <c r="E8" s="52">
        <f>IFERROR(1-_xlfn.NORM.DIST(_xlfn.NORM.INV(SUM(E10:E11), 0, 1) + 1, 0, 1, TRUE), "")</f>
        <v>0.72791207852096185</v>
      </c>
      <c r="F8" s="52">
        <f>IFERROR(1-_xlfn.NORM.DIST(_xlfn.NORM.INV(SUM(F10:F11), 0, 1) + 1, 0, 1, TRUE), "")</f>
        <v>0.88185663673910974</v>
      </c>
      <c r="G8" s="52">
        <f>IFERROR(1-_xlfn.NORM.DIST(_xlfn.NORM.INV(SUM(G10:G11), 0, 1) + 1, 0, 1, TRUE), "")</f>
        <v>0.9279426733166809</v>
      </c>
    </row>
    <row r="9" spans="1:15" ht="15.75" customHeight="1" x14ac:dyDescent="0.25">
      <c r="B9" s="5" t="s">
        <v>128</v>
      </c>
      <c r="C9" s="52">
        <f>IFERROR(_xlfn.NORM.DIST(_xlfn.NORM.INV(SUM(C10:C11), 0, 1) + 1, 0, 1, TRUE) - SUM(C10:C11), "")</f>
        <v>0.24027449908488005</v>
      </c>
      <c r="D9" s="52">
        <f>IFERROR(_xlfn.NORM.DIST(_xlfn.NORM.INV(SUM(D10:D11), 0, 1) + 1, 0, 1, TRUE) - SUM(D10:D11), "")</f>
        <v>0.24027449908488005</v>
      </c>
      <c r="E9" s="52">
        <f>IFERROR(_xlfn.NORM.DIST(_xlfn.NORM.INV(SUM(E10:E11), 0, 1) + 1, 0, 1, TRUE) - SUM(E10:E11), "")</f>
        <v>0.21800702147903817</v>
      </c>
      <c r="F9" s="52">
        <f>IFERROR(_xlfn.NORM.DIST(_xlfn.NORM.INV(SUM(F10:F11), 0, 1) + 1, 0, 1, TRUE) - SUM(F10:F11), "")</f>
        <v>0.10367396326089023</v>
      </c>
      <c r="G9" s="52">
        <f>IFERROR(_xlfn.NORM.DIST(_xlfn.NORM.INV(SUM(G10:G11), 0, 1) + 1, 0, 1, TRUE) - SUM(G10:G11), "")</f>
        <v>6.5122826683319118E-2</v>
      </c>
    </row>
    <row r="10" spans="1:15" ht="15.75" customHeight="1" x14ac:dyDescent="0.25">
      <c r="B10" s="5" t="s">
        <v>126</v>
      </c>
      <c r="C10" s="45">
        <v>3.9002299999999997E-2</v>
      </c>
      <c r="D10" s="53">
        <v>3.9002299999999997E-2</v>
      </c>
      <c r="E10" s="53">
        <v>2.7101400000000001E-2</v>
      </c>
      <c r="F10" s="53">
        <v>5.1676999999999999E-3</v>
      </c>
      <c r="G10" s="53">
        <v>5.1678999999999996E-3</v>
      </c>
    </row>
    <row r="11" spans="1:15" ht="15.75" customHeight="1" x14ac:dyDescent="0.25">
      <c r="B11" s="5" t="s">
        <v>138</v>
      </c>
      <c r="C11" s="45">
        <v>2.6962E-2</v>
      </c>
      <c r="D11" s="53">
        <v>2.6962E-2</v>
      </c>
      <c r="E11" s="53">
        <v>2.69795E-2</v>
      </c>
      <c r="F11" s="53">
        <v>9.3017000000000013E-3</v>
      </c>
      <c r="G11" s="53">
        <v>1.7665999999999999E-3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124</v>
      </c>
      <c r="C13" s="11" t="s">
        <v>97</v>
      </c>
      <c r="D13" s="11" t="s">
        <v>93</v>
      </c>
      <c r="E13" s="11" t="s">
        <v>96</v>
      </c>
      <c r="F13" s="11" t="s">
        <v>94</v>
      </c>
      <c r="G13" s="11" t="s">
        <v>95</v>
      </c>
      <c r="H13" s="18" t="s">
        <v>132</v>
      </c>
      <c r="I13" s="18" t="s">
        <v>133</v>
      </c>
      <c r="J13" s="18" t="s">
        <v>134</v>
      </c>
      <c r="K13" s="18" t="s">
        <v>135</v>
      </c>
      <c r="L13" s="18" t="s">
        <v>87</v>
      </c>
      <c r="M13" s="18" t="s">
        <v>88</v>
      </c>
      <c r="N13" s="18" t="s">
        <v>89</v>
      </c>
      <c r="O13" s="18" t="s">
        <v>90</v>
      </c>
    </row>
    <row r="14" spans="1:15" ht="15.75" customHeight="1" x14ac:dyDescent="0.25">
      <c r="B14" s="11" t="s">
        <v>136</v>
      </c>
      <c r="C14" s="51">
        <v>0.22474285975</v>
      </c>
      <c r="D14" s="54">
        <v>0.234737514727</v>
      </c>
      <c r="E14" s="54">
        <v>0.234737514727</v>
      </c>
      <c r="F14" s="54">
        <v>0.223199456702</v>
      </c>
      <c r="G14" s="54">
        <v>0.223199456702</v>
      </c>
      <c r="H14" s="45">
        <v>0.34399999999999997</v>
      </c>
      <c r="I14" s="55">
        <v>0.34399999999999997</v>
      </c>
      <c r="J14" s="55">
        <v>0.34399999999999997</v>
      </c>
      <c r="K14" s="55">
        <v>0.34399999999999997</v>
      </c>
      <c r="L14" s="45">
        <v>0.307</v>
      </c>
      <c r="M14" s="55">
        <v>0.307</v>
      </c>
      <c r="N14" s="55">
        <v>0.307</v>
      </c>
      <c r="O14" s="55">
        <v>0.307</v>
      </c>
    </row>
    <row r="15" spans="1:15" ht="15.75" customHeight="1" x14ac:dyDescent="0.25">
      <c r="B15" s="11" t="s">
        <v>137</v>
      </c>
      <c r="C15" s="52">
        <f t="shared" ref="C15:O15" si="0">iron_deficiency_anaemia*C14</f>
        <v>0.13419643372818227</v>
      </c>
      <c r="D15" s="52">
        <f t="shared" si="0"/>
        <v>0.14016435215615372</v>
      </c>
      <c r="E15" s="52">
        <f t="shared" si="0"/>
        <v>0.14016435215615372</v>
      </c>
      <c r="F15" s="52">
        <f t="shared" si="0"/>
        <v>0.13327485079078794</v>
      </c>
      <c r="G15" s="52">
        <f t="shared" si="0"/>
        <v>0.13327485079078794</v>
      </c>
      <c r="H15" s="52">
        <f t="shared" si="0"/>
        <v>0.20540618399999999</v>
      </c>
      <c r="I15" s="52">
        <f t="shared" si="0"/>
        <v>0.20540618399999999</v>
      </c>
      <c r="J15" s="52">
        <f t="shared" si="0"/>
        <v>0.20540618399999999</v>
      </c>
      <c r="K15" s="52">
        <f t="shared" si="0"/>
        <v>0.20540618399999999</v>
      </c>
      <c r="L15" s="52">
        <f t="shared" si="0"/>
        <v>0.18331307700000002</v>
      </c>
      <c r="M15" s="52">
        <f t="shared" si="0"/>
        <v>0.18331307700000002</v>
      </c>
      <c r="N15" s="52">
        <f t="shared" si="0"/>
        <v>0.18331307700000002</v>
      </c>
      <c r="O15" s="52">
        <f t="shared" si="0"/>
        <v>0.18331307700000002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04Le7blU2c96g+dUz8AaESHmgOc3ktLkKAGWRM+OKyBY4lqOTS6EXfVvfRmsj2U01kKvIDUrQIY2Y1wZVMi0Tw==" saltValue="4QDDglZhAuwhXKHH/Z7LC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C2" sqref="C2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"Porcentaje de niños en cada categoría en el año de referencia ("&amp;start_year&amp;")"</f>
        <v>Porcentaje de niños en cada categoría en el año de referencia (2024)</v>
      </c>
      <c r="B1" s="1" t="s">
        <v>139</v>
      </c>
      <c r="C1" s="8" t="s">
        <v>97</v>
      </c>
      <c r="D1" s="8" t="s">
        <v>93</v>
      </c>
      <c r="E1" s="8" t="s">
        <v>96</v>
      </c>
      <c r="F1" s="8" t="s">
        <v>94</v>
      </c>
      <c r="G1" s="8" t="s">
        <v>95</v>
      </c>
    </row>
    <row r="2" spans="1:7" x14ac:dyDescent="0.25">
      <c r="A2" s="3" t="s">
        <v>142</v>
      </c>
      <c r="B2" s="3" t="s">
        <v>143</v>
      </c>
      <c r="C2" s="45">
        <v>0.59230890000000003</v>
      </c>
      <c r="D2" s="53">
        <v>0.36119299999999999</v>
      </c>
      <c r="E2" s="53">
        <v>0</v>
      </c>
      <c r="F2" s="53">
        <v>0</v>
      </c>
      <c r="G2" s="53">
        <v>0</v>
      </c>
    </row>
    <row r="3" spans="1:7" x14ac:dyDescent="0.25">
      <c r="B3" s="3" t="s">
        <v>146</v>
      </c>
      <c r="C3" s="53">
        <v>0.12754789999999999</v>
      </c>
      <c r="D3" s="53">
        <v>0.1872413</v>
      </c>
      <c r="E3" s="53">
        <v>0</v>
      </c>
      <c r="F3" s="53">
        <v>0</v>
      </c>
      <c r="G3" s="53">
        <v>0</v>
      </c>
    </row>
    <row r="4" spans="1:7" x14ac:dyDescent="0.25">
      <c r="B4" s="3" t="s">
        <v>145</v>
      </c>
      <c r="C4" s="53">
        <v>0.23345560000000001</v>
      </c>
      <c r="D4" s="53">
        <v>0.36847469999999999</v>
      </c>
      <c r="E4" s="53">
        <v>0.77363979999999999</v>
      </c>
      <c r="F4" s="53">
        <v>0.52710790000000007</v>
      </c>
      <c r="G4" s="53">
        <v>0</v>
      </c>
    </row>
    <row r="5" spans="1:7" x14ac:dyDescent="0.25">
      <c r="B5" s="3" t="s">
        <v>144</v>
      </c>
      <c r="C5" s="52">
        <f t="shared" ref="C5:D5" si="0">1-SUM(C2:C4)</f>
        <v>4.668759999999994E-2</v>
      </c>
      <c r="D5" s="52">
        <f t="shared" si="0"/>
        <v>8.3091000000000026E-2</v>
      </c>
      <c r="E5" s="52">
        <f>1-SUM(E2:E4)</f>
        <v>0.22636020000000001</v>
      </c>
      <c r="F5" s="52">
        <f>1-SUM(F2:F4)</f>
        <v>0.47289209999999993</v>
      </c>
      <c r="G5" s="52">
        <f>1-SUM(G2:G4)</f>
        <v>1</v>
      </c>
    </row>
  </sheetData>
  <sheetProtection algorithmName="SHA-512" hashValue="8aRamWuct09yAvNeu/wMP+OKLKjq6t7Bx7B++9dQsYm6ouEnOqtLouKlqcP3fPCwri4KznFlAZ4rvWVtVb9QSg==" saltValue="6z5L/CnFWndLaFawphEBLg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154</v>
      </c>
      <c r="B1" s="4" t="s">
        <v>152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155</v>
      </c>
      <c r="B2" s="9" t="s">
        <v>149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157</v>
      </c>
      <c r="B4" s="9" t="s">
        <v>149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147</v>
      </c>
      <c r="B6" s="9" t="s">
        <v>149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123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158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153</v>
      </c>
      <c r="B10" s="11" t="s">
        <v>148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150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56</v>
      </c>
      <c r="B13" s="11" t="s">
        <v>156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151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WZ0FEVNI8SV2bH7FnFj4J+aHKWiAfk6CfKh3u3aa02qoPVLHJyOq4lbbAnKzvd/ih91vQ8VlwssrWWX5mbGUwQ==" saltValue="fFqTsInjEafpvL9gXuc5xg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abSelected="1" topLeftCell="B9" workbookViewId="0">
      <selection activeCell="B22" sqref="B22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5" t="s">
        <v>10</v>
      </c>
      <c r="B1" s="105" t="s">
        <v>11</v>
      </c>
      <c r="C1" s="106"/>
      <c r="D1" s="106"/>
      <c r="E1" s="106"/>
      <c r="F1" s="106"/>
      <c r="G1" s="106"/>
      <c r="H1" s="106"/>
      <c r="I1" s="106"/>
      <c r="J1" s="106"/>
      <c r="K1" s="106"/>
      <c r="L1" s="106"/>
      <c r="M1" s="106"/>
      <c r="N1" s="106"/>
      <c r="O1" s="106"/>
    </row>
    <row r="2" spans="1:15" x14ac:dyDescent="0.25">
      <c r="A2" t="s">
        <v>160</v>
      </c>
      <c r="B2" s="109">
        <v>10674.5041731531</v>
      </c>
      <c r="C2" s="106"/>
      <c r="D2" s="106"/>
      <c r="E2" s="106"/>
      <c r="F2" s="106"/>
      <c r="G2" s="106"/>
      <c r="H2" s="106"/>
      <c r="I2" s="106"/>
      <c r="J2" s="106"/>
      <c r="K2" s="106"/>
      <c r="L2" s="106"/>
      <c r="M2" s="106"/>
      <c r="N2" s="106"/>
      <c r="O2" s="106"/>
    </row>
    <row r="3" spans="1:15" x14ac:dyDescent="0.25">
      <c r="A3" t="s">
        <v>159</v>
      </c>
      <c r="B3" s="110">
        <v>0.03</v>
      </c>
      <c r="C3" s="106"/>
      <c r="D3" s="106"/>
      <c r="E3" s="106"/>
      <c r="F3" s="106"/>
      <c r="G3" s="106"/>
      <c r="H3" s="106"/>
      <c r="I3" s="106"/>
      <c r="J3" s="106"/>
      <c r="K3" s="106"/>
      <c r="L3" s="106"/>
      <c r="M3" s="106"/>
      <c r="N3" s="106"/>
      <c r="O3" s="106"/>
    </row>
    <row r="4" spans="1:15" x14ac:dyDescent="0.25">
      <c r="A4" t="s">
        <v>170</v>
      </c>
      <c r="B4" s="110">
        <v>0.32205</v>
      </c>
      <c r="C4" s="106"/>
      <c r="D4" s="106"/>
      <c r="E4" s="106"/>
      <c r="F4" s="106"/>
      <c r="G4" s="106"/>
      <c r="H4" s="106"/>
      <c r="I4" s="106"/>
      <c r="J4" s="106"/>
      <c r="K4" s="106"/>
      <c r="L4" s="106"/>
      <c r="M4" s="106"/>
      <c r="N4" s="106"/>
      <c r="O4" s="106"/>
    </row>
    <row r="5" spans="1:15" x14ac:dyDescent="0.25">
      <c r="A5" t="s">
        <v>161</v>
      </c>
      <c r="B5" s="110">
        <v>0.03</v>
      </c>
      <c r="C5" s="106"/>
      <c r="D5" s="106"/>
      <c r="E5" s="106"/>
      <c r="F5" s="106"/>
      <c r="G5" s="106"/>
      <c r="H5" s="106"/>
      <c r="I5" s="106"/>
      <c r="J5" s="106"/>
      <c r="K5" s="106"/>
      <c r="L5" s="106"/>
      <c r="M5" s="106"/>
      <c r="N5" s="106"/>
      <c r="O5" s="106"/>
    </row>
    <row r="6" spans="1:15" x14ac:dyDescent="0.25">
      <c r="A6" t="s">
        <v>162</v>
      </c>
      <c r="B6" s="110">
        <v>0.03</v>
      </c>
      <c r="C6" s="106"/>
      <c r="D6" s="106"/>
      <c r="E6" s="106"/>
      <c r="F6" s="106"/>
      <c r="G6" s="106"/>
      <c r="H6" s="106"/>
      <c r="I6" s="106"/>
      <c r="J6" s="106"/>
      <c r="K6" s="106"/>
      <c r="L6" s="106"/>
      <c r="M6" s="106"/>
      <c r="N6" s="106"/>
      <c r="O6" s="106"/>
    </row>
    <row r="7" spans="1:15" x14ac:dyDescent="0.25">
      <c r="A7" t="s">
        <v>165</v>
      </c>
      <c r="B7" s="111">
        <v>18</v>
      </c>
      <c r="C7" s="106"/>
      <c r="D7" s="106"/>
      <c r="E7" s="106"/>
      <c r="F7" s="106"/>
      <c r="G7" s="106"/>
      <c r="H7" s="106"/>
      <c r="I7" s="106"/>
      <c r="J7" s="106"/>
      <c r="K7" s="106"/>
      <c r="L7" s="106"/>
      <c r="M7" s="106"/>
      <c r="N7" s="106"/>
      <c r="O7" s="106"/>
    </row>
    <row r="8" spans="1:15" x14ac:dyDescent="0.25">
      <c r="A8" t="s">
        <v>164</v>
      </c>
      <c r="B8" s="111">
        <v>65</v>
      </c>
      <c r="C8" s="106"/>
      <c r="D8" s="106"/>
      <c r="E8" s="106"/>
      <c r="F8" s="106"/>
      <c r="G8" s="106"/>
      <c r="H8" s="106"/>
      <c r="I8" s="106"/>
      <c r="J8" s="106"/>
      <c r="K8" s="106"/>
      <c r="L8" s="106"/>
      <c r="M8" s="106"/>
      <c r="N8" s="106"/>
      <c r="O8" s="106"/>
    </row>
    <row r="9" spans="1:15" x14ac:dyDescent="0.25">
      <c r="A9" t="s">
        <v>166</v>
      </c>
      <c r="B9" s="110">
        <v>0.39433999999999997</v>
      </c>
      <c r="C9" s="106"/>
      <c r="D9" s="106"/>
      <c r="E9" s="106"/>
      <c r="F9" s="106"/>
      <c r="G9" s="106"/>
      <c r="H9" s="106"/>
      <c r="I9" s="106"/>
      <c r="J9" s="106"/>
      <c r="K9" s="106"/>
      <c r="L9" s="106"/>
      <c r="M9" s="106"/>
      <c r="N9" s="106"/>
      <c r="O9" s="106"/>
    </row>
    <row r="10" spans="1:15" x14ac:dyDescent="0.25">
      <c r="A10" t="s">
        <v>163</v>
      </c>
      <c r="B10" s="110">
        <v>0.9</v>
      </c>
      <c r="C10" s="106"/>
      <c r="D10" s="106"/>
      <c r="E10" s="106"/>
      <c r="F10" s="106"/>
      <c r="G10" s="106"/>
      <c r="H10" s="106"/>
      <c r="I10" s="106"/>
      <c r="J10" s="106"/>
      <c r="K10" s="106"/>
      <c r="L10" s="106"/>
      <c r="M10" s="106"/>
      <c r="N10" s="106"/>
      <c r="O10" s="106"/>
    </row>
    <row r="11" spans="1:15" x14ac:dyDescent="0.25">
      <c r="A11" t="s">
        <v>171</v>
      </c>
      <c r="B11" s="110">
        <v>0.66</v>
      </c>
      <c r="C11" s="106"/>
      <c r="D11" s="106"/>
      <c r="E11" s="106"/>
      <c r="F11" s="106"/>
      <c r="G11" s="106"/>
      <c r="H11" s="106"/>
      <c r="I11" s="106"/>
      <c r="J11" s="106"/>
      <c r="K11" s="106"/>
      <c r="L11" s="106"/>
      <c r="M11" s="106"/>
      <c r="N11" s="106"/>
      <c r="O11" s="106"/>
    </row>
    <row r="12" spans="1:15" x14ac:dyDescent="0.25">
      <c r="A12" t="s">
        <v>172</v>
      </c>
      <c r="B12" s="110">
        <v>2.5000000000000001E-2</v>
      </c>
      <c r="C12" s="106"/>
      <c r="D12" s="106"/>
      <c r="E12" s="106"/>
      <c r="F12" s="106"/>
      <c r="G12" s="106"/>
      <c r="H12" s="106"/>
      <c r="I12" s="106"/>
      <c r="J12" s="106"/>
      <c r="K12" s="106"/>
      <c r="L12" s="106"/>
      <c r="M12" s="106"/>
      <c r="N12" s="106"/>
      <c r="O12" s="106"/>
    </row>
    <row r="13" spans="1:15" x14ac:dyDescent="0.25">
      <c r="A13" t="s">
        <v>173</v>
      </c>
      <c r="B13" s="110">
        <v>7.4999999999999997E-2</v>
      </c>
      <c r="C13" s="106"/>
      <c r="D13" s="106"/>
      <c r="E13" s="106"/>
      <c r="F13" s="106"/>
      <c r="G13" s="106"/>
      <c r="H13" s="106"/>
      <c r="I13" s="106"/>
      <c r="J13" s="106"/>
      <c r="K13" s="106"/>
      <c r="L13" s="106"/>
      <c r="M13" s="106"/>
      <c r="N13" s="106"/>
      <c r="O13" s="106"/>
    </row>
    <row r="14" spans="1:15" x14ac:dyDescent="0.25">
      <c r="A14" t="s">
        <v>174</v>
      </c>
      <c r="B14" s="112">
        <v>9.490516829098598E-3</v>
      </c>
      <c r="C14" s="106"/>
      <c r="D14" s="106"/>
      <c r="E14" s="106"/>
      <c r="F14" s="106"/>
      <c r="G14" s="106"/>
      <c r="H14" s="106"/>
      <c r="I14" s="106"/>
      <c r="J14" s="106"/>
      <c r="K14" s="106"/>
      <c r="L14" s="106"/>
      <c r="M14" s="106"/>
      <c r="N14" s="106"/>
      <c r="O14" s="106"/>
    </row>
    <row r="15" spans="1:15" x14ac:dyDescent="0.25">
      <c r="A15" t="s">
        <v>167</v>
      </c>
      <c r="B15" s="111">
        <v>0.5</v>
      </c>
      <c r="C15" s="106"/>
      <c r="D15" s="106"/>
      <c r="E15" s="106"/>
      <c r="F15" s="106"/>
      <c r="G15" s="106"/>
      <c r="H15" s="106"/>
      <c r="I15" s="106"/>
      <c r="J15" s="106"/>
      <c r="K15" s="106"/>
      <c r="L15" s="106"/>
      <c r="M15" s="106"/>
      <c r="N15" s="106"/>
      <c r="O15" s="106"/>
    </row>
    <row r="16" spans="1:15" x14ac:dyDescent="0.25">
      <c r="A16" t="s">
        <v>168</v>
      </c>
      <c r="B16" s="111">
        <v>0.8</v>
      </c>
      <c r="C16" s="106"/>
      <c r="D16" s="106"/>
      <c r="E16" s="106"/>
      <c r="F16" s="106"/>
      <c r="G16" s="106"/>
      <c r="H16" s="106"/>
      <c r="I16" s="106"/>
      <c r="J16" s="106"/>
      <c r="K16" s="106"/>
      <c r="L16" s="106"/>
      <c r="M16" s="106"/>
      <c r="N16" s="106"/>
      <c r="O16" s="106"/>
    </row>
    <row r="17" spans="1:15" x14ac:dyDescent="0.25">
      <c r="A17" t="s">
        <v>169</v>
      </c>
      <c r="B17" s="113">
        <v>1.0666666666666666E-2</v>
      </c>
      <c r="C17" s="106"/>
      <c r="D17" s="106"/>
      <c r="E17" s="106"/>
      <c r="F17" s="106"/>
      <c r="G17" s="106"/>
      <c r="H17" s="106"/>
      <c r="I17" s="106"/>
      <c r="J17" s="106"/>
      <c r="K17" s="106"/>
      <c r="L17" s="106"/>
      <c r="M17" s="106"/>
      <c r="N17" s="106"/>
      <c r="O17" s="106"/>
    </row>
    <row r="18" spans="1:15" x14ac:dyDescent="0.25">
      <c r="A18" t="s">
        <v>175</v>
      </c>
      <c r="B18" s="110">
        <v>0</v>
      </c>
      <c r="C18" s="106"/>
      <c r="D18" s="106"/>
      <c r="E18" s="106"/>
      <c r="F18" s="106"/>
      <c r="G18" s="106"/>
      <c r="H18" s="106"/>
      <c r="I18" s="106"/>
      <c r="J18" s="106"/>
      <c r="K18" s="106"/>
      <c r="L18" s="106"/>
      <c r="M18" s="106"/>
      <c r="N18" s="106"/>
      <c r="O18" s="106"/>
    </row>
    <row r="19" spans="1:15" x14ac:dyDescent="0.25">
      <c r="A19" s="106"/>
      <c r="B19" s="106"/>
      <c r="C19" s="106"/>
      <c r="D19" s="106"/>
      <c r="E19" s="106"/>
      <c r="F19" s="106"/>
      <c r="G19" s="106"/>
      <c r="H19" s="106"/>
      <c r="I19" s="106"/>
      <c r="J19" s="106"/>
      <c r="K19" s="106"/>
      <c r="L19" s="106"/>
      <c r="M19" s="106"/>
      <c r="N19" s="106"/>
      <c r="O19" s="106"/>
    </row>
    <row r="20" spans="1:15" x14ac:dyDescent="0.25">
      <c r="A20" s="106"/>
      <c r="B20" s="106"/>
      <c r="C20" s="106"/>
      <c r="D20" s="106"/>
      <c r="E20" s="106"/>
      <c r="F20" s="106"/>
      <c r="G20" s="106"/>
      <c r="H20" s="106"/>
      <c r="I20" s="106"/>
      <c r="J20" s="106"/>
      <c r="K20" s="106"/>
      <c r="L20" s="106"/>
      <c r="M20" s="106"/>
      <c r="N20" s="106"/>
      <c r="O20" s="106"/>
    </row>
    <row r="21" spans="1:15" ht="13" x14ac:dyDescent="0.3">
      <c r="A21" s="107" t="s">
        <v>12</v>
      </c>
      <c r="B21" s="108" t="s">
        <v>13</v>
      </c>
      <c r="C21" s="108" t="s">
        <v>14</v>
      </c>
      <c r="D21" s="108" t="s">
        <v>15</v>
      </c>
      <c r="E21" s="108" t="s">
        <v>16</v>
      </c>
      <c r="F21" s="108" t="s">
        <v>17</v>
      </c>
      <c r="G21" s="108" t="s">
        <v>18</v>
      </c>
      <c r="H21" s="108" t="s">
        <v>19</v>
      </c>
      <c r="I21" s="108" t="s">
        <v>20</v>
      </c>
      <c r="J21" s="108" t="s">
        <v>21</v>
      </c>
      <c r="K21" s="108" t="s">
        <v>22</v>
      </c>
      <c r="L21" s="108" t="s">
        <v>23</v>
      </c>
      <c r="M21" s="108" t="s">
        <v>24</v>
      </c>
      <c r="N21" s="108" t="s">
        <v>25</v>
      </c>
      <c r="O21" s="108" t="s">
        <v>26</v>
      </c>
    </row>
    <row r="22" spans="1:15" x14ac:dyDescent="0.25">
      <c r="A22" s="108" t="s">
        <v>176</v>
      </c>
      <c r="B22" s="109">
        <v>98993.353090000004</v>
      </c>
      <c r="C22" s="109">
        <v>98906.272410000005</v>
      </c>
      <c r="D22" s="109">
        <v>98802.486910000007</v>
      </c>
      <c r="E22" s="109">
        <v>98637.431289999993</v>
      </c>
      <c r="F22" s="109">
        <v>98436.129639999999</v>
      </c>
      <c r="G22" s="109">
        <v>98215.759210000004</v>
      </c>
      <c r="H22" s="109">
        <v>97954.095369999995</v>
      </c>
      <c r="I22" s="109">
        <v>97573.011369999993</v>
      </c>
      <c r="J22" s="109">
        <v>96950.128500000006</v>
      </c>
      <c r="K22" s="109">
        <v>95930.794840000002</v>
      </c>
      <c r="L22" s="109">
        <v>94166.977029999995</v>
      </c>
      <c r="M22" s="109">
        <v>91384.379979999998</v>
      </c>
      <c r="N22" s="109">
        <v>86973.134430000006</v>
      </c>
      <c r="O22" s="109">
        <v>80275.18118</v>
      </c>
    </row>
  </sheetData>
  <sheetProtection algorithmName="SHA-512" hashValue="O31PgE9I9Wk7uasLeZgm07cKNgCrt6p66sU7RE7JLprEeqOC391SKkPGJeK2sffz+XVp8n9dhVzIUsH/XlyMSw==" saltValue="vHTZ76DWmM7QUArJZ7UZWA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C2" sqref="C2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183</v>
      </c>
      <c r="B1" s="36" t="s">
        <v>185</v>
      </c>
      <c r="C1" s="36" t="s">
        <v>179</v>
      </c>
      <c r="D1" s="36" t="s">
        <v>178</v>
      </c>
      <c r="E1" s="36" t="s">
        <v>184</v>
      </c>
    </row>
    <row r="2" spans="1:5" ht="13" x14ac:dyDescent="0.3">
      <c r="A2" s="34" t="s">
        <v>180</v>
      </c>
      <c r="B2" s="32" t="s">
        <v>123</v>
      </c>
      <c r="C2" s="47"/>
      <c r="D2" s="47"/>
      <c r="E2" s="38" t="str">
        <f>IF(E$7="","",E$7)</f>
        <v/>
      </c>
    </row>
    <row r="3" spans="1:5" x14ac:dyDescent="0.25">
      <c r="B3" s="32" t="s">
        <v>97</v>
      </c>
      <c r="C3" s="47"/>
      <c r="D3" s="47" t="s">
        <v>5</v>
      </c>
      <c r="E3" s="38" t="str">
        <f>IF(E$7="","",E$7)</f>
        <v/>
      </c>
    </row>
    <row r="4" spans="1:5" x14ac:dyDescent="0.25">
      <c r="B4" s="32" t="s">
        <v>93</v>
      </c>
      <c r="C4" s="47"/>
      <c r="D4" s="47" t="s">
        <v>5</v>
      </c>
      <c r="E4" s="38" t="str">
        <f>IF(E$7="","",E$7)</f>
        <v/>
      </c>
    </row>
    <row r="5" spans="1:5" x14ac:dyDescent="0.25">
      <c r="B5" s="32" t="s">
        <v>96</v>
      </c>
      <c r="C5" s="47"/>
      <c r="D5" s="47" t="s">
        <v>5</v>
      </c>
      <c r="E5" s="38" t="str">
        <f>IF(E$7="","",E$7)</f>
        <v/>
      </c>
    </row>
    <row r="6" spans="1:5" x14ac:dyDescent="0.25">
      <c r="B6" s="32" t="s">
        <v>94</v>
      </c>
      <c r="C6" s="47"/>
      <c r="D6" s="47" t="s">
        <v>5</v>
      </c>
      <c r="E6" s="38" t="str">
        <f>IF(E$7="","",E$7)</f>
        <v/>
      </c>
    </row>
    <row r="7" spans="1:5" x14ac:dyDescent="0.25">
      <c r="B7" s="32" t="s">
        <v>177</v>
      </c>
      <c r="C7" s="31"/>
      <c r="D7" s="30"/>
      <c r="E7" s="47"/>
    </row>
    <row r="9" spans="1:5" ht="13" x14ac:dyDescent="0.3">
      <c r="A9" s="34" t="s">
        <v>181</v>
      </c>
      <c r="B9" s="32" t="s">
        <v>123</v>
      </c>
      <c r="C9" s="47"/>
      <c r="D9" s="47"/>
      <c r="E9" s="38" t="str">
        <f>IF(E$7="","",E$7)</f>
        <v/>
      </c>
    </row>
    <row r="10" spans="1:5" x14ac:dyDescent="0.25">
      <c r="B10" s="32" t="s">
        <v>97</v>
      </c>
      <c r="C10" s="47"/>
      <c r="D10" s="47"/>
      <c r="E10" s="38" t="str">
        <f>IF(E$7="","",E$7)</f>
        <v/>
      </c>
    </row>
    <row r="11" spans="1:5" x14ac:dyDescent="0.25">
      <c r="B11" s="32" t="s">
        <v>93</v>
      </c>
      <c r="C11" s="47"/>
      <c r="D11" s="47"/>
      <c r="E11" s="38" t="str">
        <f>IF(E$7="","",E$7)</f>
        <v/>
      </c>
    </row>
    <row r="12" spans="1:5" x14ac:dyDescent="0.25">
      <c r="B12" s="32" t="s">
        <v>96</v>
      </c>
      <c r="C12" s="47"/>
      <c r="D12" s="47" t="s">
        <v>5</v>
      </c>
      <c r="E12" s="38" t="str">
        <f>IF(E$7="","",E$7)</f>
        <v/>
      </c>
    </row>
    <row r="13" spans="1:5" x14ac:dyDescent="0.25">
      <c r="B13" s="32" t="s">
        <v>94</v>
      </c>
      <c r="C13" s="47"/>
      <c r="D13" s="47" t="s">
        <v>5</v>
      </c>
      <c r="E13" s="38" t="str">
        <f>IF(E$7="","",E$7)</f>
        <v/>
      </c>
    </row>
    <row r="14" spans="1:5" x14ac:dyDescent="0.25">
      <c r="B14" s="32" t="s">
        <v>177</v>
      </c>
      <c r="C14" s="31"/>
      <c r="D14" s="30"/>
      <c r="E14" s="47"/>
    </row>
    <row r="16" spans="1:5" ht="13" x14ac:dyDescent="0.3">
      <c r="A16" s="34" t="s">
        <v>182</v>
      </c>
      <c r="B16" s="32" t="s">
        <v>123</v>
      </c>
      <c r="C16" s="47"/>
      <c r="D16" s="47" t="s">
        <v>5</v>
      </c>
      <c r="E16" s="38" t="str">
        <f>IF(E$7="","",E$7)</f>
        <v/>
      </c>
    </row>
    <row r="17" spans="2:5" x14ac:dyDescent="0.25">
      <c r="B17" s="32" t="s">
        <v>97</v>
      </c>
      <c r="C17" s="47"/>
      <c r="D17" s="47" t="s">
        <v>5</v>
      </c>
      <c r="E17" s="38" t="str">
        <f>IF(E$7="","",E$7)</f>
        <v/>
      </c>
    </row>
    <row r="18" spans="2:5" x14ac:dyDescent="0.25">
      <c r="B18" s="32" t="s">
        <v>93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96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94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177</v>
      </c>
      <c r="C21" s="31"/>
      <c r="D21" s="30"/>
      <c r="E21" s="47"/>
    </row>
  </sheetData>
  <sheetProtection algorithmName="SHA-512" hashValue="00I7FDsVHUtTowYtU2b5cJB0HMCwm2FZ/1Jg6Tf+Zdi4vFpdQvW04L8/rl9tMIjVeHSnFRo/xKgdFADmESgbDQ==" saltValue="LRFkt1RXeYWDc+GNVrGJMw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D2" sqref="D2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0</v>
      </c>
      <c r="B1" s="36" t="s">
        <v>188</v>
      </c>
      <c r="C1" s="40" t="s">
        <v>190</v>
      </c>
      <c r="D1" s="40" t="s">
        <v>186</v>
      </c>
    </row>
    <row r="2" spans="1:4" ht="13" x14ac:dyDescent="0.3">
      <c r="A2" s="40" t="s">
        <v>192</v>
      </c>
      <c r="B2" s="32" t="s">
        <v>193</v>
      </c>
      <c r="C2" s="32" t="s">
        <v>191</v>
      </c>
      <c r="D2" s="47"/>
    </row>
    <row r="3" spans="1:4" ht="13" x14ac:dyDescent="0.3">
      <c r="A3" s="40" t="s">
        <v>189</v>
      </c>
      <c r="B3" s="32" t="s">
        <v>179</v>
      </c>
      <c r="C3" s="32" t="s">
        <v>187</v>
      </c>
      <c r="D3" s="47"/>
    </row>
  </sheetData>
  <sheetProtection algorithmName="SHA-512" hashValue="rtC1Rl5u8LZJ38u2YIP4kyYQlSzDgsegs09d/UXvv/MWQNECG6F/TVHZT/s0nAOdqnEFWqAOEhrVJyEbRW4LpQ==" saltValue="EbC/oxxNRQfvqwTSGWmiYQ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192</v>
      </c>
      <c r="B1" s="22" t="str">
        <f>"Cobertura de referencia ("&amp;start_year&amp;")"</f>
        <v>Cobertura de referencia (2024)</v>
      </c>
      <c r="C1" s="22" t="s">
        <v>223</v>
      </c>
      <c r="D1" s="22" t="s">
        <v>224</v>
      </c>
      <c r="E1" s="22" t="s">
        <v>197</v>
      </c>
      <c r="F1" s="22" t="s">
        <v>216</v>
      </c>
      <c r="G1" s="22" t="s">
        <v>215</v>
      </c>
    </row>
    <row r="2" spans="1:7" ht="15.75" customHeight="1" x14ac:dyDescent="0.25">
      <c r="A2" s="5" t="s">
        <v>194</v>
      </c>
      <c r="B2" s="45">
        <v>0</v>
      </c>
      <c r="C2" s="98">
        <v>0.95</v>
      </c>
      <c r="D2" s="56">
        <v>12.008526100307062</v>
      </c>
      <c r="E2" s="56" t="s">
        <v>212</v>
      </c>
      <c r="F2" s="98">
        <v>1</v>
      </c>
      <c r="G2" s="98">
        <v>1</v>
      </c>
    </row>
    <row r="3" spans="1:7" ht="15.75" customHeight="1" x14ac:dyDescent="0.25">
      <c r="A3" s="5" t="s">
        <v>195</v>
      </c>
      <c r="B3" s="45">
        <v>0</v>
      </c>
      <c r="C3" s="98">
        <v>0.95</v>
      </c>
      <c r="D3" s="56">
        <v>12.008526100307062</v>
      </c>
      <c r="E3" s="56" t="s">
        <v>212</v>
      </c>
      <c r="F3" s="98">
        <v>1</v>
      </c>
      <c r="G3" s="98">
        <v>1</v>
      </c>
    </row>
    <row r="4" spans="1:7" ht="15.75" customHeight="1" x14ac:dyDescent="0.25">
      <c r="A4" s="5" t="s">
        <v>196</v>
      </c>
      <c r="B4" s="98">
        <v>0</v>
      </c>
      <c r="C4" s="98">
        <v>0.95</v>
      </c>
      <c r="D4" s="56">
        <v>8.8894216990788131</v>
      </c>
      <c r="E4" s="56" t="s">
        <v>212</v>
      </c>
      <c r="F4" s="98">
        <v>1</v>
      </c>
      <c r="G4" s="98">
        <v>1</v>
      </c>
    </row>
    <row r="5" spans="1:7" ht="15.75" customHeight="1" x14ac:dyDescent="0.25">
      <c r="A5" s="5" t="s">
        <v>198</v>
      </c>
      <c r="B5" s="98">
        <v>0</v>
      </c>
      <c r="C5" s="98">
        <v>0.95</v>
      </c>
      <c r="D5" s="56">
        <v>0.48</v>
      </c>
      <c r="E5" s="56" t="s">
        <v>212</v>
      </c>
      <c r="F5" s="98">
        <v>1</v>
      </c>
      <c r="G5" s="98">
        <v>1</v>
      </c>
    </row>
    <row r="6" spans="1:7" ht="15.75" customHeight="1" x14ac:dyDescent="0.25">
      <c r="A6" s="5" t="s">
        <v>199</v>
      </c>
      <c r="B6" s="98">
        <v>0</v>
      </c>
      <c r="C6" s="98">
        <v>0.95</v>
      </c>
      <c r="D6" s="56">
        <v>99.99</v>
      </c>
      <c r="E6" s="56" t="s">
        <v>212</v>
      </c>
      <c r="F6" s="98">
        <v>1</v>
      </c>
      <c r="G6" s="98">
        <v>1</v>
      </c>
    </row>
    <row r="7" spans="1:7" ht="15.75" customHeight="1" x14ac:dyDescent="0.25">
      <c r="A7" s="5" t="s">
        <v>200</v>
      </c>
      <c r="B7" s="98">
        <v>0</v>
      </c>
      <c r="C7" s="98">
        <v>0.95</v>
      </c>
      <c r="D7" s="56">
        <v>0.47070171463489502</v>
      </c>
      <c r="E7" s="56" t="s">
        <v>212</v>
      </c>
      <c r="F7" s="98">
        <v>1</v>
      </c>
      <c r="G7" s="98">
        <v>1</v>
      </c>
    </row>
    <row r="8" spans="1:7" ht="15.75" customHeight="1" x14ac:dyDescent="0.25">
      <c r="A8" s="5" t="s">
        <v>201</v>
      </c>
      <c r="B8" s="98">
        <v>0</v>
      </c>
      <c r="C8" s="98">
        <v>0.95</v>
      </c>
      <c r="D8" s="56">
        <v>0.61278763993956276</v>
      </c>
      <c r="E8" s="56" t="s">
        <v>212</v>
      </c>
      <c r="F8" s="98">
        <v>1</v>
      </c>
      <c r="G8" s="98">
        <v>1</v>
      </c>
    </row>
    <row r="9" spans="1:7" ht="15.75" customHeight="1" x14ac:dyDescent="0.25">
      <c r="A9" s="5" t="s">
        <v>202</v>
      </c>
      <c r="B9" s="98">
        <v>0</v>
      </c>
      <c r="C9" s="98">
        <v>0.95</v>
      </c>
      <c r="D9" s="56">
        <v>0.40262538382804508</v>
      </c>
      <c r="E9" s="56" t="s">
        <v>212</v>
      </c>
      <c r="F9" s="98">
        <v>1</v>
      </c>
      <c r="G9" s="98">
        <v>1</v>
      </c>
    </row>
    <row r="10" spans="1:7" ht="15.75" customHeight="1" x14ac:dyDescent="0.25">
      <c r="A10" s="11" t="s">
        <v>203</v>
      </c>
      <c r="B10" s="45">
        <v>0</v>
      </c>
      <c r="C10" s="98">
        <v>0.95</v>
      </c>
      <c r="D10" s="56">
        <v>13.972960063416251</v>
      </c>
      <c r="E10" s="56" t="s">
        <v>212</v>
      </c>
      <c r="F10" s="98">
        <v>1</v>
      </c>
      <c r="G10" s="98">
        <v>1</v>
      </c>
    </row>
    <row r="11" spans="1:7" ht="15.75" customHeight="1" x14ac:dyDescent="0.25">
      <c r="A11" s="11" t="s">
        <v>204</v>
      </c>
      <c r="B11" s="98">
        <v>0</v>
      </c>
      <c r="C11" s="98">
        <v>0.95</v>
      </c>
      <c r="D11" s="56">
        <v>13.972960063416251</v>
      </c>
      <c r="E11" s="56" t="s">
        <v>212</v>
      </c>
      <c r="F11" s="98">
        <v>1</v>
      </c>
      <c r="G11" s="98">
        <v>1</v>
      </c>
    </row>
    <row r="12" spans="1:7" ht="15.75" customHeight="1" x14ac:dyDescent="0.25">
      <c r="A12" s="11" t="s">
        <v>205</v>
      </c>
      <c r="B12" s="98">
        <v>0</v>
      </c>
      <c r="C12" s="98">
        <v>0.95</v>
      </c>
      <c r="D12" s="56">
        <v>13.972960063416251</v>
      </c>
      <c r="E12" s="56" t="s">
        <v>212</v>
      </c>
      <c r="F12" s="98">
        <v>1</v>
      </c>
      <c r="G12" s="98">
        <v>1</v>
      </c>
    </row>
    <row r="13" spans="1:7" ht="15.75" customHeight="1" x14ac:dyDescent="0.25">
      <c r="A13" s="11" t="s">
        <v>206</v>
      </c>
      <c r="B13" s="98">
        <v>0</v>
      </c>
      <c r="C13" s="98">
        <v>0.95</v>
      </c>
      <c r="D13" s="56">
        <v>13.972960063416251</v>
      </c>
      <c r="E13" s="56" t="s">
        <v>212</v>
      </c>
      <c r="F13" s="98">
        <v>1</v>
      </c>
      <c r="G13" s="98">
        <v>1</v>
      </c>
    </row>
    <row r="14" spans="1:7" ht="15.75" customHeight="1" x14ac:dyDescent="0.25">
      <c r="A14" s="5" t="s">
        <v>207</v>
      </c>
      <c r="B14" s="45">
        <v>0</v>
      </c>
      <c r="C14" s="98">
        <v>0.95</v>
      </c>
      <c r="D14" s="56">
        <v>13.972960063416251</v>
      </c>
      <c r="E14" s="56" t="s">
        <v>212</v>
      </c>
      <c r="F14" s="98">
        <v>1</v>
      </c>
      <c r="G14" s="98">
        <v>1</v>
      </c>
    </row>
    <row r="15" spans="1:7" ht="15.75" customHeight="1" x14ac:dyDescent="0.25">
      <c r="A15" s="5" t="s">
        <v>208</v>
      </c>
      <c r="B15" s="98">
        <v>0</v>
      </c>
      <c r="C15" s="98">
        <v>0.95</v>
      </c>
      <c r="D15" s="56">
        <v>13.972960063416251</v>
      </c>
      <c r="E15" s="56" t="s">
        <v>212</v>
      </c>
      <c r="F15" s="98">
        <v>1</v>
      </c>
      <c r="G15" s="98">
        <v>1</v>
      </c>
    </row>
    <row r="16" spans="1:7" ht="15.75" customHeight="1" x14ac:dyDescent="0.25">
      <c r="A16" s="5" t="s">
        <v>209</v>
      </c>
      <c r="B16" s="45">
        <v>0</v>
      </c>
      <c r="C16" s="98">
        <v>0.95</v>
      </c>
      <c r="D16" s="56">
        <v>5.5080133892626542</v>
      </c>
      <c r="E16" s="56" t="s">
        <v>212</v>
      </c>
      <c r="F16" s="98">
        <v>1</v>
      </c>
      <c r="G16" s="98">
        <v>1</v>
      </c>
    </row>
    <row r="17" spans="1:7" ht="15.75" customHeight="1" x14ac:dyDescent="0.25">
      <c r="A17" s="5" t="s">
        <v>210</v>
      </c>
      <c r="B17" s="98">
        <v>0</v>
      </c>
      <c r="C17" s="98">
        <v>0.95</v>
      </c>
      <c r="D17" s="56">
        <v>0.14000000000000001</v>
      </c>
      <c r="E17" s="56" t="s">
        <v>212</v>
      </c>
      <c r="F17" s="98">
        <v>1</v>
      </c>
      <c r="G17" s="98">
        <v>1</v>
      </c>
    </row>
    <row r="18" spans="1:7" ht="15.9" customHeight="1" x14ac:dyDescent="0.25">
      <c r="A18" s="5" t="s">
        <v>180</v>
      </c>
      <c r="B18" s="98">
        <v>0.76700000000000002</v>
      </c>
      <c r="C18" s="98">
        <v>0.95</v>
      </c>
      <c r="D18" s="56">
        <v>8.8894216990788131</v>
      </c>
      <c r="E18" s="56" t="s">
        <v>212</v>
      </c>
      <c r="F18" s="98">
        <v>1</v>
      </c>
      <c r="G18" s="98">
        <v>1</v>
      </c>
    </row>
    <row r="19" spans="1:7" ht="15.75" customHeight="1" x14ac:dyDescent="0.25">
      <c r="A19" s="5" t="s">
        <v>181</v>
      </c>
      <c r="B19" s="98">
        <v>0.36119299999999999</v>
      </c>
      <c r="C19" s="98">
        <v>0.95</v>
      </c>
      <c r="D19" s="56">
        <v>24.839970481111401</v>
      </c>
      <c r="E19" s="56" t="s">
        <v>212</v>
      </c>
      <c r="F19" s="98">
        <v>1</v>
      </c>
      <c r="G19" s="98">
        <v>1</v>
      </c>
    </row>
    <row r="20" spans="1:7" ht="15.75" customHeight="1" x14ac:dyDescent="0.25">
      <c r="A20" s="5" t="s">
        <v>182</v>
      </c>
      <c r="B20" s="98">
        <v>0</v>
      </c>
      <c r="C20" s="98">
        <v>0.95</v>
      </c>
      <c r="D20" s="56">
        <v>99.99</v>
      </c>
      <c r="E20" s="56" t="s">
        <v>212</v>
      </c>
      <c r="F20" s="98">
        <v>1</v>
      </c>
      <c r="G20" s="98">
        <v>1</v>
      </c>
    </row>
    <row r="21" spans="1:7" ht="15.75" customHeight="1" x14ac:dyDescent="0.25">
      <c r="A21" s="5" t="s">
        <v>211</v>
      </c>
      <c r="B21" s="45">
        <v>0</v>
      </c>
      <c r="C21" s="98">
        <v>0.95</v>
      </c>
      <c r="D21" s="56">
        <v>7.48</v>
      </c>
      <c r="E21" s="56" t="s">
        <v>212</v>
      </c>
      <c r="F21" s="98">
        <v>1</v>
      </c>
      <c r="G21" s="98">
        <v>1</v>
      </c>
    </row>
    <row r="22" spans="1:7" ht="15.75" customHeight="1" x14ac:dyDescent="0.25">
      <c r="A22" s="5" t="s">
        <v>213</v>
      </c>
      <c r="B22" s="98">
        <v>0</v>
      </c>
      <c r="C22" s="98">
        <v>0.95</v>
      </c>
      <c r="D22" s="56">
        <v>8.8894216990788131</v>
      </c>
      <c r="E22" s="56" t="s">
        <v>212</v>
      </c>
      <c r="F22" s="98">
        <v>1</v>
      </c>
      <c r="G22" s="98">
        <v>1</v>
      </c>
    </row>
    <row r="23" spans="1:7" ht="15.75" customHeight="1" x14ac:dyDescent="0.25">
      <c r="A23" s="5" t="s">
        <v>214</v>
      </c>
      <c r="B23" s="98">
        <v>0</v>
      </c>
      <c r="C23" s="98">
        <v>0.95</v>
      </c>
      <c r="D23" s="56">
        <v>4.8798255494888956</v>
      </c>
      <c r="E23" s="56" t="s">
        <v>212</v>
      </c>
      <c r="F23" s="98">
        <v>1</v>
      </c>
      <c r="G23" s="98">
        <v>1</v>
      </c>
    </row>
    <row r="24" spans="1:7" ht="15.75" customHeight="1" x14ac:dyDescent="0.25">
      <c r="A24" s="5" t="s">
        <v>217</v>
      </c>
      <c r="B24" s="45">
        <v>0.70705347649884009</v>
      </c>
      <c r="C24" s="98">
        <v>0.95</v>
      </c>
      <c r="D24" s="56">
        <v>99.99</v>
      </c>
      <c r="E24" s="56" t="s">
        <v>212</v>
      </c>
      <c r="F24" s="98">
        <v>1</v>
      </c>
      <c r="G24" s="98">
        <v>1</v>
      </c>
    </row>
    <row r="25" spans="1:7" ht="15.75" customHeight="1" x14ac:dyDescent="0.25">
      <c r="A25" s="5" t="s">
        <v>218</v>
      </c>
      <c r="B25" s="98">
        <v>0</v>
      </c>
      <c r="C25" s="98">
        <v>0.95</v>
      </c>
      <c r="D25" s="56">
        <v>99.99</v>
      </c>
      <c r="E25" s="56" t="s">
        <v>212</v>
      </c>
      <c r="F25" s="98">
        <v>1</v>
      </c>
      <c r="G25" s="98">
        <v>1</v>
      </c>
    </row>
    <row r="26" spans="1:7" ht="15.75" customHeight="1" x14ac:dyDescent="0.25">
      <c r="A26" s="5" t="s">
        <v>219</v>
      </c>
      <c r="B26" s="45">
        <v>0</v>
      </c>
      <c r="C26" s="98">
        <v>0.95</v>
      </c>
      <c r="D26" s="56">
        <v>5.1498336745138182</v>
      </c>
      <c r="E26" s="56" t="s">
        <v>212</v>
      </c>
      <c r="F26" s="98">
        <v>1</v>
      </c>
      <c r="G26" s="98">
        <v>1</v>
      </c>
    </row>
    <row r="27" spans="1:7" ht="15.75" customHeight="1" x14ac:dyDescent="0.25">
      <c r="A27" s="5" t="s">
        <v>220</v>
      </c>
      <c r="B27" s="45">
        <v>0</v>
      </c>
      <c r="C27" s="98">
        <v>0.95</v>
      </c>
      <c r="D27" s="56">
        <v>11.470990276356194</v>
      </c>
      <c r="E27" s="56" t="s">
        <v>212</v>
      </c>
      <c r="F27" s="98">
        <v>1</v>
      </c>
      <c r="G27" s="98">
        <v>1</v>
      </c>
    </row>
    <row r="28" spans="1:7" ht="15.75" customHeight="1" x14ac:dyDescent="0.25">
      <c r="A28" s="5" t="s">
        <v>221</v>
      </c>
      <c r="B28" s="45">
        <v>0.1587344</v>
      </c>
      <c r="C28" s="98">
        <v>0.95</v>
      </c>
      <c r="D28" s="56">
        <v>99.99</v>
      </c>
      <c r="E28" s="56" t="s">
        <v>212</v>
      </c>
      <c r="F28" s="98">
        <v>1</v>
      </c>
      <c r="G28" s="98">
        <v>1</v>
      </c>
    </row>
    <row r="29" spans="1:7" ht="15.75" customHeight="1" x14ac:dyDescent="0.25">
      <c r="A29" s="5" t="s">
        <v>222</v>
      </c>
      <c r="B29" s="45">
        <v>0</v>
      </c>
      <c r="C29" s="98">
        <v>0.95</v>
      </c>
      <c r="D29" s="56">
        <v>193.6128732031849</v>
      </c>
      <c r="E29" s="56" t="s">
        <v>212</v>
      </c>
      <c r="F29" s="98">
        <v>1</v>
      </c>
      <c r="G29" s="98">
        <v>1</v>
      </c>
    </row>
    <row r="30" spans="1:7" ht="15.75" customHeight="1" x14ac:dyDescent="0.25">
      <c r="A30" s="5" t="s">
        <v>233</v>
      </c>
      <c r="B30" s="98">
        <v>0</v>
      </c>
      <c r="C30" s="98">
        <v>0.95</v>
      </c>
      <c r="D30" s="56">
        <v>116.7109232117549</v>
      </c>
      <c r="E30" s="56" t="s">
        <v>212</v>
      </c>
      <c r="F30" s="98">
        <v>1</v>
      </c>
      <c r="G30" s="98">
        <v>1</v>
      </c>
    </row>
    <row r="31" spans="1:7" ht="15.75" customHeight="1" x14ac:dyDescent="0.25">
      <c r="A31" s="5" t="s">
        <v>193</v>
      </c>
      <c r="B31" s="45">
        <v>0</v>
      </c>
      <c r="C31" s="98">
        <v>0.95</v>
      </c>
      <c r="D31" s="56">
        <v>170.92419651995908</v>
      </c>
      <c r="E31" s="56" t="s">
        <v>212</v>
      </c>
      <c r="F31" s="98">
        <v>1</v>
      </c>
      <c r="G31" s="98">
        <v>1</v>
      </c>
    </row>
    <row r="32" spans="1:7" ht="15.75" customHeight="1" x14ac:dyDescent="0.25">
      <c r="A32" s="5" t="s">
        <v>225</v>
      </c>
      <c r="B32" s="45">
        <v>0</v>
      </c>
      <c r="C32" s="98">
        <v>0.95</v>
      </c>
      <c r="D32" s="56">
        <v>1.1057036847492325</v>
      </c>
      <c r="E32" s="56" t="s">
        <v>212</v>
      </c>
      <c r="F32" s="98">
        <v>1</v>
      </c>
      <c r="G32" s="98">
        <v>1</v>
      </c>
    </row>
    <row r="33" spans="1:7" ht="15.75" customHeight="1" x14ac:dyDescent="0.25">
      <c r="A33" s="5" t="s">
        <v>226</v>
      </c>
      <c r="B33" s="45">
        <v>0</v>
      </c>
      <c r="C33" s="98">
        <v>0.95</v>
      </c>
      <c r="D33" s="56">
        <v>99.99</v>
      </c>
      <c r="E33" s="56" t="s">
        <v>212</v>
      </c>
      <c r="F33" s="98">
        <v>1</v>
      </c>
      <c r="G33" s="98">
        <v>1</v>
      </c>
    </row>
    <row r="34" spans="1:7" ht="15.75" customHeight="1" x14ac:dyDescent="0.25">
      <c r="A34" s="5" t="s">
        <v>227</v>
      </c>
      <c r="B34" s="45">
        <v>0</v>
      </c>
      <c r="C34" s="98">
        <v>0.95</v>
      </c>
      <c r="D34" s="56">
        <v>99.99</v>
      </c>
      <c r="E34" s="56" t="s">
        <v>212</v>
      </c>
      <c r="F34" s="98">
        <v>1</v>
      </c>
      <c r="G34" s="98">
        <v>1</v>
      </c>
    </row>
    <row r="35" spans="1:7" ht="15.75" customHeight="1" x14ac:dyDescent="0.25">
      <c r="A35" s="5" t="s">
        <v>228</v>
      </c>
      <c r="B35" s="98">
        <v>0</v>
      </c>
      <c r="C35" s="98">
        <v>0.95</v>
      </c>
      <c r="D35" s="56">
        <v>99.99</v>
      </c>
      <c r="E35" s="56" t="s">
        <v>212</v>
      </c>
      <c r="F35" s="98">
        <v>1</v>
      </c>
      <c r="G35" s="98">
        <v>1</v>
      </c>
    </row>
    <row r="36" spans="1:7" ht="15.75" customHeight="1" x14ac:dyDescent="0.25">
      <c r="A36" s="5" t="s">
        <v>229</v>
      </c>
      <c r="B36" s="45">
        <v>0</v>
      </c>
      <c r="C36" s="98">
        <v>0.95</v>
      </c>
      <c r="D36" s="56">
        <v>99.99</v>
      </c>
      <c r="E36" s="56" t="s">
        <v>212</v>
      </c>
      <c r="F36" s="98">
        <v>1</v>
      </c>
      <c r="G36" s="98">
        <v>1</v>
      </c>
    </row>
    <row r="37" spans="1:7" ht="15.75" customHeight="1" x14ac:dyDescent="0.25">
      <c r="A37" s="5" t="s">
        <v>230</v>
      </c>
      <c r="B37" s="45">
        <v>0.95352400000000004</v>
      </c>
      <c r="C37" s="98">
        <v>0.95</v>
      </c>
      <c r="D37" s="56">
        <v>99.99</v>
      </c>
      <c r="E37" s="56" t="s">
        <v>212</v>
      </c>
      <c r="F37" s="98">
        <v>1</v>
      </c>
      <c r="G37" s="98">
        <v>1</v>
      </c>
    </row>
    <row r="38" spans="1:7" ht="15.75" customHeight="1" x14ac:dyDescent="0.25">
      <c r="A38" s="5" t="s">
        <v>231</v>
      </c>
      <c r="B38" s="45">
        <v>0</v>
      </c>
      <c r="C38" s="98">
        <v>0.95</v>
      </c>
      <c r="D38" s="56">
        <v>2.6374181166837261</v>
      </c>
      <c r="E38" s="56" t="s">
        <v>212</v>
      </c>
      <c r="F38" s="98">
        <v>1</v>
      </c>
      <c r="G38" s="98">
        <v>1</v>
      </c>
    </row>
    <row r="39" spans="1:7" ht="15.75" customHeight="1" x14ac:dyDescent="0.25">
      <c r="A39" s="5" t="s">
        <v>232</v>
      </c>
      <c r="B39" s="45">
        <v>0</v>
      </c>
      <c r="C39" s="98">
        <v>0.95</v>
      </c>
      <c r="D39" s="56">
        <v>3.43</v>
      </c>
      <c r="E39" s="56" t="s">
        <v>212</v>
      </c>
      <c r="F39" s="98">
        <v>1</v>
      </c>
      <c r="G39" s="98">
        <v>1</v>
      </c>
    </row>
  </sheetData>
  <sheetProtection algorithmName="SHA-512" hashValue="Xt42lLZ+f9bVNHeEyeeJ7kyAGx64C6cPSgYoz4/hxe5V488dIUYKi0XvJH+igZNttQnenlDlPGZhl+GkzM7cOQ==" saltValue="yKh2GotAOTlL9dC+0XU7R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workbookViewId="0">
      <selection activeCell="B9" sqref="B9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192</v>
      </c>
      <c r="B1" s="4" t="s">
        <v>234</v>
      </c>
      <c r="C1" s="4" t="s">
        <v>235</v>
      </c>
    </row>
    <row r="2" spans="1:3" x14ac:dyDescent="0.25">
      <c r="A2" s="57" t="s">
        <v>207</v>
      </c>
      <c r="B2" s="47" t="s">
        <v>220</v>
      </c>
      <c r="C2" s="47"/>
    </row>
    <row r="3" spans="1:3" x14ac:dyDescent="0.25">
      <c r="A3" s="57" t="s">
        <v>208</v>
      </c>
      <c r="B3" s="47" t="s">
        <v>220</v>
      </c>
      <c r="C3" s="47"/>
    </row>
    <row r="4" spans="1:3" x14ac:dyDescent="0.25">
      <c r="A4" s="57" t="s">
        <v>222</v>
      </c>
      <c r="B4" s="47" t="s">
        <v>213</v>
      </c>
      <c r="C4" s="47"/>
    </row>
    <row r="5" spans="1:3" x14ac:dyDescent="0.25">
      <c r="A5" s="57" t="s">
        <v>222</v>
      </c>
      <c r="B5" s="47" t="s">
        <v>233</v>
      </c>
      <c r="C5" s="47"/>
    </row>
    <row r="6" spans="1:3" x14ac:dyDescent="0.25">
      <c r="A6" s="57" t="s">
        <v>219</v>
      </c>
      <c r="B6" s="58" t="s">
        <v>233</v>
      </c>
      <c r="C6" s="58"/>
    </row>
    <row r="7" spans="1:3" x14ac:dyDescent="0.25">
      <c r="A7" s="57" t="s">
        <v>232</v>
      </c>
      <c r="B7" s="58" t="s">
        <v>233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ge4q6Xh1qCk6YfbWEaJfriBvh8u6CTqc08vGCnXmsZjmdDb/E7NEgGrbt4skOHMR2ONt9tjQ7p4/OXs/DX4+pw==" saltValue="TCQ98BiWckD21x/kp9eSOg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192</v>
      </c>
    </row>
    <row r="2" spans="1:1" x14ac:dyDescent="0.25">
      <c r="A2" s="33" t="s">
        <v>199</v>
      </c>
    </row>
    <row r="3" spans="1:1" x14ac:dyDescent="0.25">
      <c r="A3" s="33" t="s">
        <v>209</v>
      </c>
    </row>
    <row r="4" spans="1:1" x14ac:dyDescent="0.25">
      <c r="A4" s="33" t="s">
        <v>214</v>
      </c>
    </row>
    <row r="5" spans="1:1" x14ac:dyDescent="0.25">
      <c r="A5" s="33" t="s">
        <v>226</v>
      </c>
    </row>
    <row r="6" spans="1:1" x14ac:dyDescent="0.25">
      <c r="A6" s="33" t="s">
        <v>227</v>
      </c>
    </row>
    <row r="7" spans="1:1" x14ac:dyDescent="0.25">
      <c r="A7" s="33" t="s">
        <v>228</v>
      </c>
    </row>
    <row r="8" spans="1:1" x14ac:dyDescent="0.25">
      <c r="A8" s="33" t="s">
        <v>229</v>
      </c>
    </row>
    <row r="9" spans="1:1" x14ac:dyDescent="0.25">
      <c r="A9" s="33" t="s">
        <v>230</v>
      </c>
    </row>
    <row r="10" spans="1:1" x14ac:dyDescent="0.25">
      <c r="A10" s="33" t="s">
        <v>193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DgwQi3yzc6I2pBMFbyl9BB0j322+otkBK6WpKKpSd90Q5A419Sbp44A7n/pih99pUe4vUJ0QMtcHPNwSu3EppQ==" saltValue="ZnlNlTjAeQJ7pyZgtxtdiw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237</v>
      </c>
      <c r="B1" t="s">
        <v>97</v>
      </c>
      <c r="C1" t="s">
        <v>93</v>
      </c>
      <c r="D1" t="s">
        <v>96</v>
      </c>
      <c r="E1" t="s">
        <v>94</v>
      </c>
      <c r="F1" t="s">
        <v>95</v>
      </c>
    </row>
    <row r="2" spans="1:6" ht="15.75" customHeight="1" x14ac:dyDescent="0.25">
      <c r="A2" s="3" t="s">
        <v>103</v>
      </c>
      <c r="B2" s="21">
        <f>'Entradas de población-año base'!C51</f>
        <v>2.9</v>
      </c>
      <c r="C2" s="21">
        <f>'Entradas de población-año base'!C52</f>
        <v>2.9</v>
      </c>
      <c r="D2" s="21">
        <f>'Entradas de población-año base'!C53</f>
        <v>2.9</v>
      </c>
      <c r="E2" s="21">
        <f>'Entradas de población-año base'!C54</f>
        <v>2.9</v>
      </c>
      <c r="F2" s="21">
        <f>'Entradas de población-año base'!C55</f>
        <v>2.9</v>
      </c>
    </row>
    <row r="3" spans="1:6" ht="15.75" customHeight="1" x14ac:dyDescent="0.25">
      <c r="A3" s="3" t="s">
        <v>6</v>
      </c>
      <c r="B3" s="21">
        <f>frac_mam_1month * 2.6</f>
        <v>0.10140597999999999</v>
      </c>
      <c r="C3" s="21">
        <f>frac_mam_1_5months * 2.6</f>
        <v>0.10140597999999999</v>
      </c>
      <c r="D3" s="21">
        <f>frac_mam_6_11months * 2.6</f>
        <v>7.0463640000000008E-2</v>
      </c>
      <c r="E3" s="21">
        <f>frac_mam_12_23months * 2.6</f>
        <v>1.343602E-2</v>
      </c>
      <c r="F3" s="21">
        <f>frac_mam_24_59months * 2.6</f>
        <v>1.3436539999999999E-2</v>
      </c>
    </row>
    <row r="4" spans="1:6" ht="15.75" customHeight="1" x14ac:dyDescent="0.25">
      <c r="A4" s="3" t="s">
        <v>236</v>
      </c>
      <c r="B4" s="21">
        <f>frac_sam_1month * 2.6</f>
        <v>7.0101200000000002E-2</v>
      </c>
      <c r="C4" s="21">
        <f>frac_sam_1_5months * 2.6</f>
        <v>7.0101200000000002E-2</v>
      </c>
      <c r="D4" s="21">
        <f>frac_sam_6_11months * 2.6</f>
        <v>7.0146700000000006E-2</v>
      </c>
      <c r="E4" s="21">
        <f>frac_sam_12_23months * 2.6</f>
        <v>2.4184420000000005E-2</v>
      </c>
      <c r="F4" s="21">
        <f>frac_sam_24_59months * 2.6</f>
        <v>4.5931599999999998E-3</v>
      </c>
    </row>
  </sheetData>
  <sheetProtection algorithmName="SHA-512" hashValue="MfdV0S1VkIBGNUkUhwuh4mkkbkeZ6lJSWk4dsM0BKYbHu0qgvNyQcTtlZGozYfMCphqymoHzpYkaXcxuN4ppVw==" saltValue="JgaJMg81vknDKL/rQuqkng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H15" sqref="H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">
      <c r="A2" s="4" t="s">
        <v>102</v>
      </c>
      <c r="B2" s="5" t="s">
        <v>196</v>
      </c>
      <c r="C2" s="60">
        <v>0</v>
      </c>
      <c r="D2" s="60">
        <v>0</v>
      </c>
      <c r="E2" s="60">
        <f>food_insecure</f>
        <v>0.14399999999999999</v>
      </c>
      <c r="F2" s="60">
        <f>food_insecure</f>
        <v>0.14399999999999999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198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211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213</v>
      </c>
      <c r="C5" s="60">
        <v>0</v>
      </c>
      <c r="D5" s="60">
        <v>0</v>
      </c>
      <c r="E5" s="60">
        <f>food_insecure</f>
        <v>0.14399999999999999</v>
      </c>
      <c r="F5" s="60">
        <f>food_insecure</f>
        <v>0.14399999999999999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219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221</v>
      </c>
      <c r="C7" s="60">
        <f>diarrhoea_1mo*frac_diarrhea_severe</f>
        <v>5.9999999999999984E-2</v>
      </c>
      <c r="D7" s="60">
        <f>diarrhoea_1_5mo*frac_diarrhea_severe</f>
        <v>5.9999999999999984E-2</v>
      </c>
      <c r="E7" s="60">
        <f>diarrhoea_6_11mo*frac_diarrhea_severe</f>
        <v>5.9999999999999984E-2</v>
      </c>
      <c r="F7" s="60">
        <f>diarrhoea_12_23mo*frac_diarrhea_severe</f>
        <v>5.9999999999999984E-2</v>
      </c>
      <c r="G7" s="60">
        <f>diarrhoea_24_59mo*frac_diarrhea_severe</f>
        <v>5.9999999999999984E-2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222</v>
      </c>
      <c r="C8" s="60">
        <v>0</v>
      </c>
      <c r="D8" s="60">
        <v>0</v>
      </c>
      <c r="E8" s="60">
        <f>food_insecure</f>
        <v>0.14399999999999999</v>
      </c>
      <c r="F8" s="60">
        <f>food_insecure</f>
        <v>0.14399999999999999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233</v>
      </c>
      <c r="C9" s="60">
        <v>0</v>
      </c>
      <c r="D9" s="60">
        <v>0</v>
      </c>
      <c r="E9" s="60">
        <f>food_insecure</f>
        <v>0.14399999999999999</v>
      </c>
      <c r="F9" s="60">
        <f>food_insecure</f>
        <v>0.14399999999999999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193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225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231</v>
      </c>
      <c r="C12" s="60">
        <f>diarrhoea_1mo*frac_diarrhea_severe</f>
        <v>5.9999999999999984E-2</v>
      </c>
      <c r="D12" s="60">
        <f>diarrhoea_1_5mo*frac_diarrhea_severe</f>
        <v>5.9999999999999984E-2</v>
      </c>
      <c r="E12" s="60">
        <f>diarrhoea_6_11mo*frac_diarrhea_severe</f>
        <v>5.9999999999999984E-2</v>
      </c>
      <c r="F12" s="60">
        <f>diarrhoea_12_23mo*frac_diarrhea_severe</f>
        <v>5.9999999999999984E-2</v>
      </c>
      <c r="G12" s="60">
        <f>diarrhoea_24_59mo*frac_diarrhea_severe</f>
        <v>5.9999999999999984E-2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232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123</v>
      </c>
      <c r="B15" s="9" t="s">
        <v>194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0.14399999999999999</v>
      </c>
      <c r="I15" s="60">
        <f t="shared" si="0"/>
        <v>0.14399999999999999</v>
      </c>
      <c r="J15" s="60">
        <f t="shared" si="0"/>
        <v>0.14399999999999999</v>
      </c>
      <c r="K15" s="60">
        <f t="shared" si="0"/>
        <v>0.14399999999999999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195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0.14399999999999999</v>
      </c>
      <c r="I16" s="60">
        <f t="shared" si="0"/>
        <v>0.14399999999999999</v>
      </c>
      <c r="J16" s="60">
        <f t="shared" si="0"/>
        <v>0.14399999999999999</v>
      </c>
      <c r="K16" s="60">
        <f t="shared" si="0"/>
        <v>0.14399999999999999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207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208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209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217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218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220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240</v>
      </c>
      <c r="B24" s="11" t="s">
        <v>199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0.11600000000000001</v>
      </c>
      <c r="M24" s="60">
        <f>famplan_unmet_need</f>
        <v>0.11600000000000001</v>
      </c>
      <c r="N24" s="60">
        <f>famplan_unmet_need</f>
        <v>0.11600000000000001</v>
      </c>
      <c r="O24" s="60">
        <f>famplan_unmet_need</f>
        <v>0.11600000000000001</v>
      </c>
    </row>
    <row r="25" spans="1:15" ht="15.75" customHeight="1" x14ac:dyDescent="0.25">
      <c r="B25" s="11" t="s">
        <v>203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7.2602821536000006E-2</v>
      </c>
      <c r="M25" s="60">
        <f>(1-food_insecure)*(0.49)+food_insecure*(0.7)</f>
        <v>0.52023999999999992</v>
      </c>
      <c r="N25" s="60">
        <f>(1-food_insecure)*(0.49)+food_insecure*(0.7)</f>
        <v>0.52023999999999992</v>
      </c>
      <c r="O25" s="60">
        <f>(1-food_insecure)*(0.49)+food_insecure*(0.7)</f>
        <v>0.52023999999999992</v>
      </c>
    </row>
    <row r="26" spans="1:15" ht="15.75" customHeight="1" x14ac:dyDescent="0.25">
      <c r="B26" s="11" t="s">
        <v>204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3.1115494944000007E-2</v>
      </c>
      <c r="M26" s="60">
        <f>(1-food_insecure)*(0.21)+food_insecure*(0.3)</f>
        <v>0.22295999999999999</v>
      </c>
      <c r="N26" s="60">
        <f>(1-food_insecure)*(0.21)+food_insecure*(0.3)</f>
        <v>0.22295999999999999</v>
      </c>
      <c r="O26" s="60">
        <f>(1-food_insecure)*(0.21)+food_insecure*(0.3)</f>
        <v>0.22295999999999999</v>
      </c>
    </row>
    <row r="27" spans="1:15" ht="15.75" customHeight="1" x14ac:dyDescent="0.25">
      <c r="B27" s="11" t="s">
        <v>205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3.5838083520000001E-2</v>
      </c>
      <c r="M27" s="60">
        <f>(1-food_insecure)*(0.3)</f>
        <v>0.25679999999999997</v>
      </c>
      <c r="N27" s="60">
        <f>(1-food_insecure)*(0.3)</f>
        <v>0.25679999999999997</v>
      </c>
      <c r="O27" s="60">
        <f>(1-food_insecure)*(0.3)</f>
        <v>0.25679999999999997</v>
      </c>
    </row>
    <row r="28" spans="1:15" ht="15.75" customHeight="1" x14ac:dyDescent="0.25">
      <c r="B28" s="11" t="s">
        <v>206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0.86044359999999986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239</v>
      </c>
      <c r="B30" s="5" t="s">
        <v>200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201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202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210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214</v>
      </c>
      <c r="C34" s="60">
        <f t="shared" ref="C34:O34" si="4">frac_malaria_risk</f>
        <v>0.01</v>
      </c>
      <c r="D34" s="60">
        <f t="shared" si="4"/>
        <v>0.01</v>
      </c>
      <c r="E34" s="60">
        <f t="shared" si="4"/>
        <v>0.01</v>
      </c>
      <c r="F34" s="60">
        <f t="shared" si="4"/>
        <v>0.01</v>
      </c>
      <c r="G34" s="60">
        <f t="shared" si="4"/>
        <v>0.01</v>
      </c>
      <c r="H34" s="60">
        <f t="shared" si="4"/>
        <v>0.01</v>
      </c>
      <c r="I34" s="60">
        <f t="shared" si="4"/>
        <v>0.01</v>
      </c>
      <c r="J34" s="60">
        <f t="shared" si="4"/>
        <v>0.01</v>
      </c>
      <c r="K34" s="60">
        <f t="shared" si="4"/>
        <v>0.01</v>
      </c>
      <c r="L34" s="60">
        <f t="shared" si="4"/>
        <v>0.01</v>
      </c>
      <c r="M34" s="60">
        <f t="shared" si="4"/>
        <v>0.01</v>
      </c>
      <c r="N34" s="60">
        <f t="shared" si="4"/>
        <v>0.01</v>
      </c>
      <c r="O34" s="60">
        <f t="shared" si="4"/>
        <v>0.01</v>
      </c>
    </row>
    <row r="35" spans="2:15" ht="15.75" customHeight="1" x14ac:dyDescent="0.25">
      <c r="B35" s="9" t="s">
        <v>226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227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228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229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230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ZEql9L1kWCCAcwWKDhUCvGxiKLoU6ycGOfwd0Ewbv9WeVeeIbpI3I9j2ov+H6B32IIvA/UlApNwRhRkZaGMOLA==" saltValue="dfUZpUk+gphNNPrbAa+ptQ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212</v>
      </c>
    </row>
    <row r="2" spans="1:1" x14ac:dyDescent="0.25">
      <c r="A2" s="8" t="s">
        <v>242</v>
      </c>
    </row>
    <row r="3" spans="1:1" x14ac:dyDescent="0.25">
      <c r="A3" s="8" t="s">
        <v>241</v>
      </c>
    </row>
    <row r="4" spans="1:1" x14ac:dyDescent="0.25">
      <c r="A4" s="8" t="s">
        <v>243</v>
      </c>
    </row>
  </sheetData>
  <sheetProtection algorithmName="SHA-512" hashValue="WyIg8RmZGeaVx4JPqHjWE2Gc1kO9wIkn6e1BJS7QltwymtN/rdCmHLU1ZqsIsYymHi3jB25nqt0fVvZRN5yVsQ==" saltValue="/ZzHbMEBXEpJED/ACSupDg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253</v>
      </c>
      <c r="B1" s="4" t="s">
        <v>246</v>
      </c>
      <c r="C1" s="4" t="s">
        <v>257</v>
      </c>
      <c r="D1" s="4" t="s">
        <v>245</v>
      </c>
      <c r="E1" s="4" t="s">
        <v>255</v>
      </c>
    </row>
    <row r="2" spans="1:5" ht="14" customHeight="1" x14ac:dyDescent="0.3">
      <c r="A2" s="28" t="s">
        <v>244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252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247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251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250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254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256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248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249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NoPFeaCfXSRFhHabhEX/HFQsRypJzcH3N4laIm1EdwrSa6ne7QP4hh/XAZFZ8gFpvFU80HzPQOY+atN4vkw7fw==" saltValue="V+nOxJax6ZarUSry3DRceg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5" sqref="H15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5">
      <c r="A2" s="4" t="s">
        <v>102</v>
      </c>
      <c r="B2" s="5" t="s">
        <v>196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198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180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181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182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211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213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219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221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222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233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193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225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231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232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123</v>
      </c>
      <c r="B18" s="5" t="s">
        <v>194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195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207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208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209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217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218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220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240</v>
      </c>
      <c r="B27" s="5" t="s">
        <v>199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203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204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205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206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239</v>
      </c>
      <c r="B33" s="5" t="s">
        <v>200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201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202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210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214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226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227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228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229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230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sCR4LViEmvX+k4i71+vJ0j0o+xTzP4Hop5zyHRpGijFqpXTI93hIBl3/4XaLRAdDvu+AFFl9DiWR9mXncv0Myg==" saltValue="VVFWRsweOWeEtH3uq3S5rQ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workbookViewId="0">
      <selection activeCell="H15" sqref="H15"/>
    </sheetView>
  </sheetViews>
  <sheetFormatPr defaultColWidth="12.7265625" defaultRowHeight="12.5" x14ac:dyDescent="0.25"/>
  <cols>
    <col min="1" max="1" width="58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192</v>
      </c>
      <c r="B1" s="108" t="s">
        <v>260</v>
      </c>
      <c r="C1" s="108" t="s">
        <v>124</v>
      </c>
      <c r="D1" s="108" t="s">
        <v>261</v>
      </c>
      <c r="E1" s="108" t="s">
        <v>262</v>
      </c>
      <c r="F1" s="108" t="s">
        <v>142</v>
      </c>
      <c r="G1" s="108" t="s">
        <v>103</v>
      </c>
      <c r="H1" s="108" t="s">
        <v>56</v>
      </c>
      <c r="I1" s="108" t="s">
        <v>259</v>
      </c>
      <c r="J1" s="108" t="s">
        <v>41</v>
      </c>
      <c r="K1" s="108" t="s">
        <v>258</v>
      </c>
      <c r="L1" s="108" t="s">
        <v>263</v>
      </c>
    </row>
    <row r="2" spans="1:12" x14ac:dyDescent="0.25">
      <c r="A2" s="115" t="s">
        <v>194</v>
      </c>
      <c r="B2" s="116"/>
      <c r="C2" s="116"/>
      <c r="D2" s="116"/>
      <c r="E2" s="116"/>
      <c r="F2" s="116"/>
      <c r="G2" s="116"/>
      <c r="H2" s="116"/>
      <c r="I2" s="116" t="s">
        <v>5</v>
      </c>
      <c r="J2" s="116"/>
      <c r="K2" s="116"/>
      <c r="L2" s="116"/>
    </row>
    <row r="3" spans="1:12" x14ac:dyDescent="0.25">
      <c r="A3" s="115" t="s">
        <v>195</v>
      </c>
      <c r="B3" s="116"/>
      <c r="C3" s="116"/>
      <c r="D3" s="116"/>
      <c r="E3" s="116"/>
      <c r="F3" s="116"/>
      <c r="G3" s="116"/>
      <c r="H3" s="116" t="s">
        <v>5</v>
      </c>
      <c r="I3" s="116" t="s">
        <v>5</v>
      </c>
      <c r="J3" s="116"/>
      <c r="K3" s="116"/>
      <c r="L3" s="116"/>
    </row>
    <row r="4" spans="1:12" x14ac:dyDescent="0.25">
      <c r="A4" s="115" t="s">
        <v>196</v>
      </c>
      <c r="B4" s="116" t="s">
        <v>5</v>
      </c>
      <c r="C4" s="116"/>
      <c r="D4" s="116" t="s">
        <v>5</v>
      </c>
      <c r="E4" s="116"/>
      <c r="F4" s="116"/>
      <c r="G4" s="116"/>
      <c r="H4" s="116"/>
      <c r="I4" s="116"/>
      <c r="J4" s="116"/>
      <c r="K4" s="116"/>
      <c r="L4" s="116"/>
    </row>
    <row r="5" spans="1:12" x14ac:dyDescent="0.25">
      <c r="A5" s="115" t="s">
        <v>198</v>
      </c>
      <c r="B5" s="116"/>
      <c r="C5" s="116" t="s">
        <v>5</v>
      </c>
      <c r="D5" s="116"/>
      <c r="E5" s="116"/>
      <c r="F5" s="116"/>
      <c r="G5" s="116"/>
      <c r="H5" s="116"/>
      <c r="I5" s="116"/>
      <c r="J5" s="116"/>
      <c r="K5" s="116"/>
      <c r="L5" s="116"/>
    </row>
    <row r="6" spans="1:12" x14ac:dyDescent="0.25">
      <c r="A6" s="115" t="s">
        <v>199</v>
      </c>
      <c r="B6" s="116"/>
      <c r="C6" s="116"/>
      <c r="D6" s="116"/>
      <c r="E6" s="116"/>
      <c r="F6" s="116"/>
      <c r="G6" s="116"/>
      <c r="H6" s="116"/>
      <c r="I6" s="116"/>
      <c r="J6" s="116" t="s">
        <v>5</v>
      </c>
      <c r="K6" s="116" t="s">
        <v>5</v>
      </c>
      <c r="L6" s="116"/>
    </row>
    <row r="7" spans="1:12" x14ac:dyDescent="0.25">
      <c r="A7" s="115" t="s">
        <v>200</v>
      </c>
      <c r="B7" s="116"/>
      <c r="C7" s="116" t="s">
        <v>5</v>
      </c>
      <c r="D7" s="116"/>
      <c r="E7" s="116"/>
      <c r="F7" s="116"/>
      <c r="G7" s="116"/>
      <c r="H7" s="116" t="s">
        <v>5</v>
      </c>
      <c r="I7" s="116"/>
      <c r="J7" s="116"/>
      <c r="K7" s="116"/>
      <c r="L7" s="116"/>
    </row>
    <row r="8" spans="1:12" x14ac:dyDescent="0.25">
      <c r="A8" s="115" t="s">
        <v>201</v>
      </c>
      <c r="B8" s="116"/>
      <c r="C8" s="116" t="s">
        <v>5</v>
      </c>
      <c r="D8" s="116"/>
      <c r="E8" s="116"/>
      <c r="F8" s="116"/>
      <c r="G8" s="116"/>
      <c r="H8" s="116" t="s">
        <v>5</v>
      </c>
      <c r="I8" s="116"/>
      <c r="J8" s="116"/>
      <c r="K8" s="116"/>
      <c r="L8" s="116"/>
    </row>
    <row r="9" spans="1:12" x14ac:dyDescent="0.25">
      <c r="A9" s="115" t="s">
        <v>202</v>
      </c>
      <c r="B9" s="116"/>
      <c r="C9" s="116" t="s">
        <v>5</v>
      </c>
      <c r="D9" s="116"/>
      <c r="E9" s="116"/>
      <c r="F9" s="116"/>
      <c r="G9" s="116"/>
      <c r="H9" s="116" t="s">
        <v>5</v>
      </c>
      <c r="I9" s="116"/>
      <c r="J9" s="116"/>
      <c r="K9" s="116"/>
      <c r="L9" s="116"/>
    </row>
    <row r="10" spans="1:12" x14ac:dyDescent="0.25">
      <c r="A10" s="115" t="s">
        <v>203</v>
      </c>
      <c r="B10" s="116"/>
      <c r="C10" s="116" t="s">
        <v>5</v>
      </c>
      <c r="D10" s="116"/>
      <c r="E10" s="116"/>
      <c r="F10" s="116"/>
      <c r="G10" s="116"/>
      <c r="H10" s="116"/>
      <c r="I10" s="116"/>
      <c r="J10" s="116"/>
      <c r="K10" s="116"/>
      <c r="L10" s="116"/>
    </row>
    <row r="11" spans="1:12" x14ac:dyDescent="0.25">
      <c r="A11" s="115" t="s">
        <v>204</v>
      </c>
      <c r="B11" s="116"/>
      <c r="C11" s="116" t="s">
        <v>5</v>
      </c>
      <c r="D11" s="116"/>
      <c r="E11" s="116"/>
      <c r="F11" s="116"/>
      <c r="G11" s="116"/>
      <c r="H11" s="116"/>
      <c r="I11" s="116"/>
      <c r="J11" s="116"/>
      <c r="K11" s="116"/>
      <c r="L11" s="116"/>
    </row>
    <row r="12" spans="1:12" x14ac:dyDescent="0.25">
      <c r="A12" s="115" t="s">
        <v>205</v>
      </c>
      <c r="B12" s="116"/>
      <c r="C12" s="116" t="s">
        <v>5</v>
      </c>
      <c r="D12" s="116"/>
      <c r="E12" s="116"/>
      <c r="F12" s="116"/>
      <c r="G12" s="116"/>
      <c r="H12" s="116"/>
      <c r="I12" s="116"/>
      <c r="J12" s="116"/>
      <c r="K12" s="116"/>
      <c r="L12" s="116"/>
    </row>
    <row r="13" spans="1:12" x14ac:dyDescent="0.25">
      <c r="A13" s="115" t="s">
        <v>206</v>
      </c>
      <c r="B13" s="116"/>
      <c r="C13" s="116" t="s">
        <v>5</v>
      </c>
      <c r="D13" s="116"/>
      <c r="E13" s="116"/>
      <c r="F13" s="116"/>
      <c r="G13" s="116"/>
      <c r="H13" s="116"/>
      <c r="I13" s="116"/>
      <c r="J13" s="116"/>
      <c r="K13" s="116"/>
      <c r="L13" s="116"/>
    </row>
    <row r="14" spans="1:12" x14ac:dyDescent="0.25">
      <c r="A14" s="117" t="s">
        <v>207</v>
      </c>
      <c r="B14" s="116"/>
      <c r="C14" s="116" t="s">
        <v>5</v>
      </c>
      <c r="D14" s="116"/>
      <c r="E14" s="116"/>
      <c r="F14" s="116"/>
      <c r="G14" s="116"/>
      <c r="H14" s="116"/>
      <c r="I14" s="116" t="s">
        <v>5</v>
      </c>
      <c r="J14" s="116"/>
      <c r="K14" s="116"/>
      <c r="L14" s="116"/>
    </row>
    <row r="15" spans="1:12" x14ac:dyDescent="0.25">
      <c r="A15" s="117" t="s">
        <v>208</v>
      </c>
      <c r="B15" s="116"/>
      <c r="C15" s="116" t="s">
        <v>5</v>
      </c>
      <c r="D15" s="116"/>
      <c r="E15" s="116"/>
      <c r="F15" s="116"/>
      <c r="G15" s="116"/>
      <c r="H15" s="116"/>
      <c r="I15" s="116" t="s">
        <v>5</v>
      </c>
      <c r="J15" s="116"/>
      <c r="K15" s="116"/>
      <c r="L15" s="116"/>
    </row>
    <row r="16" spans="1:12" x14ac:dyDescent="0.25">
      <c r="A16" s="115" t="s">
        <v>209</v>
      </c>
      <c r="B16" s="116"/>
      <c r="C16" s="116" t="s">
        <v>5</v>
      </c>
      <c r="D16" s="116"/>
      <c r="E16" s="116"/>
      <c r="F16" s="116"/>
      <c r="G16" s="116"/>
      <c r="H16" s="116" t="s">
        <v>5</v>
      </c>
      <c r="I16" s="116" t="s">
        <v>5</v>
      </c>
      <c r="J16" s="116"/>
      <c r="K16" s="116"/>
      <c r="L16" s="116"/>
    </row>
    <row r="17" spans="1:12" x14ac:dyDescent="0.25">
      <c r="A17" s="115" t="s">
        <v>210</v>
      </c>
      <c r="B17" s="116"/>
      <c r="C17" s="116" t="s">
        <v>5</v>
      </c>
      <c r="D17" s="116"/>
      <c r="E17" s="116"/>
      <c r="F17" s="116"/>
      <c r="G17" s="116"/>
      <c r="H17" s="116"/>
      <c r="I17" s="116"/>
      <c r="J17" s="116"/>
      <c r="K17" s="116"/>
      <c r="L17" s="116"/>
    </row>
    <row r="18" spans="1:12" x14ac:dyDescent="0.25">
      <c r="A18" s="115" t="s">
        <v>180</v>
      </c>
      <c r="B18" s="116" t="s">
        <v>5</v>
      </c>
      <c r="C18" s="116"/>
      <c r="D18" s="116"/>
      <c r="E18" s="116"/>
      <c r="F18" s="116" t="s">
        <v>5</v>
      </c>
      <c r="G18" s="116"/>
      <c r="H18" s="116"/>
      <c r="I18" s="116"/>
      <c r="J18" s="116"/>
      <c r="K18" s="116"/>
      <c r="L18" s="116"/>
    </row>
    <row r="19" spans="1:12" x14ac:dyDescent="0.25">
      <c r="A19" s="115" t="s">
        <v>181</v>
      </c>
      <c r="B19" s="116" t="s">
        <v>5</v>
      </c>
      <c r="C19" s="116"/>
      <c r="D19" s="116"/>
      <c r="E19" s="116"/>
      <c r="F19" s="116" t="s">
        <v>5</v>
      </c>
      <c r="G19" s="116"/>
      <c r="H19" s="116"/>
      <c r="I19" s="116"/>
      <c r="J19" s="116"/>
      <c r="K19" s="116"/>
      <c r="L19" s="116"/>
    </row>
    <row r="20" spans="1:12" x14ac:dyDescent="0.25">
      <c r="A20" s="115" t="s">
        <v>182</v>
      </c>
      <c r="B20" s="116" t="s">
        <v>5</v>
      </c>
      <c r="C20" s="116"/>
      <c r="D20" s="116"/>
      <c r="E20" s="116"/>
      <c r="F20" s="116" t="s">
        <v>5</v>
      </c>
      <c r="G20" s="116"/>
      <c r="H20" s="116"/>
      <c r="I20" s="116"/>
      <c r="J20" s="116"/>
      <c r="K20" s="116"/>
      <c r="L20" s="116"/>
    </row>
    <row r="21" spans="1:12" x14ac:dyDescent="0.25">
      <c r="A21" s="115" t="s">
        <v>211</v>
      </c>
      <c r="B21" s="116"/>
      <c r="C21" s="116"/>
      <c r="D21" s="116"/>
      <c r="E21" s="116"/>
      <c r="F21" s="116"/>
      <c r="G21" s="116"/>
      <c r="H21" s="116" t="s">
        <v>5</v>
      </c>
      <c r="I21" s="116" t="s">
        <v>5</v>
      </c>
      <c r="J21" s="116"/>
      <c r="K21" s="116"/>
      <c r="L21" s="116"/>
    </row>
    <row r="22" spans="1:12" x14ac:dyDescent="0.25">
      <c r="A22" s="115" t="s">
        <v>213</v>
      </c>
      <c r="B22" s="116" t="s">
        <v>5</v>
      </c>
      <c r="C22" s="116" t="s">
        <v>5</v>
      </c>
      <c r="D22" s="116" t="s">
        <v>5</v>
      </c>
      <c r="E22" s="116"/>
      <c r="F22" s="116"/>
      <c r="G22" s="116"/>
      <c r="H22" s="116"/>
      <c r="I22" s="116"/>
      <c r="J22" s="116"/>
      <c r="K22" s="116"/>
      <c r="L22" s="116"/>
    </row>
    <row r="23" spans="1:12" x14ac:dyDescent="0.25">
      <c r="A23" s="115" t="s">
        <v>214</v>
      </c>
      <c r="B23" s="116"/>
      <c r="C23" s="116" t="s">
        <v>5</v>
      </c>
      <c r="D23" s="116"/>
      <c r="E23" s="116"/>
      <c r="F23" s="116"/>
      <c r="G23" s="116"/>
      <c r="H23" s="116"/>
      <c r="I23" s="116" t="s">
        <v>5</v>
      </c>
      <c r="J23" s="116"/>
      <c r="K23" s="116"/>
      <c r="L23" s="116"/>
    </row>
    <row r="24" spans="1:12" x14ac:dyDescent="0.25">
      <c r="A24" s="115" t="s">
        <v>217</v>
      </c>
      <c r="B24" s="116"/>
      <c r="C24" s="116"/>
      <c r="D24" s="116"/>
      <c r="E24" s="116"/>
      <c r="F24" s="116"/>
      <c r="G24" s="116"/>
      <c r="H24" s="116" t="s">
        <v>5</v>
      </c>
      <c r="I24" s="116"/>
      <c r="J24" s="116"/>
      <c r="K24" s="116"/>
      <c r="L24" s="116"/>
    </row>
    <row r="25" spans="1:12" x14ac:dyDescent="0.25">
      <c r="A25" s="115" t="s">
        <v>218</v>
      </c>
      <c r="B25" s="116"/>
      <c r="C25" s="116"/>
      <c r="D25" s="116"/>
      <c r="E25" s="116"/>
      <c r="F25" s="116"/>
      <c r="G25" s="116"/>
      <c r="H25" s="116" t="s">
        <v>5</v>
      </c>
      <c r="I25" s="116"/>
      <c r="J25" s="116"/>
      <c r="K25" s="116"/>
      <c r="L25" s="116"/>
    </row>
    <row r="26" spans="1:12" x14ac:dyDescent="0.25">
      <c r="A26" s="115" t="s">
        <v>219</v>
      </c>
      <c r="B26" s="116"/>
      <c r="C26" s="116" t="s">
        <v>5</v>
      </c>
      <c r="D26" s="116"/>
      <c r="E26" s="116"/>
      <c r="F26" s="116"/>
      <c r="G26" s="116"/>
      <c r="H26" s="116"/>
      <c r="I26" s="116"/>
      <c r="J26" s="116"/>
      <c r="K26" s="116"/>
      <c r="L26" s="116"/>
    </row>
    <row r="27" spans="1:12" x14ac:dyDescent="0.25">
      <c r="A27" s="115" t="s">
        <v>220</v>
      </c>
      <c r="B27" s="116"/>
      <c r="C27" s="116" t="s">
        <v>5</v>
      </c>
      <c r="D27" s="116"/>
      <c r="E27" s="116"/>
      <c r="F27" s="116"/>
      <c r="G27" s="116"/>
      <c r="H27" s="116"/>
      <c r="I27" s="116" t="s">
        <v>5</v>
      </c>
      <c r="J27" s="116"/>
      <c r="K27" s="116"/>
      <c r="L27" s="116" t="s">
        <v>5</v>
      </c>
    </row>
    <row r="28" spans="1:12" x14ac:dyDescent="0.25">
      <c r="A28" s="115" t="s">
        <v>221</v>
      </c>
      <c r="B28" s="116"/>
      <c r="C28" s="116"/>
      <c r="D28" s="116"/>
      <c r="E28" s="116"/>
      <c r="F28" s="116"/>
      <c r="G28" s="116"/>
      <c r="H28" s="116" t="s">
        <v>5</v>
      </c>
      <c r="I28" s="116"/>
      <c r="J28" s="116"/>
      <c r="K28" s="116"/>
      <c r="L28" s="116"/>
    </row>
    <row r="29" spans="1:12" x14ac:dyDescent="0.25">
      <c r="A29" s="115" t="s">
        <v>222</v>
      </c>
      <c r="B29" s="116" t="s">
        <v>5</v>
      </c>
      <c r="C29" s="116"/>
      <c r="D29" s="116" t="s">
        <v>5</v>
      </c>
      <c r="E29" s="116"/>
      <c r="F29" s="116"/>
      <c r="G29" s="116"/>
      <c r="H29" s="116"/>
      <c r="I29" s="116"/>
      <c r="J29" s="116"/>
      <c r="K29" s="116"/>
      <c r="L29" s="116"/>
    </row>
    <row r="30" spans="1:12" x14ac:dyDescent="0.25">
      <c r="A30" s="115" t="s">
        <v>233</v>
      </c>
      <c r="B30" s="116" t="s">
        <v>5</v>
      </c>
      <c r="C30" s="116" t="s">
        <v>5</v>
      </c>
      <c r="D30" s="116" t="s">
        <v>5</v>
      </c>
      <c r="E30" s="116"/>
      <c r="F30" s="116"/>
      <c r="G30" s="116"/>
      <c r="H30" s="116"/>
      <c r="I30" s="116"/>
      <c r="J30" s="116"/>
      <c r="K30" s="116"/>
      <c r="L30" s="116"/>
    </row>
    <row r="31" spans="1:12" x14ac:dyDescent="0.25">
      <c r="A31" s="115" t="s">
        <v>193</v>
      </c>
      <c r="B31" s="116"/>
      <c r="C31" s="116"/>
      <c r="D31" s="116"/>
      <c r="E31" s="116" t="s">
        <v>5</v>
      </c>
      <c r="F31" s="116"/>
      <c r="G31" s="116"/>
      <c r="H31" s="116"/>
      <c r="I31" s="116"/>
      <c r="J31" s="116"/>
      <c r="K31" s="116"/>
      <c r="L31" s="116"/>
    </row>
    <row r="32" spans="1:12" x14ac:dyDescent="0.25">
      <c r="A32" s="115" t="s">
        <v>225</v>
      </c>
      <c r="B32" s="116"/>
      <c r="C32" s="116"/>
      <c r="D32" s="116"/>
      <c r="E32" s="116"/>
      <c r="F32" s="116"/>
      <c r="G32" s="116" t="s">
        <v>5</v>
      </c>
      <c r="H32" s="116" t="s">
        <v>5</v>
      </c>
      <c r="I32" s="116"/>
      <c r="J32" s="116"/>
      <c r="K32" s="116"/>
      <c r="L32" s="116"/>
    </row>
    <row r="33" spans="1:12" x14ac:dyDescent="0.25">
      <c r="A33" s="115" t="s">
        <v>226</v>
      </c>
      <c r="B33" s="116"/>
      <c r="C33" s="116"/>
      <c r="D33" s="116"/>
      <c r="E33" s="116"/>
      <c r="F33" s="116"/>
      <c r="G33" s="116" t="s">
        <v>5</v>
      </c>
      <c r="H33" s="116" t="s">
        <v>5</v>
      </c>
      <c r="I33" s="116"/>
      <c r="J33" s="116"/>
      <c r="K33" s="116"/>
      <c r="L33" s="116"/>
    </row>
    <row r="34" spans="1:12" x14ac:dyDescent="0.25">
      <c r="A34" s="115" t="s">
        <v>227</v>
      </c>
      <c r="B34" s="116"/>
      <c r="C34" s="116"/>
      <c r="D34" s="116"/>
      <c r="E34" s="116"/>
      <c r="F34" s="116"/>
      <c r="G34" s="116" t="s">
        <v>5</v>
      </c>
      <c r="H34" s="116" t="s">
        <v>5</v>
      </c>
      <c r="I34" s="116"/>
      <c r="J34" s="116"/>
      <c r="K34" s="116"/>
      <c r="L34" s="116"/>
    </row>
    <row r="35" spans="1:12" x14ac:dyDescent="0.25">
      <c r="A35" s="115" t="s">
        <v>228</v>
      </c>
      <c r="B35" s="116"/>
      <c r="C35" s="116"/>
      <c r="D35" s="116"/>
      <c r="E35" s="116"/>
      <c r="F35" s="116"/>
      <c r="G35" s="116" t="s">
        <v>5</v>
      </c>
      <c r="H35" s="116" t="s">
        <v>5</v>
      </c>
      <c r="I35" s="116"/>
      <c r="J35" s="116"/>
      <c r="K35" s="116"/>
      <c r="L35" s="116"/>
    </row>
    <row r="36" spans="1:12" x14ac:dyDescent="0.25">
      <c r="A36" s="115" t="s">
        <v>229</v>
      </c>
      <c r="B36" s="116"/>
      <c r="C36" s="116"/>
      <c r="D36" s="116"/>
      <c r="E36" s="116"/>
      <c r="F36" s="116"/>
      <c r="G36" s="116" t="s">
        <v>5</v>
      </c>
      <c r="H36" s="116" t="s">
        <v>5</v>
      </c>
      <c r="I36" s="116"/>
      <c r="J36" s="116"/>
      <c r="K36" s="116"/>
      <c r="L36" s="116"/>
    </row>
    <row r="37" spans="1:12" x14ac:dyDescent="0.25">
      <c r="A37" s="115" t="s">
        <v>230</v>
      </c>
      <c r="B37" s="116"/>
      <c r="C37" s="116"/>
      <c r="D37" s="116"/>
      <c r="E37" s="116"/>
      <c r="F37" s="116"/>
      <c r="G37" s="116" t="s">
        <v>5</v>
      </c>
      <c r="H37" s="116" t="s">
        <v>5</v>
      </c>
      <c r="I37" s="116"/>
      <c r="J37" s="116"/>
      <c r="K37" s="116"/>
      <c r="L37" s="116"/>
    </row>
    <row r="38" spans="1:12" x14ac:dyDescent="0.25">
      <c r="A38" s="115" t="s">
        <v>231</v>
      </c>
      <c r="B38" s="116"/>
      <c r="C38" s="116"/>
      <c r="D38" s="116"/>
      <c r="E38" s="116"/>
      <c r="F38" s="116"/>
      <c r="G38" s="116"/>
      <c r="H38" s="116" t="s">
        <v>5</v>
      </c>
      <c r="I38" s="116"/>
      <c r="J38" s="116"/>
      <c r="K38" s="116"/>
      <c r="L38" s="116"/>
    </row>
    <row r="39" spans="1:12" x14ac:dyDescent="0.25">
      <c r="A39" s="115" t="s">
        <v>232</v>
      </c>
      <c r="B39" s="116" t="s">
        <v>5</v>
      </c>
      <c r="C39" s="116"/>
      <c r="D39" s="116"/>
      <c r="E39" s="116"/>
      <c r="F39" s="116"/>
      <c r="G39" s="116" t="s">
        <v>5</v>
      </c>
      <c r="H39" s="116" t="s">
        <v>5</v>
      </c>
      <c r="I39" s="116"/>
      <c r="J39" s="116"/>
      <c r="K39" s="116"/>
      <c r="L39" s="116"/>
    </row>
  </sheetData>
  <sheetProtection algorithmName="SHA-512" hashValue="TS6ZssW+9O/AdHLTbkTRorv5d3nEYA+iwCo6Gr+flrSnKl90qOvHJxpmIQCiBPlAVTQvZ5hIu7/RwYke05nlDg==" saltValue="BXrlZLlkWtqIkNVRHvt64A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B2" sqref="B2"/>
    </sheetView>
  </sheetViews>
  <sheetFormatPr defaultColWidth="12.7265625" defaultRowHeight="12.5" x14ac:dyDescent="0.25"/>
  <cols>
    <col min="1" max="1" width="16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264</v>
      </c>
      <c r="B1" s="108" t="s">
        <v>260</v>
      </c>
      <c r="C1" s="108" t="s">
        <v>124</v>
      </c>
      <c r="D1" s="108" t="s">
        <v>261</v>
      </c>
      <c r="E1" s="108" t="s">
        <v>262</v>
      </c>
      <c r="F1" s="108" t="s">
        <v>142</v>
      </c>
      <c r="G1" s="108" t="s">
        <v>103</v>
      </c>
      <c r="H1" s="108" t="s">
        <v>56</v>
      </c>
      <c r="I1" s="108" t="s">
        <v>259</v>
      </c>
      <c r="J1" s="108" t="s">
        <v>41</v>
      </c>
      <c r="K1" s="108" t="s">
        <v>258</v>
      </c>
      <c r="L1" s="108" t="s">
        <v>263</v>
      </c>
    </row>
    <row r="2" spans="1:12" x14ac:dyDescent="0.25">
      <c r="A2" s="108" t="s">
        <v>97</v>
      </c>
      <c r="B2" s="116" t="s">
        <v>5</v>
      </c>
      <c r="C2" s="116" t="s">
        <v>5</v>
      </c>
      <c r="D2" s="116" t="s">
        <v>5</v>
      </c>
      <c r="E2" s="116" t="s">
        <v>5</v>
      </c>
      <c r="F2" s="116" t="s">
        <v>5</v>
      </c>
      <c r="G2" s="116" t="s">
        <v>5</v>
      </c>
      <c r="H2" s="116" t="s">
        <v>5</v>
      </c>
      <c r="I2" s="116"/>
      <c r="J2" s="116"/>
      <c r="K2" s="116"/>
      <c r="L2" s="116"/>
    </row>
    <row r="3" spans="1:12" x14ac:dyDescent="0.25">
      <c r="A3" s="108" t="s">
        <v>93</v>
      </c>
      <c r="B3" s="116" t="s">
        <v>5</v>
      </c>
      <c r="C3" s="116" t="s">
        <v>5</v>
      </c>
      <c r="D3" s="116" t="s">
        <v>5</v>
      </c>
      <c r="E3" s="116" t="s">
        <v>5</v>
      </c>
      <c r="F3" s="116" t="s">
        <v>5</v>
      </c>
      <c r="G3" s="116" t="s">
        <v>5</v>
      </c>
      <c r="H3" s="116" t="s">
        <v>5</v>
      </c>
      <c r="I3" s="116"/>
      <c r="J3" s="116"/>
      <c r="K3" s="116"/>
      <c r="L3" s="116"/>
    </row>
    <row r="4" spans="1:12" x14ac:dyDescent="0.25">
      <c r="A4" s="108" t="s">
        <v>96</v>
      </c>
      <c r="B4" s="116" t="s">
        <v>5</v>
      </c>
      <c r="C4" s="116" t="s">
        <v>5</v>
      </c>
      <c r="D4" s="116" t="s">
        <v>5</v>
      </c>
      <c r="E4" s="116" t="s">
        <v>5</v>
      </c>
      <c r="F4" s="116" t="s">
        <v>5</v>
      </c>
      <c r="G4" s="116" t="s">
        <v>5</v>
      </c>
      <c r="H4" s="116" t="s">
        <v>5</v>
      </c>
      <c r="I4" s="116"/>
      <c r="J4" s="116"/>
      <c r="K4" s="116"/>
      <c r="L4" s="116"/>
    </row>
    <row r="5" spans="1:12" x14ac:dyDescent="0.25">
      <c r="A5" s="108" t="s">
        <v>94</v>
      </c>
      <c r="B5" s="116" t="s">
        <v>5</v>
      </c>
      <c r="C5" s="116" t="s">
        <v>5</v>
      </c>
      <c r="D5" s="116" t="s">
        <v>5</v>
      </c>
      <c r="E5" s="116" t="s">
        <v>5</v>
      </c>
      <c r="F5" s="116" t="s">
        <v>5</v>
      </c>
      <c r="G5" s="116" t="s">
        <v>5</v>
      </c>
      <c r="H5" s="116" t="s">
        <v>5</v>
      </c>
      <c r="I5" s="116"/>
      <c r="J5" s="116"/>
      <c r="K5" s="116"/>
      <c r="L5" s="116"/>
    </row>
    <row r="6" spans="1:12" x14ac:dyDescent="0.25">
      <c r="A6" s="108" t="s">
        <v>95</v>
      </c>
      <c r="B6" s="116" t="s">
        <v>5</v>
      </c>
      <c r="C6" s="116" t="s">
        <v>5</v>
      </c>
      <c r="D6" s="116" t="s">
        <v>5</v>
      </c>
      <c r="E6" s="116" t="s">
        <v>5</v>
      </c>
      <c r="F6" s="116" t="s">
        <v>5</v>
      </c>
      <c r="G6" s="116" t="s">
        <v>5</v>
      </c>
      <c r="H6" s="116" t="s">
        <v>5</v>
      </c>
      <c r="I6" s="116"/>
      <c r="J6" s="116"/>
      <c r="K6" s="116"/>
      <c r="L6" s="116"/>
    </row>
    <row r="7" spans="1:12" x14ac:dyDescent="0.25">
      <c r="A7" s="108" t="s">
        <v>132</v>
      </c>
      <c r="B7" s="116"/>
      <c r="C7" s="116" t="s">
        <v>5</v>
      </c>
      <c r="D7" s="116"/>
      <c r="E7" s="116"/>
      <c r="F7" s="116"/>
      <c r="G7" s="116"/>
      <c r="H7" s="116" t="s">
        <v>5</v>
      </c>
      <c r="I7" s="116" t="s">
        <v>5</v>
      </c>
      <c r="J7" s="116"/>
      <c r="K7" s="116"/>
      <c r="L7" s="116" t="s">
        <v>5</v>
      </c>
    </row>
    <row r="8" spans="1:12" x14ac:dyDescent="0.25">
      <c r="A8" s="108" t="s">
        <v>133</v>
      </c>
      <c r="B8" s="116"/>
      <c r="C8" s="116" t="s">
        <v>5</v>
      </c>
      <c r="D8" s="116"/>
      <c r="E8" s="116"/>
      <c r="F8" s="116"/>
      <c r="G8" s="116"/>
      <c r="H8" s="116" t="s">
        <v>5</v>
      </c>
      <c r="I8" s="116" t="s">
        <v>5</v>
      </c>
      <c r="J8" s="116"/>
      <c r="K8" s="116"/>
      <c r="L8" s="116" t="s">
        <v>5</v>
      </c>
    </row>
    <row r="9" spans="1:12" x14ac:dyDescent="0.25">
      <c r="A9" s="108" t="s">
        <v>134</v>
      </c>
      <c r="B9" s="116"/>
      <c r="C9" s="116" t="s">
        <v>5</v>
      </c>
      <c r="D9" s="116"/>
      <c r="E9" s="116"/>
      <c r="F9" s="116"/>
      <c r="G9" s="116"/>
      <c r="H9" s="116" t="s">
        <v>5</v>
      </c>
      <c r="I9" s="116" t="s">
        <v>5</v>
      </c>
      <c r="J9" s="116"/>
      <c r="K9" s="116"/>
      <c r="L9" s="116" t="s">
        <v>5</v>
      </c>
    </row>
    <row r="10" spans="1:12" x14ac:dyDescent="0.25">
      <c r="A10" s="108" t="s">
        <v>135</v>
      </c>
      <c r="B10" s="116"/>
      <c r="C10" s="116" t="s">
        <v>5</v>
      </c>
      <c r="D10" s="116"/>
      <c r="E10" s="116"/>
      <c r="F10" s="116"/>
      <c r="G10" s="116"/>
      <c r="H10" s="116" t="s">
        <v>5</v>
      </c>
      <c r="I10" s="116" t="s">
        <v>5</v>
      </c>
      <c r="J10" s="116"/>
      <c r="K10" s="116"/>
      <c r="L10" s="116" t="s">
        <v>5</v>
      </c>
    </row>
    <row r="11" spans="1:12" x14ac:dyDescent="0.25">
      <c r="A11" s="108" t="s">
        <v>87</v>
      </c>
      <c r="B11" s="116"/>
      <c r="C11" s="116" t="s">
        <v>5</v>
      </c>
      <c r="D11" s="116"/>
      <c r="E11" s="116"/>
      <c r="F11" s="116"/>
      <c r="G11" s="116"/>
      <c r="H11" s="116"/>
      <c r="I11" s="116"/>
      <c r="J11" s="116" t="s">
        <v>5</v>
      </c>
      <c r="K11" s="116" t="s">
        <v>5</v>
      </c>
      <c r="L11" s="116"/>
    </row>
    <row r="12" spans="1:12" x14ac:dyDescent="0.25">
      <c r="A12" s="108" t="s">
        <v>88</v>
      </c>
      <c r="B12" s="116"/>
      <c r="C12" s="116" t="s">
        <v>5</v>
      </c>
      <c r="D12" s="116"/>
      <c r="E12" s="116"/>
      <c r="F12" s="116"/>
      <c r="G12" s="116"/>
      <c r="H12" s="116"/>
      <c r="I12" s="116"/>
      <c r="J12" s="116"/>
      <c r="K12" s="116" t="s">
        <v>5</v>
      </c>
      <c r="L12" s="116"/>
    </row>
    <row r="13" spans="1:12" x14ac:dyDescent="0.25">
      <c r="A13" s="108" t="s">
        <v>89</v>
      </c>
      <c r="B13" s="116"/>
      <c r="C13" s="116" t="s">
        <v>5</v>
      </c>
      <c r="D13" s="116"/>
      <c r="E13" s="116"/>
      <c r="F13" s="116"/>
      <c r="G13" s="116"/>
      <c r="H13" s="116"/>
      <c r="I13" s="116"/>
      <c r="J13" s="116"/>
      <c r="K13" s="116" t="s">
        <v>5</v>
      </c>
      <c r="L13" s="116"/>
    </row>
    <row r="14" spans="1:12" x14ac:dyDescent="0.25">
      <c r="A14" s="108" t="s">
        <v>90</v>
      </c>
      <c r="B14" s="116"/>
      <c r="C14" s="116" t="s">
        <v>5</v>
      </c>
      <c r="D14" s="116"/>
      <c r="E14" s="116"/>
      <c r="F14" s="116"/>
      <c r="G14" s="116"/>
      <c r="H14" s="116"/>
      <c r="I14" s="116"/>
      <c r="J14" s="116"/>
      <c r="K14" s="116" t="s">
        <v>5</v>
      </c>
      <c r="L14" s="116"/>
    </row>
  </sheetData>
  <sheetProtection algorithmName="SHA-512" hashValue="iwiQweYfKptueaqQnT+ccj2U0JMZxzH+iOkNdfJsSKO9RVLxdLXrIM2peunW4+HeefSavNzF2MYaSj87UXVX6Q==" saltValue="RkKipIC8O5kLldiBKBeWJA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265</v>
      </c>
      <c r="B1" s="4" t="s">
        <v>185</v>
      </c>
      <c r="C1" s="4" t="s">
        <v>189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10" ht="13" x14ac:dyDescent="0.3">
      <c r="A2" s="4" t="s">
        <v>267</v>
      </c>
      <c r="B2" s="125" t="s">
        <v>123</v>
      </c>
      <c r="C2" s="8" t="s">
        <v>179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6"/>
      <c r="C3" s="8" t="s">
        <v>178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6"/>
      <c r="C4" s="8" t="s">
        <v>184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5" t="s">
        <v>97</v>
      </c>
      <c r="C5" s="8" t="s">
        <v>179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6"/>
      <c r="C6" s="8" t="s">
        <v>178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6"/>
      <c r="C7" s="8" t="s">
        <v>184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5" t="s">
        <v>93</v>
      </c>
      <c r="C8" s="8" t="s">
        <v>179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6"/>
      <c r="C9" s="8" t="s">
        <v>178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6"/>
      <c r="C10" s="8" t="s">
        <v>184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5" t="s">
        <v>96</v>
      </c>
      <c r="C11" s="8" t="s">
        <v>179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6"/>
      <c r="C12" s="8" t="s">
        <v>178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6"/>
      <c r="C13" s="8" t="s">
        <v>184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5" t="s">
        <v>94</v>
      </c>
      <c r="C14" s="8" t="s">
        <v>179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6"/>
      <c r="C15" s="8" t="s">
        <v>178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6"/>
      <c r="C16" s="8" t="s">
        <v>184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177</v>
      </c>
      <c r="C17" s="8" t="s">
        <v>184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273</v>
      </c>
      <c r="B19" s="125" t="s">
        <v>123</v>
      </c>
      <c r="C19" s="8" t="s">
        <v>179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6"/>
      <c r="C20" s="8" t="s">
        <v>178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6"/>
      <c r="C21" s="8" t="s">
        <v>184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5" t="s">
        <v>97</v>
      </c>
      <c r="C22" s="8" t="s">
        <v>179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6"/>
      <c r="C23" s="8" t="s">
        <v>178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6"/>
      <c r="C24" s="8" t="s">
        <v>184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5" t="s">
        <v>93</v>
      </c>
      <c r="C25" s="8" t="s">
        <v>179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6"/>
      <c r="C26" s="8" t="s">
        <v>178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6"/>
      <c r="C27" s="8" t="s">
        <v>184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5" t="s">
        <v>96</v>
      </c>
      <c r="C28" s="8" t="s">
        <v>179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6"/>
      <c r="C29" s="8" t="s">
        <v>178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6"/>
      <c r="C30" s="8" t="s">
        <v>184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5" t="s">
        <v>94</v>
      </c>
      <c r="C31" s="8" t="s">
        <v>179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6"/>
      <c r="C32" s="8" t="s">
        <v>178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6"/>
      <c r="C33" s="8" t="s">
        <v>184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177</v>
      </c>
      <c r="C34" s="8" t="s">
        <v>184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270</v>
      </c>
      <c r="B36" s="125" t="s">
        <v>123</v>
      </c>
      <c r="C36" s="8" t="s">
        <v>179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6"/>
      <c r="C37" s="8" t="s">
        <v>178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6"/>
      <c r="C38" s="8" t="s">
        <v>184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5" t="s">
        <v>97</v>
      </c>
      <c r="C39" s="8" t="s">
        <v>179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6"/>
      <c r="C40" s="8" t="s">
        <v>178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6"/>
      <c r="C41" s="8" t="s">
        <v>184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5" t="s">
        <v>93</v>
      </c>
      <c r="C42" s="8" t="s">
        <v>179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6"/>
      <c r="C43" s="8" t="s">
        <v>178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6"/>
      <c r="C44" s="8" t="s">
        <v>184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5" t="s">
        <v>96</v>
      </c>
      <c r="C45" s="8" t="s">
        <v>179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6"/>
      <c r="C46" s="8" t="s">
        <v>178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6"/>
      <c r="C47" s="8" t="s">
        <v>184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5" t="s">
        <v>94</v>
      </c>
      <c r="C48" s="8" t="s">
        <v>179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6"/>
      <c r="C49" s="8" t="s">
        <v>178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6"/>
      <c r="C50" s="8" t="s">
        <v>184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177</v>
      </c>
      <c r="C51" s="8" t="s">
        <v>184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266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265</v>
      </c>
      <c r="B54" s="4" t="s">
        <v>185</v>
      </c>
      <c r="C54" s="4" t="s">
        <v>189</v>
      </c>
      <c r="D54" s="4" t="s">
        <v>97</v>
      </c>
      <c r="E54" s="4" t="s">
        <v>93</v>
      </c>
      <c r="F54" s="4" t="s">
        <v>96</v>
      </c>
      <c r="G54" s="4" t="s">
        <v>94</v>
      </c>
      <c r="H54" s="4" t="s">
        <v>95</v>
      </c>
    </row>
    <row r="55" spans="1:8" ht="13" x14ac:dyDescent="0.3">
      <c r="A55" s="4" t="s">
        <v>268</v>
      </c>
      <c r="B55" s="125" t="s">
        <v>123</v>
      </c>
      <c r="C55" s="8" t="s">
        <v>179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6"/>
      <c r="C56" s="8" t="s">
        <v>178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6"/>
      <c r="C57" s="8" t="s">
        <v>184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5" t="s">
        <v>97</v>
      </c>
      <c r="C58" s="8" t="s">
        <v>179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6"/>
      <c r="C59" s="8" t="s">
        <v>178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6"/>
      <c r="C60" s="8" t="s">
        <v>184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5" t="s">
        <v>93</v>
      </c>
      <c r="C61" s="8" t="s">
        <v>179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6"/>
      <c r="C62" s="8" t="s">
        <v>178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6"/>
      <c r="C63" s="8" t="s">
        <v>184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5" t="s">
        <v>96</v>
      </c>
      <c r="C64" s="8" t="s">
        <v>179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6"/>
      <c r="C65" s="8" t="s">
        <v>178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6"/>
      <c r="C66" s="8" t="s">
        <v>184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5" t="s">
        <v>94</v>
      </c>
      <c r="C67" s="8" t="s">
        <v>179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6"/>
      <c r="C68" s="8" t="s">
        <v>178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6"/>
      <c r="C69" s="8" t="s">
        <v>184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177</v>
      </c>
      <c r="C70" s="8" t="s">
        <v>184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274</v>
      </c>
      <c r="B72" s="125" t="s">
        <v>123</v>
      </c>
      <c r="C72" s="8" t="s">
        <v>179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6"/>
      <c r="C73" s="8" t="s">
        <v>178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6"/>
      <c r="C74" s="8" t="s">
        <v>184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5" t="s">
        <v>97</v>
      </c>
      <c r="C75" s="8" t="s">
        <v>179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6"/>
      <c r="C76" s="8" t="s">
        <v>178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6"/>
      <c r="C77" s="8" t="s">
        <v>184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5" t="s">
        <v>93</v>
      </c>
      <c r="C78" s="8" t="s">
        <v>179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6"/>
      <c r="C79" s="8" t="s">
        <v>178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6"/>
      <c r="C80" s="8" t="s">
        <v>184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5" t="s">
        <v>96</v>
      </c>
      <c r="C81" s="8" t="s">
        <v>179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6"/>
      <c r="C82" s="8" t="s">
        <v>178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6"/>
      <c r="C83" s="8" t="s">
        <v>184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5" t="s">
        <v>94</v>
      </c>
      <c r="C84" s="8" t="s">
        <v>179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6"/>
      <c r="C85" s="8" t="s">
        <v>178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6"/>
      <c r="C86" s="8" t="s">
        <v>184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177</v>
      </c>
      <c r="C87" s="8" t="s">
        <v>184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271</v>
      </c>
      <c r="B89" s="125" t="s">
        <v>123</v>
      </c>
      <c r="C89" s="8" t="s">
        <v>179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6"/>
      <c r="C90" s="8" t="s">
        <v>178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6"/>
      <c r="C91" s="8" t="s">
        <v>184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5" t="s">
        <v>97</v>
      </c>
      <c r="C92" s="8" t="s">
        <v>179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6"/>
      <c r="C93" s="8" t="s">
        <v>178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6"/>
      <c r="C94" s="8" t="s">
        <v>184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5" t="s">
        <v>93</v>
      </c>
      <c r="C95" s="8" t="s">
        <v>179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6"/>
      <c r="C96" s="8" t="s">
        <v>178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6"/>
      <c r="C97" s="8" t="s">
        <v>184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5" t="s">
        <v>96</v>
      </c>
      <c r="C98" s="8" t="s">
        <v>179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6"/>
      <c r="C99" s="8" t="s">
        <v>178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6"/>
      <c r="C100" s="8" t="s">
        <v>184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5" t="s">
        <v>94</v>
      </c>
      <c r="C101" s="8" t="s">
        <v>179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6"/>
      <c r="C102" s="8" t="s">
        <v>178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6"/>
      <c r="C103" s="8" t="s">
        <v>184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177</v>
      </c>
      <c r="C104" s="8" t="s">
        <v>184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276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265</v>
      </c>
      <c r="B107" s="4" t="s">
        <v>185</v>
      </c>
      <c r="C107" s="4" t="s">
        <v>189</v>
      </c>
      <c r="D107" s="4" t="s">
        <v>97</v>
      </c>
      <c r="E107" s="4" t="s">
        <v>93</v>
      </c>
      <c r="F107" s="4" t="s">
        <v>96</v>
      </c>
      <c r="G107" s="4" t="s">
        <v>94</v>
      </c>
      <c r="H107" s="4" t="s">
        <v>95</v>
      </c>
    </row>
    <row r="108" spans="1:8" ht="13" x14ac:dyDescent="0.3">
      <c r="A108" s="4" t="s">
        <v>269</v>
      </c>
      <c r="B108" s="125" t="s">
        <v>123</v>
      </c>
      <c r="C108" s="8" t="s">
        <v>179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6"/>
      <c r="C109" s="8" t="s">
        <v>178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6"/>
      <c r="C110" s="8" t="s">
        <v>184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5" t="s">
        <v>97</v>
      </c>
      <c r="C111" s="8" t="s">
        <v>179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6"/>
      <c r="C112" s="8" t="s">
        <v>178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6"/>
      <c r="C113" s="8" t="s">
        <v>184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5" t="s">
        <v>93</v>
      </c>
      <c r="C114" s="8" t="s">
        <v>179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6"/>
      <c r="C115" s="8" t="s">
        <v>178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6"/>
      <c r="C116" s="8" t="s">
        <v>184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5" t="s">
        <v>96</v>
      </c>
      <c r="C117" s="8" t="s">
        <v>179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6"/>
      <c r="C118" s="8" t="s">
        <v>178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6"/>
      <c r="C119" s="8" t="s">
        <v>184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5" t="s">
        <v>94</v>
      </c>
      <c r="C120" s="8" t="s">
        <v>179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6"/>
      <c r="C121" s="8" t="s">
        <v>178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6"/>
      <c r="C122" s="8" t="s">
        <v>184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177</v>
      </c>
      <c r="C123" s="8" t="s">
        <v>184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275</v>
      </c>
      <c r="B125" s="125" t="s">
        <v>123</v>
      </c>
      <c r="C125" s="8" t="s">
        <v>179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6"/>
      <c r="C126" s="8" t="s">
        <v>178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6"/>
      <c r="C127" s="8" t="s">
        <v>184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5" t="s">
        <v>97</v>
      </c>
      <c r="C128" s="8" t="s">
        <v>179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6"/>
      <c r="C129" s="8" t="s">
        <v>178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6"/>
      <c r="C130" s="8" t="s">
        <v>184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5" t="s">
        <v>93</v>
      </c>
      <c r="C131" s="8" t="s">
        <v>179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6"/>
      <c r="C132" s="8" t="s">
        <v>178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6"/>
      <c r="C133" s="8" t="s">
        <v>184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5" t="s">
        <v>96</v>
      </c>
      <c r="C134" s="8" t="s">
        <v>179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6"/>
      <c r="C135" s="8" t="s">
        <v>178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6"/>
      <c r="C136" s="8" t="s">
        <v>184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5" t="s">
        <v>94</v>
      </c>
      <c r="C137" s="8" t="s">
        <v>179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6"/>
      <c r="C138" s="8" t="s">
        <v>178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6"/>
      <c r="C139" s="8" t="s">
        <v>184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177</v>
      </c>
      <c r="C140" s="8" t="s">
        <v>184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272</v>
      </c>
      <c r="B142" s="125" t="s">
        <v>123</v>
      </c>
      <c r="C142" s="8" t="s">
        <v>179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6"/>
      <c r="C143" s="8" t="s">
        <v>178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6"/>
      <c r="C144" s="8" t="s">
        <v>184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5" t="s">
        <v>97</v>
      </c>
      <c r="C145" s="8" t="s">
        <v>179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6"/>
      <c r="C146" s="8" t="s">
        <v>178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6"/>
      <c r="C147" s="8" t="s">
        <v>184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5" t="s">
        <v>93</v>
      </c>
      <c r="C148" s="8" t="s">
        <v>179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6"/>
      <c r="C149" s="8" t="s">
        <v>178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6"/>
      <c r="C150" s="8" t="s">
        <v>184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5" t="s">
        <v>96</v>
      </c>
      <c r="C151" s="8" t="s">
        <v>179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6"/>
      <c r="C152" s="8" t="s">
        <v>178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6"/>
      <c r="C153" s="8" t="s">
        <v>184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5" t="s">
        <v>94</v>
      </c>
      <c r="C154" s="8" t="s">
        <v>179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6"/>
      <c r="C155" s="8" t="s">
        <v>178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6"/>
      <c r="C156" s="8" t="s">
        <v>184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177</v>
      </c>
      <c r="C157" s="8" t="s">
        <v>184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4Zv/lK7Kwdq/ybwY21GClGHY6tyTmSS9OZuCbLXu5agQbpleBxNqnqdc9otpuI2y2C0uvlGYdh2/iwH7c1EtBg==" saltValue="K76fZt9oALxp0chcZUe3Ew==" spinCount="100000" sheet="1" objects="1" scenarios="1" selectLockedCells="1"/>
  <mergeCells count="45"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C16" sqref="C16"/>
    </sheetView>
  </sheetViews>
  <sheetFormatPr defaultColWidth="12.7265625" defaultRowHeight="12.5" x14ac:dyDescent="0.25"/>
  <cols>
    <col min="1" max="1" width="44.81640625" style="106" customWidth="1"/>
    <col min="2" max="2" width="44.453125" style="106" customWidth="1"/>
    <col min="3" max="3" width="17.7265625" style="106" customWidth="1"/>
    <col min="4" max="4" width="17.54296875" style="106" customWidth="1"/>
    <col min="5" max="5" width="17.26953125" style="106" customWidth="1"/>
    <col min="6" max="6" width="15" style="106" customWidth="1"/>
    <col min="7" max="7" width="13.7265625" style="106" customWidth="1"/>
    <col min="8" max="16384" width="12.7265625" style="106"/>
  </cols>
  <sheetData>
    <row r="1" spans="1:7" s="121" customFormat="1" ht="14.25" customHeight="1" x14ac:dyDescent="0.3">
      <c r="A1" s="120" t="s">
        <v>307</v>
      </c>
    </row>
    <row r="2" spans="1:7" ht="14.25" customHeight="1" x14ac:dyDescent="0.3">
      <c r="A2" s="122" t="s">
        <v>237</v>
      </c>
      <c r="B2" s="107"/>
      <c r="C2" s="105" t="s">
        <v>97</v>
      </c>
      <c r="D2" s="105" t="s">
        <v>93</v>
      </c>
      <c r="E2" s="105" t="s">
        <v>96</v>
      </c>
      <c r="F2" s="105" t="s">
        <v>94</v>
      </c>
      <c r="G2" s="105" t="s">
        <v>95</v>
      </c>
    </row>
    <row r="3" spans="1:7" ht="14.25" customHeight="1" x14ac:dyDescent="0.25">
      <c r="B3" s="117" t="s">
        <v>294</v>
      </c>
      <c r="C3" s="118" t="s">
        <v>8</v>
      </c>
      <c r="D3" s="118">
        <v>45</v>
      </c>
      <c r="E3" s="118">
        <v>361.6</v>
      </c>
      <c r="F3" s="118">
        <v>174.7</v>
      </c>
      <c r="G3" s="118">
        <v>174.7</v>
      </c>
    </row>
    <row r="4" spans="1:7" ht="14.25" customHeight="1" x14ac:dyDescent="0.3">
      <c r="A4" s="105"/>
      <c r="B4" s="117" t="s">
        <v>280</v>
      </c>
      <c r="C4" s="118">
        <v>1.0249999999999999</v>
      </c>
      <c r="D4" s="118">
        <v>1.0249999999999999</v>
      </c>
      <c r="E4" s="118">
        <v>1.0249999999999999</v>
      </c>
      <c r="F4" s="118">
        <v>1.0249999999999999</v>
      </c>
      <c r="G4" s="118">
        <v>1.0249999999999999</v>
      </c>
    </row>
    <row r="5" spans="1:7" ht="14.25" customHeight="1" x14ac:dyDescent="0.3">
      <c r="A5" s="123" t="s">
        <v>277</v>
      </c>
    </row>
    <row r="6" spans="1:7" ht="14.25" customHeight="1" x14ac:dyDescent="0.25">
      <c r="B6" s="117" t="s">
        <v>222</v>
      </c>
      <c r="C6" s="118">
        <v>1</v>
      </c>
      <c r="D6" s="118">
        <v>1</v>
      </c>
      <c r="E6" s="118">
        <v>0.89</v>
      </c>
      <c r="F6" s="118">
        <v>0.89</v>
      </c>
      <c r="G6" s="118">
        <v>1</v>
      </c>
    </row>
    <row r="7" spans="1:7" ht="14.25" customHeight="1" x14ac:dyDescent="0.25">
      <c r="B7" s="117" t="s">
        <v>213</v>
      </c>
      <c r="C7" s="118">
        <v>1</v>
      </c>
      <c r="D7" s="118">
        <v>1</v>
      </c>
      <c r="E7" s="118">
        <v>0.88</v>
      </c>
      <c r="F7" s="118">
        <v>0.88</v>
      </c>
      <c r="G7" s="118">
        <v>1</v>
      </c>
    </row>
    <row r="8" spans="1:7" ht="14.25" customHeight="1" x14ac:dyDescent="0.25">
      <c r="B8" s="117" t="s">
        <v>196</v>
      </c>
      <c r="C8" s="118">
        <v>1</v>
      </c>
      <c r="D8" s="118">
        <v>1</v>
      </c>
      <c r="E8" s="118">
        <v>1</v>
      </c>
      <c r="F8" s="118">
        <v>0.80800000000000005</v>
      </c>
      <c r="G8" s="118">
        <v>0.80800000000000005</v>
      </c>
    </row>
    <row r="9" spans="1:7" ht="14.25" customHeight="1" x14ac:dyDescent="0.25">
      <c r="B9" s="117" t="s">
        <v>233</v>
      </c>
      <c r="C9" s="118">
        <v>1</v>
      </c>
      <c r="D9" s="118">
        <v>1</v>
      </c>
      <c r="E9" s="118">
        <v>0.88</v>
      </c>
      <c r="F9" s="118">
        <v>0.88</v>
      </c>
      <c r="G9" s="118">
        <v>1</v>
      </c>
    </row>
    <row r="10" spans="1:7" ht="14.25" customHeight="1" x14ac:dyDescent="0.25">
      <c r="B10" s="117" t="s">
        <v>232</v>
      </c>
      <c r="C10" s="118">
        <v>1</v>
      </c>
      <c r="D10" s="118">
        <v>1</v>
      </c>
      <c r="E10" s="118">
        <v>1</v>
      </c>
      <c r="F10" s="118">
        <v>1</v>
      </c>
      <c r="G10" s="118">
        <v>1</v>
      </c>
    </row>
    <row r="11" spans="1:7" ht="14.25" customHeight="1" x14ac:dyDescent="0.25">
      <c r="B11" s="117"/>
      <c r="C11" s="117"/>
      <c r="D11" s="117"/>
      <c r="E11" s="117"/>
      <c r="F11" s="117"/>
      <c r="G11" s="117"/>
    </row>
    <row r="12" spans="1:7" s="121" customFormat="1" ht="14.25" customHeight="1" x14ac:dyDescent="0.3">
      <c r="A12" s="120" t="s">
        <v>301</v>
      </c>
    </row>
    <row r="13" spans="1:7" ht="14.25" customHeight="1" x14ac:dyDescent="0.3">
      <c r="A13" s="123"/>
      <c r="B13" s="117" t="s">
        <v>211</v>
      </c>
      <c r="C13" s="118">
        <v>1</v>
      </c>
      <c r="D13" s="118">
        <v>1.39</v>
      </c>
      <c r="E13" s="118">
        <v>1</v>
      </c>
      <c r="F13" s="118">
        <v>1</v>
      </c>
      <c r="G13" s="118">
        <v>1</v>
      </c>
    </row>
    <row r="14" spans="1:7" ht="14.25" customHeight="1" x14ac:dyDescent="0.3">
      <c r="A14" s="123"/>
      <c r="B14" s="114"/>
    </row>
    <row r="15" spans="1:7" s="121" customFormat="1" ht="14.25" customHeight="1" x14ac:dyDescent="0.3">
      <c r="A15" s="120" t="s">
        <v>308</v>
      </c>
    </row>
    <row r="16" spans="1:7" ht="14.25" customHeight="1" x14ac:dyDescent="0.3">
      <c r="A16" s="122" t="s">
        <v>311</v>
      </c>
      <c r="B16" s="117" t="s">
        <v>288</v>
      </c>
      <c r="C16" s="118">
        <v>1.024</v>
      </c>
      <c r="D16" s="118">
        <v>1.024</v>
      </c>
      <c r="E16" s="118">
        <v>1.024</v>
      </c>
      <c r="F16" s="118">
        <v>1.024</v>
      </c>
      <c r="G16" s="118">
        <v>1.024</v>
      </c>
    </row>
    <row r="17" spans="1:7" ht="14.25" customHeight="1" x14ac:dyDescent="0.3">
      <c r="A17" s="105"/>
      <c r="B17" s="117" t="s">
        <v>285</v>
      </c>
      <c r="C17" s="118">
        <v>1.024</v>
      </c>
      <c r="D17" s="118">
        <v>1.024</v>
      </c>
      <c r="E17" s="118">
        <v>1.024</v>
      </c>
      <c r="F17" s="118">
        <v>1.024</v>
      </c>
      <c r="G17" s="118">
        <v>1.024</v>
      </c>
    </row>
    <row r="18" spans="1:7" ht="14.25" customHeight="1" x14ac:dyDescent="0.3">
      <c r="A18" s="122" t="s">
        <v>124</v>
      </c>
      <c r="B18" s="117" t="s">
        <v>291</v>
      </c>
      <c r="C18" s="118">
        <v>1</v>
      </c>
      <c r="D18" s="118">
        <v>1</v>
      </c>
      <c r="E18" s="118">
        <v>1</v>
      </c>
      <c r="F18" s="118">
        <v>1</v>
      </c>
      <c r="G18" s="118">
        <v>1</v>
      </c>
    </row>
    <row r="19" spans="1:7" ht="14.25" customHeight="1" x14ac:dyDescent="0.25"/>
    <row r="20" spans="1:7" s="121" customFormat="1" ht="14.25" customHeight="1" x14ac:dyDescent="0.3">
      <c r="A20" s="120" t="s">
        <v>304</v>
      </c>
    </row>
    <row r="21" spans="1:7" s="123" customFormat="1" ht="14.25" customHeight="1" x14ac:dyDescent="0.3">
      <c r="C21" s="124" t="s">
        <v>87</v>
      </c>
      <c r="D21" s="124" t="s">
        <v>88</v>
      </c>
      <c r="E21" s="124" t="s">
        <v>89</v>
      </c>
      <c r="F21" s="124" t="s">
        <v>90</v>
      </c>
    </row>
    <row r="22" spans="1:7" x14ac:dyDescent="0.25">
      <c r="B22" s="117" t="s">
        <v>199</v>
      </c>
      <c r="C22" s="118">
        <v>1.52</v>
      </c>
      <c r="D22" s="118">
        <v>1</v>
      </c>
      <c r="E22" s="118">
        <v>1</v>
      </c>
      <c r="F22" s="118">
        <v>1</v>
      </c>
    </row>
    <row r="24" spans="1:7" s="119" customFormat="1" ht="13" x14ac:dyDescent="0.3">
      <c r="A24" s="119" t="s">
        <v>266</v>
      </c>
    </row>
    <row r="25" spans="1:7" ht="13" x14ac:dyDescent="0.3">
      <c r="A25" s="120" t="s">
        <v>307</v>
      </c>
      <c r="B25" s="121"/>
      <c r="C25" s="121"/>
      <c r="D25" s="121"/>
      <c r="E25" s="121"/>
      <c r="F25" s="121"/>
      <c r="G25" s="121"/>
    </row>
    <row r="26" spans="1:7" ht="13" x14ac:dyDescent="0.3">
      <c r="A26" s="122" t="s">
        <v>237</v>
      </c>
      <c r="B26" s="107"/>
      <c r="C26" s="105" t="s">
        <v>97</v>
      </c>
      <c r="D26" s="105" t="s">
        <v>93</v>
      </c>
      <c r="E26" s="105" t="s">
        <v>96</v>
      </c>
      <c r="F26" s="105" t="s">
        <v>94</v>
      </c>
      <c r="G26" s="105" t="s">
        <v>95</v>
      </c>
    </row>
    <row r="27" spans="1:7" x14ac:dyDescent="0.25">
      <c r="B27" s="117" t="s">
        <v>295</v>
      </c>
      <c r="C27" s="118" t="s">
        <v>8</v>
      </c>
      <c r="D27" s="118">
        <f t="shared" ref="D27:G27" si="0">D3*0.9</f>
        <v>40.5</v>
      </c>
      <c r="E27" s="118">
        <f t="shared" si="0"/>
        <v>325.44000000000005</v>
      </c>
      <c r="F27" s="118">
        <f t="shared" si="0"/>
        <v>157.22999999999999</v>
      </c>
      <c r="G27" s="118">
        <f t="shared" si="0"/>
        <v>157.22999999999999</v>
      </c>
    </row>
    <row r="28" spans="1:7" ht="13" x14ac:dyDescent="0.3">
      <c r="A28" s="105"/>
      <c r="B28" s="117" t="s">
        <v>281</v>
      </c>
      <c r="C28" s="118">
        <v>1.014</v>
      </c>
      <c r="D28" s="118">
        <v>1.014</v>
      </c>
      <c r="E28" s="118">
        <v>1.014</v>
      </c>
      <c r="F28" s="118">
        <v>1.014</v>
      </c>
      <c r="G28" s="118">
        <v>1.014</v>
      </c>
    </row>
    <row r="29" spans="1:7" ht="13" x14ac:dyDescent="0.3">
      <c r="A29" s="123" t="s">
        <v>278</v>
      </c>
    </row>
    <row r="30" spans="1:7" x14ac:dyDescent="0.25">
      <c r="B30" s="117" t="s">
        <v>309</v>
      </c>
      <c r="C30" s="118">
        <f>IF(C6=1,1,C6*0.9)</f>
        <v>1</v>
      </c>
      <c r="D30" s="118">
        <f t="shared" ref="D30:G30" si="1">IF(D6=1,1,D6*0.9)</f>
        <v>1</v>
      </c>
      <c r="E30" s="118">
        <f>E6*0.9</f>
        <v>0.80100000000000005</v>
      </c>
      <c r="F30" s="118">
        <f>F6*0.9</f>
        <v>0.80100000000000005</v>
      </c>
      <c r="G30" s="118">
        <f t="shared" si="1"/>
        <v>1</v>
      </c>
    </row>
    <row r="31" spans="1:7" x14ac:dyDescent="0.25">
      <c r="B31" s="117" t="s">
        <v>299</v>
      </c>
      <c r="C31" s="118">
        <f>IF(C7=1,1,C7*0.9)</f>
        <v>1</v>
      </c>
      <c r="D31" s="118">
        <f>IF(D7=1,1,D7*0.9)</f>
        <v>1</v>
      </c>
      <c r="E31" s="118">
        <v>0.85</v>
      </c>
      <c r="F31" s="118">
        <v>0.85</v>
      </c>
      <c r="G31" s="118">
        <f>IF(G7=1,1,G7*0.9)</f>
        <v>1</v>
      </c>
    </row>
    <row r="32" spans="1:7" x14ac:dyDescent="0.25">
      <c r="B32" s="117" t="s">
        <v>27</v>
      </c>
      <c r="C32" s="118">
        <f>IF(C8=1,1,C8*0.9)</f>
        <v>1</v>
      </c>
      <c r="D32" s="118">
        <f>IF(D8=1,1,D8*0.9)</f>
        <v>1</v>
      </c>
      <c r="E32" s="118">
        <v>1</v>
      </c>
      <c r="F32" s="90">
        <v>0.39500000000000002</v>
      </c>
      <c r="G32" s="90">
        <v>0.39500000000000002</v>
      </c>
    </row>
    <row r="33" spans="1:7" x14ac:dyDescent="0.25">
      <c r="B33" s="117" t="s">
        <v>314</v>
      </c>
      <c r="C33" s="118">
        <f t="shared" ref="C33:G33" si="2">IF(C9=1,1,C9*0.9)</f>
        <v>1</v>
      </c>
      <c r="D33" s="118">
        <f t="shared" si="2"/>
        <v>1</v>
      </c>
      <c r="E33" s="118">
        <v>0.85</v>
      </c>
      <c r="F33" s="118">
        <v>0.85</v>
      </c>
      <c r="G33" s="118">
        <f t="shared" si="2"/>
        <v>1</v>
      </c>
    </row>
    <row r="34" spans="1:7" x14ac:dyDescent="0.25">
      <c r="B34" s="117" t="s">
        <v>312</v>
      </c>
      <c r="C34" s="118">
        <f>IF(C10=1,1,C10*0.9)</f>
        <v>1</v>
      </c>
      <c r="D34" s="118">
        <f>IF(D10=1,1,D10*0.9)</f>
        <v>1</v>
      </c>
      <c r="E34" s="118">
        <f>IF(E10=1,1,E10*0.9)</f>
        <v>1</v>
      </c>
      <c r="F34" s="118">
        <f>IF(F10=1,1,F10*0.9)</f>
        <v>1</v>
      </c>
      <c r="G34" s="118">
        <f>IF(G10=1,1,G10*0.9)</f>
        <v>1</v>
      </c>
    </row>
    <row r="35" spans="1:7" x14ac:dyDescent="0.25">
      <c r="B35" s="117"/>
      <c r="C35" s="117"/>
      <c r="D35" s="117"/>
      <c r="E35" s="117"/>
      <c r="F35" s="117"/>
      <c r="G35" s="117"/>
    </row>
    <row r="36" spans="1:7" ht="13" x14ac:dyDescent="0.3">
      <c r="A36" s="120" t="s">
        <v>302</v>
      </c>
      <c r="B36" s="121"/>
      <c r="C36" s="121"/>
      <c r="D36" s="121"/>
      <c r="E36" s="121"/>
      <c r="F36" s="121"/>
      <c r="G36" s="121"/>
    </row>
    <row r="37" spans="1:7" ht="13" x14ac:dyDescent="0.3">
      <c r="A37" s="123"/>
      <c r="B37" s="117" t="s">
        <v>297</v>
      </c>
      <c r="C37" s="118">
        <v>1</v>
      </c>
      <c r="D37" s="118">
        <v>1.1100000000000001</v>
      </c>
      <c r="E37" s="118">
        <v>1</v>
      </c>
      <c r="F37" s="118">
        <v>1</v>
      </c>
      <c r="G37" s="118">
        <v>1</v>
      </c>
    </row>
    <row r="38" spans="1:7" ht="13" x14ac:dyDescent="0.3">
      <c r="A38" s="123"/>
      <c r="B38" s="114"/>
    </row>
    <row r="39" spans="1:7" ht="13" x14ac:dyDescent="0.3">
      <c r="A39" s="120" t="s">
        <v>308</v>
      </c>
      <c r="B39" s="121"/>
      <c r="C39" s="121"/>
      <c r="D39" s="121"/>
      <c r="E39" s="121"/>
      <c r="F39" s="121"/>
      <c r="G39" s="121"/>
    </row>
    <row r="40" spans="1:7" ht="13" x14ac:dyDescent="0.3">
      <c r="A40" s="122" t="s">
        <v>311</v>
      </c>
      <c r="B40" s="117" t="s">
        <v>289</v>
      </c>
      <c r="C40" s="118">
        <v>1.016</v>
      </c>
      <c r="D40" s="118">
        <v>1.016</v>
      </c>
      <c r="E40" s="118">
        <v>1.016</v>
      </c>
      <c r="F40" s="118">
        <v>1.016</v>
      </c>
      <c r="G40" s="118">
        <v>1.016</v>
      </c>
    </row>
    <row r="41" spans="1:7" ht="13" x14ac:dyDescent="0.3">
      <c r="A41" s="105"/>
      <c r="B41" s="117" t="s">
        <v>286</v>
      </c>
      <c r="C41" s="118">
        <v>1.016</v>
      </c>
      <c r="D41" s="118">
        <v>1.016</v>
      </c>
      <c r="E41" s="118">
        <v>1.016</v>
      </c>
      <c r="F41" s="118">
        <v>1.016</v>
      </c>
      <c r="G41" s="118">
        <v>1.016</v>
      </c>
    </row>
    <row r="42" spans="1:7" ht="13" x14ac:dyDescent="0.3">
      <c r="A42" s="122" t="s">
        <v>124</v>
      </c>
      <c r="B42" s="117" t="s">
        <v>292</v>
      </c>
      <c r="C42" s="118">
        <f t="shared" ref="C42:G42" si="3">IF(C18=1,1,C18*0.9)</f>
        <v>1</v>
      </c>
      <c r="D42" s="118">
        <f t="shared" si="3"/>
        <v>1</v>
      </c>
      <c r="E42" s="118">
        <f t="shared" si="3"/>
        <v>1</v>
      </c>
      <c r="F42" s="118">
        <f t="shared" si="3"/>
        <v>1</v>
      </c>
      <c r="G42" s="118">
        <f t="shared" si="3"/>
        <v>1</v>
      </c>
    </row>
    <row r="44" spans="1:7" ht="13" x14ac:dyDescent="0.3">
      <c r="A44" s="120" t="s">
        <v>305</v>
      </c>
      <c r="B44" s="121"/>
      <c r="C44" s="121"/>
      <c r="D44" s="121"/>
      <c r="E44" s="121"/>
      <c r="F44" s="121"/>
      <c r="G44" s="121"/>
    </row>
    <row r="45" spans="1:7" ht="13" x14ac:dyDescent="0.3">
      <c r="A45" s="123"/>
      <c r="B45" s="123"/>
      <c r="C45" s="124" t="s">
        <v>87</v>
      </c>
      <c r="D45" s="124" t="s">
        <v>88</v>
      </c>
      <c r="E45" s="124" t="s">
        <v>89</v>
      </c>
      <c r="F45" s="124" t="s">
        <v>90</v>
      </c>
      <c r="G45" s="123"/>
    </row>
    <row r="46" spans="1:7" x14ac:dyDescent="0.25">
      <c r="B46" s="117" t="s">
        <v>283</v>
      </c>
      <c r="C46" s="118">
        <f>C22*0.9</f>
        <v>1.3680000000000001</v>
      </c>
      <c r="D46" s="118">
        <v>1</v>
      </c>
      <c r="E46" s="118">
        <v>1</v>
      </c>
      <c r="F46" s="118">
        <v>1</v>
      </c>
    </row>
    <row r="48" spans="1:7" s="119" customFormat="1" ht="13" x14ac:dyDescent="0.3">
      <c r="A48" s="119" t="s">
        <v>276</v>
      </c>
    </row>
    <row r="49" spans="1:7" ht="13" x14ac:dyDescent="0.3">
      <c r="A49" s="120" t="s">
        <v>307</v>
      </c>
      <c r="B49" s="121"/>
      <c r="C49" s="121"/>
      <c r="D49" s="121"/>
      <c r="E49" s="121"/>
      <c r="F49" s="121"/>
      <c r="G49" s="121"/>
    </row>
    <row r="50" spans="1:7" ht="13" x14ac:dyDescent="0.3">
      <c r="A50" s="122" t="s">
        <v>237</v>
      </c>
      <c r="B50" s="107"/>
      <c r="C50" s="105" t="s">
        <v>97</v>
      </c>
      <c r="D50" s="105" t="s">
        <v>93</v>
      </c>
      <c r="E50" s="105" t="s">
        <v>96</v>
      </c>
      <c r="F50" s="105" t="s">
        <v>94</v>
      </c>
      <c r="G50" s="105" t="s">
        <v>95</v>
      </c>
    </row>
    <row r="51" spans="1:7" x14ac:dyDescent="0.25">
      <c r="B51" s="117" t="s">
        <v>296</v>
      </c>
      <c r="C51" s="118" t="s">
        <v>8</v>
      </c>
      <c r="D51" s="118">
        <f t="shared" ref="D51:G51" si="4">D3*1.05</f>
        <v>47.25</v>
      </c>
      <c r="E51" s="118">
        <f t="shared" si="4"/>
        <v>379.68000000000006</v>
      </c>
      <c r="F51" s="118">
        <f t="shared" si="4"/>
        <v>183.435</v>
      </c>
      <c r="G51" s="118">
        <f t="shared" si="4"/>
        <v>183.435</v>
      </c>
    </row>
    <row r="52" spans="1:7" ht="13" x14ac:dyDescent="0.3">
      <c r="A52" s="105"/>
      <c r="B52" s="117" t="s">
        <v>282</v>
      </c>
      <c r="C52" s="118">
        <v>1.0349999999999999</v>
      </c>
      <c r="D52" s="118">
        <v>1.0349999999999999</v>
      </c>
      <c r="E52" s="118">
        <v>1.0349999999999999</v>
      </c>
      <c r="F52" s="118">
        <v>1.0349999999999999</v>
      </c>
      <c r="G52" s="118">
        <v>1.0349999999999999</v>
      </c>
    </row>
    <row r="53" spans="1:7" ht="13" x14ac:dyDescent="0.3">
      <c r="A53" s="123" t="s">
        <v>279</v>
      </c>
    </row>
    <row r="54" spans="1:7" x14ac:dyDescent="0.25">
      <c r="B54" s="117" t="s">
        <v>310</v>
      </c>
      <c r="C54" s="118">
        <f>IF(C6=1,1,C6*1.1)</f>
        <v>1</v>
      </c>
      <c r="D54" s="118">
        <f t="shared" ref="D54:G54" si="5">IF(D6=1,1,D6*1.1)</f>
        <v>1</v>
      </c>
      <c r="E54" s="118">
        <f>E6*1.05</f>
        <v>0.93450000000000011</v>
      </c>
      <c r="F54" s="118">
        <f>F6*1.05</f>
        <v>0.93450000000000011</v>
      </c>
      <c r="G54" s="118">
        <f t="shared" si="5"/>
        <v>1</v>
      </c>
    </row>
    <row r="55" spans="1:7" x14ac:dyDescent="0.25">
      <c r="B55" s="117" t="s">
        <v>300</v>
      </c>
      <c r="C55" s="118">
        <f>IF(C7=1,1,C7*1.1)</f>
        <v>1</v>
      </c>
      <c r="D55" s="118">
        <f>IF(D7=1,1,D7*1.1)</f>
        <v>1</v>
      </c>
      <c r="E55" s="118">
        <v>0.91</v>
      </c>
      <c r="F55" s="118">
        <v>0.91</v>
      </c>
      <c r="G55" s="118">
        <f>IF(G7=1,1,G7*1.1)</f>
        <v>1</v>
      </c>
    </row>
    <row r="56" spans="1:7" x14ac:dyDescent="0.25">
      <c r="B56" s="117" t="s">
        <v>28</v>
      </c>
      <c r="C56" s="118">
        <f>IF(C8=1,1,C8*1.1)</f>
        <v>1</v>
      </c>
      <c r="D56" s="118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7" t="s">
        <v>315</v>
      </c>
      <c r="C57" s="118">
        <f t="shared" ref="C57:G58" si="6">IF(C9=1,1,C9*1.1)</f>
        <v>1</v>
      </c>
      <c r="D57" s="118">
        <f t="shared" si="6"/>
        <v>1</v>
      </c>
      <c r="E57" s="118">
        <v>0.91</v>
      </c>
      <c r="F57" s="118">
        <v>0.91</v>
      </c>
      <c r="G57" s="118">
        <f t="shared" si="6"/>
        <v>1</v>
      </c>
    </row>
    <row r="58" spans="1:7" x14ac:dyDescent="0.25">
      <c r="B58" s="117" t="s">
        <v>313</v>
      </c>
      <c r="C58" s="118">
        <f t="shared" si="6"/>
        <v>1</v>
      </c>
      <c r="D58" s="118">
        <f t="shared" si="6"/>
        <v>1</v>
      </c>
      <c r="E58" s="118">
        <f t="shared" si="6"/>
        <v>1</v>
      </c>
      <c r="F58" s="118">
        <f t="shared" si="6"/>
        <v>1</v>
      </c>
      <c r="G58" s="118">
        <f t="shared" si="6"/>
        <v>1</v>
      </c>
    </row>
    <row r="59" spans="1:7" x14ac:dyDescent="0.25">
      <c r="B59" s="117"/>
      <c r="C59" s="117"/>
      <c r="D59" s="117"/>
      <c r="E59" s="117"/>
      <c r="F59" s="117"/>
      <c r="G59" s="117"/>
    </row>
    <row r="60" spans="1:7" ht="13" x14ac:dyDescent="0.3">
      <c r="A60" s="120" t="s">
        <v>303</v>
      </c>
      <c r="B60" s="121"/>
      <c r="C60" s="121"/>
      <c r="D60" s="121"/>
      <c r="E60" s="121"/>
      <c r="F60" s="121"/>
      <c r="G60" s="121"/>
    </row>
    <row r="61" spans="1:7" ht="13" x14ac:dyDescent="0.3">
      <c r="A61" s="123"/>
      <c r="B61" s="117" t="s">
        <v>298</v>
      </c>
      <c r="C61" s="118">
        <v>1</v>
      </c>
      <c r="D61" s="118">
        <v>1.74</v>
      </c>
      <c r="E61" s="118">
        <v>1</v>
      </c>
      <c r="F61" s="118">
        <v>1</v>
      </c>
      <c r="G61" s="118">
        <v>1</v>
      </c>
    </row>
    <row r="62" spans="1:7" ht="13" x14ac:dyDescent="0.3">
      <c r="A62" s="123"/>
      <c r="B62" s="114"/>
    </row>
    <row r="63" spans="1:7" ht="13" x14ac:dyDescent="0.3">
      <c r="A63" s="120" t="s">
        <v>308</v>
      </c>
      <c r="B63" s="121"/>
      <c r="C63" s="121"/>
      <c r="D63" s="121"/>
      <c r="E63" s="121"/>
      <c r="F63" s="121"/>
      <c r="G63" s="121"/>
    </row>
    <row r="64" spans="1:7" ht="13" x14ac:dyDescent="0.3">
      <c r="A64" s="122" t="s">
        <v>311</v>
      </c>
      <c r="B64" s="117" t="s">
        <v>290</v>
      </c>
      <c r="C64" s="118">
        <v>1.0309999999999999</v>
      </c>
      <c r="D64" s="118">
        <v>1.0309999999999999</v>
      </c>
      <c r="E64" s="118">
        <v>1.0309999999999999</v>
      </c>
      <c r="F64" s="118">
        <v>1.0309999999999999</v>
      </c>
      <c r="G64" s="118">
        <v>1.0309999999999999</v>
      </c>
    </row>
    <row r="65" spans="1:7" ht="13" x14ac:dyDescent="0.3">
      <c r="A65" s="105"/>
      <c r="B65" s="117" t="s">
        <v>287</v>
      </c>
      <c r="C65" s="118">
        <v>1.0309999999999999</v>
      </c>
      <c r="D65" s="118">
        <v>1.0309999999999999</v>
      </c>
      <c r="E65" s="118">
        <v>1.0309999999999999</v>
      </c>
      <c r="F65" s="118">
        <v>1.0309999999999999</v>
      </c>
      <c r="G65" s="118">
        <v>1.0309999999999999</v>
      </c>
    </row>
    <row r="66" spans="1:7" ht="13" x14ac:dyDescent="0.3">
      <c r="A66" s="122" t="s">
        <v>124</v>
      </c>
      <c r="B66" s="117" t="s">
        <v>293</v>
      </c>
      <c r="C66" s="118">
        <f t="shared" ref="C66:G66" si="7">IF(C18=1,1,C18*1.1)</f>
        <v>1</v>
      </c>
      <c r="D66" s="118">
        <f t="shared" si="7"/>
        <v>1</v>
      </c>
      <c r="E66" s="118">
        <f t="shared" si="7"/>
        <v>1</v>
      </c>
      <c r="F66" s="118">
        <f t="shared" si="7"/>
        <v>1</v>
      </c>
      <c r="G66" s="118">
        <f t="shared" si="7"/>
        <v>1</v>
      </c>
    </row>
    <row r="68" spans="1:7" ht="13" x14ac:dyDescent="0.3">
      <c r="A68" s="120" t="s">
        <v>306</v>
      </c>
      <c r="B68" s="121"/>
      <c r="C68" s="121"/>
      <c r="D68" s="121"/>
      <c r="E68" s="121"/>
      <c r="F68" s="121"/>
      <c r="G68" s="121"/>
    </row>
    <row r="69" spans="1:7" ht="13" x14ac:dyDescent="0.3">
      <c r="A69" s="123"/>
      <c r="B69" s="123"/>
      <c r="C69" s="124" t="s">
        <v>87</v>
      </c>
      <c r="D69" s="124" t="s">
        <v>88</v>
      </c>
      <c r="E69" s="124" t="s">
        <v>89</v>
      </c>
      <c r="F69" s="124" t="s">
        <v>90</v>
      </c>
      <c r="G69" s="123"/>
    </row>
    <row r="70" spans="1:7" x14ac:dyDescent="0.25">
      <c r="B70" s="117" t="s">
        <v>284</v>
      </c>
      <c r="C70" s="118">
        <f>C22*1.1</f>
        <v>1.6720000000000002</v>
      </c>
      <c r="D70" s="118">
        <v>1</v>
      </c>
      <c r="E70" s="118">
        <v>1</v>
      </c>
      <c r="F70" s="118">
        <v>1</v>
      </c>
    </row>
  </sheetData>
  <sheetProtection algorithmName="SHA-512" hashValue="3BVbgQFsmQGYvYEDP7VGmcyebneME2btW7AZ0RgjIWFvgWRQzDOionTZh+CCmQh6lU45bR0TCSqLoceHMgkFTw==" saltValue="w4pLgFL2hKk+mauAUkAlf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topLeftCell="A31" zoomScale="70" zoomScaleNormal="70" workbookViewId="0">
      <selection activeCell="C19" sqref="C19"/>
    </sheetView>
  </sheetViews>
  <sheetFormatPr defaultColWidth="16.1796875" defaultRowHeight="15.75" customHeight="1" x14ac:dyDescent="0.25"/>
  <cols>
    <col min="1" max="1" width="52.26953125" style="106" customWidth="1"/>
    <col min="2" max="6" width="16.1796875" style="106"/>
    <col min="7" max="7" width="17.26953125" style="106" customWidth="1"/>
    <col min="8" max="8" width="16.1796875" style="106" customWidth="1"/>
    <col min="9" max="16384" width="16.1796875" style="106"/>
  </cols>
  <sheetData>
    <row r="1" spans="1:6" ht="15.75" customHeight="1" x14ac:dyDescent="0.3">
      <c r="A1" s="107" t="s">
        <v>192</v>
      </c>
      <c r="B1" s="105"/>
      <c r="C1" s="105" t="s">
        <v>71</v>
      </c>
      <c r="D1" s="105" t="s">
        <v>78</v>
      </c>
      <c r="E1" s="105" t="s">
        <v>70</v>
      </c>
      <c r="F1" s="107" t="s">
        <v>77</v>
      </c>
    </row>
    <row r="2" spans="1:6" ht="15.75" customHeight="1" x14ac:dyDescent="0.25">
      <c r="A2" s="117" t="s">
        <v>194</v>
      </c>
      <c r="B2" s="117" t="s">
        <v>317</v>
      </c>
      <c r="C2" s="118">
        <v>0.28999999999999998</v>
      </c>
      <c r="D2" s="118">
        <v>0.28999999999999998</v>
      </c>
      <c r="E2" s="118">
        <v>0</v>
      </c>
      <c r="F2" s="118">
        <v>0</v>
      </c>
    </row>
    <row r="3" spans="1:6" ht="15.75" customHeight="1" x14ac:dyDescent="0.25">
      <c r="A3" s="117"/>
      <c r="B3" s="117" t="s">
        <v>316</v>
      </c>
      <c r="C3" s="118">
        <v>1</v>
      </c>
      <c r="D3" s="118">
        <v>1</v>
      </c>
      <c r="E3" s="118">
        <v>1</v>
      </c>
      <c r="F3" s="118">
        <v>1</v>
      </c>
    </row>
    <row r="4" spans="1:6" ht="15.75" customHeight="1" x14ac:dyDescent="0.25">
      <c r="A4" s="117" t="s">
        <v>195</v>
      </c>
      <c r="B4" s="117" t="s">
        <v>317</v>
      </c>
      <c r="C4" s="118">
        <f>1-0.76</f>
        <v>0.24</v>
      </c>
      <c r="D4" s="118">
        <v>0</v>
      </c>
      <c r="E4" s="118">
        <f>1-0.76</f>
        <v>0.24</v>
      </c>
      <c r="F4" s="118">
        <v>0</v>
      </c>
    </row>
    <row r="5" spans="1:6" ht="15.75" customHeight="1" x14ac:dyDescent="0.25">
      <c r="A5" s="117"/>
      <c r="B5" s="117" t="s">
        <v>316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7" t="s">
        <v>207</v>
      </c>
      <c r="B6" s="117" t="s">
        <v>317</v>
      </c>
      <c r="C6" s="118">
        <v>0.61</v>
      </c>
      <c r="D6" s="118">
        <v>0.61</v>
      </c>
      <c r="E6" s="118">
        <v>0</v>
      </c>
      <c r="F6" s="118">
        <v>0</v>
      </c>
    </row>
    <row r="7" spans="1:6" ht="15.75" customHeight="1" x14ac:dyDescent="0.25">
      <c r="A7" s="117"/>
      <c r="B7" s="117" t="s">
        <v>316</v>
      </c>
      <c r="C7" s="118">
        <v>1</v>
      </c>
      <c r="D7" s="118">
        <v>1</v>
      </c>
      <c r="E7" s="118">
        <v>1</v>
      </c>
      <c r="F7" s="118">
        <v>1</v>
      </c>
    </row>
    <row r="8" spans="1:6" ht="15.75" customHeight="1" x14ac:dyDescent="0.25">
      <c r="A8" s="117" t="s">
        <v>208</v>
      </c>
      <c r="B8" s="117" t="s">
        <v>317</v>
      </c>
      <c r="C8" s="118">
        <v>0.61</v>
      </c>
      <c r="D8" s="118">
        <v>0.61</v>
      </c>
      <c r="E8" s="118">
        <v>0</v>
      </c>
      <c r="F8" s="118">
        <v>0</v>
      </c>
    </row>
    <row r="9" spans="1:6" ht="15.75" customHeight="1" x14ac:dyDescent="0.25">
      <c r="A9" s="117"/>
      <c r="B9" s="117" t="s">
        <v>316</v>
      </c>
      <c r="C9" s="118">
        <v>1</v>
      </c>
      <c r="D9" s="118">
        <v>1</v>
      </c>
      <c r="E9" s="118">
        <v>1</v>
      </c>
      <c r="F9" s="118">
        <v>1</v>
      </c>
    </row>
    <row r="10" spans="1:6" ht="15.75" customHeight="1" x14ac:dyDescent="0.25">
      <c r="A10" s="117" t="s">
        <v>209</v>
      </c>
      <c r="B10" s="117" t="s">
        <v>317</v>
      </c>
      <c r="C10" s="118">
        <v>0.35</v>
      </c>
      <c r="D10" s="118">
        <v>0.35</v>
      </c>
      <c r="E10" s="118">
        <v>0</v>
      </c>
      <c r="F10" s="118">
        <v>0</v>
      </c>
    </row>
    <row r="11" spans="1:6" ht="15.75" customHeight="1" x14ac:dyDescent="0.25">
      <c r="A11" s="117"/>
      <c r="B11" s="117" t="s">
        <v>316</v>
      </c>
      <c r="C11" s="118">
        <v>1</v>
      </c>
      <c r="D11" s="118">
        <v>1</v>
      </c>
      <c r="E11" s="118">
        <v>0</v>
      </c>
      <c r="F11" s="118">
        <v>0</v>
      </c>
    </row>
    <row r="12" spans="1:6" ht="15.75" customHeight="1" x14ac:dyDescent="0.25">
      <c r="A12" s="117" t="s">
        <v>214</v>
      </c>
      <c r="B12" s="117" t="s">
        <v>317</v>
      </c>
      <c r="C12" s="118">
        <v>0.35</v>
      </c>
      <c r="D12" s="118">
        <v>0.35</v>
      </c>
      <c r="E12" s="118">
        <v>0</v>
      </c>
      <c r="F12" s="118">
        <v>0</v>
      </c>
    </row>
    <row r="13" spans="1:6" ht="15.75" customHeight="1" x14ac:dyDescent="0.25">
      <c r="A13" s="117"/>
      <c r="B13" s="117" t="s">
        <v>316</v>
      </c>
      <c r="C13" s="118">
        <v>1</v>
      </c>
      <c r="D13" s="118">
        <v>1</v>
      </c>
      <c r="E13" s="118">
        <v>0</v>
      </c>
      <c r="F13" s="118">
        <v>0</v>
      </c>
    </row>
    <row r="14" spans="1:6" ht="15.75" customHeight="1" x14ac:dyDescent="0.25">
      <c r="A14" s="117" t="s">
        <v>220</v>
      </c>
      <c r="B14" s="117" t="s">
        <v>317</v>
      </c>
      <c r="C14" s="118">
        <f>1-0.9*0.39</f>
        <v>0.64900000000000002</v>
      </c>
      <c r="D14" s="118">
        <f>1-0.9*0.39</f>
        <v>0.64900000000000002</v>
      </c>
      <c r="E14" s="118">
        <v>0</v>
      </c>
      <c r="F14" s="118">
        <v>0</v>
      </c>
    </row>
    <row r="15" spans="1:6" ht="15.75" customHeight="1" x14ac:dyDescent="0.25">
      <c r="A15" s="117"/>
      <c r="B15" s="117" t="s">
        <v>316</v>
      </c>
      <c r="C15" s="118">
        <v>1</v>
      </c>
      <c r="D15" s="118">
        <v>1</v>
      </c>
      <c r="E15" s="118">
        <v>1</v>
      </c>
      <c r="F15" s="118">
        <v>1</v>
      </c>
    </row>
    <row r="17" spans="1:6" s="119" customFormat="1" ht="15.75" customHeight="1" x14ac:dyDescent="0.3">
      <c r="A17" s="119" t="s">
        <v>266</v>
      </c>
    </row>
    <row r="18" spans="1:6" ht="15.75" customHeight="1" x14ac:dyDescent="0.3">
      <c r="A18" s="107" t="s">
        <v>192</v>
      </c>
      <c r="B18" s="105"/>
      <c r="C18" s="105" t="s">
        <v>71</v>
      </c>
      <c r="D18" s="105" t="s">
        <v>78</v>
      </c>
      <c r="E18" s="105" t="s">
        <v>70</v>
      </c>
      <c r="F18" s="107" t="s">
        <v>77</v>
      </c>
    </row>
    <row r="19" spans="1:6" ht="15.75" customHeight="1" x14ac:dyDescent="0.25">
      <c r="A19" s="117" t="s">
        <v>194</v>
      </c>
      <c r="B19" s="117" t="s">
        <v>317</v>
      </c>
      <c r="C19" s="118">
        <f>1-0.94</f>
        <v>6.0000000000000053E-2</v>
      </c>
      <c r="D19" s="118">
        <f>1-0.94</f>
        <v>6.0000000000000053E-2</v>
      </c>
      <c r="E19" s="118">
        <f t="shared" ref="E19:F19" si="0">E2*0.9</f>
        <v>0</v>
      </c>
      <c r="F19" s="118">
        <f t="shared" si="0"/>
        <v>0</v>
      </c>
    </row>
    <row r="20" spans="1:6" ht="15.75" customHeight="1" x14ac:dyDescent="0.25">
      <c r="A20" s="117"/>
      <c r="B20" s="117" t="s">
        <v>316</v>
      </c>
      <c r="C20" s="118">
        <v>1</v>
      </c>
      <c r="D20" s="118">
        <v>1</v>
      </c>
      <c r="E20" s="118">
        <v>1</v>
      </c>
      <c r="F20" s="118">
        <v>1</v>
      </c>
    </row>
    <row r="21" spans="1:6" ht="15.75" customHeight="1" x14ac:dyDescent="0.25">
      <c r="A21" s="117" t="s">
        <v>195</v>
      </c>
      <c r="B21" s="117" t="s">
        <v>317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7"/>
      <c r="B22" s="117" t="s">
        <v>316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7" t="s">
        <v>207</v>
      </c>
      <c r="B23" s="117" t="s">
        <v>317</v>
      </c>
      <c r="C23" s="118">
        <f>1-0.86</f>
        <v>0.14000000000000001</v>
      </c>
      <c r="D23" s="118">
        <f>1-0.86</f>
        <v>0.14000000000000001</v>
      </c>
      <c r="E23" s="118">
        <f t="shared" ref="E23:F23" si="1">E6*0.9</f>
        <v>0</v>
      </c>
      <c r="F23" s="118">
        <f t="shared" si="1"/>
        <v>0</v>
      </c>
    </row>
    <row r="24" spans="1:6" ht="15.75" customHeight="1" x14ac:dyDescent="0.25">
      <c r="A24" s="117"/>
      <c r="B24" s="117" t="s">
        <v>316</v>
      </c>
      <c r="C24" s="118">
        <v>1</v>
      </c>
      <c r="D24" s="118">
        <v>1</v>
      </c>
      <c r="E24" s="118">
        <v>1</v>
      </c>
      <c r="F24" s="118">
        <v>1</v>
      </c>
    </row>
    <row r="25" spans="1:6" ht="15.75" customHeight="1" x14ac:dyDescent="0.25">
      <c r="A25" s="117" t="s">
        <v>208</v>
      </c>
      <c r="B25" s="117" t="s">
        <v>317</v>
      </c>
      <c r="C25" s="118">
        <f>1-0.86</f>
        <v>0.14000000000000001</v>
      </c>
      <c r="D25" s="118">
        <f>1-0.86</f>
        <v>0.14000000000000001</v>
      </c>
      <c r="E25" s="118">
        <f t="shared" ref="E25:F25" si="2">E8*0.9</f>
        <v>0</v>
      </c>
      <c r="F25" s="118">
        <f t="shared" si="2"/>
        <v>0</v>
      </c>
    </row>
    <row r="26" spans="1:6" ht="15.75" customHeight="1" x14ac:dyDescent="0.25">
      <c r="A26" s="117"/>
      <c r="B26" s="117" t="s">
        <v>316</v>
      </c>
      <c r="C26" s="118">
        <v>1</v>
      </c>
      <c r="D26" s="118">
        <v>1</v>
      </c>
      <c r="E26" s="118">
        <v>1</v>
      </c>
      <c r="F26" s="118">
        <v>1</v>
      </c>
    </row>
    <row r="27" spans="1:6" ht="15.75" customHeight="1" x14ac:dyDescent="0.25">
      <c r="A27" s="117" t="s">
        <v>209</v>
      </c>
      <c r="B27" s="117" t="s">
        <v>317</v>
      </c>
      <c r="C27" s="118">
        <f>1-0.77</f>
        <v>0.22999999999999998</v>
      </c>
      <c r="D27" s="118">
        <f>1-0.77</f>
        <v>0.22999999999999998</v>
      </c>
      <c r="E27" s="118">
        <f t="shared" ref="E27:F27" si="3">E12*0.9</f>
        <v>0</v>
      </c>
      <c r="F27" s="118">
        <f t="shared" si="3"/>
        <v>0</v>
      </c>
    </row>
    <row r="28" spans="1:6" ht="15.75" customHeight="1" x14ac:dyDescent="0.25">
      <c r="A28" s="117"/>
      <c r="B28" s="117" t="s">
        <v>316</v>
      </c>
      <c r="C28" s="118">
        <v>1</v>
      </c>
      <c r="D28" s="118">
        <v>1</v>
      </c>
      <c r="E28" s="118">
        <v>1</v>
      </c>
      <c r="F28" s="118">
        <v>1</v>
      </c>
    </row>
    <row r="29" spans="1:6" ht="15.75" customHeight="1" x14ac:dyDescent="0.25">
      <c r="A29" s="117" t="s">
        <v>214</v>
      </c>
      <c r="B29" s="117" t="s">
        <v>317</v>
      </c>
      <c r="C29" s="118">
        <f>1-0.77</f>
        <v>0.22999999999999998</v>
      </c>
      <c r="D29" s="118">
        <f>1-0.77</f>
        <v>0.22999999999999998</v>
      </c>
      <c r="E29" s="118">
        <f t="shared" ref="E29:F29" si="4">E12*0.9</f>
        <v>0</v>
      </c>
      <c r="F29" s="118">
        <f t="shared" si="4"/>
        <v>0</v>
      </c>
    </row>
    <row r="30" spans="1:6" ht="15.75" customHeight="1" x14ac:dyDescent="0.25">
      <c r="A30" s="117"/>
      <c r="B30" s="117" t="s">
        <v>316</v>
      </c>
      <c r="C30" s="118">
        <v>1</v>
      </c>
      <c r="D30" s="118">
        <v>1</v>
      </c>
      <c r="E30" s="118">
        <v>1</v>
      </c>
      <c r="F30" s="118">
        <v>1</v>
      </c>
    </row>
    <row r="31" spans="1:6" ht="15.75" customHeight="1" x14ac:dyDescent="0.25">
      <c r="A31" s="117" t="s">
        <v>220</v>
      </c>
      <c r="B31" s="117" t="s">
        <v>317</v>
      </c>
      <c r="C31" s="118">
        <f>1-0.96*0.86</f>
        <v>0.1744</v>
      </c>
      <c r="D31" s="118">
        <f>1-0.96*0.86</f>
        <v>0.1744</v>
      </c>
      <c r="E31" s="118">
        <f t="shared" ref="E31:F31" si="5">E14*0.9</f>
        <v>0</v>
      </c>
      <c r="F31" s="118">
        <f t="shared" si="5"/>
        <v>0</v>
      </c>
    </row>
    <row r="32" spans="1:6" ht="15.75" customHeight="1" x14ac:dyDescent="0.25">
      <c r="A32" s="117"/>
      <c r="B32" s="117" t="s">
        <v>316</v>
      </c>
      <c r="C32" s="118">
        <v>1</v>
      </c>
      <c r="D32" s="118">
        <v>1</v>
      </c>
      <c r="E32" s="118">
        <v>1</v>
      </c>
      <c r="F32" s="118">
        <v>1</v>
      </c>
    </row>
    <row r="34" spans="1:6" s="119" customFormat="1" ht="15.75" customHeight="1" x14ac:dyDescent="0.3">
      <c r="A34" s="119" t="s">
        <v>276</v>
      </c>
    </row>
    <row r="35" spans="1:6" ht="15.75" customHeight="1" x14ac:dyDescent="0.3">
      <c r="A35" s="107" t="s">
        <v>192</v>
      </c>
      <c r="B35" s="105"/>
      <c r="C35" s="105" t="s">
        <v>71</v>
      </c>
      <c r="D35" s="105" t="s">
        <v>78</v>
      </c>
      <c r="E35" s="105" t="s">
        <v>70</v>
      </c>
      <c r="F35" s="107" t="s">
        <v>77</v>
      </c>
    </row>
    <row r="36" spans="1:6" ht="15.75" customHeight="1" x14ac:dyDescent="0.25">
      <c r="A36" s="117" t="s">
        <v>194</v>
      </c>
      <c r="B36" s="117" t="s">
        <v>317</v>
      </c>
      <c r="C36" s="118">
        <f>1-0.54</f>
        <v>0.45999999999999996</v>
      </c>
      <c r="D36" s="118">
        <f>1-0.54</f>
        <v>0.45999999999999996</v>
      </c>
      <c r="E36" s="118">
        <f t="shared" ref="E36:F36" si="6">E2*1.1</f>
        <v>0</v>
      </c>
      <c r="F36" s="118">
        <f t="shared" si="6"/>
        <v>0</v>
      </c>
    </row>
    <row r="37" spans="1:6" ht="15.75" customHeight="1" x14ac:dyDescent="0.25">
      <c r="A37" s="117"/>
      <c r="B37" s="117" t="s">
        <v>316</v>
      </c>
      <c r="C37" s="118">
        <v>1</v>
      </c>
      <c r="D37" s="118">
        <v>1</v>
      </c>
      <c r="E37" s="118">
        <v>1</v>
      </c>
      <c r="F37" s="118">
        <v>1</v>
      </c>
    </row>
    <row r="38" spans="1:6" ht="15.75" customHeight="1" x14ac:dyDescent="0.25">
      <c r="A38" s="117" t="s">
        <v>195</v>
      </c>
      <c r="B38" s="117" t="s">
        <v>317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7"/>
      <c r="B39" s="117" t="s">
        <v>316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7" t="s">
        <v>207</v>
      </c>
      <c r="B40" s="117" t="s">
        <v>317</v>
      </c>
      <c r="C40" s="118">
        <f>1-0.17</f>
        <v>0.83</v>
      </c>
      <c r="D40" s="118">
        <f>1-0.17</f>
        <v>0.83</v>
      </c>
      <c r="E40" s="118">
        <f t="shared" ref="E40:F40" si="7">E6*1.1</f>
        <v>0</v>
      </c>
      <c r="F40" s="118">
        <f t="shared" si="7"/>
        <v>0</v>
      </c>
    </row>
    <row r="41" spans="1:6" ht="15.75" customHeight="1" x14ac:dyDescent="0.25">
      <c r="A41" s="117"/>
      <c r="B41" s="117" t="s">
        <v>316</v>
      </c>
      <c r="C41" s="118">
        <v>1</v>
      </c>
      <c r="D41" s="118">
        <v>1</v>
      </c>
      <c r="E41" s="118">
        <v>1</v>
      </c>
      <c r="F41" s="118">
        <v>1</v>
      </c>
    </row>
    <row r="42" spans="1:6" ht="15.75" customHeight="1" x14ac:dyDescent="0.25">
      <c r="A42" s="117" t="s">
        <v>208</v>
      </c>
      <c r="B42" s="117" t="s">
        <v>317</v>
      </c>
      <c r="C42" s="118">
        <f>1-0.17</f>
        <v>0.83</v>
      </c>
      <c r="D42" s="118">
        <f>1-0.17</f>
        <v>0.83</v>
      </c>
      <c r="E42" s="118">
        <f t="shared" ref="E42:F42" si="8">E8*1.1</f>
        <v>0</v>
      </c>
      <c r="F42" s="118">
        <f t="shared" si="8"/>
        <v>0</v>
      </c>
    </row>
    <row r="43" spans="1:6" ht="15.75" customHeight="1" x14ac:dyDescent="0.25">
      <c r="A43" s="117"/>
      <c r="B43" s="117" t="s">
        <v>316</v>
      </c>
      <c r="C43" s="118">
        <v>1</v>
      </c>
      <c r="D43" s="118">
        <v>1</v>
      </c>
      <c r="E43" s="118">
        <v>1</v>
      </c>
      <c r="F43" s="118">
        <v>1</v>
      </c>
    </row>
    <row r="44" spans="1:6" ht="15.75" customHeight="1" x14ac:dyDescent="0.25">
      <c r="A44" s="117" t="s">
        <v>209</v>
      </c>
      <c r="B44" s="117" t="s">
        <v>317</v>
      </c>
      <c r="C44" s="118">
        <f>1-0.55</f>
        <v>0.44999999999999996</v>
      </c>
      <c r="D44" s="118">
        <f>1-0.55</f>
        <v>0.44999999999999996</v>
      </c>
      <c r="E44" s="118">
        <f t="shared" ref="E44:F44" si="9">E10*1.1</f>
        <v>0</v>
      </c>
      <c r="F44" s="118">
        <f t="shared" si="9"/>
        <v>0</v>
      </c>
    </row>
    <row r="45" spans="1:6" ht="15.75" customHeight="1" x14ac:dyDescent="0.25">
      <c r="A45" s="117"/>
      <c r="B45" s="117" t="s">
        <v>316</v>
      </c>
      <c r="C45" s="118">
        <v>1</v>
      </c>
      <c r="D45" s="118">
        <v>1</v>
      </c>
      <c r="E45" s="118">
        <v>1</v>
      </c>
      <c r="F45" s="118">
        <v>1</v>
      </c>
    </row>
    <row r="46" spans="1:6" ht="15.75" customHeight="1" x14ac:dyDescent="0.25">
      <c r="A46" s="117" t="s">
        <v>214</v>
      </c>
      <c r="B46" s="117" t="s">
        <v>317</v>
      </c>
      <c r="C46" s="118">
        <f>1-0.55</f>
        <v>0.44999999999999996</v>
      </c>
      <c r="D46" s="118">
        <f>1-0.55</f>
        <v>0.44999999999999996</v>
      </c>
      <c r="E46" s="118">
        <f t="shared" ref="E46:F46" si="10">E12*1.1</f>
        <v>0</v>
      </c>
      <c r="F46" s="118">
        <f t="shared" si="10"/>
        <v>0</v>
      </c>
    </row>
    <row r="47" spans="1:6" ht="15.75" customHeight="1" x14ac:dyDescent="0.25">
      <c r="A47" s="117"/>
      <c r="B47" s="117" t="s">
        <v>316</v>
      </c>
      <c r="C47" s="118">
        <v>1</v>
      </c>
      <c r="D47" s="118">
        <v>1</v>
      </c>
      <c r="E47" s="118">
        <v>1</v>
      </c>
      <c r="F47" s="118">
        <v>1</v>
      </c>
    </row>
    <row r="48" spans="1:6" ht="15.75" customHeight="1" x14ac:dyDescent="0.25">
      <c r="A48" s="117" t="s">
        <v>220</v>
      </c>
      <c r="B48" s="117" t="s">
        <v>317</v>
      </c>
      <c r="C48" s="118">
        <f>1-0.84*0.17</f>
        <v>0.85719999999999996</v>
      </c>
      <c r="D48" s="118">
        <f>1-0.84*0.17</f>
        <v>0.85719999999999996</v>
      </c>
      <c r="E48" s="118">
        <f t="shared" ref="E48:F48" si="11">E14*1.1</f>
        <v>0</v>
      </c>
      <c r="F48" s="118">
        <f t="shared" si="11"/>
        <v>0</v>
      </c>
    </row>
    <row r="49" spans="1:6" ht="15.75" customHeight="1" x14ac:dyDescent="0.25">
      <c r="A49" s="117"/>
      <c r="B49" s="117" t="s">
        <v>316</v>
      </c>
      <c r="C49" s="118">
        <v>1</v>
      </c>
      <c r="D49" s="118">
        <v>1</v>
      </c>
      <c r="E49" s="118">
        <v>1</v>
      </c>
      <c r="F49" s="118">
        <v>1</v>
      </c>
    </row>
  </sheetData>
  <sheetProtection algorithmName="SHA-512" hashValue="TtRb9ukfefTEKt62WTRIIn8R3XObfDpy475pnY0dlVzM22mPOuBZQkvAN28FxDKGri8QrcJhQn07hKzrDoczkw==" saltValue="8sq5YoDeWW4J48DTl43Co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31" sqref="C3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320</v>
      </c>
    </row>
    <row r="2" spans="1:6" ht="15.75" customHeight="1" x14ac:dyDescent="0.3">
      <c r="B2" s="69"/>
      <c r="C2" s="26" t="s">
        <v>77</v>
      </c>
      <c r="D2" s="70" t="s">
        <v>78</v>
      </c>
      <c r="E2" s="70" t="s">
        <v>70</v>
      </c>
      <c r="F2" s="70" t="s">
        <v>71</v>
      </c>
    </row>
    <row r="3" spans="1:6" ht="15.75" customHeight="1" x14ac:dyDescent="0.3">
      <c r="A3" s="4" t="s">
        <v>327</v>
      </c>
      <c r="B3" s="14"/>
      <c r="C3" s="71"/>
      <c r="D3" s="72"/>
      <c r="E3" s="72"/>
      <c r="F3" s="72"/>
    </row>
    <row r="4" spans="1:6" ht="15.75" customHeight="1" x14ac:dyDescent="0.25">
      <c r="B4" s="5" t="s">
        <v>46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82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29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30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324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333</v>
      </c>
      <c r="C11" s="74"/>
      <c r="D11" s="75"/>
      <c r="E11" s="75"/>
      <c r="F11" s="75"/>
    </row>
    <row r="12" spans="1:6" ht="15.75" customHeight="1" x14ac:dyDescent="0.3">
      <c r="A12" s="4" t="s">
        <v>321</v>
      </c>
      <c r="C12" s="73"/>
      <c r="D12" s="64"/>
      <c r="E12" s="64"/>
      <c r="F12" s="64"/>
    </row>
    <row r="13" spans="1:6" ht="15.75" customHeight="1" x14ac:dyDescent="0.25">
      <c r="B13" s="11" t="s">
        <v>336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126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138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330</v>
      </c>
      <c r="B17" s="14"/>
      <c r="C17" s="77"/>
      <c r="D17" s="78"/>
      <c r="E17" s="78"/>
      <c r="F17" s="78"/>
    </row>
    <row r="18" spans="1:6" ht="15.75" customHeight="1" x14ac:dyDescent="0.25">
      <c r="B18" s="5" t="s">
        <v>112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116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114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110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115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117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111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113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266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320</v>
      </c>
    </row>
    <row r="29" spans="1:6" ht="15.75" customHeight="1" x14ac:dyDescent="0.3">
      <c r="B29" s="69"/>
      <c r="C29" s="26" t="s">
        <v>77</v>
      </c>
      <c r="D29" s="70" t="s">
        <v>78</v>
      </c>
      <c r="E29" s="70" t="s">
        <v>70</v>
      </c>
      <c r="F29" s="70" t="s">
        <v>71</v>
      </c>
    </row>
    <row r="30" spans="1:6" ht="15.75" customHeight="1" x14ac:dyDescent="0.3">
      <c r="A30" s="4" t="s">
        <v>328</v>
      </c>
      <c r="B30" s="14"/>
      <c r="C30" s="71"/>
      <c r="D30" s="72"/>
      <c r="E30" s="72"/>
      <c r="F30" s="72"/>
    </row>
    <row r="31" spans="1:6" ht="15.75" customHeight="1" x14ac:dyDescent="0.25">
      <c r="B31" s="5" t="s">
        <v>46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82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29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30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325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333</v>
      </c>
      <c r="B38" s="68"/>
      <c r="C38" s="74"/>
      <c r="D38" s="75"/>
      <c r="E38" s="75"/>
      <c r="F38" s="75"/>
    </row>
    <row r="39" spans="1:6" ht="15.75" customHeight="1" x14ac:dyDescent="0.3">
      <c r="A39" s="4" t="s">
        <v>322</v>
      </c>
      <c r="C39" s="73"/>
      <c r="D39" s="64"/>
      <c r="E39" s="64"/>
      <c r="F39" s="64"/>
    </row>
    <row r="40" spans="1:6" ht="15.75" customHeight="1" x14ac:dyDescent="0.25">
      <c r="B40" s="11" t="s">
        <v>337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318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334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331</v>
      </c>
      <c r="B44" s="14"/>
      <c r="C44" s="77"/>
      <c r="D44" s="78"/>
      <c r="E44" s="78"/>
      <c r="F44" s="78"/>
    </row>
    <row r="45" spans="1:6" ht="15.75" customHeight="1" x14ac:dyDescent="0.25">
      <c r="B45" s="5" t="s">
        <v>112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116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114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110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115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117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111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113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276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320</v>
      </c>
    </row>
    <row r="56" spans="1:6" ht="15.75" customHeight="1" x14ac:dyDescent="0.3">
      <c r="B56" s="69"/>
      <c r="C56" s="26" t="s">
        <v>77</v>
      </c>
      <c r="D56" s="70" t="s">
        <v>78</v>
      </c>
      <c r="E56" s="70" t="s">
        <v>70</v>
      </c>
      <c r="F56" s="70" t="s">
        <v>71</v>
      </c>
    </row>
    <row r="57" spans="1:6" ht="15.75" customHeight="1" x14ac:dyDescent="0.3">
      <c r="A57" s="4" t="s">
        <v>329</v>
      </c>
      <c r="B57" s="14"/>
      <c r="C57" s="71"/>
      <c r="D57" s="72"/>
      <c r="E57" s="72"/>
      <c r="F57" s="72"/>
    </row>
    <row r="58" spans="1:6" ht="15.75" customHeight="1" x14ac:dyDescent="0.25">
      <c r="B58" s="5" t="s">
        <v>46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82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29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30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326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333</v>
      </c>
      <c r="B65" s="68"/>
      <c r="C65" s="74"/>
      <c r="D65" s="75"/>
      <c r="E65" s="75"/>
      <c r="F65" s="75"/>
    </row>
    <row r="66" spans="1:6" ht="15.75" customHeight="1" x14ac:dyDescent="0.3">
      <c r="A66" s="4" t="s">
        <v>323</v>
      </c>
      <c r="C66" s="73"/>
      <c r="D66" s="64"/>
      <c r="E66" s="64"/>
      <c r="F66" s="64"/>
    </row>
    <row r="67" spans="1:6" ht="15.75" customHeight="1" x14ac:dyDescent="0.25">
      <c r="B67" s="11" t="s">
        <v>338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319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335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332</v>
      </c>
      <c r="B71" s="14"/>
      <c r="C71" s="77"/>
      <c r="D71" s="78"/>
      <c r="E71" s="78"/>
      <c r="F71" s="78"/>
    </row>
    <row r="72" spans="1:6" ht="15.75" customHeight="1" x14ac:dyDescent="0.25">
      <c r="B72" s="5" t="s">
        <v>112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116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114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110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115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117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111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113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HYi+zsl0JKU0q0o7CkegKgRtwApUW+cNyahOq5oLsv0rV6EkPN+xhHv8BDJByJBzvMF4lamY1CdLtET4tm07yQ==" saltValue="4cE2kfYLyr0xGJWMOBNZ0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D30" sqref="D30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350</v>
      </c>
    </row>
    <row r="2" spans="1:16" ht="13" x14ac:dyDescent="0.3">
      <c r="A2" s="39" t="s">
        <v>260</v>
      </c>
      <c r="B2" s="1" t="s">
        <v>342</v>
      </c>
      <c r="C2" s="1" t="s">
        <v>343</v>
      </c>
      <c r="D2" s="70" t="s">
        <v>97</v>
      </c>
      <c r="E2" s="70" t="s">
        <v>93</v>
      </c>
      <c r="F2" s="70" t="s">
        <v>96</v>
      </c>
      <c r="G2" s="70" t="s">
        <v>94</v>
      </c>
      <c r="H2" s="70" t="s">
        <v>95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103</v>
      </c>
      <c r="C3" s="3" t="s">
        <v>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345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346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344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121</v>
      </c>
      <c r="C7" s="3" t="s">
        <v>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345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346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344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109</v>
      </c>
      <c r="C11" s="3" t="s">
        <v>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345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346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344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3</v>
      </c>
      <c r="C15" s="3" t="s">
        <v>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345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346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344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2</v>
      </c>
      <c r="C19" s="3" t="s">
        <v>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345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346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344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118</v>
      </c>
      <c r="C23" s="3" t="s">
        <v>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345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346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344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351</v>
      </c>
    </row>
    <row r="29" spans="1:16" ht="13" x14ac:dyDescent="0.3">
      <c r="A29" s="39" t="s">
        <v>311</v>
      </c>
      <c r="B29" s="4" t="s">
        <v>342</v>
      </c>
      <c r="C29" s="4" t="s">
        <v>353</v>
      </c>
      <c r="D29" s="70" t="s">
        <v>97</v>
      </c>
      <c r="E29" s="70" t="s">
        <v>93</v>
      </c>
      <c r="F29" s="70" t="s">
        <v>96</v>
      </c>
      <c r="G29" s="70" t="s">
        <v>94</v>
      </c>
      <c r="H29" s="70" t="s">
        <v>95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103</v>
      </c>
      <c r="C30" s="3" t="s">
        <v>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345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6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236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121</v>
      </c>
      <c r="C34" s="3" t="s">
        <v>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345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6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236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109</v>
      </c>
      <c r="C38" s="3" t="s">
        <v>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345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6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236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3</v>
      </c>
      <c r="C42" s="3" t="s">
        <v>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345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6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236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2</v>
      </c>
      <c r="C46" s="3" t="s">
        <v>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345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6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236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118</v>
      </c>
      <c r="C50" s="3" t="s">
        <v>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345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6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236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348</v>
      </c>
    </row>
    <row r="56" spans="1:16" ht="26.4" customHeight="1" x14ac:dyDescent="0.3">
      <c r="A56" s="39" t="s">
        <v>124</v>
      </c>
      <c r="B56" s="4" t="s">
        <v>342</v>
      </c>
      <c r="C56" s="69" t="s">
        <v>339</v>
      </c>
      <c r="D56" s="70" t="s">
        <v>132</v>
      </c>
      <c r="E56" s="70" t="s">
        <v>133</v>
      </c>
      <c r="F56" s="70" t="s">
        <v>134</v>
      </c>
      <c r="G56" s="70" t="s">
        <v>135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100</v>
      </c>
      <c r="C57" s="3" t="s">
        <v>347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340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108</v>
      </c>
      <c r="C59" s="3" t="s">
        <v>347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340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122</v>
      </c>
      <c r="C61" s="3" t="s">
        <v>347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340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349</v>
      </c>
    </row>
    <row r="65" spans="1:16" ht="26.4" customHeight="1" x14ac:dyDescent="0.3">
      <c r="A65" s="39" t="s">
        <v>142</v>
      </c>
      <c r="B65" s="4" t="s">
        <v>342</v>
      </c>
      <c r="C65" s="69" t="s">
        <v>341</v>
      </c>
      <c r="D65" s="70" t="s">
        <v>97</v>
      </c>
      <c r="E65" s="70" t="s">
        <v>93</v>
      </c>
      <c r="F65" s="70" t="s">
        <v>96</v>
      </c>
      <c r="G65" s="70" t="s">
        <v>94</v>
      </c>
      <c r="H65" s="81" t="s">
        <v>95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112</v>
      </c>
      <c r="C66" s="3" t="s">
        <v>143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146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145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144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116</v>
      </c>
      <c r="C70" s="3" t="s">
        <v>143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146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145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144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114</v>
      </c>
      <c r="C74" s="3" t="s">
        <v>143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146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145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144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115</v>
      </c>
      <c r="C78" s="3" t="s">
        <v>143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146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145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144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103</v>
      </c>
      <c r="C82" s="3" t="s">
        <v>143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146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145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144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121</v>
      </c>
      <c r="C86" s="3" t="s">
        <v>143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146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145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144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109</v>
      </c>
      <c r="C90" s="3" t="s">
        <v>143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146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145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144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2</v>
      </c>
      <c r="C94" s="3" t="s">
        <v>143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146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145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144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120</v>
      </c>
      <c r="C98" s="3" t="s">
        <v>143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146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145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144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352</v>
      </c>
    </row>
    <row r="104" spans="1:16" ht="26.4" customHeight="1" x14ac:dyDescent="0.3">
      <c r="A104" s="39" t="s">
        <v>103</v>
      </c>
      <c r="B104" s="82" t="s">
        <v>144</v>
      </c>
      <c r="C104" s="69" t="s">
        <v>341</v>
      </c>
      <c r="D104" s="70" t="s">
        <v>97</v>
      </c>
      <c r="E104" s="70" t="s">
        <v>93</v>
      </c>
      <c r="F104" s="70" t="s">
        <v>96</v>
      </c>
      <c r="G104" s="70" t="s">
        <v>94</v>
      </c>
      <c r="H104" s="81" t="s">
        <v>95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143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146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145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144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266</v>
      </c>
      <c r="H110" s="92"/>
    </row>
    <row r="111" spans="1:16" ht="13" x14ac:dyDescent="0.3">
      <c r="A111" s="67" t="s">
        <v>350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260</v>
      </c>
      <c r="B112" s="1" t="s">
        <v>342</v>
      </c>
      <c r="C112" s="1" t="s">
        <v>343</v>
      </c>
      <c r="D112" s="70" t="s">
        <v>97</v>
      </c>
      <c r="E112" s="70" t="s">
        <v>93</v>
      </c>
      <c r="F112" s="70" t="s">
        <v>96</v>
      </c>
      <c r="G112" s="70" t="s">
        <v>94</v>
      </c>
      <c r="H112" s="70" t="s">
        <v>95</v>
      </c>
    </row>
    <row r="113" spans="1:8" ht="13" x14ac:dyDescent="0.3">
      <c r="A113" s="4"/>
      <c r="B113" s="8" t="s">
        <v>103</v>
      </c>
      <c r="C113" s="3" t="s">
        <v>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345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346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344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121</v>
      </c>
      <c r="C117" s="3" t="s">
        <v>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345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346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344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109</v>
      </c>
      <c r="C121" s="3" t="s">
        <v>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345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346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344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3</v>
      </c>
      <c r="C125" s="3" t="s">
        <v>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345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346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344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2</v>
      </c>
      <c r="C129" s="3" t="s">
        <v>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345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346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344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118</v>
      </c>
      <c r="C133" s="3" t="s">
        <v>7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345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346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344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351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311</v>
      </c>
      <c r="B139" s="4" t="s">
        <v>342</v>
      </c>
      <c r="C139" s="4" t="s">
        <v>353</v>
      </c>
      <c r="D139" s="70" t="s">
        <v>97</v>
      </c>
      <c r="E139" s="70" t="s">
        <v>93</v>
      </c>
      <c r="F139" s="70" t="s">
        <v>96</v>
      </c>
      <c r="G139" s="70" t="s">
        <v>94</v>
      </c>
      <c r="H139" s="70" t="s">
        <v>95</v>
      </c>
    </row>
    <row r="140" spans="1:8" ht="13" x14ac:dyDescent="0.3">
      <c r="A140" s="4"/>
      <c r="B140" s="8" t="s">
        <v>103</v>
      </c>
      <c r="C140" s="3" t="s">
        <v>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345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6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236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121</v>
      </c>
      <c r="C144" s="3" t="s">
        <v>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345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6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236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109</v>
      </c>
      <c r="C148" s="3" t="s">
        <v>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345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6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236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3</v>
      </c>
      <c r="C152" s="3" t="s">
        <v>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345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6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236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2</v>
      </c>
      <c r="C156" s="3" t="s">
        <v>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345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6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236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118</v>
      </c>
      <c r="C160" s="3" t="s">
        <v>7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345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6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236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348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124</v>
      </c>
      <c r="B166" s="4" t="s">
        <v>342</v>
      </c>
      <c r="C166" s="69" t="s">
        <v>339</v>
      </c>
      <c r="D166" s="70" t="s">
        <v>132</v>
      </c>
      <c r="E166" s="70" t="s">
        <v>133</v>
      </c>
      <c r="F166" s="70" t="s">
        <v>134</v>
      </c>
      <c r="G166" s="70" t="s">
        <v>135</v>
      </c>
      <c r="H166" s="79"/>
    </row>
    <row r="167" spans="1:8" ht="13" x14ac:dyDescent="0.3">
      <c r="A167" s="4"/>
      <c r="B167" s="8" t="s">
        <v>100</v>
      </c>
      <c r="C167" s="3" t="s">
        <v>347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340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108</v>
      </c>
      <c r="C169" s="3" t="s">
        <v>347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340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122</v>
      </c>
      <c r="C171" s="3" t="s">
        <v>347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340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349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142</v>
      </c>
      <c r="B175" s="4" t="s">
        <v>342</v>
      </c>
      <c r="C175" s="69" t="s">
        <v>341</v>
      </c>
      <c r="D175" s="70" t="s">
        <v>97</v>
      </c>
      <c r="E175" s="70" t="s">
        <v>93</v>
      </c>
      <c r="F175" s="70" t="s">
        <v>96</v>
      </c>
      <c r="G175" s="70" t="s">
        <v>94</v>
      </c>
      <c r="H175" s="81" t="s">
        <v>95</v>
      </c>
    </row>
    <row r="176" spans="1:8" ht="13" x14ac:dyDescent="0.3">
      <c r="A176" s="82"/>
      <c r="B176" s="8" t="s">
        <v>112</v>
      </c>
      <c r="C176" s="3" t="s">
        <v>143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146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145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144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116</v>
      </c>
      <c r="C180" s="3" t="s">
        <v>143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146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145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144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114</v>
      </c>
      <c r="C184" s="3" t="s">
        <v>143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146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145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144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115</v>
      </c>
      <c r="C188" s="3" t="s">
        <v>143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146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145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144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103</v>
      </c>
      <c r="C192" s="3" t="s">
        <v>143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146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145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144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121</v>
      </c>
      <c r="C196" s="3" t="s">
        <v>143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146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145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144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109</v>
      </c>
      <c r="C200" s="3" t="s">
        <v>143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146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145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144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2</v>
      </c>
      <c r="C204" s="3" t="s">
        <v>143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146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145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144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120</v>
      </c>
      <c r="C208" s="3" t="s">
        <v>143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146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145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144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352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103</v>
      </c>
      <c r="B214" s="82" t="s">
        <v>144</v>
      </c>
      <c r="C214" s="69" t="s">
        <v>341</v>
      </c>
      <c r="D214" s="70" t="s">
        <v>97</v>
      </c>
      <c r="E214" s="70" t="s">
        <v>93</v>
      </c>
      <c r="F214" s="70" t="s">
        <v>96</v>
      </c>
      <c r="G214" s="70" t="s">
        <v>94</v>
      </c>
      <c r="H214" s="81" t="s">
        <v>95</v>
      </c>
    </row>
    <row r="215" spans="1:9" ht="13" x14ac:dyDescent="0.3">
      <c r="A215" s="4"/>
      <c r="C215" s="3" t="s">
        <v>143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146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145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144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276</v>
      </c>
      <c r="H220" s="92"/>
    </row>
    <row r="221" spans="1:9" ht="13" x14ac:dyDescent="0.3">
      <c r="A221" s="67" t="s">
        <v>350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260</v>
      </c>
      <c r="B222" s="1" t="s">
        <v>342</v>
      </c>
      <c r="C222" s="1" t="s">
        <v>343</v>
      </c>
      <c r="D222" s="70" t="s">
        <v>97</v>
      </c>
      <c r="E222" s="70" t="s">
        <v>93</v>
      </c>
      <c r="F222" s="70" t="s">
        <v>96</v>
      </c>
      <c r="G222" s="70" t="s">
        <v>94</v>
      </c>
      <c r="H222" s="70" t="s">
        <v>95</v>
      </c>
      <c r="I222" s="79"/>
    </row>
    <row r="223" spans="1:9" ht="13" x14ac:dyDescent="0.3">
      <c r="A223" s="4"/>
      <c r="B223" s="8" t="s">
        <v>103</v>
      </c>
      <c r="C223" s="3" t="s">
        <v>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345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346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344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121</v>
      </c>
      <c r="C227" s="3" t="s">
        <v>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345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346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344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109</v>
      </c>
      <c r="C231" s="3" t="s">
        <v>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345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346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344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3</v>
      </c>
      <c r="C235" s="3" t="s">
        <v>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345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346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344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2</v>
      </c>
      <c r="C239" s="3" t="s">
        <v>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345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346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344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118</v>
      </c>
      <c r="C243" s="3" t="s">
        <v>7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345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346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344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351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311</v>
      </c>
      <c r="B249" s="4" t="s">
        <v>342</v>
      </c>
      <c r="C249" s="4" t="s">
        <v>353</v>
      </c>
      <c r="D249" s="70" t="s">
        <v>97</v>
      </c>
      <c r="E249" s="70" t="s">
        <v>93</v>
      </c>
      <c r="F249" s="70" t="s">
        <v>96</v>
      </c>
      <c r="G249" s="70" t="s">
        <v>94</v>
      </c>
      <c r="H249" s="70" t="s">
        <v>95</v>
      </c>
      <c r="I249" s="79"/>
    </row>
    <row r="250" spans="1:9" ht="13" x14ac:dyDescent="0.3">
      <c r="A250" s="4"/>
      <c r="B250" s="8" t="s">
        <v>103</v>
      </c>
      <c r="C250" s="3" t="s">
        <v>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345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6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236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121</v>
      </c>
      <c r="C254" s="3" t="s">
        <v>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345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6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236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109</v>
      </c>
      <c r="C258" s="3" t="s">
        <v>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345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6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236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3</v>
      </c>
      <c r="C262" s="3" t="s">
        <v>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345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6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236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2</v>
      </c>
      <c r="C266" s="3" t="s">
        <v>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345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6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236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118</v>
      </c>
      <c r="C270" s="3" t="s">
        <v>7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345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6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236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348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124</v>
      </c>
      <c r="B276" s="4" t="s">
        <v>342</v>
      </c>
      <c r="C276" s="69" t="s">
        <v>339</v>
      </c>
      <c r="D276" s="70" t="s">
        <v>132</v>
      </c>
      <c r="E276" s="70" t="s">
        <v>133</v>
      </c>
      <c r="F276" s="70" t="s">
        <v>134</v>
      </c>
      <c r="G276" s="70" t="s">
        <v>135</v>
      </c>
      <c r="H276" s="79"/>
    </row>
    <row r="277" spans="1:9" ht="13" x14ac:dyDescent="0.3">
      <c r="A277" s="4"/>
      <c r="B277" s="8" t="s">
        <v>100</v>
      </c>
      <c r="C277" s="3" t="s">
        <v>347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340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108</v>
      </c>
      <c r="C279" s="3" t="s">
        <v>347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340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122</v>
      </c>
      <c r="C281" s="3" t="s">
        <v>347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340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349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142</v>
      </c>
      <c r="B285" s="4" t="s">
        <v>342</v>
      </c>
      <c r="C285" s="69" t="s">
        <v>341</v>
      </c>
      <c r="D285" s="70" t="s">
        <v>97</v>
      </c>
      <c r="E285" s="70" t="s">
        <v>93</v>
      </c>
      <c r="F285" s="70" t="s">
        <v>96</v>
      </c>
      <c r="G285" s="70" t="s">
        <v>94</v>
      </c>
      <c r="H285" s="81" t="s">
        <v>95</v>
      </c>
      <c r="I285" s="79"/>
    </row>
    <row r="286" spans="1:9" ht="13" x14ac:dyDescent="0.3">
      <c r="A286" s="82"/>
      <c r="B286" s="8" t="s">
        <v>112</v>
      </c>
      <c r="C286" s="3" t="s">
        <v>143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146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145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144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116</v>
      </c>
      <c r="C290" s="3" t="s">
        <v>143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146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145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144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114</v>
      </c>
      <c r="C294" s="3" t="s">
        <v>143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146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145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144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115</v>
      </c>
      <c r="C298" s="3" t="s">
        <v>143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146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145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144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103</v>
      </c>
      <c r="C302" s="3" t="s">
        <v>143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146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145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144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121</v>
      </c>
      <c r="C306" s="3" t="s">
        <v>143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146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145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144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109</v>
      </c>
      <c r="C310" s="3" t="s">
        <v>143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146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145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144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2</v>
      </c>
      <c r="C314" s="3" t="s">
        <v>143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146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145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144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120</v>
      </c>
      <c r="C318" s="3" t="s">
        <v>143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146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145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144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352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103</v>
      </c>
      <c r="B324" s="82" t="s">
        <v>144</v>
      </c>
      <c r="C324" s="69" t="s">
        <v>341</v>
      </c>
      <c r="D324" s="70" t="s">
        <v>97</v>
      </c>
      <c r="E324" s="70" t="s">
        <v>93</v>
      </c>
      <c r="F324" s="70" t="s">
        <v>96</v>
      </c>
      <c r="G324" s="70" t="s">
        <v>94</v>
      </c>
      <c r="H324" s="81" t="s">
        <v>95</v>
      </c>
      <c r="I324" s="79"/>
    </row>
    <row r="325" spans="1:9" ht="13" x14ac:dyDescent="0.3">
      <c r="A325" s="4"/>
      <c r="C325" s="3" t="s">
        <v>143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146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145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144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mDeya5D4p2vgQVRHE1XhjOMdQYwNCsltDh+ANmlazijOmnR6Ls3gvGDNbpunP3csUursq1CadHLk9djLQCNanw==" saltValue="ALMyjFjayBjCiV6wQiTYC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zoomScale="70" zoomScaleNormal="70" workbookViewId="0">
      <selection activeCell="H15" sqref="H1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97</v>
      </c>
      <c r="D1" s="70" t="s">
        <v>93</v>
      </c>
      <c r="E1" s="70" t="s">
        <v>96</v>
      </c>
      <c r="F1" s="70" t="s">
        <v>94</v>
      </c>
      <c r="G1" s="70" t="s">
        <v>95</v>
      </c>
      <c r="H1" s="70" t="s">
        <v>87</v>
      </c>
      <c r="I1" s="70" t="s">
        <v>88</v>
      </c>
      <c r="J1" s="70" t="s">
        <v>89</v>
      </c>
      <c r="K1" s="70" t="s">
        <v>90</v>
      </c>
      <c r="L1" s="70" t="s">
        <v>132</v>
      </c>
      <c r="M1" s="70" t="s">
        <v>133</v>
      </c>
      <c r="N1" s="70" t="s">
        <v>134</v>
      </c>
      <c r="O1" s="70" t="s">
        <v>135</v>
      </c>
    </row>
    <row r="2" spans="1:15" ht="13" x14ac:dyDescent="0.3">
      <c r="A2" s="4" t="s">
        <v>357</v>
      </c>
    </row>
    <row r="3" spans="1:15" x14ac:dyDescent="0.25">
      <c r="B3" s="11" t="s">
        <v>198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203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204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205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206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207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208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209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3" t="s">
        <v>213</v>
      </c>
      <c r="C11" s="104">
        <v>1</v>
      </c>
      <c r="D11" s="104">
        <v>1</v>
      </c>
      <c r="E11" s="104">
        <v>1</v>
      </c>
      <c r="F11" s="104">
        <v>1</v>
      </c>
      <c r="G11" s="104">
        <v>1</v>
      </c>
      <c r="H11" s="104">
        <v>1</v>
      </c>
      <c r="I11" s="104">
        <v>1</v>
      </c>
      <c r="J11" s="104">
        <v>1</v>
      </c>
      <c r="K11" s="104">
        <v>1</v>
      </c>
      <c r="L11" s="104">
        <v>1</v>
      </c>
      <c r="M11" s="104">
        <v>1</v>
      </c>
      <c r="N11" s="104">
        <v>1</v>
      </c>
      <c r="O11" s="104">
        <v>1</v>
      </c>
    </row>
    <row r="12" spans="1:15" x14ac:dyDescent="0.25">
      <c r="B12" s="11" t="s">
        <v>214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219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220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233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354</v>
      </c>
      <c r="B17" s="11"/>
    </row>
    <row r="18" spans="1:15" x14ac:dyDescent="0.25">
      <c r="B18" s="5" t="s">
        <v>200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201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202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210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266</v>
      </c>
    </row>
    <row r="24" spans="1:15" ht="26.4" customHeight="1" x14ac:dyDescent="0.3">
      <c r="A24" s="4"/>
      <c r="B24" s="4"/>
      <c r="C24" s="70" t="s">
        <v>97</v>
      </c>
      <c r="D24" s="70" t="s">
        <v>93</v>
      </c>
      <c r="E24" s="70" t="s">
        <v>96</v>
      </c>
      <c r="F24" s="70" t="s">
        <v>94</v>
      </c>
      <c r="G24" s="70" t="s">
        <v>95</v>
      </c>
      <c r="H24" s="70" t="s">
        <v>87</v>
      </c>
      <c r="I24" s="70" t="s">
        <v>88</v>
      </c>
      <c r="J24" s="70" t="s">
        <v>89</v>
      </c>
      <c r="K24" s="70" t="s">
        <v>90</v>
      </c>
      <c r="L24" s="70" t="s">
        <v>132</v>
      </c>
      <c r="M24" s="70" t="s">
        <v>133</v>
      </c>
      <c r="N24" s="70" t="s">
        <v>134</v>
      </c>
      <c r="O24" s="70" t="s">
        <v>135</v>
      </c>
    </row>
    <row r="25" spans="1:15" ht="13" x14ac:dyDescent="0.3">
      <c r="A25" s="4" t="s">
        <v>358</v>
      </c>
    </row>
    <row r="26" spans="1:15" x14ac:dyDescent="0.25">
      <c r="B26" s="11" t="s">
        <v>198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203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204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205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206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207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208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209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213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214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219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220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233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355</v>
      </c>
      <c r="B40" s="11"/>
    </row>
    <row r="41" spans="1:15" x14ac:dyDescent="0.25">
      <c r="B41" s="5" t="s">
        <v>200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201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202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210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276</v>
      </c>
    </row>
    <row r="47" spans="1:15" ht="26.4" customHeight="1" x14ac:dyDescent="0.3">
      <c r="A47" s="4"/>
      <c r="B47" s="4"/>
      <c r="C47" s="70" t="s">
        <v>97</v>
      </c>
      <c r="D47" s="70" t="s">
        <v>93</v>
      </c>
      <c r="E47" s="70" t="s">
        <v>96</v>
      </c>
      <c r="F47" s="70" t="s">
        <v>94</v>
      </c>
      <c r="G47" s="70" t="s">
        <v>95</v>
      </c>
      <c r="H47" s="70" t="s">
        <v>87</v>
      </c>
      <c r="I47" s="70" t="s">
        <v>88</v>
      </c>
      <c r="J47" s="70" t="s">
        <v>89</v>
      </c>
      <c r="K47" s="70" t="s">
        <v>90</v>
      </c>
      <c r="L47" s="70" t="s">
        <v>132</v>
      </c>
      <c r="M47" s="70" t="s">
        <v>133</v>
      </c>
      <c r="N47" s="70" t="s">
        <v>134</v>
      </c>
      <c r="O47" s="70" t="s">
        <v>135</v>
      </c>
    </row>
    <row r="48" spans="1:15" ht="13" x14ac:dyDescent="0.3">
      <c r="A48" s="4" t="s">
        <v>359</v>
      </c>
    </row>
    <row r="49" spans="1:15" x14ac:dyDescent="0.25">
      <c r="B49" s="11" t="s">
        <v>198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203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204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205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206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207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208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209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213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214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219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220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233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x14ac:dyDescent="0.3">
      <c r="A63" s="4" t="s">
        <v>356</v>
      </c>
      <c r="B63" s="11"/>
    </row>
    <row r="64" spans="1:15" x14ac:dyDescent="0.25">
      <c r="B64" s="5" t="s">
        <v>200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201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202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210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+aB3ud63d+zYq5Fvb0d/xFz92oJTKMlEy/bibNu+0vvMVFflIo0Zo2cZiVPZBHxkLArG93juHkbQMtHw1XscCA==" saltValue="BHILRC3QFWdpWg5PdehsB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17" sqref="C17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</row>
    <row r="2" spans="1:7" ht="13" x14ac:dyDescent="0.3">
      <c r="A2" s="4" t="s">
        <v>364</v>
      </c>
    </row>
    <row r="3" spans="1:7" x14ac:dyDescent="0.25">
      <c r="B3" s="11" t="s">
        <v>193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361</v>
      </c>
      <c r="B4" s="11"/>
      <c r="C4" s="83"/>
      <c r="D4" s="83"/>
      <c r="E4" s="83"/>
      <c r="F4" s="83"/>
      <c r="G4" s="83"/>
    </row>
    <row r="5" spans="1:7" x14ac:dyDescent="0.25">
      <c r="B5" s="5" t="s">
        <v>191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360</v>
      </c>
    </row>
    <row r="8" spans="1:7" ht="13" x14ac:dyDescent="0.3">
      <c r="A8" s="4"/>
      <c r="B8" s="1"/>
      <c r="C8" s="4" t="s">
        <v>97</v>
      </c>
      <c r="D8" s="4" t="s">
        <v>93</v>
      </c>
      <c r="E8" s="4" t="s">
        <v>96</v>
      </c>
      <c r="F8" s="4" t="s">
        <v>94</v>
      </c>
      <c r="G8" s="4" t="s">
        <v>95</v>
      </c>
    </row>
    <row r="9" spans="1:7" ht="13" x14ac:dyDescent="0.3">
      <c r="A9" s="4" t="s">
        <v>365</v>
      </c>
    </row>
    <row r="10" spans="1:7" x14ac:dyDescent="0.25">
      <c r="B10" s="11" t="s">
        <v>193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362</v>
      </c>
      <c r="B11" s="11"/>
      <c r="C11" s="83"/>
      <c r="D11" s="83"/>
      <c r="E11" s="83"/>
      <c r="F11" s="83"/>
      <c r="G11" s="83"/>
    </row>
    <row r="12" spans="1:7" x14ac:dyDescent="0.25">
      <c r="B12" s="5" t="s">
        <v>191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367</v>
      </c>
    </row>
    <row r="15" spans="1:7" ht="13" x14ac:dyDescent="0.3">
      <c r="A15" s="4"/>
      <c r="B15" s="1"/>
      <c r="C15" s="4" t="s">
        <v>97</v>
      </c>
      <c r="D15" s="4" t="s">
        <v>93</v>
      </c>
      <c r="E15" s="4" t="s">
        <v>96</v>
      </c>
      <c r="F15" s="4" t="s">
        <v>94</v>
      </c>
      <c r="G15" s="4" t="s">
        <v>95</v>
      </c>
    </row>
    <row r="16" spans="1:7" ht="13" x14ac:dyDescent="0.3">
      <c r="A16" s="4" t="s">
        <v>366</v>
      </c>
    </row>
    <row r="17" spans="1:7" x14ac:dyDescent="0.25">
      <c r="B17" s="11" t="s">
        <v>193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363</v>
      </c>
      <c r="B18" s="11"/>
      <c r="C18" s="83"/>
      <c r="D18" s="83"/>
      <c r="E18" s="83"/>
      <c r="F18" s="83"/>
      <c r="G18" s="83"/>
    </row>
    <row r="19" spans="1:7" x14ac:dyDescent="0.25">
      <c r="B19" s="5" t="s">
        <v>191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Ch9ovBjFkK6ChbwlVdC+tu1H4zV8Y8pJAEaqFgMkbX9hSVV8vwBVvxf7/X9cH5y26lHmA+EKwOGA43cjMmWdGA==" saltValue="T4aY+pYRHAH8sNr9XstQZw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3"/>
  <sheetViews>
    <sheetView topLeftCell="A124" zoomScale="70" zoomScaleNormal="70" workbookViewId="0">
      <selection activeCell="H75" sqref="H75"/>
    </sheetView>
  </sheetViews>
  <sheetFormatPr defaultColWidth="12.6328125" defaultRowHeight="12.5" x14ac:dyDescent="0.25"/>
  <cols>
    <col min="1" max="1" width="53" style="5" customWidth="1"/>
    <col min="2" max="2" width="30.54296875" style="5" customWidth="1"/>
    <col min="3" max="3" width="24.6328125" style="5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0" width="12.6328125" style="8" customWidth="1"/>
    <col min="11" max="16384" width="12.6328125" style="8"/>
  </cols>
  <sheetData>
    <row r="1" spans="1:8" ht="13" x14ac:dyDescent="0.3">
      <c r="A1" s="4" t="s">
        <v>192</v>
      </c>
      <c r="B1" s="4" t="s">
        <v>371</v>
      </c>
      <c r="C1" s="82" t="s">
        <v>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8" x14ac:dyDescent="0.25">
      <c r="A2" s="5" t="s">
        <v>225</v>
      </c>
      <c r="B2" s="5" t="s">
        <v>103</v>
      </c>
      <c r="C2" s="5" t="s">
        <v>368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370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369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222</v>
      </c>
      <c r="B5" s="5" t="s">
        <v>236</v>
      </c>
      <c r="C5" s="5" t="s">
        <v>368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369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6</v>
      </c>
      <c r="C7" s="5" t="s">
        <v>368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369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213</v>
      </c>
      <c r="B9" s="5" t="s">
        <v>236</v>
      </c>
      <c r="C9" s="5" t="s">
        <v>368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369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6</v>
      </c>
      <c r="C11" s="5" t="s">
        <v>368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369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233</v>
      </c>
      <c r="B13" s="5" t="s">
        <v>236</v>
      </c>
      <c r="C13" s="5" t="s">
        <v>368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369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6</v>
      </c>
      <c r="C15" s="5" t="s">
        <v>368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369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196</v>
      </c>
      <c r="B17" s="5" t="s">
        <v>236</v>
      </c>
      <c r="C17" s="5" t="s">
        <v>368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369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B19" s="5" t="s">
        <v>6</v>
      </c>
      <c r="C19" s="5" t="s">
        <v>368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369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A21" s="5" t="s">
        <v>202</v>
      </c>
      <c r="B21" s="5" t="s">
        <v>111</v>
      </c>
      <c r="C21" s="5" t="s">
        <v>368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370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200</v>
      </c>
      <c r="B23" s="5" t="s">
        <v>111</v>
      </c>
      <c r="C23" s="5" t="s">
        <v>368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370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201</v>
      </c>
      <c r="B25" s="5" t="s">
        <v>111</v>
      </c>
      <c r="C25" s="5" t="s">
        <v>368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370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229</v>
      </c>
      <c r="B27" s="5" t="s">
        <v>103</v>
      </c>
      <c r="C27" s="5" t="s">
        <v>368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370</v>
      </c>
      <c r="D28" s="90">
        <v>0.3</v>
      </c>
      <c r="E28" s="90">
        <v>0.3</v>
      </c>
      <c r="F28" s="90">
        <v>0.3</v>
      </c>
      <c r="G28" s="90">
        <v>0.3</v>
      </c>
      <c r="H28" s="90">
        <v>0.3</v>
      </c>
    </row>
    <row r="29" spans="1:8" x14ac:dyDescent="0.25">
      <c r="C29" s="5" t="s">
        <v>369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230</v>
      </c>
      <c r="B30" s="5" t="s">
        <v>103</v>
      </c>
      <c r="C30" s="5" t="s">
        <v>368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370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369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228</v>
      </c>
      <c r="B33" s="5" t="s">
        <v>103</v>
      </c>
      <c r="C33" s="5" t="s">
        <v>368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370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369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227</v>
      </c>
      <c r="B36" s="5" t="s">
        <v>103</v>
      </c>
      <c r="C36" s="5" t="s">
        <v>368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370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369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226</v>
      </c>
      <c r="B39" s="5" t="s">
        <v>103</v>
      </c>
      <c r="C39" s="5" t="s">
        <v>368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370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369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232</v>
      </c>
      <c r="B42" s="5" t="s">
        <v>103</v>
      </c>
      <c r="C42" s="5" t="s">
        <v>368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370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369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121</v>
      </c>
      <c r="C45" s="5" t="s">
        <v>368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370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369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221</v>
      </c>
      <c r="B48" s="5" t="s">
        <v>103</v>
      </c>
      <c r="C48" s="5" t="s">
        <v>368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370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231</v>
      </c>
      <c r="B50" s="5" t="s">
        <v>103</v>
      </c>
      <c r="C50" s="5" t="s">
        <v>368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370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211</v>
      </c>
      <c r="B52" s="5" t="s">
        <v>115</v>
      </c>
      <c r="C52" s="5" t="s">
        <v>368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370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x14ac:dyDescent="0.3">
      <c r="A55" s="96" t="s">
        <v>360</v>
      </c>
      <c r="B55" s="97"/>
      <c r="C55" s="97"/>
    </row>
    <row r="56" spans="1:8" ht="13" x14ac:dyDescent="0.3">
      <c r="A56" s="4" t="s">
        <v>192</v>
      </c>
      <c r="B56" s="4" t="s">
        <v>371</v>
      </c>
      <c r="C56" s="82" t="s">
        <v>9</v>
      </c>
      <c r="D56" s="4" t="s">
        <v>97</v>
      </c>
      <c r="E56" s="4" t="s">
        <v>93</v>
      </c>
      <c r="F56" s="4" t="s">
        <v>96</v>
      </c>
      <c r="G56" s="4" t="s">
        <v>94</v>
      </c>
      <c r="H56" s="4" t="s">
        <v>95</v>
      </c>
    </row>
    <row r="57" spans="1:8" x14ac:dyDescent="0.25">
      <c r="A57" s="5" t="s">
        <v>225</v>
      </c>
      <c r="B57" s="5" t="s">
        <v>103</v>
      </c>
      <c r="C57" s="5" t="s">
        <v>368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370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369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222</v>
      </c>
      <c r="B60" s="5" t="s">
        <v>236</v>
      </c>
      <c r="C60" s="5" t="s">
        <v>368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369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6</v>
      </c>
      <c r="C62" s="5" t="s">
        <v>368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369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213</v>
      </c>
      <c r="B64" s="5" t="s">
        <v>236</v>
      </c>
      <c r="C64" s="5" t="s">
        <v>368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369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6</v>
      </c>
      <c r="C66" s="5" t="s">
        <v>368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369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233</v>
      </c>
      <c r="B68" s="5" t="s">
        <v>236</v>
      </c>
      <c r="C68" s="5" t="s">
        <v>368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369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6</v>
      </c>
      <c r="C70" s="5" t="s">
        <v>368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369</v>
      </c>
      <c r="D71" s="90">
        <f t="shared" si="0"/>
        <v>0</v>
      </c>
      <c r="E71" s="90">
        <f t="shared" si="0"/>
        <v>0</v>
      </c>
      <c r="F71" s="90">
        <v>0</v>
      </c>
      <c r="G71" s="90">
        <v>0</v>
      </c>
      <c r="H71" s="90">
        <f>IF($C16="Affected fraction",H16,IF(H16=1,1,H16*0.9))</f>
        <v>0</v>
      </c>
    </row>
    <row r="72" spans="1:8" x14ac:dyDescent="0.25">
      <c r="A72" s="5" t="s">
        <v>196</v>
      </c>
      <c r="B72" s="5" t="s">
        <v>236</v>
      </c>
      <c r="C72" s="5" t="s">
        <v>368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369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v>0</v>
      </c>
    </row>
    <row r="74" spans="1:8" x14ac:dyDescent="0.25">
      <c r="B74" s="5" t="s">
        <v>6</v>
      </c>
      <c r="C74" s="5" t="s">
        <v>368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369</v>
      </c>
      <c r="D75" s="90">
        <f t="shared" si="0"/>
        <v>0</v>
      </c>
      <c r="E75" s="90">
        <f t="shared" si="0"/>
        <v>0</v>
      </c>
      <c r="F75" s="90">
        <v>0</v>
      </c>
      <c r="G75" s="90">
        <v>0</v>
      </c>
      <c r="H75" s="90">
        <v>0</v>
      </c>
    </row>
    <row r="76" spans="1:8" x14ac:dyDescent="0.25">
      <c r="A76" s="5" t="s">
        <v>202</v>
      </c>
      <c r="B76" s="5" t="s">
        <v>111</v>
      </c>
      <c r="C76" s="5" t="s">
        <v>368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370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200</v>
      </c>
      <c r="B78" s="5" t="s">
        <v>111</v>
      </c>
      <c r="C78" s="5" t="s">
        <v>368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370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201</v>
      </c>
      <c r="B80" s="5" t="s">
        <v>111</v>
      </c>
      <c r="C80" s="5" t="s">
        <v>368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370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229</v>
      </c>
      <c r="B82" s="5" t="s">
        <v>103</v>
      </c>
      <c r="C82" s="5" t="s">
        <v>368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370</v>
      </c>
      <c r="D83" s="90">
        <v>7.0000000000000007E-2</v>
      </c>
      <c r="E83" s="90">
        <v>7.0000000000000007E-2</v>
      </c>
      <c r="F83" s="90">
        <v>7.0000000000000007E-2</v>
      </c>
      <c r="G83" s="90">
        <v>7.0000000000000007E-2</v>
      </c>
      <c r="H83" s="90">
        <v>7.0000000000000007E-2</v>
      </c>
    </row>
    <row r="84" spans="1:8" x14ac:dyDescent="0.25">
      <c r="C84" s="5" t="s">
        <v>369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230</v>
      </c>
      <c r="B85" s="5" t="s">
        <v>103</v>
      </c>
      <c r="C85" s="5" t="s">
        <v>368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370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369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228</v>
      </c>
      <c r="B88" s="5" t="s">
        <v>103</v>
      </c>
      <c r="C88" s="5" t="s">
        <v>368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370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369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227</v>
      </c>
      <c r="B91" s="5" t="s">
        <v>103</v>
      </c>
      <c r="C91" s="5" t="s">
        <v>368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370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369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226</v>
      </c>
      <c r="B94" s="5" t="s">
        <v>103</v>
      </c>
      <c r="C94" s="5" t="s">
        <v>368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370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369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232</v>
      </c>
      <c r="B97" s="5" t="s">
        <v>103</v>
      </c>
      <c r="C97" s="5" t="s">
        <v>368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370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369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121</v>
      </c>
      <c r="C100" s="5" t="s">
        <v>368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370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369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221</v>
      </c>
      <c r="B103" s="5" t="s">
        <v>103</v>
      </c>
      <c r="C103" s="5" t="s">
        <v>368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370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231</v>
      </c>
      <c r="B105" s="5" t="s">
        <v>103</v>
      </c>
      <c r="C105" s="5" t="s">
        <v>368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370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211</v>
      </c>
      <c r="B107" s="5" t="s">
        <v>115</v>
      </c>
      <c r="C107" s="5" t="s">
        <v>368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370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x14ac:dyDescent="0.3">
      <c r="A110" s="96" t="s">
        <v>367</v>
      </c>
      <c r="B110" s="97"/>
      <c r="C110" s="97"/>
    </row>
    <row r="111" spans="1:8" ht="13" x14ac:dyDescent="0.3">
      <c r="A111" s="4" t="s">
        <v>192</v>
      </c>
      <c r="B111" s="4" t="s">
        <v>371</v>
      </c>
      <c r="C111" s="82" t="s">
        <v>9</v>
      </c>
      <c r="D111" s="4" t="s">
        <v>97</v>
      </c>
      <c r="E111" s="4" t="s">
        <v>93</v>
      </c>
      <c r="F111" s="4" t="s">
        <v>96</v>
      </c>
      <c r="G111" s="4" t="s">
        <v>94</v>
      </c>
      <c r="H111" s="4" t="s">
        <v>95</v>
      </c>
    </row>
    <row r="112" spans="1:8" x14ac:dyDescent="0.25">
      <c r="A112" s="5" t="s">
        <v>225</v>
      </c>
      <c r="B112" s="5" t="s">
        <v>103</v>
      </c>
      <c r="C112" s="5" t="s">
        <v>368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370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369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222</v>
      </c>
      <c r="B115" s="5" t="s">
        <v>236</v>
      </c>
      <c r="C115" s="5" t="s">
        <v>368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369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6</v>
      </c>
      <c r="C117" s="5" t="s">
        <v>368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369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213</v>
      </c>
      <c r="B119" s="5" t="s">
        <v>236</v>
      </c>
      <c r="C119" s="5" t="s">
        <v>368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369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6</v>
      </c>
      <c r="C121" s="5" t="s">
        <v>368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369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233</v>
      </c>
      <c r="B123" s="5" t="s">
        <v>236</v>
      </c>
      <c r="C123" s="5" t="s">
        <v>368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369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6</v>
      </c>
      <c r="C125" s="5" t="s">
        <v>368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369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196</v>
      </c>
      <c r="B127" s="5" t="s">
        <v>236</v>
      </c>
      <c r="C127" s="5" t="s">
        <v>368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369</v>
      </c>
      <c r="D128" s="90">
        <f t="shared" si="3"/>
        <v>0</v>
      </c>
      <c r="E128" s="90">
        <f t="shared" si="3"/>
        <v>0</v>
      </c>
      <c r="F128" s="90">
        <v>0</v>
      </c>
      <c r="G128" s="90">
        <v>0</v>
      </c>
      <c r="H128" s="90">
        <v>0</v>
      </c>
    </row>
    <row r="129" spans="1:8" x14ac:dyDescent="0.25">
      <c r="B129" s="5" t="s">
        <v>6</v>
      </c>
      <c r="C129" s="5" t="s">
        <v>368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369</v>
      </c>
      <c r="D130" s="90">
        <f t="shared" si="3"/>
        <v>0</v>
      </c>
      <c r="E130" s="90">
        <f t="shared" si="3"/>
        <v>0</v>
      </c>
      <c r="F130" s="90">
        <v>0</v>
      </c>
      <c r="G130" s="90">
        <v>0</v>
      </c>
      <c r="H130" s="90">
        <v>0</v>
      </c>
    </row>
    <row r="131" spans="1:8" x14ac:dyDescent="0.25">
      <c r="A131" s="5" t="s">
        <v>202</v>
      </c>
      <c r="B131" s="5" t="s">
        <v>111</v>
      </c>
      <c r="C131" s="5" t="s">
        <v>368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370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200</v>
      </c>
      <c r="B133" s="5" t="s">
        <v>111</v>
      </c>
      <c r="C133" s="5" t="s">
        <v>368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370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201</v>
      </c>
      <c r="B135" s="5" t="s">
        <v>111</v>
      </c>
      <c r="C135" s="5" t="s">
        <v>368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370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229</v>
      </c>
      <c r="B137" s="5" t="s">
        <v>103</v>
      </c>
      <c r="C137" s="5" t="s">
        <v>368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370</v>
      </c>
      <c r="D138" s="90">
        <v>0.51</v>
      </c>
      <c r="E138" s="90">
        <v>0.51</v>
      </c>
      <c r="F138" s="90">
        <v>0.51</v>
      </c>
      <c r="G138" s="90">
        <v>0.51</v>
      </c>
      <c r="H138" s="90">
        <v>0.51</v>
      </c>
    </row>
    <row r="139" spans="1:8" x14ac:dyDescent="0.25">
      <c r="C139" s="5" t="s">
        <v>369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230</v>
      </c>
      <c r="B140" s="5" t="s">
        <v>103</v>
      </c>
      <c r="C140" s="5" t="s">
        <v>368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370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369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228</v>
      </c>
      <c r="B143" s="5" t="s">
        <v>103</v>
      </c>
      <c r="C143" s="5" t="s">
        <v>368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370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369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227</v>
      </c>
      <c r="B146" s="5" t="s">
        <v>103</v>
      </c>
      <c r="C146" s="5" t="s">
        <v>368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370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369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226</v>
      </c>
      <c r="B149" s="5" t="s">
        <v>103</v>
      </c>
      <c r="C149" s="5" t="s">
        <v>368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370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369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232</v>
      </c>
      <c r="B152" s="5" t="s">
        <v>103</v>
      </c>
      <c r="C152" s="5" t="s">
        <v>368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370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369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121</v>
      </c>
      <c r="C155" s="5" t="s">
        <v>368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370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369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221</v>
      </c>
      <c r="B158" s="5" t="s">
        <v>103</v>
      </c>
      <c r="C158" s="5" t="s">
        <v>368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370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231</v>
      </c>
      <c r="B160" s="5" t="s">
        <v>103</v>
      </c>
      <c r="C160" s="5" t="s">
        <v>368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370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211</v>
      </c>
      <c r="B162" s="5" t="s">
        <v>115</v>
      </c>
      <c r="C162" s="5" t="s">
        <v>368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370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Op00i3xQuTm9QwlvbJfYMpnLVP10agF4ecwCwKSA49bIBw9DOaOB/NDyYBzj4YyvpotO6ONL+MvXdrrxKNV2Xg==" saltValue="/okhd7lFo6o3YbHmfGjL7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16" sqref="D16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192</v>
      </c>
      <c r="B1" s="1" t="s">
        <v>371</v>
      </c>
      <c r="C1" s="1"/>
      <c r="D1" s="4" t="s">
        <v>132</v>
      </c>
      <c r="E1" s="4" t="s">
        <v>133</v>
      </c>
      <c r="F1" s="4" t="s">
        <v>134</v>
      </c>
      <c r="G1" s="4" t="s">
        <v>135</v>
      </c>
      <c r="H1" s="4"/>
    </row>
    <row r="2" spans="1:8" x14ac:dyDescent="0.25">
      <c r="A2" s="3" t="s">
        <v>195</v>
      </c>
      <c r="B2" s="8" t="s">
        <v>105</v>
      </c>
      <c r="C2" s="3" t="s">
        <v>368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370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218</v>
      </c>
      <c r="B4" s="8" t="s">
        <v>105</v>
      </c>
      <c r="C4" s="3" t="s">
        <v>368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370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217</v>
      </c>
      <c r="B6" s="8" t="s">
        <v>105</v>
      </c>
      <c r="C6" s="3" t="s">
        <v>368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370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220</v>
      </c>
      <c r="B8" s="3" t="s">
        <v>263</v>
      </c>
      <c r="C8" s="3" t="s">
        <v>368</v>
      </c>
      <c r="D8" s="118">
        <v>1</v>
      </c>
      <c r="E8" s="118">
        <v>1</v>
      </c>
      <c r="F8" s="118">
        <v>1</v>
      </c>
      <c r="G8" s="118">
        <v>1</v>
      </c>
      <c r="H8" s="3"/>
    </row>
    <row r="9" spans="1:8" x14ac:dyDescent="0.25">
      <c r="A9" s="3"/>
      <c r="B9" s="3"/>
      <c r="C9" s="3" t="s">
        <v>246</v>
      </c>
      <c r="D9" s="118">
        <v>0.09</v>
      </c>
      <c r="E9" s="118">
        <v>0.09</v>
      </c>
      <c r="F9" s="118">
        <v>0.09</v>
      </c>
      <c r="G9" s="118">
        <v>0.09</v>
      </c>
      <c r="H9" s="3"/>
    </row>
    <row r="11" spans="1:8" s="92" customFormat="1" ht="13" x14ac:dyDescent="0.3">
      <c r="A11" s="92" t="s">
        <v>360</v>
      </c>
    </row>
    <row r="12" spans="1:8" ht="13" x14ac:dyDescent="0.3">
      <c r="A12" s="1" t="s">
        <v>192</v>
      </c>
      <c r="B12" s="1" t="s">
        <v>371</v>
      </c>
      <c r="C12" s="1"/>
      <c r="D12" s="4" t="s">
        <v>132</v>
      </c>
      <c r="E12" s="4" t="s">
        <v>133</v>
      </c>
      <c r="F12" s="4" t="s">
        <v>134</v>
      </c>
      <c r="G12" s="4" t="s">
        <v>135</v>
      </c>
    </row>
    <row r="13" spans="1:8" x14ac:dyDescent="0.25">
      <c r="A13" s="3" t="s">
        <v>195</v>
      </c>
      <c r="B13" s="8" t="s">
        <v>105</v>
      </c>
      <c r="C13" s="3" t="s">
        <v>368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370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218</v>
      </c>
      <c r="B15" s="8" t="s">
        <v>105</v>
      </c>
      <c r="C15" s="3" t="s">
        <v>368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370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217</v>
      </c>
      <c r="B17" s="8" t="s">
        <v>105</v>
      </c>
      <c r="C17" s="3" t="s">
        <v>368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370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220</v>
      </c>
      <c r="B19" s="3" t="s">
        <v>263</v>
      </c>
      <c r="C19" s="3" t="s">
        <v>368</v>
      </c>
      <c r="D19" s="118">
        <f t="shared" si="0"/>
        <v>1</v>
      </c>
      <c r="E19" s="118">
        <f t="shared" si="0"/>
        <v>1</v>
      </c>
      <c r="F19" s="118">
        <f t="shared" si="0"/>
        <v>1</v>
      </c>
      <c r="G19" s="118">
        <f t="shared" si="0"/>
        <v>1</v>
      </c>
    </row>
    <row r="20" spans="1:7" x14ac:dyDescent="0.25">
      <c r="A20" s="3"/>
      <c r="B20" s="3"/>
      <c r="C20" s="3" t="s">
        <v>246</v>
      </c>
      <c r="D20" s="118">
        <v>0.02</v>
      </c>
      <c r="E20" s="118">
        <v>0.02</v>
      </c>
      <c r="F20" s="118">
        <v>0.02</v>
      </c>
      <c r="G20" s="118">
        <v>0.02</v>
      </c>
    </row>
    <row r="22" spans="1:7" s="92" customFormat="1" ht="13" x14ac:dyDescent="0.3">
      <c r="A22" s="92" t="s">
        <v>367</v>
      </c>
    </row>
    <row r="23" spans="1:7" ht="13" x14ac:dyDescent="0.3">
      <c r="A23" s="1" t="s">
        <v>192</v>
      </c>
      <c r="B23" s="1" t="s">
        <v>371</v>
      </c>
      <c r="C23" s="1"/>
      <c r="D23" s="4" t="s">
        <v>132</v>
      </c>
      <c r="E23" s="4" t="s">
        <v>133</v>
      </c>
      <c r="F23" s="4" t="s">
        <v>134</v>
      </c>
      <c r="G23" s="4" t="s">
        <v>135</v>
      </c>
    </row>
    <row r="24" spans="1:7" x14ac:dyDescent="0.25">
      <c r="A24" s="3" t="s">
        <v>195</v>
      </c>
      <c r="B24" s="8" t="s">
        <v>105</v>
      </c>
      <c r="C24" s="3" t="s">
        <v>368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370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218</v>
      </c>
      <c r="B26" s="8" t="s">
        <v>105</v>
      </c>
      <c r="C26" s="3" t="s">
        <v>368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370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217</v>
      </c>
      <c r="B28" s="8" t="s">
        <v>105</v>
      </c>
      <c r="C28" s="3" t="s">
        <v>368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370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220</v>
      </c>
      <c r="B30" s="3" t="s">
        <v>263</v>
      </c>
      <c r="C30" s="3" t="s">
        <v>368</v>
      </c>
      <c r="D30" s="118">
        <f t="shared" ref="D30:G30" si="1">IF($C8="Affected fraction",D8,IF(D8=1,1,D8*1.05))</f>
        <v>1</v>
      </c>
      <c r="E30" s="118">
        <f t="shared" si="1"/>
        <v>1</v>
      </c>
      <c r="F30" s="118">
        <f t="shared" si="1"/>
        <v>1</v>
      </c>
      <c r="G30" s="118">
        <f t="shared" si="1"/>
        <v>1</v>
      </c>
    </row>
    <row r="31" spans="1:7" x14ac:dyDescent="0.25">
      <c r="A31" s="3"/>
      <c r="B31" s="3"/>
      <c r="C31" s="3" t="s">
        <v>246</v>
      </c>
      <c r="D31" s="118">
        <v>0.14000000000000001</v>
      </c>
      <c r="E31" s="118">
        <v>0.14000000000000001</v>
      </c>
      <c r="F31" s="118">
        <v>0.14000000000000001</v>
      </c>
      <c r="G31" s="118">
        <v>0.14000000000000001</v>
      </c>
    </row>
  </sheetData>
  <sheetProtection algorithmName="SHA-512" hashValue="g6w/bWRGSSemKbG4bT6Qr3YZ3zlcVX+yg6rnGCIjcdv7U4R7qSSGeh0JJ3lMCW2mbQlsMiWk0Wzf63ep8Xzw0Q==" saltValue="XECCsskpXwHvazHFn9q23w==" spinCount="100000" sheet="1" objects="1" scenarios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f77cb9dc30d15950233dec29875e7d3d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c7972fb108f377c3e0c6a81e726e76be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9AE9A51-FA73-431C-A4D5-36C1DFA1FE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customXml/itemProps3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Entradas de población-año base</vt:lpstr>
      <vt:lpstr>Proyecciones demográficas</vt:lpstr>
      <vt:lpstr>Causas de muerte</vt:lpstr>
      <vt:lpstr>Distribución estado nutricional</vt:lpstr>
      <vt:lpstr>Distribución de lactancia</vt:lpstr>
      <vt:lpstr>Tendencias temporales</vt:lpstr>
      <vt:lpstr>Variables económicas</vt:lpstr>
      <vt:lpstr>Paquetes de IYCF</vt:lpstr>
      <vt:lpstr>Tratamiento de la MAS</vt:lpstr>
      <vt:lpstr>Costo y cobertura del programa</vt:lpstr>
      <vt:lpstr>Dependencias del programa</vt:lpstr>
      <vt:lpstr>Programas de referencia</vt:lpstr>
      <vt:lpstr>Incidencia de las afecciones</vt:lpstr>
      <vt:lpstr>Población objetivo del programa</vt:lpstr>
      <vt:lpstr>Opciones de la curva de costos</vt:lpstr>
      <vt:lpstr>Prog. de planificación familiar</vt:lpstr>
      <vt:lpstr>Programas población afectada</vt:lpstr>
      <vt:lpstr>Riesgos que impacta programa</vt:lpstr>
      <vt:lpstr>Riegos para la población</vt:lpstr>
      <vt:lpstr>Razón de momios IYCF</vt:lpstr>
      <vt:lpstr>Razón de momios</vt:lpstr>
      <vt:lpstr>Resultados de nacimiento- prog</vt:lpstr>
      <vt:lpstr>Riesgos desenlace de nacimiento</vt:lpstr>
      <vt:lpstr>Riesgos relativos</vt:lpstr>
      <vt:lpstr>Programas de anemia</vt:lpstr>
      <vt:lpstr>Programas para emaciación</vt:lpstr>
      <vt:lpstr>Programas para niños</vt:lpstr>
      <vt:lpstr>Prog. para mujeres embarazadas</vt:lpstr>
      <vt:lpstr>'Paquetes de IYCF'!abortion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'Paquetes de IYCF'!stillbirth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Tharindu Wickramaarachchi</dc:creator>
  <cp:keywords>lang=es</cp:keywords>
  <dc:description/>
  <cp:lastModifiedBy>Tharindu Wickramaarachchi</cp:lastModifiedBy>
  <cp:revision/>
  <dcterms:created xsi:type="dcterms:W3CDTF">2017-08-01T10:42:13Z</dcterms:created>
  <dcterms:modified xsi:type="dcterms:W3CDTF">2025-07-08T03:43:44Z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