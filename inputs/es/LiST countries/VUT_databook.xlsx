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B3D9358E-6620-4C79-8DBE-B3E19FDBFED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25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4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<sst xmlns="http://schemas.openxmlformats.org/spreadsheetml/2006/main" count="2159" uniqueCount="372">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</sst>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44304</v>
      </c>
    </row>
    <row r="8" spans="1:3" ht="15" customHeight="1" x14ac:dyDescent="0.25">
      <c r="B8" s="5" t="s">
        <v>63</v>
      </c>
      <c r="C8" s="44">
        <v>0.159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0.49825380000000002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0.49299999999999999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7.7300000000000008E-2</v>
      </c>
    </row>
    <row r="24" spans="1:3" ht="15" customHeight="1" x14ac:dyDescent="0.25">
      <c r="B24" s="15" t="s">
        <v>65</v>
      </c>
      <c r="C24" s="45">
        <v>0.50680000000000003</v>
      </c>
    </row>
    <row r="25" spans="1:3" ht="15" customHeight="1" x14ac:dyDescent="0.25">
      <c r="B25" s="15" t="s">
        <v>66</v>
      </c>
      <c r="C25" s="45">
        <v>0.33629999999999988</v>
      </c>
    </row>
    <row r="26" spans="1:3" ht="15" customHeight="1" x14ac:dyDescent="0.25">
      <c r="B26" s="15" t="s">
        <v>67</v>
      </c>
      <c r="C26" s="45">
        <v>7.9600000000000004E-2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0.35185775257007201</v>
      </c>
    </row>
    <row r="30" spans="1:3" ht="14.25" customHeight="1" x14ac:dyDescent="0.25">
      <c r="B30" s="25" t="s">
        <v>82</v>
      </c>
      <c r="C30" s="99">
        <v>2.3858720907234902E-2</v>
      </c>
    </row>
    <row r="31" spans="1:3" ht="14.25" customHeight="1" x14ac:dyDescent="0.25">
      <c r="B31" s="25" t="s">
        <v>29</v>
      </c>
      <c r="C31" s="99">
        <v>3.4342930038455802E-2</v>
      </c>
    </row>
    <row r="32" spans="1:3" ht="14.25" customHeight="1" x14ac:dyDescent="0.25">
      <c r="B32" s="25" t="s">
        <v>30</v>
      </c>
      <c r="C32" s="99">
        <v>0.58994059648423802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9.8678000000000008</v>
      </c>
    </row>
    <row r="38" spans="1:5" ht="15" customHeight="1" x14ac:dyDescent="0.25">
      <c r="B38" s="11" t="s">
        <v>54</v>
      </c>
      <c r="C38" s="43">
        <v>19.7136</v>
      </c>
      <c r="D38" s="12"/>
      <c r="E38" s="13"/>
    </row>
    <row r="39" spans="1:5" ht="15" customHeight="1" x14ac:dyDescent="0.25">
      <c r="B39" s="11" t="s">
        <v>80</v>
      </c>
      <c r="C39" s="43">
        <v>23.214130000000001</v>
      </c>
      <c r="D39" s="12"/>
      <c r="E39" s="12"/>
    </row>
    <row r="40" spans="1:5" ht="15" customHeight="1" x14ac:dyDescent="0.25">
      <c r="B40" s="11" t="s">
        <v>55</v>
      </c>
      <c r="C40" s="100">
        <v>0.94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10.599349999999999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6.1368999999999998E-3</v>
      </c>
      <c r="D45" s="12"/>
    </row>
    <row r="46" spans="1:5" ht="15.75" customHeight="1" x14ac:dyDescent="0.25">
      <c r="B46" s="11" t="s">
        <v>70</v>
      </c>
      <c r="C46" s="45">
        <v>6.5939800000000007E-2</v>
      </c>
      <c r="D46" s="12"/>
    </row>
    <row r="47" spans="1:5" ht="15.75" customHeight="1" x14ac:dyDescent="0.25">
      <c r="B47" s="11" t="s">
        <v>78</v>
      </c>
      <c r="C47" s="45">
        <v>7.5165300000000004E-2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2.2000000000000002</v>
      </c>
      <c r="D51" s="12"/>
    </row>
    <row r="52" spans="1:4" ht="15" customHeight="1" x14ac:dyDescent="0.25">
      <c r="B52" s="11" t="s">
        <v>32</v>
      </c>
      <c r="C52" s="100">
        <v>2.2000000000000002</v>
      </c>
    </row>
    <row r="53" spans="1:4" ht="15.75" customHeight="1" x14ac:dyDescent="0.25">
      <c r="B53" s="11" t="s">
        <v>35</v>
      </c>
      <c r="C53" s="100">
        <v>2.2000000000000002</v>
      </c>
    </row>
    <row r="54" spans="1:4" ht="15.75" customHeight="1" x14ac:dyDescent="0.25">
      <c r="B54" s="11" t="s">
        <v>33</v>
      </c>
      <c r="C54" s="100">
        <v>2.2000000000000002</v>
      </c>
    </row>
    <row r="55" spans="1:4" ht="15.75" customHeight="1" x14ac:dyDescent="0.25">
      <c r="B55" s="11" t="s">
        <v>34</v>
      </c>
      <c r="C55" s="100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0.63705900000000004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0.1306263993</v>
      </c>
    </row>
    <row r="63" spans="1:4" ht="15.75" customHeight="1" x14ac:dyDescent="0.3">
      <c r="A63" s="4"/>
    </row>
  </sheetData>
  <sheetProtection algorithmName="SHA-512" hashValue="hNXTBldpd9ltddL7BO3pJCi88YGCtQjqG5z8lq4pAa9btKUfvjR7yQ6zzGoMPn26Mv0auLWroFUYBZwaOK+0pw==" saltValue="neFbJg7RvvqHhznL6OdV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9590</v>
      </c>
      <c r="C2" s="49">
        <v>20589</v>
      </c>
      <c r="D2" s="49">
        <v>27579.5</v>
      </c>
      <c r="E2" s="49">
        <v>24729.5</v>
      </c>
      <c r="F2" s="49">
        <v>13662</v>
      </c>
      <c r="G2" s="17">
        <f t="shared" ref="G2:G13" si="0">C2+D2+E2+F2</f>
        <v>86560</v>
      </c>
      <c r="H2" s="17">
        <f t="shared" ref="H2:H13" si="1">(B2 + stillbirth*B2/(1000-stillbirth))/(1-abortion)</f>
        <v>11014.473532766804</v>
      </c>
      <c r="I2" s="17">
        <f t="shared" ref="I2:I13" si="2">G2-H2</f>
        <v>75545.526467233198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9673</v>
      </c>
      <c r="C3" s="50">
        <v>21488</v>
      </c>
      <c r="D3" s="50">
        <v>27857</v>
      </c>
      <c r="E3" s="50">
        <v>25386.5</v>
      </c>
      <c r="F3" s="50">
        <v>14298</v>
      </c>
      <c r="G3" s="17">
        <f t="shared" si="0"/>
        <v>89029.5</v>
      </c>
      <c r="H3" s="17">
        <f t="shared" si="1"/>
        <v>11109.802135813692</v>
      </c>
      <c r="I3" s="17">
        <f t="shared" si="2"/>
        <v>77919.69786418631</v>
      </c>
    </row>
    <row r="4" spans="1:9" ht="15.75" customHeight="1" x14ac:dyDescent="0.25">
      <c r="A4" s="5">
        <f t="shared" si="3"/>
        <v>2026</v>
      </c>
      <c r="B4" s="49">
        <v>9773</v>
      </c>
      <c r="C4" s="50">
        <v>22363</v>
      </c>
      <c r="D4" s="50">
        <v>28277.5</v>
      </c>
      <c r="E4" s="50">
        <v>25915.5</v>
      </c>
      <c r="F4" s="50">
        <v>15008</v>
      </c>
      <c r="G4" s="17">
        <f t="shared" si="0"/>
        <v>91564</v>
      </c>
      <c r="H4" s="17">
        <f t="shared" si="1"/>
        <v>11224.655874424399</v>
      </c>
      <c r="I4" s="17">
        <f t="shared" si="2"/>
        <v>80339.344125575604</v>
      </c>
    </row>
    <row r="5" spans="1:9" ht="15.75" customHeight="1" x14ac:dyDescent="0.25">
      <c r="A5" s="5">
        <f t="shared" si="3"/>
        <v>2027</v>
      </c>
      <c r="B5" s="49">
        <v>9930</v>
      </c>
      <c r="C5" s="50">
        <v>23158.5</v>
      </c>
      <c r="D5" s="50">
        <v>28878.5</v>
      </c>
      <c r="E5" s="50">
        <v>26308.499999999989</v>
      </c>
      <c r="F5" s="50">
        <v>15808.5</v>
      </c>
      <c r="G5" s="17">
        <f t="shared" si="0"/>
        <v>94153.999999999985</v>
      </c>
      <c r="H5" s="17">
        <f t="shared" si="1"/>
        <v>11404.97624404321</v>
      </c>
      <c r="I5" s="17">
        <f t="shared" si="2"/>
        <v>82749.023755956776</v>
      </c>
    </row>
    <row r="6" spans="1:9" ht="15.75" customHeight="1" x14ac:dyDescent="0.25">
      <c r="A6" s="5">
        <f t="shared" si="3"/>
        <v>2028</v>
      </c>
      <c r="B6" s="49">
        <v>10061</v>
      </c>
      <c r="C6" s="50">
        <v>23840.5</v>
      </c>
      <c r="D6" s="50">
        <v>29672</v>
      </c>
      <c r="E6" s="50">
        <v>26584.5</v>
      </c>
      <c r="F6" s="50">
        <v>16675</v>
      </c>
      <c r="G6" s="17">
        <f t="shared" si="0"/>
        <v>96772</v>
      </c>
      <c r="H6" s="17">
        <f t="shared" si="1"/>
        <v>11555.434641623233</v>
      </c>
      <c r="I6" s="17">
        <f t="shared" si="2"/>
        <v>85216.565358376771</v>
      </c>
    </row>
    <row r="7" spans="1:9" ht="15.75" customHeight="1" x14ac:dyDescent="0.25">
      <c r="A7" s="5">
        <f t="shared" si="3"/>
        <v>2029</v>
      </c>
      <c r="B7" s="49">
        <v>10215</v>
      </c>
      <c r="C7" s="50">
        <v>24388.5</v>
      </c>
      <c r="D7" s="50">
        <v>30663.5</v>
      </c>
      <c r="E7" s="50">
        <v>26751</v>
      </c>
      <c r="F7" s="50">
        <v>17515</v>
      </c>
      <c r="G7" s="17">
        <f t="shared" si="0"/>
        <v>99318</v>
      </c>
      <c r="H7" s="17">
        <f t="shared" si="1"/>
        <v>11732.309399083724</v>
      </c>
      <c r="I7" s="17">
        <f t="shared" si="2"/>
        <v>87585.690600916278</v>
      </c>
    </row>
    <row r="8" spans="1:9" ht="15.75" customHeight="1" x14ac:dyDescent="0.25">
      <c r="A8" s="5">
        <f t="shared" si="3"/>
        <v>2030</v>
      </c>
      <c r="B8" s="49">
        <v>10348</v>
      </c>
      <c r="C8" s="50">
        <v>24824.5</v>
      </c>
      <c r="D8" s="50">
        <v>31793</v>
      </c>
      <c r="E8" s="50">
        <v>26851</v>
      </c>
      <c r="F8" s="50">
        <v>18329</v>
      </c>
      <c r="G8" s="17">
        <f t="shared" si="0"/>
        <v>101797.5</v>
      </c>
      <c r="H8" s="17">
        <f t="shared" si="1"/>
        <v>11885.064871435965</v>
      </c>
      <c r="I8" s="17">
        <f t="shared" si="2"/>
        <v>89912.43512856403</v>
      </c>
    </row>
    <row r="9" spans="1:9" ht="15.75" customHeight="1" x14ac:dyDescent="0.25">
      <c r="A9" s="5">
        <f t="shared" si="3"/>
        <v>2031</v>
      </c>
      <c r="B9" s="49">
        <v>10544</v>
      </c>
      <c r="C9" s="50">
        <v>25178</v>
      </c>
      <c r="D9" s="50">
        <v>32985.5</v>
      </c>
      <c r="E9" s="50">
        <v>26932.5</v>
      </c>
      <c r="F9" s="50">
        <v>19156</v>
      </c>
      <c r="G9" s="17">
        <f t="shared" si="0"/>
        <v>104252</v>
      </c>
      <c r="H9" s="17">
        <f t="shared" si="1"/>
        <v>12110.178199112948</v>
      </c>
      <c r="I9" s="17">
        <f t="shared" si="2"/>
        <v>92141.821800887046</v>
      </c>
    </row>
    <row r="10" spans="1:9" ht="15.75" customHeight="1" x14ac:dyDescent="0.25">
      <c r="A10" s="5">
        <f t="shared" si="3"/>
        <v>2032</v>
      </c>
      <c r="B10" s="49">
        <v>10687</v>
      </c>
      <c r="C10" s="50">
        <v>25452.5</v>
      </c>
      <c r="D10" s="50">
        <v>34222</v>
      </c>
      <c r="E10" s="50">
        <v>27011.5</v>
      </c>
      <c r="F10" s="50">
        <v>19977</v>
      </c>
      <c r="G10" s="17">
        <f t="shared" si="0"/>
        <v>106663</v>
      </c>
      <c r="H10" s="17">
        <f t="shared" si="1"/>
        <v>12274.419045326262</v>
      </c>
      <c r="I10" s="17">
        <f t="shared" si="2"/>
        <v>94388.580954673744</v>
      </c>
    </row>
    <row r="11" spans="1:9" ht="15.75" customHeight="1" x14ac:dyDescent="0.25">
      <c r="A11" s="5">
        <f t="shared" si="3"/>
        <v>2033</v>
      </c>
      <c r="B11" s="49">
        <v>10835</v>
      </c>
      <c r="C11" s="50">
        <v>25673</v>
      </c>
      <c r="D11" s="50">
        <v>35473.5</v>
      </c>
      <c r="E11" s="50">
        <v>27115.5</v>
      </c>
      <c r="F11" s="50">
        <v>20775</v>
      </c>
      <c r="G11" s="17">
        <f t="shared" si="0"/>
        <v>109037</v>
      </c>
      <c r="H11" s="17">
        <f t="shared" si="1"/>
        <v>12444.402578470106</v>
      </c>
      <c r="I11" s="17">
        <f t="shared" si="2"/>
        <v>96592.597421529892</v>
      </c>
    </row>
    <row r="12" spans="1:9" ht="15.75" customHeight="1" x14ac:dyDescent="0.25">
      <c r="A12" s="5">
        <f t="shared" si="3"/>
        <v>2034</v>
      </c>
      <c r="B12" s="49">
        <v>10971</v>
      </c>
      <c r="C12" s="50">
        <v>25861.5</v>
      </c>
      <c r="D12" s="50">
        <v>36705.5</v>
      </c>
      <c r="E12" s="50">
        <v>27291.5</v>
      </c>
      <c r="F12" s="50">
        <v>21519</v>
      </c>
      <c r="G12" s="17">
        <f t="shared" si="0"/>
        <v>111377.5</v>
      </c>
      <c r="H12" s="17">
        <f t="shared" si="1"/>
        <v>12600.603662980668</v>
      </c>
      <c r="I12" s="17">
        <f t="shared" si="2"/>
        <v>98776.896337019338</v>
      </c>
    </row>
    <row r="13" spans="1:9" ht="15.75" customHeight="1" x14ac:dyDescent="0.25">
      <c r="A13" s="5">
        <f t="shared" si="3"/>
        <v>2035</v>
      </c>
      <c r="B13" s="49">
        <v>11135</v>
      </c>
      <c r="C13" s="50">
        <v>26036</v>
      </c>
      <c r="D13" s="50">
        <v>37885</v>
      </c>
      <c r="E13" s="50">
        <v>27573</v>
      </c>
      <c r="F13" s="50">
        <v>22177.5</v>
      </c>
      <c r="G13" s="17">
        <f t="shared" si="0"/>
        <v>113671.5</v>
      </c>
      <c r="H13" s="17">
        <f t="shared" si="1"/>
        <v>12788.963794302228</v>
      </c>
      <c r="I13" s="17">
        <f t="shared" si="2"/>
        <v>100882.53620569778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PMoUIic8kNgXAw98aoYoGuwLXtEY/m+7/07K9EkyaeEPJDBkbLZKAXB/DrBOLMgM9DKCh9PkY1JyETTCQPP2A==" saltValue="8EKzGE4QxL3TRk3BAnvBT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1.1815998818400109E-3</v>
      </c>
    </row>
    <row r="4" spans="1:8" ht="15.75" customHeight="1" x14ac:dyDescent="0.25">
      <c r="B4" s="19" t="s">
        <v>116</v>
      </c>
      <c r="C4" s="101">
        <v>4.9927795007220499E-2</v>
      </c>
    </row>
    <row r="5" spans="1:8" ht="15.75" customHeight="1" x14ac:dyDescent="0.25">
      <c r="B5" s="19" t="s">
        <v>114</v>
      </c>
      <c r="C5" s="101">
        <v>3.8299596170040348E-2</v>
      </c>
    </row>
    <row r="6" spans="1:8" ht="15.75" customHeight="1" x14ac:dyDescent="0.25">
      <c r="B6" s="19" t="s">
        <v>110</v>
      </c>
      <c r="C6" s="101">
        <v>0.1696583830341615</v>
      </c>
    </row>
    <row r="7" spans="1:8" ht="15.75" customHeight="1" x14ac:dyDescent="0.25">
      <c r="B7" s="19" t="s">
        <v>115</v>
      </c>
      <c r="C7" s="101">
        <v>0.51123814887618546</v>
      </c>
    </row>
    <row r="8" spans="1:8" ht="15.75" customHeight="1" x14ac:dyDescent="0.25">
      <c r="B8" s="19" t="s">
        <v>117</v>
      </c>
      <c r="C8" s="101">
        <v>2.0689997931000191E-4</v>
      </c>
    </row>
    <row r="9" spans="1:8" ht="15.75" customHeight="1" x14ac:dyDescent="0.25">
      <c r="B9" s="19" t="s">
        <v>111</v>
      </c>
      <c r="C9" s="101">
        <v>0.16598378340162159</v>
      </c>
    </row>
    <row r="10" spans="1:8" ht="15.75" customHeight="1" x14ac:dyDescent="0.25">
      <c r="B10" s="19" t="s">
        <v>113</v>
      </c>
      <c r="C10" s="101">
        <v>6.3503793649620596E-2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0.23778014031948599</v>
      </c>
      <c r="D14" s="55">
        <v>0.23778014031948599</v>
      </c>
      <c r="E14" s="55">
        <v>0.23778014031948599</v>
      </c>
      <c r="F14" s="55">
        <v>0.23778014031948599</v>
      </c>
    </row>
    <row r="15" spans="1:8" ht="15.75" customHeight="1" x14ac:dyDescent="0.25">
      <c r="B15" s="19" t="s">
        <v>121</v>
      </c>
      <c r="C15" s="101">
        <v>0.53997917606680679</v>
      </c>
      <c r="D15" s="101">
        <v>0.53997917606680679</v>
      </c>
      <c r="E15" s="101">
        <v>0.53997917606680679</v>
      </c>
      <c r="F15" s="101">
        <v>0.53997917606680679</v>
      </c>
    </row>
    <row r="16" spans="1:8" ht="15.75" customHeight="1" x14ac:dyDescent="0.25">
      <c r="B16" s="19" t="s">
        <v>2</v>
      </c>
      <c r="C16" s="101">
        <v>1.727508570668718E-2</v>
      </c>
      <c r="D16" s="101">
        <v>1.727508570668718E-2</v>
      </c>
      <c r="E16" s="101">
        <v>1.727508570668718E-2</v>
      </c>
      <c r="F16" s="101">
        <v>1.727508570668718E-2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2.561666534338515E-2</v>
      </c>
      <c r="D19" s="101">
        <v>2.561666534338515E-2</v>
      </c>
      <c r="E19" s="101">
        <v>2.561666534338515E-2</v>
      </c>
      <c r="F19" s="101">
        <v>2.561666534338515E-2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0.1329903129334955</v>
      </c>
      <c r="D21" s="101">
        <v>0.1329903129334955</v>
      </c>
      <c r="E21" s="101">
        <v>0.1329903129334955</v>
      </c>
      <c r="F21" s="101">
        <v>0.1329903129334955</v>
      </c>
    </row>
    <row r="22" spans="1:8" ht="15.75" customHeight="1" x14ac:dyDescent="0.25">
      <c r="B22" s="19" t="s">
        <v>118</v>
      </c>
      <c r="C22" s="101">
        <v>4.6358619630139521E-2</v>
      </c>
      <c r="D22" s="101">
        <v>4.6358619630139521E-2</v>
      </c>
      <c r="E22" s="101">
        <v>4.6358619630139521E-2</v>
      </c>
      <c r="F22" s="101">
        <v>4.6358619630139521E-2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4.7782605999999991E-2</v>
      </c>
    </row>
    <row r="27" spans="1:8" ht="15.75" customHeight="1" x14ac:dyDescent="0.25">
      <c r="B27" s="19" t="s">
        <v>108</v>
      </c>
      <c r="C27" s="101">
        <v>1.8912625999999998E-2</v>
      </c>
    </row>
    <row r="28" spans="1:8" ht="15.75" customHeight="1" x14ac:dyDescent="0.25">
      <c r="B28" s="19" t="s">
        <v>122</v>
      </c>
      <c r="C28" s="101">
        <v>0.22751453199999999</v>
      </c>
    </row>
    <row r="29" spans="1:8" ht="15.75" customHeight="1" x14ac:dyDescent="0.25">
      <c r="B29" s="19" t="s">
        <v>105</v>
      </c>
      <c r="C29" s="101">
        <v>0.13826291700000001</v>
      </c>
    </row>
    <row r="30" spans="1:8" ht="15.75" customHeight="1" x14ac:dyDescent="0.25">
      <c r="B30" s="19" t="s">
        <v>4</v>
      </c>
      <c r="C30" s="101">
        <v>4.9672004000000013E-2</v>
      </c>
    </row>
    <row r="31" spans="1:8" ht="15.75" customHeight="1" x14ac:dyDescent="0.25">
      <c r="B31" s="19" t="s">
        <v>99</v>
      </c>
      <c r="C31" s="101">
        <v>7.0532584999999995E-2</v>
      </c>
    </row>
    <row r="32" spans="1:8" ht="15.75" customHeight="1" x14ac:dyDescent="0.25">
      <c r="B32" s="19" t="s">
        <v>104</v>
      </c>
      <c r="C32" s="101">
        <v>0.15034908699999999</v>
      </c>
    </row>
    <row r="33" spans="2:3" ht="15.75" customHeight="1" x14ac:dyDescent="0.25">
      <c r="B33" s="19" t="s">
        <v>119</v>
      </c>
      <c r="C33" s="101">
        <v>0.12275455</v>
      </c>
    </row>
    <row r="34" spans="2:3" ht="15.75" customHeight="1" x14ac:dyDescent="0.25">
      <c r="B34" s="19" t="s">
        <v>106</v>
      </c>
      <c r="C34" s="101">
        <v>0.17421909099999999</v>
      </c>
    </row>
    <row r="35" spans="2:3" ht="15.75" customHeight="1" x14ac:dyDescent="0.25">
      <c r="B35" s="27" t="s">
        <v>79</v>
      </c>
      <c r="C35" s="48">
        <f>SUM(C26:C34)</f>
        <v>0.99999999799999995</v>
      </c>
    </row>
  </sheetData>
  <sheetProtection algorithmName="SHA-512" hashValue="hQSethWhIEi4AvKdYG/5ERo9W4HQI//tSrh1z4ou+eI2O7JfS98oNLzjrMbM4XRmLceFh13GrI4ppnJWtrzSBQ==" saltValue="+5h7BQGG9nQVe09Pg+n77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0.69891161722169604</v>
      </c>
      <c r="D2" s="52">
        <f>IFERROR(1-_xlfn.NORM.DIST(_xlfn.NORM.INV(SUM(D4:D5), 0, 1) + 1, 0, 1, TRUE), "")</f>
        <v>0.69891161722169604</v>
      </c>
      <c r="E2" s="52">
        <f>IFERROR(1-_xlfn.NORM.DIST(_xlfn.NORM.INV(SUM(E4:E5), 0, 1) + 1, 0, 1, TRUE), "")</f>
        <v>0.68239944236525596</v>
      </c>
      <c r="F2" s="52">
        <f>IFERROR(1-_xlfn.NORM.DIST(_xlfn.NORM.INV(SUM(F4:F5), 0, 1) + 1, 0, 1, TRUE), "")</f>
        <v>0.32335532043550219</v>
      </c>
      <c r="G2" s="52">
        <f>IFERROR(1-_xlfn.NORM.DIST(_xlfn.NORM.INV(SUM(G4:G5), 0, 1) + 1, 0, 1, TRUE), "")</f>
        <v>0.31115184804710971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0.2369926827783039</v>
      </c>
      <c r="D3" s="52">
        <f>IFERROR(_xlfn.NORM.DIST(_xlfn.NORM.INV(SUM(D4:D5), 0, 1) + 1, 0, 1, TRUE) - SUM(D4:D5), "")</f>
        <v>0.2369926827783039</v>
      </c>
      <c r="E3" s="52">
        <f>IFERROR(_xlfn.NORM.DIST(_xlfn.NORM.INV(SUM(E4:E5), 0, 1) + 1, 0, 1, TRUE) - SUM(E4:E5), "")</f>
        <v>0.24741615763474406</v>
      </c>
      <c r="F3" s="52">
        <f>IFERROR(_xlfn.NORM.DIST(_xlfn.NORM.INV(SUM(F4:F5), 0, 1) + 1, 0, 1, TRUE) - SUM(F4:F5), "")</f>
        <v>0.38261947956449782</v>
      </c>
      <c r="G3" s="52">
        <f>IFERROR(_xlfn.NORM.DIST(_xlfn.NORM.INV(SUM(G4:G5), 0, 1) + 1, 0, 1, TRUE) - SUM(G4:G5), "")</f>
        <v>0.38291525195289028</v>
      </c>
    </row>
    <row r="4" spans="1:15" ht="15.75" customHeight="1" x14ac:dyDescent="0.25">
      <c r="B4" s="5" t="s">
        <v>129</v>
      </c>
      <c r="C4" s="45">
        <v>4.2213100000000003E-2</v>
      </c>
      <c r="D4" s="53">
        <v>4.2213100000000003E-2</v>
      </c>
      <c r="E4" s="53">
        <v>3.7033999999999997E-2</v>
      </c>
      <c r="F4" s="53">
        <v>0.20522009999999999</v>
      </c>
      <c r="G4" s="53">
        <v>0.214479</v>
      </c>
    </row>
    <row r="5" spans="1:15" ht="15.75" customHeight="1" x14ac:dyDescent="0.25">
      <c r="B5" s="5" t="s">
        <v>125</v>
      </c>
      <c r="C5" s="45">
        <v>2.1882599999999999E-2</v>
      </c>
      <c r="D5" s="53">
        <v>2.1882599999999999E-2</v>
      </c>
      <c r="E5" s="53">
        <v>3.3150399999999997E-2</v>
      </c>
      <c r="F5" s="53">
        <v>8.8805099999999998E-2</v>
      </c>
      <c r="G5" s="53">
        <v>9.1453900000000005E-2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0.71197419033079556</v>
      </c>
      <c r="D8" s="52">
        <f>IFERROR(1-_xlfn.NORM.DIST(_xlfn.NORM.INV(SUM(D10:D11), 0, 1) + 1, 0, 1, TRUE), "")</f>
        <v>0.71197419033079556</v>
      </c>
      <c r="E8" s="52">
        <f>IFERROR(1-_xlfn.NORM.DIST(_xlfn.NORM.INV(SUM(E10:E11), 0, 1) + 1, 0, 1, TRUE), "")</f>
        <v>0.70627108362301483</v>
      </c>
      <c r="F8" s="52">
        <f>IFERROR(1-_xlfn.NORM.DIST(_xlfn.NORM.INV(SUM(F10:F11), 0, 1) + 1, 0, 1, TRUE), "")</f>
        <v>0.62482398437663966</v>
      </c>
      <c r="G8" s="52">
        <f>IFERROR(1-_xlfn.NORM.DIST(_xlfn.NORM.INV(SUM(G10:G11), 0, 1) + 1, 0, 1, TRUE), "")</f>
        <v>0.7606822697528548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0.22854670966920443</v>
      </c>
      <c r="D9" s="52">
        <f>IFERROR(_xlfn.NORM.DIST(_xlfn.NORM.INV(SUM(D10:D11), 0, 1) + 1, 0, 1, TRUE) - SUM(D10:D11), "")</f>
        <v>0.22854670966920443</v>
      </c>
      <c r="E9" s="52">
        <f>IFERROR(_xlfn.NORM.DIST(_xlfn.NORM.INV(SUM(E10:E11), 0, 1) + 1, 0, 1, TRUE) - SUM(E10:E11), "")</f>
        <v>0.23225571637698517</v>
      </c>
      <c r="F9" s="52">
        <f>IFERROR(_xlfn.NORM.DIST(_xlfn.NORM.INV(SUM(F10:F11), 0, 1) + 1, 0, 1, TRUE) - SUM(F10:F11), "")</f>
        <v>0.2814535156233603</v>
      </c>
      <c r="G9" s="52">
        <f>IFERROR(_xlfn.NORM.DIST(_xlfn.NORM.INV(SUM(G10:G11), 0, 1) + 1, 0, 1, TRUE) - SUM(G10:G11), "")</f>
        <v>0.19554583024714525</v>
      </c>
    </row>
    <row r="10" spans="1:15" ht="15.75" customHeight="1" x14ac:dyDescent="0.25">
      <c r="B10" s="5" t="s">
        <v>126</v>
      </c>
      <c r="C10" s="45">
        <v>5.5731700000000002E-2</v>
      </c>
      <c r="D10" s="53">
        <v>5.5731700000000002E-2</v>
      </c>
      <c r="E10" s="53">
        <v>3.1870099999999998E-2</v>
      </c>
      <c r="F10" s="53">
        <v>7.0596400000000004E-2</v>
      </c>
      <c r="G10" s="53">
        <v>2.6420599999999999E-2</v>
      </c>
    </row>
    <row r="11" spans="1:15" ht="15.75" customHeight="1" x14ac:dyDescent="0.25">
      <c r="B11" s="5" t="s">
        <v>138</v>
      </c>
      <c r="C11" s="45">
        <v>3.7474000000000001E-3</v>
      </c>
      <c r="D11" s="53">
        <v>3.7474000000000001E-3</v>
      </c>
      <c r="E11" s="53">
        <v>2.96031E-2</v>
      </c>
      <c r="F11" s="53">
        <v>2.31261E-2</v>
      </c>
      <c r="G11" s="53">
        <v>1.73513E-2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0.53215260274999998</v>
      </c>
      <c r="D14" s="54">
        <v>0.528708013373</v>
      </c>
      <c r="E14" s="54">
        <v>0.528708013373</v>
      </c>
      <c r="F14" s="54">
        <v>0.40532314977799999</v>
      </c>
      <c r="G14" s="54">
        <v>0.40532314977799999</v>
      </c>
      <c r="H14" s="45">
        <v>0.27800000000000002</v>
      </c>
      <c r="I14" s="55">
        <v>0.27800000000000002</v>
      </c>
      <c r="J14" s="55">
        <v>0.27800000000000002</v>
      </c>
      <c r="K14" s="55">
        <v>0.27800000000000002</v>
      </c>
      <c r="L14" s="45">
        <v>0.23699999999999999</v>
      </c>
      <c r="M14" s="55">
        <v>0.23699999999999999</v>
      </c>
      <c r="N14" s="55">
        <v>0.23699999999999999</v>
      </c>
      <c r="O14" s="55">
        <v>0.23699999999999999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0.33901260495531227</v>
      </c>
      <c r="D15" s="52">
        <f t="shared" si="0"/>
        <v>0.33681819829139004</v>
      </c>
      <c r="E15" s="52">
        <f t="shared" si="0"/>
        <v>0.33681819829139004</v>
      </c>
      <c r="F15" s="52">
        <f t="shared" si="0"/>
        <v>0.25821476047442293</v>
      </c>
      <c r="G15" s="52">
        <f t="shared" si="0"/>
        <v>0.25821476047442293</v>
      </c>
      <c r="H15" s="52">
        <f t="shared" si="0"/>
        <v>0.17710240200000002</v>
      </c>
      <c r="I15" s="52">
        <f t="shared" si="0"/>
        <v>0.17710240200000002</v>
      </c>
      <c r="J15" s="52">
        <f t="shared" si="0"/>
        <v>0.17710240200000002</v>
      </c>
      <c r="K15" s="52">
        <f t="shared" si="0"/>
        <v>0.17710240200000002</v>
      </c>
      <c r="L15" s="52">
        <f t="shared" si="0"/>
        <v>0.15098298300000002</v>
      </c>
      <c r="M15" s="52">
        <f t="shared" si="0"/>
        <v>0.15098298300000002</v>
      </c>
      <c r="N15" s="52">
        <f t="shared" si="0"/>
        <v>0.15098298300000002</v>
      </c>
      <c r="O15" s="52">
        <f t="shared" si="0"/>
        <v>0.15098298300000002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YZB6IR37wHEpU5OFW5VlZeSt3bxVD8eu4Z4R/osIDtCNmA0p9tanmwFzJbJtaLm32pe4JbnGDdfVGSJ/Xh91sA==" saltValue="n9ZI+wf2UtPkp+LDOsap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0.5343445</v>
      </c>
      <c r="D2" s="53">
        <v>0.4011613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3.7408799999999999E-2</v>
      </c>
      <c r="D3" s="53">
        <v>0.11699619999999999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0.3187007</v>
      </c>
      <c r="D4" s="53">
        <v>0.42420869999999999</v>
      </c>
      <c r="E4" s="53">
        <v>0.89030050000000005</v>
      </c>
      <c r="F4" s="53">
        <v>0.57105020000000006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0.10954599999999992</v>
      </c>
      <c r="D5" s="52">
        <f t="shared" si="0"/>
        <v>5.7633799999999957E-2</v>
      </c>
      <c r="E5" s="52">
        <f>1-SUM(E2:E4)</f>
        <v>0.10969949999999995</v>
      </c>
      <c r="F5" s="52">
        <f>1-SUM(F2:F4)</f>
        <v>0.42894979999999994</v>
      </c>
      <c r="G5" s="52">
        <f>1-SUM(G2:G4)</f>
        <v>1</v>
      </c>
    </row>
  </sheetData>
  <sheetProtection algorithmName="SHA-512" hashValue="7aSWkcoznvrxT4UWtygBiBCI9XMLl6DyjBiFZg0UvzbeqsTwfBvC0j/zhhI4zP9dKgAEZN0XiHh7ZxmZPwd1Xw==" saltValue="cWhLikLxwd1pI6rj4YyX9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xY/zR1jk5ZGV8DbNIi9l75zConY/MSiBmB4W0oV+ir7CDC44psxRS0vNEDvcC2uhrYhX6TlDisquMxJSa/tiQ==" saltValue="GHdkENtzyvCP7w7ADncid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3231.3512999557101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0.59654000000000007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0.61165999999999998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1.9954263000000003E-2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97405.381139999998</v>
      </c>
      <c r="C22" s="109">
        <v>97115.688439999998</v>
      </c>
      <c r="D22" s="109">
        <v>96875.47898</v>
      </c>
      <c r="E22" s="109">
        <v>96270.357619999995</v>
      </c>
      <c r="F22" s="109">
        <v>95206.50331</v>
      </c>
      <c r="G22" s="109">
        <v>93891.939209999997</v>
      </c>
      <c r="H22" s="109">
        <v>92205.050759999998</v>
      </c>
      <c r="I22" s="109">
        <v>89938.470509999999</v>
      </c>
      <c r="J22" s="109">
        <v>86789.462889999995</v>
      </c>
      <c r="K22" s="109">
        <v>82504.050749999995</v>
      </c>
      <c r="L22" s="109">
        <v>76794.266350000005</v>
      </c>
      <c r="M22" s="109">
        <v>69364.423070000004</v>
      </c>
      <c r="N22" s="109">
        <v>59902.527269999999</v>
      </c>
      <c r="O22" s="109">
        <v>48770.346290000001</v>
      </c>
    </row>
  </sheetData>
  <sheetProtection algorithmName="SHA-512" hashValue="3RhJUlJgWSZKrhaRGo94miuxleYwN4q+PEeFlnz5/E93bykqaTdYMq4FR3AUFEh1qmMgOQvQsYXZQHrZxmC3vg==" saltValue="Qn9sYXFNt8gP5z6OqNxhs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O7Jfrmqbp5LCMygeTcu1wUT0zTQ9vydPe0XGel0fsHLoFzOwsT2VhEPCqZEsMTsTQOF79oay/TNuboWBjxWQ4g==" saltValue="V1qFjVVjbo+K7PsOGn6D4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zduAbm9NdK4cKzGyO4KxBWKLzqFEnNUUQvalxwqSMm4/EECst/ZyELhyA2YN8dhInFKukwMCoT2bgFvEhXPdKg==" saltValue="ntW41qDOVCFxmRpppvHUg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1.3892843507597601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1.899427422400078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12.828939256058341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12.828939256058341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12.828939256058341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12.828939256058341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12.828939256058341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12.828939256058341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0.4011613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0.4011613</v>
      </c>
      <c r="C19" s="98">
        <v>0.95</v>
      </c>
      <c r="D19" s="56">
        <v>6.6332602175192878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0.69800110000000004</v>
      </c>
      <c r="C23" s="98">
        <v>0.95</v>
      </c>
      <c r="D23" s="56">
        <v>4.1648125448902009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0.63282579900000002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0.47599999999999998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33.321934882307978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53.05041964170676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0.75879769999999991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0.627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3.6438999999999998E-3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0.49547920000000001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0.01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ClQ/zITZU54StUECN8uzkZuQR5B0Pm9kJtbesk+tgcmfkHaTMph9ejZDmYgQ1vTSYgfkjGEQ5Un4tttt7KeMKg==" saltValue="R1Zu3HIBmcv4TE5SBagO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9V1DtTepPpk6j4KUXaFb3A/muKhpbv1lW4p4HSSlm/Kfi7600gJG2HjRiSObn7/ok4DMwoso3fPgbcWAkY1zQ==" saltValue="9BmZMCx6WuC5I5l7ILvV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NdAGyelsfQ0CwHAv8q8lQixztxlFLyK0WCW1tR1GQ1NeROexUoTK/+5VcFoXei9UHeFhAMUwl6P+EnwL2UOVJw==" saltValue="tBF6pEv78P9ZFmDXdmJPK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0.14490242</v>
      </c>
      <c r="C3" s="21">
        <f>frac_mam_1_5months * 2.6</f>
        <v>0.14490242</v>
      </c>
      <c r="D3" s="21">
        <f>frac_mam_6_11months * 2.6</f>
        <v>8.2862259999999993E-2</v>
      </c>
      <c r="E3" s="21">
        <f>frac_mam_12_23months * 2.6</f>
        <v>0.18355064000000001</v>
      </c>
      <c r="F3" s="21">
        <f>frac_mam_24_59months * 2.6</f>
        <v>6.8693560000000001E-2</v>
      </c>
    </row>
    <row r="4" spans="1:6" ht="15.75" customHeight="1" x14ac:dyDescent="0.25">
      <c r="A4" s="3" t="s">
        <v>236</v>
      </c>
      <c r="B4" s="21">
        <f>frac_sam_1month * 2.6</f>
        <v>9.7432400000000002E-3</v>
      </c>
      <c r="C4" s="21">
        <f>frac_sam_1_5months * 2.6</f>
        <v>9.7432400000000002E-3</v>
      </c>
      <c r="D4" s="21">
        <f>frac_sam_6_11months * 2.6</f>
        <v>7.6968060000000005E-2</v>
      </c>
      <c r="E4" s="21">
        <f>frac_sam_12_23months * 2.6</f>
        <v>6.0127860000000005E-2</v>
      </c>
      <c r="F4" s="21">
        <f>frac_sam_24_59months * 2.6</f>
        <v>4.5113380000000002E-2</v>
      </c>
    </row>
  </sheetData>
  <sheetProtection algorithmName="SHA-512" hashValue="YSDMfL9vwGaH7y42/JqkriakwiKLJR8Ci3XyYbfJP3UaSyoTXbfk/+I9Ev6rvo+ncF8UIg1oCbqZ2jLeqm6mxQ==" saltValue="FNTQckpyiJb6cy1lnEIUE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0.159</v>
      </c>
      <c r="F2" s="60">
        <f>food_insecure</f>
        <v>0.159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0.159</v>
      </c>
      <c r="F5" s="60">
        <f>food_insecure</f>
        <v>0.159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0.159</v>
      </c>
      <c r="F8" s="60">
        <f>food_insecure</f>
        <v>0.159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0.159</v>
      </c>
      <c r="F9" s="60">
        <f>food_insecure</f>
        <v>0.159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0.159</v>
      </c>
      <c r="I15" s="60">
        <f t="shared" si="0"/>
        <v>0.159</v>
      </c>
      <c r="J15" s="60">
        <f t="shared" si="0"/>
        <v>0.159</v>
      </c>
      <c r="K15" s="60">
        <f t="shared" si="0"/>
        <v>0.159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0.159</v>
      </c>
      <c r="I16" s="60">
        <f t="shared" si="0"/>
        <v>0.159</v>
      </c>
      <c r="J16" s="60">
        <f t="shared" si="0"/>
        <v>0.159</v>
      </c>
      <c r="K16" s="60">
        <f t="shared" si="0"/>
        <v>0.159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0.49299999999999999</v>
      </c>
      <c r="M24" s="60">
        <f>famplan_unmet_need</f>
        <v>0.49299999999999999</v>
      </c>
      <c r="N24" s="60">
        <f>famplan_unmet_need</f>
        <v>0.49299999999999999</v>
      </c>
      <c r="O24" s="60">
        <f>famplan_unmet_need</f>
        <v>0.49299999999999999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0.26260894361799991</v>
      </c>
      <c r="M25" s="60">
        <f>(1-food_insecure)*(0.49)+food_insecure*(0.7)</f>
        <v>0.52338999999999991</v>
      </c>
      <c r="N25" s="60">
        <f>(1-food_insecure)*(0.49)+food_insecure*(0.7)</f>
        <v>0.52338999999999991</v>
      </c>
      <c r="O25" s="60">
        <f>(1-food_insecure)*(0.49)+food_insecure*(0.7)</f>
        <v>0.52338999999999991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0.11254669012199998</v>
      </c>
      <c r="M26" s="60">
        <f>(1-food_insecure)*(0.21)+food_insecure*(0.3)</f>
        <v>0.22430999999999998</v>
      </c>
      <c r="N26" s="60">
        <f>(1-food_insecure)*(0.21)+food_insecure*(0.3)</f>
        <v>0.22430999999999998</v>
      </c>
      <c r="O26" s="60">
        <f>(1-food_insecure)*(0.21)+food_insecure*(0.3)</f>
        <v>0.22430999999999998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0.12659056625999995</v>
      </c>
      <c r="M27" s="60">
        <f>(1-food_insecure)*(0.3)</f>
        <v>0.25229999999999997</v>
      </c>
      <c r="N27" s="60">
        <f>(1-food_insecure)*(0.3)</f>
        <v>0.25229999999999997</v>
      </c>
      <c r="O27" s="60">
        <f>(1-food_insecure)*(0.3)</f>
        <v>0.25229999999999997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0.49825380000000002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RR9YrYSVcpDIRcqok89gybAY3PMib2ZWR83FLL/JsbVdYyENXfKTu0Of7GQPu2kAFm5WSHW3sfaTHnWrLiRr1A==" saltValue="I5YDT76Yvnh6ikdzEcMsW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McnMpkF468VArlxe2yeWjZVwN+WjCJNFqQ3srW29y+QTlis593j9qF19N54WT3gljsuHvPfwCqP+dVcP5umKlg==" saltValue="zDH/0zGwuOHMdAZi/qIZ+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0QId+zJcDPI2WQO4jfMvLm7JCD5o8iPrjG28fOffsD/yA4Gpz0jhB6b7p+kvgFx+dg3BoTuQxUbIGEneNMQm0w==" saltValue="PcWPRtTXzj+sls0zlt0tV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tJHx62NJQviX7NB4lLMGUYicpcCzBvY+JBix1j6q6tujO9vs2Sh9pIjud2Da0adUTBZMYc4x5Gr0PayTy5/GA==" saltValue="XpdoilhQOp+pRshDKVw6v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9cjeRwFCp7NS24+u+Np/ujiCB/v01iHVK6Khto3O3EcemdM9h5cXz5H11G0dF0Jh5jqV26Cx/6kCvd51P7icUg==" saltValue="gzTaguDZwuAsiJv+sNTIS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IxBT09rxT4Pn77F1l19hPPKwZlrwd3LIxcvVPZdKjfbgkQxC89CUN9wL0DmBp2c3tSboLwkl2gpnGFzd1Y2PRA==" saltValue="G0GGejDFTMp89cwSaJmu0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+bM6DjLKDU2wjQ0IamfDls8arypl+TqJ1ayuGEzWoSuKtn1b8Y9sbZIlpNS7mB8UnJ6N3aOI+DzYTtMe7P3rQ==" saltValue="pfsIlqeLmP2KqIy+X1AWx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ywdzRM6nDTguN/JyXDT61BuIiaGrlgQML2X/ZHuU1eYUqQR0LIdlLIVulJWhftVYGtdKZ2f3YZaGJM29qosRmg==" saltValue="mBaPnAGsqqi4jQPRnctf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779vmamNXnlULIDvK3Ch4QtkDazbaUi++acFCSA3nuU2rVkODQfnYpsdkKGTbr4lOaQtazTH9pyHPwkAfxsGw==" saltValue="jNNsBRfDGLsb4WMkz/Pn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MHIn0wuBk5Wfa5ENwIAbI1AZxoISzjsgWSorKzIMgzT6mjRVfUpgakt4VAxke9c2BWKpAMcZBCGzs7npD2m2Q==" saltValue="UaEEUuPXcEp5V2rmrxCv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r+IyRVHc+eRULYC/ON1dUO4Qs81Eu/GELLLISNOsgpyDXCtSIpxY9hTiNmmqOyxkr2HBdXHNi7QdWRCVtclUw==" saltValue="n7yGNoBE8+yCluC/yVrL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9esXPJssjyVCBWvMBLEk3sDU49zyEAUceu8W77U8TDHPpeF6igU8xbR4FKn5wwW4X7aMAfgoaLMr7xpRWOeESg==" saltValue="C2D2oCDBPD7m0TQzZNiI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ZniZj+vGrh8/mOvGnzUoVJE3sDWPY4plWfGK/esz/KyrRjt5D6DRrTnIDYn2/b7LWKHa9S/jjJzGGfmrMEf/w==" saltValue="LOaV5COEduLTQJs3vePwE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BZkqqne9Pl87zZ3vuFhFNifLMupgPvpMeag2vEtBcwHoGbPuglrXkPp8wUeCRpXEXEj0lC9FebBuLQmH1xZjyg==" saltValue="XqO1z2uTFnBFwqJ9dRg7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vdCcD+xeRseHVJ6/kflLd8ljkXyjrqJxnxYYcch+O9NNO+ek2HMFuhiLJnTVcg+N7c65ExL/9/bB2k2SSZ/e9A==" saltValue="22TFSQ6qA+fPa5XxWBhkA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