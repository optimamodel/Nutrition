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BAB77035-A902-4359-8250-62563685AE77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7" i="2"/>
  <c r="A31" i="2"/>
  <c r="A26" i="2"/>
  <c r="A24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2" i="2" l="1"/>
  <c r="I8" i="2"/>
  <c r="A23" i="2"/>
  <c r="I3" i="2"/>
  <c r="I9" i="2"/>
  <c r="A25" i="2"/>
  <c r="A35" i="2"/>
  <c r="A36" i="2"/>
  <c r="A19" i="2"/>
  <c r="A22" i="2"/>
  <c r="I39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<sst xmlns="http://schemas.openxmlformats.org/spreadsheetml/2006/main" count="2169" uniqueCount="373">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</sst>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44304</v>
      </c>
    </row>
    <row r="8" spans="1:3" ht="15" customHeight="1" x14ac:dyDescent="0.25">
      <c r="B8" s="5" t="s">
        <v>63</v>
      </c>
      <c r="C8" s="44">
        <v>0.159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0.49825380000000002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0.49299999999999999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7.7300000000000008E-2</v>
      </c>
    </row>
    <row r="24" spans="1:3" ht="15" customHeight="1" x14ac:dyDescent="0.25">
      <c r="B24" s="15" t="s">
        <v>65</v>
      </c>
      <c r="C24" s="45">
        <v>0.50680000000000003</v>
      </c>
    </row>
    <row r="25" spans="1:3" ht="15" customHeight="1" x14ac:dyDescent="0.25">
      <c r="B25" s="15" t="s">
        <v>66</v>
      </c>
      <c r="C25" s="45">
        <v>0.33629999999999988</v>
      </c>
    </row>
    <row r="26" spans="1:3" ht="15" customHeight="1" x14ac:dyDescent="0.25">
      <c r="B26" s="15" t="s">
        <v>67</v>
      </c>
      <c r="C26" s="45">
        <v>7.9600000000000004E-2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7">
        <v>2.3858720907234902E-2</v>
      </c>
    </row>
    <row r="31" spans="1:3" ht="14.25" customHeight="1" x14ac:dyDescent="0.25">
      <c r="B31" s="25" t="s">
        <v>29</v>
      </c>
      <c r="C31" s="97">
        <v>3.4342930038455802E-2</v>
      </c>
    </row>
    <row r="32" spans="1:3" ht="14.25" customHeight="1" x14ac:dyDescent="0.25">
      <c r="B32" s="25" t="s">
        <v>30</v>
      </c>
      <c r="C32" s="97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9.8678000000000008</v>
      </c>
    </row>
    <row r="38" spans="1:5" ht="15" customHeight="1" x14ac:dyDescent="0.25">
      <c r="B38" s="11" t="s">
        <v>54</v>
      </c>
      <c r="C38" s="43">
        <v>19.7136</v>
      </c>
      <c r="D38" s="12"/>
      <c r="E38" s="13"/>
    </row>
    <row r="39" spans="1:5" ht="15" customHeight="1" x14ac:dyDescent="0.25">
      <c r="B39" s="11" t="s">
        <v>80</v>
      </c>
      <c r="C39" s="43">
        <v>23.214130000000001</v>
      </c>
      <c r="D39" s="12"/>
      <c r="E39" s="12"/>
    </row>
    <row r="40" spans="1:5" ht="15" customHeight="1" x14ac:dyDescent="0.25">
      <c r="B40" s="11" t="s">
        <v>55</v>
      </c>
      <c r="C40" s="98">
        <v>0.94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10.599349999999999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6.1368999999999998E-3</v>
      </c>
      <c r="D45" s="12"/>
    </row>
    <row r="46" spans="1:5" ht="15.75" customHeight="1" x14ac:dyDescent="0.25">
      <c r="B46" s="11" t="s">
        <v>70</v>
      </c>
      <c r="C46" s="45">
        <v>6.5939800000000007E-2</v>
      </c>
      <c r="D46" s="12"/>
    </row>
    <row r="47" spans="1:5" ht="15.75" customHeight="1" x14ac:dyDescent="0.25">
      <c r="B47" s="11" t="s">
        <v>78</v>
      </c>
      <c r="C47" s="45">
        <v>7.5165300000000004E-2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2.2000000000000002</v>
      </c>
      <c r="D51" s="12"/>
    </row>
    <row r="52" spans="1:4" ht="15" customHeight="1" x14ac:dyDescent="0.25">
      <c r="B52" s="11" t="s">
        <v>32</v>
      </c>
      <c r="C52" s="98">
        <v>2.2000000000000002</v>
      </c>
    </row>
    <row r="53" spans="1:4" ht="15.75" customHeight="1" x14ac:dyDescent="0.25">
      <c r="B53" s="11" t="s">
        <v>35</v>
      </c>
      <c r="C53" s="98">
        <v>2.2000000000000002</v>
      </c>
    </row>
    <row r="54" spans="1:4" ht="15.75" customHeight="1" x14ac:dyDescent="0.25">
      <c r="B54" s="11" t="s">
        <v>33</v>
      </c>
      <c r="C54" s="98">
        <v>2.2000000000000002</v>
      </c>
    </row>
    <row r="55" spans="1:4" ht="15.75" customHeight="1" x14ac:dyDescent="0.25">
      <c r="B55" s="11" t="s">
        <v>34</v>
      </c>
      <c r="C55" s="98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0.63705900000000004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0.1306263993</v>
      </c>
    </row>
    <row r="63" spans="1:4" ht="15.75" customHeight="1" x14ac:dyDescent="0.3">
      <c r="A63" s="4"/>
    </row>
  </sheetData>
  <sheetProtection algorithmName="SHA-512" hashValue="TXu3AjqDMpHnbW/k+kawhtjbrWKRatVrnMaSA5y+4tMpZbQBXdY0C+4TKOTx+BPcZIQSGHtxXqL42naL28O52Q==" saltValue="thlP3Z6e2dIoDE5hBRVg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9590</v>
      </c>
      <c r="C2" s="49">
        <v>20589</v>
      </c>
      <c r="D2" s="49">
        <v>27579.5</v>
      </c>
      <c r="E2" s="49">
        <v>24729.5</v>
      </c>
      <c r="F2" s="49">
        <v>13662</v>
      </c>
      <c r="G2" s="17">
        <f t="shared" ref="G2:G13" si="0">C2+D2+E2+F2</f>
        <v>86560</v>
      </c>
      <c r="H2" s="17">
        <f t="shared" ref="H2:H13" si="1">(B2 + stillbirth*B2/(1000-stillbirth))/(1-abortion)</f>
        <v>11014.473532766804</v>
      </c>
      <c r="I2" s="17">
        <f t="shared" ref="I2:I13" si="2">G2-H2</f>
        <v>75545.526467233198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9673</v>
      </c>
      <c r="C3" s="50">
        <v>21488</v>
      </c>
      <c r="D3" s="50">
        <v>27857</v>
      </c>
      <c r="E3" s="50">
        <v>25386.5</v>
      </c>
      <c r="F3" s="50">
        <v>14298</v>
      </c>
      <c r="G3" s="17">
        <f t="shared" si="0"/>
        <v>89029.5</v>
      </c>
      <c r="H3" s="17">
        <f t="shared" si="1"/>
        <v>11109.802135813692</v>
      </c>
      <c r="I3" s="17">
        <f t="shared" si="2"/>
        <v>77919.69786418631</v>
      </c>
    </row>
    <row r="4" spans="1:9" ht="15.75" customHeight="1" x14ac:dyDescent="0.25">
      <c r="A4" s="5">
        <f t="shared" si="3"/>
        <v>2026</v>
      </c>
      <c r="B4" s="49">
        <v>9773</v>
      </c>
      <c r="C4" s="50">
        <v>22363</v>
      </c>
      <c r="D4" s="50">
        <v>28277.5</v>
      </c>
      <c r="E4" s="50">
        <v>25915.5</v>
      </c>
      <c r="F4" s="50">
        <v>15008</v>
      </c>
      <c r="G4" s="17">
        <f t="shared" si="0"/>
        <v>91564</v>
      </c>
      <c r="H4" s="17">
        <f t="shared" si="1"/>
        <v>11224.655874424399</v>
      </c>
      <c r="I4" s="17">
        <f t="shared" si="2"/>
        <v>80339.344125575604</v>
      </c>
    </row>
    <row r="5" spans="1:9" ht="15.75" customHeight="1" x14ac:dyDescent="0.25">
      <c r="A5" s="5">
        <f t="shared" si="3"/>
        <v>2027</v>
      </c>
      <c r="B5" s="49">
        <v>9930</v>
      </c>
      <c r="C5" s="50">
        <v>23158.5</v>
      </c>
      <c r="D5" s="50">
        <v>28878.5</v>
      </c>
      <c r="E5" s="50">
        <v>26308.499999999989</v>
      </c>
      <c r="F5" s="50">
        <v>15808.5</v>
      </c>
      <c r="G5" s="17">
        <f t="shared" si="0"/>
        <v>94153.999999999985</v>
      </c>
      <c r="H5" s="17">
        <f t="shared" si="1"/>
        <v>11404.97624404321</v>
      </c>
      <c r="I5" s="17">
        <f t="shared" si="2"/>
        <v>82749.023755956776</v>
      </c>
    </row>
    <row r="6" spans="1:9" ht="15.75" customHeight="1" x14ac:dyDescent="0.25">
      <c r="A6" s="5">
        <f t="shared" si="3"/>
        <v>2028</v>
      </c>
      <c r="B6" s="49">
        <v>10061</v>
      </c>
      <c r="C6" s="50">
        <v>23840.5</v>
      </c>
      <c r="D6" s="50">
        <v>29672</v>
      </c>
      <c r="E6" s="50">
        <v>26584.5</v>
      </c>
      <c r="F6" s="50">
        <v>16675</v>
      </c>
      <c r="G6" s="17">
        <f t="shared" si="0"/>
        <v>96772</v>
      </c>
      <c r="H6" s="17">
        <f t="shared" si="1"/>
        <v>11555.434641623233</v>
      </c>
      <c r="I6" s="17">
        <f t="shared" si="2"/>
        <v>85216.565358376771</v>
      </c>
    </row>
    <row r="7" spans="1:9" ht="15.75" customHeight="1" x14ac:dyDescent="0.25">
      <c r="A7" s="5">
        <f t="shared" si="3"/>
        <v>2029</v>
      </c>
      <c r="B7" s="49">
        <v>10215</v>
      </c>
      <c r="C7" s="50">
        <v>24388.5</v>
      </c>
      <c r="D7" s="50">
        <v>30663.5</v>
      </c>
      <c r="E7" s="50">
        <v>26751</v>
      </c>
      <c r="F7" s="50">
        <v>17515</v>
      </c>
      <c r="G7" s="17">
        <f t="shared" si="0"/>
        <v>99318</v>
      </c>
      <c r="H7" s="17">
        <f t="shared" si="1"/>
        <v>11732.309399083724</v>
      </c>
      <c r="I7" s="17">
        <f t="shared" si="2"/>
        <v>87585.690600916278</v>
      </c>
    </row>
    <row r="8" spans="1:9" ht="15.75" customHeight="1" x14ac:dyDescent="0.25">
      <c r="A8" s="5">
        <f t="shared" si="3"/>
        <v>2030</v>
      </c>
      <c r="B8" s="49">
        <v>10348</v>
      </c>
      <c r="C8" s="50">
        <v>24824.5</v>
      </c>
      <c r="D8" s="50">
        <v>31793</v>
      </c>
      <c r="E8" s="50">
        <v>26851</v>
      </c>
      <c r="F8" s="50">
        <v>18329</v>
      </c>
      <c r="G8" s="17">
        <f t="shared" si="0"/>
        <v>101797.5</v>
      </c>
      <c r="H8" s="17">
        <f t="shared" si="1"/>
        <v>11885.064871435965</v>
      </c>
      <c r="I8" s="17">
        <f t="shared" si="2"/>
        <v>89912.43512856403</v>
      </c>
    </row>
    <row r="9" spans="1:9" ht="15.75" customHeight="1" x14ac:dyDescent="0.25">
      <c r="A9" s="5">
        <f t="shared" si="3"/>
        <v>2031</v>
      </c>
      <c r="B9" s="49">
        <v>10544</v>
      </c>
      <c r="C9" s="50">
        <v>25178</v>
      </c>
      <c r="D9" s="50">
        <v>32985.5</v>
      </c>
      <c r="E9" s="50">
        <v>26932.5</v>
      </c>
      <c r="F9" s="50">
        <v>19156</v>
      </c>
      <c r="G9" s="17">
        <f t="shared" si="0"/>
        <v>104252</v>
      </c>
      <c r="H9" s="17">
        <f t="shared" si="1"/>
        <v>12110.178199112948</v>
      </c>
      <c r="I9" s="17">
        <f t="shared" si="2"/>
        <v>92141.821800887046</v>
      </c>
    </row>
    <row r="10" spans="1:9" ht="15.75" customHeight="1" x14ac:dyDescent="0.25">
      <c r="A10" s="5">
        <f t="shared" si="3"/>
        <v>2032</v>
      </c>
      <c r="B10" s="49">
        <v>10687</v>
      </c>
      <c r="C10" s="50">
        <v>25452.5</v>
      </c>
      <c r="D10" s="50">
        <v>34222</v>
      </c>
      <c r="E10" s="50">
        <v>27011.5</v>
      </c>
      <c r="F10" s="50">
        <v>19977</v>
      </c>
      <c r="G10" s="17">
        <f t="shared" si="0"/>
        <v>106663</v>
      </c>
      <c r="H10" s="17">
        <f t="shared" si="1"/>
        <v>12274.419045326262</v>
      </c>
      <c r="I10" s="17">
        <f t="shared" si="2"/>
        <v>94388.580954673744</v>
      </c>
    </row>
    <row r="11" spans="1:9" ht="15.75" customHeight="1" x14ac:dyDescent="0.25">
      <c r="A11" s="5">
        <f t="shared" si="3"/>
        <v>2033</v>
      </c>
      <c r="B11" s="49">
        <v>10835</v>
      </c>
      <c r="C11" s="50">
        <v>25673</v>
      </c>
      <c r="D11" s="50">
        <v>35473.5</v>
      </c>
      <c r="E11" s="50">
        <v>27115.5</v>
      </c>
      <c r="F11" s="50">
        <v>20775</v>
      </c>
      <c r="G11" s="17">
        <f t="shared" si="0"/>
        <v>109037</v>
      </c>
      <c r="H11" s="17">
        <f t="shared" si="1"/>
        <v>12444.402578470106</v>
      </c>
      <c r="I11" s="17">
        <f t="shared" si="2"/>
        <v>96592.597421529892</v>
      </c>
    </row>
    <row r="12" spans="1:9" ht="15.75" customHeight="1" x14ac:dyDescent="0.25">
      <c r="A12" s="5">
        <f t="shared" si="3"/>
        <v>2034</v>
      </c>
      <c r="B12" s="49">
        <v>10971</v>
      </c>
      <c r="C12" s="50">
        <v>25861.5</v>
      </c>
      <c r="D12" s="50">
        <v>36705.5</v>
      </c>
      <c r="E12" s="50">
        <v>27291.5</v>
      </c>
      <c r="F12" s="50">
        <v>21519</v>
      </c>
      <c r="G12" s="17">
        <f t="shared" si="0"/>
        <v>111377.5</v>
      </c>
      <c r="H12" s="17">
        <f t="shared" si="1"/>
        <v>12600.603662980668</v>
      </c>
      <c r="I12" s="17">
        <f t="shared" si="2"/>
        <v>98776.896337019338</v>
      </c>
    </row>
    <row r="13" spans="1:9" ht="15.75" customHeight="1" x14ac:dyDescent="0.25">
      <c r="A13" s="5">
        <f t="shared" si="3"/>
        <v>2035</v>
      </c>
      <c r="B13" s="49">
        <v>11135</v>
      </c>
      <c r="C13" s="50">
        <v>26036</v>
      </c>
      <c r="D13" s="50">
        <v>37885</v>
      </c>
      <c r="E13" s="50">
        <v>27573</v>
      </c>
      <c r="F13" s="50">
        <v>22177.5</v>
      </c>
      <c r="G13" s="17">
        <f t="shared" si="0"/>
        <v>113671.5</v>
      </c>
      <c r="H13" s="17">
        <f t="shared" si="1"/>
        <v>12788.963794302228</v>
      </c>
      <c r="I13" s="17">
        <f t="shared" si="2"/>
        <v>100882.53620569778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o8e9Byy0RY0Yf00ibU7dJzrc3+AWOGdXoRdc5Of/QsJEOUCNTJGOe9Aa4cxBoku4V0riNes7dOh1WOsK+rEpQ==" saltValue="Yu4+aRWr369sVvU2Sxac4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1.1815998818400109E-3</v>
      </c>
    </row>
    <row r="4" spans="1:8" ht="15.75" customHeight="1" x14ac:dyDescent="0.25">
      <c r="B4" s="19" t="s">
        <v>116</v>
      </c>
      <c r="C4" s="99">
        <v>4.9927795007220499E-2</v>
      </c>
    </row>
    <row r="5" spans="1:8" ht="15.75" customHeight="1" x14ac:dyDescent="0.25">
      <c r="B5" s="19" t="s">
        <v>114</v>
      </c>
      <c r="C5" s="99">
        <v>3.8299596170040348E-2</v>
      </c>
    </row>
    <row r="6" spans="1:8" ht="15.75" customHeight="1" x14ac:dyDescent="0.25">
      <c r="B6" s="19" t="s">
        <v>110</v>
      </c>
      <c r="C6" s="99">
        <v>0.1696583830341615</v>
      </c>
    </row>
    <row r="7" spans="1:8" ht="15.75" customHeight="1" x14ac:dyDescent="0.25">
      <c r="B7" s="19" t="s">
        <v>115</v>
      </c>
      <c r="C7" s="99">
        <v>0.51123814887618546</v>
      </c>
    </row>
    <row r="8" spans="1:8" ht="15.75" customHeight="1" x14ac:dyDescent="0.25">
      <c r="B8" s="19" t="s">
        <v>117</v>
      </c>
      <c r="C8" s="99">
        <v>2.0689997931000191E-4</v>
      </c>
    </row>
    <row r="9" spans="1:8" ht="15.75" customHeight="1" x14ac:dyDescent="0.25">
      <c r="B9" s="19" t="s">
        <v>111</v>
      </c>
      <c r="C9" s="99">
        <v>0.16598378340162159</v>
      </c>
    </row>
    <row r="10" spans="1:8" ht="15.75" customHeight="1" x14ac:dyDescent="0.25">
      <c r="B10" s="19" t="s">
        <v>113</v>
      </c>
      <c r="C10" s="99">
        <v>6.3503793649620596E-2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0.23778014031948599</v>
      </c>
      <c r="D14" s="55">
        <v>0.23778014031948599</v>
      </c>
      <c r="E14" s="55">
        <v>0.23778014031948599</v>
      </c>
      <c r="F14" s="55">
        <v>0.23778014031948599</v>
      </c>
    </row>
    <row r="15" spans="1:8" ht="15.75" customHeight="1" x14ac:dyDescent="0.25">
      <c r="B15" s="19" t="s">
        <v>121</v>
      </c>
      <c r="C15" s="99">
        <v>0.53997917606680679</v>
      </c>
      <c r="D15" s="99">
        <v>0.53997917606680679</v>
      </c>
      <c r="E15" s="99">
        <v>0.53997917606680679</v>
      </c>
      <c r="F15" s="99">
        <v>0.53997917606680679</v>
      </c>
    </row>
    <row r="16" spans="1:8" ht="15.75" customHeight="1" x14ac:dyDescent="0.25">
      <c r="B16" s="19" t="s">
        <v>2</v>
      </c>
      <c r="C16" s="99">
        <v>1.727508570668718E-2</v>
      </c>
      <c r="D16" s="99">
        <v>1.727508570668718E-2</v>
      </c>
      <c r="E16" s="99">
        <v>1.727508570668718E-2</v>
      </c>
      <c r="F16" s="99">
        <v>1.727508570668718E-2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2.561666534338515E-2</v>
      </c>
      <c r="D19" s="99">
        <v>2.561666534338515E-2</v>
      </c>
      <c r="E19" s="99">
        <v>2.561666534338515E-2</v>
      </c>
      <c r="F19" s="99">
        <v>2.561666534338515E-2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0.1329903129334955</v>
      </c>
      <c r="D21" s="99">
        <v>0.1329903129334955</v>
      </c>
      <c r="E21" s="99">
        <v>0.1329903129334955</v>
      </c>
      <c r="F21" s="99">
        <v>0.1329903129334955</v>
      </c>
    </row>
    <row r="22" spans="1:8" ht="15.75" customHeight="1" x14ac:dyDescent="0.25">
      <c r="B22" s="19" t="s">
        <v>118</v>
      </c>
      <c r="C22" s="99">
        <v>4.6358619630139521E-2</v>
      </c>
      <c r="D22" s="99">
        <v>4.6358619630139521E-2</v>
      </c>
      <c r="E22" s="99">
        <v>4.6358619630139521E-2</v>
      </c>
      <c r="F22" s="99">
        <v>4.6358619630139521E-2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4.7782605999999991E-2</v>
      </c>
    </row>
    <row r="27" spans="1:8" ht="15.75" customHeight="1" x14ac:dyDescent="0.25">
      <c r="B27" s="19" t="s">
        <v>108</v>
      </c>
      <c r="C27" s="99">
        <v>1.8912625999999998E-2</v>
      </c>
    </row>
    <row r="28" spans="1:8" ht="15.75" customHeight="1" x14ac:dyDescent="0.25">
      <c r="B28" s="19" t="s">
        <v>122</v>
      </c>
      <c r="C28" s="99">
        <v>0.22751453199999999</v>
      </c>
    </row>
    <row r="29" spans="1:8" ht="15.75" customHeight="1" x14ac:dyDescent="0.25">
      <c r="B29" s="19" t="s">
        <v>105</v>
      </c>
      <c r="C29" s="99">
        <v>0.13826291700000001</v>
      </c>
    </row>
    <row r="30" spans="1:8" ht="15.75" customHeight="1" x14ac:dyDescent="0.25">
      <c r="B30" s="19" t="s">
        <v>4</v>
      </c>
      <c r="C30" s="99">
        <v>4.9672004000000013E-2</v>
      </c>
    </row>
    <row r="31" spans="1:8" ht="15.75" customHeight="1" x14ac:dyDescent="0.25">
      <c r="B31" s="19" t="s">
        <v>99</v>
      </c>
      <c r="C31" s="99">
        <v>7.0532584999999995E-2</v>
      </c>
    </row>
    <row r="32" spans="1:8" ht="15.75" customHeight="1" x14ac:dyDescent="0.25">
      <c r="B32" s="19" t="s">
        <v>104</v>
      </c>
      <c r="C32" s="99">
        <v>0.15034908699999999</v>
      </c>
    </row>
    <row r="33" spans="2:3" ht="15.75" customHeight="1" x14ac:dyDescent="0.25">
      <c r="B33" s="19" t="s">
        <v>119</v>
      </c>
      <c r="C33" s="99">
        <v>0.12275455</v>
      </c>
    </row>
    <row r="34" spans="2:3" ht="15.75" customHeight="1" x14ac:dyDescent="0.25">
      <c r="B34" s="19" t="s">
        <v>106</v>
      </c>
      <c r="C34" s="99">
        <v>0.17421909099999999</v>
      </c>
    </row>
    <row r="35" spans="2:3" ht="15.75" customHeight="1" x14ac:dyDescent="0.25">
      <c r="B35" s="27" t="s">
        <v>79</v>
      </c>
      <c r="C35" s="48">
        <f>SUM(C26:C34)</f>
        <v>0.99999999799999995</v>
      </c>
    </row>
  </sheetData>
  <sheetProtection algorithmName="SHA-512" hashValue="ppAFE1LsnoLOnPe86OKTYiObOAd9zgTCWa32Oj/ZT5dTeteGYsRs9d9WvF999SQ3B3n2KVKX99Rf19QtjNPPrg==" saltValue="lt0vPaKEsaD0nX7oVSc8q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0.69891161722169604</v>
      </c>
      <c r="D2" s="52">
        <f>IFERROR(1-_xlfn.NORM.DIST(_xlfn.NORM.INV(SUM(D4:D5), 0, 1) + 1, 0, 1, TRUE), "")</f>
        <v>0.69891161722169604</v>
      </c>
      <c r="E2" s="52">
        <f>IFERROR(1-_xlfn.NORM.DIST(_xlfn.NORM.INV(SUM(E4:E5), 0, 1) + 1, 0, 1, TRUE), "")</f>
        <v>0.68239944236525596</v>
      </c>
      <c r="F2" s="52">
        <f>IFERROR(1-_xlfn.NORM.DIST(_xlfn.NORM.INV(SUM(F4:F5), 0, 1) + 1, 0, 1, TRUE), "")</f>
        <v>0.32335532043550219</v>
      </c>
      <c r="G2" s="52">
        <f>IFERROR(1-_xlfn.NORM.DIST(_xlfn.NORM.INV(SUM(G4:G5), 0, 1) + 1, 0, 1, TRUE), "")</f>
        <v>0.31115184804710971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0.2369926827783039</v>
      </c>
      <c r="D3" s="52">
        <f>IFERROR(_xlfn.NORM.DIST(_xlfn.NORM.INV(SUM(D4:D5), 0, 1) + 1, 0, 1, TRUE) - SUM(D4:D5), "")</f>
        <v>0.2369926827783039</v>
      </c>
      <c r="E3" s="52">
        <f>IFERROR(_xlfn.NORM.DIST(_xlfn.NORM.INV(SUM(E4:E5), 0, 1) + 1, 0, 1, TRUE) - SUM(E4:E5), "")</f>
        <v>0.24741615763474406</v>
      </c>
      <c r="F3" s="52">
        <f>IFERROR(_xlfn.NORM.DIST(_xlfn.NORM.INV(SUM(F4:F5), 0, 1) + 1, 0, 1, TRUE) - SUM(F4:F5), "")</f>
        <v>0.38261947956449782</v>
      </c>
      <c r="G3" s="52">
        <f>IFERROR(_xlfn.NORM.DIST(_xlfn.NORM.INV(SUM(G4:G5), 0, 1) + 1, 0, 1, TRUE) - SUM(G4:G5), "")</f>
        <v>0.38291525195289028</v>
      </c>
    </row>
    <row r="4" spans="1:15" ht="15.75" customHeight="1" x14ac:dyDescent="0.25">
      <c r="B4" s="5" t="s">
        <v>129</v>
      </c>
      <c r="C4" s="45">
        <v>4.2213100000000003E-2</v>
      </c>
      <c r="D4" s="53">
        <v>4.2213100000000003E-2</v>
      </c>
      <c r="E4" s="53">
        <v>3.7033999999999997E-2</v>
      </c>
      <c r="F4" s="53">
        <v>0.20522009999999999</v>
      </c>
      <c r="G4" s="53">
        <v>0.214479</v>
      </c>
    </row>
    <row r="5" spans="1:15" ht="15.75" customHeight="1" x14ac:dyDescent="0.25">
      <c r="B5" s="5" t="s">
        <v>125</v>
      </c>
      <c r="C5" s="45">
        <v>2.1882599999999999E-2</v>
      </c>
      <c r="D5" s="53">
        <v>2.1882599999999999E-2</v>
      </c>
      <c r="E5" s="53">
        <v>3.3150399999999997E-2</v>
      </c>
      <c r="F5" s="53">
        <v>8.8805099999999998E-2</v>
      </c>
      <c r="G5" s="53">
        <v>9.1453900000000005E-2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0.71197419033079556</v>
      </c>
      <c r="D8" s="52">
        <f>IFERROR(1-_xlfn.NORM.DIST(_xlfn.NORM.INV(SUM(D10:D11), 0, 1) + 1, 0, 1, TRUE), "")</f>
        <v>0.71197419033079556</v>
      </c>
      <c r="E8" s="52">
        <f>IFERROR(1-_xlfn.NORM.DIST(_xlfn.NORM.INV(SUM(E10:E11), 0, 1) + 1, 0, 1, TRUE), "")</f>
        <v>0.70627108362301483</v>
      </c>
      <c r="F8" s="52">
        <f>IFERROR(1-_xlfn.NORM.DIST(_xlfn.NORM.INV(SUM(F10:F11), 0, 1) + 1, 0, 1, TRUE), "")</f>
        <v>0.62482398437663966</v>
      </c>
      <c r="G8" s="52">
        <f>IFERROR(1-_xlfn.NORM.DIST(_xlfn.NORM.INV(SUM(G10:G11), 0, 1) + 1, 0, 1, TRUE), "")</f>
        <v>0.7606822697528548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0.22854670966920443</v>
      </c>
      <c r="D9" s="52">
        <f>IFERROR(_xlfn.NORM.DIST(_xlfn.NORM.INV(SUM(D10:D11), 0, 1) + 1, 0, 1, TRUE) - SUM(D10:D11), "")</f>
        <v>0.22854670966920443</v>
      </c>
      <c r="E9" s="52">
        <f>IFERROR(_xlfn.NORM.DIST(_xlfn.NORM.INV(SUM(E10:E11), 0, 1) + 1, 0, 1, TRUE) - SUM(E10:E11), "")</f>
        <v>0.23225571637698517</v>
      </c>
      <c r="F9" s="52">
        <f>IFERROR(_xlfn.NORM.DIST(_xlfn.NORM.INV(SUM(F10:F11), 0, 1) + 1, 0, 1, TRUE) - SUM(F10:F11), "")</f>
        <v>0.2814535156233603</v>
      </c>
      <c r="G9" s="52">
        <f>IFERROR(_xlfn.NORM.DIST(_xlfn.NORM.INV(SUM(G10:G11), 0, 1) + 1, 0, 1, TRUE) - SUM(G10:G11), "")</f>
        <v>0.19554583024714525</v>
      </c>
    </row>
    <row r="10" spans="1:15" ht="15.75" customHeight="1" x14ac:dyDescent="0.25">
      <c r="B10" s="5" t="s">
        <v>126</v>
      </c>
      <c r="C10" s="45">
        <v>5.5731700000000002E-2</v>
      </c>
      <c r="D10" s="53">
        <v>5.5731700000000002E-2</v>
      </c>
      <c r="E10" s="53">
        <v>3.1870099999999998E-2</v>
      </c>
      <c r="F10" s="53">
        <v>7.0596400000000004E-2</v>
      </c>
      <c r="G10" s="53">
        <v>2.6420599999999999E-2</v>
      </c>
    </row>
    <row r="11" spans="1:15" ht="15.75" customHeight="1" x14ac:dyDescent="0.25">
      <c r="B11" s="5" t="s">
        <v>138</v>
      </c>
      <c r="C11" s="45">
        <v>3.7474000000000001E-3</v>
      </c>
      <c r="D11" s="53">
        <v>3.7474000000000001E-3</v>
      </c>
      <c r="E11" s="53">
        <v>2.96031E-2</v>
      </c>
      <c r="F11" s="53">
        <v>2.31261E-2</v>
      </c>
      <c r="G11" s="53">
        <v>1.73513E-2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0.53215260274999998</v>
      </c>
      <c r="D14" s="54">
        <v>0.528708013373</v>
      </c>
      <c r="E14" s="54">
        <v>0.528708013373</v>
      </c>
      <c r="F14" s="54">
        <v>0.40532314977799999</v>
      </c>
      <c r="G14" s="54">
        <v>0.40532314977799999</v>
      </c>
      <c r="H14" s="45">
        <v>0.27800000000000002</v>
      </c>
      <c r="I14" s="55">
        <v>0.27800000000000002</v>
      </c>
      <c r="J14" s="55">
        <v>0.27800000000000002</v>
      </c>
      <c r="K14" s="55">
        <v>0.27800000000000002</v>
      </c>
      <c r="L14" s="45">
        <v>0.23699999999999999</v>
      </c>
      <c r="M14" s="55">
        <v>0.23699999999999999</v>
      </c>
      <c r="N14" s="55">
        <v>0.23699999999999999</v>
      </c>
      <c r="O14" s="55">
        <v>0.23699999999999999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0.33901260495531227</v>
      </c>
      <c r="D15" s="52">
        <f t="shared" si="0"/>
        <v>0.33681819829139004</v>
      </c>
      <c r="E15" s="52">
        <f t="shared" si="0"/>
        <v>0.33681819829139004</v>
      </c>
      <c r="F15" s="52">
        <f t="shared" si="0"/>
        <v>0.25821476047442293</v>
      </c>
      <c r="G15" s="52">
        <f t="shared" si="0"/>
        <v>0.25821476047442293</v>
      </c>
      <c r="H15" s="52">
        <f t="shared" si="0"/>
        <v>0.17710240200000002</v>
      </c>
      <c r="I15" s="52">
        <f t="shared" si="0"/>
        <v>0.17710240200000002</v>
      </c>
      <c r="J15" s="52">
        <f t="shared" si="0"/>
        <v>0.17710240200000002</v>
      </c>
      <c r="K15" s="52">
        <f t="shared" si="0"/>
        <v>0.17710240200000002</v>
      </c>
      <c r="L15" s="52">
        <f t="shared" si="0"/>
        <v>0.15098298300000002</v>
      </c>
      <c r="M15" s="52">
        <f t="shared" si="0"/>
        <v>0.15098298300000002</v>
      </c>
      <c r="N15" s="52">
        <f t="shared" si="0"/>
        <v>0.15098298300000002</v>
      </c>
      <c r="O15" s="52">
        <f t="shared" si="0"/>
        <v>0.15098298300000002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nXDoOB2iNir5EePhJPVAFye+ZTpgi4zVCkZ38JX1D2qe4+7uKCI8m32aqzHPPw3mW5nd8xjaxmldcsVuCK/hw==" saltValue="/2/3IxHMbBCsoZ9PCuq4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0.5343445</v>
      </c>
      <c r="D2" s="53">
        <v>0.4011613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3.7408799999999999E-2</v>
      </c>
      <c r="D3" s="53">
        <v>0.11699619999999999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0.3187007</v>
      </c>
      <c r="D4" s="53">
        <v>0.42420869999999999</v>
      </c>
      <c r="E4" s="53">
        <v>0.89030050000000005</v>
      </c>
      <c r="F4" s="53">
        <v>0.57105020000000006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0.10954599999999992</v>
      </c>
      <c r="D5" s="52">
        <f t="shared" si="0"/>
        <v>5.7633799999999957E-2</v>
      </c>
      <c r="E5" s="52">
        <f>1-SUM(E2:E4)</f>
        <v>0.10969949999999995</v>
      </c>
      <c r="F5" s="52">
        <f>1-SUM(F2:F4)</f>
        <v>0.42894979999999994</v>
      </c>
      <c r="G5" s="52">
        <f>1-SUM(G2:G4)</f>
        <v>1</v>
      </c>
    </row>
  </sheetData>
  <sheetProtection algorithmName="SHA-512" hashValue="EF3h48uFDuzIwVlwn8hoGSqQCCP7Tw9wDmQtmFb0xBeZY5LsyABdnFxj1YS6/a+Czz9ZJGqgxNy/5x4IMpttsQ==" saltValue="UGJ8bKdyqKqnDDh99O+4P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PslJSOaRg7SGuhOKAku4mPZ4RBTVBv56YZGVllk2XP3BTGKsQeLP62PQz2XoFUoHg/IOHOn1XvttuUeuzAIPA==" saltValue="8vaSBUkRtoqlZiwdfo9d5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3231.3512999557101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0.59654000000000007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0.61165999999999998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1.9954263000000003E-2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97405.381139999998</v>
      </c>
      <c r="C22" s="107">
        <v>97115.688439999998</v>
      </c>
      <c r="D22" s="107">
        <v>96875.47898</v>
      </c>
      <c r="E22" s="107">
        <v>96270.357619999995</v>
      </c>
      <c r="F22" s="107">
        <v>95206.50331</v>
      </c>
      <c r="G22" s="107">
        <v>93891.939209999997</v>
      </c>
      <c r="H22" s="107">
        <v>92205.050759999998</v>
      </c>
      <c r="I22" s="107">
        <v>89938.470509999999</v>
      </c>
      <c r="J22" s="107">
        <v>86789.462889999995</v>
      </c>
      <c r="K22" s="107">
        <v>82504.050749999995</v>
      </c>
      <c r="L22" s="107">
        <v>76794.266350000005</v>
      </c>
      <c r="M22" s="107">
        <v>69364.423070000004</v>
      </c>
      <c r="N22" s="107">
        <v>59902.527269999999</v>
      </c>
      <c r="O22" s="107">
        <v>48770.346290000001</v>
      </c>
    </row>
  </sheetData>
  <sheetProtection algorithmName="SHA-512" hashValue="/lv01QXW2SkgSGoXpDxAk7TTvVtlZq9Jnug9Zcsjm3AI31mdhTuNHuibzRzugV0JJ8MVKJGthIfwP6M4PQLA8g==" saltValue="Go5+0HEFg1xOj3ae8aqC/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YdED+YTzasdt6EIIGsGKbaMEscNv7UVvWB4MD2UBxYALcqLnbsDZnWFQj6DN5ON+c70sJ2Fjawou2zCmet3kfw==" saltValue="kLHtKI9nJyIhF7BtuIUfR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DRooUG0bd3fb/sjrV8ZKGb/Jj5gkxRArsQxeI0dch0DXwf435W/q8guuY8HFsBTR+G1YNgPpLHjnybZkIe9NuQ==" saltValue="byzcXh1Duxu0FfDoSYO7t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1.3892843507597601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1.899427422400078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12.828939256058341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12.828939256058341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12.828939256058341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12.828939256058341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12.828939256058341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12.828939256058341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0.4011613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0.4011613</v>
      </c>
      <c r="C19" s="96">
        <v>0.95</v>
      </c>
      <c r="D19" s="56">
        <v>6.6332602175192878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0.69800110000000004</v>
      </c>
      <c r="C23" s="96">
        <v>0.95</v>
      </c>
      <c r="D23" s="56">
        <v>4.1648125448902009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0.63282579900000002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0.47599999999999998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33.321934882307978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53.05041964170676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0.75879769999999991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0.627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3.6438999999999998E-3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0.49547920000000001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0.01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nJKa/rA4rw4oY8sUkH6lABU+Efo9EDSDySSNDhzZutbeplEToos+cZOlXCv16GP5e61Fvh+URsO7n3Ja37RfJw==" saltValue="oPo6mXcFnAbZVr5VbdDm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b8bSWZd3f0NFAGSYDDcQfCNF9ZtYj0AFQ9Af9nW2NyB4ujW4koYm7G02rBv445zZMu52+csMnIHTKr47qTudw==" saltValue="9jReS2P/yWolWs0kUosO5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VDprfFYGF9A0NE7+9mtR0tDAi3zDeWK+GNSFhE61pg58CM5Ww8rBVQY4NYf6iN5TmGAdEs6fEZPPf21za4Cyg==" saltValue="4ULnTFcZ/QN4zW61jiriK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0.14490242</v>
      </c>
      <c r="C3" s="21">
        <f>frac_mam_1_5months * 2.6</f>
        <v>0.14490242</v>
      </c>
      <c r="D3" s="21">
        <f>frac_mam_6_11months * 2.6</f>
        <v>8.2862259999999993E-2</v>
      </c>
      <c r="E3" s="21">
        <f>frac_mam_12_23months * 2.6</f>
        <v>0.18355064000000001</v>
      </c>
      <c r="F3" s="21">
        <f>frac_mam_24_59months * 2.6</f>
        <v>6.8693560000000001E-2</v>
      </c>
    </row>
    <row r="4" spans="1:6" ht="15.75" customHeight="1" x14ac:dyDescent="0.25">
      <c r="A4" s="3" t="s">
        <v>236</v>
      </c>
      <c r="B4" s="21">
        <f>frac_sam_1month * 2.6</f>
        <v>9.7432400000000002E-3</v>
      </c>
      <c r="C4" s="21">
        <f>frac_sam_1_5months * 2.6</f>
        <v>9.7432400000000002E-3</v>
      </c>
      <c r="D4" s="21">
        <f>frac_sam_6_11months * 2.6</f>
        <v>7.6968060000000005E-2</v>
      </c>
      <c r="E4" s="21">
        <f>frac_sam_12_23months * 2.6</f>
        <v>6.0127860000000005E-2</v>
      </c>
      <c r="F4" s="21">
        <f>frac_sam_24_59months * 2.6</f>
        <v>4.5113380000000002E-2</v>
      </c>
    </row>
  </sheetData>
  <sheetProtection algorithmName="SHA-512" hashValue="3YTm0Fh8LiOjet64nhpVPIk4nKEBz8C43VYBLk2Hb7uUxZlvfiucwj66ZJccv96Y0acwAWttHXI5jo8W729z9g==" saltValue="x/SvLpfKRiKnqhP17xKs2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0.159</v>
      </c>
      <c r="F2" s="60">
        <f>food_insecure</f>
        <v>0.159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0.159</v>
      </c>
      <c r="F5" s="60">
        <f>food_insecure</f>
        <v>0.159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0.159</v>
      </c>
      <c r="F8" s="60">
        <f>food_insecure</f>
        <v>0.159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0.159</v>
      </c>
      <c r="F9" s="60">
        <f>food_insecure</f>
        <v>0.159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0.159</v>
      </c>
      <c r="I15" s="60">
        <f t="shared" si="0"/>
        <v>0.159</v>
      </c>
      <c r="J15" s="60">
        <f t="shared" si="0"/>
        <v>0.159</v>
      </c>
      <c r="K15" s="60">
        <f t="shared" si="0"/>
        <v>0.159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0.159</v>
      </c>
      <c r="I16" s="60">
        <f t="shared" si="0"/>
        <v>0.159</v>
      </c>
      <c r="J16" s="60">
        <f t="shared" si="0"/>
        <v>0.159</v>
      </c>
      <c r="K16" s="60">
        <f t="shared" si="0"/>
        <v>0.159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0.49299999999999999</v>
      </c>
      <c r="M24" s="60">
        <f>famplan_unmet_need</f>
        <v>0.49299999999999999</v>
      </c>
      <c r="N24" s="60">
        <f>famplan_unmet_need</f>
        <v>0.49299999999999999</v>
      </c>
      <c r="O24" s="60">
        <f>famplan_unmet_need</f>
        <v>0.49299999999999999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0.26260894361799991</v>
      </c>
      <c r="M25" s="60">
        <f>(1-food_insecure)*(0.49)+food_insecure*(0.7)</f>
        <v>0.52338999999999991</v>
      </c>
      <c r="N25" s="60">
        <f>(1-food_insecure)*(0.49)+food_insecure*(0.7)</f>
        <v>0.52338999999999991</v>
      </c>
      <c r="O25" s="60">
        <f>(1-food_insecure)*(0.49)+food_insecure*(0.7)</f>
        <v>0.52338999999999991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0.11254669012199998</v>
      </c>
      <c r="M26" s="60">
        <f>(1-food_insecure)*(0.21)+food_insecure*(0.3)</f>
        <v>0.22430999999999998</v>
      </c>
      <c r="N26" s="60">
        <f>(1-food_insecure)*(0.21)+food_insecure*(0.3)</f>
        <v>0.22430999999999998</v>
      </c>
      <c r="O26" s="60">
        <f>(1-food_insecure)*(0.21)+food_insecure*(0.3)</f>
        <v>0.22430999999999998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0.12659056625999995</v>
      </c>
      <c r="M27" s="60">
        <f>(1-food_insecure)*(0.3)</f>
        <v>0.25229999999999997</v>
      </c>
      <c r="N27" s="60">
        <f>(1-food_insecure)*(0.3)</f>
        <v>0.25229999999999997</v>
      </c>
      <c r="O27" s="60">
        <f>(1-food_insecure)*(0.3)</f>
        <v>0.25229999999999997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0.49825380000000002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/actSeME8o4+zTpjxTnVfoyjnmETwtuMRuwhjfn2tV7PAZRuvKuwBymARHHZq8Mav+a0XO0zXf+ZtqhGX2dLSA==" saltValue="nlqVT/LEA1XZprU9bT/g6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69lppkPuvBVJ545qyRxJKzASXJ0uLIY/yxxWeYaIvH5AY7oWCsWToLNsPwFz90EEhGK9tS9z5F3/svkTuUEu2g==" saltValue="AtYf39v2xPuHAVx7qqCTs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CSisZ3R4yOtKJfOvq85SvnAiu3Fzbp3m2ahpNEJA+8ZP2D97770AfqIzkWz81MtKjXyw4l8+Y/+jO1Iw+C0qQ==" saltValue="r/6Bal9WzMqsVkKQLAXiG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2jbKcM5uoemL/PJAgyVaTMKMHCmv6CFvYn/9WTjG9pLXleeEq7kBe8IME8uV5u5MWrxKJGZS95ZItyPs3gNtw==" saltValue="hFf+YwXQoScaiuVrwCpfh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mrCsdaIuo3OnGKoKf9VsYTqdXuxEorR+xcUeJFvy5rROWNCOAjCZybiL2Jxd+87XNxf84UpZeVpq4xJ+GqcSMA==" saltValue="c2OY1gd/Gg2zLSxZFsECA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42IcWcefR9ph2u5YANLqreMRGBSn8TouxoTHiWfw56SHFcm3GE2pp8iAbvsg69sL6EpxwYwZltlqKBgwk+0YOQ==" saltValue="CvZKBA7gfuC+Gat1nbQLO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ZaPhjLjCHdCz2TlXYM8jqseWz/KjqtW85sF6TTsXEIndjuYUrSkCiYQm31Nj+k9nllLNJe0nGaYUTa/2Pst7g==" saltValue="hO8W6NsC3Ha1xSFtAwKzn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kZK9Y3tMWPIEc56S1QvVkq7EnyrKYekdPv/DLeXBSPYPlDhlK8zDsNeDqGUNxVlz0hogPNSLp3zq0hzfIleDxg==" saltValue="qtrN3GZfZkQJts8YSKTA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22vd37hILWPpJzHTwy1KhJ8xSzSxAkCI6ZKGOZ8eQjfvflodUT20zVBJfMiRiy1hBbcYiKtpKL3uHbOhQnkFSA==" saltValue="sGQRVAgXoijg1SHPnQNP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JghtCXv56vnXCXJ6OxbPDDjr84coJDHFazdZAkuozr60YddqqMnM29KD4NvcZls4RXq40f+F3UbYiuHlmIPuQ==" saltValue="ocOj7G2brqtpV7WlvD0g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TsXdnA9NjPStrtmQCUFo7fB0aplLnyoE3mRomos3IE73B6vswYLiAttIJ2rU/JlvJOyM2KBevkIO45BOk0i1Q==" saltValue="cUlJEFywNKJNG+uQ7SC9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b0Kqn2jV2WjKlLef5Dg4gk0NtsLP/p2YwAfcJwq13Za/VFf+Yyy8QI/DakEuBxNeapRgpQNuvgxFZadRBUM6w==" saltValue="llHRtOLgIfdv1GHt09aN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kXxG7mQxDZcMHl+b2UD9c5t6MRPBo4X83r4xRGREF9ej+PUlXVf9wS1qHPwg7xbUuj1By6mLHsOAIAvT8JfEA==" saltValue="K+HmMs3Xqu+OosvVjdVDV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g60YjdsFz3jv4xsM7jXxpwvOlCAobCLipsw/7Dl/mxvzbJyHmcLPgVDl3zmRxc4aPLbQXr6jeFG+KYCcVgqqZg==" saltValue="96kVoHBpz7e+PtcchtSf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oN56/jOBvjJpXH3l7yYYQ/4/G4wwgWvUNSFnPrdz/t05bIvBav5wT7FTh0uG1cmMweL6LScj3arj+dHXiiRUWw==" saltValue="J/4gPBQ88Y78Z4xA9+FVn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2026-04-29T04:18:52Z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