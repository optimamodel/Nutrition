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A0BB7197-4B79-4851-A540-E7C5AB8451A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7" i="2"/>
  <c r="A29" i="2"/>
  <c r="A28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21" i="2" l="1"/>
  <c r="A32" i="2"/>
  <c r="A1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34" i="2"/>
  <c r="A31" i="2"/>
  <c r="A25" i="2"/>
  <c r="A23" i="2"/>
  <c r="A39" i="2"/>
  <c r="A24" i="2"/>
  <c r="A17" i="2"/>
  <c r="A26" i="2"/>
  <c r="A35" i="2"/>
  <c r="A18" i="2"/>
  <c r="A27" i="2"/>
  <c r="A36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<sst xmlns="http://schemas.openxmlformats.org/spreadsheetml/2006/main" count="2101" uniqueCount="341">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</sst>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46493.67431640625</v>
      </c>
    </row>
    <row r="8" spans="1:3" ht="15" customHeight="1" x14ac:dyDescent="0.25">
      <c r="B8" s="5" t="s">
        <v>44</v>
      </c>
      <c r="C8" s="44">
        <v>0.13200000000000001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0.51168388366699202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7.7300000000000008E-2</v>
      </c>
    </row>
    <row r="24" spans="1:3" ht="15" customHeight="1" x14ac:dyDescent="0.25">
      <c r="B24" s="15" t="s">
        <v>46</v>
      </c>
      <c r="C24" s="45">
        <v>0.50680000000000003</v>
      </c>
    </row>
    <row r="25" spans="1:3" ht="15" customHeight="1" x14ac:dyDescent="0.25">
      <c r="B25" s="15" t="s">
        <v>47</v>
      </c>
      <c r="C25" s="45">
        <v>0.33629999999999988</v>
      </c>
    </row>
    <row r="26" spans="1:3" ht="15" customHeight="1" x14ac:dyDescent="0.25">
      <c r="B26" s="15" t="s">
        <v>48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9.8678000000000008</v>
      </c>
    </row>
    <row r="38" spans="1:5" ht="15" customHeight="1" x14ac:dyDescent="0.25">
      <c r="B38" s="11" t="s">
        <v>35</v>
      </c>
      <c r="C38" s="43">
        <v>19.7136</v>
      </c>
      <c r="D38" s="12"/>
      <c r="E38" s="13"/>
    </row>
    <row r="39" spans="1:5" ht="15" customHeight="1" x14ac:dyDescent="0.25">
      <c r="B39" s="11" t="s">
        <v>61</v>
      </c>
      <c r="C39" s="43">
        <v>23.214130000000001</v>
      </c>
      <c r="D39" s="12"/>
      <c r="E39" s="12"/>
    </row>
    <row r="40" spans="1:5" ht="15" customHeight="1" x14ac:dyDescent="0.25">
      <c r="B40" s="11" t="s">
        <v>36</v>
      </c>
      <c r="C40" s="100">
        <v>0.94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6.1368999999999998E-3</v>
      </c>
      <c r="D45" s="12"/>
    </row>
    <row r="46" spans="1:5" ht="15.75" customHeight="1" x14ac:dyDescent="0.25">
      <c r="B46" s="11" t="s">
        <v>51</v>
      </c>
      <c r="C46" s="45">
        <v>6.5939800000000007E-2</v>
      </c>
      <c r="D46" s="12"/>
    </row>
    <row r="47" spans="1:5" ht="15.75" customHeight="1" x14ac:dyDescent="0.25">
      <c r="B47" s="11" t="s">
        <v>59</v>
      </c>
      <c r="C47" s="45">
        <v>7.5165300000000004E-2</v>
      </c>
      <c r="D47" s="12"/>
      <c r="E47" s="13"/>
    </row>
    <row r="48" spans="1:5" ht="15" customHeight="1" x14ac:dyDescent="0.25">
      <c r="B48" s="11" t="s">
        <v>58</v>
      </c>
      <c r="C48" s="46">
        <v>0.85275800000000002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0.63705900000000004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0.109101909999999</v>
      </c>
    </row>
    <row r="63" spans="1:4" ht="15.75" customHeight="1" x14ac:dyDescent="0.3">
      <c r="A63" s="4"/>
    </row>
  </sheetData>
  <sheetProtection algorithmName="SHA-512" hashValue="hokJPoKPN/JNt+2OfwN56SyQTjA0Lg52MnAv8H2RPl+tqePKzhWYKKTxWLYe+ikiE3MrWv6oeFKIHQQUf2eDLw==" saltValue="uTjh9PMYARx8V23fs9Zt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UU0xxkDvymtyugMJfXqAW3mPldQNSj+yOuD+VFPOIf1ZvED5F2PA6XD13nzgcurb+y4RxQjuPq10RR0/4AlYw==" saltValue="ANdJc0cFjxZ7uxHkNmzZ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1.1815998818400109E-3</v>
      </c>
    </row>
    <row r="4" spans="1:8" ht="15.75" customHeight="1" x14ac:dyDescent="0.25">
      <c r="B4" s="19" t="s">
        <v>97</v>
      </c>
      <c r="C4" s="101">
        <v>4.9927795007220499E-2</v>
      </c>
    </row>
    <row r="5" spans="1:8" ht="15.75" customHeight="1" x14ac:dyDescent="0.25">
      <c r="B5" s="19" t="s">
        <v>95</v>
      </c>
      <c r="C5" s="101">
        <v>3.8299596170040348E-2</v>
      </c>
    </row>
    <row r="6" spans="1:8" ht="15.75" customHeight="1" x14ac:dyDescent="0.25">
      <c r="B6" s="19" t="s">
        <v>91</v>
      </c>
      <c r="C6" s="101">
        <v>0.1696583830341615</v>
      </c>
    </row>
    <row r="7" spans="1:8" ht="15.75" customHeight="1" x14ac:dyDescent="0.25">
      <c r="B7" s="19" t="s">
        <v>96</v>
      </c>
      <c r="C7" s="101">
        <v>0.51123814887618546</v>
      </c>
    </row>
    <row r="8" spans="1:8" ht="15.75" customHeight="1" x14ac:dyDescent="0.25">
      <c r="B8" s="19" t="s">
        <v>98</v>
      </c>
      <c r="C8" s="101">
        <v>2.0689997931000191E-4</v>
      </c>
    </row>
    <row r="9" spans="1:8" ht="15.75" customHeight="1" x14ac:dyDescent="0.25">
      <c r="B9" s="19" t="s">
        <v>92</v>
      </c>
      <c r="C9" s="101">
        <v>0.16598378340162159</v>
      </c>
    </row>
    <row r="10" spans="1:8" ht="15.75" customHeight="1" x14ac:dyDescent="0.25">
      <c r="B10" s="19" t="s">
        <v>94</v>
      </c>
      <c r="C10" s="101">
        <v>6.3503793649620596E-2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102</v>
      </c>
      <c r="C15" s="101">
        <v>0.53997917606680679</v>
      </c>
      <c r="D15" s="101">
        <v>0.53997917606680679</v>
      </c>
      <c r="E15" s="101">
        <v>0.53997917606680679</v>
      </c>
      <c r="F15" s="101">
        <v>0.53997917606680679</v>
      </c>
    </row>
    <row r="16" spans="1:8" ht="15.75" customHeight="1" x14ac:dyDescent="0.25">
      <c r="B16" s="19" t="s">
        <v>2</v>
      </c>
      <c r="C16" s="101">
        <v>1.727508570668718E-2</v>
      </c>
      <c r="D16" s="101">
        <v>1.727508570668718E-2</v>
      </c>
      <c r="E16" s="101">
        <v>1.727508570668718E-2</v>
      </c>
      <c r="F16" s="101">
        <v>1.727508570668718E-2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2.561666534338515E-2</v>
      </c>
      <c r="D19" s="101">
        <v>2.561666534338515E-2</v>
      </c>
      <c r="E19" s="101">
        <v>2.561666534338515E-2</v>
      </c>
      <c r="F19" s="101">
        <v>2.561666534338515E-2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0.1329903129334955</v>
      </c>
      <c r="D21" s="101">
        <v>0.1329903129334955</v>
      </c>
      <c r="E21" s="101">
        <v>0.1329903129334955</v>
      </c>
      <c r="F21" s="101">
        <v>0.1329903129334955</v>
      </c>
    </row>
    <row r="22" spans="1:8" ht="15.75" customHeight="1" x14ac:dyDescent="0.25">
      <c r="B22" s="19" t="s">
        <v>99</v>
      </c>
      <c r="C22" s="101">
        <v>4.6358619630139521E-2</v>
      </c>
      <c r="D22" s="101">
        <v>4.6358619630139521E-2</v>
      </c>
      <c r="E22" s="101">
        <v>4.6358619630139521E-2</v>
      </c>
      <c r="F22" s="101">
        <v>4.6358619630139521E-2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4.7782605999999991E-2</v>
      </c>
    </row>
    <row r="27" spans="1:8" ht="15.75" customHeight="1" x14ac:dyDescent="0.25">
      <c r="B27" s="19" t="s">
        <v>89</v>
      </c>
      <c r="C27" s="101">
        <v>1.8912625999999998E-2</v>
      </c>
    </row>
    <row r="28" spans="1:8" ht="15.75" customHeight="1" x14ac:dyDescent="0.25">
      <c r="B28" s="19" t="s">
        <v>103</v>
      </c>
      <c r="C28" s="101">
        <v>0.22751453199999999</v>
      </c>
    </row>
    <row r="29" spans="1:8" ht="15.75" customHeight="1" x14ac:dyDescent="0.25">
      <c r="B29" s="19" t="s">
        <v>86</v>
      </c>
      <c r="C29" s="101">
        <v>0.13826291700000001</v>
      </c>
    </row>
    <row r="30" spans="1:8" ht="15.75" customHeight="1" x14ac:dyDescent="0.25">
      <c r="B30" s="19" t="s">
        <v>4</v>
      </c>
      <c r="C30" s="101">
        <v>4.9672004000000013E-2</v>
      </c>
    </row>
    <row r="31" spans="1:8" ht="15.75" customHeight="1" x14ac:dyDescent="0.25">
      <c r="B31" s="19" t="s">
        <v>80</v>
      </c>
      <c r="C31" s="101">
        <v>7.0532584999999995E-2</v>
      </c>
    </row>
    <row r="32" spans="1:8" ht="15.75" customHeight="1" x14ac:dyDescent="0.25">
      <c r="B32" s="19" t="s">
        <v>85</v>
      </c>
      <c r="C32" s="101">
        <v>0.15034908699999999</v>
      </c>
    </row>
    <row r="33" spans="2:3" ht="15.75" customHeight="1" x14ac:dyDescent="0.25">
      <c r="B33" s="19" t="s">
        <v>100</v>
      </c>
      <c r="C33" s="101">
        <v>0.12275455</v>
      </c>
    </row>
    <row r="34" spans="2:3" ht="15.75" customHeight="1" x14ac:dyDescent="0.25">
      <c r="B34" s="19" t="s">
        <v>87</v>
      </c>
      <c r="C34" s="101">
        <v>0.17421909099999999</v>
      </c>
    </row>
    <row r="35" spans="2:3" ht="15.75" customHeight="1" x14ac:dyDescent="0.25">
      <c r="B35" s="27" t="s">
        <v>60</v>
      </c>
      <c r="C35" s="48">
        <f>SUM(C26:C34)</f>
        <v>0.99999999799999995</v>
      </c>
    </row>
  </sheetData>
  <sheetProtection algorithmName="SHA-512" hashValue="sqgqLhX6RQXPvxEyEUYZ3mB9VmEai9DsRToOZGui2Mqr8p71HYXbP5rEywD5DObuH9mxwG74oRB0EKDrruJzWQ==" saltValue="45E87eXuHCYCwe0PhNjv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110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106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107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119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rIjbouGkdtvMd69/jyjEWmKa9PV0a3Y6jI5MHDLvcYFPJVjYu5OCpqYAMnTMqd0CkCMrTPK0A2LWxoCmp1I4g==" saltValue="vzij6K6ClEN06rUIbgeM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125</v>
      </c>
      <c r="C5" s="52">
        <v>0.1095459</v>
      </c>
      <c r="D5" s="52">
        <v>5.7633799999999999E-2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ZuuMlWeJhkzSarWvyzHgZbW2MZJ6hFNT26zh2rGxqEY82nJV3ARa1mhKnzyfgnhZ0ZZBPhjLErhbcuRnCKazWw==" saltValue="e1fK6jhei+e+K2NTNxEEi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6Ej8vjrq8zbvUBfn0qUUmVHNDcUDRAQToq60nuscSXKfWJkenHJdwpX6wMPTF9S8p1skQs3XDue5SAXkIZnvQ==" saltValue="eyvA6VmBu49hfByVKZoPn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Brm5r26G96ysvfTxKw7fdxhf4mTLOTPR8MwQ9YTLmUEJ0VfM3SmJNZgh1stkOEPe0XdcW8RahSkf1gSK2mRvnw==" saltValue="rNf+TWqucYdQIasv8D4q1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+IVD3/dcA7XRCBBNbAzLI/pvPB8Tv2zkcmKhcCLrVPB1rKSm9AvLFXVjulWG6JjqjuxPVfvtP9gwMX3C0mywdA==" saltValue="AZzUC7orc/iQTppoeIYfH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r0YU8gR4U00KJSff0eoa19BYKQ0LindrxxbMFp6lYlSGsU+9gq25QklmCXXtjMwVOA/BCV4JCWm5iP3wOJLUuw==" saltValue="tfiQHCLFS9ScXnAPdqdTI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70.346306973761287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3.110690637764288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1.3892843507597601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1.899427422400078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0.76169932167312793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12.828939256058341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12.828939256058341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12.828939256058341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12.828939256058341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12.828939256058341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12.828939256058341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0.4011613</v>
      </c>
      <c r="C18" s="98">
        <v>0.95</v>
      </c>
      <c r="D18" s="56">
        <v>3.110690637764288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0.4011613</v>
      </c>
      <c r="C19" s="98">
        <v>0.95</v>
      </c>
      <c r="D19" s="56">
        <v>3.110690637764288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22.04257615659202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0.69800110000000004</v>
      </c>
      <c r="C23" s="98">
        <v>0.95</v>
      </c>
      <c r="D23" s="56">
        <v>4.1648125448902009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0.63282579900000002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13.467741075377949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13.765699948727031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0.47599999999999998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33.321934882307978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56.731369485662889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3.1633023129352069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0.75879769999999991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0.627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3.6438999999999998E-3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0.49547920000000001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0.01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2.717384924943516</v>
      </c>
      <c r="E39" s="56" t="s">
        <v>183</v>
      </c>
      <c r="F39" s="98">
        <v>1</v>
      </c>
      <c r="G39" s="98">
        <v>1</v>
      </c>
    </row>
  </sheetData>
  <sheetProtection algorithmName="SHA-512" hashValue="ydJ/ylSZ4PFy0M4MdsE4+8d8iPm8OVoyj8mTrm3CUSKIhpw50Rzm3ON1L93vt6RhamuxFKhvQ2UI8M/pF0CRxQ==" saltValue="MArwFF/3lY82qDVZe833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eKBCdfZPBLCbSPP2BeoiDkq0rqUCEmhdaC2/3d0Kcycn0mKu4LCIpz2NRjQF/xOr6WerZ8OrGVROyGjsyjFv9w==" saltValue="rlU5/NAhzVBsc/40F5UE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BVxyTlMcBh6WGj/mhcrmpjtCpzO/lcfcd1RPFlVCt4tkCoJjba81iVw5YkwPPUdP2GfLPIxA4gtKL2x9Vuntzg==" saltValue="rLWENcMHrLFGECu+Wrc53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207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sheetProtection algorithmName="SHA-512" hashValue="0tsKVvVieCE82XG1thO3iOgsYdMN0u0s81jdkZPGd79u7mNACtmDg8Ehppu+aUuj/a3sTYPkummkIswVLSQL/Q==" saltValue="lPq/cSbbaZhqOcgsMXzX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0.13200000000000001</v>
      </c>
      <c r="E2" s="60">
        <f>food_insecure</f>
        <v>0.13200000000000001</v>
      </c>
      <c r="F2" s="60">
        <f>food_insecure</f>
        <v>0.13200000000000001</v>
      </c>
      <c r="G2" s="60">
        <f>food_insecure</f>
        <v>0.13200000000000001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0.13200000000000001</v>
      </c>
      <c r="F5" s="60">
        <f>food_insecure</f>
        <v>0.13200000000000001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0.13200000000000001</v>
      </c>
      <c r="F8" s="60">
        <f>food_insecure</f>
        <v>0.13200000000000001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0.13200000000000001</v>
      </c>
      <c r="F9" s="60">
        <f>food_insecure</f>
        <v>0.13200000000000001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0.13200000000000001</v>
      </c>
      <c r="I15" s="60">
        <f>food_insecure</f>
        <v>0.13200000000000001</v>
      </c>
      <c r="J15" s="60">
        <f>food_insecure</f>
        <v>0.13200000000000001</v>
      </c>
      <c r="K15" s="60">
        <f>food_insecure</f>
        <v>0.13200000000000001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0.25281101974792486</v>
      </c>
      <c r="M25" s="60">
        <f>(1-food_insecure)*(0.49)+food_insecure*(0.7)</f>
        <v>0.51771999999999996</v>
      </c>
      <c r="N25" s="60">
        <f>(1-food_insecure)*(0.49)+food_insecure*(0.7)</f>
        <v>0.51771999999999996</v>
      </c>
      <c r="O25" s="60">
        <f>(1-food_insecure)*(0.49)+food_insecure*(0.7)</f>
        <v>0.51771999999999996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0.10834757989196782</v>
      </c>
      <c r="M26" s="60">
        <f>(1-food_insecure)*(0.21)+food_insecure*(0.3)</f>
        <v>0.22187999999999999</v>
      </c>
      <c r="N26" s="60">
        <f>(1-food_insecure)*(0.21)+food_insecure*(0.3)</f>
        <v>0.22187999999999999</v>
      </c>
      <c r="O26" s="60">
        <f>(1-food_insecure)*(0.21)+food_insecure*(0.3)</f>
        <v>0.22187999999999999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0.12715751669311526</v>
      </c>
      <c r="M27" s="60">
        <f>(1-food_insecure)*(0.3)</f>
        <v>0.26039999999999996</v>
      </c>
      <c r="N27" s="60">
        <f>(1-food_insecure)*(0.3)</f>
        <v>0.26039999999999996</v>
      </c>
      <c r="O27" s="60">
        <f>(1-food_insecure)*(0.3)</f>
        <v>0.26039999999999996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0.51168388366699202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HwcdpdLGb5zeIm25MLDOSCQimB6qvxaWM+xli92VjAQLQTDyExFS5CgOksIvAj5Yo2iqtLewMS4Nnaw6cm3Bg==" saltValue="AqDN+LzMUqzvHzO1Tzz7j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jWi+iL8MOx/ptt/8A5oUGax+RHceNXxlPnX8Sw9KFWgWTnbk8dFYJlBWxxOX5V0UzR5trQK2s+yAfudfi7PpAw==" saltValue="RoOqxUR16jlgJLYSB3ijs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zZnIY76+ThAHTxI2DvNa8NUbjNlWRSB4qHuAwQ0gJ4ULrVeIUT4gh23nvR4HUYupOgPgZu1AULestD8qdof8g==" saltValue="U2eUERAT3uUa3c2VO4F8c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c3stOLR4iud3maKCSjWzjfadWlrGAacHwMCBlGnw3Ti0WSqxhZzYrfwE+OsUEJ5DFW07L98Z2fhLOGY454QHg==" saltValue="31XCN7imCehLJVqaaWFO8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IGV36g83vdzpJ3SwsirEwuSGf1MVV+QP6DS1uIVeWN4lfZ3hQ74sxWQo0PTTcSS4/5aT424Q7uzmaJc5oU4Cg==" saltValue="n0nitYH1L+mDYe0Mg0rIK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21oKv96yfaoYskPOJQaNu+weDRRWKrxX7YSJkyxyWA4qXXJ3zPExhy8O2MoMawPSoDvgCvOwvcyuh8n7cFZ1g==" saltValue="3CmFt1qPLog+CoAcSFyHx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l+iS9p+Tg6W39kncZ8MyzzcSppod9AWpuK+i/IVFbddDRTEh7Fy5d/SQtT6+4c65Q4uI8GQyefApwJOVi4Yhg==" saltValue="aNNSS1zwmHr5O729XCPF6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oawJRsrcUSCiJsxHKHRxPmd2Y0gIimG6ZBtJ9GFenIDRYPngMYVwvK2mBtqh0At/xGy/Ok6DtCRlYAlbgSSfQ==" saltValue="flcf1Z5aUg8fTQ88SA8C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hHhnlj7UYs4C+F4ATo7wsBw7NpHhIBIZq331WUs7ldoeugYISMaVc29YLX5eVhTeAgzdzG6uMV0vmONI+1T+w==" saltValue="Zdjzx5hogdKB6Z0gK6bI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8T5tMxbW+k2Tg7Q0nPNN6489kaQBX3hvJDoQtQVnd48RfX1/6uIKytzmcDMFHDrr15xifwMuRPeSA+T2Iahrlg==" saltValue="Z/qlWfYq2HmMnLIo1Yqp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3urk4Axm4bBZR/G2fqEJQ3tqrP2D4ByF9cDPpapS+wJnYmv+gD+QpqMUlwawXtmfFD1F7qwWxwrwCwHdpAmAg==" saltValue="IChGOO/asImRMl7b27cm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gclMERtR1HXtF3oWfdKt/wmJqeC/Vqzu4eSW+s58uvMVngecgByhqP0MjVxdM31kYwlE56L2Yc3Sfw+FImriw==" saltValue="+IExiRCyyyknp46KkZXe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s5nMtct6hXsXU8LHxTt9L1r2vecIx/qRKbpI1q6QD4KOHjoM9KZXAitCSV9gmzN9A/SrG5I4JwCcG7vSH7TNQ==" saltValue="f5EuH0U2WN4wQIp9GJdn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0.10709238833492296</v>
      </c>
      <c r="G18" s="90">
        <f>MIN(MAX(1-0.89/(1-frac_sam_12_23months+(frac_sam_12_23months*0.89)),0),1)</f>
        <v>0.10773018068246276</v>
      </c>
      <c r="H18" s="90">
        <f>MIN(MAX(1-0.89/(1-frac_sam_24_59months+(frac_sam_24_59months*0.89)),0),1)</f>
        <v>0.1082980593328593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0.1068689406206923</v>
      </c>
      <c r="G20" s="90">
        <f>MIN(MAX(1-0.89/(1-frac_mam_12_23months+(frac_mam_12_23months*0.89)),0),1)</f>
        <v>0.10303452129067292</v>
      </c>
      <c r="H20" s="90">
        <f>MIN(MAX(1-0.89/(1-frac_mam_24_59months+(frac_mam_24_59months*0.89)),0),1)</f>
        <v>0.10740588406906992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9.7068425262999414E-3</v>
      </c>
      <c r="G73" s="90">
        <f>MIN(MAX(1-0.99/(1-frac_sam_12_23months+(frac_sam_12_23months*0.99)),0),1)</f>
        <v>9.7709986509190161E-3</v>
      </c>
      <c r="H73" s="90">
        <f>MIN(MAX(1-0.99/(1-frac_sam_24_59months+(frac_sam_24_59months*0.99)),0),1)</f>
        <v>9.8281923191338993E-3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9.684385423318842E-3</v>
      </c>
      <c r="G75" s="90">
        <f>MIN(MAX(1-0.99/(1-frac_mam_12_23months+(frac_mam_12_23months*0.99)),0),1)</f>
        <v>9.3006018901127252E-3</v>
      </c>
      <c r="H75" s="90">
        <f>MIN(MAX(1-0.99/(1-frac_mam_24_59months+(frac_mam_24_59months*0.99)),0),1)</f>
        <v>9.7383669349744295E-3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0.19523529398628092</v>
      </c>
      <c r="G128" s="90">
        <f>MIN(MAX(1-0.8/(1-frac_sam_12_23months+(frac_sam_12_23months*0.8)),0),1)</f>
        <v>0.19628263034753601</v>
      </c>
      <c r="H128" s="90">
        <f>MIN(MAX(1-0.8/(1-frac_sam_24_59months+(frac_sam_24_59months*0.8)),0),1)</f>
        <v>0.19721412428694807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0.19486807299462916</v>
      </c>
      <c r="G130" s="90">
        <f>MIN(MAX(1-0.8/(1-frac_mam_12_23months+(frac_mam_12_23months*0.8)),0),1)</f>
        <v>0.18854280870813656</v>
      </c>
      <c r="H130" s="90">
        <f>MIN(MAX(1-0.8/(1-frac_mam_24_59months+(frac_mam_24_59months*0.8)),0),1)</f>
        <v>0.19575024779940176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ZWq/tgp0xMfZpZLdHxaO+CaXwN/6fbIbiwiJcVLqjOPdI76cjg0GijY2g+N9MPi+yfWKX+i+eaP5OMykc6fag==" saltValue="u35v8Am/6Im6ai78wlcn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A6V6+Z/MXqe6kCTHfSGXluXzEwFDr02Up1lepdE51dR/yFu2rwPwgGcL/gIhKqatHcczJon+gxoFkVtSSOKfQ==" saltValue="yeoBhVqzg5+3hpSnL34O9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2024-08-06T08:33:26Z</dcterms:modified>
</cp:coreProperties>
</file>