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299B8DB5-150E-4109-95E0-8AE7252B1945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I39" i="2"/>
  <c r="A34" i="2"/>
  <c r="A26" i="2"/>
  <c r="I9" i="2"/>
  <c r="I13" i="2"/>
  <c r="A31" i="2"/>
  <c r="I2" i="2"/>
  <c r="I6" i="2"/>
  <c r="A19" i="2"/>
  <c r="A35" i="2"/>
  <c r="A40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<sst xmlns="http://schemas.openxmlformats.org/spreadsheetml/2006/main" count="2159" uniqueCount="372">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</sst>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2348513.28125</v>
      </c>
    </row>
    <row r="8" spans="1:3" ht="15" customHeight="1" x14ac:dyDescent="0.25">
      <c r="B8" s="5" t="s">
        <v>63</v>
      </c>
      <c r="C8" s="44">
        <v>0.33900000000000002</v>
      </c>
    </row>
    <row r="9" spans="1:3" ht="15" customHeight="1" x14ac:dyDescent="0.25">
      <c r="B9" s="5" t="s">
        <v>62</v>
      </c>
      <c r="C9" s="45">
        <v>0.54</v>
      </c>
    </row>
    <row r="10" spans="1:3" ht="15" customHeight="1" x14ac:dyDescent="0.25">
      <c r="B10" s="5" t="s">
        <v>75</v>
      </c>
      <c r="C10" s="45">
        <v>0.44076328277587901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0.14299999999999999</v>
      </c>
    </row>
    <row r="24" spans="1:3" ht="15" customHeight="1" x14ac:dyDescent="0.25">
      <c r="B24" s="15" t="s">
        <v>65</v>
      </c>
      <c r="C24" s="45">
        <v>0.49020000000000002</v>
      </c>
    </row>
    <row r="25" spans="1:3" ht="15" customHeight="1" x14ac:dyDescent="0.25">
      <c r="B25" s="15" t="s">
        <v>66</v>
      </c>
      <c r="C25" s="45">
        <v>0.31659999999999999</v>
      </c>
    </row>
    <row r="26" spans="1:3" ht="15" customHeight="1" x14ac:dyDescent="0.25">
      <c r="B26" s="15" t="s">
        <v>67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0.26023901489541001</v>
      </c>
    </row>
    <row r="30" spans="1:3" ht="14.25" customHeight="1" x14ac:dyDescent="0.25">
      <c r="B30" s="25" t="s">
        <v>82</v>
      </c>
      <c r="C30" s="99">
        <v>3.0772499372884701E-2</v>
      </c>
    </row>
    <row r="31" spans="1:3" ht="14.25" customHeight="1" x14ac:dyDescent="0.25">
      <c r="B31" s="25" t="s">
        <v>29</v>
      </c>
      <c r="C31" s="99">
        <v>5.3241858709985899E-2</v>
      </c>
    </row>
    <row r="32" spans="1:3" ht="14.25" customHeight="1" x14ac:dyDescent="0.25">
      <c r="B32" s="25" t="s">
        <v>30</v>
      </c>
      <c r="C32" s="99">
        <v>0.65574662702171904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24.99306</v>
      </c>
    </row>
    <row r="38" spans="1:5" ht="15" customHeight="1" x14ac:dyDescent="0.25">
      <c r="B38" s="11" t="s">
        <v>54</v>
      </c>
      <c r="C38" s="43">
        <v>35.713000000000001</v>
      </c>
      <c r="D38" s="12"/>
      <c r="E38" s="13"/>
    </row>
    <row r="39" spans="1:5" ht="15" customHeight="1" x14ac:dyDescent="0.25">
      <c r="B39" s="11" t="s">
        <v>80</v>
      </c>
      <c r="C39" s="43">
        <v>49.521970000000003</v>
      </c>
      <c r="D39" s="12"/>
      <c r="E39" s="12"/>
    </row>
    <row r="40" spans="1:5" ht="15" customHeight="1" x14ac:dyDescent="0.25">
      <c r="B40" s="11" t="s">
        <v>55</v>
      </c>
      <c r="C40" s="100">
        <v>3.57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8.0598000000000006E-3</v>
      </c>
      <c r="D45" s="12"/>
    </row>
    <row r="46" spans="1:5" ht="15.75" customHeight="1" x14ac:dyDescent="0.25">
      <c r="B46" s="11" t="s">
        <v>70</v>
      </c>
      <c r="C46" s="45">
        <v>8.5329799999999997E-2</v>
      </c>
      <c r="D46" s="12"/>
    </row>
    <row r="47" spans="1:5" ht="15.75" customHeight="1" x14ac:dyDescent="0.25">
      <c r="B47" s="11" t="s">
        <v>78</v>
      </c>
      <c r="C47" s="45">
        <v>0.16232050000000001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0.51205699999999998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LmAri+pbDTp87IShy9SLDsbZpxpj7Wh731aIZOfs5/xPMllNd+sFQiU8KCFdBai+Q+mE6okNKw+QAfkUfxZghQ==" saltValue="D3znynlGA3lTUD1yUf5g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2355569</v>
      </c>
      <c r="C2" s="49">
        <v>561188</v>
      </c>
      <c r="D2" s="49">
        <v>1069095</v>
      </c>
      <c r="E2" s="49">
        <v>2007533.5</v>
      </c>
      <c r="F2" s="49">
        <v>1370348</v>
      </c>
      <c r="G2" s="17">
        <f t="shared" ref="G2:G13" si="0">C2+D2+E2+F2</f>
        <v>5008164.5</v>
      </c>
      <c r="H2" s="17">
        <f t="shared" ref="H2:H13" si="1">(B2 + stillbirth*B2/(1000-stillbirth))/(1-abortion)</f>
        <v>2729961.735566535</v>
      </c>
      <c r="I2" s="17">
        <f t="shared" ref="I2:I13" si="2">G2-H2</f>
        <v>2278202.764433465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497215</v>
      </c>
      <c r="C3" s="50">
        <v>943081.5</v>
      </c>
      <c r="D3" s="50">
        <v>1424072.5</v>
      </c>
      <c r="E3" s="50">
        <v>1075065</v>
      </c>
      <c r="F3" s="50">
        <v>961262</v>
      </c>
      <c r="G3" s="17">
        <f t="shared" si="0"/>
        <v>4403481</v>
      </c>
      <c r="H3" s="17">
        <f t="shared" si="1"/>
        <v>576242.05631408584</v>
      </c>
      <c r="I3" s="17">
        <f t="shared" si="2"/>
        <v>3827238.9436859144</v>
      </c>
    </row>
    <row r="4" spans="1:9" ht="15.75" customHeight="1" x14ac:dyDescent="0.25">
      <c r="A4" s="5">
        <f t="shared" si="3"/>
        <v>2026</v>
      </c>
      <c r="B4" s="49">
        <v>500731</v>
      </c>
      <c r="C4" s="50">
        <v>976099.5</v>
      </c>
      <c r="D4" s="50">
        <v>1484061.0000000002</v>
      </c>
      <c r="E4" s="50">
        <v>1047817.5000000001</v>
      </c>
      <c r="F4" s="50">
        <v>1005189.0000000001</v>
      </c>
      <c r="G4" s="17">
        <f t="shared" si="0"/>
        <v>4513167</v>
      </c>
      <c r="H4" s="17">
        <f t="shared" si="1"/>
        <v>580316.88726246904</v>
      </c>
      <c r="I4" s="17">
        <f t="shared" si="2"/>
        <v>3932850.1127375308</v>
      </c>
    </row>
    <row r="5" spans="1:9" ht="15.75" customHeight="1" x14ac:dyDescent="0.25">
      <c r="A5" s="5">
        <f t="shared" si="3"/>
        <v>2027</v>
      </c>
      <c r="B5" s="49">
        <v>505305</v>
      </c>
      <c r="C5" s="50">
        <v>1015498.5</v>
      </c>
      <c r="D5" s="50">
        <v>1541681</v>
      </c>
      <c r="E5" s="50">
        <v>1025359.5</v>
      </c>
      <c r="F5" s="50">
        <v>1042407.5</v>
      </c>
      <c r="G5" s="17">
        <f t="shared" si="0"/>
        <v>4624946.5</v>
      </c>
      <c r="H5" s="17">
        <f t="shared" si="1"/>
        <v>585617.87610146345</v>
      </c>
      <c r="I5" s="17">
        <f t="shared" si="2"/>
        <v>4039328.6238985364</v>
      </c>
    </row>
    <row r="6" spans="1:9" ht="15.75" customHeight="1" x14ac:dyDescent="0.25">
      <c r="A6" s="5">
        <f t="shared" si="3"/>
        <v>2028</v>
      </c>
      <c r="B6" s="49">
        <v>511119</v>
      </c>
      <c r="C6" s="50">
        <v>1056181</v>
      </c>
      <c r="D6" s="50">
        <v>1595650.5</v>
      </c>
      <c r="E6" s="50">
        <v>1022916.5</v>
      </c>
      <c r="F6" s="50">
        <v>1062114.5000000002</v>
      </c>
      <c r="G6" s="17">
        <f t="shared" si="0"/>
        <v>4736862.5</v>
      </c>
      <c r="H6" s="17">
        <f t="shared" si="1"/>
        <v>592355.94980280008</v>
      </c>
      <c r="I6" s="17">
        <f t="shared" si="2"/>
        <v>4144506.5501971999</v>
      </c>
    </row>
    <row r="7" spans="1:9" ht="15.75" customHeight="1" x14ac:dyDescent="0.25">
      <c r="A7" s="5">
        <f t="shared" si="3"/>
        <v>2029</v>
      </c>
      <c r="B7" s="49">
        <v>518464.00000000006</v>
      </c>
      <c r="C7" s="50">
        <v>1090633.5</v>
      </c>
      <c r="D7" s="50">
        <v>1648295</v>
      </c>
      <c r="E7" s="50">
        <v>1041830.5</v>
      </c>
      <c r="F7" s="50">
        <v>1064350.5</v>
      </c>
      <c r="G7" s="17">
        <f t="shared" si="0"/>
        <v>4845109.5</v>
      </c>
      <c r="H7" s="17">
        <f t="shared" si="1"/>
        <v>600868.35973336734</v>
      </c>
      <c r="I7" s="17">
        <f t="shared" si="2"/>
        <v>4244241.1402666327</v>
      </c>
    </row>
    <row r="8" spans="1:9" ht="15.75" customHeight="1" x14ac:dyDescent="0.25">
      <c r="A8" s="5">
        <f t="shared" si="3"/>
        <v>2030</v>
      </c>
      <c r="B8" s="49">
        <v>525707</v>
      </c>
      <c r="C8" s="50">
        <v>1112077</v>
      </c>
      <c r="D8" s="50">
        <v>1701426</v>
      </c>
      <c r="E8" s="50">
        <v>1071356.5</v>
      </c>
      <c r="F8" s="50">
        <v>1061668.5000000002</v>
      </c>
      <c r="G8" s="17">
        <f t="shared" si="0"/>
        <v>4946528</v>
      </c>
      <c r="H8" s="17">
        <f t="shared" si="1"/>
        <v>609262.55784461275</v>
      </c>
      <c r="I8" s="17">
        <f t="shared" si="2"/>
        <v>4337265.4421553873</v>
      </c>
    </row>
    <row r="9" spans="1:9" ht="15.75" customHeight="1" x14ac:dyDescent="0.25">
      <c r="A9" s="5">
        <f t="shared" si="3"/>
        <v>2031</v>
      </c>
      <c r="B9" s="49">
        <v>533092</v>
      </c>
      <c r="C9" s="50">
        <v>1118520</v>
      </c>
      <c r="D9" s="50">
        <v>1755792.5</v>
      </c>
      <c r="E9" s="50">
        <v>1109022</v>
      </c>
      <c r="F9" s="50">
        <v>1054888.5</v>
      </c>
      <c r="G9" s="17">
        <f t="shared" si="0"/>
        <v>5038223</v>
      </c>
      <c r="H9" s="17">
        <f t="shared" si="1"/>
        <v>617821.32535138447</v>
      </c>
      <c r="I9" s="17">
        <f t="shared" si="2"/>
        <v>4420401.6746486155</v>
      </c>
    </row>
    <row r="10" spans="1:9" ht="15.75" customHeight="1" x14ac:dyDescent="0.25">
      <c r="A10" s="5">
        <f t="shared" si="3"/>
        <v>2032</v>
      </c>
      <c r="B10" s="49">
        <v>540143</v>
      </c>
      <c r="C10" s="50">
        <v>1113000</v>
      </c>
      <c r="D10" s="50">
        <v>1811132</v>
      </c>
      <c r="E10" s="50">
        <v>1152015</v>
      </c>
      <c r="F10" s="50">
        <v>1041790</v>
      </c>
      <c r="G10" s="17">
        <f t="shared" si="0"/>
        <v>5117937</v>
      </c>
      <c r="H10" s="17">
        <f t="shared" si="1"/>
        <v>625993.00709684798</v>
      </c>
      <c r="I10" s="17">
        <f t="shared" si="2"/>
        <v>4491943.9929031525</v>
      </c>
    </row>
    <row r="11" spans="1:9" ht="15.75" customHeight="1" x14ac:dyDescent="0.25">
      <c r="A11" s="5">
        <f t="shared" si="3"/>
        <v>2033</v>
      </c>
      <c r="B11" s="49">
        <v>546702</v>
      </c>
      <c r="C11" s="50">
        <v>1099422</v>
      </c>
      <c r="D11" s="50">
        <v>1867262.5</v>
      </c>
      <c r="E11" s="50">
        <v>1199038</v>
      </c>
      <c r="F11" s="50">
        <v>1025046.4999999999</v>
      </c>
      <c r="G11" s="17">
        <f t="shared" si="0"/>
        <v>5190769</v>
      </c>
      <c r="H11" s="17">
        <f t="shared" si="1"/>
        <v>633594.49065499497</v>
      </c>
      <c r="I11" s="17">
        <f t="shared" si="2"/>
        <v>4557174.5093450053</v>
      </c>
    </row>
    <row r="12" spans="1:9" ht="15.75" customHeight="1" x14ac:dyDescent="0.25">
      <c r="A12" s="5">
        <f t="shared" si="3"/>
        <v>2034</v>
      </c>
      <c r="B12" s="49">
        <v>551936</v>
      </c>
      <c r="C12" s="50">
        <v>1083757</v>
      </c>
      <c r="D12" s="50">
        <v>1921063</v>
      </c>
      <c r="E12" s="50">
        <v>1252222</v>
      </c>
      <c r="F12" s="50">
        <v>1005788.5</v>
      </c>
      <c r="G12" s="17">
        <f t="shared" si="0"/>
        <v>5262830.5</v>
      </c>
      <c r="H12" s="17">
        <f t="shared" si="1"/>
        <v>639660.37950136513</v>
      </c>
      <c r="I12" s="17">
        <f t="shared" si="2"/>
        <v>4623170.1204986349</v>
      </c>
    </row>
    <row r="13" spans="1:9" ht="15.75" customHeight="1" x14ac:dyDescent="0.25">
      <c r="A13" s="5">
        <f t="shared" si="3"/>
        <v>2035</v>
      </c>
      <c r="B13" s="49">
        <v>557018</v>
      </c>
      <c r="C13" s="50">
        <v>1072336.5</v>
      </c>
      <c r="D13" s="50">
        <v>1967889.5000000002</v>
      </c>
      <c r="E13" s="50">
        <v>1310660.5</v>
      </c>
      <c r="F13" s="50">
        <v>982467</v>
      </c>
      <c r="G13" s="17">
        <f t="shared" si="0"/>
        <v>5333353.5</v>
      </c>
      <c r="H13" s="17">
        <f t="shared" si="1"/>
        <v>645550.10955815786</v>
      </c>
      <c r="I13" s="17">
        <f t="shared" si="2"/>
        <v>4687803.3904418424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7rPS2p7Vt0UhtcUeCI7F5sHkm9pCiYe81VMAW3sw6d058aSyc3vkpNYCnrXwpMQmsrhPy708oeGACUkvYxkog==" saltValue="mnwtUqKHr2gwOYZZjxB56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7.6781645030920614E-3</v>
      </c>
    </row>
    <row r="4" spans="1:8" ht="15.75" customHeight="1" x14ac:dyDescent="0.25">
      <c r="B4" s="19" t="s">
        <v>116</v>
      </c>
      <c r="C4" s="101">
        <v>5.8812394804291353E-2</v>
      </c>
    </row>
    <row r="5" spans="1:8" ht="15.75" customHeight="1" x14ac:dyDescent="0.25">
      <c r="B5" s="19" t="s">
        <v>114</v>
      </c>
      <c r="C5" s="101">
        <v>7.8175276577129568E-2</v>
      </c>
    </row>
    <row r="6" spans="1:8" ht="15.75" customHeight="1" x14ac:dyDescent="0.25">
      <c r="B6" s="19" t="s">
        <v>110</v>
      </c>
      <c r="C6" s="101">
        <v>0.24960349261539741</v>
      </c>
    </row>
    <row r="7" spans="1:8" ht="15.75" customHeight="1" x14ac:dyDescent="0.25">
      <c r="B7" s="19" t="s">
        <v>115</v>
      </c>
      <c r="C7" s="101">
        <v>0.41445225906640448</v>
      </c>
    </row>
    <row r="8" spans="1:8" ht="15.75" customHeight="1" x14ac:dyDescent="0.25">
      <c r="B8" s="19" t="s">
        <v>117</v>
      </c>
      <c r="C8" s="101">
        <v>1.37938727358503E-3</v>
      </c>
    </row>
    <row r="9" spans="1:8" ht="15.75" customHeight="1" x14ac:dyDescent="0.25">
      <c r="B9" s="19" t="s">
        <v>111</v>
      </c>
      <c r="C9" s="101">
        <v>7.090718662675477E-2</v>
      </c>
    </row>
    <row r="10" spans="1:8" ht="15.75" customHeight="1" x14ac:dyDescent="0.25">
      <c r="B10" s="19" t="s">
        <v>113</v>
      </c>
      <c r="C10" s="101">
        <v>0.11899183853334561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121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2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109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3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120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98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107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118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3.5976796000000012E-2</v>
      </c>
    </row>
    <row r="27" spans="1:8" ht="15.75" customHeight="1" x14ac:dyDescent="0.25">
      <c r="B27" s="19" t="s">
        <v>108</v>
      </c>
      <c r="C27" s="101">
        <v>5.2873009999999986E-3</v>
      </c>
    </row>
    <row r="28" spans="1:8" ht="15.75" customHeight="1" x14ac:dyDescent="0.25">
      <c r="B28" s="19" t="s">
        <v>122</v>
      </c>
      <c r="C28" s="101">
        <v>0.15022722299999999</v>
      </c>
    </row>
    <row r="29" spans="1:8" ht="15.75" customHeight="1" x14ac:dyDescent="0.25">
      <c r="B29" s="19" t="s">
        <v>105</v>
      </c>
      <c r="C29" s="101">
        <v>0.123445323</v>
      </c>
    </row>
    <row r="30" spans="1:8" ht="15.75" customHeight="1" x14ac:dyDescent="0.25">
      <c r="B30" s="19" t="s">
        <v>4</v>
      </c>
      <c r="C30" s="101">
        <v>8.7992374999999998E-2</v>
      </c>
    </row>
    <row r="31" spans="1:8" ht="15.75" customHeight="1" x14ac:dyDescent="0.25">
      <c r="B31" s="19" t="s">
        <v>99</v>
      </c>
      <c r="C31" s="101">
        <v>8.5764472999999994E-2</v>
      </c>
    </row>
    <row r="32" spans="1:8" ht="15.75" customHeight="1" x14ac:dyDescent="0.25">
      <c r="B32" s="19" t="s">
        <v>104</v>
      </c>
      <c r="C32" s="101">
        <v>9.7807150000000006E-3</v>
      </c>
    </row>
    <row r="33" spans="2:3" ht="15.75" customHeight="1" x14ac:dyDescent="0.25">
      <c r="B33" s="19" t="s">
        <v>119</v>
      </c>
      <c r="C33" s="101">
        <v>0.11793519700000001</v>
      </c>
    </row>
    <row r="34" spans="2:3" ht="15.75" customHeight="1" x14ac:dyDescent="0.25">
      <c r="B34" s="19" t="s">
        <v>106</v>
      </c>
      <c r="C34" s="101">
        <v>0.38359059600000001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+6sS0oNtxLdo78QD4fB9VMKXuDViLKPE/VpfqukTq6mgujMmWx4qgmptsmoZi+++Za9gOYEs5fI4K9s9ucVUwQ==" saltValue="NVfHBciP8KEJIIkEdXRJ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129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125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126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138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k4KEnjb0bIvQFaRbzF36OurkjBtjzkSWZANS/da0ppXkOep+OfRkl6yhXDtaDTCOBVU2rKjT9lgt/6s/KugOg==" saltValue="pYjjrb6SuH5fwzg2zsUR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BtFPaZK3Zg7pH48G4ANfB5hTF+2Ke54SxS7fwCtB2xxNeHUcKr8HlCPg4l1b7PmxFhmJzSYnY+kwRQP8RQe7Tw==" saltValue="46elVxlAvopj+PnPPk7a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Gxm0YC/6QN9WqbbbbFdCmViqZWIR7zVSyIR7sfB5pShEGq4ioOWV0Hed/mcObKomCUoY7Zp7aK2i0g9pHSTcw==" saltValue="vcYkZvdmiOerCgSSTVYU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1676.8214889672599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0.52639999999999998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0.61380000000000001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1.8404221201330232E-2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94197.735440000004</v>
      </c>
      <c r="C22" s="109">
        <v>93710.279790000001</v>
      </c>
      <c r="D22" s="109">
        <v>93086.861749999996</v>
      </c>
      <c r="E22" s="109">
        <v>92239.293489999996</v>
      </c>
      <c r="F22" s="109">
        <v>91001.323950000005</v>
      </c>
      <c r="G22" s="109">
        <v>89496.404930000004</v>
      </c>
      <c r="H22" s="109">
        <v>87403.599629999997</v>
      </c>
      <c r="I22" s="109">
        <v>84393.39344</v>
      </c>
      <c r="J22" s="109">
        <v>80110.121910000002</v>
      </c>
      <c r="K22" s="109">
        <v>74684.315640000001</v>
      </c>
      <c r="L22" s="109">
        <v>67868.859670000005</v>
      </c>
      <c r="M22" s="109">
        <v>60184.518989999997</v>
      </c>
      <c r="N22" s="109">
        <v>51361.249510000001</v>
      </c>
      <c r="O22" s="109">
        <v>41533.464840000001</v>
      </c>
    </row>
  </sheetData>
  <sheetProtection algorithmName="SHA-512" hashValue="MAbrsA9O1AT1fDjC0ietYv9d0BW4juQAIiNZYV4/Z13v/9XJ6xtWwHA9gzXO/e8zZ4ndKPgTvtF2PS8TPmqjpQ==" saltValue="l8u5WbWwDyrqcyAl6FDLY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/Ln23INoI2H+Wnk1BTdYXatOQBnJVcFlkduHSXFIw4I7Psg44EEgCdd4FdMg4gO9RQpgE9uCJNu0d0QhWLpNZw==" saltValue="YDI+TVqVg3YYuIqezRoW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02usa6N/PWLIwFISPmAX37Dt/Mh27t5KLLMXJbHNUeYTn3MvihmzrRJnmRBfZ/NEjTN6Q1A/JLIBMZiLAeoVA==" saltValue="dcioQjZira0qqenD5w0t5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0.39672310000000011</v>
      </c>
      <c r="C10" s="98">
        <v>0.95</v>
      </c>
      <c r="D10" s="56">
        <v>15.09709288172251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15.09709288172251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15.09709288172251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15.09709288172251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0.42699999999999999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15.09709288172251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0.2755978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8.6839288888888894E-2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0.33603460000000002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0.33603460000000002</v>
      </c>
      <c r="C19" s="98">
        <v>0.95</v>
      </c>
      <c r="D19" s="56">
        <v>2.4661440905760248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0.38460499999999997</v>
      </c>
      <c r="C23" s="98">
        <v>0.95</v>
      </c>
      <c r="D23" s="56">
        <v>4.9613185520035712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0.85257555200732993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0.32846330000000001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0.1671841</v>
      </c>
      <c r="C29" s="98">
        <v>0.95</v>
      </c>
      <c r="D29" s="56">
        <v>68.300854175426551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8.9499999999999996E-2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0.16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0.42456090000000002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0.64379720000000007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1.3108E-3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0.26926600000000001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0.151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GnuapFoNg0e39z6VpA9ajafgbSF5AQRPsiW6r5Y+WgULM44WqfS8JjfgvbvtApiNIYF9try50XmP7frLjZ35mg==" saltValue="m9a6u2LaG+wFrdYSh4fV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X0m1jUhKHw6yUzeI00wW3ThLU247PDepG/zS6xh0KoNhWH3jlyDqVo105u32sAlpeF6w3haJf0pS9zsoyfRWA==" saltValue="3rsfjitN0mOILm2CLAGU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BafTItyyg7eEye8svbP6Otzc4x1nkWZU3xYZq0PxP0jQsH8yQsz8rMDke9tS70anO/NgnZ8Xa2YyHLbuDx3fA==" saltValue="16LcgtFqVBrneKw1v7IU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236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P/Q5/TF3t/9iHk5v/YztttdAO7lG3c29Fe2EUXHGe6EbLNn0KDVmcA56FWMjuwjTn0IPar9H8quxRnJQY+XgWA==" saltValue="QBQSssmL6M/764q8vh7cp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7hgI5PDvr6jZjT2tHDt/IF6wkfwf1jQ+RHQ2puiVsKRA7tat1qd4McmTad0qTVn5R/24vJxlZFhTSA0ql/Zvw==" saltValue="286XzeeRZpuufEk0/jGA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g9sEFpoD7pkmNpNMpNJX+pMyBmdtYBJbA8MwR+d+ERrD5UXh/ChrJCGuItIu9Eo6P4K7VaOzIqiybRBYjFecg==" saltValue="iHHq4Y8bRQ0F7D0ml2+J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7XTbogr1+eSmca7g7vHJRzh2wB89aMFNwZ+7tAoEOZ3ZhFrtQX3PaDa9lMVskfLmY397IOy8/tLpxNEtdIeew==" saltValue="cIu+8yM+rYQ585hjShNX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Qo5SaUNKDOauLP1bnWOR976/iiSzMI4/q6CiC7kujmMrUmq9At1bLlWy1xh229w5uzmBcjLf41xyux1ncj2ZQ==" saltValue="gGHKO/OL/CNThSe13NmH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995JF0TyNAb3/+HF/Tn1gJaTs3bOnbzZlzXrfpR5a8QG3HAERbOddZgjrCBesQ+S7h7IWf4gCVGOWU4YoaEFA==" saltValue="nuVzuLSNVVktRnXd7X7P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40Hts6yB78B9B8Dg2RDhF3oT0xn9HQffoZHisVocJQNkaYbK1he1hiz514DVKsMJyt1lPopBB58qBU4TZtCaGg==" saltValue="NSGVB8HsDWNDkoiV9Ss0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WQZ6y8fSCZchStWV5x2zDTzAKes67H3cqTL56v15vrkxsEnF7y9G/XLh2SCJekcIsIwQ22Ze4/fyytNl2csEA==" saltValue="ThaDkm0QCmzURKyWjojx4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e0IEvwG11zYv55Z4VgXqEmvu9fg3VAcPt/igsko/0zNvtvBblQLCL6UFCJ9knEd1vgJlLQ4nnb5taeVT4gkLDg==" saltValue="0tFlDuuG1/xbdS/74MK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4VdQtFZWNtIPZBRO9nWR5fo1AMNAzebAsy5qpApOM7hYltwKGHJsxgJj+VpzJU4aH38bsBYGVxfDj3MZFZbIg==" saltValue="4G7ax0tzZwa3nVv0j+hi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1KM9VShrHR9V7Sebh/n9wp4rBU0SYH4Z6IVHE1TLdF3ZEhu05AfCmm3lGzvWsXuySZuDdc2Wuu/AK5Chm1K3A==" saltValue="05oUZH0mWGq98O/eyhpP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DPSxJuAEfKuRfR4zPwTg37y8IYMuhAaraHQLCp9bFYPoAbYyTHJZ1phmFYO9ZE7kKfL4Wsb7p3cYl00EaJLbA==" saltValue="C81bW4XMYVxX70zzc8ko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TkFkdCFh+IhrKxypMAYi8MURwp5jXiqrVKIeuSrA9MU7pk7rnQvdIMH/h6QXl4NhrWUDOem2L0t9cmFQGpElg==" saltValue="VY6Kmqga2A/sjB75iakt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gPTRhdWjyOPwIjRsVu0CPYBHusKrPD279az0VtUGZ+LGRrd6FYrdCln8rSrAQ3nXO19bgVHhvG8mrYXbGwTEw==" saltValue="8AFWVzWiap7bn/g4BT90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nyZc4CJ1TnhOnwLIkiEkPNBaAQJKs8P+41KJNrvgLry8PKX2sItPpNouLVHYz881VCA8MM8v4feIO6ZMLBwxw==" saltValue="KS86ndk+8cIBFRYRiTSd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auaaEkEnk55SSYcAscpPx9m9yg55x2QMg9eSjwAj/552yXcepQyRppQpqjW8neNjsAFRYcdC9cifpATPpxz4g==" saltValue="vuH+KDSjQFiMOreMl6k/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