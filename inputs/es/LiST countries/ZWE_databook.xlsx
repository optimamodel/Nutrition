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9E3C4F9-E49B-45BC-B687-D358A818910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1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A2" i="2"/>
  <c r="A40" i="2" s="1"/>
  <c r="C33" i="1"/>
  <c r="C20" i="1"/>
  <c r="I2" i="2" l="1"/>
  <c r="I6" i="2"/>
  <c r="A15" i="2"/>
  <c r="A23" i="2"/>
  <c r="A16" i="2"/>
  <c r="A24" i="2"/>
  <c r="A32" i="2"/>
  <c r="A17" i="2"/>
  <c r="A25" i="2"/>
  <c r="A3" i="2"/>
  <c r="A18" i="2"/>
  <c r="A26" i="2"/>
  <c r="A34" i="2"/>
  <c r="A39" i="2"/>
  <c r="A19" i="2"/>
  <c r="A27" i="2"/>
  <c r="A35" i="2"/>
  <c r="A33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<sst xmlns="http://schemas.openxmlformats.org/spreadsheetml/2006/main" count="2101" uniqueCount="341">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</sst>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2348513.28125</v>
      </c>
    </row>
    <row r="8" spans="1:3" ht="15" customHeight="1" x14ac:dyDescent="0.25">
      <c r="B8" s="5" t="s">
        <v>44</v>
      </c>
      <c r="C8" s="44">
        <v>0.33900000000000002</v>
      </c>
    </row>
    <row r="9" spans="1:3" ht="15" customHeight="1" x14ac:dyDescent="0.25">
      <c r="B9" s="5" t="s">
        <v>43</v>
      </c>
      <c r="C9" s="45">
        <v>0.54</v>
      </c>
    </row>
    <row r="10" spans="1:3" ht="15" customHeight="1" x14ac:dyDescent="0.25">
      <c r="B10" s="5" t="s">
        <v>56</v>
      </c>
      <c r="C10" s="45">
        <v>0.44076328277587901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0.14299999999999999</v>
      </c>
    </row>
    <row r="24" spans="1:3" ht="15" customHeight="1" x14ac:dyDescent="0.25">
      <c r="B24" s="15" t="s">
        <v>46</v>
      </c>
      <c r="C24" s="45">
        <v>0.49020000000000002</v>
      </c>
    </row>
    <row r="25" spans="1:3" ht="15" customHeight="1" x14ac:dyDescent="0.25">
      <c r="B25" s="15" t="s">
        <v>47</v>
      </c>
      <c r="C25" s="45">
        <v>0.31659999999999999</v>
      </c>
    </row>
    <row r="26" spans="1:3" ht="15" customHeight="1" x14ac:dyDescent="0.25">
      <c r="B26" s="15" t="s">
        <v>48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0.26023901489541001</v>
      </c>
    </row>
    <row r="30" spans="1:3" ht="14.25" customHeight="1" x14ac:dyDescent="0.25">
      <c r="B30" s="25" t="s">
        <v>63</v>
      </c>
      <c r="C30" s="99">
        <v>3.0772499372884701E-2</v>
      </c>
    </row>
    <row r="31" spans="1:3" ht="14.25" customHeight="1" x14ac:dyDescent="0.25">
      <c r="B31" s="25" t="s">
        <v>10</v>
      </c>
      <c r="C31" s="99">
        <v>5.3241858709985899E-2</v>
      </c>
    </row>
    <row r="32" spans="1:3" ht="14.25" customHeight="1" x14ac:dyDescent="0.25">
      <c r="B32" s="25" t="s">
        <v>11</v>
      </c>
      <c r="C32" s="99">
        <v>0.65574662702171904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24.99306</v>
      </c>
    </row>
    <row r="38" spans="1:5" ht="15" customHeight="1" x14ac:dyDescent="0.25">
      <c r="B38" s="11" t="s">
        <v>35</v>
      </c>
      <c r="C38" s="43">
        <v>35.713000000000001</v>
      </c>
      <c r="D38" s="12"/>
      <c r="E38" s="13"/>
    </row>
    <row r="39" spans="1:5" ht="15" customHeight="1" x14ac:dyDescent="0.25">
      <c r="B39" s="11" t="s">
        <v>61</v>
      </c>
      <c r="C39" s="43">
        <v>49.521970000000003</v>
      </c>
      <c r="D39" s="12"/>
      <c r="E39" s="12"/>
    </row>
    <row r="40" spans="1:5" ht="15" customHeight="1" x14ac:dyDescent="0.25">
      <c r="B40" s="11" t="s">
        <v>36</v>
      </c>
      <c r="C40" s="100">
        <v>3.57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8.0598000000000006E-3</v>
      </c>
      <c r="D45" s="12"/>
    </row>
    <row r="46" spans="1:5" ht="15.75" customHeight="1" x14ac:dyDescent="0.25">
      <c r="B46" s="11" t="s">
        <v>51</v>
      </c>
      <c r="C46" s="45">
        <v>8.5329799999999997E-2</v>
      </c>
      <c r="D46" s="12"/>
    </row>
    <row r="47" spans="1:5" ht="15.75" customHeight="1" x14ac:dyDescent="0.25">
      <c r="B47" s="11" t="s">
        <v>59</v>
      </c>
      <c r="C47" s="45">
        <v>0.16232050000000001</v>
      </c>
      <c r="D47" s="12"/>
      <c r="E47" s="13"/>
    </row>
    <row r="48" spans="1:5" ht="15" customHeight="1" x14ac:dyDescent="0.25">
      <c r="B48" s="11" t="s">
        <v>58</v>
      </c>
      <c r="C48" s="46">
        <v>0.74428989999999995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0.51205699999999998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d/yCnIFTTuGwxYWbQvSdQCkpF6ciAOJyuVa2YkWLvItew/DrGxFVL24ObJmOUP/sfZRAoscCntD8C+5eFoOGbQ==" saltValue="IC4vfB/gLUgHJXPAj4b9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496655</v>
      </c>
      <c r="C2" s="49">
        <v>1157106.5</v>
      </c>
      <c r="D2" s="49">
        <v>1614829</v>
      </c>
      <c r="E2" s="49">
        <v>1188365</v>
      </c>
      <c r="F2" s="49">
        <v>790811</v>
      </c>
      <c r="G2" s="17">
        <f t="shared" ref="G2:G13" si="0">C2+D2+E2+F2</f>
        <v>4751111.5</v>
      </c>
      <c r="H2" s="17">
        <f t="shared" ref="H2:H13" si="1">(B2 + stillbirth*B2/(1000-stillbirth))/(1-abortion)</f>
        <v>575593.0502472216</v>
      </c>
      <c r="I2" s="17">
        <f t="shared" ref="I2:I13" si="2">G2-H2</f>
        <v>4175518.4497527783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498207</v>
      </c>
      <c r="C3" s="50">
        <v>1188586.5</v>
      </c>
      <c r="D3" s="50">
        <v>1661403</v>
      </c>
      <c r="E3" s="50">
        <v>1191023.5</v>
      </c>
      <c r="F3" s="50">
        <v>835030</v>
      </c>
      <c r="G3" s="17">
        <f t="shared" si="0"/>
        <v>4876043</v>
      </c>
      <c r="H3" s="17">
        <f t="shared" si="1"/>
        <v>577391.72420395957</v>
      </c>
      <c r="I3" s="17">
        <f t="shared" si="2"/>
        <v>4298651.2757960409</v>
      </c>
    </row>
    <row r="4" spans="1:9" ht="15.75" customHeight="1" x14ac:dyDescent="0.25">
      <c r="A4" s="5">
        <f t="shared" si="3"/>
        <v>2026</v>
      </c>
      <c r="B4" s="49">
        <v>503836</v>
      </c>
      <c r="C4" s="50">
        <v>1225384</v>
      </c>
      <c r="D4" s="50">
        <v>1701819.5</v>
      </c>
      <c r="E4" s="50">
        <v>1200031.5</v>
      </c>
      <c r="F4" s="50">
        <v>875042</v>
      </c>
      <c r="G4" s="17">
        <f t="shared" si="0"/>
        <v>5002277</v>
      </c>
      <c r="H4" s="17">
        <f t="shared" si="1"/>
        <v>583915.39411534998</v>
      </c>
      <c r="I4" s="17">
        <f t="shared" si="2"/>
        <v>4418361.6058846498</v>
      </c>
    </row>
    <row r="5" spans="1:9" ht="15.75" customHeight="1" x14ac:dyDescent="0.25">
      <c r="A5" s="5">
        <f t="shared" si="3"/>
        <v>2027</v>
      </c>
      <c r="B5" s="49">
        <v>507954</v>
      </c>
      <c r="C5" s="50">
        <v>1262562.5</v>
      </c>
      <c r="D5" s="50">
        <v>1736599.5</v>
      </c>
      <c r="E5" s="50">
        <v>1218753</v>
      </c>
      <c r="F5" s="50">
        <v>910412</v>
      </c>
      <c r="G5" s="17">
        <f t="shared" si="0"/>
        <v>5128327</v>
      </c>
      <c r="H5" s="17">
        <f t="shared" si="1"/>
        <v>588687.90658561222</v>
      </c>
      <c r="I5" s="17">
        <f t="shared" si="2"/>
        <v>4539639.0934143877</v>
      </c>
    </row>
    <row r="6" spans="1:9" ht="15.75" customHeight="1" x14ac:dyDescent="0.25">
      <c r="A6" s="5">
        <f t="shared" si="3"/>
        <v>2028</v>
      </c>
      <c r="B6" s="49">
        <v>512476</v>
      </c>
      <c r="C6" s="50">
        <v>1293652</v>
      </c>
      <c r="D6" s="50">
        <v>1769749</v>
      </c>
      <c r="E6" s="50">
        <v>1248221</v>
      </c>
      <c r="F6" s="50">
        <v>940871.49999999988</v>
      </c>
      <c r="G6" s="17">
        <f t="shared" si="0"/>
        <v>5252493.5</v>
      </c>
      <c r="H6" s="17">
        <f t="shared" si="1"/>
        <v>593928.63057554071</v>
      </c>
      <c r="I6" s="17">
        <f t="shared" si="2"/>
        <v>4658564.8694244595</v>
      </c>
    </row>
    <row r="7" spans="1:9" ht="15.75" customHeight="1" x14ac:dyDescent="0.25">
      <c r="A7" s="5">
        <f t="shared" si="3"/>
        <v>2029</v>
      </c>
      <c r="B7" s="49">
        <v>517058.99999999988</v>
      </c>
      <c r="C7" s="50">
        <v>1313644.5</v>
      </c>
      <c r="D7" s="50">
        <v>1803800</v>
      </c>
      <c r="E7" s="50">
        <v>1288382.5</v>
      </c>
      <c r="F7" s="50">
        <v>965744</v>
      </c>
      <c r="G7" s="17">
        <f t="shared" si="0"/>
        <v>5371571</v>
      </c>
      <c r="H7" s="17">
        <f t="shared" si="1"/>
        <v>599240.04986918101</v>
      </c>
      <c r="I7" s="17">
        <f t="shared" si="2"/>
        <v>4772330.9501308193</v>
      </c>
    </row>
    <row r="8" spans="1:9" ht="15.75" customHeight="1" x14ac:dyDescent="0.25">
      <c r="A8" s="5">
        <f t="shared" si="3"/>
        <v>2030</v>
      </c>
      <c r="B8" s="49">
        <v>522659.99999999988</v>
      </c>
      <c r="C8" s="50">
        <v>1323860.5</v>
      </c>
      <c r="D8" s="50">
        <v>1839474.5</v>
      </c>
      <c r="E8" s="50">
        <v>1335961</v>
      </c>
      <c r="F8" s="50">
        <v>982374</v>
      </c>
      <c r="G8" s="17">
        <f t="shared" si="0"/>
        <v>5481670</v>
      </c>
      <c r="H8" s="17">
        <f t="shared" si="1"/>
        <v>605731.26947722817</v>
      </c>
      <c r="I8" s="17">
        <f t="shared" si="2"/>
        <v>4875938.7305227723</v>
      </c>
    </row>
    <row r="9" spans="1:9" ht="15.75" customHeight="1" x14ac:dyDescent="0.25">
      <c r="A9" s="5">
        <f t="shared" si="3"/>
        <v>2031</v>
      </c>
      <c r="B9" s="49">
        <v>528818</v>
      </c>
      <c r="C9" s="50">
        <v>1328000</v>
      </c>
      <c r="D9" s="50">
        <v>1876647.5</v>
      </c>
      <c r="E9" s="50">
        <v>1386852.5</v>
      </c>
      <c r="F9" s="50">
        <v>988459.5</v>
      </c>
      <c r="G9" s="17">
        <f t="shared" si="0"/>
        <v>5579959.5</v>
      </c>
      <c r="H9" s="17">
        <f t="shared" si="1"/>
        <v>612868.01833392447</v>
      </c>
      <c r="I9" s="17">
        <f t="shared" si="2"/>
        <v>4967091.4816660751</v>
      </c>
    </row>
    <row r="10" spans="1:9" ht="15.75" customHeight="1" x14ac:dyDescent="0.25">
      <c r="A10" s="5">
        <f t="shared" si="3"/>
        <v>2032</v>
      </c>
      <c r="B10" s="49">
        <v>534114</v>
      </c>
      <c r="C10" s="50">
        <v>1329072</v>
      </c>
      <c r="D10" s="50">
        <v>1915226</v>
      </c>
      <c r="E10" s="50">
        <v>1438200</v>
      </c>
      <c r="F10" s="50">
        <v>987786</v>
      </c>
      <c r="G10" s="17">
        <f t="shared" si="0"/>
        <v>5670284</v>
      </c>
      <c r="H10" s="17">
        <f t="shared" si="1"/>
        <v>619005.76142341178</v>
      </c>
      <c r="I10" s="17">
        <f t="shared" si="2"/>
        <v>5051278.2385765882</v>
      </c>
    </row>
    <row r="11" spans="1:9" ht="15.75" customHeight="1" x14ac:dyDescent="0.25">
      <c r="A11" s="5">
        <f t="shared" si="3"/>
        <v>2033</v>
      </c>
      <c r="B11" s="49">
        <v>538307</v>
      </c>
      <c r="C11" s="50">
        <v>1329372.5</v>
      </c>
      <c r="D11" s="50">
        <v>1954295.5</v>
      </c>
      <c r="E11" s="50">
        <v>1488586</v>
      </c>
      <c r="F11" s="50">
        <v>985384.5</v>
      </c>
      <c r="G11" s="17">
        <f t="shared" si="0"/>
        <v>5757638.5</v>
      </c>
      <c r="H11" s="17">
        <f t="shared" si="1"/>
        <v>623865.19434905751</v>
      </c>
      <c r="I11" s="17">
        <f t="shared" si="2"/>
        <v>5133773.305650942</v>
      </c>
    </row>
    <row r="12" spans="1:9" ht="15.75" customHeight="1" x14ac:dyDescent="0.25">
      <c r="A12" s="5">
        <f t="shared" si="3"/>
        <v>2034</v>
      </c>
      <c r="B12" s="49">
        <v>542656</v>
      </c>
      <c r="C12" s="50">
        <v>1330596</v>
      </c>
      <c r="D12" s="50">
        <v>1992573.5</v>
      </c>
      <c r="E12" s="50">
        <v>1537194.5</v>
      </c>
      <c r="F12" s="50">
        <v>983776.5</v>
      </c>
      <c r="G12" s="17">
        <f t="shared" si="0"/>
        <v>5844140.5</v>
      </c>
      <c r="H12" s="17">
        <f t="shared" si="1"/>
        <v>628905.42182190111</v>
      </c>
      <c r="I12" s="17">
        <f t="shared" si="2"/>
        <v>5215235.0781780984</v>
      </c>
    </row>
    <row r="13" spans="1:9" ht="15.75" customHeight="1" x14ac:dyDescent="0.25">
      <c r="A13" s="5">
        <f t="shared" si="3"/>
        <v>2035</v>
      </c>
      <c r="B13" s="49">
        <v>545670</v>
      </c>
      <c r="C13" s="50">
        <v>1335004</v>
      </c>
      <c r="D13" s="50">
        <v>2028993</v>
      </c>
      <c r="E13" s="50">
        <v>1582820</v>
      </c>
      <c r="F13" s="50">
        <v>984799.5</v>
      </c>
      <c r="G13" s="17">
        <f t="shared" si="0"/>
        <v>5931616.5</v>
      </c>
      <c r="H13" s="17">
        <f t="shared" si="1"/>
        <v>632398.46518891666</v>
      </c>
      <c r="I13" s="17">
        <f t="shared" si="2"/>
        <v>5299218.0348110832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Toxy6IjMyNQlqWfMu+odjQTS7A1fsJY/Cz9WoQnzzRBTgdUMZX6K0ucsa7l377PpywlzPlvjNOVc5WkpIZtAg==" saltValue="7BFfZVZgaq/cCz8v5Na06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7.6781645030920614E-3</v>
      </c>
    </row>
    <row r="4" spans="1:8" ht="15.75" customHeight="1" x14ac:dyDescent="0.25">
      <c r="B4" s="19" t="s">
        <v>97</v>
      </c>
      <c r="C4" s="101">
        <v>5.8812394804291353E-2</v>
      </c>
    </row>
    <row r="5" spans="1:8" ht="15.75" customHeight="1" x14ac:dyDescent="0.25">
      <c r="B5" s="19" t="s">
        <v>95</v>
      </c>
      <c r="C5" s="101">
        <v>7.8175276577129568E-2</v>
      </c>
    </row>
    <row r="6" spans="1:8" ht="15.75" customHeight="1" x14ac:dyDescent="0.25">
      <c r="B6" s="19" t="s">
        <v>91</v>
      </c>
      <c r="C6" s="101">
        <v>0.24960349261539741</v>
      </c>
    </row>
    <row r="7" spans="1:8" ht="15.75" customHeight="1" x14ac:dyDescent="0.25">
      <c r="B7" s="19" t="s">
        <v>96</v>
      </c>
      <c r="C7" s="101">
        <v>0.41445225906640448</v>
      </c>
    </row>
    <row r="8" spans="1:8" ht="15.75" customHeight="1" x14ac:dyDescent="0.25">
      <c r="B8" s="19" t="s">
        <v>98</v>
      </c>
      <c r="C8" s="101">
        <v>1.37938727358503E-3</v>
      </c>
    </row>
    <row r="9" spans="1:8" ht="15.75" customHeight="1" x14ac:dyDescent="0.25">
      <c r="B9" s="19" t="s">
        <v>92</v>
      </c>
      <c r="C9" s="101">
        <v>7.090718662675477E-2</v>
      </c>
    </row>
    <row r="10" spans="1:8" ht="15.75" customHeight="1" x14ac:dyDescent="0.25">
      <c r="B10" s="19" t="s">
        <v>94</v>
      </c>
      <c r="C10" s="101">
        <v>0.11899183853334561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102</v>
      </c>
      <c r="C15" s="101">
        <v>0.19832440760021011</v>
      </c>
      <c r="D15" s="101">
        <v>0.19832440760021011</v>
      </c>
      <c r="E15" s="101">
        <v>0.19832440760021011</v>
      </c>
      <c r="F15" s="101">
        <v>0.19832440760021011</v>
      </c>
    </row>
    <row r="16" spans="1:8" ht="15.75" customHeight="1" x14ac:dyDescent="0.25">
      <c r="B16" s="19" t="s">
        <v>2</v>
      </c>
      <c r="C16" s="101">
        <v>1.3637982633177439E-2</v>
      </c>
      <c r="D16" s="101">
        <v>1.3637982633177439E-2</v>
      </c>
      <c r="E16" s="101">
        <v>1.3637982633177439E-2</v>
      </c>
      <c r="F16" s="101">
        <v>1.3637982633177439E-2</v>
      </c>
    </row>
    <row r="17" spans="1:8" ht="15.75" customHeight="1" x14ac:dyDescent="0.25">
      <c r="B17" s="19" t="s">
        <v>90</v>
      </c>
      <c r="C17" s="101">
        <v>2.119301663174158E-3</v>
      </c>
      <c r="D17" s="101">
        <v>2.119301663174158E-3</v>
      </c>
      <c r="E17" s="101">
        <v>2.119301663174158E-3</v>
      </c>
      <c r="F17" s="101">
        <v>2.119301663174158E-3</v>
      </c>
    </row>
    <row r="18" spans="1:8" ht="15.75" customHeight="1" x14ac:dyDescent="0.25">
      <c r="B18" s="19" t="s">
        <v>3</v>
      </c>
      <c r="C18" s="101">
        <v>5.8880676578246922E-2</v>
      </c>
      <c r="D18" s="101">
        <v>5.8880676578246922E-2</v>
      </c>
      <c r="E18" s="101">
        <v>5.8880676578246922E-2</v>
      </c>
      <c r="F18" s="101">
        <v>5.8880676578246922E-2</v>
      </c>
    </row>
    <row r="19" spans="1:8" ht="15.75" customHeight="1" x14ac:dyDescent="0.25">
      <c r="B19" s="19" t="s">
        <v>101</v>
      </c>
      <c r="C19" s="101">
        <v>2.8333878533845368E-3</v>
      </c>
      <c r="D19" s="101">
        <v>2.8333878533845368E-3</v>
      </c>
      <c r="E19" s="101">
        <v>2.8333878533845368E-3</v>
      </c>
      <c r="F19" s="101">
        <v>2.8333878533845368E-3</v>
      </c>
    </row>
    <row r="20" spans="1:8" ht="15.75" customHeight="1" x14ac:dyDescent="0.25">
      <c r="B20" s="19" t="s">
        <v>79</v>
      </c>
      <c r="C20" s="101">
        <v>0.30756059391783608</v>
      </c>
      <c r="D20" s="101">
        <v>0.30756059391783608</v>
      </c>
      <c r="E20" s="101">
        <v>0.30756059391783608</v>
      </c>
      <c r="F20" s="101">
        <v>0.30756059391783608</v>
      </c>
    </row>
    <row r="21" spans="1:8" ht="15.75" customHeight="1" x14ac:dyDescent="0.25">
      <c r="B21" s="19" t="s">
        <v>88</v>
      </c>
      <c r="C21" s="101">
        <v>0.1054258064472985</v>
      </c>
      <c r="D21" s="101">
        <v>0.1054258064472985</v>
      </c>
      <c r="E21" s="101">
        <v>0.1054258064472985</v>
      </c>
      <c r="F21" s="101">
        <v>0.1054258064472985</v>
      </c>
    </row>
    <row r="22" spans="1:8" ht="15.75" customHeight="1" x14ac:dyDescent="0.25">
      <c r="B22" s="19" t="s">
        <v>99</v>
      </c>
      <c r="C22" s="101">
        <v>0.17023284027764241</v>
      </c>
      <c r="D22" s="101">
        <v>0.17023284027764241</v>
      </c>
      <c r="E22" s="101">
        <v>0.17023284027764241</v>
      </c>
      <c r="F22" s="101">
        <v>0.17023284027764241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3.5976796000000012E-2</v>
      </c>
    </row>
    <row r="27" spans="1:8" ht="15.75" customHeight="1" x14ac:dyDescent="0.25">
      <c r="B27" s="19" t="s">
        <v>89</v>
      </c>
      <c r="C27" s="101">
        <v>5.2873009999999986E-3</v>
      </c>
    </row>
    <row r="28" spans="1:8" ht="15.75" customHeight="1" x14ac:dyDescent="0.25">
      <c r="B28" s="19" t="s">
        <v>103</v>
      </c>
      <c r="C28" s="101">
        <v>0.15022722299999999</v>
      </c>
    </row>
    <row r="29" spans="1:8" ht="15.75" customHeight="1" x14ac:dyDescent="0.25">
      <c r="B29" s="19" t="s">
        <v>86</v>
      </c>
      <c r="C29" s="101">
        <v>0.123445323</v>
      </c>
    </row>
    <row r="30" spans="1:8" ht="15.75" customHeight="1" x14ac:dyDescent="0.25">
      <c r="B30" s="19" t="s">
        <v>4</v>
      </c>
      <c r="C30" s="101">
        <v>8.7992374999999998E-2</v>
      </c>
    </row>
    <row r="31" spans="1:8" ht="15.75" customHeight="1" x14ac:dyDescent="0.25">
      <c r="B31" s="19" t="s">
        <v>80</v>
      </c>
      <c r="C31" s="101">
        <v>8.5764472999999994E-2</v>
      </c>
    </row>
    <row r="32" spans="1:8" ht="15.75" customHeight="1" x14ac:dyDescent="0.25">
      <c r="B32" s="19" t="s">
        <v>85</v>
      </c>
      <c r="C32" s="101">
        <v>9.7807150000000006E-3</v>
      </c>
    </row>
    <row r="33" spans="2:3" ht="15.75" customHeight="1" x14ac:dyDescent="0.25">
      <c r="B33" s="19" t="s">
        <v>100</v>
      </c>
      <c r="C33" s="101">
        <v>0.11793519700000001</v>
      </c>
    </row>
    <row r="34" spans="2:3" ht="15.75" customHeight="1" x14ac:dyDescent="0.25">
      <c r="B34" s="19" t="s">
        <v>87</v>
      </c>
      <c r="C34" s="101">
        <v>0.38359059600000001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Zlb0ATXujJkzeJihp+9GAhjCycQPs2JxlUpQmN2KGAXMLXYYUzjXLDAv0USD0rCaoQpH8ayoEOBjYvgNoUfSGQ==" saltValue="opWp+jz2MoCCnpX7s0pf3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110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106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107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119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1MFEAb/g0xTMq8dFL+wuBXlLTMQuZselegxbK5vca2fS7uy4LPGoGGeUiEltc2lYKu9wBgJ2Gv6CZ9gkC+scQ==" saltValue="B9jScaKqgsagBv3JgpjQ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125</v>
      </c>
      <c r="C5" s="52">
        <v>5.6632000000000002E-3</v>
      </c>
      <c r="D5" s="52">
        <v>1.77837E-2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BUOEjyBpF1eDiz03Tuo0kuSFbbcXfIZidBikObbf/dXUMI6vGxVyTIuFO0pHyN/vzPl2KwmAyxmwxgy0QYbOjQ==" saltValue="8T6SF38tAkqvpald9VBl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iJAxkTxheIwz1G3fWrpNbG0Fd3K9tm8QdZvw2cHzUUtJ8R3EVDtfaY+7W7TEPzuw0VdQJ96bsBV9vn45Fw+Kw==" saltValue="dUo8fKIIdrUqN9iYBEeiX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Re6tfrvpnI2tpR03NNktzSA479Azdq8501i38tNZkD2cmvKVsmFciV5piVeT71QFqBHhO6zdWd65Y6Pd13RGlQ==" saltValue="sR15C5ubBL5k1WLvDB8iy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SqegPdhqolw1BOiZXDbqEkhRJ88bWxHtJJZ6tEJFPUP7zZ2VufGSy12z6/LkC4kY3P7SQawsG8aL6O+Gpmb1Iw==" saltValue="o6xfLbIpjcIfhTKDtArz2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nHrB5O3PwrFF8K/EVM/6CHYeHBR1usXB0ZIyTzQuPkY0Zn62VLfzGKewDI36ez4Bo0BzZk9teacST/3nXegZ4w==" saltValue="X6j8CzIk/g8OHzlDJGzYQ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38.160776266150833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47.437843551227417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102.9076648678451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0.48473115959564478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0.39672310000000011</v>
      </c>
      <c r="C10" s="98">
        <v>0.95</v>
      </c>
      <c r="D10" s="56">
        <v>15.09709288172251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15.09709288172251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15.09709288172251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15.09709288172251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0.39672310000000011</v>
      </c>
      <c r="C14" s="98">
        <v>0.95</v>
      </c>
      <c r="D14" s="56">
        <v>15.09709288172251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15.09709288172251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0.2755978</v>
      </c>
      <c r="C16" s="98">
        <v>0.95</v>
      </c>
      <c r="D16" s="56">
        <v>0.29966946653826387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8.6839288888888894E-2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0.33603460000000002</v>
      </c>
      <c r="C18" s="98">
        <v>0.95</v>
      </c>
      <c r="D18" s="56">
        <v>2.4661440905760248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0.33603460000000002</v>
      </c>
      <c r="C19" s="98">
        <v>0.95</v>
      </c>
      <c r="D19" s="56">
        <v>2.4661440905760248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3.3085818740876318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25.756145724245069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0.38460499999999997</v>
      </c>
      <c r="C23" s="98">
        <v>0.95</v>
      </c>
      <c r="D23" s="56">
        <v>4.9613185520035712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0.85257555200732993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0.39672310000000011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21.789130572923639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0.32846330000000001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0.1671841</v>
      </c>
      <c r="C29" s="98">
        <v>0.95</v>
      </c>
      <c r="D29" s="56">
        <v>68.300854175426551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8.9499999999999996E-2</v>
      </c>
      <c r="C31" s="98">
        <v>0.95</v>
      </c>
      <c r="D31" s="56">
        <v>0.8470232226654113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0.16</v>
      </c>
      <c r="C32" s="98">
        <v>0.95</v>
      </c>
      <c r="D32" s="56">
        <v>0.58527783165992031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0.42456090000000002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0.64379720000000007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1.3108E-3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0.26926600000000001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0.22490360000000001</v>
      </c>
      <c r="C38" s="98">
        <v>0.95</v>
      </c>
      <c r="D38" s="56">
        <v>5.2830002631247943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4hPxELquCvJ0CkSyRwVvbKdELmr6zfEFc27/UIukogNhzUWp1IVf2NUl8bCcEeMINvwTJX/YJ99f6FMbvwMeRg==" saltValue="JVFNHPmra3A7KfO87Nzm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ytKx3bpdFjXGFsPMmodJt0ZR6Azl0L14J0HaLFBQI36eRwRkBWS0LWJHQB8KuH0v8eRE7tuXRJKHVzAvByKz2A==" saltValue="uYa2FAdM+Ulsvngea62P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x9Wzqfrm/kv5WKsPUE40pTBt5oKjHsUjpB9nowcBcjwvT6Im7WA6+oMkO4Ma/T/wwxPIj7zw2hRM9B3bCzisg==" saltValue="AtEkL4WB96pEmTrrAETwA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207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sheetProtection algorithmName="SHA-512" hashValue="NjazCBt67T9+cX1pkFYYE3G8mrAz0W+BaAzvMsTm1FQLGLCZeDVST7lysvVm38lTy7ws59A4g0dYLZHYtbIA+A==" saltValue="V289HH1PWuO19WHf0K6Jp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0.33900000000000002</v>
      </c>
      <c r="E2" s="60">
        <f>food_insecure</f>
        <v>0.33900000000000002</v>
      </c>
      <c r="F2" s="60">
        <f>food_insecure</f>
        <v>0.33900000000000002</v>
      </c>
      <c r="G2" s="60">
        <f>food_insecure</f>
        <v>0.33900000000000002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0.33900000000000002</v>
      </c>
      <c r="I15" s="60">
        <f>food_insecure</f>
        <v>0.33900000000000002</v>
      </c>
      <c r="J15" s="60">
        <f>food_insecure</f>
        <v>0.33900000000000002</v>
      </c>
      <c r="K15" s="60">
        <f>food_insecure</f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0.54</v>
      </c>
      <c r="D34" s="60">
        <f t="shared" si="3"/>
        <v>0.54</v>
      </c>
      <c r="E34" s="60">
        <f t="shared" si="3"/>
        <v>0.54</v>
      </c>
      <c r="F34" s="60">
        <f t="shared" si="3"/>
        <v>0.54</v>
      </c>
      <c r="G34" s="60">
        <f t="shared" si="3"/>
        <v>0.54</v>
      </c>
      <c r="H34" s="60">
        <f t="shared" si="3"/>
        <v>0.54</v>
      </c>
      <c r="I34" s="60">
        <f t="shared" si="3"/>
        <v>0.54</v>
      </c>
      <c r="J34" s="60">
        <f t="shared" si="3"/>
        <v>0.54</v>
      </c>
      <c r="K34" s="60">
        <f t="shared" si="3"/>
        <v>0.54</v>
      </c>
      <c r="L34" s="60">
        <f t="shared" si="3"/>
        <v>0.54</v>
      </c>
      <c r="M34" s="60">
        <f t="shared" si="3"/>
        <v>0.54</v>
      </c>
      <c r="N34" s="60">
        <f t="shared" si="3"/>
        <v>0.54</v>
      </c>
      <c r="O34" s="60">
        <f t="shared" si="3"/>
        <v>0.54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KAN/vLCRm0xKBQFBjMbY3ghlPhDhVB2SJXWuu0Q/u9QiyWokuiGL4AzBUSFXc3Qa8AKvqkd6hT34L+Zd2jZ5w==" saltValue="ox7JWwg39G+sXvkBsy7ha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HsslDWdTrwb08n3kNUQoae3y0P35tbLWSRfb44P5T0tTo2pS3LM3KKL7gpMspnqYELUI8CvM4dcfz8xC1ZXiPA==" saltValue="ja44YDHne4yEHOHuNm585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ORDTfxT07/osRK2+y1oKqjwmkhuYb28RyRqoSxkwBcQ2Mitoa8BIlCxoDalc3KcGAw9QDhSODfH5W7B3XPx2Q==" saltValue="Ux8BKw8u4uIwOdto3zNLm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Se679lDtnPJsjIjHfA+Nqep90JXhjYKHbH61tr1GdWXGEPlqWBO17vCdd2+7D3olwTxaZWftabgxNxtZNCy5A==" saltValue="p8awdvwkvOqbNENuJ03nr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GjM93BZNgA8PggYp+gNSrznQ1vM0msk0QJi3Hd0lDydoMldB9I5aFTObpZMqCSgQttDpmjMhLL1EDySY3TCvQ==" saltValue="g63maLXns3s6Fw0D4LdW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AXfqgX47mFNka3IrzD9o5kD8mE6jJzl0F/6y+XPLdD0jKYqr5tvjPC+JGm9CSwfoZM/elcCQBkwjBWtX1JPeJQ==" saltValue="iZVm1Cj7dCD5qX7yZhchI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KCefzPEhoO6wxg63Yn/TOCfA1GzseFb8QJjeK5Dv1XvrcuyMHGUDk6sWnCSkBFhqRFh6m5k8Qxc0sniWRRb4Q==" saltValue="uKL19Cf+uVNz7hPFbQFc3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rniddpuwQFAUPVHMkCNMPk7GHetg4t59fL7jU3zZP7LUKkN6WIe8z0JnEmS3samalHyy6H3saEOAXSYWYzPbg==" saltValue="OSmvGRiyf9CO1R+juvGz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Xj8u9ncuPL215WhF1qvpaOGWDNkW0Pox4LIrdEa7z5sCznVvkuepP2wZhkCuiZ8OKzcZVajpAi3al7qvgEVGA==" saltValue="qoD/Wc8IMhdTWsr8H40j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l+mozMsORJtGkmmJD6N9mEFKAZYETKVWX819x9dQX1F7HXrppxtfGEEM+iXtJA9R8j2ibsjLLh6XoBEWQ83bw==" saltValue="8SVBFMxbn2Wam0NMDi/g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P7ATKL4r+UHgWKrqgxdxKvZK/pKuj2Oo3Y2dbm8dfIKv2h6FfM2HEGCTwJxvRq8XQzAIRccXLQ/iPaaEYbN9vg==" saltValue="pEMQtfI4Grj80sHDxoJn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yo5fFPiCv/wZmE4h3fgpVpOg3nl/2IrXg5UfVr0NVUJDRl75XmPgWuQrVOdYSUFGhZhfPp5uglGSUeYELjS/g==" saltValue="IqNMfGZ+m0D3ZQ3YhBEE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4Hxk04zphTb2VbLI7XA82eZJeAKsb1i3z2DtHC8kNf6xafgcSttGqCaEMra9k1rPZnCT3PXAJZ44tdEB9Kzjw==" saltValue="0w+nViCJ5VaB2eazFwCu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0.10957194184832053</v>
      </c>
      <c r="G18" s="90">
        <f>MIN(MAX(1-0.89/(1-frac_sam_12_23months+(frac_sam_12_23months*0.89)),0),1)</f>
        <v>0.10952339287699941</v>
      </c>
      <c r="H18" s="90">
        <f>MIN(MAX(1-0.89/(1-frac_sam_24_59months+(frac_sam_24_59months*0.89)),0),1)</f>
        <v>0.10982754510996917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0.10639973098334587</v>
      </c>
      <c r="G20" s="90">
        <f>MIN(MAX(1-0.89/(1-frac_mam_12_23months+(frac_mam_12_23months*0.89)),0),1)</f>
        <v>0.10616134195127169</v>
      </c>
      <c r="H20" s="90">
        <f>MIN(MAX(1-0.89/(1-frac_mam_24_59months+(frac_mam_24_59months*0.89)),0),1)</f>
        <v>0.10810428815100492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9.9567321390646724E-3</v>
      </c>
      <c r="G73" s="90">
        <f>MIN(MAX(1-0.99/(1-frac_sam_12_23months+(frac_sam_12_23months*0.99)),0),1)</f>
        <v>9.9518272260573637E-3</v>
      </c>
      <c r="H73" s="90">
        <f>MIN(MAX(1-0.99/(1-frac_sam_24_59months+(frac_sam_24_59months*0.99)),0),1)</f>
        <v>9.9825638129138472E-3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9.6372618206125304E-3</v>
      </c>
      <c r="G75" s="90">
        <f>MIN(MAX(1-0.99/(1-frac_mam_12_23months+(frac_mam_12_23months*0.99)),0),1)</f>
        <v>9.613337200656491E-3</v>
      </c>
      <c r="H75" s="90">
        <f>MIN(MAX(1-0.99/(1-frac_mam_24_59months+(frac_mam_24_59months*0.99)),0),1)</f>
        <v>9.8086692899322925E-3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0.1993001402806136</v>
      </c>
      <c r="G128" s="90">
        <f>MIN(MAX(1-0.8/(1-frac_sam_12_23months+(frac_sam_12_23months*0.8)),0),1)</f>
        <v>0.19922072966086224</v>
      </c>
      <c r="H128" s="90">
        <f>MIN(MAX(1-0.8/(1-frac_sam_24_59months+(frac_sam_24_59months*0.8)),0),1)</f>
        <v>0.19971810870661078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0.19409646649178025</v>
      </c>
      <c r="G130" s="90">
        <f>MIN(MAX(1-0.8/(1-frac_mam_12_23months+(frac_mam_12_23months*0.8)),0),1)</f>
        <v>0.19370418425600988</v>
      </c>
      <c r="H130" s="90">
        <f>MIN(MAX(1-0.8/(1-frac_mam_24_59months+(frac_mam_24_59months*0.8)),0),1)</f>
        <v>0.1968963900372267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vf7EqyuX5Ef5fHf0CWasAag67UKGT8cY7r7m0sgUqJMXO30reY1oAIZhkASMkUheITrx4it7/sODuV1mkxUvw==" saltValue="4IhQZBMgJQV9zM/GISFz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Fm2IT3YPK4lKZm0hiy39mTjc57SUAb3oPFwY8kRkMEGrRhI8dpbnZBl7eeGrZwDgIolU82VdKU1deRW5g2mCQ==" saltValue="f1LVRWVJBYPNZiBxFCBcu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2024-08-06T08:35:27Z</dcterms:modified>
</cp:coreProperties>
</file>