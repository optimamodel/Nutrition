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D88B03D3-D2C6-479B-BEEC-5E02D21E21F8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<sst xmlns="http://schemas.openxmlformats.org/spreadsheetml/2006/main" count="2102" uniqueCount="341">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</sst>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36442523.5</v>
      </c>
    </row>
    <row r="8" spans="1:3" ht="15" customHeight="1" x14ac:dyDescent="0.25">
      <c r="B8" s="5" t="s">
        <v>44</v>
      </c>
      <c r="C8" s="44">
        <v>0.53500000000000003</v>
      </c>
    </row>
    <row r="9" spans="1:3" ht="15" customHeight="1" x14ac:dyDescent="0.25">
      <c r="B9" s="5" t="s">
        <v>43</v>
      </c>
      <c r="C9" s="45">
        <v>0.99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0.73699999999999999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9.9700000000000011E-2</v>
      </c>
    </row>
    <row r="24" spans="1:3" ht="15" customHeight="1" x14ac:dyDescent="0.25">
      <c r="B24" s="15" t="s">
        <v>46</v>
      </c>
      <c r="C24" s="45">
        <v>0.43430000000000002</v>
      </c>
    </row>
    <row r="25" spans="1:3" ht="15" customHeight="1" x14ac:dyDescent="0.25">
      <c r="B25" s="15" t="s">
        <v>47</v>
      </c>
      <c r="C25" s="45">
        <v>0.35899999999999999</v>
      </c>
    </row>
    <row r="26" spans="1:3" ht="15" customHeight="1" x14ac:dyDescent="0.25">
      <c r="B26" s="15" t="s">
        <v>48</v>
      </c>
      <c r="C26" s="45">
        <v>0.107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0.19573648727283799</v>
      </c>
    </row>
    <row r="30" spans="1:3" ht="14.25" customHeight="1" x14ac:dyDescent="0.25">
      <c r="B30" s="25" t="s">
        <v>63</v>
      </c>
      <c r="C30" s="99">
        <v>6.6216535073416599E-2</v>
      </c>
    </row>
    <row r="31" spans="1:3" ht="14.25" customHeight="1" x14ac:dyDescent="0.25">
      <c r="B31" s="25" t="s">
        <v>10</v>
      </c>
      <c r="C31" s="99">
        <v>0.13435462918095001</v>
      </c>
    </row>
    <row r="32" spans="1:3" ht="14.25" customHeight="1" x14ac:dyDescent="0.25">
      <c r="B32" s="25" t="s">
        <v>11</v>
      </c>
      <c r="C32" s="99">
        <v>0.60369234847279496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34.921909999999997</v>
      </c>
    </row>
    <row r="38" spans="1:5" ht="15" customHeight="1" x14ac:dyDescent="0.25">
      <c r="B38" s="11" t="s">
        <v>35</v>
      </c>
      <c r="C38" s="43">
        <v>70.588530000000006</v>
      </c>
      <c r="D38" s="12"/>
      <c r="E38" s="13"/>
    </row>
    <row r="39" spans="1:5" ht="15" customHeight="1" x14ac:dyDescent="0.25">
      <c r="B39" s="11" t="s">
        <v>61</v>
      </c>
      <c r="C39" s="43">
        <v>110.81927</v>
      </c>
      <c r="D39" s="12"/>
      <c r="E39" s="12"/>
    </row>
    <row r="40" spans="1:5" ht="15" customHeight="1" x14ac:dyDescent="0.25">
      <c r="B40" s="11" t="s">
        <v>36</v>
      </c>
      <c r="C40" s="100">
        <v>10.47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22.49146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8.4424999999999986E-3</v>
      </c>
      <c r="D45" s="12"/>
    </row>
    <row r="46" spans="1:5" ht="15.75" customHeight="1" x14ac:dyDescent="0.25">
      <c r="B46" s="11" t="s">
        <v>51</v>
      </c>
      <c r="C46" s="45">
        <v>9.0714000000000003E-2</v>
      </c>
      <c r="D46" s="12"/>
    </row>
    <row r="47" spans="1:5" ht="15.75" customHeight="1" x14ac:dyDescent="0.25">
      <c r="B47" s="11" t="s">
        <v>59</v>
      </c>
      <c r="C47" s="45">
        <v>7.29717E-2</v>
      </c>
      <c r="D47" s="12"/>
      <c r="E47" s="13"/>
    </row>
    <row r="48" spans="1:5" ht="15" customHeight="1" x14ac:dyDescent="0.25">
      <c r="B48" s="11" t="s">
        <v>58</v>
      </c>
      <c r="C48" s="46">
        <v>0.82787180000000005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0.419354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S2iVrmOUsqiSj31uUUd+PyNjNevcE1tPl921W2yzAVpy3Gjv0VyHSkMyKiZjEagjG4pGZ3LAKRuIdNMqiON0mA==" saltValue="HZVXDPmpIP6ur9hK3/zk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8234397.9999999991</v>
      </c>
      <c r="C2" s="49">
        <v>14978313.5</v>
      </c>
      <c r="D2" s="49">
        <v>18655701.5</v>
      </c>
      <c r="E2" s="49">
        <v>13034960</v>
      </c>
      <c r="F2" s="49">
        <v>8529826</v>
      </c>
      <c r="G2" s="17">
        <f t="shared" ref="G2:G13" si="0">C2+D2+E2+F2</f>
        <v>55198801</v>
      </c>
      <c r="H2" s="17">
        <f t="shared" ref="H2:H13" si="1">(B2 + stillbirth*B2/(1000-stillbirth))/(1-abortion)</f>
        <v>9572571.5649967138</v>
      </c>
      <c r="I2" s="17">
        <f t="shared" ref="I2:I13" si="2">G2-H2</f>
        <v>45626229.435003288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8321052</v>
      </c>
      <c r="C3" s="50">
        <v>15386867</v>
      </c>
      <c r="D3" s="50">
        <v>19253617</v>
      </c>
      <c r="E3" s="50">
        <v>13344852.5</v>
      </c>
      <c r="F3" s="50">
        <v>8768933</v>
      </c>
      <c r="G3" s="17">
        <f t="shared" si="0"/>
        <v>56754269.5</v>
      </c>
      <c r="H3" s="17">
        <f t="shared" si="1"/>
        <v>9673307.7228060924</v>
      </c>
      <c r="I3" s="17">
        <f t="shared" si="2"/>
        <v>47080961.777193904</v>
      </c>
    </row>
    <row r="4" spans="1:9" ht="15.75" customHeight="1" x14ac:dyDescent="0.25">
      <c r="A4" s="5">
        <f t="shared" si="3"/>
        <v>2026</v>
      </c>
      <c r="B4" s="49">
        <v>8417807</v>
      </c>
      <c r="C4" s="50">
        <v>15781795</v>
      </c>
      <c r="D4" s="50">
        <v>19874560</v>
      </c>
      <c r="E4" s="50">
        <v>13684189.5</v>
      </c>
      <c r="F4" s="50">
        <v>8989945</v>
      </c>
      <c r="G4" s="17">
        <f t="shared" si="0"/>
        <v>58330489.5</v>
      </c>
      <c r="H4" s="17">
        <f t="shared" si="1"/>
        <v>9785786.3960219435</v>
      </c>
      <c r="I4" s="17">
        <f t="shared" si="2"/>
        <v>48544703.103978053</v>
      </c>
    </row>
    <row r="5" spans="1:9" ht="15.75" customHeight="1" x14ac:dyDescent="0.25">
      <c r="A5" s="5">
        <f t="shared" si="3"/>
        <v>2027</v>
      </c>
      <c r="B5" s="49">
        <v>8515800</v>
      </c>
      <c r="C5" s="50">
        <v>16153285</v>
      </c>
      <c r="D5" s="50">
        <v>20521104.5</v>
      </c>
      <c r="E5" s="50">
        <v>14047495.5</v>
      </c>
      <c r="F5" s="50">
        <v>9192538.5</v>
      </c>
      <c r="G5" s="17">
        <f t="shared" si="0"/>
        <v>59914423.5</v>
      </c>
      <c r="H5" s="17">
        <f t="shared" si="1"/>
        <v>9899704.2568502314</v>
      </c>
      <c r="I5" s="17">
        <f t="shared" si="2"/>
        <v>50014719.243149772</v>
      </c>
    </row>
    <row r="6" spans="1:9" ht="15.75" customHeight="1" x14ac:dyDescent="0.25">
      <c r="A6" s="5">
        <f t="shared" si="3"/>
        <v>2028</v>
      </c>
      <c r="B6" s="49">
        <v>8600296</v>
      </c>
      <c r="C6" s="50">
        <v>16495382.5</v>
      </c>
      <c r="D6" s="50">
        <v>21197440</v>
      </c>
      <c r="E6" s="50">
        <v>14429657</v>
      </c>
      <c r="F6" s="50">
        <v>9375763</v>
      </c>
      <c r="G6" s="17">
        <f t="shared" si="0"/>
        <v>61498242.5</v>
      </c>
      <c r="H6" s="17">
        <f t="shared" si="1"/>
        <v>9997931.7176744435</v>
      </c>
      <c r="I6" s="17">
        <f t="shared" si="2"/>
        <v>51500310.782325558</v>
      </c>
    </row>
    <row r="7" spans="1:9" ht="15.75" customHeight="1" x14ac:dyDescent="0.25">
      <c r="A7" s="5">
        <f t="shared" si="3"/>
        <v>2029</v>
      </c>
      <c r="B7" s="49">
        <v>8708649</v>
      </c>
      <c r="C7" s="50">
        <v>16811426</v>
      </c>
      <c r="D7" s="50">
        <v>21882994.5</v>
      </c>
      <c r="E7" s="50">
        <v>14838431</v>
      </c>
      <c r="F7" s="50">
        <v>9548712.5</v>
      </c>
      <c r="G7" s="17">
        <f t="shared" si="0"/>
        <v>63081564</v>
      </c>
      <c r="H7" s="17">
        <f t="shared" si="1"/>
        <v>10123893.184047829</v>
      </c>
      <c r="I7" s="17">
        <f t="shared" si="2"/>
        <v>52957670.815952167</v>
      </c>
    </row>
    <row r="8" spans="1:9" ht="15.75" customHeight="1" x14ac:dyDescent="0.25">
      <c r="A8" s="5">
        <f t="shared" si="3"/>
        <v>2030</v>
      </c>
      <c r="B8" s="49">
        <v>8765211</v>
      </c>
      <c r="C8" s="50">
        <v>17113219</v>
      </c>
      <c r="D8" s="50">
        <v>22556637.5</v>
      </c>
      <c r="E8" s="50">
        <v>15285517</v>
      </c>
      <c r="F8" s="50">
        <v>9726224</v>
      </c>
      <c r="G8" s="17">
        <f t="shared" si="0"/>
        <v>64681597.5</v>
      </c>
      <c r="H8" s="17">
        <f t="shared" si="1"/>
        <v>10189647.085287403</v>
      </c>
      <c r="I8" s="17">
        <f t="shared" si="2"/>
        <v>54491950.414712593</v>
      </c>
    </row>
    <row r="9" spans="1:9" ht="15.75" customHeight="1" x14ac:dyDescent="0.25">
      <c r="A9" s="5">
        <f t="shared" si="3"/>
        <v>2031</v>
      </c>
      <c r="B9" s="49">
        <v>8852283</v>
      </c>
      <c r="C9" s="50">
        <v>17405159.5</v>
      </c>
      <c r="D9" s="50">
        <v>23222364</v>
      </c>
      <c r="E9" s="50">
        <v>15769332</v>
      </c>
      <c r="F9" s="50">
        <v>9912239</v>
      </c>
      <c r="G9" s="17">
        <f t="shared" si="0"/>
        <v>66309094.5</v>
      </c>
      <c r="H9" s="17">
        <f t="shared" si="1"/>
        <v>10290869.172355263</v>
      </c>
      <c r="I9" s="17">
        <f t="shared" si="2"/>
        <v>56018225.327644736</v>
      </c>
    </row>
    <row r="10" spans="1:9" ht="15.75" customHeight="1" x14ac:dyDescent="0.25">
      <c r="A10" s="5">
        <f t="shared" si="3"/>
        <v>2032</v>
      </c>
      <c r="B10" s="49">
        <v>8901896</v>
      </c>
      <c r="C10" s="50">
        <v>17693876.5</v>
      </c>
      <c r="D10" s="50">
        <v>23874275</v>
      </c>
      <c r="E10" s="50">
        <v>16284928</v>
      </c>
      <c r="F10" s="50">
        <v>10106002.5</v>
      </c>
      <c r="G10" s="17">
        <f t="shared" si="0"/>
        <v>67959082</v>
      </c>
      <c r="H10" s="17">
        <f t="shared" si="1"/>
        <v>10348544.790300153</v>
      </c>
      <c r="I10" s="17">
        <f t="shared" si="2"/>
        <v>57610537.209699847</v>
      </c>
    </row>
    <row r="11" spans="1:9" ht="15.75" customHeight="1" x14ac:dyDescent="0.25">
      <c r="A11" s="5">
        <f t="shared" si="3"/>
        <v>2033</v>
      </c>
      <c r="B11" s="49">
        <v>8959175</v>
      </c>
      <c r="C11" s="50">
        <v>17992212.5</v>
      </c>
      <c r="D11" s="50">
        <v>24503200.5</v>
      </c>
      <c r="E11" s="50">
        <v>16825695.5</v>
      </c>
      <c r="F11" s="50">
        <v>10310051.5</v>
      </c>
      <c r="G11" s="17">
        <f t="shared" si="0"/>
        <v>69631160</v>
      </c>
      <c r="H11" s="17">
        <f t="shared" si="1"/>
        <v>10415132.211344345</v>
      </c>
      <c r="I11" s="17">
        <f t="shared" si="2"/>
        <v>59216027.788655654</v>
      </c>
    </row>
    <row r="12" spans="1:9" ht="15.75" customHeight="1" x14ac:dyDescent="0.25">
      <c r="A12" s="5">
        <f t="shared" si="3"/>
        <v>2034</v>
      </c>
      <c r="B12" s="49">
        <v>9019452</v>
      </c>
      <c r="C12" s="50">
        <v>18302434.5</v>
      </c>
      <c r="D12" s="50">
        <v>25113137.5</v>
      </c>
      <c r="E12" s="50">
        <v>17382502</v>
      </c>
      <c r="F12" s="50">
        <v>10533418</v>
      </c>
      <c r="G12" s="17">
        <f t="shared" si="0"/>
        <v>71331492</v>
      </c>
      <c r="H12" s="17">
        <f t="shared" si="1"/>
        <v>10485204.837931413</v>
      </c>
      <c r="I12" s="17">
        <f t="shared" si="2"/>
        <v>60846287.162068591</v>
      </c>
    </row>
    <row r="13" spans="1:9" ht="15.75" customHeight="1" x14ac:dyDescent="0.25">
      <c r="A13" s="5">
        <f t="shared" si="3"/>
        <v>2035</v>
      </c>
      <c r="B13" s="49">
        <v>9035342</v>
      </c>
      <c r="C13" s="50">
        <v>18625777</v>
      </c>
      <c r="D13" s="50">
        <v>25701163.5</v>
      </c>
      <c r="E13" s="50">
        <v>17957641</v>
      </c>
      <c r="F13" s="50">
        <v>10785678.5</v>
      </c>
      <c r="G13" s="17">
        <f t="shared" si="0"/>
        <v>73070260</v>
      </c>
      <c r="H13" s="17">
        <f t="shared" si="1"/>
        <v>10503677.124814779</v>
      </c>
      <c r="I13" s="17">
        <f t="shared" si="2"/>
        <v>62566582.875185221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zeH1vu6kkhVBxOoejmtS8vwVd8srB3YwNGwpyoTpYzJSZIWxYiY+Kfjvy9smkkSLKjzGk08Yv4sjQV22UDB/A==" saltValue="SRTGjUOV2RuwIK7LN3Zbg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2.3730299999999999E-2</v>
      </c>
    </row>
    <row r="4" spans="1:8" ht="15.75" customHeight="1" x14ac:dyDescent="0.25">
      <c r="B4" s="19" t="s">
        <v>97</v>
      </c>
      <c r="C4" s="101">
        <v>0.15361009999999989</v>
      </c>
    </row>
    <row r="5" spans="1:8" ht="15.75" customHeight="1" x14ac:dyDescent="0.25">
      <c r="B5" s="19" t="s">
        <v>95</v>
      </c>
      <c r="C5" s="101">
        <v>0.18025830000000001</v>
      </c>
    </row>
    <row r="6" spans="1:8" ht="15.75" customHeight="1" x14ac:dyDescent="0.25">
      <c r="B6" s="19" t="s">
        <v>91</v>
      </c>
      <c r="C6" s="101">
        <v>0.28443859999999987</v>
      </c>
    </row>
    <row r="7" spans="1:8" ht="15.75" customHeight="1" x14ac:dyDescent="0.25">
      <c r="B7" s="19" t="s">
        <v>96</v>
      </c>
      <c r="C7" s="101">
        <v>0.18089420000000009</v>
      </c>
    </row>
    <row r="8" spans="1:8" ht="15.75" customHeight="1" x14ac:dyDescent="0.25">
      <c r="B8" s="19" t="s">
        <v>98</v>
      </c>
      <c r="C8" s="101">
        <v>7.6880999999999998E-3</v>
      </c>
    </row>
    <row r="9" spans="1:8" ht="15.75" customHeight="1" x14ac:dyDescent="0.25">
      <c r="B9" s="19" t="s">
        <v>92</v>
      </c>
      <c r="C9" s="101">
        <v>4.4153200000000038E-2</v>
      </c>
    </row>
    <row r="10" spans="1:8" ht="15.75" customHeight="1" x14ac:dyDescent="0.25">
      <c r="B10" s="19" t="s">
        <v>94</v>
      </c>
      <c r="C10" s="101">
        <v>0.12522720000000001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0.2604796154195424</v>
      </c>
      <c r="D14" s="55">
        <v>0.2604796154195424</v>
      </c>
      <c r="E14" s="55">
        <v>0.2604796154195424</v>
      </c>
      <c r="F14" s="55">
        <v>0.2604796154195424</v>
      </c>
    </row>
    <row r="15" spans="1:8" ht="15.75" customHeight="1" x14ac:dyDescent="0.25">
      <c r="B15" s="19" t="s">
        <v>102</v>
      </c>
      <c r="C15" s="101">
        <v>0.19525974369423979</v>
      </c>
      <c r="D15" s="101">
        <v>0.19525974369423979</v>
      </c>
      <c r="E15" s="101">
        <v>0.19525974369423979</v>
      </c>
      <c r="F15" s="101">
        <v>0.19525974369423979</v>
      </c>
    </row>
    <row r="16" spans="1:8" ht="15.75" customHeight="1" x14ac:dyDescent="0.25">
      <c r="B16" s="19" t="s">
        <v>2</v>
      </c>
      <c r="C16" s="101">
        <v>2.722073044841733E-2</v>
      </c>
      <c r="D16" s="101">
        <v>2.722073044841733E-2</v>
      </c>
      <c r="E16" s="101">
        <v>2.722073044841733E-2</v>
      </c>
      <c r="F16" s="101">
        <v>2.722073044841733E-2</v>
      </c>
    </row>
    <row r="17" spans="1:8" ht="15.75" customHeight="1" x14ac:dyDescent="0.25">
      <c r="B17" s="19" t="s">
        <v>90</v>
      </c>
      <c r="C17" s="101">
        <v>4.6405501980126163E-2</v>
      </c>
      <c r="D17" s="101">
        <v>4.6405501980126163E-2</v>
      </c>
      <c r="E17" s="101">
        <v>4.6405501980126163E-2</v>
      </c>
      <c r="F17" s="101">
        <v>4.6405501980126163E-2</v>
      </c>
    </row>
    <row r="18" spans="1:8" ht="15.75" customHeight="1" x14ac:dyDescent="0.25">
      <c r="B18" s="19" t="s">
        <v>3</v>
      </c>
      <c r="C18" s="101">
        <v>0.30288838111377808</v>
      </c>
      <c r="D18" s="101">
        <v>0.30288838111377808</v>
      </c>
      <c r="E18" s="101">
        <v>0.30288838111377808</v>
      </c>
      <c r="F18" s="101">
        <v>0.30288838111377808</v>
      </c>
    </row>
    <row r="19" spans="1:8" ht="15.75" customHeight="1" x14ac:dyDescent="0.25">
      <c r="B19" s="19" t="s">
        <v>101</v>
      </c>
      <c r="C19" s="101">
        <v>1.283837375823718E-2</v>
      </c>
      <c r="D19" s="101">
        <v>1.283837375823718E-2</v>
      </c>
      <c r="E19" s="101">
        <v>1.283837375823718E-2</v>
      </c>
      <c r="F19" s="101">
        <v>1.283837375823718E-2</v>
      </c>
    </row>
    <row r="20" spans="1:8" ht="15.75" customHeight="1" x14ac:dyDescent="0.25">
      <c r="B20" s="19" t="s">
        <v>79</v>
      </c>
      <c r="C20" s="101">
        <v>2.0584470768969271E-2</v>
      </c>
      <c r="D20" s="101">
        <v>2.0584470768969271E-2</v>
      </c>
      <c r="E20" s="101">
        <v>2.0584470768969271E-2</v>
      </c>
      <c r="F20" s="101">
        <v>2.0584470768969271E-2</v>
      </c>
    </row>
    <row r="21" spans="1:8" ht="15.75" customHeight="1" x14ac:dyDescent="0.25">
      <c r="B21" s="19" t="s">
        <v>88</v>
      </c>
      <c r="C21" s="101">
        <v>4.3581722040455448E-2</v>
      </c>
      <c r="D21" s="101">
        <v>4.3581722040455448E-2</v>
      </c>
      <c r="E21" s="101">
        <v>4.3581722040455448E-2</v>
      </c>
      <c r="F21" s="101">
        <v>4.3581722040455448E-2</v>
      </c>
    </row>
    <row r="22" spans="1:8" ht="15.75" customHeight="1" x14ac:dyDescent="0.25">
      <c r="B22" s="19" t="s">
        <v>99</v>
      </c>
      <c r="C22" s="101">
        <v>9.0741460776234198E-2</v>
      </c>
      <c r="D22" s="101">
        <v>9.0741460776234198E-2</v>
      </c>
      <c r="E22" s="101">
        <v>9.0741460776234198E-2</v>
      </c>
      <c r="F22" s="101">
        <v>9.0741460776234198E-2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8.6847340999999995E-2</v>
      </c>
    </row>
    <row r="27" spans="1:8" ht="15.75" customHeight="1" x14ac:dyDescent="0.25">
      <c r="B27" s="19" t="s">
        <v>89</v>
      </c>
      <c r="C27" s="101">
        <v>8.4805239999999997E-3</v>
      </c>
    </row>
    <row r="28" spans="1:8" ht="15.75" customHeight="1" x14ac:dyDescent="0.25">
      <c r="B28" s="19" t="s">
        <v>103</v>
      </c>
      <c r="C28" s="101">
        <v>0.15529126400000001</v>
      </c>
    </row>
    <row r="29" spans="1:8" ht="15.75" customHeight="1" x14ac:dyDescent="0.25">
      <c r="B29" s="19" t="s">
        <v>86</v>
      </c>
      <c r="C29" s="101">
        <v>0.168382743</v>
      </c>
    </row>
    <row r="30" spans="1:8" ht="15.75" customHeight="1" x14ac:dyDescent="0.25">
      <c r="B30" s="19" t="s">
        <v>4</v>
      </c>
      <c r="C30" s="101">
        <v>0.105182391</v>
      </c>
    </row>
    <row r="31" spans="1:8" ht="15.75" customHeight="1" x14ac:dyDescent="0.25">
      <c r="B31" s="19" t="s">
        <v>80</v>
      </c>
      <c r="C31" s="101">
        <v>0.10869061100000001</v>
      </c>
    </row>
    <row r="32" spans="1:8" ht="15.75" customHeight="1" x14ac:dyDescent="0.25">
      <c r="B32" s="19" t="s">
        <v>85</v>
      </c>
      <c r="C32" s="101">
        <v>1.8206013E-2</v>
      </c>
    </row>
    <row r="33" spans="2:3" ht="15.75" customHeight="1" x14ac:dyDescent="0.25">
      <c r="B33" s="19" t="s">
        <v>100</v>
      </c>
      <c r="C33" s="101">
        <v>8.4055170999999984E-2</v>
      </c>
    </row>
    <row r="34" spans="2:3" ht="15.75" customHeight="1" x14ac:dyDescent="0.25">
      <c r="B34" s="19" t="s">
        <v>87</v>
      </c>
      <c r="C34" s="101">
        <v>0.26486394200000002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gf/I+SHRATFhtBR5L5C+vmDD20q59PGDEELdODrvj/vYxA1CghApwhuqompF8G0GgWOG4AyVhRgIObfk+ac7Zw==" saltValue="AzSIrxrTrL3psT28oSBUW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0.45761689286760021</v>
      </c>
      <c r="D2" s="52">
        <f>IFERROR(1-_xlfn.NORM.DIST(_xlfn.NORM.INV(SUM(D4:D5), 0, 1) + 1, 0, 1, TRUE), "")</f>
        <v>0.45761689286760021</v>
      </c>
      <c r="E2" s="52">
        <f>IFERROR(1-_xlfn.NORM.DIST(_xlfn.NORM.INV(SUM(E4:E5), 0, 1) + 1, 0, 1, TRUE), "")</f>
        <v>0.39142740442980484</v>
      </c>
      <c r="F2" s="52">
        <f>IFERROR(1-_xlfn.NORM.DIST(_xlfn.NORM.INV(SUM(F4:F5), 0, 1) + 1, 0, 1, TRUE), "")</f>
        <v>0.2378010811852066</v>
      </c>
      <c r="G2" s="52">
        <f>IFERROR(1-_xlfn.NORM.DIST(_xlfn.NORM.INV(SUM(G4:G5), 0, 1) + 1, 0, 1, TRUE), "")</f>
        <v>0.216654585652856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0.35660460713239978</v>
      </c>
      <c r="D3" s="52">
        <f>IFERROR(_xlfn.NORM.DIST(_xlfn.NORM.INV(SUM(D4:D5), 0, 1) + 1, 0, 1, TRUE) - SUM(D4:D5), "")</f>
        <v>0.35660460713239978</v>
      </c>
      <c r="E3" s="52">
        <f>IFERROR(_xlfn.NORM.DIST(_xlfn.NORM.INV(SUM(E4:E5), 0, 1) + 1, 0, 1, TRUE) - SUM(E4:E5), "")</f>
        <v>0.37416229557019515</v>
      </c>
      <c r="F3" s="52">
        <f>IFERROR(_xlfn.NORM.DIST(_xlfn.NORM.INV(SUM(F4:F5), 0, 1) + 1, 0, 1, TRUE) - SUM(F4:F5), "")</f>
        <v>0.37499201881479338</v>
      </c>
      <c r="G3" s="52">
        <f>IFERROR(_xlfn.NORM.DIST(_xlfn.NORM.INV(SUM(G4:G5), 0, 1) + 1, 0, 1, TRUE) - SUM(G4:G5), "")</f>
        <v>0.369030214347144</v>
      </c>
    </row>
    <row r="4" spans="1:15" ht="15.75" customHeight="1" x14ac:dyDescent="0.25">
      <c r="B4" s="5" t="s">
        <v>110</v>
      </c>
      <c r="C4" s="45">
        <v>0.1224695</v>
      </c>
      <c r="D4" s="53">
        <v>0.1224695</v>
      </c>
      <c r="E4" s="53">
        <v>0.1556854</v>
      </c>
      <c r="F4" s="53">
        <v>0.2263136</v>
      </c>
      <c r="G4" s="53">
        <v>0.2057001</v>
      </c>
    </row>
    <row r="5" spans="1:15" ht="15.75" customHeight="1" x14ac:dyDescent="0.25">
      <c r="B5" s="5" t="s">
        <v>106</v>
      </c>
      <c r="C5" s="45">
        <v>6.3309000000000004E-2</v>
      </c>
      <c r="D5" s="53">
        <v>6.3309000000000004E-2</v>
      </c>
      <c r="E5" s="53">
        <v>7.87249E-2</v>
      </c>
      <c r="F5" s="53">
        <v>0.16089329999999999</v>
      </c>
      <c r="G5" s="53">
        <v>0.2086151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0.68241534048444352</v>
      </c>
      <c r="D8" s="52">
        <f>IFERROR(1-_xlfn.NORM.DIST(_xlfn.NORM.INV(SUM(D10:D11), 0, 1) + 1, 0, 1, TRUE), "")</f>
        <v>0.68241534048444352</v>
      </c>
      <c r="E8" s="52">
        <f>IFERROR(1-_xlfn.NORM.DIST(_xlfn.NORM.INV(SUM(E10:E11), 0, 1) + 1, 0, 1, TRUE), "")</f>
        <v>0.53988553147520657</v>
      </c>
      <c r="F8" s="52">
        <f>IFERROR(1-_xlfn.NORM.DIST(_xlfn.NORM.INV(SUM(F10:F11), 0, 1) + 1, 0, 1, TRUE), "")</f>
        <v>0.58750645353380182</v>
      </c>
      <c r="G8" s="52">
        <f>IFERROR(1-_xlfn.NORM.DIST(_xlfn.NORM.INV(SUM(G10:G11), 0, 1) + 1, 0, 1, TRUE), "")</f>
        <v>0.77117497347137087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0.24740625951555642</v>
      </c>
      <c r="D9" s="52">
        <f>IFERROR(_xlfn.NORM.DIST(_xlfn.NORM.INV(SUM(D10:D11), 0, 1) + 1, 0, 1, TRUE) - SUM(D10:D11), "")</f>
        <v>0.24740625951555642</v>
      </c>
      <c r="E9" s="52">
        <f>IFERROR(_xlfn.NORM.DIST(_xlfn.NORM.INV(SUM(E10:E11), 0, 1) + 1, 0, 1, TRUE) - SUM(E10:E11), "")</f>
        <v>0.32448006852479344</v>
      </c>
      <c r="F9" s="52">
        <f>IFERROR(_xlfn.NORM.DIST(_xlfn.NORM.INV(SUM(F10:F11), 0, 1) + 1, 0, 1, TRUE) - SUM(F10:F11), "")</f>
        <v>0.30147614646619819</v>
      </c>
      <c r="G9" s="52">
        <f>IFERROR(_xlfn.NORM.DIST(_xlfn.NORM.INV(SUM(G10:G11), 0, 1) + 1, 0, 1, TRUE) - SUM(G10:G11), "")</f>
        <v>0.18813392652862915</v>
      </c>
    </row>
    <row r="10" spans="1:15" ht="15.75" customHeight="1" x14ac:dyDescent="0.25">
      <c r="B10" s="5" t="s">
        <v>107</v>
      </c>
      <c r="C10" s="45">
        <v>4.6762400000000003E-2</v>
      </c>
      <c r="D10" s="53">
        <v>4.6762400000000003E-2</v>
      </c>
      <c r="E10" s="53">
        <v>0.1024866</v>
      </c>
      <c r="F10" s="53">
        <v>7.8577899999999992E-2</v>
      </c>
      <c r="G10" s="53">
        <v>3.1818300000000001E-2</v>
      </c>
    </row>
    <row r="11" spans="1:15" ht="15.75" customHeight="1" x14ac:dyDescent="0.25">
      <c r="B11" s="5" t="s">
        <v>119</v>
      </c>
      <c r="C11" s="45">
        <v>2.3415999999999999E-2</v>
      </c>
      <c r="D11" s="53">
        <v>2.3415999999999999E-2</v>
      </c>
      <c r="E11" s="53">
        <v>3.3147799999999998E-2</v>
      </c>
      <c r="F11" s="53">
        <v>3.2439500000000003E-2</v>
      </c>
      <c r="G11" s="53">
        <v>8.8728000000000001E-3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0.83953369649999998</v>
      </c>
      <c r="D14" s="54">
        <v>0.82410223475900002</v>
      </c>
      <c r="E14" s="54">
        <v>0.82410223475900002</v>
      </c>
      <c r="F14" s="54">
        <v>0.68824316440900002</v>
      </c>
      <c r="G14" s="54">
        <v>0.68824316440900002</v>
      </c>
      <c r="H14" s="45">
        <v>0.57799999999999996</v>
      </c>
      <c r="I14" s="55">
        <v>0.57799999999999996</v>
      </c>
      <c r="J14" s="55">
        <v>0.57799999999999996</v>
      </c>
      <c r="K14" s="55">
        <v>0.57799999999999996</v>
      </c>
      <c r="L14" s="45">
        <v>0.48799999999999999</v>
      </c>
      <c r="M14" s="55">
        <v>0.48799999999999999</v>
      </c>
      <c r="N14" s="55">
        <v>0.48799999999999999</v>
      </c>
      <c r="O14" s="55">
        <v>0.48799999999999999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0.35206181376206097</v>
      </c>
      <c r="D15" s="52">
        <f t="shared" si="0"/>
        <v>0.34559056855512571</v>
      </c>
      <c r="E15" s="52">
        <f t="shared" si="0"/>
        <v>0.34559056855512571</v>
      </c>
      <c r="F15" s="52">
        <f t="shared" si="0"/>
        <v>0.28861752396757179</v>
      </c>
      <c r="G15" s="52">
        <f t="shared" si="0"/>
        <v>0.28861752396757179</v>
      </c>
      <c r="H15" s="52">
        <f t="shared" si="0"/>
        <v>0.24238661199999997</v>
      </c>
      <c r="I15" s="52">
        <f t="shared" si="0"/>
        <v>0.24238661199999997</v>
      </c>
      <c r="J15" s="52">
        <f t="shared" si="0"/>
        <v>0.24238661199999997</v>
      </c>
      <c r="K15" s="52">
        <f t="shared" si="0"/>
        <v>0.24238661199999997</v>
      </c>
      <c r="L15" s="52">
        <f t="shared" si="0"/>
        <v>0.20464475199999999</v>
      </c>
      <c r="M15" s="52">
        <f t="shared" si="0"/>
        <v>0.20464475199999999</v>
      </c>
      <c r="N15" s="52">
        <f t="shared" si="0"/>
        <v>0.20464475199999999</v>
      </c>
      <c r="O15" s="52">
        <f t="shared" si="0"/>
        <v>0.20464475199999999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9iKtO21EK8a/LiRN/ldqzuR59Xcxln649Bi77wsQBkg/2GQnR1op3llhkbyNEoaDethHabvd1G7JeHnRugnNIA==" saltValue="EhAb8h0ThFM5r/mjcZWp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0.45345079999999999</v>
      </c>
      <c r="D2" s="53">
        <v>0.34070879999999998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0.35429680000000002</v>
      </c>
      <c r="D3" s="53">
        <v>0.35324159999999999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0.1616264</v>
      </c>
      <c r="D4" s="53">
        <v>0.28525210000000001</v>
      </c>
      <c r="E4" s="53">
        <v>0.96806420000000004</v>
      </c>
      <c r="F4" s="53">
        <v>0.5590465</v>
      </c>
      <c r="G4" s="53">
        <v>0</v>
      </c>
    </row>
    <row r="5" spans="1:7" x14ac:dyDescent="0.25">
      <c r="B5" s="3" t="s">
        <v>125</v>
      </c>
      <c r="C5" s="52">
        <v>3.0626E-2</v>
      </c>
      <c r="D5" s="52">
        <v>2.07975E-2</v>
      </c>
      <c r="E5" s="52">
        <f>1-SUM(E2:E4)</f>
        <v>3.1935799999999959E-2</v>
      </c>
      <c r="F5" s="52">
        <f>1-SUM(F2:F4)</f>
        <v>0.4409535</v>
      </c>
      <c r="G5" s="52">
        <f>1-SUM(G2:G4)</f>
        <v>1</v>
      </c>
    </row>
  </sheetData>
  <sheetProtection algorithmName="SHA-512" hashValue="fpagETUL3yVe/qD8nR37acInWYk240jCx9iH/7YXxNxRqG/kPISyS+zz51Dca/sk8UKzhYLv2+fBnEqXfXeMYg==" saltValue="PtF6OX37dbryIAxgzvig5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76Ok1+dtpE6bRzMORav1yVeHtY462lzP3MHxU8/CTgjTcKAZPR69/8R4IarVDK3QDIkl7w4wuVupg7KYuBl9g==" saltValue="FtPcn2J9MW35WMRa9dzeU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7lz2vf+OKouaVbC3UyizO9SmcDl9G6qxPOAktA5PagchS+VSwERzYFpSPjujjBOuvYmgLpX4NYqlF6juNu8K+w==" saltValue="PlJkOhJZnopvtl7ZMSXcI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84CLfqlrwFcCr9m3nr8D9H+nIhoJMTarq9hqcuvSbek7KXIrvq6n8YWNpGE1CXXD9eo7+fVriEoYRsJ6FWV4yg==" saltValue="jir95R1tmEb5ctIX8lf1J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qVKvhtl73euZu1JRLnKv299IuT9/WTadY0R+Nt2GFnpNd4EgpO7f/qr5OJ1I/fhP1rpVA8AiQCT0gKvYnVSCtA==" saltValue="1g7IvG83Oj/DxVNmVLDYF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45.474336039627488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0.17195999738539999</v>
      </c>
      <c r="C3" s="98">
        <v>0.95</v>
      </c>
      <c r="D3" s="56">
        <v>42.690808780825847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217.5673441622117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0.72655106276493753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0.30538290000000001</v>
      </c>
      <c r="C10" s="98">
        <v>0.95</v>
      </c>
      <c r="D10" s="56">
        <v>13.708520680846441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0.30538290000000001</v>
      </c>
      <c r="C11" s="98">
        <v>0.95</v>
      </c>
      <c r="D11" s="56">
        <v>13.708520680846441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0.30538290000000001</v>
      </c>
      <c r="C12" s="98">
        <v>0.95</v>
      </c>
      <c r="D12" s="56">
        <v>13.708520680846441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0.30538290000000001</v>
      </c>
      <c r="C13" s="98">
        <v>0.95</v>
      </c>
      <c r="D13" s="56">
        <v>13.708520680846441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0.30538290000000001</v>
      </c>
      <c r="C14" s="98">
        <v>0.95</v>
      </c>
      <c r="D14" s="56">
        <v>13.708520680846441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0.30538290000000001</v>
      </c>
      <c r="C15" s="98">
        <v>0.95</v>
      </c>
      <c r="D15" s="56">
        <v>13.708520680846441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0.67</v>
      </c>
      <c r="C16" s="98">
        <v>0.95</v>
      </c>
      <c r="D16" s="56">
        <v>0.44775725299200048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0.143035555555556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6.1726415088800002E-2</v>
      </c>
      <c r="C18" s="98">
        <v>0.95</v>
      </c>
      <c r="D18" s="56">
        <v>5.0749502759813003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0.46570679999999998</v>
      </c>
      <c r="C19" s="98">
        <v>0.95</v>
      </c>
      <c r="D19" s="56">
        <v>5.0749502759813003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0.12378939999999999</v>
      </c>
      <c r="C21" s="98">
        <v>0.95</v>
      </c>
      <c r="D21" s="56">
        <v>6.3462726393905529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23.484675418466331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4.5665474093235741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0.4677424218656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0.30538290000000001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19.70793869658976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0.36680256677680001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84.992956066465482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0.56999999999999995</v>
      </c>
      <c r="C31" s="98">
        <v>0.95</v>
      </c>
      <c r="D31" s="56">
        <v>1.9651733159984111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0.92770596430656782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0.56999999999999995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0.31096489999999999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0.45741510000000002</v>
      </c>
      <c r="C38" s="98">
        <v>0.95</v>
      </c>
      <c r="D38" s="56">
        <v>3.6378963707202279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+q1Ga24axR/K9Yc+RGbc7a2g0VTtI7VDYsYf5IwDTr0e40wo2u81FZdKVKq0AOURzPRJf9qjX0IxHhz4CiJklg==" saltValue="0c2y0xzVCWV08I1paZRv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naRlhPykJLi7TtKGRDQSUCo6hv8gR5XnC15FhoTx34D82q5b47ty7oxTFGu5sHc68rCqMqwymB+NTUPmO1HkA==" saltValue="bNHGeoVtCJGrajStP7Rtn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XjPzYLN3jI0OcgpmVK24a7TWQP9CQsQ7AMj4G2x4lddP2rC4mmu8KmRw7HxoJYJ73Q6fvoeQkWXTZ5I9c2FIMw==" saltValue="PMgQyC1CvvppPovVUr5Li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0.12158224000000001</v>
      </c>
      <c r="C3" s="21">
        <f>frac_mam_1_5months * 2.6</f>
        <v>0.12158224000000001</v>
      </c>
      <c r="D3" s="21">
        <f>frac_mam_6_11months * 2.6</f>
        <v>0.26646515999999998</v>
      </c>
      <c r="E3" s="21">
        <f>frac_mam_12_23months * 2.6</f>
        <v>0.20430253999999998</v>
      </c>
      <c r="F3" s="21">
        <f>frac_mam_24_59months * 2.6</f>
        <v>8.2727580000000009E-2</v>
      </c>
    </row>
    <row r="4" spans="1:6" ht="15.75" customHeight="1" x14ac:dyDescent="0.25">
      <c r="A4" s="3" t="s">
        <v>207</v>
      </c>
      <c r="B4" s="21">
        <f>frac_sam_1month * 2.6</f>
        <v>6.0881600000000001E-2</v>
      </c>
      <c r="C4" s="21">
        <f>frac_sam_1_5months * 2.6</f>
        <v>6.0881600000000001E-2</v>
      </c>
      <c r="D4" s="21">
        <f>frac_sam_6_11months * 2.6</f>
        <v>8.6184280000000002E-2</v>
      </c>
      <c r="E4" s="21">
        <f>frac_sam_12_23months * 2.6</f>
        <v>8.4342700000000007E-2</v>
      </c>
      <c r="F4" s="21">
        <f>frac_sam_24_59months * 2.6</f>
        <v>2.3069280000000001E-2</v>
      </c>
    </row>
  </sheetData>
  <sheetProtection algorithmName="SHA-512" hashValue="AnOJrMYnz+UZ1hVdEAXE/YBYgEpFYOJSHfmgywCjwp6BsVB4bgXiJepigUKzX3vceBzLFaFQD0cx0KHCS53khw==" saltValue="VOop5HRUkN7eu0gNLa5lo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0.53500000000000003</v>
      </c>
      <c r="E2" s="60">
        <f>food_insecure</f>
        <v>0.53500000000000003</v>
      </c>
      <c r="F2" s="60">
        <f>food_insecure</f>
        <v>0.53500000000000003</v>
      </c>
      <c r="G2" s="60">
        <f>food_insecure</f>
        <v>0.53500000000000003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0.53500000000000003</v>
      </c>
      <c r="F5" s="60">
        <f>food_insecure</f>
        <v>0.53500000000000003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0.53500000000000003</v>
      </c>
      <c r="F8" s="60">
        <f>food_insecure</f>
        <v>0.53500000000000003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0.53500000000000003</v>
      </c>
      <c r="F9" s="60">
        <f>food_insecure</f>
        <v>0.53500000000000003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0.53500000000000003</v>
      </c>
      <c r="I15" s="60">
        <f>food_insecure</f>
        <v>0.53500000000000003</v>
      </c>
      <c r="J15" s="60">
        <f>food_insecure</f>
        <v>0.53500000000000003</v>
      </c>
      <c r="K15" s="60">
        <f>food_insecure</f>
        <v>0.53500000000000003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0.73699999999999999</v>
      </c>
      <c r="M24" s="60">
        <f>famplan_unmet_need</f>
        <v>0.73699999999999999</v>
      </c>
      <c r="N24" s="60">
        <f>famplan_unmet_need</f>
        <v>0.73699999999999999</v>
      </c>
      <c r="O24" s="60">
        <f>famplan_unmet_need</f>
        <v>0.73699999999999999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0.40596389547462008</v>
      </c>
      <c r="M25" s="60">
        <f>(1-food_insecure)*(0.49)+food_insecure*(0.7)</f>
        <v>0.60234999999999994</v>
      </c>
      <c r="N25" s="60">
        <f>(1-food_insecure)*(0.49)+food_insecure*(0.7)</f>
        <v>0.60234999999999994</v>
      </c>
      <c r="O25" s="60">
        <f>(1-food_insecure)*(0.49)+food_insecure*(0.7)</f>
        <v>0.60234999999999994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0.17398452663198</v>
      </c>
      <c r="M26" s="60">
        <f>(1-food_insecure)*(0.21)+food_insecure*(0.3)</f>
        <v>0.25814999999999999</v>
      </c>
      <c r="N26" s="60">
        <f>(1-food_insecure)*(0.21)+food_insecure*(0.3)</f>
        <v>0.25814999999999999</v>
      </c>
      <c r="O26" s="60">
        <f>(1-food_insecure)*(0.21)+food_insecure*(0.3)</f>
        <v>0.25814999999999999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9.4018367093400002E-2</v>
      </c>
      <c r="M27" s="60">
        <f>(1-food_insecure)*(0.3)</f>
        <v>0.13949999999999999</v>
      </c>
      <c r="N27" s="60">
        <f>(1-food_insecure)*(0.3)</f>
        <v>0.13949999999999999</v>
      </c>
      <c r="O27" s="60">
        <f>(1-food_insecure)*(0.3)</f>
        <v>0.13949999999999999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</v>
      </c>
      <c r="D34" s="60">
        <f t="shared" si="3"/>
        <v>0.99</v>
      </c>
      <c r="E34" s="60">
        <f t="shared" si="3"/>
        <v>0.99</v>
      </c>
      <c r="F34" s="60">
        <f t="shared" si="3"/>
        <v>0.99</v>
      </c>
      <c r="G34" s="60">
        <f t="shared" si="3"/>
        <v>0.99</v>
      </c>
      <c r="H34" s="60">
        <f t="shared" si="3"/>
        <v>0.99</v>
      </c>
      <c r="I34" s="60">
        <f t="shared" si="3"/>
        <v>0.99</v>
      </c>
      <c r="J34" s="60">
        <f t="shared" si="3"/>
        <v>0.99</v>
      </c>
      <c r="K34" s="60">
        <f t="shared" si="3"/>
        <v>0.99</v>
      </c>
      <c r="L34" s="60">
        <f t="shared" si="3"/>
        <v>0.99</v>
      </c>
      <c r="M34" s="60">
        <f t="shared" si="3"/>
        <v>0.99</v>
      </c>
      <c r="N34" s="60">
        <f t="shared" si="3"/>
        <v>0.99</v>
      </c>
      <c r="O34" s="60">
        <f t="shared" si="3"/>
        <v>0.99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84jsiHphG+BZc6v6oEbrEM1NjMxNjMwabCkQ1qDZlL42XWqHJGQysiumDNqpqx09KIH8IkWwJIc5KhrJP3b6UA==" saltValue="lPqIq/hLjLS+XrhXerkKY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DiG00sEfy5bMBKoXwWydc/voaS0u5edtRRmENv25paY7ZhogPOkq9sHwuWq1tZi8dqFV/41f9CGluEkmOWDVCg==" saltValue="k0G7ycJv+XQ9Ecvs4vh9z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bnrky/XACcB0hPSrxJoxXwBcAdQpqYnAtPWFZ6uUKt33H0scqyGMeL+3OvQ10OS5UIe3wLqGLzXP5kZmHmDNw==" saltValue="OsjIq2JPSRHCrsbPYIyUX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COZLlQ4wuW/8g1oVvFORckctIxD5adlTq/t4LOI0HBOiRQC8AcO22gpqT2ssvwSArSQHlhYuwTkKk3+OEssEA==" saltValue="s7E93gYulZhB+VLV3P8KN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ZbCTY/rGEoJ30wThnbDTMeoUKOwUsjflbBFJTMgY1IuSU3L3KHwIsbPgYQPcDOxHbsvDRnB/mOg8DCvkJcEfNA==" saltValue="joi6xDg31Go9LcxMGp6Xf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My8XfWVQQSicsydgJjpYir++Pi5N3pVjshyzi4RG7AsNvvMEgEnESqsabwStY8G3r1i2I9bHzA90Hlfmnn5z/g==" saltValue="8C9yvsPixFmcVFpdWQaQF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Nv97lb19/66qWuCzynFivPipP6b4j2IZVYpEG5QX2mxE0PQBcDrJViFHiU61kSY3Khzeg1kTCu6Z2OoXHODAhA==" saltValue="Oae4so99/rP3DQpSYLHE+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4eYnGayB+5lTZushPmU2ZE8AWqr4t2m2B6fsY4OLml5dfhjk5EtcOdnYsGSR3KxBT/0I5lk14trRIA6M4RUTg==" saltValue="UaWnvuoL+ZMnoj8opfXX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qMMCdwTFvfGsW92ilCtOsRuXCJUVJp7c9IYXpPwIRE6xfeVtCaG8fABZ9cHm5E7t/8Sj28yCUcDdQxZhTVc0A==" saltValue="NYq4h1ykEfrxmn9WH7Us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wvVkjwPaZkBZBy75bgd9tLLtP5TE5/C//Nb8BEK5U6XD3+cplRy8EF+kCGK4jFSWLX75vZjuvea2jzw10bZ9nQ==" saltValue="3SQ0es8eW17cWkj8txRt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cw4SFj0g2SyvbfGKTiMtCloKCLB9jnpKSHoPkqc/C3A8rwtQoYSV7tOFxhsdzfayZqOBtYgnhXC5koIfssy+4Q==" saltValue="hRVGVhECHrcKz32sUy2P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qIZdx3SBWBIl7dUcmpfTRIeK1P8VkoxVfj5gyHHj/wfTJAv7F0ICD1NYNmS4elkAyD6CA3kOsclILOlfhh0Lg==" saltValue="boR4lwcXD9Y8GTFzh+UF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f7e3N9ML+jmBkGE1bTg+ACLpAeGtKgU7rRnDGUSeBKnlciBhc5hVpCQxMXxdwpfcKFZhPI+wAO68pN8lRQvxw==" saltValue="I4J84K0MgM9bG826Fj6a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HF/kTCMjAdVaQLMdeFsF74kzGAeAjTwMDjyYLN3IBl0kJIAvg9Rz3wCbxEHMC7oKVy+1oCSOTZHZ72uCKAC0Rw==" saltValue="qiOePFoD1XY29h/VtlAC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HCQTlKbHeay+GML9VEgaUw/6XciRAda6vI8lGDYH+uHR9IqmXZZJc4TGy52UpGykeCqe1P6JfU9K5lgySMhqdA==" saltValue="AyX4J5zWeecaiaBTH+O1H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2024-05-16T23:52:53Z</dcterms:modified>
</cp:coreProperties>
</file>