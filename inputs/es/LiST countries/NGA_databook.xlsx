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2CD19FB-76C5-4662-AB47-E4F0D556571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5" i="2"/>
  <c r="I4" i="2"/>
  <c r="I8" i="2"/>
  <c r="I12" i="2"/>
  <c r="A36" i="2"/>
  <c r="A24" i="2"/>
  <c r="A37" i="2"/>
  <c r="I9" i="2"/>
  <c r="I13" i="2"/>
  <c r="I38" i="2"/>
  <c r="A26" i="2"/>
  <c r="I39" i="2"/>
  <c r="A31" i="2"/>
  <c r="A34" i="2"/>
  <c r="A40" i="2"/>
  <c r="I11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<sst xmlns="http://schemas.openxmlformats.org/spreadsheetml/2006/main" count="2169" uniqueCount="373">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</sst>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33829090</v>
      </c>
    </row>
    <row r="8" spans="1:3" ht="15" customHeight="1" x14ac:dyDescent="0.25">
      <c r="B8" s="5" t="s">
        <v>63</v>
      </c>
      <c r="C8" s="44">
        <v>0.34699999999999998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0.43430000000000002</v>
      </c>
    </row>
    <row r="25" spans="1:3" ht="15" customHeight="1" x14ac:dyDescent="0.25">
      <c r="B25" s="15" t="s">
        <v>66</v>
      </c>
      <c r="C25" s="45">
        <v>0.35899999999999999</v>
      </c>
    </row>
    <row r="26" spans="1:3" ht="15" customHeight="1" x14ac:dyDescent="0.25">
      <c r="B26" s="15" t="s">
        <v>67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0.19573648727283799</v>
      </c>
    </row>
    <row r="30" spans="1:3" ht="14.25" customHeight="1" x14ac:dyDescent="0.25">
      <c r="B30" s="25" t="s">
        <v>82</v>
      </c>
      <c r="C30" s="97">
        <v>6.6216535073416599E-2</v>
      </c>
    </row>
    <row r="31" spans="1:3" ht="14.25" customHeight="1" x14ac:dyDescent="0.25">
      <c r="B31" s="25" t="s">
        <v>29</v>
      </c>
      <c r="C31" s="97">
        <v>0.13435462918095001</v>
      </c>
    </row>
    <row r="32" spans="1:3" ht="14.25" customHeight="1" x14ac:dyDescent="0.25">
      <c r="B32" s="25" t="s">
        <v>30</v>
      </c>
      <c r="C32" s="97">
        <v>0.60369234847279496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34.921909999999997</v>
      </c>
    </row>
    <row r="38" spans="1:5" ht="15" customHeight="1" x14ac:dyDescent="0.25">
      <c r="B38" s="11" t="s">
        <v>54</v>
      </c>
      <c r="C38" s="43">
        <v>70.588530000000006</v>
      </c>
      <c r="D38" s="12"/>
      <c r="E38" s="13"/>
    </row>
    <row r="39" spans="1:5" ht="15" customHeight="1" x14ac:dyDescent="0.25">
      <c r="B39" s="11" t="s">
        <v>80</v>
      </c>
      <c r="C39" s="43">
        <v>110.81927</v>
      </c>
      <c r="D39" s="12"/>
      <c r="E39" s="12"/>
    </row>
    <row r="40" spans="1:5" ht="15" customHeight="1" x14ac:dyDescent="0.25">
      <c r="B40" s="11" t="s">
        <v>55</v>
      </c>
      <c r="C40" s="98">
        <v>10.47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78</v>
      </c>
      <c r="C47" s="45">
        <v>7.29717E-2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2.496</v>
      </c>
      <c r="D51" s="12"/>
    </row>
    <row r="52" spans="1:4" ht="15" customHeight="1" x14ac:dyDescent="0.25">
      <c r="B52" s="11" t="s">
        <v>32</v>
      </c>
      <c r="C52" s="98">
        <v>2.496</v>
      </c>
    </row>
    <row r="53" spans="1:4" ht="15.75" customHeight="1" x14ac:dyDescent="0.25">
      <c r="B53" s="11" t="s">
        <v>35</v>
      </c>
      <c r="C53" s="98">
        <v>5.226</v>
      </c>
    </row>
    <row r="54" spans="1:4" ht="15.75" customHeight="1" x14ac:dyDescent="0.25">
      <c r="B54" s="11" t="s">
        <v>33</v>
      </c>
      <c r="C54" s="98">
        <v>5.2519999999999998</v>
      </c>
    </row>
    <row r="55" spans="1:4" ht="15.75" customHeight="1" x14ac:dyDescent="0.25">
      <c r="B55" s="11" t="s">
        <v>34</v>
      </c>
      <c r="C55" s="98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0.419354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tztkZtfwPZxBYLJDw6m3BQEfrkkhqSchXxSGiVz9wE+i445QLBTuMm5sll49c6vwMoDZdE0Fo459wbh9v/ZMA==" saltValue="b/bmIRdxm44poOgT/pSO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rR2CgX4si1y4a0tDh3DVAtKKEdyw7vnp5b/Sd4t0YAKLHgxuNK4cJH+FftQ+tUQYkGJFbK1ZPo2yf+SJvSEig==" saltValue="+ABremwVTDx6CYD6M2Xy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2.3730299999999999E-2</v>
      </c>
    </row>
    <row r="4" spans="1:8" ht="15.75" customHeight="1" x14ac:dyDescent="0.25">
      <c r="B4" s="19" t="s">
        <v>116</v>
      </c>
      <c r="C4" s="99">
        <v>0.15361009999999989</v>
      </c>
    </row>
    <row r="5" spans="1:8" ht="15.75" customHeight="1" x14ac:dyDescent="0.25">
      <c r="B5" s="19" t="s">
        <v>114</v>
      </c>
      <c r="C5" s="99">
        <v>0.18025830000000001</v>
      </c>
    </row>
    <row r="6" spans="1:8" ht="15.75" customHeight="1" x14ac:dyDescent="0.25">
      <c r="B6" s="19" t="s">
        <v>110</v>
      </c>
      <c r="C6" s="99">
        <v>0.28443859999999987</v>
      </c>
    </row>
    <row r="7" spans="1:8" ht="15.75" customHeight="1" x14ac:dyDescent="0.25">
      <c r="B7" s="19" t="s">
        <v>115</v>
      </c>
      <c r="C7" s="99">
        <v>0.18089420000000009</v>
      </c>
    </row>
    <row r="8" spans="1:8" ht="15.75" customHeight="1" x14ac:dyDescent="0.25">
      <c r="B8" s="19" t="s">
        <v>117</v>
      </c>
      <c r="C8" s="99">
        <v>7.6880999999999998E-3</v>
      </c>
    </row>
    <row r="9" spans="1:8" ht="15.75" customHeight="1" x14ac:dyDescent="0.25">
      <c r="B9" s="19" t="s">
        <v>111</v>
      </c>
      <c r="C9" s="99">
        <v>4.4153200000000038E-2</v>
      </c>
    </row>
    <row r="10" spans="1:8" ht="15.75" customHeight="1" x14ac:dyDescent="0.25">
      <c r="B10" s="19" t="s">
        <v>113</v>
      </c>
      <c r="C10" s="99">
        <v>0.12522720000000001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121</v>
      </c>
      <c r="C15" s="99">
        <v>0.19525974369423979</v>
      </c>
      <c r="D15" s="99">
        <v>0.19525974369423979</v>
      </c>
      <c r="E15" s="99">
        <v>0.19525974369423979</v>
      </c>
      <c r="F15" s="99">
        <v>0.19525974369423979</v>
      </c>
    </row>
    <row r="16" spans="1:8" ht="15.75" customHeight="1" x14ac:dyDescent="0.25">
      <c r="B16" s="19" t="s">
        <v>2</v>
      </c>
      <c r="C16" s="99">
        <v>2.722073044841733E-2</v>
      </c>
      <c r="D16" s="99">
        <v>2.722073044841733E-2</v>
      </c>
      <c r="E16" s="99">
        <v>2.722073044841733E-2</v>
      </c>
      <c r="F16" s="99">
        <v>2.722073044841733E-2</v>
      </c>
    </row>
    <row r="17" spans="1:8" ht="15.75" customHeight="1" x14ac:dyDescent="0.25">
      <c r="B17" s="19" t="s">
        <v>109</v>
      </c>
      <c r="C17" s="99">
        <v>4.6405501980126163E-2</v>
      </c>
      <c r="D17" s="99">
        <v>4.6405501980126163E-2</v>
      </c>
      <c r="E17" s="99">
        <v>4.6405501980126163E-2</v>
      </c>
      <c r="F17" s="99">
        <v>4.6405501980126163E-2</v>
      </c>
    </row>
    <row r="18" spans="1:8" ht="15.75" customHeight="1" x14ac:dyDescent="0.25">
      <c r="B18" s="19" t="s">
        <v>3</v>
      </c>
      <c r="C18" s="99">
        <v>0.30288838111377808</v>
      </c>
      <c r="D18" s="99">
        <v>0.30288838111377808</v>
      </c>
      <c r="E18" s="99">
        <v>0.30288838111377808</v>
      </c>
      <c r="F18" s="99">
        <v>0.30288838111377808</v>
      </c>
    </row>
    <row r="19" spans="1:8" ht="15.75" customHeight="1" x14ac:dyDescent="0.25">
      <c r="B19" s="19" t="s">
        <v>120</v>
      </c>
      <c r="C19" s="99">
        <v>1.283837375823718E-2</v>
      </c>
      <c r="D19" s="99">
        <v>1.283837375823718E-2</v>
      </c>
      <c r="E19" s="99">
        <v>1.283837375823718E-2</v>
      </c>
      <c r="F19" s="99">
        <v>1.283837375823718E-2</v>
      </c>
    </row>
    <row r="20" spans="1:8" ht="15.75" customHeight="1" x14ac:dyDescent="0.25">
      <c r="B20" s="19" t="s">
        <v>98</v>
      </c>
      <c r="C20" s="99">
        <v>2.0584470768969271E-2</v>
      </c>
      <c r="D20" s="99">
        <v>2.0584470768969271E-2</v>
      </c>
      <c r="E20" s="99">
        <v>2.0584470768969271E-2</v>
      </c>
      <c r="F20" s="99">
        <v>2.0584470768969271E-2</v>
      </c>
    </row>
    <row r="21" spans="1:8" ht="15.75" customHeight="1" x14ac:dyDescent="0.25">
      <c r="B21" s="19" t="s">
        <v>107</v>
      </c>
      <c r="C21" s="99">
        <v>4.3581722040455448E-2</v>
      </c>
      <c r="D21" s="99">
        <v>4.3581722040455448E-2</v>
      </c>
      <c r="E21" s="99">
        <v>4.3581722040455448E-2</v>
      </c>
      <c r="F21" s="99">
        <v>4.3581722040455448E-2</v>
      </c>
    </row>
    <row r="22" spans="1:8" ht="15.75" customHeight="1" x14ac:dyDescent="0.25">
      <c r="B22" s="19" t="s">
        <v>118</v>
      </c>
      <c r="C22" s="99">
        <v>9.0741460776234198E-2</v>
      </c>
      <c r="D22" s="99">
        <v>9.0741460776234198E-2</v>
      </c>
      <c r="E22" s="99">
        <v>9.0741460776234198E-2</v>
      </c>
      <c r="F22" s="99">
        <v>9.0741460776234198E-2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8.6847340999999995E-2</v>
      </c>
    </row>
    <row r="27" spans="1:8" ht="15.75" customHeight="1" x14ac:dyDescent="0.25">
      <c r="B27" s="19" t="s">
        <v>108</v>
      </c>
      <c r="C27" s="99">
        <v>8.4805239999999997E-3</v>
      </c>
    </row>
    <row r="28" spans="1:8" ht="15.75" customHeight="1" x14ac:dyDescent="0.25">
      <c r="B28" s="19" t="s">
        <v>122</v>
      </c>
      <c r="C28" s="99">
        <v>0.15529126400000001</v>
      </c>
    </row>
    <row r="29" spans="1:8" ht="15.75" customHeight="1" x14ac:dyDescent="0.25">
      <c r="B29" s="19" t="s">
        <v>105</v>
      </c>
      <c r="C29" s="99">
        <v>0.168382743</v>
      </c>
    </row>
    <row r="30" spans="1:8" ht="15.75" customHeight="1" x14ac:dyDescent="0.25">
      <c r="B30" s="19" t="s">
        <v>4</v>
      </c>
      <c r="C30" s="99">
        <v>0.105182391</v>
      </c>
    </row>
    <row r="31" spans="1:8" ht="15.75" customHeight="1" x14ac:dyDescent="0.25">
      <c r="B31" s="19" t="s">
        <v>99</v>
      </c>
      <c r="C31" s="99">
        <v>0.10869061100000001</v>
      </c>
    </row>
    <row r="32" spans="1:8" ht="15.75" customHeight="1" x14ac:dyDescent="0.25">
      <c r="B32" s="19" t="s">
        <v>104</v>
      </c>
      <c r="C32" s="99">
        <v>1.8206013E-2</v>
      </c>
    </row>
    <row r="33" spans="2:3" ht="15.75" customHeight="1" x14ac:dyDescent="0.25">
      <c r="B33" s="19" t="s">
        <v>119</v>
      </c>
      <c r="C33" s="99">
        <v>8.4055170999999984E-2</v>
      </c>
    </row>
    <row r="34" spans="2:3" ht="15.75" customHeight="1" x14ac:dyDescent="0.25">
      <c r="B34" s="19" t="s">
        <v>106</v>
      </c>
      <c r="C34" s="99">
        <v>0.26486394200000002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+BlzlAx+3CXWVIpjD0j4Lck9rawtCK1Od9W4w/hOZ7TpLUHIdbNFIpjzf4GVe6dQ+aNGvaoSk7qsJvF4Amkv2A==" saltValue="5pTt0pNSzT5iOIqjErHx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129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125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126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3lPBCWUF31L/zlmvduf1/vtNixdLqNkdTjeF5ZtaBuMor8fE6Kzwugsg7usOlwOH1v2m24ghD1sQ4M4lfycAg==" saltValue="jtaaIHXUOF6VVmJxfGp7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xM69RggV2n8z6+uyjqyHtHRIxCS8vgHE9XMs7FgAr6G5sxEweh+lAwBUcrNwYulUBFuY4dpWAVzS95FB/DkGwQ==" saltValue="vhW07NsHRXuUmJ/qTshG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Cxq0ckq/miUhwfq69CSalTp6rNPz0nXzISaDHi8XM4eGsPOD5bxCDb56g6ecxsCXhiKDZ1U1evHb/+h8+5DhQ==" saltValue="YK36uWn4Vy/XCiLlxuA3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2162.6337342857701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0.73170000000000002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0.52051999999999998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3.3912386411708711E-2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88422.538709999993</v>
      </c>
      <c r="C22" s="107">
        <v>87226.787559999997</v>
      </c>
      <c r="D22" s="107">
        <v>86538.226389999996</v>
      </c>
      <c r="E22" s="107">
        <v>86111.950809999995</v>
      </c>
      <c r="F22" s="107">
        <v>85538.345270000005</v>
      </c>
      <c r="G22" s="107">
        <v>84749.25851</v>
      </c>
      <c r="H22" s="107">
        <v>83658.288230000006</v>
      </c>
      <c r="I22" s="107">
        <v>82150.630879999997</v>
      </c>
      <c r="J22" s="107">
        <v>80168.866670000003</v>
      </c>
      <c r="K22" s="107">
        <v>77606.609169999996</v>
      </c>
      <c r="L22" s="107">
        <v>74211.917189999993</v>
      </c>
      <c r="M22" s="107">
        <v>69716.573009999993</v>
      </c>
      <c r="N22" s="107">
        <v>63368.950949999999</v>
      </c>
      <c r="O22" s="107">
        <v>54954.193579999999</v>
      </c>
    </row>
  </sheetData>
  <sheetProtection algorithmName="SHA-512" hashValue="O6XEaGfHVfcnH4NyV+FqsCS1ZECCwKY6p8StRWRjEjkeQLlHd9/TESqlWVOIhcSTk4Go+iRZ5XWz1yWlbeIl2A==" saltValue="KBkQKliBCC83Cr1mmmdl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MIfGQLxdN3yLIVatU09jHxuvWD5Xt6ioTtGNy+NM3QWoiGAkspYnrIY4iPHIIXZ3vIEUFglAv8Hoh6ABvpAPQ==" saltValue="ktKOdbNqbdw9R33fiwc7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UbSQHQoFQh/k81nVE7msS4Op05kP/TFlzRyPgoK5420j9Zb9lVTbNiP/7tU6jKjLyXy5UTrO8enVaew4Ndtcg==" saltValue="5bDVInaXxlIVOZAq+5Jw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0.5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7.0000000000000007E-2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0.30538290000000001</v>
      </c>
      <c r="C10" s="96">
        <v>0.95</v>
      </c>
      <c r="D10" s="56">
        <v>13.708520680846441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13.708520680846441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13.708520680846441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13.708520680846441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0.30538290000000001</v>
      </c>
      <c r="C14" s="96">
        <v>0.95</v>
      </c>
      <c r="D14" s="56">
        <v>13.708520680846441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13.708520680846441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0.51234469999999999</v>
      </c>
      <c r="C16" s="96">
        <v>0.95</v>
      </c>
      <c r="D16" s="56">
        <v>0.89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0.143035555555556</v>
      </c>
      <c r="C17" s="96">
        <v>0.95</v>
      </c>
      <c r="D17" s="56">
        <v>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0.21</v>
      </c>
      <c r="C18" s="96">
        <v>0.95</v>
      </c>
      <c r="D18" s="56">
        <v>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0.34070879999999998</v>
      </c>
      <c r="C19" s="96">
        <v>0.95</v>
      </c>
      <c r="D19" s="56">
        <v>6.4278423769884219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1.23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0.5148045</v>
      </c>
      <c r="C23" s="96">
        <v>0.95</v>
      </c>
      <c r="D23" s="56">
        <v>4.5665474093235741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0.35049825564319997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0.30538290000000001</v>
      </c>
      <c r="C26" s="96">
        <v>0.95</v>
      </c>
      <c r="D26" s="56">
        <v>6.4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3.99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0.45741510000000002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0.31096489999999999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44.58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5.8200000000000002E-2</v>
      </c>
      <c r="C31" s="96">
        <v>0.95</v>
      </c>
      <c r="D31" s="56">
        <v>105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0.67</v>
      </c>
      <c r="C32" s="96">
        <v>0.95</v>
      </c>
      <c r="D32" s="56">
        <v>0.38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0.31078828685069099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0.54565930000000007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8.4545999999999996E-3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0.12378939999999999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0.40255580000000002</v>
      </c>
      <c r="C38" s="96">
        <v>0.95</v>
      </c>
      <c r="D38" s="56">
        <v>1.3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0.55000000000000004</v>
      </c>
      <c r="E39" s="56" t="s">
        <v>212</v>
      </c>
      <c r="F39" s="96">
        <v>1</v>
      </c>
      <c r="G39" s="96">
        <v>1</v>
      </c>
    </row>
  </sheetData>
  <sheetProtection algorithmName="SHA-512" hashValue="SyOuRTFj9buc87DsTtd+kvODwrXyq4tX5Y3VXV2e+m9GGAsI7f0kEWQTT3yFbhkb7JRNv6wMaiDjKskqHG+X2Q==" saltValue="pnnvzB9xecHVV/wr2OPB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aUs+aDEicYnlOvtc9m8huqO3SNtqUD+gqaBb093pyuA4paYDOlfPGzwracjjcI+Sjc3rv6V+tThtkgIjPpWeQ==" saltValue="Ck6typXCyPxR1F1Ay/pc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k//H2UFkaZ7uV3Rk/o/7FGRJrUHX6mNhLlGCHQ4SmJ3ckKaCJPNu53s/l0m7/gEURBz2UDcBL58Be3DfLkSOg==" saltValue="kD/SPm2fx9tc0jUUKuPX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2.496</v>
      </c>
      <c r="C2" s="21">
        <f>'Entradas de población-año base'!C52</f>
        <v>2.496</v>
      </c>
      <c r="D2" s="21">
        <f>'Entradas de población-año base'!C53</f>
        <v>5.226</v>
      </c>
      <c r="E2" s="21">
        <f>'Entradas de población-año base'!C54</f>
        <v>5.2519999999999998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236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yEtt81gn7kC5BSSOu56oW48zwHjH14mm0LvRa6VGeDp5/9aluzX26LkiQRkbPs3tBJCYiZa0rSfZewh1bOSVdQ==" saltValue="tHxCtA6ZosUMSUn865SN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rW9nXShV3Zpqa2qXK3cbM6BWaRdlBJcyRaoN/ORjoJQW2c0aoDMnUTjPzdS/x5nArA2qSrhuBgvFU2XP2Qk3g==" saltValue="O6KmraRvW+lvBIRjURfE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G3CdmKcPAXLcrZNdXzxQ6SsvO/WM1AFj0tenbFRn1n9t0IwS/ywFz1YPNiNNALG0EX/58XkB/Ob+TziZQu3vA==" saltValue="hAiUgVSrKiudM2RknQVx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e+4MhxOedBny23UxV6Krj16YIQ4WjCn+ba5S5oJ2/7jt51rz0p7i3azxphDfZry15SfpJUzGuubk6M2FGAv/g==" saltValue="oCqPXJTm4jFk9gkpel7m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Cn6Hst93EPrVJgBHMrxy7K6+TaYI68YREclVGM9uMX82L0Jlp1oKwIsomZ71Xh3W84+ESYWLi4mNRlCp8EB/w==" saltValue="Ol39FspGHfbCtOR1COLt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m5uEu8iZ4xSswZ+hTBhKL5OvNy3TVTweS6eIh4VU/9Kef+MPiwqIGpmtfAkhBrDarXDpvNCFbleEEh4VtDgVw==" saltValue="u06gBz7z/rNgjT6BNH8v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aMFpsOX96WEMQb9bYI/imzUdFXVCZ86jXxvjpPo8LG+uzS3VCjFaLRe079SmbSB6jKHq3UEUhIxlGPW0A74IA==" saltValue="nfVaHC1f8ObP3rnbEMbg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Em+leHnEhUMzp/dZLwDvvxzpcT9boVQbJuZPPCb9g95HjN1RqgzeLpS2GoOeNDKRaSXJbdS2eMdBd2lQkizGA==" saltValue="pLGlZQ6twxx0CyFjmEHK9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ibtLgs4tdA9lwOKG1/D+sJdboi4CoA+M8U+5jnJKlEXg9xnVk9KiIHzCKUQGNyPh/FH7zwoqfwur2pfI7NILg==" saltValue="6YIXKH30zlPPvo3ZHyJf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OZ48/RBheiaPJ4eSLNJ5m/KFY2z2YwzU3DYgm+IymQGXkicxiQlT6Mog4NJatUAdAONPwpWh6pMvH0G9b29Eg==" saltValue="gQVxW74ZOQGQdRKwduE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zMWq8CjAgeAiEuDI9v+LSQiaF7W7GVxvwQfZLSDRcqSuOhQ0zlT5vlAyfTV2Ih2q2THNBgi+Mt8wCWjj7yvIA==" saltValue="kHpodAQ1mbIwdQyoUYXz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EkeRPBK77gBon/LtgwCjM2E6EzLNXuQ9lqlu0wwVYhNlHO3cGiJe2L44ykbvdHLzudvmq5Ag17f/gPYlNH0HQ==" saltValue="3NTbXkS0Zqf+5xbthhvD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GTTTGHqdGNnxvYTb1kudYv8ybuZfdUQUq6fd1LrIuJ+a/T/N407XG2qXm3hrJgFJWyZe7g6hKcAVqN9uI2B3A==" saltValue="AH16oXjflzW2U+joYqUb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B0n+GYcFrFLqqPXqDXJOzG/FKSqHYG6CrOOrUCwuKKDPBeJ5GHDefXZxVnSYsGE1f9SdQkNJ91GiuT1Mksf1Q==" saltValue="LAtBiiQF2ZJgPV58iVDU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Id/wDjZLPbE51kfEiG9cq8MWCtXLemfEfEuB3n925T/fcAB7yvcQgP46Kp9a5boZoBl8N8WnTkgBaks3f1eNw==" saltValue="PB09IHhGt+sTJ15X8ix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sglYfVna4u9PgmorwDlPlWV/NRZP8yDxk6HbMXQLPgoJbSZ7agXfrfvmyiikvr49AzRwxSj9AvBzK4pUFWfbQ==" saltValue="lSyM/4zdQjxQ8+kUPcJYR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