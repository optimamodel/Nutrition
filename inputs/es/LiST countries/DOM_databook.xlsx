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76DE051-4C92-4D15-92E1-4776BE2BFF4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<sst xmlns="http://schemas.openxmlformats.org/spreadsheetml/2006/main" count="2102" uniqueCount="341">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</sst>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976081.4765625</v>
      </c>
    </row>
    <row r="8" spans="1:3" ht="15" customHeight="1" x14ac:dyDescent="0.25">
      <c r="B8" s="5" t="s">
        <v>44</v>
      </c>
      <c r="C8" s="44">
        <v>4.0000000000000001E-3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0.74188087463378904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0.19980000000000001</v>
      </c>
    </row>
    <row r="24" spans="1:3" ht="15" customHeight="1" x14ac:dyDescent="0.25">
      <c r="B24" s="15" t="s">
        <v>46</v>
      </c>
      <c r="C24" s="45">
        <v>0.54990000000000006</v>
      </c>
    </row>
    <row r="25" spans="1:3" ht="15" customHeight="1" x14ac:dyDescent="0.25">
      <c r="B25" s="15" t="s">
        <v>47</v>
      </c>
      <c r="C25" s="45">
        <v>0.2286</v>
      </c>
    </row>
    <row r="26" spans="1:3" ht="15" customHeight="1" x14ac:dyDescent="0.25">
      <c r="B26" s="15" t="s">
        <v>48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22.94744</v>
      </c>
    </row>
    <row r="38" spans="1:5" ht="15" customHeight="1" x14ac:dyDescent="0.25">
      <c r="B38" s="11" t="s">
        <v>35</v>
      </c>
      <c r="C38" s="43">
        <v>27.293320000000001</v>
      </c>
      <c r="D38" s="12"/>
      <c r="E38" s="13"/>
    </row>
    <row r="39" spans="1:5" ht="15" customHeight="1" x14ac:dyDescent="0.25">
      <c r="B39" s="11" t="s">
        <v>61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7.1934E-3</v>
      </c>
      <c r="D45" s="12"/>
    </row>
    <row r="46" spans="1:5" ht="15.75" customHeight="1" x14ac:dyDescent="0.25">
      <c r="B46" s="11" t="s">
        <v>51</v>
      </c>
      <c r="C46" s="45">
        <v>7.7292600000000003E-2</v>
      </c>
      <c r="D46" s="12"/>
    </row>
    <row r="47" spans="1:5" ht="15.75" customHeight="1" x14ac:dyDescent="0.25">
      <c r="B47" s="11" t="s">
        <v>59</v>
      </c>
      <c r="C47" s="45">
        <v>7.4160100000000007E-2</v>
      </c>
      <c r="D47" s="12"/>
      <c r="E47" s="13"/>
    </row>
    <row r="48" spans="1:5" ht="15" customHeight="1" x14ac:dyDescent="0.25">
      <c r="B48" s="11" t="s">
        <v>58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0.54774599999999996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0.11294179</v>
      </c>
    </row>
    <row r="63" spans="1:4" ht="15.75" customHeight="1" x14ac:dyDescent="0.3">
      <c r="A63" s="4"/>
    </row>
  </sheetData>
  <sheetProtection algorithmName="SHA-512" hashValue="vg8bt1MZi6kFcUOCcGmZR5MxjaWbWAuRYia6EdHPimJ9vFy3a9XPN2imvopXJC6GzHyrsfyUXmobs7FEWmIA3A==" saltValue="TpyevEJK/sHYzt5TILYO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199286</v>
      </c>
      <c r="C2" s="49">
        <v>574685.5</v>
      </c>
      <c r="D2" s="49">
        <v>924747.5</v>
      </c>
      <c r="E2" s="49">
        <v>848266.5</v>
      </c>
      <c r="F2" s="49">
        <v>618807</v>
      </c>
      <c r="G2" s="17">
        <f t="shared" ref="G2:G13" si="0">C2+D2+E2+F2</f>
        <v>2966506.5</v>
      </c>
      <c r="H2" s="17">
        <f t="shared" ref="H2:H13" si="1">(B2 + stillbirth*B2/(1000-stillbirth))/(1-abortion)</f>
        <v>229377.50407132352</v>
      </c>
      <c r="I2" s="17">
        <f t="shared" ref="I2:I13" si="2">G2-H2</f>
        <v>2737128.9959286763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196763</v>
      </c>
      <c r="C3" s="50">
        <v>578978.5</v>
      </c>
      <c r="D3" s="50">
        <v>921572.50000000012</v>
      </c>
      <c r="E3" s="50">
        <v>857041.5</v>
      </c>
      <c r="F3" s="50">
        <v>631056.5</v>
      </c>
      <c r="G3" s="17">
        <f t="shared" si="0"/>
        <v>2988649</v>
      </c>
      <c r="H3" s="17">
        <f t="shared" si="1"/>
        <v>226473.53970467483</v>
      </c>
      <c r="I3" s="17">
        <f t="shared" si="2"/>
        <v>2762175.4602953251</v>
      </c>
    </row>
    <row r="4" spans="1:9" ht="15.75" customHeight="1" x14ac:dyDescent="0.25">
      <c r="A4" s="5">
        <f t="shared" si="3"/>
        <v>2026</v>
      </c>
      <c r="B4" s="49">
        <v>195224</v>
      </c>
      <c r="C4" s="50">
        <v>584372.99999999988</v>
      </c>
      <c r="D4" s="50">
        <v>917752</v>
      </c>
      <c r="E4" s="50">
        <v>864820.99999999988</v>
      </c>
      <c r="F4" s="50">
        <v>642427</v>
      </c>
      <c r="G4" s="17">
        <f t="shared" si="0"/>
        <v>3009373</v>
      </c>
      <c r="H4" s="17">
        <f t="shared" si="1"/>
        <v>224702.15597091647</v>
      </c>
      <c r="I4" s="17">
        <f t="shared" si="2"/>
        <v>2784670.8440290834</v>
      </c>
    </row>
    <row r="5" spans="1:9" ht="15.75" customHeight="1" x14ac:dyDescent="0.25">
      <c r="A5" s="5">
        <f t="shared" si="3"/>
        <v>2027</v>
      </c>
      <c r="B5" s="49">
        <v>193545</v>
      </c>
      <c r="C5" s="50">
        <v>590099.5</v>
      </c>
      <c r="D5" s="50">
        <v>914244.5</v>
      </c>
      <c r="E5" s="50">
        <v>870898</v>
      </c>
      <c r="F5" s="50">
        <v>652907</v>
      </c>
      <c r="G5" s="17">
        <f t="shared" si="0"/>
        <v>3028149</v>
      </c>
      <c r="H5" s="17">
        <f t="shared" si="1"/>
        <v>222769.63271621845</v>
      </c>
      <c r="I5" s="17">
        <f t="shared" si="2"/>
        <v>2805379.3672837815</v>
      </c>
    </row>
    <row r="6" spans="1:9" ht="15.75" customHeight="1" x14ac:dyDescent="0.25">
      <c r="A6" s="5">
        <f t="shared" si="3"/>
        <v>2028</v>
      </c>
      <c r="B6" s="49">
        <v>192411</v>
      </c>
      <c r="C6" s="50">
        <v>594292.5</v>
      </c>
      <c r="D6" s="50">
        <v>913481</v>
      </c>
      <c r="E6" s="50">
        <v>874335</v>
      </c>
      <c r="F6" s="50">
        <v>663103</v>
      </c>
      <c r="G6" s="17">
        <f t="shared" si="0"/>
        <v>3045211.5</v>
      </c>
      <c r="H6" s="17">
        <f t="shared" si="1"/>
        <v>221464.40259660702</v>
      </c>
      <c r="I6" s="17">
        <f t="shared" si="2"/>
        <v>2823747.0974033931</v>
      </c>
    </row>
    <row r="7" spans="1:9" ht="15.75" customHeight="1" x14ac:dyDescent="0.25">
      <c r="A7" s="5">
        <f t="shared" si="3"/>
        <v>2029</v>
      </c>
      <c r="B7" s="49">
        <v>190496</v>
      </c>
      <c r="C7" s="50">
        <v>596116</v>
      </c>
      <c r="D7" s="50">
        <v>915194</v>
      </c>
      <c r="E7" s="50">
        <v>875765</v>
      </c>
      <c r="F7" s="50">
        <v>673393.5</v>
      </c>
      <c r="G7" s="17">
        <f t="shared" si="0"/>
        <v>3060468.5</v>
      </c>
      <c r="H7" s="17">
        <f t="shared" si="1"/>
        <v>219260.24414946782</v>
      </c>
      <c r="I7" s="17">
        <f t="shared" si="2"/>
        <v>2841208.2558505321</v>
      </c>
    </row>
    <row r="8" spans="1:9" ht="15.75" customHeight="1" x14ac:dyDescent="0.25">
      <c r="A8" s="5">
        <f t="shared" si="3"/>
        <v>2030</v>
      </c>
      <c r="B8" s="49">
        <v>189213</v>
      </c>
      <c r="C8" s="50">
        <v>596113</v>
      </c>
      <c r="D8" s="50">
        <v>917443.5</v>
      </c>
      <c r="E8" s="50">
        <v>876790.5</v>
      </c>
      <c r="F8" s="50">
        <v>684282.5</v>
      </c>
      <c r="G8" s="17">
        <f t="shared" si="0"/>
        <v>3074629.5</v>
      </c>
      <c r="H8" s="17">
        <f t="shared" si="1"/>
        <v>217783.51553971347</v>
      </c>
      <c r="I8" s="17">
        <f t="shared" si="2"/>
        <v>2856845.9844602863</v>
      </c>
    </row>
    <row r="9" spans="1:9" ht="15.75" customHeight="1" x14ac:dyDescent="0.25">
      <c r="A9" s="5">
        <f t="shared" si="3"/>
        <v>2031</v>
      </c>
      <c r="B9" s="49">
        <v>187724</v>
      </c>
      <c r="C9" s="50">
        <v>595226.50000000012</v>
      </c>
      <c r="D9" s="50">
        <v>919998.5</v>
      </c>
      <c r="E9" s="50">
        <v>877315</v>
      </c>
      <c r="F9" s="50">
        <v>695652.5</v>
      </c>
      <c r="G9" s="17">
        <f t="shared" si="0"/>
        <v>3088192.5</v>
      </c>
      <c r="H9" s="17">
        <f t="shared" si="1"/>
        <v>216069.68163486212</v>
      </c>
      <c r="I9" s="17">
        <f t="shared" si="2"/>
        <v>2872122.818365138</v>
      </c>
    </row>
    <row r="10" spans="1:9" ht="15.75" customHeight="1" x14ac:dyDescent="0.25">
      <c r="A10" s="5">
        <f t="shared" si="3"/>
        <v>2032</v>
      </c>
      <c r="B10" s="49">
        <v>186859</v>
      </c>
      <c r="C10" s="50">
        <v>594289.5</v>
      </c>
      <c r="D10" s="50">
        <v>923004</v>
      </c>
      <c r="E10" s="50">
        <v>876905</v>
      </c>
      <c r="F10" s="50">
        <v>706882.5</v>
      </c>
      <c r="G10" s="17">
        <f t="shared" si="0"/>
        <v>3101081</v>
      </c>
      <c r="H10" s="17">
        <f t="shared" si="1"/>
        <v>215074.06959477055</v>
      </c>
      <c r="I10" s="17">
        <f t="shared" si="2"/>
        <v>2886006.9304052293</v>
      </c>
    </row>
    <row r="11" spans="1:9" ht="15.75" customHeight="1" x14ac:dyDescent="0.25">
      <c r="A11" s="5">
        <f t="shared" si="3"/>
        <v>2033</v>
      </c>
      <c r="B11" s="49">
        <v>185274</v>
      </c>
      <c r="C11" s="50">
        <v>592887.49999999988</v>
      </c>
      <c r="D11" s="50">
        <v>926364.5</v>
      </c>
      <c r="E11" s="50">
        <v>875613</v>
      </c>
      <c r="F11" s="50">
        <v>717156</v>
      </c>
      <c r="G11" s="17">
        <f t="shared" si="0"/>
        <v>3112021</v>
      </c>
      <c r="H11" s="17">
        <f t="shared" si="1"/>
        <v>213249.74001841771</v>
      </c>
      <c r="I11" s="17">
        <f t="shared" si="2"/>
        <v>2898771.2599815824</v>
      </c>
    </row>
    <row r="12" spans="1:9" ht="15.75" customHeight="1" x14ac:dyDescent="0.25">
      <c r="A12" s="5">
        <f t="shared" si="3"/>
        <v>2034</v>
      </c>
      <c r="B12" s="49">
        <v>184479</v>
      </c>
      <c r="C12" s="50">
        <v>590198.5</v>
      </c>
      <c r="D12" s="50">
        <v>930236</v>
      </c>
      <c r="E12" s="50">
        <v>873477.5</v>
      </c>
      <c r="F12" s="50">
        <v>726508</v>
      </c>
      <c r="G12" s="17">
        <f t="shared" si="0"/>
        <v>3120420</v>
      </c>
      <c r="H12" s="17">
        <f t="shared" si="1"/>
        <v>212334.69773879595</v>
      </c>
      <c r="I12" s="17">
        <f t="shared" si="2"/>
        <v>2908085.302261204</v>
      </c>
    </row>
    <row r="13" spans="1:9" ht="15.75" customHeight="1" x14ac:dyDescent="0.25">
      <c r="A13" s="5">
        <f t="shared" si="3"/>
        <v>2035</v>
      </c>
      <c r="B13" s="49">
        <v>183478</v>
      </c>
      <c r="C13" s="50">
        <v>586491.5</v>
      </c>
      <c r="D13" s="50">
        <v>934685</v>
      </c>
      <c r="E13" s="50">
        <v>870904.5</v>
      </c>
      <c r="F13" s="50">
        <v>735640.5</v>
      </c>
      <c r="G13" s="17">
        <f t="shared" si="0"/>
        <v>3127721.5</v>
      </c>
      <c r="H13" s="17">
        <f t="shared" si="1"/>
        <v>211182.55016407726</v>
      </c>
      <c r="I13" s="17">
        <f t="shared" si="2"/>
        <v>2916538.9498359226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kWxOrI1LXvqPh1hEqfTxVR0JJuR69Bncmacw3Gd2Vm3tG5XwTQMDY59FtRbGS3LK3qqNDZzDZffA5hiymx42Q==" saltValue="db7n7AUlq+MsXsbK4Q1W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6.0485993951400526E-3</v>
      </c>
    </row>
    <row r="4" spans="1:8" ht="15.75" customHeight="1" x14ac:dyDescent="0.25">
      <c r="B4" s="19" t="s">
        <v>97</v>
      </c>
      <c r="C4" s="101">
        <v>4.9121595087840433E-2</v>
      </c>
    </row>
    <row r="5" spans="1:8" ht="15.75" customHeight="1" x14ac:dyDescent="0.25">
      <c r="B5" s="19" t="s">
        <v>95</v>
      </c>
      <c r="C5" s="101">
        <v>5.8054994194500588E-2</v>
      </c>
    </row>
    <row r="6" spans="1:8" ht="15.75" customHeight="1" x14ac:dyDescent="0.25">
      <c r="B6" s="19" t="s">
        <v>91</v>
      </c>
      <c r="C6" s="101">
        <v>0.2258224774177521</v>
      </c>
    </row>
    <row r="7" spans="1:8" ht="15.75" customHeight="1" x14ac:dyDescent="0.25">
      <c r="B7" s="19" t="s">
        <v>96</v>
      </c>
      <c r="C7" s="101">
        <v>0.41603395839660451</v>
      </c>
    </row>
    <row r="8" spans="1:8" ht="15.75" customHeight="1" x14ac:dyDescent="0.25">
      <c r="B8" s="19" t="s">
        <v>98</v>
      </c>
      <c r="C8" s="101">
        <v>7.6059992394000723E-4</v>
      </c>
    </row>
    <row r="9" spans="1:8" ht="15.75" customHeight="1" x14ac:dyDescent="0.25">
      <c r="B9" s="19" t="s">
        <v>92</v>
      </c>
      <c r="C9" s="101">
        <v>0.12002648799735111</v>
      </c>
    </row>
    <row r="10" spans="1:8" ht="15.75" customHeight="1" x14ac:dyDescent="0.25">
      <c r="B10" s="19" t="s">
        <v>94</v>
      </c>
      <c r="C10" s="101">
        <v>0.1241312875868712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102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2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79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99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5.8856121999999997E-2</v>
      </c>
    </row>
    <row r="27" spans="1:8" ht="15.75" customHeight="1" x14ac:dyDescent="0.25">
      <c r="B27" s="19" t="s">
        <v>89</v>
      </c>
      <c r="C27" s="101">
        <v>4.7339935000000007E-2</v>
      </c>
    </row>
    <row r="28" spans="1:8" ht="15.75" customHeight="1" x14ac:dyDescent="0.25">
      <c r="B28" s="19" t="s">
        <v>103</v>
      </c>
      <c r="C28" s="101">
        <v>4.6576617000000001E-2</v>
      </c>
    </row>
    <row r="29" spans="1:8" ht="15.75" customHeight="1" x14ac:dyDescent="0.25">
      <c r="B29" s="19" t="s">
        <v>86</v>
      </c>
      <c r="C29" s="101">
        <v>0.21685436999999999</v>
      </c>
    </row>
    <row r="30" spans="1:8" ht="15.75" customHeight="1" x14ac:dyDescent="0.25">
      <c r="B30" s="19" t="s">
        <v>4</v>
      </c>
      <c r="C30" s="101">
        <v>7.5345098999999999E-2</v>
      </c>
    </row>
    <row r="31" spans="1:8" ht="15.75" customHeight="1" x14ac:dyDescent="0.25">
      <c r="B31" s="19" t="s">
        <v>80</v>
      </c>
      <c r="C31" s="101">
        <v>9.5101964999999997E-2</v>
      </c>
    </row>
    <row r="32" spans="1:8" ht="15.75" customHeight="1" x14ac:dyDescent="0.25">
      <c r="B32" s="19" t="s">
        <v>85</v>
      </c>
      <c r="C32" s="101">
        <v>2.7365589999999999E-2</v>
      </c>
    </row>
    <row r="33" spans="2:3" ht="15.75" customHeight="1" x14ac:dyDescent="0.25">
      <c r="B33" s="19" t="s">
        <v>100</v>
      </c>
      <c r="C33" s="101">
        <v>0.17758110599999999</v>
      </c>
    </row>
    <row r="34" spans="2:3" ht="15.75" customHeight="1" x14ac:dyDescent="0.25">
      <c r="B34" s="19" t="s">
        <v>87</v>
      </c>
      <c r="C34" s="101">
        <v>0.25497919600000002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nMku6VmSIS3XGuUYEqyMNY69Gon2OF+w3CqgQLWXF0z6w3mhewLl1cS+abNCI9AkYqmmTW+8Y/9Frg33vFmMzg==" saltValue="og/NViz0l7sSo4JPJDy5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110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106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107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119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hlOPheJ9sVLgekf4v2OMSpS27RygtxykmwNu6Irt7Br7KHigdW9Wt5YgtgpY9v2lYIPzBq/Bo7ReoxtA7KE7A==" saltValue="wi0YbHZKRO2xGizXGrma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125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KN7MXHsgegUc0062QE+Wad5woV0wq+eKi4kP80CuzJf9UOwSc4HIQOl4874iJEBmKFAnO4EdXE+yx7YhfCg+Bg==" saltValue="rjJ4gFEPTKDUGiEWqPDgT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0SdZ7PcEzyL8oj+n7Z8HONx8BZF3/nIVYvKlUjeiYP96rcu0E1t5aiviTGS+bqyfs4eIu+aEG5SZJDuhsDCxw==" saltValue="8FZ5yJIqVMtjybR9v4ss5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w9BpXu+DqOjiUIi1NRPI4VXHJ8btW8QoD9dCAggsiPtG4FgbanotLYt2DN+OtArRWpFn7dym+2XjHTGeR3rDlA==" saltValue="NfJAniilw85kcK+38YKb5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2/aAnNuQlNGwycnchRK7AtzZ2jJbHKbP1XyLbhOyS+Z/QcAKutQ7saCetWJGdpRR82e5dYvi8f9Acnc9m9lNQ==" saltValue="5wPXt2FFFqyvgJNoa/pj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EkDqX8Y0pUuia/kguyLDns0BzDQDsHdhSrSBBbaQ3Mi5QJioj+8QTBwFmpV5EvZ88nx2WcT3s7MTqj2TAO8Aw==" saltValue="OsTbD75h0CLODgbUbaGR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74.474474607257392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0.52707542744394598</v>
      </c>
      <c r="C3" s="98">
        <v>0.95</v>
      </c>
      <c r="D3" s="56">
        <v>40.248726453010633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672.22235357576801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1.4548957086199481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0.81492059999999999</v>
      </c>
      <c r="C10" s="98">
        <v>0.95</v>
      </c>
      <c r="D10" s="56">
        <v>13.38102589680655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0.81492059999999999</v>
      </c>
      <c r="C11" s="98">
        <v>0.95</v>
      </c>
      <c r="D11" s="56">
        <v>13.38102589680655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0.81492059999999999</v>
      </c>
      <c r="C12" s="98">
        <v>0.95</v>
      </c>
      <c r="D12" s="56">
        <v>13.38102589680655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0.81492059999999999</v>
      </c>
      <c r="C13" s="98">
        <v>0.95</v>
      </c>
      <c r="D13" s="56">
        <v>13.38102589680655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0.81492059999999999</v>
      </c>
      <c r="C14" s="98">
        <v>0.95</v>
      </c>
      <c r="D14" s="56">
        <v>13.38102589680655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0.81492059999999999</v>
      </c>
      <c r="C15" s="98">
        <v>0.95</v>
      </c>
      <c r="D15" s="56">
        <v>13.38102589680655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0.99</v>
      </c>
      <c r="C16" s="98">
        <v>0.95</v>
      </c>
      <c r="D16" s="56">
        <v>1.087791696701897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0.22506840845062301</v>
      </c>
      <c r="C18" s="98">
        <v>0.95</v>
      </c>
      <c r="D18" s="56">
        <v>15.41953529560689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0.88681790000000005</v>
      </c>
      <c r="C19" s="98">
        <v>0.95</v>
      </c>
      <c r="D19" s="56">
        <v>15.41953529560689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0.80348219999999992</v>
      </c>
      <c r="C21" s="98">
        <v>0.95</v>
      </c>
      <c r="D21" s="56">
        <v>14.364074593948059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23.284771098275488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4.5098666953578306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0.95322034994027405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0.81492059999999999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18.944297777473771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0.78153990483881797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151.1814173381797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0.99377439103014453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2.3735892615904222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0.51067689999999999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0.53186440000000001</v>
      </c>
      <c r="C38" s="98">
        <v>0.95</v>
      </c>
      <c r="D38" s="56">
        <v>4.9763674348897871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tG4rWJ3Px1ds0cXHs6ry+N/Elj3vf8LDOsJX/tKI93A7qtcNWY0S+hqr/9j9cbVG/Xxeh9Jj+8X8/DceU/IkOA==" saltValue="Uk757KYpqnZ7mNlolBxO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34sfTxrTLziMjAb7tLJi79+hkqD7wZ+PSnZC5lIL/fAWSIn75Nkxy1t0UBDft0rmwZkSHuw9ev3x9BE9ypVvw==" saltValue="p8QIJLx7iPTyRNEJcDYN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V4GryEyYEwTvhPvWV1JoXJCm+04qlZiSJGocDc2uq7J5y/Et6qaZhGDHuoMOJQmVkPBQgmQDTWl3fDMyWN+mg==" saltValue="DFC46T/Xjv+6bpIp+4PC2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207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a+/T+H9xbU6EZto/4fM6zm3G7Ee2Op1580PNBSyJQlhfJiGJ2XiapcyOk5DAmNNHxP4exn4DbhY0gA9X5blSTw==" saltValue="NjnO9D0IDvLnN8JFFj7F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PPr9MJEvXFZqDEbUOEJanWAafjC9qrJfXOYhEPoH9xXcTvM1+BgA+McWfTlNwg/L8qvvCjBTSYh4WOg19QtAg==" saltValue="s2LQLteWCMbxzyRSZSTN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xWxrxDps+uG4KTWsT3N0InpDClAvU8kq6ccKmwCUp/3wf5AL/ebKcasqXs62KbGEMKwaYFiAmC8bz9/V7XFfg==" saltValue="CX61tpJ8xro+hGJ0DWM3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aAZOnIXEZxiEg11f0KgeNKGn8eGPAenGJdJjWAUBnv2cX0dAJg/Cz+8pepLOg0eNYhQckqNgbKqKs/Xh2GO9g==" saltValue="DYO097Tfyapc1WjIpCfO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6MGerzCKsG2gZVxNkvJQPKYw/GXR8BJnGP1u0npOrBixo0QBQ7JmC3x6i704dPK+0YUHzgOvHWEZg++9HDm6g==" saltValue="u5359gYMsWe57lr2+ZhH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EbbHTdJmnAQQxU1lGRO35EOVNVtqvJcc7dsh4NE/HPHkGpKZ/o1GLvmlRsQ2/zM4Sn3jXDtR8O/IGxsTvc9PA==" saltValue="bC2NdCa/WkjoSGCzXvZ32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dpi3FsVTILYIsu8h9EHU+NaR7La6p2FgECUvbEHLeoEViGZE/lBIkffZZCwN8IOcZIPtcVFWIbFZqD8JyQmPA==" saltValue="0xfnmivWaFVybNJHO11W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kjx16Hy+8UEGh3rUeSZwj+oxfeo4yavqCbd4ojrEDys8t+sU+/XYaV5LOBRIxhV7xYnUN2eVNvkvg/S89Wclw==" saltValue="R2rksXVT6R22v5NvbaGDq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nDF88ITIYg/Y3NQfsMVaT97eHtBXWdPAkuHfxaA2jA7lxygUdl5k72rRL5MIVOrhm5IO3HOFw4UuMoegdE3MA==" saltValue="fh5w0Rhqh0hy1kpjKWSI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EazRefyuEoIt+IPuUJ5NQExQyIFBklxalGVij4eVF959EwzkkiuKgKXitD2YExosUuKMyu//RLLWZDlILZfnA==" saltValue="rNcfsl1GhJQ7QvSRK1PF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SCsWIc2RyoP6q67fWGT6sjnEd+M5FHBxk4jV5JFIyGd0sFcibfTxEvNOLe5VE4OXC4wqk+RGYGVnwMSE/5Wxg==" saltValue="4AoLKpUL5be1hgShyK1x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Fv1K3g92EteqHJ57Z9nDPb+/2lJp6t7CZVCLmW3Wg+vkf+W7MSNi3C21EcYp5CHpA0Bcn/2JWw7fRKiAjBy5g==" saltValue="3sOBntsRzH8fsv6R8XOg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gqodEZS0ZZNnfYSXdAhMa/V6u1tS/fgwV27BmrtUnKvxFUC/PXItiHBXmuIc3HLFlorpkL2axual7aSElQBXw==" saltValue="SQ0X9vX/qeBIdqz7hqSt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RfkfL9IcoKWZIJy1U5VlS3lDozBJS0A0yf/ztDJhjrtdhE7ozTUPyoTNTALNmipQ2hFgi8oIom4dsbW4W4TjA==" saltValue="/hm0Vx+IDdIiLHK3gGEB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uPX3GIqqkkFJY52e4LkRW+IUBTQcfy9OwRENgLZt7tMx1UCsvPYs7aozKKAL/uKAZtYRBUfl5BhOTdQYLertg==" saltValue="KOpKcGIF9RZQJY/Mvw+L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avLXbDvA7bKh3zzr7Pq+Iy5wEz8cbfKOmc7+xrXcY/eCQIG6bet2CqBKqCnV3zP7DAKXEqOyKJO7/LxZXUZgw==" saltValue="TFRY6dkA/wJN4hMpcNu4t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2024-05-16T23:28:21Z</dcterms:modified>
</cp:coreProperties>
</file>