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F71AA43A-3386-4EF8-98BE-E08287BC1FB6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I39" i="2" s="1"/>
  <c r="H38" i="2"/>
  <c r="G38" i="2"/>
  <c r="I38" i="2" s="1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40" i="2" s="1"/>
  <c r="C33" i="1"/>
  <c r="C20" i="1"/>
  <c r="A15" i="2" l="1"/>
  <c r="A17" i="2"/>
  <c r="A23" i="2"/>
  <c r="A25" i="2"/>
  <c r="A31" i="2"/>
  <c r="A33" i="2"/>
  <c r="A16" i="2"/>
  <c r="A24" i="2"/>
  <c r="A32" i="2"/>
  <c r="A3" i="2"/>
  <c r="A5" i="2"/>
  <c r="A7" i="2"/>
  <c r="A18" i="2"/>
  <c r="A26" i="2"/>
  <c r="A34" i="2"/>
  <c r="A39" i="2"/>
  <c r="A19" i="2"/>
  <c r="A27" i="2"/>
  <c r="A35" i="2"/>
  <c r="A20" i="2"/>
  <c r="A28" i="2"/>
  <c r="A36" i="2"/>
  <c r="A21" i="2"/>
  <c r="A29" i="2"/>
  <c r="A37" i="2"/>
  <c r="A4" i="2"/>
  <c r="A6" i="2"/>
  <c r="A8" i="2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<sst xmlns="http://schemas.openxmlformats.org/spreadsheetml/2006/main" count="2101" uniqueCount="341">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</sst>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976081.4765625</v>
      </c>
    </row>
    <row r="8" spans="1:3" ht="15" customHeight="1" x14ac:dyDescent="0.25">
      <c r="B8" s="5" t="s">
        <v>44</v>
      </c>
      <c r="C8" s="44">
        <v>4.0000000000000001E-3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0.74188087463378904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0.159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0.19980000000000001</v>
      </c>
    </row>
    <row r="24" spans="1:3" ht="15" customHeight="1" x14ac:dyDescent="0.25">
      <c r="B24" s="15" t="s">
        <v>46</v>
      </c>
      <c r="C24" s="45">
        <v>0.54990000000000006</v>
      </c>
    </row>
    <row r="25" spans="1:3" ht="15" customHeight="1" x14ac:dyDescent="0.25">
      <c r="B25" s="15" t="s">
        <v>47</v>
      </c>
      <c r="C25" s="45">
        <v>0.2286</v>
      </c>
    </row>
    <row r="26" spans="1:3" ht="15" customHeight="1" x14ac:dyDescent="0.25">
      <c r="B26" s="15" t="s">
        <v>48</v>
      </c>
      <c r="C26" s="45">
        <v>2.1700000000000001E-2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0.38027698235904311</v>
      </c>
    </row>
    <row r="30" spans="1:3" ht="14.25" customHeight="1" x14ac:dyDescent="0.25">
      <c r="B30" s="25" t="s">
        <v>63</v>
      </c>
      <c r="C30" s="99">
        <v>5.4660418264349912E-2</v>
      </c>
    </row>
    <row r="31" spans="1:3" ht="14.25" customHeight="1" x14ac:dyDescent="0.25">
      <c r="B31" s="25" t="s">
        <v>10</v>
      </c>
      <c r="C31" s="99">
        <v>6.1967733026657798E-2</v>
      </c>
    </row>
    <row r="32" spans="1:3" ht="14.25" customHeight="1" x14ac:dyDescent="0.25">
      <c r="B32" s="25" t="s">
        <v>11</v>
      </c>
      <c r="C32" s="99">
        <v>0.50309486634994893</v>
      </c>
    </row>
    <row r="33" spans="1:5" ht="13" customHeight="1" x14ac:dyDescent="0.25">
      <c r="B33" s="27" t="s">
        <v>60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22.94744</v>
      </c>
    </row>
    <row r="38" spans="1:5" ht="15" customHeight="1" x14ac:dyDescent="0.25">
      <c r="B38" s="11" t="s">
        <v>35</v>
      </c>
      <c r="C38" s="43">
        <v>27.293320000000001</v>
      </c>
      <c r="D38" s="12"/>
      <c r="E38" s="13"/>
    </row>
    <row r="39" spans="1:5" ht="15" customHeight="1" x14ac:dyDescent="0.25">
      <c r="B39" s="11" t="s">
        <v>61</v>
      </c>
      <c r="C39" s="43">
        <v>33.002879999999998</v>
      </c>
      <c r="D39" s="12"/>
      <c r="E39" s="12"/>
    </row>
    <row r="40" spans="1:5" ht="15" customHeight="1" x14ac:dyDescent="0.25">
      <c r="B40" s="11" t="s">
        <v>36</v>
      </c>
      <c r="C40" s="100">
        <v>1.07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12.713279999999999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7.1934E-3</v>
      </c>
      <c r="D45" s="12"/>
    </row>
    <row r="46" spans="1:5" ht="15.75" customHeight="1" x14ac:dyDescent="0.25">
      <c r="B46" s="11" t="s">
        <v>51</v>
      </c>
      <c r="C46" s="45">
        <v>7.7292600000000003E-2</v>
      </c>
      <c r="D46" s="12"/>
    </row>
    <row r="47" spans="1:5" ht="15.75" customHeight="1" x14ac:dyDescent="0.25">
      <c r="B47" s="11" t="s">
        <v>59</v>
      </c>
      <c r="C47" s="45">
        <v>7.4160100000000007E-2</v>
      </c>
      <c r="D47" s="12"/>
      <c r="E47" s="13"/>
    </row>
    <row r="48" spans="1:5" ht="15" customHeight="1" x14ac:dyDescent="0.25">
      <c r="B48" s="11" t="s">
        <v>58</v>
      </c>
      <c r="C48" s="46">
        <v>0.84135389999999999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3.2</v>
      </c>
      <c r="D51" s="12"/>
    </row>
    <row r="52" spans="1:4" ht="15" customHeight="1" x14ac:dyDescent="0.25">
      <c r="B52" s="11" t="s">
        <v>13</v>
      </c>
      <c r="C52" s="100">
        <v>3.2</v>
      </c>
    </row>
    <row r="53" spans="1:4" ht="15.75" customHeight="1" x14ac:dyDescent="0.25">
      <c r="B53" s="11" t="s">
        <v>16</v>
      </c>
      <c r="C53" s="100">
        <v>3.2</v>
      </c>
    </row>
    <row r="54" spans="1:4" ht="15.75" customHeight="1" x14ac:dyDescent="0.25">
      <c r="B54" s="11" t="s">
        <v>14</v>
      </c>
      <c r="C54" s="100">
        <v>3.2</v>
      </c>
    </row>
    <row r="55" spans="1:4" ht="15.75" customHeight="1" x14ac:dyDescent="0.25">
      <c r="B55" s="11" t="s">
        <v>15</v>
      </c>
      <c r="C55" s="100">
        <v>3.2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1.9375E-2</v>
      </c>
    </row>
    <row r="59" spans="1:4" ht="15.75" customHeight="1" x14ac:dyDescent="0.25">
      <c r="B59" s="11" t="s">
        <v>40</v>
      </c>
      <c r="C59" s="45">
        <v>0.54774599999999996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0.11294179</v>
      </c>
    </row>
    <row r="63" spans="1:4" ht="15.75" customHeight="1" x14ac:dyDescent="0.3">
      <c r="A63" s="4"/>
    </row>
  </sheetData>
  <sheetProtection algorithmName="SHA-512" hashValue="jKVko9nW+Wrh4adwxhuU7FIJjctsKfTKLQ3Q1EpH60IVyUSSmne99jAER2jYUysg2oUDsVAdRTa950iTt0A5pw==" saltValue="cLpK6/Rixw5X25ewXCEq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199286</v>
      </c>
      <c r="C2" s="49">
        <v>574685.5</v>
      </c>
      <c r="D2" s="49">
        <v>924747.5</v>
      </c>
      <c r="E2" s="49">
        <v>848266.5</v>
      </c>
      <c r="F2" s="49">
        <v>618807</v>
      </c>
      <c r="G2" s="17">
        <f t="shared" ref="G2:G13" si="0">C2+D2+E2+F2</f>
        <v>2966506.5</v>
      </c>
      <c r="H2" s="17">
        <f t="shared" ref="H2:H13" si="1">(B2 + stillbirth*B2/(1000-stillbirth))/(1-abortion)</f>
        <v>229377.50407132352</v>
      </c>
      <c r="I2" s="17">
        <f t="shared" ref="I2:I13" si="2">G2-H2</f>
        <v>2737128.9959286763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196763</v>
      </c>
      <c r="C3" s="50">
        <v>578978.5</v>
      </c>
      <c r="D3" s="50">
        <v>921572.50000000012</v>
      </c>
      <c r="E3" s="50">
        <v>857041.5</v>
      </c>
      <c r="F3" s="50">
        <v>631056.5</v>
      </c>
      <c r="G3" s="17">
        <f t="shared" si="0"/>
        <v>2988649</v>
      </c>
      <c r="H3" s="17">
        <f t="shared" si="1"/>
        <v>226473.53970467483</v>
      </c>
      <c r="I3" s="17">
        <f t="shared" si="2"/>
        <v>2762175.4602953251</v>
      </c>
    </row>
    <row r="4" spans="1:9" ht="15.75" customHeight="1" x14ac:dyDescent="0.25">
      <c r="A4" s="5">
        <f t="shared" si="3"/>
        <v>2026</v>
      </c>
      <c r="B4" s="49">
        <v>195224</v>
      </c>
      <c r="C4" s="50">
        <v>584372.99999999988</v>
      </c>
      <c r="D4" s="50">
        <v>917752</v>
      </c>
      <c r="E4" s="50">
        <v>864820.99999999988</v>
      </c>
      <c r="F4" s="50">
        <v>642427</v>
      </c>
      <c r="G4" s="17">
        <f t="shared" si="0"/>
        <v>3009373</v>
      </c>
      <c r="H4" s="17">
        <f t="shared" si="1"/>
        <v>224702.15597091647</v>
      </c>
      <c r="I4" s="17">
        <f t="shared" si="2"/>
        <v>2784670.8440290834</v>
      </c>
    </row>
    <row r="5" spans="1:9" ht="15.75" customHeight="1" x14ac:dyDescent="0.25">
      <c r="A5" s="5">
        <f t="shared" si="3"/>
        <v>2027</v>
      </c>
      <c r="B5" s="49">
        <v>193545</v>
      </c>
      <c r="C5" s="50">
        <v>590099.5</v>
      </c>
      <c r="D5" s="50">
        <v>914244.5</v>
      </c>
      <c r="E5" s="50">
        <v>870898</v>
      </c>
      <c r="F5" s="50">
        <v>652907</v>
      </c>
      <c r="G5" s="17">
        <f t="shared" si="0"/>
        <v>3028149</v>
      </c>
      <c r="H5" s="17">
        <f t="shared" si="1"/>
        <v>222769.63271621845</v>
      </c>
      <c r="I5" s="17">
        <f t="shared" si="2"/>
        <v>2805379.3672837815</v>
      </c>
    </row>
    <row r="6" spans="1:9" ht="15.75" customHeight="1" x14ac:dyDescent="0.25">
      <c r="A6" s="5">
        <f t="shared" si="3"/>
        <v>2028</v>
      </c>
      <c r="B6" s="49">
        <v>192411</v>
      </c>
      <c r="C6" s="50">
        <v>594292.5</v>
      </c>
      <c r="D6" s="50">
        <v>913481</v>
      </c>
      <c r="E6" s="50">
        <v>874335</v>
      </c>
      <c r="F6" s="50">
        <v>663103</v>
      </c>
      <c r="G6" s="17">
        <f t="shared" si="0"/>
        <v>3045211.5</v>
      </c>
      <c r="H6" s="17">
        <f t="shared" si="1"/>
        <v>221464.40259660702</v>
      </c>
      <c r="I6" s="17">
        <f t="shared" si="2"/>
        <v>2823747.0974033931</v>
      </c>
    </row>
    <row r="7" spans="1:9" ht="15.75" customHeight="1" x14ac:dyDescent="0.25">
      <c r="A7" s="5">
        <f t="shared" si="3"/>
        <v>2029</v>
      </c>
      <c r="B7" s="49">
        <v>190496</v>
      </c>
      <c r="C7" s="50">
        <v>596116</v>
      </c>
      <c r="D7" s="50">
        <v>915194</v>
      </c>
      <c r="E7" s="50">
        <v>875765</v>
      </c>
      <c r="F7" s="50">
        <v>673393.5</v>
      </c>
      <c r="G7" s="17">
        <f t="shared" si="0"/>
        <v>3060468.5</v>
      </c>
      <c r="H7" s="17">
        <f t="shared" si="1"/>
        <v>219260.24414946782</v>
      </c>
      <c r="I7" s="17">
        <f t="shared" si="2"/>
        <v>2841208.2558505321</v>
      </c>
    </row>
    <row r="8" spans="1:9" ht="15.75" customHeight="1" x14ac:dyDescent="0.25">
      <c r="A8" s="5">
        <f t="shared" si="3"/>
        <v>2030</v>
      </c>
      <c r="B8" s="49">
        <v>189213</v>
      </c>
      <c r="C8" s="50">
        <v>596113</v>
      </c>
      <c r="D8" s="50">
        <v>917443.5</v>
      </c>
      <c r="E8" s="50">
        <v>876790.5</v>
      </c>
      <c r="F8" s="50">
        <v>684282.5</v>
      </c>
      <c r="G8" s="17">
        <f t="shared" si="0"/>
        <v>3074629.5</v>
      </c>
      <c r="H8" s="17">
        <f t="shared" si="1"/>
        <v>217783.51553971347</v>
      </c>
      <c r="I8" s="17">
        <f t="shared" si="2"/>
        <v>2856845.9844602863</v>
      </c>
    </row>
    <row r="9" spans="1:9" ht="15.75" customHeight="1" x14ac:dyDescent="0.25">
      <c r="A9" s="5">
        <f t="shared" si="3"/>
        <v>2031</v>
      </c>
      <c r="B9" s="49">
        <v>187724</v>
      </c>
      <c r="C9" s="50">
        <v>595226.50000000012</v>
      </c>
      <c r="D9" s="50">
        <v>919998.5</v>
      </c>
      <c r="E9" s="50">
        <v>877315</v>
      </c>
      <c r="F9" s="50">
        <v>695652.5</v>
      </c>
      <c r="G9" s="17">
        <f t="shared" si="0"/>
        <v>3088192.5</v>
      </c>
      <c r="H9" s="17">
        <f t="shared" si="1"/>
        <v>216069.68163486212</v>
      </c>
      <c r="I9" s="17">
        <f t="shared" si="2"/>
        <v>2872122.818365138</v>
      </c>
    </row>
    <row r="10" spans="1:9" ht="15.75" customHeight="1" x14ac:dyDescent="0.25">
      <c r="A10" s="5">
        <f t="shared" si="3"/>
        <v>2032</v>
      </c>
      <c r="B10" s="49">
        <v>186859</v>
      </c>
      <c r="C10" s="50">
        <v>594289.5</v>
      </c>
      <c r="D10" s="50">
        <v>923004</v>
      </c>
      <c r="E10" s="50">
        <v>876905</v>
      </c>
      <c r="F10" s="50">
        <v>706882.5</v>
      </c>
      <c r="G10" s="17">
        <f t="shared" si="0"/>
        <v>3101081</v>
      </c>
      <c r="H10" s="17">
        <f t="shared" si="1"/>
        <v>215074.06959477055</v>
      </c>
      <c r="I10" s="17">
        <f t="shared" si="2"/>
        <v>2886006.9304052293</v>
      </c>
    </row>
    <row r="11" spans="1:9" ht="15.75" customHeight="1" x14ac:dyDescent="0.25">
      <c r="A11" s="5">
        <f t="shared" si="3"/>
        <v>2033</v>
      </c>
      <c r="B11" s="49">
        <v>185274</v>
      </c>
      <c r="C11" s="50">
        <v>592887.49999999988</v>
      </c>
      <c r="D11" s="50">
        <v>926364.5</v>
      </c>
      <c r="E11" s="50">
        <v>875613</v>
      </c>
      <c r="F11" s="50">
        <v>717156</v>
      </c>
      <c r="G11" s="17">
        <f t="shared" si="0"/>
        <v>3112021</v>
      </c>
      <c r="H11" s="17">
        <f t="shared" si="1"/>
        <v>213249.74001841771</v>
      </c>
      <c r="I11" s="17">
        <f t="shared" si="2"/>
        <v>2898771.2599815824</v>
      </c>
    </row>
    <row r="12" spans="1:9" ht="15.75" customHeight="1" x14ac:dyDescent="0.25">
      <c r="A12" s="5">
        <f t="shared" si="3"/>
        <v>2034</v>
      </c>
      <c r="B12" s="49">
        <v>184479</v>
      </c>
      <c r="C12" s="50">
        <v>590198.5</v>
      </c>
      <c r="D12" s="50">
        <v>930236</v>
      </c>
      <c r="E12" s="50">
        <v>873477.5</v>
      </c>
      <c r="F12" s="50">
        <v>726508</v>
      </c>
      <c r="G12" s="17">
        <f t="shared" si="0"/>
        <v>3120420</v>
      </c>
      <c r="H12" s="17">
        <f t="shared" si="1"/>
        <v>212334.69773879595</v>
      </c>
      <c r="I12" s="17">
        <f t="shared" si="2"/>
        <v>2908085.302261204</v>
      </c>
    </row>
    <row r="13" spans="1:9" ht="15.75" customHeight="1" x14ac:dyDescent="0.25">
      <c r="A13" s="5">
        <f t="shared" si="3"/>
        <v>2035</v>
      </c>
      <c r="B13" s="49">
        <v>183478</v>
      </c>
      <c r="C13" s="50">
        <v>586491.5</v>
      </c>
      <c r="D13" s="50">
        <v>934685</v>
      </c>
      <c r="E13" s="50">
        <v>870904.5</v>
      </c>
      <c r="F13" s="50">
        <v>735640.5</v>
      </c>
      <c r="G13" s="17">
        <f t="shared" si="0"/>
        <v>3127721.5</v>
      </c>
      <c r="H13" s="17">
        <f t="shared" si="1"/>
        <v>211182.55016407726</v>
      </c>
      <c r="I13" s="17">
        <f t="shared" si="2"/>
        <v>2916538.9498359226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FycEdJ2hXIzM9kwsdvKLJnq64u0IdrTcblv8ftfx+QCbPMQNO+c9rBY3pqE2cnJj7myOUVGYoPxmtmcw2Bf1w==" saltValue="uiJ+4JhjYJvvoikcUHPq8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6.0485993951400526E-3</v>
      </c>
    </row>
    <row r="4" spans="1:8" ht="15.75" customHeight="1" x14ac:dyDescent="0.25">
      <c r="B4" s="19" t="s">
        <v>97</v>
      </c>
      <c r="C4" s="101">
        <v>4.9121595087840433E-2</v>
      </c>
    </row>
    <row r="5" spans="1:8" ht="15.75" customHeight="1" x14ac:dyDescent="0.25">
      <c r="B5" s="19" t="s">
        <v>95</v>
      </c>
      <c r="C5" s="101">
        <v>5.8054994194500588E-2</v>
      </c>
    </row>
    <row r="6" spans="1:8" ht="15.75" customHeight="1" x14ac:dyDescent="0.25">
      <c r="B6" s="19" t="s">
        <v>91</v>
      </c>
      <c r="C6" s="101">
        <v>0.2258224774177521</v>
      </c>
    </row>
    <row r="7" spans="1:8" ht="15.75" customHeight="1" x14ac:dyDescent="0.25">
      <c r="B7" s="19" t="s">
        <v>96</v>
      </c>
      <c r="C7" s="101">
        <v>0.41603395839660451</v>
      </c>
    </row>
    <row r="8" spans="1:8" ht="15.75" customHeight="1" x14ac:dyDescent="0.25">
      <c r="B8" s="19" t="s">
        <v>98</v>
      </c>
      <c r="C8" s="101">
        <v>7.6059992394000723E-4</v>
      </c>
    </row>
    <row r="9" spans="1:8" ht="15.75" customHeight="1" x14ac:dyDescent="0.25">
      <c r="B9" s="19" t="s">
        <v>92</v>
      </c>
      <c r="C9" s="101">
        <v>0.12002648799735111</v>
      </c>
    </row>
    <row r="10" spans="1:8" ht="15.75" customHeight="1" x14ac:dyDescent="0.25">
      <c r="B10" s="19" t="s">
        <v>94</v>
      </c>
      <c r="C10" s="101">
        <v>0.1241312875868712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0.22912193097089231</v>
      </c>
      <c r="D14" s="55">
        <v>0.22912193097089231</v>
      </c>
      <c r="E14" s="55">
        <v>0.22912193097089231</v>
      </c>
      <c r="F14" s="55">
        <v>0.22912193097089231</v>
      </c>
    </row>
    <row r="15" spans="1:8" ht="15.75" customHeight="1" x14ac:dyDescent="0.25">
      <c r="B15" s="19" t="s">
        <v>102</v>
      </c>
      <c r="C15" s="101">
        <v>0.33937854022706387</v>
      </c>
      <c r="D15" s="101">
        <v>0.33937854022706387</v>
      </c>
      <c r="E15" s="101">
        <v>0.33937854022706387</v>
      </c>
      <c r="F15" s="101">
        <v>0.33937854022706387</v>
      </c>
    </row>
    <row r="16" spans="1:8" ht="15.75" customHeight="1" x14ac:dyDescent="0.25">
      <c r="B16" s="19" t="s">
        <v>2</v>
      </c>
      <c r="C16" s="101">
        <v>2.4245794754319878E-2</v>
      </c>
      <c r="D16" s="101">
        <v>2.4245794754319878E-2</v>
      </c>
      <c r="E16" s="101">
        <v>2.4245794754319878E-2</v>
      </c>
      <c r="F16" s="101">
        <v>2.4245794754319878E-2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1.9051883133129489E-2</v>
      </c>
      <c r="D19" s="101">
        <v>1.9051883133129489E-2</v>
      </c>
      <c r="E19" s="101">
        <v>1.9051883133129489E-2</v>
      </c>
      <c r="F19" s="101">
        <v>1.9051883133129489E-2</v>
      </c>
    </row>
    <row r="20" spans="1:8" ht="15.75" customHeight="1" x14ac:dyDescent="0.25">
      <c r="B20" s="19" t="s">
        <v>79</v>
      </c>
      <c r="C20" s="101">
        <v>8.1477541633472317E-2</v>
      </c>
      <c r="D20" s="101">
        <v>8.1477541633472317E-2</v>
      </c>
      <c r="E20" s="101">
        <v>8.1477541633472317E-2</v>
      </c>
      <c r="F20" s="101">
        <v>8.1477541633472317E-2</v>
      </c>
    </row>
    <row r="21" spans="1:8" ht="15.75" customHeight="1" x14ac:dyDescent="0.25">
      <c r="B21" s="19" t="s">
        <v>88</v>
      </c>
      <c r="C21" s="101">
        <v>0.2065836120404724</v>
      </c>
      <c r="D21" s="101">
        <v>0.2065836120404724</v>
      </c>
      <c r="E21" s="101">
        <v>0.2065836120404724</v>
      </c>
      <c r="F21" s="101">
        <v>0.2065836120404724</v>
      </c>
    </row>
    <row r="22" spans="1:8" ht="15.75" customHeight="1" x14ac:dyDescent="0.25">
      <c r="B22" s="19" t="s">
        <v>99</v>
      </c>
      <c r="C22" s="101">
        <v>0.1001406972406497</v>
      </c>
      <c r="D22" s="101">
        <v>0.1001406972406497</v>
      </c>
      <c r="E22" s="101">
        <v>0.1001406972406497</v>
      </c>
      <c r="F22" s="101">
        <v>0.1001406972406497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5.8856121999999997E-2</v>
      </c>
    </row>
    <row r="27" spans="1:8" ht="15.75" customHeight="1" x14ac:dyDescent="0.25">
      <c r="B27" s="19" t="s">
        <v>89</v>
      </c>
      <c r="C27" s="101">
        <v>4.7339935000000007E-2</v>
      </c>
    </row>
    <row r="28" spans="1:8" ht="15.75" customHeight="1" x14ac:dyDescent="0.25">
      <c r="B28" s="19" t="s">
        <v>103</v>
      </c>
      <c r="C28" s="101">
        <v>4.6576617000000001E-2</v>
      </c>
    </row>
    <row r="29" spans="1:8" ht="15.75" customHeight="1" x14ac:dyDescent="0.25">
      <c r="B29" s="19" t="s">
        <v>86</v>
      </c>
      <c r="C29" s="101">
        <v>0.21685436999999999</v>
      </c>
    </row>
    <row r="30" spans="1:8" ht="15.75" customHeight="1" x14ac:dyDescent="0.25">
      <c r="B30" s="19" t="s">
        <v>4</v>
      </c>
      <c r="C30" s="101">
        <v>7.5345098999999999E-2</v>
      </c>
    </row>
    <row r="31" spans="1:8" ht="15.75" customHeight="1" x14ac:dyDescent="0.25">
      <c r="B31" s="19" t="s">
        <v>80</v>
      </c>
      <c r="C31" s="101">
        <v>9.5101964999999997E-2</v>
      </c>
    </row>
    <row r="32" spans="1:8" ht="15.75" customHeight="1" x14ac:dyDescent="0.25">
      <c r="B32" s="19" t="s">
        <v>85</v>
      </c>
      <c r="C32" s="101">
        <v>2.7365589999999999E-2</v>
      </c>
    </row>
    <row r="33" spans="2:3" ht="15.75" customHeight="1" x14ac:dyDescent="0.25">
      <c r="B33" s="19" t="s">
        <v>100</v>
      </c>
      <c r="C33" s="101">
        <v>0.17758110599999999</v>
      </c>
    </row>
    <row r="34" spans="2:3" ht="15.75" customHeight="1" x14ac:dyDescent="0.25">
      <c r="B34" s="19" t="s">
        <v>87</v>
      </c>
      <c r="C34" s="101">
        <v>0.25497919600000002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0ccVoPQRM36N610vzGPFfO3zsNbpghjPqYid967sZSnPMdDddLQ7rvgJUDukZIaAuQaqV7aET+CHe1uK4AX2sg==" saltValue="MSQtZbgodJOwXHSDso400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0.56451777559473926</v>
      </c>
      <c r="D2" s="52">
        <f>IFERROR(1-_xlfn.NORM.DIST(_xlfn.NORM.INV(SUM(D4:D5), 0, 1) + 1, 0, 1, TRUE), "")</f>
        <v>0.56451777559473926</v>
      </c>
      <c r="E2" s="52">
        <f>IFERROR(1-_xlfn.NORM.DIST(_xlfn.NORM.INV(SUM(E4:E5), 0, 1) + 1, 0, 1, TRUE), "")</f>
        <v>0.70269768048653758</v>
      </c>
      <c r="F2" s="52">
        <f>IFERROR(1-_xlfn.NORM.DIST(_xlfn.NORM.INV(SUM(F4:F5), 0, 1) + 1, 0, 1, TRUE), "")</f>
        <v>0.62585908305863014</v>
      </c>
      <c r="G2" s="52">
        <f>IFERROR(1-_xlfn.NORM.DIST(_xlfn.NORM.INV(SUM(G4:G5), 0, 1) + 1, 0, 1, TRUE), "")</f>
        <v>0.74035421417892222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0.31295252440526078</v>
      </c>
      <c r="D3" s="52">
        <f>IFERROR(_xlfn.NORM.DIST(_xlfn.NORM.INV(SUM(D4:D5), 0, 1) + 1, 0, 1, TRUE) - SUM(D4:D5), "")</f>
        <v>0.31295252440526078</v>
      </c>
      <c r="E3" s="52">
        <f>IFERROR(_xlfn.NORM.DIST(_xlfn.NORM.INV(SUM(E4:E5), 0, 1) + 1, 0, 1, TRUE) - SUM(E4:E5), "")</f>
        <v>0.23456271951346241</v>
      </c>
      <c r="F3" s="52">
        <f>IFERROR(_xlfn.NORM.DIST(_xlfn.NORM.INV(SUM(F4:F5), 0, 1) + 1, 0, 1, TRUE) - SUM(F4:F5), "")</f>
        <v>0.28087451694136989</v>
      </c>
      <c r="G3" s="52">
        <f>IFERROR(_xlfn.NORM.DIST(_xlfn.NORM.INV(SUM(G4:G5), 0, 1) + 1, 0, 1, TRUE) - SUM(G4:G5), "")</f>
        <v>0.20960288582107778</v>
      </c>
    </row>
    <row r="4" spans="1:15" ht="15.75" customHeight="1" x14ac:dyDescent="0.25">
      <c r="B4" s="5" t="s">
        <v>110</v>
      </c>
      <c r="C4" s="45">
        <v>8.5166599999999995E-2</v>
      </c>
      <c r="D4" s="53">
        <v>8.5166599999999995E-2</v>
      </c>
      <c r="E4" s="53">
        <v>4.03513E-2</v>
      </c>
      <c r="F4" s="53">
        <v>7.684980000000001E-2</v>
      </c>
      <c r="G4" s="53">
        <v>3.9599099999999998E-2</v>
      </c>
    </row>
    <row r="5" spans="1:15" ht="15.75" customHeight="1" x14ac:dyDescent="0.25">
      <c r="B5" s="5" t="s">
        <v>106</v>
      </c>
      <c r="C5" s="45">
        <v>3.7363100000000003E-2</v>
      </c>
      <c r="D5" s="53">
        <v>3.7363100000000003E-2</v>
      </c>
      <c r="E5" s="53">
        <v>2.23883E-2</v>
      </c>
      <c r="F5" s="53">
        <v>1.64166E-2</v>
      </c>
      <c r="G5" s="53">
        <v>1.04438E-2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0.75758766672667432</v>
      </c>
      <c r="D8" s="52">
        <f>IFERROR(1-_xlfn.NORM.DIST(_xlfn.NORM.INV(SUM(D10:D11), 0, 1) + 1, 0, 1, TRUE), "")</f>
        <v>0.75758766672667432</v>
      </c>
      <c r="E8" s="52">
        <f>IFERROR(1-_xlfn.NORM.DIST(_xlfn.NORM.INV(SUM(E10:E11), 0, 1) + 1, 0, 1, TRUE), "")</f>
        <v>0.78507651918548071</v>
      </c>
      <c r="F8" s="52">
        <f>IFERROR(1-_xlfn.NORM.DIST(_xlfn.NORM.INV(SUM(F10:F11), 0, 1) + 1, 0, 1, TRUE), "")</f>
        <v>0.87866206668305002</v>
      </c>
      <c r="G8" s="52">
        <f>IFERROR(1-_xlfn.NORM.DIST(_xlfn.NORM.INV(SUM(G10:G11), 0, 1) + 1, 0, 1, TRUE), "")</f>
        <v>0.86623189282990609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0.19771163327332564</v>
      </c>
      <c r="D9" s="52">
        <f>IFERROR(_xlfn.NORM.DIST(_xlfn.NORM.INV(SUM(D10:D11), 0, 1) + 1, 0, 1, TRUE) - SUM(D10:D11), "")</f>
        <v>0.19771163327332564</v>
      </c>
      <c r="E9" s="52">
        <f>IFERROR(_xlfn.NORM.DIST(_xlfn.NORM.INV(SUM(E10:E11), 0, 1) + 1, 0, 1, TRUE) - SUM(E10:E11), "")</f>
        <v>0.17815258081451935</v>
      </c>
      <c r="F9" s="52">
        <f>IFERROR(_xlfn.NORM.DIST(_xlfn.NORM.INV(SUM(F10:F11), 0, 1) + 1, 0, 1, TRUE) - SUM(F10:F11), "")</f>
        <v>0.10627093331694996</v>
      </c>
      <c r="G9" s="52">
        <f>IFERROR(_xlfn.NORM.DIST(_xlfn.NORM.INV(SUM(G10:G11), 0, 1) + 1, 0, 1, TRUE) - SUM(G10:G11), "")</f>
        <v>0.11628520717009388</v>
      </c>
    </row>
    <row r="10" spans="1:15" ht="15.75" customHeight="1" x14ac:dyDescent="0.25">
      <c r="B10" s="5" t="s">
        <v>107</v>
      </c>
      <c r="C10" s="45">
        <v>4.1314399999999987E-2</v>
      </c>
      <c r="D10" s="53">
        <v>4.1314399999999987E-2</v>
      </c>
      <c r="E10" s="53">
        <v>2.36829E-2</v>
      </c>
      <c r="F10" s="53">
        <v>1.12078E-2</v>
      </c>
      <c r="G10" s="53">
        <v>1.31965E-2</v>
      </c>
    </row>
    <row r="11" spans="1:15" ht="15.75" customHeight="1" x14ac:dyDescent="0.25">
      <c r="B11" s="5" t="s">
        <v>119</v>
      </c>
      <c r="C11" s="45">
        <v>3.3863000000000001E-3</v>
      </c>
      <c r="D11" s="53">
        <v>3.3863000000000001E-3</v>
      </c>
      <c r="E11" s="53">
        <v>1.3088000000000001E-2</v>
      </c>
      <c r="F11" s="53">
        <v>3.8592000000000001E-3</v>
      </c>
      <c r="G11" s="53">
        <v>4.2864000000000001E-3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0.50174759925000001</v>
      </c>
      <c r="D14" s="54">
        <v>0.46968953879899999</v>
      </c>
      <c r="E14" s="54">
        <v>0.46968953879899999</v>
      </c>
      <c r="F14" s="54">
        <v>0.20441530939300001</v>
      </c>
      <c r="G14" s="54">
        <v>0.20441530939300001</v>
      </c>
      <c r="H14" s="45">
        <v>0.32600000000000001</v>
      </c>
      <c r="I14" s="55">
        <v>0.32600000000000001</v>
      </c>
      <c r="J14" s="55">
        <v>0.32600000000000001</v>
      </c>
      <c r="K14" s="55">
        <v>0.32600000000000001</v>
      </c>
      <c r="L14" s="45">
        <v>0.29599999999999999</v>
      </c>
      <c r="M14" s="55">
        <v>0.29599999999999999</v>
      </c>
      <c r="N14" s="55">
        <v>0.29599999999999999</v>
      </c>
      <c r="O14" s="55">
        <v>0.29599999999999999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0.27483024049879046</v>
      </c>
      <c r="D15" s="52">
        <f t="shared" si="0"/>
        <v>0.25727056611899701</v>
      </c>
      <c r="E15" s="52">
        <f t="shared" si="0"/>
        <v>0.25727056611899701</v>
      </c>
      <c r="F15" s="52">
        <f t="shared" si="0"/>
        <v>0.11196766805877817</v>
      </c>
      <c r="G15" s="52">
        <f t="shared" si="0"/>
        <v>0.11196766805877817</v>
      </c>
      <c r="H15" s="52">
        <f t="shared" si="0"/>
        <v>0.17856519599999998</v>
      </c>
      <c r="I15" s="52">
        <f t="shared" si="0"/>
        <v>0.17856519599999998</v>
      </c>
      <c r="J15" s="52">
        <f t="shared" si="0"/>
        <v>0.17856519599999998</v>
      </c>
      <c r="K15" s="52">
        <f t="shared" si="0"/>
        <v>0.17856519599999998</v>
      </c>
      <c r="L15" s="52">
        <f t="shared" si="0"/>
        <v>0.16213281599999999</v>
      </c>
      <c r="M15" s="52">
        <f t="shared" si="0"/>
        <v>0.16213281599999999</v>
      </c>
      <c r="N15" s="52">
        <f t="shared" si="0"/>
        <v>0.16213281599999999</v>
      </c>
      <c r="O15" s="52">
        <f t="shared" si="0"/>
        <v>0.16213281599999999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lxfIk+V0Oy+e7z2F6BSpALrthxnR/Jcbr2fbnPMSmoyFxzG5KpXNzzczjJfWy0Ul3L9k/h8HtsdamzAPMBYjsA==" saltValue="WCJQrDeTPhr0glQ4n6gp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0.29937930000000001</v>
      </c>
      <c r="D2" s="53">
        <v>0.1093624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0.1089856</v>
      </c>
      <c r="D3" s="53">
        <v>8.7410599999999991E-2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0.49956450000000002</v>
      </c>
      <c r="D4" s="53">
        <v>0.55019019999999996</v>
      </c>
      <c r="E4" s="53">
        <v>0.41668080000000002</v>
      </c>
      <c r="F4" s="53">
        <v>0.2156785</v>
      </c>
      <c r="G4" s="53">
        <v>0</v>
      </c>
    </row>
    <row r="5" spans="1:7" x14ac:dyDescent="0.25">
      <c r="B5" s="3" t="s">
        <v>125</v>
      </c>
      <c r="C5" s="52">
        <v>9.2070600000000002E-2</v>
      </c>
      <c r="D5" s="52">
        <v>0.25303680000000001</v>
      </c>
      <c r="E5" s="52">
        <f>1-SUM(E2:E4)</f>
        <v>0.58331920000000004</v>
      </c>
      <c r="F5" s="52">
        <f>1-SUM(F2:F4)</f>
        <v>0.7843215</v>
      </c>
      <c r="G5" s="52">
        <f>1-SUM(G2:G4)</f>
        <v>1</v>
      </c>
    </row>
  </sheetData>
  <sheetProtection algorithmName="SHA-512" hashValue="mu6iPvFeuUZ67ziWKrWxTc9Nk0TiUeuL8hJRGMOqtz1kJ+lHhuAVbt1Sw8UOsy0pEB7pq//fCY7TGa1l/DoQnQ==" saltValue="SAtkocg4QFVeY/3M28KYi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f6Ikgu146zr2cS/8znfWCJVcbLbE5YY9JAcpihzXyb/j462Y6cAWRSPGMwqC6BJCinhgAnGBq03S8usef2PBVw==" saltValue="XLzwOVLAxccsOhlu0t350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VcqeB1tYUovdIwMTdhUpyNs3U/4Oms2Fi7HYTm3bIRK7od6pQDK9qjdswqLUqPaTb0obkbnsS+R7InXMW6fcNQ==" saltValue="X5oxpg1dPAy/cJjg34zul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lK+zFfhzxvMAw5B5cyeQxVu9+mEfWzJif84zuMwabH5/jWrporOc1bPqz6MeMFIpzAf7rtS5T+J/4qZGmQp5kw==" saltValue="A1gVQSTJW83Zr1861N1eN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ITtWxUgaMcQfzWTZcTQGgA7/vvqalCkzvTzW9Pfd0TaJ6TgUFcy27k5HZwM6EdHs2twUzI9Lsgqwx38YrHHL5Q==" saltValue="8zlSk94P64fNtyge02Rr3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74.474474607257392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40.248726453010633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672.22235357576801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1.4548957086199481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0.81492059999999999</v>
      </c>
      <c r="C10" s="98">
        <v>0.95</v>
      </c>
      <c r="D10" s="56">
        <v>13.38102589680655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13.38102589680655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13.38102589680655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13.38102589680655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0.81492059999999999</v>
      </c>
      <c r="C14" s="98">
        <v>0.95</v>
      </c>
      <c r="D14" s="56">
        <v>13.38102589680655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13.38102589680655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1.087791696701897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0.1093624</v>
      </c>
      <c r="C18" s="98">
        <v>0.95</v>
      </c>
      <c r="D18" s="56">
        <v>15.41953529560689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0.1093624</v>
      </c>
      <c r="C19" s="98">
        <v>0.95</v>
      </c>
      <c r="D19" s="56">
        <v>15.41953529560689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14.364074593948059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23.284771098275488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4.5098666953578306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0.90352332409703906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0.81492059999999999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18.944297777473771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0.53186440000000001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0.51067689999999999</v>
      </c>
      <c r="C29" s="98">
        <v>0.95</v>
      </c>
      <c r="D29" s="56">
        <v>151.1814173381797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0.99377439103014453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2.3735892615904222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0.48324859999999997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0.19111349999999999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4.2315E-3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0.80348219999999992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</v>
      </c>
      <c r="C38" s="98">
        <v>0.95</v>
      </c>
      <c r="D38" s="56">
        <v>4.9763674348897871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qvNIZt/7TebKDPaFhNHhphlGmAxk4tgxlAD/frDAO7xDhlWs2e5GcfFSfItJ4fkWsxmV5T9O0V8j3kvS+dWzTg==" saltValue="9ezbA6BY5aOmth2GUp4C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Bw+bnXRpVo5SA1ubMyUh7ZeL1Qg4xhaDFWl0zN54M2MAthrc8tCNVByHvi/rYRofMcM9ZmbWiYk96apXiIOs1Q==" saltValue="Npakzv8qNYOQba8hJPoyw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4ovxCl7dKfGpF2/RFiStAYjvKSPJr5qYvZoss6dIACUdkgX6llCR6tQU8MqCfTRKfJDM7wyjnOVTtBRQrnL+Yw==" saltValue="LXOwJpIon0fo+0muEDglO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0.10741743999999998</v>
      </c>
      <c r="C3" s="21">
        <f>frac_mam_1_5months * 2.6</f>
        <v>0.10741743999999998</v>
      </c>
      <c r="D3" s="21">
        <f>frac_mam_6_11months * 2.6</f>
        <v>6.1575540000000005E-2</v>
      </c>
      <c r="E3" s="21">
        <f>frac_mam_12_23months * 2.6</f>
        <v>2.9140280000000001E-2</v>
      </c>
      <c r="F3" s="21">
        <f>frac_mam_24_59months * 2.6</f>
        <v>3.4310899999999998E-2</v>
      </c>
    </row>
    <row r="4" spans="1:6" ht="15.75" customHeight="1" x14ac:dyDescent="0.25">
      <c r="A4" s="3" t="s">
        <v>207</v>
      </c>
      <c r="B4" s="21">
        <f>frac_sam_1month * 2.6</f>
        <v>8.8043800000000005E-3</v>
      </c>
      <c r="C4" s="21">
        <f>frac_sam_1_5months * 2.6</f>
        <v>8.8043800000000005E-3</v>
      </c>
      <c r="D4" s="21">
        <f>frac_sam_6_11months * 2.6</f>
        <v>3.4028800000000005E-2</v>
      </c>
      <c r="E4" s="21">
        <f>frac_sam_12_23months * 2.6</f>
        <v>1.003392E-2</v>
      </c>
      <c r="F4" s="21">
        <f>frac_sam_24_59months * 2.6</f>
        <v>1.1144640000000001E-2</v>
      </c>
    </row>
  </sheetData>
  <sheetProtection algorithmName="SHA-512" hashValue="djYmzRK8KJK+auP2v7GDzQKH8+OG0QpCqqzYKgr3HmoDhigdA0FKoVAR1cAMj48+l0IDpeXRcWBl9ehYf3IvmA==" saltValue="1jkreG+TpdfFpKSph5A/C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4.0000000000000001E-3</v>
      </c>
      <c r="E2" s="60">
        <f>food_insecure</f>
        <v>4.0000000000000001E-3</v>
      </c>
      <c r="F2" s="60">
        <f>food_insecure</f>
        <v>4.0000000000000001E-3</v>
      </c>
      <c r="G2" s="60">
        <f>food_insecure</f>
        <v>4.0000000000000001E-3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4.0000000000000001E-3</v>
      </c>
      <c r="F5" s="60">
        <f>food_insecure</f>
        <v>4.0000000000000001E-3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4.0000000000000001E-3</v>
      </c>
      <c r="F8" s="60">
        <f>food_insecure</f>
        <v>4.0000000000000001E-3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4.0000000000000001E-3</v>
      </c>
      <c r="F9" s="60">
        <f>food_insecure</f>
        <v>4.0000000000000001E-3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4.0000000000000001E-3</v>
      </c>
      <c r="I15" s="60">
        <f>food_insecure</f>
        <v>4.0000000000000001E-3</v>
      </c>
      <c r="J15" s="60">
        <f>food_insecure</f>
        <v>4.0000000000000001E-3</v>
      </c>
      <c r="K15" s="60">
        <f>food_insecure</f>
        <v>4.0000000000000001E-3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0.159</v>
      </c>
      <c r="M24" s="60">
        <f>famplan_unmet_need</f>
        <v>0.159</v>
      </c>
      <c r="N24" s="60">
        <f>famplan_unmet_need</f>
        <v>0.159</v>
      </c>
      <c r="O24" s="60">
        <f>famplan_unmet_need</f>
        <v>0.159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0.12669519149475097</v>
      </c>
      <c r="M25" s="60">
        <f>(1-food_insecure)*(0.49)+food_insecure*(0.7)</f>
        <v>0.49084</v>
      </c>
      <c r="N25" s="60">
        <f>(1-food_insecure)*(0.49)+food_insecure*(0.7)</f>
        <v>0.49084</v>
      </c>
      <c r="O25" s="60">
        <f>(1-food_insecure)*(0.49)+food_insecure*(0.7)</f>
        <v>0.49084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5.4297939212036128E-2</v>
      </c>
      <c r="M26" s="60">
        <f>(1-food_insecure)*(0.21)+food_insecure*(0.3)</f>
        <v>0.21035999999999999</v>
      </c>
      <c r="N26" s="60">
        <f>(1-food_insecure)*(0.21)+food_insecure*(0.3)</f>
        <v>0.21035999999999999</v>
      </c>
      <c r="O26" s="60">
        <f>(1-food_insecure)*(0.21)+food_insecure*(0.3)</f>
        <v>0.21035999999999999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7.7125994659423838E-2</v>
      </c>
      <c r="M27" s="60">
        <f>(1-food_insecure)*(0.3)</f>
        <v>0.29880000000000001</v>
      </c>
      <c r="N27" s="60">
        <f>(1-food_insecure)*(0.3)</f>
        <v>0.29880000000000001</v>
      </c>
      <c r="O27" s="60">
        <f>(1-food_insecure)*(0.3)</f>
        <v>0.29880000000000001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0.74188087463378904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mUbXlxGGEyOIK7hKhSDy6AFafQynUumypUtxvsYMEkm17Zig+VjSyzT/y4xUx/78SBbdBr/kmZOVPDGlaztTnQ==" saltValue="ImsDtVnA+E1YqHw4osmaa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SIbycoR9CTcZt3wKd11wvdNCgoXhRs3R/NAFITpv4xYTy6Ah4xEpOUmwB8Kb818qHG4kXoYxs6rSniJy+6o07w==" saltValue="j8wRlXHYAS7FAe758nIew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AAfk0EAPzy8STaixdC8eUOWFJg7S1oE2547uLkEiJCymBVUzeWFlzRXxYsiOTBgDnV6ET18uXQ1Ys9JzVw44/g==" saltValue="aKsuLyMAQm0gMJXhaymdF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CHT547lYJ8g+pnut+gWImM6uCg8WMN1NE78VspfhQ1OeCno+wI4Za2r5f6bHbw2J24PH+70OYVk/E5nCjcfozg==" saltValue="HcfjQTkxi7aW+QZ+DMa26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Ymw9dCdGGxJUlzDnJZ8BXx+kH759XZVhCCdXDR1K+nJx2K4BaxdodUMIHXs4aGu6Ppi60VAlmabBu0dVJQyKJA==" saltValue="q4ldc/YFb5WP/Nryxtt9e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W+1OMkMqAPs0umSfcmyABLD/ChuuYaUUqbPBHPmHgnRk14N29c710q5Oy7xDv5F6nHu+YJYM3x/dmtPq27DPwA==" saltValue="fseaODrBpOi+zpiFmdMS0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ttN6bp69I7qDFL4gBWQnfTl5832d/kIWRt2hHgyuYkfBRsh51whDoLOFHRrQOnD/j/VeCGRU7LkLHcG5JD6riQ==" saltValue="ss/ymKNkrokPWMjQT1SKO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qxA9EnXkJlKhpuqBS7alxr2E/C8IqKvxF61pOJZPTWgO3U0+p7WRytHtd07Tx3eUyTAh1urpo1vQczVfZkfXAw==" saltValue="OBL47w4i8A8lT1VQeeWs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DFcGie+X2H9Pgiz+0bs0qzPicV8oiwBzprQuZu40WekxgiYwUZ5wlhKKCNbNuOlULBGSqdjnaz63fBGkimdvfg==" saltValue="Uu4g0IMatLYKS0OlUmyd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FQC/dmClBhVIyM1nGmeDKqa8htK17zULGrqo+0hpVsa+LyIugwKlSS59UA5JznUEdmgK3QPrkXn0r4lRNJKcOA==" saltValue="fqy8N5bYWxR/h6zPNQy5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0cX5xJrlkcRTZP6bmdAHA8atq7Wo+9GNA9VTr/LLdZmbElHc49A1iZu3/JulN+3uE6qq9/SJsfRZocvlSJ/+Jg==" saltValue="IJlWNoeCXpWmGPEU6hls3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5cYA2SxldJQSN9qg/EjHuyi4IploTg4S4Hvqe8sUmOkXcHm4pHIbp4YxKfGTjHxsbFP2ZYz56K85lac/SXKywg==" saltValue="k/X0r2ETG6Zs1Az7UJeL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m7polePEHuIza6Gyjp8V8kUP1p8F+X7wjAfaLnnAldKTiMhhuiuHHL4N83w2gHRszvNKs+SjJaiSqG2nhaVJnQ==" saltValue="FaLPKoUmhZ2waHjv3SPS4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0.10871683745654948</v>
      </c>
      <c r="G18" s="90">
        <f>MIN(MAX(1-0.89/(1-frac_sam_12_23months+(frac_sam_12_23months*0.89)),0),1)</f>
        <v>0.10962202386459485</v>
      </c>
      <c r="H18" s="90">
        <f>MIN(MAX(1-0.89/(1-frac_sam_24_59months+(frac_sam_24_59months*0.89)),0),1)</f>
        <v>0.109580163485404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0.10767538819963129</v>
      </c>
      <c r="G20" s="90">
        <f>MIN(MAX(1-0.89/(1-frac_mam_12_23months+(frac_mam_12_23months*0.89)),0),1)</f>
        <v>0.10890140196462339</v>
      </c>
      <c r="H20" s="90">
        <f>MIN(MAX(1-0.89/(1-frac_mam_24_59months+(frac_mam_24_59months*0.89)),0),1)</f>
        <v>0.1087061845280537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9.8704118395016582E-3</v>
      </c>
      <c r="G73" s="90">
        <f>MIN(MAX(1-0.99/(1-frac_sam_12_23months+(frac_sam_12_23months*0.99)),0),1)</f>
        <v>9.9617924454941109E-3</v>
      </c>
      <c r="H73" s="90">
        <f>MIN(MAX(1-0.99/(1-frac_sam_24_59months+(frac_sam_24_59months*0.99)),0),1)</f>
        <v>9.9575628209728206E-3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9.7654837497509472E-3</v>
      </c>
      <c r="G75" s="90">
        <f>MIN(MAX(1-0.99/(1-frac_mam_12_23months+(frac_mam_12_23months*0.99)),0),1)</f>
        <v>9.8890303427427995E-3</v>
      </c>
      <c r="H75" s="90">
        <f>MIN(MAX(1-0.99/(1-frac_mam_24_59months+(frac_mam_24_59months*0.99)),0),1)</f>
        <v>9.8693374071109341E-3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0.19790042415025566</v>
      </c>
      <c r="G128" s="90">
        <f>MIN(MAX(1-0.8/(1-frac_sam_12_23months+(frac_sam_12_23months*0.8)),0),1)</f>
        <v>0.19938205104227646</v>
      </c>
      <c r="H128" s="90">
        <f>MIN(MAX(1-0.8/(1-frac_sam_24_59months+(frac_sam_24_59months*0.8)),0),1)</f>
        <v>0.19931358755233675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0.19619270243047815</v>
      </c>
      <c r="G130" s="90">
        <f>MIN(MAX(1-0.8/(1-frac_mam_12_23months+(frac_mam_12_23months*0.8)),0),1)</f>
        <v>0.19820272329643229</v>
      </c>
      <c r="H130" s="90">
        <f>MIN(MAX(1-0.8/(1-frac_mam_24_59months+(frac_mam_24_59months*0.8)),0),1)</f>
        <v>0.19788297252939679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rt+pv3fMOvofD3h1HiQGe7wPviRYtYEpaT6VBoJIk64oHdMaA2MbNNdhyOdQ+BrYzP5lG75k9bDhSxC3KL5Viw==" saltValue="gSt6HRExFElPsvUCGAHR2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N/FdZLcGbK81OGZSqjZ5TcxrM/7Xb1buW2htKMNYvExJEUyBeCgSoHSnOovDGH2nF1aeuk/DFnK08iopVJWPA==" saltValue="1Dd7Usn1R6gPQI3a/4869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2024-08-06T07:31:10Z</dcterms:modified>
</cp:coreProperties>
</file>