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es\LiST countries\"/>
    </mc:Choice>
  </mc:AlternateContent>
  <xr:revisionPtr revIDLastSave="0" documentId="8_{F1C667DA-81B0-4085-9341-C28C38D10E66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A37" i="2"/>
  <c r="A34" i="2"/>
  <c r="A31" i="2"/>
  <c r="H13" i="2"/>
  <c r="G13" i="2"/>
  <c r="I13" i="2" s="1"/>
  <c r="H12" i="2"/>
  <c r="G12" i="2"/>
  <c r="I12" i="2" s="1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I6" i="2" s="1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40" i="2" l="1"/>
  <c r="A22" i="2"/>
  <c r="A23" i="2"/>
  <c r="A24" i="2"/>
  <c r="A25" i="2"/>
  <c r="I4" i="2"/>
  <c r="A26" i="2"/>
  <c r="A35" i="2"/>
  <c r="A36" i="2"/>
  <c r="I2" i="2"/>
  <c r="I8" i="2"/>
  <c r="A19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<sst xmlns="http://schemas.openxmlformats.org/spreadsheetml/2006/main" count="2169" uniqueCount="373">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</sst>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982050</v>
      </c>
    </row>
    <row r="8" spans="1:3" ht="15" customHeight="1" x14ac:dyDescent="0.25">
      <c r="B8" s="5" t="s">
        <v>63</v>
      </c>
      <c r="C8" s="44">
        <v>0.01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0.74188087463378904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0.159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0.19980000000000001</v>
      </c>
    </row>
    <row r="24" spans="1:3" ht="15" customHeight="1" x14ac:dyDescent="0.25">
      <c r="B24" s="15" t="s">
        <v>65</v>
      </c>
      <c r="C24" s="45">
        <v>0.54990000000000006</v>
      </c>
    </row>
    <row r="25" spans="1:3" ht="15" customHeight="1" x14ac:dyDescent="0.25">
      <c r="B25" s="15" t="s">
        <v>66</v>
      </c>
      <c r="C25" s="45">
        <v>0.2286</v>
      </c>
    </row>
    <row r="26" spans="1:3" ht="15" customHeight="1" x14ac:dyDescent="0.25">
      <c r="B26" s="15" t="s">
        <v>67</v>
      </c>
      <c r="C26" s="45">
        <v>2.1700000000000001E-2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0.38027698235904311</v>
      </c>
    </row>
    <row r="30" spans="1:3" ht="14.25" customHeight="1" x14ac:dyDescent="0.25">
      <c r="B30" s="25" t="s">
        <v>82</v>
      </c>
      <c r="C30" s="97">
        <v>5.4660418264349912E-2</v>
      </c>
    </row>
    <row r="31" spans="1:3" ht="14.25" customHeight="1" x14ac:dyDescent="0.25">
      <c r="B31" s="25" t="s">
        <v>29</v>
      </c>
      <c r="C31" s="97">
        <v>6.1967733026657798E-2</v>
      </c>
    </row>
    <row r="32" spans="1:3" ht="14.25" customHeight="1" x14ac:dyDescent="0.25">
      <c r="B32" s="25" t="s">
        <v>30</v>
      </c>
      <c r="C32" s="97">
        <v>0.50309486634994893</v>
      </c>
    </row>
    <row r="33" spans="1:5" ht="13.25" customHeight="1" x14ac:dyDescent="0.25">
      <c r="B33" s="27" t="s">
        <v>79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22.94744</v>
      </c>
    </row>
    <row r="38" spans="1:5" ht="15" customHeight="1" x14ac:dyDescent="0.25">
      <c r="B38" s="11" t="s">
        <v>54</v>
      </c>
      <c r="C38" s="43">
        <v>27.293320000000001</v>
      </c>
      <c r="D38" s="12"/>
      <c r="E38" s="13"/>
    </row>
    <row r="39" spans="1:5" ht="15" customHeight="1" x14ac:dyDescent="0.25">
      <c r="B39" s="11" t="s">
        <v>80</v>
      </c>
      <c r="C39" s="43">
        <v>33.002879999999998</v>
      </c>
      <c r="D39" s="12"/>
      <c r="E39" s="12"/>
    </row>
    <row r="40" spans="1:5" ht="15" customHeight="1" x14ac:dyDescent="0.25">
      <c r="B40" s="11" t="s">
        <v>55</v>
      </c>
      <c r="C40" s="98">
        <v>1.07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12.713279999999999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7.1934E-3</v>
      </c>
      <c r="D45" s="12"/>
    </row>
    <row r="46" spans="1:5" ht="15.75" customHeight="1" x14ac:dyDescent="0.25">
      <c r="B46" s="11" t="s">
        <v>70</v>
      </c>
      <c r="C46" s="45">
        <v>7.7292600000000003E-2</v>
      </c>
      <c r="D46" s="12"/>
    </row>
    <row r="47" spans="1:5" ht="15.75" customHeight="1" x14ac:dyDescent="0.25">
      <c r="B47" s="11" t="s">
        <v>78</v>
      </c>
      <c r="C47" s="45">
        <v>7.4160100000000007E-2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3.2</v>
      </c>
      <c r="D51" s="12"/>
    </row>
    <row r="52" spans="1:4" ht="15" customHeight="1" x14ac:dyDescent="0.25">
      <c r="B52" s="11" t="s">
        <v>32</v>
      </c>
      <c r="C52" s="98">
        <v>3.2</v>
      </c>
    </row>
    <row r="53" spans="1:4" ht="15.75" customHeight="1" x14ac:dyDescent="0.25">
      <c r="B53" s="11" t="s">
        <v>35</v>
      </c>
      <c r="C53" s="98">
        <v>3.2</v>
      </c>
    </row>
    <row r="54" spans="1:4" ht="15.75" customHeight="1" x14ac:dyDescent="0.25">
      <c r="B54" s="11" t="s">
        <v>33</v>
      </c>
      <c r="C54" s="98">
        <v>3.2</v>
      </c>
    </row>
    <row r="55" spans="1:4" ht="15.75" customHeight="1" x14ac:dyDescent="0.25">
      <c r="B55" s="11" t="s">
        <v>34</v>
      </c>
      <c r="C55" s="98">
        <v>3.2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1.9375E-2</v>
      </c>
    </row>
    <row r="59" spans="1:4" ht="15.75" customHeight="1" x14ac:dyDescent="0.25">
      <c r="B59" s="11" t="s">
        <v>59</v>
      </c>
      <c r="C59" s="45">
        <v>0.54774599999999996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0.11294179</v>
      </c>
    </row>
    <row r="63" spans="1:4" ht="15.75" customHeight="1" x14ac:dyDescent="0.3">
      <c r="A63" s="4"/>
    </row>
  </sheetData>
  <sheetProtection algorithmName="SHA-512" hashValue="SW+SS3UiTS8P1LeLY5siCM01yE79DmBaeq0pfcsT10Ekj2iYgrmM6Cqb0r6SQwJWk7xoi9E6qyhuH+I43VtJKQ==" saltValue="lC7AqCoIp6TFpTaRqxVX+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201350</v>
      </c>
      <c r="C2" s="49">
        <v>476390.5</v>
      </c>
      <c r="D2" s="49">
        <v>929745</v>
      </c>
      <c r="E2" s="49">
        <v>840954</v>
      </c>
      <c r="F2" s="49">
        <v>695953</v>
      </c>
      <c r="G2" s="17">
        <f t="shared" ref="G2:G13" si="0">C2+D2+E2+F2</f>
        <v>2943042.5</v>
      </c>
      <c r="H2" s="17">
        <f t="shared" ref="H2:H13" si="1">(B2 + stillbirth*B2/(1000-stillbirth))/(1-abortion)</f>
        <v>231753.16100860565</v>
      </c>
      <c r="I2" s="17">
        <f t="shared" ref="I2:I13" si="2">G2-H2</f>
        <v>2711289.3389913943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199014</v>
      </c>
      <c r="C3" s="50">
        <v>480805</v>
      </c>
      <c r="D3" s="50">
        <v>926135</v>
      </c>
      <c r="E3" s="50">
        <v>850914</v>
      </c>
      <c r="F3" s="50">
        <v>705394</v>
      </c>
      <c r="G3" s="17">
        <f t="shared" si="0"/>
        <v>2963248</v>
      </c>
      <c r="H3" s="17">
        <f t="shared" si="1"/>
        <v>229064.43300206927</v>
      </c>
      <c r="I3" s="17">
        <f t="shared" si="2"/>
        <v>2734183.5669979309</v>
      </c>
    </row>
    <row r="4" spans="1:9" ht="15.75" customHeight="1" x14ac:dyDescent="0.25">
      <c r="A4" s="5">
        <f t="shared" si="3"/>
        <v>2026</v>
      </c>
      <c r="B4" s="49">
        <v>196929</v>
      </c>
      <c r="C4" s="50">
        <v>486799</v>
      </c>
      <c r="D4" s="50">
        <v>921290</v>
      </c>
      <c r="E4" s="50">
        <v>860133.5</v>
      </c>
      <c r="F4" s="50">
        <v>714539.5</v>
      </c>
      <c r="G4" s="17">
        <f t="shared" si="0"/>
        <v>2982762</v>
      </c>
      <c r="H4" s="17">
        <f t="shared" si="1"/>
        <v>226664.60513664616</v>
      </c>
      <c r="I4" s="17">
        <f t="shared" si="2"/>
        <v>2756097.394863354</v>
      </c>
    </row>
    <row r="5" spans="1:9" ht="15.75" customHeight="1" x14ac:dyDescent="0.25">
      <c r="A5" s="5">
        <f t="shared" si="3"/>
        <v>2027</v>
      </c>
      <c r="B5" s="49">
        <v>195149</v>
      </c>
      <c r="C5" s="50">
        <v>492694</v>
      </c>
      <c r="D5" s="50">
        <v>917610</v>
      </c>
      <c r="E5" s="50">
        <v>867241.50000000012</v>
      </c>
      <c r="F5" s="50">
        <v>723951.49999999988</v>
      </c>
      <c r="G5" s="17">
        <f t="shared" si="0"/>
        <v>3001497</v>
      </c>
      <c r="H5" s="17">
        <f t="shared" si="1"/>
        <v>224615.83122755593</v>
      </c>
      <c r="I5" s="17">
        <f t="shared" si="2"/>
        <v>2776881.1687724441</v>
      </c>
    </row>
    <row r="6" spans="1:9" ht="15.75" customHeight="1" x14ac:dyDescent="0.25">
      <c r="A6" s="5">
        <f t="shared" si="3"/>
        <v>2028</v>
      </c>
      <c r="B6" s="49">
        <v>193320</v>
      </c>
      <c r="C6" s="50">
        <v>496339</v>
      </c>
      <c r="D6" s="50">
        <v>917646.50000000012</v>
      </c>
      <c r="E6" s="50">
        <v>871108.5</v>
      </c>
      <c r="F6" s="50">
        <v>734326.5</v>
      </c>
      <c r="G6" s="17">
        <f t="shared" si="0"/>
        <v>3019420.5</v>
      </c>
      <c r="H6" s="17">
        <f t="shared" si="1"/>
        <v>222510.65848613682</v>
      </c>
      <c r="I6" s="17">
        <f t="shared" si="2"/>
        <v>2796909.8415138633</v>
      </c>
    </row>
    <row r="7" spans="1:9" ht="15.75" customHeight="1" x14ac:dyDescent="0.25">
      <c r="A7" s="5">
        <f t="shared" si="3"/>
        <v>2029</v>
      </c>
      <c r="B7" s="49">
        <v>191643</v>
      </c>
      <c r="C7" s="50">
        <v>497057</v>
      </c>
      <c r="D7" s="50">
        <v>919838.50000000012</v>
      </c>
      <c r="E7" s="50">
        <v>873165</v>
      </c>
      <c r="F7" s="50">
        <v>746038.50000000012</v>
      </c>
      <c r="G7" s="17">
        <f t="shared" si="0"/>
        <v>3036099</v>
      </c>
      <c r="H7" s="17">
        <f t="shared" si="1"/>
        <v>220580.43722459505</v>
      </c>
      <c r="I7" s="17">
        <f t="shared" si="2"/>
        <v>2815518.5627754051</v>
      </c>
    </row>
    <row r="8" spans="1:9" ht="15.75" customHeight="1" x14ac:dyDescent="0.25">
      <c r="A8" s="5">
        <f t="shared" si="3"/>
        <v>2030</v>
      </c>
      <c r="B8" s="49">
        <v>189916</v>
      </c>
      <c r="C8" s="50">
        <v>495875</v>
      </c>
      <c r="D8" s="50">
        <v>921390.5</v>
      </c>
      <c r="E8" s="50">
        <v>875742</v>
      </c>
      <c r="F8" s="50">
        <v>758489.49999999988</v>
      </c>
      <c r="G8" s="17">
        <f t="shared" si="0"/>
        <v>3051497</v>
      </c>
      <c r="H8" s="17">
        <f t="shared" si="1"/>
        <v>218592.66613414627</v>
      </c>
      <c r="I8" s="17">
        <f t="shared" si="2"/>
        <v>2832904.333865854</v>
      </c>
    </row>
    <row r="9" spans="1:9" ht="15.75" customHeight="1" x14ac:dyDescent="0.25">
      <c r="A9" s="5">
        <f t="shared" si="3"/>
        <v>2031</v>
      </c>
      <c r="B9" s="49">
        <v>188430</v>
      </c>
      <c r="C9" s="50">
        <v>493999.5</v>
      </c>
      <c r="D9" s="50">
        <v>922244</v>
      </c>
      <c r="E9" s="50">
        <v>878506.5</v>
      </c>
      <c r="F9" s="50">
        <v>771169</v>
      </c>
      <c r="G9" s="17">
        <f t="shared" si="0"/>
        <v>3065919</v>
      </c>
      <c r="H9" s="17">
        <f t="shared" si="1"/>
        <v>216882.28521902938</v>
      </c>
      <c r="I9" s="17">
        <f t="shared" si="2"/>
        <v>2849036.7147809705</v>
      </c>
    </row>
    <row r="10" spans="1:9" ht="15.75" customHeight="1" x14ac:dyDescent="0.25">
      <c r="A10" s="5">
        <f t="shared" si="3"/>
        <v>2032</v>
      </c>
      <c r="B10" s="49">
        <v>186778</v>
      </c>
      <c r="C10" s="50">
        <v>492052</v>
      </c>
      <c r="D10" s="50">
        <v>923694.99999999988</v>
      </c>
      <c r="E10" s="50">
        <v>879980.5</v>
      </c>
      <c r="F10" s="50">
        <v>783824</v>
      </c>
      <c r="G10" s="17">
        <f t="shared" si="0"/>
        <v>3079551.5</v>
      </c>
      <c r="H10" s="17">
        <f t="shared" si="1"/>
        <v>214980.83887194115</v>
      </c>
      <c r="I10" s="17">
        <f t="shared" si="2"/>
        <v>2864570.661128059</v>
      </c>
    </row>
    <row r="11" spans="1:9" ht="15.75" customHeight="1" x14ac:dyDescent="0.25">
      <c r="A11" s="5">
        <f t="shared" si="3"/>
        <v>2033</v>
      </c>
      <c r="B11" s="49">
        <v>185331</v>
      </c>
      <c r="C11" s="50">
        <v>490573.5</v>
      </c>
      <c r="D11" s="50">
        <v>925993.99999999988</v>
      </c>
      <c r="E11" s="50">
        <v>879842.5</v>
      </c>
      <c r="F11" s="50">
        <v>795701.5</v>
      </c>
      <c r="G11" s="17">
        <f t="shared" si="0"/>
        <v>3092111.5</v>
      </c>
      <c r="H11" s="17">
        <f t="shared" si="1"/>
        <v>213315.34682337174</v>
      </c>
      <c r="I11" s="17">
        <f t="shared" si="2"/>
        <v>2878796.1531766281</v>
      </c>
    </row>
    <row r="12" spans="1:9" ht="15.75" customHeight="1" x14ac:dyDescent="0.25">
      <c r="A12" s="5">
        <f t="shared" si="3"/>
        <v>2034</v>
      </c>
      <c r="B12" s="49">
        <v>184238</v>
      </c>
      <c r="C12" s="50">
        <v>489079</v>
      </c>
      <c r="D12" s="50">
        <v>929063</v>
      </c>
      <c r="E12" s="50">
        <v>878381.00000000012</v>
      </c>
      <c r="F12" s="50">
        <v>806566</v>
      </c>
      <c r="G12" s="17">
        <f t="shared" si="0"/>
        <v>3103089</v>
      </c>
      <c r="H12" s="17">
        <f t="shared" si="1"/>
        <v>212057.30756346407</v>
      </c>
      <c r="I12" s="17">
        <f t="shared" si="2"/>
        <v>2891031.6924365358</v>
      </c>
    </row>
    <row r="13" spans="1:9" ht="15.75" customHeight="1" x14ac:dyDescent="0.25">
      <c r="A13" s="5">
        <f t="shared" si="3"/>
        <v>2035</v>
      </c>
      <c r="B13" s="49">
        <v>183175</v>
      </c>
      <c r="C13" s="50">
        <v>486726</v>
      </c>
      <c r="D13" s="50">
        <v>932957.00000000012</v>
      </c>
      <c r="E13" s="50">
        <v>875839.99999999988</v>
      </c>
      <c r="F13" s="50">
        <v>816920.00000000012</v>
      </c>
      <c r="G13" s="17">
        <f t="shared" si="0"/>
        <v>3112443</v>
      </c>
      <c r="H13" s="17">
        <f t="shared" si="1"/>
        <v>210833.79820090064</v>
      </c>
      <c r="I13" s="17">
        <f t="shared" si="2"/>
        <v>2901609.2017990993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T9lUPbvCDf4ylT4nTgf/3OCEmwBuhP8QYUYihymfnSNZ5HviKhMSiuhZBlAmDFFMXCOnId7hj/k2wVIXP/BXDg==" saltValue="lmWvwr8B+DwGTbvdhMQVx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6.0485993951400526E-3</v>
      </c>
    </row>
    <row r="4" spans="1:8" ht="15.75" customHeight="1" x14ac:dyDescent="0.25">
      <c r="B4" s="19" t="s">
        <v>116</v>
      </c>
      <c r="C4" s="99">
        <v>4.9121595087840433E-2</v>
      </c>
    </row>
    <row r="5" spans="1:8" ht="15.75" customHeight="1" x14ac:dyDescent="0.25">
      <c r="B5" s="19" t="s">
        <v>114</v>
      </c>
      <c r="C5" s="99">
        <v>5.8054994194500588E-2</v>
      </c>
    </row>
    <row r="6" spans="1:8" ht="15.75" customHeight="1" x14ac:dyDescent="0.25">
      <c r="B6" s="19" t="s">
        <v>110</v>
      </c>
      <c r="C6" s="99">
        <v>0.2258224774177521</v>
      </c>
    </row>
    <row r="7" spans="1:8" ht="15.75" customHeight="1" x14ac:dyDescent="0.25">
      <c r="B7" s="19" t="s">
        <v>115</v>
      </c>
      <c r="C7" s="99">
        <v>0.41603395839660451</v>
      </c>
    </row>
    <row r="8" spans="1:8" ht="15.75" customHeight="1" x14ac:dyDescent="0.25">
      <c r="B8" s="19" t="s">
        <v>117</v>
      </c>
      <c r="C8" s="99">
        <v>7.6059992394000723E-4</v>
      </c>
    </row>
    <row r="9" spans="1:8" ht="15.75" customHeight="1" x14ac:dyDescent="0.25">
      <c r="B9" s="19" t="s">
        <v>111</v>
      </c>
      <c r="C9" s="99">
        <v>0.12002648799735111</v>
      </c>
    </row>
    <row r="10" spans="1:8" ht="15.75" customHeight="1" x14ac:dyDescent="0.25">
      <c r="B10" s="19" t="s">
        <v>113</v>
      </c>
      <c r="C10" s="99">
        <v>0.1241312875868712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0.22912193097089231</v>
      </c>
      <c r="D14" s="55">
        <v>0.22912193097089231</v>
      </c>
      <c r="E14" s="55">
        <v>0.22912193097089231</v>
      </c>
      <c r="F14" s="55">
        <v>0.22912193097089231</v>
      </c>
    </row>
    <row r="15" spans="1:8" ht="15.75" customHeight="1" x14ac:dyDescent="0.25">
      <c r="B15" s="19" t="s">
        <v>121</v>
      </c>
      <c r="C15" s="99">
        <v>0.33937854022706387</v>
      </c>
      <c r="D15" s="99">
        <v>0.33937854022706387</v>
      </c>
      <c r="E15" s="99">
        <v>0.33937854022706387</v>
      </c>
      <c r="F15" s="99">
        <v>0.33937854022706387</v>
      </c>
    </row>
    <row r="16" spans="1:8" ht="15.75" customHeight="1" x14ac:dyDescent="0.25">
      <c r="B16" s="19" t="s">
        <v>2</v>
      </c>
      <c r="C16" s="99">
        <v>2.4245794754319878E-2</v>
      </c>
      <c r="D16" s="99">
        <v>2.4245794754319878E-2</v>
      </c>
      <c r="E16" s="99">
        <v>2.4245794754319878E-2</v>
      </c>
      <c r="F16" s="99">
        <v>2.4245794754319878E-2</v>
      </c>
    </row>
    <row r="17" spans="1:8" ht="15.75" customHeight="1" x14ac:dyDescent="0.25">
      <c r="B17" s="19" t="s">
        <v>109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3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120</v>
      </c>
      <c r="C19" s="99">
        <v>1.9051883133129489E-2</v>
      </c>
      <c r="D19" s="99">
        <v>1.9051883133129489E-2</v>
      </c>
      <c r="E19" s="99">
        <v>1.9051883133129489E-2</v>
      </c>
      <c r="F19" s="99">
        <v>1.9051883133129489E-2</v>
      </c>
    </row>
    <row r="20" spans="1:8" ht="15.75" customHeight="1" x14ac:dyDescent="0.25">
      <c r="B20" s="19" t="s">
        <v>98</v>
      </c>
      <c r="C20" s="99">
        <v>8.1477541633472317E-2</v>
      </c>
      <c r="D20" s="99">
        <v>8.1477541633472317E-2</v>
      </c>
      <c r="E20" s="99">
        <v>8.1477541633472317E-2</v>
      </c>
      <c r="F20" s="99">
        <v>8.1477541633472317E-2</v>
      </c>
    </row>
    <row r="21" spans="1:8" ht="15.75" customHeight="1" x14ac:dyDescent="0.25">
      <c r="B21" s="19" t="s">
        <v>107</v>
      </c>
      <c r="C21" s="99">
        <v>0.2065836120404724</v>
      </c>
      <c r="D21" s="99">
        <v>0.2065836120404724</v>
      </c>
      <c r="E21" s="99">
        <v>0.2065836120404724</v>
      </c>
      <c r="F21" s="99">
        <v>0.2065836120404724</v>
      </c>
    </row>
    <row r="22" spans="1:8" ht="15.75" customHeight="1" x14ac:dyDescent="0.25">
      <c r="B22" s="19" t="s">
        <v>118</v>
      </c>
      <c r="C22" s="99">
        <v>0.1001406972406497</v>
      </c>
      <c r="D22" s="99">
        <v>0.1001406972406497</v>
      </c>
      <c r="E22" s="99">
        <v>0.1001406972406497</v>
      </c>
      <c r="F22" s="99">
        <v>0.1001406972406497</v>
      </c>
    </row>
    <row r="23" spans="1:8" ht="15.75" customHeight="1" x14ac:dyDescent="0.25">
      <c r="B23" s="27" t="s">
        <v>79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5.8856121999999997E-2</v>
      </c>
    </row>
    <row r="27" spans="1:8" ht="15.75" customHeight="1" x14ac:dyDescent="0.25">
      <c r="B27" s="19" t="s">
        <v>108</v>
      </c>
      <c r="C27" s="99">
        <v>4.7339935000000007E-2</v>
      </c>
    </row>
    <row r="28" spans="1:8" ht="15.75" customHeight="1" x14ac:dyDescent="0.25">
      <c r="B28" s="19" t="s">
        <v>122</v>
      </c>
      <c r="C28" s="99">
        <v>4.6576617000000001E-2</v>
      </c>
    </row>
    <row r="29" spans="1:8" ht="15.75" customHeight="1" x14ac:dyDescent="0.25">
      <c r="B29" s="19" t="s">
        <v>105</v>
      </c>
      <c r="C29" s="99">
        <v>0.21685436999999999</v>
      </c>
    </row>
    <row r="30" spans="1:8" ht="15.75" customHeight="1" x14ac:dyDescent="0.25">
      <c r="B30" s="19" t="s">
        <v>4</v>
      </c>
      <c r="C30" s="99">
        <v>7.5345098999999999E-2</v>
      </c>
    </row>
    <row r="31" spans="1:8" ht="15.75" customHeight="1" x14ac:dyDescent="0.25">
      <c r="B31" s="19" t="s">
        <v>99</v>
      </c>
      <c r="C31" s="99">
        <v>9.5101964999999997E-2</v>
      </c>
    </row>
    <row r="32" spans="1:8" ht="15.75" customHeight="1" x14ac:dyDescent="0.25">
      <c r="B32" s="19" t="s">
        <v>104</v>
      </c>
      <c r="C32" s="99">
        <v>2.7365589999999999E-2</v>
      </c>
    </row>
    <row r="33" spans="2:3" ht="15.75" customHeight="1" x14ac:dyDescent="0.25">
      <c r="B33" s="19" t="s">
        <v>119</v>
      </c>
      <c r="C33" s="99">
        <v>0.17758110599999999</v>
      </c>
    </row>
    <row r="34" spans="2:3" ht="15.75" customHeight="1" x14ac:dyDescent="0.25">
      <c r="B34" s="19" t="s">
        <v>106</v>
      </c>
      <c r="C34" s="99">
        <v>0.25497919600000002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uGCkysWh30MrvwDFZH8fzi8pHtjRnxMzKyrb4fpeAT9RWzeBmO88XWUhf3va9Pa2Anhd7J0BWuRxwJL/ecKwIg==" saltValue="1FhPSRABy2gJlnNZDWiDh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0.56451777559473926</v>
      </c>
      <c r="D2" s="52">
        <f>IFERROR(1-_xlfn.NORM.DIST(_xlfn.NORM.INV(SUM(D4:D5), 0, 1) + 1, 0, 1, TRUE), "")</f>
        <v>0.56451777559473926</v>
      </c>
      <c r="E2" s="52">
        <f>IFERROR(1-_xlfn.NORM.DIST(_xlfn.NORM.INV(SUM(E4:E5), 0, 1) + 1, 0, 1, TRUE), "")</f>
        <v>0.70269768048653758</v>
      </c>
      <c r="F2" s="52">
        <f>IFERROR(1-_xlfn.NORM.DIST(_xlfn.NORM.INV(SUM(F4:F5), 0, 1) + 1, 0, 1, TRUE), "")</f>
        <v>0.62585908305863014</v>
      </c>
      <c r="G2" s="52">
        <f>IFERROR(1-_xlfn.NORM.DIST(_xlfn.NORM.INV(SUM(G4:G5), 0, 1) + 1, 0, 1, TRUE), "")</f>
        <v>0.74035421417892222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0.31295252440526078</v>
      </c>
      <c r="D3" s="52">
        <f>IFERROR(_xlfn.NORM.DIST(_xlfn.NORM.INV(SUM(D4:D5), 0, 1) + 1, 0, 1, TRUE) - SUM(D4:D5), "")</f>
        <v>0.31295252440526078</v>
      </c>
      <c r="E3" s="52">
        <f>IFERROR(_xlfn.NORM.DIST(_xlfn.NORM.INV(SUM(E4:E5), 0, 1) + 1, 0, 1, TRUE) - SUM(E4:E5), "")</f>
        <v>0.23456271951346241</v>
      </c>
      <c r="F3" s="52">
        <f>IFERROR(_xlfn.NORM.DIST(_xlfn.NORM.INV(SUM(F4:F5), 0, 1) + 1, 0, 1, TRUE) - SUM(F4:F5), "")</f>
        <v>0.28087451694136989</v>
      </c>
      <c r="G3" s="52">
        <f>IFERROR(_xlfn.NORM.DIST(_xlfn.NORM.INV(SUM(G4:G5), 0, 1) + 1, 0, 1, TRUE) - SUM(G4:G5), "")</f>
        <v>0.20960288582107778</v>
      </c>
    </row>
    <row r="4" spans="1:15" ht="15.75" customHeight="1" x14ac:dyDescent="0.25">
      <c r="B4" s="5" t="s">
        <v>129</v>
      </c>
      <c r="C4" s="45">
        <v>8.5166599999999995E-2</v>
      </c>
      <c r="D4" s="53">
        <v>8.5166599999999995E-2</v>
      </c>
      <c r="E4" s="53">
        <v>4.03513E-2</v>
      </c>
      <c r="F4" s="53">
        <v>7.684980000000001E-2</v>
      </c>
      <c r="G4" s="53">
        <v>3.9599099999999998E-2</v>
      </c>
    </row>
    <row r="5" spans="1:15" ht="15.75" customHeight="1" x14ac:dyDescent="0.25">
      <c r="B5" s="5" t="s">
        <v>125</v>
      </c>
      <c r="C5" s="45">
        <v>3.7363100000000003E-2</v>
      </c>
      <c r="D5" s="53">
        <v>3.7363100000000003E-2</v>
      </c>
      <c r="E5" s="53">
        <v>2.23883E-2</v>
      </c>
      <c r="F5" s="53">
        <v>1.64166E-2</v>
      </c>
      <c r="G5" s="53">
        <v>1.04438E-2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0.75758766672667432</v>
      </c>
      <c r="D8" s="52">
        <f>IFERROR(1-_xlfn.NORM.DIST(_xlfn.NORM.INV(SUM(D10:D11), 0, 1) + 1, 0, 1, TRUE), "")</f>
        <v>0.75758766672667432</v>
      </c>
      <c r="E8" s="52">
        <f>IFERROR(1-_xlfn.NORM.DIST(_xlfn.NORM.INV(SUM(E10:E11), 0, 1) + 1, 0, 1, TRUE), "")</f>
        <v>0.78507651918548071</v>
      </c>
      <c r="F8" s="52">
        <f>IFERROR(1-_xlfn.NORM.DIST(_xlfn.NORM.INV(SUM(F10:F11), 0, 1) + 1, 0, 1, TRUE), "")</f>
        <v>0.87866206668305002</v>
      </c>
      <c r="G8" s="52">
        <f>IFERROR(1-_xlfn.NORM.DIST(_xlfn.NORM.INV(SUM(G10:G11), 0, 1) + 1, 0, 1, TRUE), "")</f>
        <v>0.86623189282990609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0.19771163327332564</v>
      </c>
      <c r="D9" s="52">
        <f>IFERROR(_xlfn.NORM.DIST(_xlfn.NORM.INV(SUM(D10:D11), 0, 1) + 1, 0, 1, TRUE) - SUM(D10:D11), "")</f>
        <v>0.19771163327332564</v>
      </c>
      <c r="E9" s="52">
        <f>IFERROR(_xlfn.NORM.DIST(_xlfn.NORM.INV(SUM(E10:E11), 0, 1) + 1, 0, 1, TRUE) - SUM(E10:E11), "")</f>
        <v>0.17815258081451935</v>
      </c>
      <c r="F9" s="52">
        <f>IFERROR(_xlfn.NORM.DIST(_xlfn.NORM.INV(SUM(F10:F11), 0, 1) + 1, 0, 1, TRUE) - SUM(F10:F11), "")</f>
        <v>0.10627093331694996</v>
      </c>
      <c r="G9" s="52">
        <f>IFERROR(_xlfn.NORM.DIST(_xlfn.NORM.INV(SUM(G10:G11), 0, 1) + 1, 0, 1, TRUE) - SUM(G10:G11), "")</f>
        <v>0.11628520717009388</v>
      </c>
    </row>
    <row r="10" spans="1:15" ht="15.75" customHeight="1" x14ac:dyDescent="0.25">
      <c r="B10" s="5" t="s">
        <v>126</v>
      </c>
      <c r="C10" s="45">
        <v>4.1314399999999987E-2</v>
      </c>
      <c r="D10" s="53">
        <v>4.1314399999999987E-2</v>
      </c>
      <c r="E10" s="53">
        <v>2.36829E-2</v>
      </c>
      <c r="F10" s="53">
        <v>1.12078E-2</v>
      </c>
      <c r="G10" s="53">
        <v>1.31965E-2</v>
      </c>
    </row>
    <row r="11" spans="1:15" ht="15.75" customHeight="1" x14ac:dyDescent="0.25">
      <c r="B11" s="5" t="s">
        <v>138</v>
      </c>
      <c r="C11" s="45">
        <v>3.3863000000000001E-3</v>
      </c>
      <c r="D11" s="53">
        <v>3.3863000000000001E-3</v>
      </c>
      <c r="E11" s="53">
        <v>1.3088000000000001E-2</v>
      </c>
      <c r="F11" s="53">
        <v>3.8592000000000001E-3</v>
      </c>
      <c r="G11" s="53">
        <v>4.2864000000000001E-3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0.50174759925000001</v>
      </c>
      <c r="D14" s="54">
        <v>0.46968953879899999</v>
      </c>
      <c r="E14" s="54">
        <v>0.46968953879899999</v>
      </c>
      <c r="F14" s="54">
        <v>0.20441530939300001</v>
      </c>
      <c r="G14" s="54">
        <v>0.20441530939300001</v>
      </c>
      <c r="H14" s="45">
        <v>0.32600000000000001</v>
      </c>
      <c r="I14" s="55">
        <v>0.32600000000000001</v>
      </c>
      <c r="J14" s="55">
        <v>0.32600000000000001</v>
      </c>
      <c r="K14" s="55">
        <v>0.32600000000000001</v>
      </c>
      <c r="L14" s="45">
        <v>0.29599999999999999</v>
      </c>
      <c r="M14" s="55">
        <v>0.29599999999999999</v>
      </c>
      <c r="N14" s="55">
        <v>0.29599999999999999</v>
      </c>
      <c r="O14" s="55">
        <v>0.29599999999999999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0.27483024049879046</v>
      </c>
      <c r="D15" s="52">
        <f t="shared" si="0"/>
        <v>0.25727056611899701</v>
      </c>
      <c r="E15" s="52">
        <f t="shared" si="0"/>
        <v>0.25727056611899701</v>
      </c>
      <c r="F15" s="52">
        <f t="shared" si="0"/>
        <v>0.11196766805877817</v>
      </c>
      <c r="G15" s="52">
        <f t="shared" si="0"/>
        <v>0.11196766805877817</v>
      </c>
      <c r="H15" s="52">
        <f t="shared" si="0"/>
        <v>0.17856519599999998</v>
      </c>
      <c r="I15" s="52">
        <f t="shared" si="0"/>
        <v>0.17856519599999998</v>
      </c>
      <c r="J15" s="52">
        <f t="shared" si="0"/>
        <v>0.17856519599999998</v>
      </c>
      <c r="K15" s="52">
        <f t="shared" si="0"/>
        <v>0.17856519599999998</v>
      </c>
      <c r="L15" s="52">
        <f t="shared" si="0"/>
        <v>0.16213281599999999</v>
      </c>
      <c r="M15" s="52">
        <f t="shared" si="0"/>
        <v>0.16213281599999999</v>
      </c>
      <c r="N15" s="52">
        <f t="shared" si="0"/>
        <v>0.16213281599999999</v>
      </c>
      <c r="O15" s="52">
        <f t="shared" si="0"/>
        <v>0.16213281599999999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quNqFOd4HtLRC7R86FlT0W605yyANDyJc4HOBYlg6yNkW6KbOXHoFiQX8/zIRzN+Tdu/4xRAjbvcATPna6d2rw==" saltValue="UcZP0dW/3wuzemQS9gDeG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0.29937930000000001</v>
      </c>
      <c r="D2" s="53">
        <v>0.1093624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0.1089856</v>
      </c>
      <c r="D3" s="53">
        <v>8.7410599999999991E-2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0.49956450000000002</v>
      </c>
      <c r="D4" s="53">
        <v>0.55019019999999996</v>
      </c>
      <c r="E4" s="53">
        <v>0.41668080000000002</v>
      </c>
      <c r="F4" s="53">
        <v>0.2156785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9.2070600000000002E-2</v>
      </c>
      <c r="D5" s="52">
        <f t="shared" si="0"/>
        <v>0.25303680000000006</v>
      </c>
      <c r="E5" s="52">
        <f>1-SUM(E2:E4)</f>
        <v>0.58331920000000004</v>
      </c>
      <c r="F5" s="52">
        <f>1-SUM(F2:F4)</f>
        <v>0.7843215</v>
      </c>
      <c r="G5" s="52">
        <f>1-SUM(G2:G4)</f>
        <v>1</v>
      </c>
    </row>
  </sheetData>
  <sheetProtection algorithmName="SHA-512" hashValue="TQZJKFVL3acV0r4NkHN1Qpwb7XmncwvHmwfjSMhFVlz98kUOSN6m+s4m/nYs1tWdS//8no4l8NDab0DtzSRJqQ==" saltValue="07/fCHl5z85EpyNym3jPm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KJk9kK8W+Ku9V7v1MfmJT5COSlIlqJt9sGWtieRD+tP3oWYidJBo07I4q65/5p+HqX9mk7ODEQrPopurmA5EYQ==" saltValue="kwHzzrKqd9ZM+AT04/d4z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1011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0.47381999999999996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0.54799999999999993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1.3737801545026355E-2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97149.937449999998</v>
      </c>
      <c r="C22" s="107">
        <v>97011.622350000005</v>
      </c>
      <c r="D22" s="107">
        <v>96870.89675</v>
      </c>
      <c r="E22" s="107">
        <v>96506.763260000007</v>
      </c>
      <c r="F22" s="107">
        <v>95816.387539999996</v>
      </c>
      <c r="G22" s="107">
        <v>95014.385200000004</v>
      </c>
      <c r="H22" s="107">
        <v>93996.911410000001</v>
      </c>
      <c r="I22" s="107">
        <v>92742.943530000004</v>
      </c>
      <c r="J22" s="107">
        <v>91112.365049999993</v>
      </c>
      <c r="K22" s="107">
        <v>88891.945370000001</v>
      </c>
      <c r="L22" s="107">
        <v>85609.27781</v>
      </c>
      <c r="M22" s="107">
        <v>81496.322450000007</v>
      </c>
      <c r="N22" s="107">
        <v>75174.959220000004</v>
      </c>
      <c r="O22" s="107">
        <v>67728.055529999998</v>
      </c>
    </row>
  </sheetData>
  <sheetProtection algorithmName="SHA-512" hashValue="zDhWih9GiASt2PYgSA73lHXUJKr5PrGuU6BiAn2c1+uFe0wXcVj35aeXhBeqWsyZ/oIkBZ6DPKmowm18JUj/tA==" saltValue="Sk0/4YqQ9tYxmdDIgp9hm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2lRdfFpAVyRuJAAvGLeFNAPSj5GdUUxqBbyYgaPSBaJ6lVvSUOV2pBiCs1zTUXxNhtJrXVxWA0AdCDWw3K8vFw==" saltValue="MOFSKR8gA31u1oiCWSFC0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z4a5k28AmX5jk0h+TABc1R/8obgFYSwf4cIQGzhEuufiyhLC/6aUMTxhZHsunY8qQXLgD1KwN748Lvh/TG2MzQ==" saltValue="C0MgXJJnc1jcsQdo8pq2N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19.75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19.75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21.195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0.48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0.79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0.32855565777368906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0.81492059999999999</v>
      </c>
      <c r="C10" s="96">
        <v>0.95</v>
      </c>
      <c r="D10" s="56">
        <v>13.38102589680655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13.38102589680655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13.38102589680655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13.38102589680655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0.81492059999999999</v>
      </c>
      <c r="C14" s="96">
        <v>0.95</v>
      </c>
      <c r="D14" s="56">
        <v>13.38102589680655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13.38102589680655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</v>
      </c>
      <c r="C16" s="96">
        <v>0.95</v>
      </c>
      <c r="D16" s="56">
        <v>2.5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</v>
      </c>
      <c r="C17" s="96">
        <v>0.95</v>
      </c>
      <c r="D17" s="56">
        <v>0.14000000000000001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0.1093624</v>
      </c>
      <c r="C18" s="96">
        <v>0.95</v>
      </c>
      <c r="D18" s="56">
        <v>21.195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0.1093624</v>
      </c>
      <c r="C19" s="96">
        <v>0.95</v>
      </c>
      <c r="D19" s="56">
        <v>15.41953529560689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7.48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21.195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</v>
      </c>
      <c r="C23" s="96">
        <v>0.95</v>
      </c>
      <c r="D23" s="56">
        <v>4.5098666953578306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0.90352332409703906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0.81492059999999999</v>
      </c>
      <c r="C26" s="96">
        <v>0.95</v>
      </c>
      <c r="D26" s="56">
        <v>4.4421306161984946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9.2958524157825622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0.53186440000000001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0.51067689999999999</v>
      </c>
      <c r="C29" s="96">
        <v>0.95</v>
      </c>
      <c r="D29" s="56">
        <v>151.1814173381797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53.05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123.05968780269725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</v>
      </c>
      <c r="C32" s="96">
        <v>0.95</v>
      </c>
      <c r="D32" s="56">
        <v>1.5917274986535743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0.48324859999999997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0.19111349999999999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4.2315E-3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0.80348219999999992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</v>
      </c>
      <c r="C38" s="96">
        <v>0.95</v>
      </c>
      <c r="D38" s="56">
        <v>2.4500000000000002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3.43</v>
      </c>
      <c r="E39" s="56" t="s">
        <v>212</v>
      </c>
      <c r="F39" s="96">
        <v>1</v>
      </c>
      <c r="G39" s="96">
        <v>1</v>
      </c>
    </row>
  </sheetData>
  <sheetProtection algorithmName="SHA-512" hashValue="WL5APLGxMam1u7V7FULZebNYsIsL6f/maapIZthXsqRVJSPcEw183t3G5YDfflvcSlWOplKrZ+36HWjT+829cg==" saltValue="bUlGbBtKCSZ7f6o3UpAUJ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vSuOsU13nkXh7N6yC8tAOII1z4FkJG1HOE7ptB9hxrfEutdZ2TLLdLJsCWciW77/HaQvnpy6xfom1Ir5VaNlwA==" saltValue="gDtF3wWMQUpukduYuryRx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f0sSVHsv/6j+YOU1Eqjj2HKi/54zPIap7X4zZQTlr7j1N29z0pavB9I3xh/3pyTmkBEu1hVLI//58A0F1vSCbQ==" saltValue="QsmS/MUVXr+wzvDUWmgiy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3.2</v>
      </c>
      <c r="C2" s="21">
        <f>'Entradas de población-año base'!C52</f>
        <v>3.2</v>
      </c>
      <c r="D2" s="21">
        <f>'Entradas de población-año base'!C53</f>
        <v>3.2</v>
      </c>
      <c r="E2" s="21">
        <f>'Entradas de población-año base'!C54</f>
        <v>3.2</v>
      </c>
      <c r="F2" s="21">
        <f>'Entradas de población-año base'!C55</f>
        <v>3.2</v>
      </c>
    </row>
    <row r="3" spans="1:6" ht="15.75" customHeight="1" x14ac:dyDescent="0.25">
      <c r="A3" s="3" t="s">
        <v>6</v>
      </c>
      <c r="B3" s="21">
        <f>frac_mam_1month * 2.6</f>
        <v>0.10741743999999998</v>
      </c>
      <c r="C3" s="21">
        <f>frac_mam_1_5months * 2.6</f>
        <v>0.10741743999999998</v>
      </c>
      <c r="D3" s="21">
        <f>frac_mam_6_11months * 2.6</f>
        <v>6.1575540000000005E-2</v>
      </c>
      <c r="E3" s="21">
        <f>frac_mam_12_23months * 2.6</f>
        <v>2.9140280000000001E-2</v>
      </c>
      <c r="F3" s="21">
        <f>frac_mam_24_59months * 2.6</f>
        <v>3.4310899999999998E-2</v>
      </c>
    </row>
    <row r="4" spans="1:6" ht="15.75" customHeight="1" x14ac:dyDescent="0.25">
      <c r="A4" s="3" t="s">
        <v>236</v>
      </c>
      <c r="B4" s="21">
        <f>frac_sam_1month * 2.6</f>
        <v>8.8043800000000005E-3</v>
      </c>
      <c r="C4" s="21">
        <f>frac_sam_1_5months * 2.6</f>
        <v>8.8043800000000005E-3</v>
      </c>
      <c r="D4" s="21">
        <f>frac_sam_6_11months * 2.6</f>
        <v>3.4028800000000005E-2</v>
      </c>
      <c r="E4" s="21">
        <f>frac_sam_12_23months * 2.6</f>
        <v>1.003392E-2</v>
      </c>
      <c r="F4" s="21">
        <f>frac_sam_24_59months * 2.6</f>
        <v>1.1144640000000001E-2</v>
      </c>
    </row>
  </sheetData>
  <sheetProtection algorithmName="SHA-512" hashValue="D8PRHVXZNrGiCsOmW1rforES3Hgst3x+eCg9x64sZlDQcHnX1s+DR6X5cRCW/SGThkyw/fvgcJAuIRUeUGKB5A==" saltValue="S0Jj3hQPZwGnavItMoaIK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0.01</v>
      </c>
      <c r="F2" s="60">
        <f>food_insecure</f>
        <v>0.01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0.01</v>
      </c>
      <c r="F5" s="60">
        <f>food_insecure</f>
        <v>0.01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0.01</v>
      </c>
      <c r="F8" s="60">
        <f>food_insecure</f>
        <v>0.01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0.01</v>
      </c>
      <c r="F9" s="60">
        <f>food_insecure</f>
        <v>0.01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0.01</v>
      </c>
      <c r="I15" s="60">
        <f t="shared" si="0"/>
        <v>0.01</v>
      </c>
      <c r="J15" s="60">
        <f t="shared" si="0"/>
        <v>0.01</v>
      </c>
      <c r="K15" s="60">
        <f t="shared" si="0"/>
        <v>0.01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0.01</v>
      </c>
      <c r="I16" s="60">
        <f t="shared" si="0"/>
        <v>0.01</v>
      </c>
      <c r="J16" s="60">
        <f t="shared" si="0"/>
        <v>0.01</v>
      </c>
      <c r="K16" s="60">
        <f t="shared" si="0"/>
        <v>0.01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0.159</v>
      </c>
      <c r="M24" s="60">
        <f>famplan_unmet_need</f>
        <v>0.159</v>
      </c>
      <c r="N24" s="60">
        <f>famplan_unmet_need</f>
        <v>0.159</v>
      </c>
      <c r="O24" s="60">
        <f>famplan_unmet_need</f>
        <v>0.159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0.1270204215927124</v>
      </c>
      <c r="M25" s="60">
        <f>(1-food_insecure)*(0.49)+food_insecure*(0.7)</f>
        <v>0.49209999999999998</v>
      </c>
      <c r="N25" s="60">
        <f>(1-food_insecure)*(0.49)+food_insecure*(0.7)</f>
        <v>0.49209999999999998</v>
      </c>
      <c r="O25" s="60">
        <f>(1-food_insecure)*(0.49)+food_insecure*(0.7)</f>
        <v>0.49209999999999998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5.4437323539733892E-2</v>
      </c>
      <c r="M26" s="60">
        <f>(1-food_insecure)*(0.21)+food_insecure*(0.3)</f>
        <v>0.2109</v>
      </c>
      <c r="N26" s="60">
        <f>(1-food_insecure)*(0.21)+food_insecure*(0.3)</f>
        <v>0.2109</v>
      </c>
      <c r="O26" s="60">
        <f>(1-food_insecure)*(0.21)+food_insecure*(0.3)</f>
        <v>0.2109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7.6661380233764648E-2</v>
      </c>
      <c r="M27" s="60">
        <f>(1-food_insecure)*(0.3)</f>
        <v>0.29699999999999999</v>
      </c>
      <c r="N27" s="60">
        <f>(1-food_insecure)*(0.3)</f>
        <v>0.29699999999999999</v>
      </c>
      <c r="O27" s="60">
        <f>(1-food_insecure)*(0.3)</f>
        <v>0.29699999999999999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0.74188087463378904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3a7eqtRsMg6jj920UQ7YSeFdFUuFr00gBHlFc7dWvglAub0wLUWmlLyezW4rqiewlsHdHB8BdIQPRZCmIn6GNA==" saltValue="NMPXer8Iks22LbV+xnj0r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Jq3poE0+ImV3+7E2NHyHqvyrbe1zXWonMry9yBYq9nCKuPIZMr+EoE3jnuIvF1Y6K+9zI3XArLwsO0XW6b7mHQ==" saltValue="5cm7lsWvTH2vtkB+geUes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OTYNRP31MJosaRjRcS1Fde+jbAtw/df4Fhfub1VA0aU3ksEuT3U95mW79WiZkGmqPfGkXMcZjgUrHEcQDRP31A==" saltValue="z7lWXDBx2JD1tZ6zDbCXk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IgpNoQxMGmu9ur4hTIhM0f3O7nSPJ0qWs8h51BxnZXh1iWrLV0gLyqJYuF54Wo6nQ1CEY9Z/pymfVPRkDmxoRA==" saltValue="DWFR7nRC0+6rvPJGC4Luk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MuADFI3P2a72QyIpCnIWh/GBBvqTOFWsslrICF/3XRLI10od0zfpP4B68O3kxBXe1iMiZ7cxDQJFiA5owEWiEQ==" saltValue="Pbz9RX8mQrAT4V367+EN2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+spd01f0sY+tScaGjqmaXPf95JeH5OklTn89JRqLEYAAcWpLQTp5iSJXyqvzj4T6bYI35l7kkRh0fY5Nrw8cXQ==" saltValue="H4t0INPbteyfF4aAbicjZ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CcX6iql18WLmJ9NQ10uF2B/CvkAu4uOUZqMp5j4r3VlpAiVBV77xoDSkvYtY4lOFXOyZusO/eYgoQvbK8UYF4w==" saltValue="y9xudYhCGD9Bfbef2XvR8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ct63MmOHDMQQBVSG1Hjg90kBjEl8NuW2Rj/CJmvnRUilZBReLniOAiPUNbJ25qWM7epFu0j/rO7O4yS2NVf92g==" saltValue="jHvrP1IX9SEl0N4PN0/yd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EjvEQtwbE6pHe6nik7P1OYo2BhT+zMKPXifBLAWDV2nckICHA0urkVyW0Lo0lTte2vZXVZLoE5EOaP0cHnKS/Q==" saltValue="/kuXRpDoAC3kLEAI7pmzT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hBh6XgyzCjF4vJbhQw/jfo4WHrR0RZIKA3Ca/keMG8JUdUJSWkDbRKGe4ErVyrKs5YjHbYHKXzSmanbW6J1I+g==" saltValue="mojcQcqqW3/xT9jFBti++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UC8u8lTzh84sr5y9PXOQEpAhUp1Qz0kN9RhGrCHVlSYZ7ATsZxeyAlwj6pOr4bY5wSAFFQDNyxrx8Al6E1ky+A==" saltValue="nG86FxN8AEdRSPjEvjNK7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rS2TXOCm/FhgAi2tUkLHmgGzzv/tb1i/VXTJwir9kfTrpB/3CiIlGzwJFjvtXBfmpMs+gbpvvxgg1ugpoz9apA==" saltValue="jTUe059PXXkqKyiCCW5/8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m6+WFW5wpo28Ki8CAcO0S52CEUZcMV5aixyhZG1R6Dh+B2+EqZXt6qPHD921Ewash/zkh3eiyzXv7ZSvKkL+GQ==" saltValue="xxsnF6kRLEqFcA67KBkWO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itAhv64Mf3axPDSNu97cn+F3H4iKVOOaD5xxXKXp9Z1fBL3FNKI58w9XkP+VfgKe/ua/kFvinGIzkhO7ECWU1g==" saltValue="p0vJcpMlYCLjL0Fga4HAI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vio20ROWf6gnaUZAcydrWnPKiNb9C8MPHOrZHJJYD6RsCgj+R0L5LothC/uuKnrVuX77RwkV+q2uo+4UApYaiQ==" saltValue="b1JjuU8Imbo743gSltDSt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2026-04-29T02:00:34Z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