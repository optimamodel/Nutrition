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90BE52F1-085D-4B8E-9A87-5C5205C41FBC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F112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G39" i="2"/>
  <c r="I39" i="2" s="1"/>
  <c r="H38" i="2"/>
  <c r="G38" i="2"/>
  <c r="I38" i="2" s="1"/>
  <c r="A37" i="2"/>
  <c r="A36" i="2"/>
  <c r="A35" i="2"/>
  <c r="A34" i="2"/>
  <c r="A33" i="2"/>
  <c r="A29" i="2"/>
  <c r="A28" i="2"/>
  <c r="A27" i="2"/>
  <c r="A26" i="2"/>
  <c r="A25" i="2"/>
  <c r="A24" i="2"/>
  <c r="A20" i="2"/>
  <c r="A19" i="2"/>
  <c r="A18" i="2"/>
  <c r="A17" i="2"/>
  <c r="A16" i="2"/>
  <c r="A15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A3" i="2"/>
  <c r="H2" i="2"/>
  <c r="G2" i="2"/>
  <c r="A2" i="2"/>
  <c r="A40" i="2" s="1"/>
  <c r="C33" i="1"/>
  <c r="C20" i="1"/>
  <c r="A21" i="2" l="1"/>
  <c r="A31" i="2"/>
  <c r="I2" i="2"/>
  <c r="A23" i="2"/>
  <c r="A32" i="2"/>
  <c r="A39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<sst xmlns="http://schemas.openxmlformats.org/spreadsheetml/2006/main" count="2101" uniqueCount="341">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</sst>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18886935.875</v>
      </c>
    </row>
    <row r="8" spans="1:3" ht="15" customHeight="1" x14ac:dyDescent="0.25">
      <c r="B8" s="5" t="s">
        <v>44</v>
      </c>
      <c r="C8" s="44">
        <v>0.308</v>
      </c>
    </row>
    <row r="9" spans="1:3" ht="15" customHeight="1" x14ac:dyDescent="0.25">
      <c r="B9" s="5" t="s">
        <v>43</v>
      </c>
      <c r="C9" s="45">
        <v>0.14000000000000001</v>
      </c>
    </row>
    <row r="10" spans="1:3" ht="15" customHeight="1" x14ac:dyDescent="0.25">
      <c r="B10" s="5" t="s">
        <v>56</v>
      </c>
      <c r="C10" s="45">
        <v>0.81408699039999999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0.10299999999999999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2.3800000000000002E-2</v>
      </c>
    </row>
    <row r="24" spans="1:3" ht="15" customHeight="1" x14ac:dyDescent="0.25">
      <c r="B24" s="15" t="s">
        <v>46</v>
      </c>
      <c r="C24" s="45">
        <v>0.4365</v>
      </c>
    </row>
    <row r="25" spans="1:3" ht="15" customHeight="1" x14ac:dyDescent="0.25">
      <c r="B25" s="15" t="s">
        <v>47</v>
      </c>
      <c r="C25" s="45">
        <v>0.49280000000000002</v>
      </c>
    </row>
    <row r="26" spans="1:3" ht="15" customHeight="1" x14ac:dyDescent="0.25">
      <c r="B26" s="15" t="s">
        <v>48</v>
      </c>
      <c r="C26" s="45">
        <v>4.6899999999999997E-2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0.18812535867607999</v>
      </c>
    </row>
    <row r="30" spans="1:3" ht="14.25" customHeight="1" x14ac:dyDescent="0.25">
      <c r="B30" s="25" t="s">
        <v>63</v>
      </c>
      <c r="C30" s="99">
        <v>7.529214782846369E-2</v>
      </c>
    </row>
    <row r="31" spans="1:3" ht="14.25" customHeight="1" x14ac:dyDescent="0.25">
      <c r="B31" s="25" t="s">
        <v>10</v>
      </c>
      <c r="C31" s="99">
        <v>0.10030682254742999</v>
      </c>
    </row>
    <row r="32" spans="1:3" ht="14.25" customHeight="1" x14ac:dyDescent="0.25">
      <c r="B32" s="25" t="s">
        <v>11</v>
      </c>
      <c r="C32" s="99">
        <v>0.63627567094802595</v>
      </c>
    </row>
    <row r="33" spans="1:5" ht="13" customHeight="1" x14ac:dyDescent="0.25">
      <c r="B33" s="27" t="s">
        <v>60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26.188870000000001</v>
      </c>
    </row>
    <row r="38" spans="1:5" ht="15" customHeight="1" x14ac:dyDescent="0.25">
      <c r="B38" s="11" t="s">
        <v>35</v>
      </c>
      <c r="C38" s="43">
        <v>34.274819999999998</v>
      </c>
      <c r="D38" s="12"/>
      <c r="E38" s="13"/>
    </row>
    <row r="39" spans="1:5" ht="15" customHeight="1" x14ac:dyDescent="0.25">
      <c r="B39" s="11" t="s">
        <v>61</v>
      </c>
      <c r="C39" s="43">
        <v>46.81147</v>
      </c>
      <c r="D39" s="12"/>
      <c r="E39" s="12"/>
    </row>
    <row r="40" spans="1:5" ht="15" customHeight="1" x14ac:dyDescent="0.25">
      <c r="B40" s="11" t="s">
        <v>36</v>
      </c>
      <c r="C40" s="100">
        <v>2.67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20.564900000000002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1.10796E-2</v>
      </c>
      <c r="D45" s="12"/>
    </row>
    <row r="46" spans="1:5" ht="15.75" customHeight="1" x14ac:dyDescent="0.25">
      <c r="B46" s="11" t="s">
        <v>51</v>
      </c>
      <c r="C46" s="45">
        <v>0.1180031</v>
      </c>
      <c r="D46" s="12"/>
    </row>
    <row r="47" spans="1:5" ht="15.75" customHeight="1" x14ac:dyDescent="0.25">
      <c r="B47" s="11" t="s">
        <v>59</v>
      </c>
      <c r="C47" s="45">
        <v>0.15551380000000001</v>
      </c>
      <c r="D47" s="12"/>
      <c r="E47" s="13"/>
    </row>
    <row r="48" spans="1:5" ht="15" customHeight="1" x14ac:dyDescent="0.25">
      <c r="B48" s="11" t="s">
        <v>58</v>
      </c>
      <c r="C48" s="46">
        <v>0.71540350000000008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3.3</v>
      </c>
      <c r="D51" s="12"/>
    </row>
    <row r="52" spans="1:4" ht="15" customHeight="1" x14ac:dyDescent="0.25">
      <c r="B52" s="11" t="s">
        <v>13</v>
      </c>
      <c r="C52" s="100">
        <v>3.3</v>
      </c>
    </row>
    <row r="53" spans="1:4" ht="15.75" customHeight="1" x14ac:dyDescent="0.25">
      <c r="B53" s="11" t="s">
        <v>16</v>
      </c>
      <c r="C53" s="100">
        <v>3.3</v>
      </c>
    </row>
    <row r="54" spans="1:4" ht="15.75" customHeight="1" x14ac:dyDescent="0.25">
      <c r="B54" s="11" t="s">
        <v>14</v>
      </c>
      <c r="C54" s="100">
        <v>3.3</v>
      </c>
    </row>
    <row r="55" spans="1:4" ht="15.75" customHeight="1" x14ac:dyDescent="0.25">
      <c r="B55" s="11" t="s">
        <v>15</v>
      </c>
      <c r="C55" s="100">
        <v>3.3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2.181818181818182E-2</v>
      </c>
    </row>
    <row r="59" spans="1:4" ht="15.75" customHeight="1" x14ac:dyDescent="0.25">
      <c r="B59" s="11" t="s">
        <v>40</v>
      </c>
      <c r="C59" s="45">
        <v>0.56030799999999992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LuolxAX5x0LdPwjFaWjJUDIJqSiALlT7IEciT9o5DEO6HnWF+0mLL1roSFzz+bZOmuivuVW+GHADxQIiGu9iwQ==" saltValue="VZDtoIlkA2453Oya4xEdu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2400</v>
      </c>
      <c r="C2" s="49">
        <v>7032</v>
      </c>
      <c r="D2" s="49">
        <v>10716</v>
      </c>
      <c r="E2" s="49">
        <v>7463</v>
      </c>
      <c r="F2" s="49">
        <v>4951.5</v>
      </c>
      <c r="G2" s="17">
        <f t="shared" ref="G2:G13" si="0">C2+D2+E2+F2</f>
        <v>30162.5</v>
      </c>
      <c r="H2" s="17">
        <f t="shared" ref="H2:H13" si="1">(B2 + stillbirth*B2/(1000-stillbirth))/(1-abortion)</f>
        <v>2784.5364407225425</v>
      </c>
      <c r="I2" s="17">
        <f t="shared" ref="I2:I13" si="2">G2-H2</f>
        <v>27377.963559277458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2415</v>
      </c>
      <c r="C3" s="50">
        <v>6952.5000000000009</v>
      </c>
      <c r="D3" s="50">
        <v>10797</v>
      </c>
      <c r="E3" s="50">
        <v>7757.5000000000009</v>
      </c>
      <c r="F3" s="50">
        <v>4968</v>
      </c>
      <c r="G3" s="17">
        <f t="shared" si="0"/>
        <v>30475</v>
      </c>
      <c r="H3" s="17">
        <f t="shared" si="1"/>
        <v>2801.9397934770582</v>
      </c>
      <c r="I3" s="17">
        <f t="shared" si="2"/>
        <v>27673.060206522943</v>
      </c>
    </row>
    <row r="4" spans="1:9" ht="15.75" customHeight="1" x14ac:dyDescent="0.25">
      <c r="A4" s="5">
        <f t="shared" si="3"/>
        <v>2026</v>
      </c>
      <c r="B4" s="49">
        <v>2426</v>
      </c>
      <c r="C4" s="50">
        <v>6849.5</v>
      </c>
      <c r="D4" s="50">
        <v>10881.5</v>
      </c>
      <c r="E4" s="50">
        <v>8059</v>
      </c>
      <c r="F4" s="50">
        <v>5011.5</v>
      </c>
      <c r="G4" s="17">
        <f t="shared" si="0"/>
        <v>30801.5</v>
      </c>
      <c r="H4" s="17">
        <f t="shared" si="1"/>
        <v>2814.7022521637032</v>
      </c>
      <c r="I4" s="17">
        <f t="shared" si="2"/>
        <v>27986.797747836295</v>
      </c>
    </row>
    <row r="5" spans="1:9" ht="15.75" customHeight="1" x14ac:dyDescent="0.25">
      <c r="A5" s="5">
        <f t="shared" si="3"/>
        <v>2027</v>
      </c>
      <c r="B5" s="49">
        <v>2439</v>
      </c>
      <c r="C5" s="50">
        <v>6777</v>
      </c>
      <c r="D5" s="50">
        <v>10882</v>
      </c>
      <c r="E5" s="50">
        <v>8399.5</v>
      </c>
      <c r="F5" s="50">
        <v>5082.5</v>
      </c>
      <c r="G5" s="17">
        <f t="shared" si="0"/>
        <v>31141</v>
      </c>
      <c r="H5" s="17">
        <f t="shared" si="1"/>
        <v>2829.7851578842833</v>
      </c>
      <c r="I5" s="17">
        <f t="shared" si="2"/>
        <v>28311.214842115718</v>
      </c>
    </row>
    <row r="6" spans="1:9" ht="15.75" customHeight="1" x14ac:dyDescent="0.25">
      <c r="A6" s="5">
        <f t="shared" si="3"/>
        <v>2028</v>
      </c>
      <c r="B6" s="49">
        <v>2448</v>
      </c>
      <c r="C6" s="50">
        <v>6705.5000000000009</v>
      </c>
      <c r="D6" s="50">
        <v>10802.5</v>
      </c>
      <c r="E6" s="50">
        <v>8789</v>
      </c>
      <c r="F6" s="50">
        <v>5155</v>
      </c>
      <c r="G6" s="17">
        <f t="shared" si="0"/>
        <v>31452</v>
      </c>
      <c r="H6" s="17">
        <f t="shared" si="1"/>
        <v>2840.2271695369932</v>
      </c>
      <c r="I6" s="17">
        <f t="shared" si="2"/>
        <v>28611.772830463007</v>
      </c>
    </row>
    <row r="7" spans="1:9" ht="15.75" customHeight="1" x14ac:dyDescent="0.25">
      <c r="A7" s="5">
        <f t="shared" si="3"/>
        <v>2029</v>
      </c>
      <c r="B7" s="49">
        <v>2442</v>
      </c>
      <c r="C7" s="50">
        <v>6600</v>
      </c>
      <c r="D7" s="50">
        <v>10763.5</v>
      </c>
      <c r="E7" s="50">
        <v>9110.5</v>
      </c>
      <c r="F7" s="50">
        <v>5215.5</v>
      </c>
      <c r="G7" s="17">
        <f t="shared" si="0"/>
        <v>31689.5</v>
      </c>
      <c r="H7" s="17">
        <f t="shared" si="1"/>
        <v>2833.2658284351864</v>
      </c>
      <c r="I7" s="17">
        <f t="shared" si="2"/>
        <v>28856.234171564814</v>
      </c>
    </row>
    <row r="8" spans="1:9" ht="15.75" customHeight="1" x14ac:dyDescent="0.25">
      <c r="A8" s="5">
        <f t="shared" si="3"/>
        <v>2030</v>
      </c>
      <c r="B8" s="49">
        <v>2433</v>
      </c>
      <c r="C8" s="50">
        <v>6507.0000000000009</v>
      </c>
      <c r="D8" s="50">
        <v>10740.5</v>
      </c>
      <c r="E8" s="50">
        <v>9350.5</v>
      </c>
      <c r="F8" s="50">
        <v>5295.5</v>
      </c>
      <c r="G8" s="17">
        <f t="shared" si="0"/>
        <v>31893.5</v>
      </c>
      <c r="H8" s="17">
        <f t="shared" si="1"/>
        <v>2822.823816782477</v>
      </c>
      <c r="I8" s="17">
        <f t="shared" si="2"/>
        <v>29070.676183217522</v>
      </c>
    </row>
    <row r="9" spans="1:9" ht="15.75" customHeight="1" x14ac:dyDescent="0.25">
      <c r="A9" s="5">
        <f t="shared" si="3"/>
        <v>2031</v>
      </c>
      <c r="B9" s="49">
        <v>2411</v>
      </c>
      <c r="C9" s="50">
        <v>6452.5</v>
      </c>
      <c r="D9" s="50">
        <v>10717</v>
      </c>
      <c r="E9" s="50">
        <v>9508.5</v>
      </c>
      <c r="F9" s="50">
        <v>5412</v>
      </c>
      <c r="G9" s="17">
        <f t="shared" si="0"/>
        <v>32090</v>
      </c>
      <c r="H9" s="17">
        <f t="shared" si="1"/>
        <v>2797.298899409187</v>
      </c>
      <c r="I9" s="17">
        <f t="shared" si="2"/>
        <v>29292.701100590813</v>
      </c>
    </row>
    <row r="10" spans="1:9" ht="15.75" customHeight="1" x14ac:dyDescent="0.25">
      <c r="A10" s="5">
        <f t="shared" si="3"/>
        <v>2032</v>
      </c>
      <c r="B10" s="49">
        <v>2391</v>
      </c>
      <c r="C10" s="50">
        <v>6410.5000000000009</v>
      </c>
      <c r="D10" s="50">
        <v>10698</v>
      </c>
      <c r="E10" s="50">
        <v>9571</v>
      </c>
      <c r="F10" s="50">
        <v>5564.5</v>
      </c>
      <c r="G10" s="17">
        <f t="shared" si="0"/>
        <v>32244</v>
      </c>
      <c r="H10" s="17">
        <f t="shared" si="1"/>
        <v>2774.0944290698326</v>
      </c>
      <c r="I10" s="17">
        <f t="shared" si="2"/>
        <v>29469.905570930168</v>
      </c>
    </row>
    <row r="11" spans="1:9" ht="15.75" customHeight="1" x14ac:dyDescent="0.25">
      <c r="A11" s="5">
        <f t="shared" si="3"/>
        <v>2033</v>
      </c>
      <c r="B11" s="49">
        <v>2366</v>
      </c>
      <c r="C11" s="50">
        <v>6379.5</v>
      </c>
      <c r="D11" s="50">
        <v>10625.5</v>
      </c>
      <c r="E11" s="50">
        <v>9637.5</v>
      </c>
      <c r="F11" s="50">
        <v>5789</v>
      </c>
      <c r="G11" s="17">
        <f t="shared" si="0"/>
        <v>32431.5</v>
      </c>
      <c r="H11" s="17">
        <f t="shared" si="1"/>
        <v>2745.0888411456394</v>
      </c>
      <c r="I11" s="17">
        <f t="shared" si="2"/>
        <v>29686.41115885436</v>
      </c>
    </row>
    <row r="12" spans="1:9" ht="15.75" customHeight="1" x14ac:dyDescent="0.25">
      <c r="A12" s="5">
        <f t="shared" si="3"/>
        <v>2034</v>
      </c>
      <c r="B12" s="49">
        <v>2347</v>
      </c>
      <c r="C12" s="50">
        <v>6359.0000000000009</v>
      </c>
      <c r="D12" s="50">
        <v>10529.5</v>
      </c>
      <c r="E12" s="50">
        <v>9718.5</v>
      </c>
      <c r="F12" s="50">
        <v>6055</v>
      </c>
      <c r="G12" s="17">
        <f t="shared" si="0"/>
        <v>32662</v>
      </c>
      <c r="H12" s="17">
        <f t="shared" si="1"/>
        <v>2723.0445943232526</v>
      </c>
      <c r="I12" s="17">
        <f t="shared" si="2"/>
        <v>29938.955405676748</v>
      </c>
    </row>
    <row r="13" spans="1:9" ht="15.75" customHeight="1" x14ac:dyDescent="0.25">
      <c r="A13" s="5">
        <f t="shared" si="3"/>
        <v>2035</v>
      </c>
      <c r="B13" s="49">
        <v>2335</v>
      </c>
      <c r="C13" s="50">
        <v>6352</v>
      </c>
      <c r="D13" s="50">
        <v>10402.5</v>
      </c>
      <c r="E13" s="50">
        <v>9800</v>
      </c>
      <c r="F13" s="50">
        <v>6329</v>
      </c>
      <c r="G13" s="17">
        <f t="shared" si="0"/>
        <v>32883.5</v>
      </c>
      <c r="H13" s="17">
        <f t="shared" si="1"/>
        <v>2709.12191211964</v>
      </c>
      <c r="I13" s="17">
        <f t="shared" si="2"/>
        <v>30174.378087880359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+46/hpt89sQnqcfCrCHnVNDjgx51a6MPj9B+u8ZtEcATQR44iRUICth+bE7lbVhgAtC8QqK+3m/FrX0HNpTi8g==" saltValue="MebDbP7WHYEl+LPPr+uJS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1.9891899999999921E-2</v>
      </c>
    </row>
    <row r="4" spans="1:8" ht="15.75" customHeight="1" x14ac:dyDescent="0.25">
      <c r="B4" s="19" t="s">
        <v>97</v>
      </c>
      <c r="C4" s="101">
        <v>7.4515400000000037E-2</v>
      </c>
    </row>
    <row r="5" spans="1:8" ht="15.75" customHeight="1" x14ac:dyDescent="0.25">
      <c r="B5" s="19" t="s">
        <v>95</v>
      </c>
      <c r="C5" s="101">
        <v>0.11823790000000001</v>
      </c>
    </row>
    <row r="6" spans="1:8" ht="15.75" customHeight="1" x14ac:dyDescent="0.25">
      <c r="B6" s="19" t="s">
        <v>91</v>
      </c>
      <c r="C6" s="101">
        <v>0.25948660000000018</v>
      </c>
    </row>
    <row r="7" spans="1:8" ht="15.75" customHeight="1" x14ac:dyDescent="0.25">
      <c r="B7" s="19" t="s">
        <v>96</v>
      </c>
      <c r="C7" s="101">
        <v>0.36006529999999981</v>
      </c>
    </row>
    <row r="8" spans="1:8" ht="15.75" customHeight="1" x14ac:dyDescent="0.25">
      <c r="B8" s="19" t="s">
        <v>98</v>
      </c>
      <c r="C8" s="101">
        <v>4.5411999999999961E-3</v>
      </c>
    </row>
    <row r="9" spans="1:8" ht="15.75" customHeight="1" x14ac:dyDescent="0.25">
      <c r="B9" s="19" t="s">
        <v>92</v>
      </c>
      <c r="C9" s="101">
        <v>4.8583099999999983E-2</v>
      </c>
    </row>
    <row r="10" spans="1:8" ht="15.75" customHeight="1" x14ac:dyDescent="0.25">
      <c r="B10" s="19" t="s">
        <v>94</v>
      </c>
      <c r="C10" s="101">
        <v>0.11467859999999989</v>
      </c>
    </row>
    <row r="11" spans="1:8" ht="15.75" customHeight="1" x14ac:dyDescent="0.25">
      <c r="B11" s="27" t="s">
        <v>60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0.19474125172663101</v>
      </c>
      <c r="D14" s="55">
        <v>0.19474125172663101</v>
      </c>
      <c r="E14" s="55">
        <v>0.19474125172663101</v>
      </c>
      <c r="F14" s="55">
        <v>0.19474125172663101</v>
      </c>
    </row>
    <row r="15" spans="1:8" ht="15.75" customHeight="1" x14ac:dyDescent="0.25">
      <c r="B15" s="19" t="s">
        <v>102</v>
      </c>
      <c r="C15" s="101">
        <v>0.2728039497558219</v>
      </c>
      <c r="D15" s="101">
        <v>0.2728039497558219</v>
      </c>
      <c r="E15" s="101">
        <v>0.2728039497558219</v>
      </c>
      <c r="F15" s="101">
        <v>0.2728039497558219</v>
      </c>
    </row>
    <row r="16" spans="1:8" ht="15.75" customHeight="1" x14ac:dyDescent="0.25">
      <c r="B16" s="19" t="s">
        <v>2</v>
      </c>
      <c r="C16" s="101">
        <v>3.9761713379282131E-2</v>
      </c>
      <c r="D16" s="101">
        <v>3.9761713379282131E-2</v>
      </c>
      <c r="E16" s="101">
        <v>3.9761713379282131E-2</v>
      </c>
      <c r="F16" s="101">
        <v>3.9761713379282131E-2</v>
      </c>
    </row>
    <row r="17" spans="1:8" ht="15.75" customHeight="1" x14ac:dyDescent="0.25">
      <c r="B17" s="19" t="s">
        <v>90</v>
      </c>
      <c r="C17" s="101">
        <v>8.5734847111629542E-2</v>
      </c>
      <c r="D17" s="101">
        <v>8.5734847111629542E-2</v>
      </c>
      <c r="E17" s="101">
        <v>8.5734847111629542E-2</v>
      </c>
      <c r="F17" s="101">
        <v>8.5734847111629542E-2</v>
      </c>
    </row>
    <row r="18" spans="1:8" ht="15.75" customHeight="1" x14ac:dyDescent="0.25">
      <c r="B18" s="19" t="s">
        <v>3</v>
      </c>
      <c r="C18" s="101">
        <v>2.34600871035626E-2</v>
      </c>
      <c r="D18" s="101">
        <v>2.34600871035626E-2</v>
      </c>
      <c r="E18" s="101">
        <v>2.34600871035626E-2</v>
      </c>
      <c r="F18" s="101">
        <v>2.34600871035626E-2</v>
      </c>
    </row>
    <row r="19" spans="1:8" ht="15.75" customHeight="1" x14ac:dyDescent="0.25">
      <c r="B19" s="19" t="s">
        <v>101</v>
      </c>
      <c r="C19" s="101">
        <v>5.4515108223392533E-2</v>
      </c>
      <c r="D19" s="101">
        <v>5.4515108223392533E-2</v>
      </c>
      <c r="E19" s="101">
        <v>5.4515108223392533E-2</v>
      </c>
      <c r="F19" s="101">
        <v>5.4515108223392533E-2</v>
      </c>
    </row>
    <row r="20" spans="1:8" ht="15.75" customHeight="1" x14ac:dyDescent="0.25">
      <c r="B20" s="19" t="s">
        <v>79</v>
      </c>
      <c r="C20" s="101">
        <v>3.5370094976026271E-2</v>
      </c>
      <c r="D20" s="101">
        <v>3.5370094976026271E-2</v>
      </c>
      <c r="E20" s="101">
        <v>3.5370094976026271E-2</v>
      </c>
      <c r="F20" s="101">
        <v>3.5370094976026271E-2</v>
      </c>
    </row>
    <row r="21" spans="1:8" ht="15.75" customHeight="1" x14ac:dyDescent="0.25">
      <c r="B21" s="19" t="s">
        <v>88</v>
      </c>
      <c r="C21" s="101">
        <v>9.0345210755778893E-2</v>
      </c>
      <c r="D21" s="101">
        <v>9.0345210755778893E-2</v>
      </c>
      <c r="E21" s="101">
        <v>9.0345210755778893E-2</v>
      </c>
      <c r="F21" s="101">
        <v>9.0345210755778893E-2</v>
      </c>
    </row>
    <row r="22" spans="1:8" ht="15.75" customHeight="1" x14ac:dyDescent="0.25">
      <c r="B22" s="19" t="s">
        <v>99</v>
      </c>
      <c r="C22" s="101">
        <v>0.20326773696787509</v>
      </c>
      <c r="D22" s="101">
        <v>0.20326773696787509</v>
      </c>
      <c r="E22" s="101">
        <v>0.20326773696787509</v>
      </c>
      <c r="F22" s="101">
        <v>0.20326773696787509</v>
      </c>
    </row>
    <row r="23" spans="1:8" ht="15.75" customHeight="1" x14ac:dyDescent="0.25">
      <c r="B23" s="27" t="s">
        <v>60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8.7529259999999998E-2</v>
      </c>
    </row>
    <row r="27" spans="1:8" ht="15.75" customHeight="1" x14ac:dyDescent="0.25">
      <c r="B27" s="19" t="s">
        <v>89</v>
      </c>
      <c r="C27" s="101">
        <v>8.5087389999999995E-3</v>
      </c>
    </row>
    <row r="28" spans="1:8" ht="15.75" customHeight="1" x14ac:dyDescent="0.25">
      <c r="B28" s="19" t="s">
        <v>103</v>
      </c>
      <c r="C28" s="101">
        <v>0.15587014399999999</v>
      </c>
    </row>
    <row r="29" spans="1:8" ht="15.75" customHeight="1" x14ac:dyDescent="0.25">
      <c r="B29" s="19" t="s">
        <v>86</v>
      </c>
      <c r="C29" s="101">
        <v>0.16769983199999999</v>
      </c>
    </row>
    <row r="30" spans="1:8" ht="15.75" customHeight="1" x14ac:dyDescent="0.25">
      <c r="B30" s="19" t="s">
        <v>4</v>
      </c>
      <c r="C30" s="101">
        <v>0.106388358</v>
      </c>
    </row>
    <row r="31" spans="1:8" ht="15.75" customHeight="1" x14ac:dyDescent="0.25">
      <c r="B31" s="19" t="s">
        <v>80</v>
      </c>
      <c r="C31" s="101">
        <v>0.108993619</v>
      </c>
    </row>
    <row r="32" spans="1:8" ht="15.75" customHeight="1" x14ac:dyDescent="0.25">
      <c r="B32" s="19" t="s">
        <v>85</v>
      </c>
      <c r="C32" s="101">
        <v>1.8349142999999998E-2</v>
      </c>
    </row>
    <row r="33" spans="2:3" ht="15.75" customHeight="1" x14ac:dyDescent="0.25">
      <c r="B33" s="19" t="s">
        <v>100</v>
      </c>
      <c r="C33" s="101">
        <v>8.4419259999999982E-2</v>
      </c>
    </row>
    <row r="34" spans="2:3" ht="15.75" customHeight="1" x14ac:dyDescent="0.25">
      <c r="B34" s="19" t="s">
        <v>87</v>
      </c>
      <c r="C34" s="101">
        <v>0.26224164300000002</v>
      </c>
    </row>
    <row r="35" spans="2:3" ht="15.75" customHeight="1" x14ac:dyDescent="0.25">
      <c r="B35" s="27" t="s">
        <v>60</v>
      </c>
      <c r="C35" s="48">
        <f>SUM(C26:C34)</f>
        <v>0.99999999800000006</v>
      </c>
    </row>
  </sheetData>
  <sheetProtection algorithmName="SHA-512" hashValue="k5e4mIkaU06Dkq/OUmDBUtAczlcDOK0q/mNXZJijiKHRs6NU9biKBuPpYDpPM6dzBf0VaXAEsjPImWk8Bp1ndQ==" saltValue="u2ayFOCnLUwSCjG7wp4R8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0.47914592269961154</v>
      </c>
      <c r="D2" s="52">
        <f>IFERROR(1-_xlfn.NORM.DIST(_xlfn.NORM.INV(SUM(D4:D5), 0, 1) + 1, 0, 1, TRUE), "")</f>
        <v>0.47914592269961154</v>
      </c>
      <c r="E2" s="52">
        <f>IFERROR(1-_xlfn.NORM.DIST(_xlfn.NORM.INV(SUM(E4:E5), 0, 1) + 1, 0, 1, TRUE), "")</f>
        <v>0.3522229761152027</v>
      </c>
      <c r="F2" s="52">
        <f>IFERROR(1-_xlfn.NORM.DIST(_xlfn.NORM.INV(SUM(F4:F5), 0, 1) + 1, 0, 1, TRUE), "")</f>
        <v>0.29072013946907083</v>
      </c>
      <c r="G2" s="52">
        <f>IFERROR(1-_xlfn.NORM.DIST(_xlfn.NORM.INV(SUM(G4:G5), 0, 1) + 1, 0, 1, TRUE), "")</f>
        <v>0.2067584686377506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0.34921367730038844</v>
      </c>
      <c r="D3" s="52">
        <f>IFERROR(_xlfn.NORM.DIST(_xlfn.NORM.INV(SUM(D4:D5), 0, 1) + 1, 0, 1, TRUE) - SUM(D4:D5), "")</f>
        <v>0.34921367730038844</v>
      </c>
      <c r="E3" s="52">
        <f>IFERROR(_xlfn.NORM.DIST(_xlfn.NORM.INV(SUM(E4:E5), 0, 1) + 1, 0, 1, TRUE) - SUM(E4:E5), "")</f>
        <v>0.38037002388479729</v>
      </c>
      <c r="F3" s="52">
        <f>IFERROR(_xlfn.NORM.DIST(_xlfn.NORM.INV(SUM(F4:F5), 0, 1) + 1, 0, 1, TRUE) - SUM(F4:F5), "")</f>
        <v>0.38246226053092913</v>
      </c>
      <c r="G3" s="52">
        <f>IFERROR(_xlfn.NORM.DIST(_xlfn.NORM.INV(SUM(G4:G5), 0, 1) + 1, 0, 1, TRUE) - SUM(G4:G5), "")</f>
        <v>0.3655599313622494</v>
      </c>
    </row>
    <row r="4" spans="1:15" ht="15.75" customHeight="1" x14ac:dyDescent="0.25">
      <c r="B4" s="5" t="s">
        <v>110</v>
      </c>
      <c r="C4" s="45">
        <v>0.13184029999999999</v>
      </c>
      <c r="D4" s="53">
        <v>0.13184029999999999</v>
      </c>
      <c r="E4" s="53">
        <v>0.181427</v>
      </c>
      <c r="F4" s="53">
        <v>0.2362543</v>
      </c>
      <c r="G4" s="53">
        <v>0.27492490000000003</v>
      </c>
    </row>
    <row r="5" spans="1:15" ht="15.75" customHeight="1" x14ac:dyDescent="0.25">
      <c r="B5" s="5" t="s">
        <v>106</v>
      </c>
      <c r="C5" s="45">
        <v>3.9800099999999998E-2</v>
      </c>
      <c r="D5" s="53">
        <v>3.9800099999999998E-2</v>
      </c>
      <c r="E5" s="53">
        <v>8.5980000000000001E-2</v>
      </c>
      <c r="F5" s="53">
        <v>9.0563300000000013E-2</v>
      </c>
      <c r="G5" s="53">
        <v>0.1527567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0.62354203285300214</v>
      </c>
      <c r="D8" s="52">
        <f>IFERROR(1-_xlfn.NORM.DIST(_xlfn.NORM.INV(SUM(D10:D11), 0, 1) + 1, 0, 1, TRUE), "")</f>
        <v>0.62354203285300214</v>
      </c>
      <c r="E8" s="52">
        <f>IFERROR(1-_xlfn.NORM.DIST(_xlfn.NORM.INV(SUM(E10:E11), 0, 1) + 1, 0, 1, TRUE), "")</f>
        <v>0.70334224397497291</v>
      </c>
      <c r="F8" s="52">
        <f>IFERROR(1-_xlfn.NORM.DIST(_xlfn.NORM.INV(SUM(F10:F11), 0, 1) + 1, 0, 1, TRUE), "")</f>
        <v>0.66275009797296724</v>
      </c>
      <c r="G8" s="52">
        <f>IFERROR(1-_xlfn.NORM.DIST(_xlfn.NORM.INV(SUM(G10:G11), 0, 1) + 1, 0, 1, TRUE), "")</f>
        <v>0.69595062527720364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0.28216886714699779</v>
      </c>
      <c r="D9" s="52">
        <f>IFERROR(_xlfn.NORM.DIST(_xlfn.NORM.INV(SUM(D10:D11), 0, 1) + 1, 0, 1, TRUE) - SUM(D10:D11), "")</f>
        <v>0.28216886714699779</v>
      </c>
      <c r="E9" s="52">
        <f>IFERROR(_xlfn.NORM.DIST(_xlfn.NORM.INV(SUM(E10:E11), 0, 1) + 1, 0, 1, TRUE) - SUM(E10:E11), "")</f>
        <v>0.23414755602502707</v>
      </c>
      <c r="F9" s="52">
        <f>IFERROR(_xlfn.NORM.DIST(_xlfn.NORM.INV(SUM(F10:F11), 0, 1) + 1, 0, 1, TRUE) - SUM(F10:F11), "")</f>
        <v>0.25944320202703269</v>
      </c>
      <c r="G9" s="52">
        <f>IFERROR(_xlfn.NORM.DIST(_xlfn.NORM.INV(SUM(G10:G11), 0, 1) + 1, 0, 1, TRUE) - SUM(G10:G11), "")</f>
        <v>0.23888277472279631</v>
      </c>
    </row>
    <row r="10" spans="1:15" ht="15.75" customHeight="1" x14ac:dyDescent="0.25">
      <c r="B10" s="5" t="s">
        <v>107</v>
      </c>
      <c r="C10" s="45">
        <v>8.2523899999999997E-2</v>
      </c>
      <c r="D10" s="53">
        <v>8.2523899999999997E-2</v>
      </c>
      <c r="E10" s="53">
        <v>5.2588700000000002E-2</v>
      </c>
      <c r="F10" s="53">
        <v>6.4587400000000003E-2</v>
      </c>
      <c r="G10" s="53">
        <v>5.2879199999999987E-2</v>
      </c>
    </row>
    <row r="11" spans="1:15" ht="15.75" customHeight="1" x14ac:dyDescent="0.25">
      <c r="B11" s="5" t="s">
        <v>119</v>
      </c>
      <c r="C11" s="45">
        <v>1.17652E-2</v>
      </c>
      <c r="D11" s="53">
        <v>1.17652E-2</v>
      </c>
      <c r="E11" s="53">
        <v>9.9214999999999998E-3</v>
      </c>
      <c r="F11" s="53">
        <v>1.32193E-2</v>
      </c>
      <c r="G11" s="53">
        <v>1.22874E-2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0.411891336</v>
      </c>
      <c r="D14" s="54">
        <v>0.43827971236899999</v>
      </c>
      <c r="E14" s="54">
        <v>0.43827971236899999</v>
      </c>
      <c r="F14" s="54">
        <v>0.28490576191099998</v>
      </c>
      <c r="G14" s="54">
        <v>0.28490576191099998</v>
      </c>
      <c r="H14" s="45">
        <v>0.24299999999999999</v>
      </c>
      <c r="I14" s="55">
        <v>0.24299999999999999</v>
      </c>
      <c r="J14" s="55">
        <v>0.24299999999999999</v>
      </c>
      <c r="K14" s="55">
        <v>0.24299999999999999</v>
      </c>
      <c r="L14" s="45">
        <v>0.23300000000000001</v>
      </c>
      <c r="M14" s="55">
        <v>0.23300000000000001</v>
      </c>
      <c r="N14" s="55">
        <v>0.23300000000000001</v>
      </c>
      <c r="O14" s="55">
        <v>0.23300000000000001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0.23078601069148796</v>
      </c>
      <c r="D15" s="52">
        <f t="shared" si="0"/>
        <v>0.24557162907804961</v>
      </c>
      <c r="E15" s="52">
        <f t="shared" si="0"/>
        <v>0.24557162907804961</v>
      </c>
      <c r="F15" s="52">
        <f t="shared" si="0"/>
        <v>0.15963497764482856</v>
      </c>
      <c r="G15" s="52">
        <f t="shared" si="0"/>
        <v>0.15963497764482856</v>
      </c>
      <c r="H15" s="52">
        <f t="shared" si="0"/>
        <v>0.13615484399999997</v>
      </c>
      <c r="I15" s="52">
        <f t="shared" si="0"/>
        <v>0.13615484399999997</v>
      </c>
      <c r="J15" s="52">
        <f t="shared" si="0"/>
        <v>0.13615484399999997</v>
      </c>
      <c r="K15" s="52">
        <f t="shared" si="0"/>
        <v>0.13615484399999997</v>
      </c>
      <c r="L15" s="52">
        <f t="shared" si="0"/>
        <v>0.13055176399999999</v>
      </c>
      <c r="M15" s="52">
        <f t="shared" si="0"/>
        <v>0.13055176399999999</v>
      </c>
      <c r="N15" s="52">
        <f t="shared" si="0"/>
        <v>0.13055176399999999</v>
      </c>
      <c r="O15" s="52">
        <f t="shared" si="0"/>
        <v>0.13055176399999999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lx/dkW+IcX/vw0WSnjmIBLMDaA952mWbnL1IEkY73c6GzPFCEFdqVhkJ5BBuzn2M0Iri9zPAqUHJ/gp98k8CkA==" saltValue="FZZV/w9N8m59eGtlK3CZm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0.73135050000000001</v>
      </c>
      <c r="D2" s="53">
        <v>0.56024590000000007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0.1068197</v>
      </c>
      <c r="D3" s="53">
        <v>0.15972819999999999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8.53849E-2</v>
      </c>
      <c r="D4" s="53">
        <v>0.22809889999999999</v>
      </c>
      <c r="E4" s="53">
        <v>0.93737269999999995</v>
      </c>
      <c r="F4" s="53">
        <v>0.81075520000000001</v>
      </c>
      <c r="G4" s="53">
        <v>0</v>
      </c>
    </row>
    <row r="5" spans="1:7" x14ac:dyDescent="0.25">
      <c r="B5" s="3" t="s">
        <v>125</v>
      </c>
      <c r="C5" s="52">
        <v>7.6444999999999999E-2</v>
      </c>
      <c r="D5" s="52">
        <v>5.1927000000000001E-2</v>
      </c>
      <c r="E5" s="52">
        <f>1-SUM(E2:E4)</f>
        <v>6.2627300000000052E-2</v>
      </c>
      <c r="F5" s="52">
        <f>1-SUM(F2:F4)</f>
        <v>0.18924479999999999</v>
      </c>
      <c r="G5" s="52">
        <f>1-SUM(G2:G4)</f>
        <v>1</v>
      </c>
    </row>
  </sheetData>
  <sheetProtection algorithmName="SHA-512" hashValue="wVyxQfCdEiPQbKfRfv+3r7ppno75USMRR8/+DNEn9xruaKyfvb0zHAXTgzeTqWWn8twcjxL03jEhz2B2uXunSw==" saltValue="4/63VBZ6S7JDiA/mnLvqh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C5++vqWrt8toyKRVjLeSmd4Xez3dNQXATWDbL1AL5x/ZQyPsWm7mtSHvynb+DhqmhfjhoQsMabDejFbbmDR2Xg==" saltValue="XVArHyQr0wCDcUBMwDN/x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ht="13.25" customHeight="1" x14ac:dyDescent="0.25">
      <c r="A2" s="8" t="s">
        <v>144</v>
      </c>
      <c r="B2" s="41">
        <v>10</v>
      </c>
    </row>
    <row r="3" spans="1:2" ht="13.25" customHeight="1" x14ac:dyDescent="0.25">
      <c r="A3" s="8" t="s">
        <v>143</v>
      </c>
      <c r="B3" s="41">
        <v>10</v>
      </c>
    </row>
    <row r="4" spans="1:2" ht="13.25" customHeight="1" x14ac:dyDescent="0.25">
      <c r="A4" s="8" t="s">
        <v>142</v>
      </c>
      <c r="B4" s="41">
        <v>10</v>
      </c>
    </row>
    <row r="5" spans="1:2" ht="13.25" customHeight="1" x14ac:dyDescent="0.25">
      <c r="A5" s="8" t="s">
        <v>146</v>
      </c>
      <c r="B5" s="41">
        <v>10</v>
      </c>
    </row>
    <row r="6" spans="1:2" ht="13.25" customHeight="1" x14ac:dyDescent="0.25">
      <c r="A6" s="8" t="s">
        <v>140</v>
      </c>
      <c r="B6" s="41">
        <v>10</v>
      </c>
    </row>
    <row r="7" spans="1:2" ht="13.25" customHeight="1" x14ac:dyDescent="0.25">
      <c r="A7" s="8" t="s">
        <v>141</v>
      </c>
      <c r="B7" s="41">
        <v>10</v>
      </c>
    </row>
  </sheetData>
  <sheetProtection algorithmName="SHA-512" hashValue="+C3Ef/sOzGX6QnNBDTuZBZ1RqEKzzu6KpR8y5WxDjS8+vq6Pf8bJNXgBE687xkCoKiuBacu7BZbzYe3OdSTOTg==" saltValue="yfjUemnJ0YDq8q804QKk9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78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74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aa/AgSa6+oGa1m2GYbJa8MVXBBFrCK6fsqE1a9fxpZiEzQMR9EXnmfQPWETuXeY1hYm2MFzOdWEenaNp8VZ6eQ==" saltValue="0B1TBzAWZoJC5BR9n2uW8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u51MXHaQahgCScvPpKWEpd1nDYiRBqqP1e7UvsAVZ9Fg6lKfI8tlZZ740v/uP8tPX8JrQjiZsvDac2o87VksjA==" saltValue="TUnLnnjc7HUT1glrDdPP+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51.649200023798471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39.737125372069528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314.37491066068219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2.1334184980332371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0.1060524</v>
      </c>
      <c r="C10" s="98">
        <v>0.95</v>
      </c>
      <c r="D10" s="56">
        <v>12.86942481586545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12.86942481586545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12.86942481586545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12.86942481586545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0.1060524</v>
      </c>
      <c r="C14" s="98">
        <v>0.95</v>
      </c>
      <c r="D14" s="56">
        <v>12.86942481586545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12.86942481586545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7.4868999999999986E-3</v>
      </c>
      <c r="C16" s="98">
        <v>0.95</v>
      </c>
      <c r="D16" s="56">
        <v>0.57619061576079733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0.56024590000000007</v>
      </c>
      <c r="C18" s="98">
        <v>0.95</v>
      </c>
      <c r="D18" s="56">
        <v>7.2775744227562367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0.56024590000000007</v>
      </c>
      <c r="C19" s="98">
        <v>0.95</v>
      </c>
      <c r="D19" s="56">
        <v>7.2775744227562367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</v>
      </c>
      <c r="C21" s="98">
        <v>0.95</v>
      </c>
      <c r="D21" s="56">
        <v>19.847496939662769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22.13366866615802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0.70499999999999996</v>
      </c>
      <c r="C23" s="98">
        <v>0.95</v>
      </c>
      <c r="D23" s="56">
        <v>4.1901160197696434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0.34613380963715201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0.1060524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18.21712104199856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0.29529529999999998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0.13494429999999999</v>
      </c>
      <c r="C29" s="98">
        <v>0.95</v>
      </c>
      <c r="D29" s="56">
        <v>99.086155818641913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0.1201</v>
      </c>
      <c r="C31" s="98">
        <v>0.95</v>
      </c>
      <c r="D31" s="56">
        <v>4.0703992775726512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0.73</v>
      </c>
      <c r="C32" s="98">
        <v>0.95</v>
      </c>
      <c r="D32" s="56">
        <v>1.222368528253525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8.32175E-2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0.36904579999999998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1.1650499999999999E-2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0.44068459999999998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0.33287060000000002</v>
      </c>
      <c r="C38" s="98">
        <v>0.95</v>
      </c>
      <c r="D38" s="56">
        <v>4.9708811231948573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WRCFXFCk0smRgSDjed+IEwKKVVS+ipToP2bpFt3uHymRMwKwRGMyD2hq0tf5ZTaJZl2uLcAvCWy9zFhsBGea1Q==" saltValue="MI5jufQ5gA6wBD+ZBzvE/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ht="13.25" customHeight="1" x14ac:dyDescent="0.25">
      <c r="A2" s="57" t="s">
        <v>178</v>
      </c>
      <c r="B2" s="47" t="s">
        <v>191</v>
      </c>
      <c r="C2" s="47"/>
    </row>
    <row r="3" spans="1:3" ht="13.25" customHeight="1" x14ac:dyDescent="0.25">
      <c r="A3" s="57" t="s">
        <v>179</v>
      </c>
      <c r="B3" s="47" t="s">
        <v>191</v>
      </c>
      <c r="C3" s="47"/>
    </row>
    <row r="4" spans="1:3" ht="13.25" customHeight="1" x14ac:dyDescent="0.25">
      <c r="A4" s="57" t="s">
        <v>193</v>
      </c>
      <c r="B4" s="47" t="s">
        <v>184</v>
      </c>
      <c r="C4" s="47"/>
    </row>
    <row r="5" spans="1:3" ht="13.25" customHeight="1" x14ac:dyDescent="0.25">
      <c r="A5" s="57" t="s">
        <v>190</v>
      </c>
      <c r="B5" s="47" t="s">
        <v>184</v>
      </c>
      <c r="C5" s="47"/>
    </row>
    <row r="6" spans="1:3" ht="13.25" customHeight="1" x14ac:dyDescent="0.25">
      <c r="A6" s="57" t="s">
        <v>193</v>
      </c>
      <c r="B6" s="58" t="s">
        <v>204</v>
      </c>
      <c r="C6" s="58"/>
    </row>
    <row r="7" spans="1:3" ht="13.25" customHeight="1" x14ac:dyDescent="0.25">
      <c r="A7" s="57" t="s">
        <v>190</v>
      </c>
      <c r="B7" s="58" t="s">
        <v>204</v>
      </c>
      <c r="C7" s="58"/>
    </row>
    <row r="8" spans="1:3" ht="13.25" customHeight="1" x14ac:dyDescent="0.25">
      <c r="A8" s="57" t="s">
        <v>203</v>
      </c>
      <c r="B8" s="58" t="s">
        <v>204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FH4xOU2a76TjRnoqh44xLGpU4rJAhPXyx64pS6CwfLCcNe2N/HNn9NCS80jg6R02R18OnREKJwoOZrwCkvwHaw==" saltValue="0OkZHD3FY6S2NCnQ92XzF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ht="13.25" customHeight="1" x14ac:dyDescent="0.25">
      <c r="A2" s="33" t="s">
        <v>170</v>
      </c>
    </row>
    <row r="3" spans="1:1" ht="13.25" customHeight="1" x14ac:dyDescent="0.25">
      <c r="A3" s="33" t="s">
        <v>180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197</v>
      </c>
    </row>
    <row r="6" spans="1:1" ht="13.25" customHeight="1" x14ac:dyDescent="0.25">
      <c r="A6" s="33" t="s">
        <v>198</v>
      </c>
    </row>
    <row r="7" spans="1:1" ht="13.25" customHeight="1" x14ac:dyDescent="0.25">
      <c r="A7" s="33" t="s">
        <v>199</v>
      </c>
    </row>
    <row r="8" spans="1:1" ht="13.25" customHeight="1" x14ac:dyDescent="0.25">
      <c r="A8" s="33" t="s">
        <v>200</v>
      </c>
    </row>
    <row r="9" spans="1:1" ht="13.25" customHeight="1" x14ac:dyDescent="0.25">
      <c r="A9" s="33" t="s">
        <v>201</v>
      </c>
    </row>
    <row r="10" spans="1:1" ht="13.25" customHeight="1" x14ac:dyDescent="0.25">
      <c r="A10" s="33" t="s">
        <v>164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9443hoz7kD7i8BAONscMGyMvBy0EUzSCVhNLhyGrb+DbeS9OyqOObVDpinsgdqvYOQW00eZn52J00XzC+YBqRw==" saltValue="08YDNa+jbgmvLWMb/A5lK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0.21456214000000001</v>
      </c>
      <c r="C3" s="21">
        <f>frac_mam_1_5months * 2.6</f>
        <v>0.21456214000000001</v>
      </c>
      <c r="D3" s="21">
        <f>frac_mam_6_11months * 2.6</f>
        <v>0.13673062</v>
      </c>
      <c r="E3" s="21">
        <f>frac_mam_12_23months * 2.6</f>
        <v>0.16792724000000001</v>
      </c>
      <c r="F3" s="21">
        <f>frac_mam_24_59months * 2.6</f>
        <v>0.13748591999999998</v>
      </c>
    </row>
    <row r="4" spans="1:6" ht="15.75" customHeight="1" x14ac:dyDescent="0.25">
      <c r="A4" s="3" t="s">
        <v>207</v>
      </c>
      <c r="B4" s="21">
        <f>frac_sam_1month * 2.6</f>
        <v>3.0589520000000002E-2</v>
      </c>
      <c r="C4" s="21">
        <f>frac_sam_1_5months * 2.6</f>
        <v>3.0589520000000002E-2</v>
      </c>
      <c r="D4" s="21">
        <f>frac_sam_6_11months * 2.6</f>
        <v>2.57959E-2</v>
      </c>
      <c r="E4" s="21">
        <f>frac_sam_12_23months * 2.6</f>
        <v>3.437018E-2</v>
      </c>
      <c r="F4" s="21">
        <f>frac_sam_24_59months * 2.6</f>
        <v>3.1947240000000002E-2</v>
      </c>
    </row>
  </sheetData>
  <sheetProtection algorithmName="SHA-512" hashValue="p+pHVwUo8Sw7C4XUtsQukFTs6XE2t3urE/aUkRMHixaPT8JE0CyQe5HT1nrUZhnWuu6OnH7cAtST30I4LJPVEA==" saltValue="gQEBcD/CUbvnsU99oULMa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0.308</v>
      </c>
      <c r="E2" s="60">
        <f>food_insecure</f>
        <v>0.308</v>
      </c>
      <c r="F2" s="60">
        <f>food_insecure</f>
        <v>0.308</v>
      </c>
      <c r="G2" s="60">
        <f>food_insecure</f>
        <v>0.308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0.308</v>
      </c>
      <c r="F5" s="60">
        <f>food_insecure</f>
        <v>0.308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0.308</v>
      </c>
      <c r="F8" s="60">
        <f>food_insecure</f>
        <v>0.308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0.308</v>
      </c>
      <c r="F9" s="60">
        <f>food_insecure</f>
        <v>0.308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0.308</v>
      </c>
      <c r="I15" s="60">
        <f>food_insecure</f>
        <v>0.308</v>
      </c>
      <c r="J15" s="60">
        <f>food_insecure</f>
        <v>0.308</v>
      </c>
      <c r="K15" s="60">
        <f>food_insecure</f>
        <v>0.308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0.14000000000000001</v>
      </c>
      <c r="I19" s="60">
        <f>frac_malaria_risk</f>
        <v>0.14000000000000001</v>
      </c>
      <c r="J19" s="60">
        <f>frac_malaria_risk</f>
        <v>0.14000000000000001</v>
      </c>
      <c r="K19" s="60">
        <f>frac_malaria_risk</f>
        <v>0.14000000000000001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0.10299999999999999</v>
      </c>
      <c r="M24" s="60">
        <f>famplan_unmet_need</f>
        <v>0.10299999999999999</v>
      </c>
      <c r="N24" s="60">
        <f>famplan_unmet_need</f>
        <v>0.10299999999999999</v>
      </c>
      <c r="O24" s="60">
        <f>famplan_unmet_need</f>
        <v>0.10299999999999999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0.103122228164928</v>
      </c>
      <c r="M25" s="60">
        <f>(1-food_insecure)*(0.49)+food_insecure*(0.7)</f>
        <v>0.55467999999999995</v>
      </c>
      <c r="N25" s="60">
        <f>(1-food_insecure)*(0.49)+food_insecure*(0.7)</f>
        <v>0.55467999999999995</v>
      </c>
      <c r="O25" s="60">
        <f>(1-food_insecure)*(0.49)+food_insecure*(0.7)</f>
        <v>0.55467999999999995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4.4195240642111999E-2</v>
      </c>
      <c r="M26" s="60">
        <f>(1-food_insecure)*(0.21)+food_insecure*(0.3)</f>
        <v>0.23771999999999999</v>
      </c>
      <c r="N26" s="60">
        <f>(1-food_insecure)*(0.21)+food_insecure*(0.3)</f>
        <v>0.23771999999999999</v>
      </c>
      <c r="O26" s="60">
        <f>(1-food_insecure)*(0.21)+food_insecure*(0.3)</f>
        <v>0.23771999999999999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3.8595540792960001E-2</v>
      </c>
      <c r="M27" s="60">
        <f>(1-food_insecure)*(0.3)</f>
        <v>0.20759999999999998</v>
      </c>
      <c r="N27" s="60">
        <f>(1-food_insecure)*(0.3)</f>
        <v>0.20759999999999998</v>
      </c>
      <c r="O27" s="60">
        <f>(1-food_insecure)*(0.3)</f>
        <v>0.20759999999999998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0.81408699039999999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0.14000000000000001</v>
      </c>
      <c r="D34" s="60">
        <f t="shared" si="3"/>
        <v>0.14000000000000001</v>
      </c>
      <c r="E34" s="60">
        <f t="shared" si="3"/>
        <v>0.14000000000000001</v>
      </c>
      <c r="F34" s="60">
        <f t="shared" si="3"/>
        <v>0.14000000000000001</v>
      </c>
      <c r="G34" s="60">
        <f t="shared" si="3"/>
        <v>0.14000000000000001</v>
      </c>
      <c r="H34" s="60">
        <f t="shared" si="3"/>
        <v>0.14000000000000001</v>
      </c>
      <c r="I34" s="60">
        <f t="shared" si="3"/>
        <v>0.14000000000000001</v>
      </c>
      <c r="J34" s="60">
        <f t="shared" si="3"/>
        <v>0.14000000000000001</v>
      </c>
      <c r="K34" s="60">
        <f t="shared" si="3"/>
        <v>0.14000000000000001</v>
      </c>
      <c r="L34" s="60">
        <f t="shared" si="3"/>
        <v>0.14000000000000001</v>
      </c>
      <c r="M34" s="60">
        <f t="shared" si="3"/>
        <v>0.14000000000000001</v>
      </c>
      <c r="N34" s="60">
        <f t="shared" si="3"/>
        <v>0.14000000000000001</v>
      </c>
      <c r="O34" s="60">
        <f t="shared" si="3"/>
        <v>0.14000000000000001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7jUvnNzqVoo8vDa7tQEtXgruDPVQ/cSmojW1on3kK6Aaxc1Thwcz00A/BKIzyP8JPQoKi8WFAWrC+eqLWPEGvQ==" saltValue="i7/bTJyjiLzDcRXWXeye+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FSwsJ2M0hRmj6NO2V9xlrIW3we4a8fh0lKKAUuLFqV/JGlPS/xlFq99/QYrxPraMvqSk+zm5Dgvu1A6zC+PBJA==" saltValue="NmMQ6O84kdSDs1HVbwMZZ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zGWMyBTPiZuJhpultl7wav83P96wsqGFh9nIax8UpCH01RhnHOhbBkoCTJfQSytNyFyDfQ+z1bSHt/QvtR1krQ==" saltValue="JP9cWcgbd38+WZmnuk/bL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6+CZndtgS4zFCaiQUh4eGqr6Xbr7l6j1BXD77QXG7wUo52yHXgeiY6MJt/j7xHZVNc6bBz3eeQFV3lpU4OXdow==" saltValue="sxZqCc+aPAVpbYfWU8vWY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nU/mWrLBANKIE7AhdtLlvQxbTe2S0ME6V+GfPJSouPeADTHdvbUNtr+oNx80DvOlZpQR+RXuNGkCLJZcv3yBeA==" saltValue="zYBTJxzgQScmKyrXrU6wV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GjcLaqghUUwXObOnnqg6cqT5/7U6x1QiChIz4+JMi4jeLcZ/VsoHmATlpIXg/4YFP0EBtBCV5kLy+oVawlvN/A==" saltValue="e/JpmsRHVNYZjvsEqGmxY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78</v>
      </c>
      <c r="C5" s="8" t="s">
        <v>150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74</v>
      </c>
      <c r="C8" s="8" t="s">
        <v>150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78</v>
      </c>
      <c r="C58" s="8" t="s">
        <v>150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74</v>
      </c>
      <c r="C61" s="8" t="s">
        <v>150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78</v>
      </c>
      <c r="C111" s="8" t="s">
        <v>150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74</v>
      </c>
      <c r="C114" s="8" t="s">
        <v>150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77</v>
      </c>
      <c r="C117" s="8" t="s">
        <v>150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75</v>
      </c>
      <c r="C120" s="8" t="s">
        <v>150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78</v>
      </c>
      <c r="C128" s="8" t="s">
        <v>150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74</v>
      </c>
      <c r="C131" s="8" t="s">
        <v>150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77</v>
      </c>
      <c r="C134" s="8" t="s">
        <v>150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75</v>
      </c>
      <c r="C137" s="8" t="s">
        <v>150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78</v>
      </c>
      <c r="C145" s="8" t="s">
        <v>150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74</v>
      </c>
      <c r="C148" s="8" t="s">
        <v>150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77</v>
      </c>
      <c r="C151" s="8" t="s">
        <v>150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75</v>
      </c>
      <c r="C154" s="8" t="s">
        <v>150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dQrtNKS4w5w8M6xJT3hVa5A6a+kTxLjLh3w6XrOlQ22ru8C4Cr9BG2w41eWZsW6w1SiF2UUTPuTagqkFAhyhMA==" saltValue="ZUS44k+4MqKpQFVE2Ng09w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kQnU7E9lDnlqatI097bEgBIalWynhF/lWNyjkD6KrbIz80XekI9qyL5q0APVq6q2+jfL7hkqeAX/i6HELsCA7Q==" saltValue="x1047mGX+GPMBySkYZoa/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+FGQFa3gSa86U1sbfvmhaiTZ6U4K42DymMkGevIHI24GO7Hax4A7m8QaQ86L5CM/za3vCGbEolHyImuAXbZElw==" saltValue="M1biYvKdK6n1OddX198CW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291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105</v>
      </c>
      <c r="B40" s="11" t="s">
        <v>298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288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293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105</v>
      </c>
      <c r="B63" s="11" t="s">
        <v>299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00sQLVyihcbmCkS0frQ3szjBulzfLrgMBWmIavFkqFMIfbT4o+UzAIv9qn5uV+r94IyUwFPsRan3Yk3HVgRlA==" saltValue="BmhvB9RQ7nbRKwXISKCuX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PZkIMv+U+ASpnNPYZKy8K4xQkBS2OqHSgqpfztWrLIKqfNcxaEwE33e89LPCifKro2b8AccclqqF5RmXKIOb4w==" saltValue="pca4qFrCEEGicwFIelB2B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174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175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176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177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178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191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172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181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174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175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176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177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178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191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172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181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7BQHrTTfsDFfySNe4uP7IGooOPR8T+ec0SWlBrV8b4DhFfzd6FD3dqF6o1oIUgWShLzWhmjMk1Zvx4f8zWI+zQ==" saltValue="mZBWMgzyR7p53kzHuKjyQ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ht="13.25" customHeight="1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ht="13.25" customHeight="1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ht="13.25" customHeight="1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Ddm7o/4jA5dQ0Lmn1deAWyRJKbhg3bFRuE6+ri1UtPjkdcUifMXamDg3Ojz37sjbekY9z78UW2l1L/BgV9wSpQ==" saltValue="pmO5tYgg7vzvDvDWu6EPZ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ht="13.25" customHeight="1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338</v>
      </c>
      <c r="D18" s="90">
        <v>0</v>
      </c>
      <c r="E18" s="90">
        <v>0</v>
      </c>
      <c r="F18" s="90">
        <f>MIN(MAX(1-0.89/(1-frac_sam_6_11months+(frac_sam_6_11months*0.89)),0),1)</f>
        <v>0.1090276239327933</v>
      </c>
      <c r="G18" s="90">
        <f>MIN(MAX(1-0.89/(1-frac_sam_12_23months+(frac_sam_12_23months*0.89)),0),1)</f>
        <v>0.10870394590793542</v>
      </c>
      <c r="H18" s="90">
        <f>MIN(MAX(1-0.89/(1-frac_sam_24_59months+(frac_sam_24_59months*0.89)),0),1)</f>
        <v>0.10879543543366832</v>
      </c>
    </row>
    <row r="19" spans="1:8" ht="13.25" customHeight="1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338</v>
      </c>
      <c r="D20" s="90">
        <v>0</v>
      </c>
      <c r="E20" s="90">
        <v>0</v>
      </c>
      <c r="F20" s="90">
        <f>MIN(MAX(1-0.89/(1-frac_mam_6_11months+(frac_mam_6_11months*0.89)),0),1)</f>
        <v>0.10482161054535344</v>
      </c>
      <c r="G20" s="90">
        <f>MIN(MAX(1-0.89/(1-frac_mam_12_23months+(frac_mam_12_23months*0.89)),0),1)</f>
        <v>0.10363164886335774</v>
      </c>
      <c r="H20" s="90">
        <f>MIN(MAX(1-0.89/(1-frac_mam_24_59months+(frac_mam_24_59months*0.89)),0),1)</f>
        <v>0.10479283775689452</v>
      </c>
    </row>
    <row r="21" spans="1:8" ht="13.25" customHeight="1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9.9017674038529568E-3</v>
      </c>
      <c r="G73" s="90">
        <f>MIN(MAX(1-0.99/(1-frac_sam_12_23months+(frac_sam_12_23months*0.99)),0),1)</f>
        <v>9.8691116274733925E-3</v>
      </c>
      <c r="H73" s="90">
        <f>MIN(MAX(1-0.99/(1-frac_sam_24_59months+(frac_sam_24_59months*0.99)),0),1)</f>
        <v>9.8783397911235138E-3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9.4790979343754023E-3</v>
      </c>
      <c r="G75" s="90">
        <f>MIN(MAX(1-0.99/(1-frac_mam_12_23months+(frac_mam_12_23months*0.99)),0),1)</f>
        <v>9.3601714914018919E-3</v>
      </c>
      <c r="H75" s="90">
        <f>MIN(MAX(1-0.99/(1-frac_mam_24_59months+(frac_mam_24_59months*0.99)),0),1)</f>
        <v>9.4762189487703763E-3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0.19840940377992045</v>
      </c>
      <c r="G128" s="90">
        <f>MIN(MAX(1-0.8/(1-frac_sam_12_23months+(frac_sam_12_23months*0.8)),0),1)</f>
        <v>0.19787930517979258</v>
      </c>
      <c r="H128" s="90">
        <f>MIN(MAX(1-0.8/(1-frac_sam_24_59months+(frac_sam_24_59months*0.8)),0),1)</f>
        <v>0.19802917273140397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0.19149636902029943</v>
      </c>
      <c r="G130" s="90">
        <f>MIN(MAX(1-0.8/(1-frac_mam_12_23months+(frac_mam_12_23months*0.8)),0),1)</f>
        <v>0.18953078006082003</v>
      </c>
      <c r="H130" s="90">
        <f>MIN(MAX(1-0.8/(1-frac_mam_24_59months+(frac_mam_24_59months*0.8)),0),1)</f>
        <v>0.19144889285905442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IGVVDsQXeOrRiMzUok1/zSIx7OAiw76pQ388x19I+P/AVciuwe8y/NRzQlw5pXwBUnFbM8760r/l0Tddbk6LTQ==" saltValue="lgwXeKcTvcDRj+W9wN7Xf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ht="13.25" customHeight="1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ht="13.25" customHeight="1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ht="13.25" customHeight="1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/BrY45jouuAx+ocD49uzarKZ4QNVeWFupHTNXovwdWsn22qwTKMiMfWDc+daHjU/Qqach6kpsWP7SXh0HKIZkQ==" saltValue="meJE9c9xQbaQNSH3nryDLw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2024-08-06T07:34:55Z</dcterms:modified>
</cp:coreProperties>
</file>