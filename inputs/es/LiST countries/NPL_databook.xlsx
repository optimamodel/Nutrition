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75A84D6-338D-4DB4-A19B-5F9377007B2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5" i="2"/>
  <c r="I3" i="2"/>
  <c r="I7" i="2"/>
  <c r="I11" i="2"/>
  <c r="A31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<sst xmlns="http://schemas.openxmlformats.org/spreadsheetml/2006/main" count="2169" uniqueCount="373">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</sst>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2717880.5</v>
      </c>
    </row>
    <row r="8" spans="1:3" ht="15" customHeight="1" x14ac:dyDescent="0.25">
      <c r="B8" s="5" t="s">
        <v>63</v>
      </c>
      <c r="C8" s="44">
        <v>0.15</v>
      </c>
    </row>
    <row r="9" spans="1:3" ht="15" customHeight="1" x14ac:dyDescent="0.25">
      <c r="B9" s="5" t="s">
        <v>62</v>
      </c>
      <c r="C9" s="45">
        <v>2.5600000000000001E-2</v>
      </c>
    </row>
    <row r="10" spans="1:3" ht="15" customHeight="1" x14ac:dyDescent="0.25">
      <c r="B10" s="5" t="s">
        <v>75</v>
      </c>
      <c r="C10" s="45">
        <v>0.62818479999999999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0.1673</v>
      </c>
    </row>
    <row r="24" spans="1:3" ht="15" customHeight="1" x14ac:dyDescent="0.25">
      <c r="B24" s="15" t="s">
        <v>65</v>
      </c>
      <c r="C24" s="45">
        <v>0.62609999999999999</v>
      </c>
    </row>
    <row r="25" spans="1:3" ht="15" customHeight="1" x14ac:dyDescent="0.25">
      <c r="B25" s="15" t="s">
        <v>66</v>
      </c>
      <c r="C25" s="45">
        <v>0.1709</v>
      </c>
    </row>
    <row r="26" spans="1:3" ht="15" customHeight="1" x14ac:dyDescent="0.25">
      <c r="B26" s="15" t="s">
        <v>67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7">
        <v>4.1696555750580601E-2</v>
      </c>
    </row>
    <row r="31" spans="1:3" ht="14.25" customHeight="1" x14ac:dyDescent="0.25">
      <c r="B31" s="25" t="s">
        <v>29</v>
      </c>
      <c r="C31" s="97">
        <v>7.5022305717839008E-2</v>
      </c>
    </row>
    <row r="32" spans="1:3" ht="14.25" customHeight="1" x14ac:dyDescent="0.25">
      <c r="B32" s="25" t="s">
        <v>30</v>
      </c>
      <c r="C32" s="97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16.166080000000001</v>
      </c>
    </row>
    <row r="38" spans="1:5" ht="15" customHeight="1" x14ac:dyDescent="0.25">
      <c r="B38" s="11" t="s">
        <v>54</v>
      </c>
      <c r="C38" s="43">
        <v>22.820869999999999</v>
      </c>
      <c r="D38" s="12"/>
      <c r="E38" s="13"/>
    </row>
    <row r="39" spans="1:5" ht="15" customHeight="1" x14ac:dyDescent="0.25">
      <c r="B39" s="11" t="s">
        <v>80</v>
      </c>
      <c r="C39" s="43">
        <v>27.16347</v>
      </c>
      <c r="D39" s="12"/>
      <c r="E39" s="12"/>
    </row>
    <row r="40" spans="1:5" ht="15" customHeight="1" x14ac:dyDescent="0.25">
      <c r="B40" s="11" t="s">
        <v>55</v>
      </c>
      <c r="C40" s="98">
        <v>1.74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78</v>
      </c>
      <c r="C47" s="45">
        <v>0.41425559999999989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3.302</v>
      </c>
      <c r="D51" s="12"/>
    </row>
    <row r="52" spans="1:4" ht="15" customHeight="1" x14ac:dyDescent="0.25">
      <c r="B52" s="11" t="s">
        <v>32</v>
      </c>
      <c r="C52" s="98">
        <v>3.302</v>
      </c>
    </row>
    <row r="53" spans="1:4" ht="15.75" customHeight="1" x14ac:dyDescent="0.25">
      <c r="B53" s="11" t="s">
        <v>35</v>
      </c>
      <c r="C53" s="98">
        <v>4.55</v>
      </c>
    </row>
    <row r="54" spans="1:4" ht="15.75" customHeight="1" x14ac:dyDescent="0.25">
      <c r="B54" s="11" t="s">
        <v>33</v>
      </c>
      <c r="C54" s="98">
        <v>3.4319999999999999</v>
      </c>
    </row>
    <row r="55" spans="1:4" ht="15.75" customHeight="1" x14ac:dyDescent="0.25">
      <c r="B55" s="11" t="s">
        <v>34</v>
      </c>
      <c r="C55" s="98">
        <v>2.123333333333334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0.50705099999999992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sqN/HiyVzdytPfBvmXHhHFEIfr643WCA8J1qlOh5EiMBzG26f07dJaY8NQAYQAbc4xJrzrLrpq+Nu+FhqwIrZg==" saltValue="QUlTA71xTTyV06NMX1Mw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0J1wd8rR91xkpkG7v38fqbPZIMOx7gCqDDI3yMaCUUGBfOkNUgHMFgLtUAJWoxsMx4ZvlcdqpKCaKQTBkcqrg==" saltValue="sKu7H8ILHLZ6H26C7hrVi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1.473504922066653E-2</v>
      </c>
    </row>
    <row r="4" spans="1:8" ht="15.75" customHeight="1" x14ac:dyDescent="0.25">
      <c r="B4" s="19" t="s">
        <v>116</v>
      </c>
      <c r="C4" s="99">
        <v>6.8189616093901534E-2</v>
      </c>
    </row>
    <row r="5" spans="1:8" ht="15.75" customHeight="1" x14ac:dyDescent="0.25">
      <c r="B5" s="19" t="s">
        <v>114</v>
      </c>
      <c r="C5" s="99">
        <v>0.1000974723100938</v>
      </c>
    </row>
    <row r="6" spans="1:8" ht="15.75" customHeight="1" x14ac:dyDescent="0.25">
      <c r="B6" s="19" t="s">
        <v>110</v>
      </c>
      <c r="C6" s="99">
        <v>0.26534518868097168</v>
      </c>
    </row>
    <row r="7" spans="1:8" ht="15.75" customHeight="1" x14ac:dyDescent="0.25">
      <c r="B7" s="19" t="s">
        <v>115</v>
      </c>
      <c r="C7" s="99">
        <v>0.29945329704313961</v>
      </c>
    </row>
    <row r="8" spans="1:8" ht="15.75" customHeight="1" x14ac:dyDescent="0.25">
      <c r="B8" s="19" t="s">
        <v>117</v>
      </c>
      <c r="C8" s="99">
        <v>1.967746635595265E-3</v>
      </c>
    </row>
    <row r="9" spans="1:8" ht="15.75" customHeight="1" x14ac:dyDescent="0.25">
      <c r="B9" s="19" t="s">
        <v>111</v>
      </c>
      <c r="C9" s="99">
        <v>0.1252214677487857</v>
      </c>
    </row>
    <row r="10" spans="1:8" ht="15.75" customHeight="1" x14ac:dyDescent="0.25">
      <c r="B10" s="19" t="s">
        <v>113</v>
      </c>
      <c r="C10" s="99">
        <v>0.12499016226684589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121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2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109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3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120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98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107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118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4.7503243000000001E-2</v>
      </c>
    </row>
    <row r="27" spans="1:8" ht="15.75" customHeight="1" x14ac:dyDescent="0.25">
      <c r="B27" s="19" t="s">
        <v>108</v>
      </c>
      <c r="C27" s="99">
        <v>1.0367542E-2</v>
      </c>
    </row>
    <row r="28" spans="1:8" ht="15.75" customHeight="1" x14ac:dyDescent="0.25">
      <c r="B28" s="19" t="s">
        <v>122</v>
      </c>
      <c r="C28" s="99">
        <v>0.17293429099999999</v>
      </c>
    </row>
    <row r="29" spans="1:8" ht="15.75" customHeight="1" x14ac:dyDescent="0.25">
      <c r="B29" s="19" t="s">
        <v>105</v>
      </c>
      <c r="C29" s="99">
        <v>0.15789878800000001</v>
      </c>
    </row>
    <row r="30" spans="1:8" ht="15.75" customHeight="1" x14ac:dyDescent="0.25">
      <c r="B30" s="19" t="s">
        <v>4</v>
      </c>
      <c r="C30" s="99">
        <v>5.576656E-2</v>
      </c>
    </row>
    <row r="31" spans="1:8" ht="15.75" customHeight="1" x14ac:dyDescent="0.25">
      <c r="B31" s="19" t="s">
        <v>99</v>
      </c>
      <c r="C31" s="99">
        <v>6.3201558000000005E-2</v>
      </c>
    </row>
    <row r="32" spans="1:8" ht="15.75" customHeight="1" x14ac:dyDescent="0.25">
      <c r="B32" s="19" t="s">
        <v>104</v>
      </c>
      <c r="C32" s="99">
        <v>1.0057959E-2</v>
      </c>
    </row>
    <row r="33" spans="2:3" ht="15.75" customHeight="1" x14ac:dyDescent="0.25">
      <c r="B33" s="19" t="s">
        <v>119</v>
      </c>
      <c r="C33" s="99">
        <v>0.165459261</v>
      </c>
    </row>
    <row r="34" spans="2:3" ht="15.75" customHeight="1" x14ac:dyDescent="0.25">
      <c r="B34" s="19" t="s">
        <v>106</v>
      </c>
      <c r="C34" s="99">
        <v>0.316810798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vcjhDGELWotAeypaMeYGgUPbjP65EoVqVZ4iE4oTiO2KNQ0sBdfMOTrwrT+uZ3iCPj6EF1A+FHsCNOp44Uua+g==" saltValue="YD2Ba69OydIoSTitxQON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129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125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126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GBFWTMN0LuCDCi2IfSFR2eC9GwbYGz9/omYgs0v66iRP8UOtjGqqQ1u3Jfdr5pX9516Lz3+zcuzojWC8dCnow==" saltValue="bf4HX3C3Q0K1E/8rFChY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KfG3swz7dtpKyelsOhpAQDXGhPGd3Dx5P/ntNudX+fb4jTlSlPb4LMPeEBdXQ4ekZy3O7Ms2sndECtVrlEikDQ==" saltValue="Ou1E1cyqwl8sIJ+1RJKc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EfTGfYH9+Y4S0Wag6ZEZ8LmznEAL3V3ql/b/60F2kDi50CejTJO8VfpDs+l3ElqSSlnUSt1mX/xyje42SSMYw==" saltValue="RZWBcBb/KfhavdQvvAHj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algorithmName="SHA-512" hashValue="Q3Rd6o4lewbp097Ld2pLnomUAqQBDhWsBHIbJu/mdZ5ArXB29/+hdok4eWsJXRFvCcs31t5fhyJQcZQhz0xS5g==" saltValue="dHdxf3DNxInFjh/fWZGW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NFW/dq2Vu3h5kiFJM2478lMRI4nPLZxv5kbzICN5S8+rzBw7d8OXZeI26pvZHLggTTiLYT4BOhhgJE8QNsZYA==" saltValue="kQVgh90/iOV/fZ9PBcpz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fL4js64NhsHykRXi8vK5k7inOfdzIM+OHk+w4DPuY+LSIEpJxhK/+FAUDmu0l0jVPpvhezff1t+gwpKOhBoYw==" saltValue="L8a3e62EQQk4gxesXqnI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0.86284800000000006</v>
      </c>
      <c r="C10" s="96">
        <v>0.95</v>
      </c>
      <c r="D10" s="56">
        <v>14.191711276470389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14.191711276470389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14.191711276470389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14.191711276470389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0.86284800000000006</v>
      </c>
      <c r="C14" s="96">
        <v>0.95</v>
      </c>
      <c r="D14" s="56">
        <v>14.191711276470389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14.191711276470389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2.02589E-2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2.41416666666667E-2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0.52100000000000002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0.53241950000000005</v>
      </c>
      <c r="C19" s="96">
        <v>0.95</v>
      </c>
      <c r="D19" s="56">
        <v>1.783669753024828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4.6601859455142458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0.71992641902920995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0.27900000000000003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0.38404090000000002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0.48240959999999999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9.1000000000000004E-3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0.6354284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0.44971359999999999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0.14526700000000001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0.50166370000000005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0.107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Ky7FWsN2hGuS31x2+Dl79t9ATxinVUgCOArRukZE6SslP4rF6dCK4EQxlwDyeRRbODFUA9Rr4RroXIPhszhhZA==" saltValue="ihz/b1NWU5hY4biVDMl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fzx7M+Cl5G+kvdK2eDEb3y+7avsbJ6TryaNxkvYZKLcI9rFXNFHiEyvA2f+5SRK22pb2SfYc/H6ZcZmZURV1A==" saltValue="vM1ELIWEE//yJv/+8fCs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7/Tk/ZqQ3feu2ZzMBOABdNFrdTcoAg08FkRfImDloBtF8xwuJ3FWN/ejzC5PBzYrDqbRVoW/2Swkdr1uFao6w==" saltValue="+LHBvvt/8IGNo1BnF3lq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4.55</v>
      </c>
      <c r="E2" s="21">
        <f>'Entradas de población-año base'!C54</f>
        <v>3.4319999999999999</v>
      </c>
      <c r="F2" s="21">
        <f>'Entradas de población-año base'!C55</f>
        <v>2.123333333333334</v>
      </c>
    </row>
    <row r="3" spans="1:6" ht="15.75" customHeight="1" x14ac:dyDescent="0.25">
      <c r="A3" s="3" t="s">
        <v>6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236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Yp23V7OUEcc53d6+eG/y3TaZq4e14MnsSgs/gxll4Cubz5QAnnjvitOFPtnYxrKMYyx/PRWXavssCTkgTEkzmQ==" saltValue="adDMLTWmh7koFmABfiR7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uOyUTzgQXsdXn0WBbAayBQAaBiNbo1ey7JPsD8qvMu+fgKEkNFQk9YrwJbDo81B8vN9Nd9b/lj4RdRytQRRCg==" saltValue="HPtRLF/TRfm0EGH9kV36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dtaWdt3zhniAyk7gdXqzYnzeJMSS95KEwfQInD4KhDEpQo40QNdItJWX7P+Pu8Ae2Q2vXgmsgSlhGo/VvBkEg==" saltValue="blzLinYNssCSlf+bw4xP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7C3IlIyVB/VORoAcqhj8lEtPakXibp03vgwiDskTM4kB6XA3hIzW0JbjvfXwSQPsMYrpdGGxM3dUzaBF/4wpw==" saltValue="AMuGF4RKeqBca4Zi6ohw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tHDJn+JLKKbPRAtepHlYUcWBIIen2Va+MWHN2jhg37bT/97KgCP6DNIOb557J0JRtAT0hS7o++SI/ayU3YAyA==" saltValue="4p3YRTlhDJoEfZEQAXSw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DHkV3DMtx0lV04B/7rlT4JzLzwz6FihR9Oxwk76kVAygGDR4ErVEfwQxuXQ9zGhX2Rsrg/ncpeyg3PDm+o7xw==" saltValue="me7Ac+Ze4wvHWwDHUwI2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QGPw9ECwEDyeXTVjp2oJQfpKTiH8YCRl6QXfSoSjZX9shuUbeTIhbbWaJzrtXrLMARfMEjpy7Ryy6giT+MgHQ==" saltValue="41GMUgIR1f0hQZP6UGPq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kRuzqE6xrLqt2tmVuZ2CA8xAzdChKTCZsewdqOcLBhEwtBJykNj6Jq0cU/rkWRO4zX5Nyjd997Er9WtsLgytg==" saltValue="dvwuU37Cg59m47i62lXNy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Gy9mcvFC8qLObwVy03z4pvnBYkAKWvrDYIEq0eemLNzCbqgrt5bqrlh0EWyGiem53CRwTKTs4xGNO6t4nN2aw==" saltValue="b5JgaaWXCNcU0Oqlh37b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5Wd5Ds0lEvqJqpx2lkUtH8wTUbw2UX/fK9xzjBO40vs5rUd4WeHtY1ynwrjap8iXGO4J3iF0Gil9zATFnWdDQ==" saltValue="e1q7bM8fEBM+GCjcu4E0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LpbtTrkblQLXLp62uNb74U650iIK4mI8NAU6slx7WAM3PmZ2OuS7E9NRl8pzsleeQNjhVj1QX/Lkd06yUqmtA==" saltValue="X1Biqvf/Dku02+fK9AfF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yAW2L9kVvYDOdi2z+JV0mISo9nCaptm4TSxWFeQdiv2bNaCGD7RAq7321a+JuiK8KqHLCiNH/Y6NbnwXn8Bhg==" saltValue="KDxy/JgaTF4WSL+pAgfP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qrRNm89k/+L/00kIsbV+wrUFbHdzhC+0zNbJT2C13IFECfqL7tMp3ZpJhQEApK4Hxa/N6xftHZa4M4FkfK6xA==" saltValue="8bR0iyKtuyXei1BeYzNj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JQGOj6c+SMOnsYn3lne2PNMDQPtAmHULL5PRJL3MzaWQIwTOgmkIw5VeZG+RBmHY394TF2Eq1i958EjFhSm2w==" saltValue="uVPdmB+zIU1R/ULHygmn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Odr3nMgTze+S8vM9oVGbcsykzsFf0GI1QJLUhJQuyXYRWkaSl9tmEOwPd4QG0U6jxbOrJ0NXOee19gy5SuWvA==" saltValue="1uQoGIWBXdUeIURhtWGB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K8Cg7UUhlFCnbWo2rGT0x48OnOUI1XguXQMoZVDVU15nOraHYNm5kpIj8HxWa2pMhGDt0p526y2ee9mbFvyrQ==" saltValue="gixGszklnmLx0MMZIBV76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