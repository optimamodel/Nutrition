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4F083AF4-E713-4F6F-9B55-7CAF612C51F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13" i="2"/>
  <c r="A22" i="2"/>
  <c r="I6" i="2"/>
  <c r="I12" i="2"/>
  <c r="A35" i="2"/>
  <c r="I2" i="2"/>
  <c r="I8" i="2"/>
  <c r="A19" i="2"/>
  <c r="A37" i="2"/>
  <c r="A24" i="2"/>
  <c r="A40" i="2"/>
  <c r="A23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<sst xmlns="http://schemas.openxmlformats.org/spreadsheetml/2006/main" count="2169" uniqueCount="373">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</sst>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2717880.5</v>
      </c>
    </row>
    <row r="8" spans="1:3" ht="15" customHeight="1" x14ac:dyDescent="0.25">
      <c r="B8" s="5" t="s">
        <v>63</v>
      </c>
      <c r="C8" s="44">
        <v>0.15</v>
      </c>
    </row>
    <row r="9" spans="1:3" ht="15" customHeight="1" x14ac:dyDescent="0.25">
      <c r="B9" s="5" t="s">
        <v>62</v>
      </c>
      <c r="C9" s="45">
        <v>2.5600000000000001E-2</v>
      </c>
    </row>
    <row r="10" spans="1:3" ht="15" customHeight="1" x14ac:dyDescent="0.25">
      <c r="B10" s="5" t="s">
        <v>75</v>
      </c>
      <c r="C10" s="45">
        <v>0.62818479999999999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0.1673</v>
      </c>
    </row>
    <row r="24" spans="1:3" ht="15" customHeight="1" x14ac:dyDescent="0.25">
      <c r="B24" s="15" t="s">
        <v>65</v>
      </c>
      <c r="C24" s="45">
        <v>0.62609999999999999</v>
      </c>
    </row>
    <row r="25" spans="1:3" ht="15" customHeight="1" x14ac:dyDescent="0.25">
      <c r="B25" s="15" t="s">
        <v>66</v>
      </c>
      <c r="C25" s="45">
        <v>0.1709</v>
      </c>
    </row>
    <row r="26" spans="1:3" ht="15" customHeight="1" x14ac:dyDescent="0.25">
      <c r="B26" s="15" t="s">
        <v>67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7">
        <v>4.1696555750580601E-2</v>
      </c>
    </row>
    <row r="31" spans="1:3" ht="14.25" customHeight="1" x14ac:dyDescent="0.25">
      <c r="B31" s="25" t="s">
        <v>29</v>
      </c>
      <c r="C31" s="97">
        <v>7.5022305717839008E-2</v>
      </c>
    </row>
    <row r="32" spans="1:3" ht="14.25" customHeight="1" x14ac:dyDescent="0.25">
      <c r="B32" s="25" t="s">
        <v>30</v>
      </c>
      <c r="C32" s="97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16.166080000000001</v>
      </c>
    </row>
    <row r="38" spans="1:5" ht="15" customHeight="1" x14ac:dyDescent="0.25">
      <c r="B38" s="11" t="s">
        <v>54</v>
      </c>
      <c r="C38" s="43">
        <v>22.820869999999999</v>
      </c>
      <c r="D38" s="12"/>
      <c r="E38" s="13"/>
    </row>
    <row r="39" spans="1:5" ht="15" customHeight="1" x14ac:dyDescent="0.25">
      <c r="B39" s="11" t="s">
        <v>80</v>
      </c>
      <c r="C39" s="43">
        <v>27.16347</v>
      </c>
      <c r="D39" s="12"/>
      <c r="E39" s="12"/>
    </row>
    <row r="40" spans="1:5" ht="15" customHeight="1" x14ac:dyDescent="0.25">
      <c r="B40" s="11" t="s">
        <v>55</v>
      </c>
      <c r="C40" s="98">
        <v>1.74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1.6335800000000001E-2</v>
      </c>
      <c r="D45" s="12"/>
    </row>
    <row r="46" spans="1:5" ht="15.75" customHeight="1" x14ac:dyDescent="0.25">
      <c r="B46" s="11" t="s">
        <v>70</v>
      </c>
      <c r="C46" s="45">
        <v>9.5621299999999992E-2</v>
      </c>
      <c r="D46" s="12"/>
    </row>
    <row r="47" spans="1:5" ht="15.75" customHeight="1" x14ac:dyDescent="0.25">
      <c r="B47" s="11" t="s">
        <v>78</v>
      </c>
      <c r="C47" s="45">
        <v>0.41425559999999989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3.302</v>
      </c>
      <c r="D51" s="12"/>
    </row>
    <row r="52" spans="1:4" ht="15" customHeight="1" x14ac:dyDescent="0.25">
      <c r="B52" s="11" t="s">
        <v>32</v>
      </c>
      <c r="C52" s="98">
        <v>3.302</v>
      </c>
    </row>
    <row r="53" spans="1:4" ht="15.75" customHeight="1" x14ac:dyDescent="0.25">
      <c r="B53" s="11" t="s">
        <v>35</v>
      </c>
      <c r="C53" s="98">
        <v>4.55</v>
      </c>
    </row>
    <row r="54" spans="1:4" ht="15.75" customHeight="1" x14ac:dyDescent="0.25">
      <c r="B54" s="11" t="s">
        <v>33</v>
      </c>
      <c r="C54" s="98">
        <v>3.4319999999999999</v>
      </c>
    </row>
    <row r="55" spans="1:4" ht="15.75" customHeight="1" x14ac:dyDescent="0.25">
      <c r="B55" s="11" t="s">
        <v>34</v>
      </c>
      <c r="C55" s="98">
        <v>2.123333333333334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0.50705099999999992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5lgFkPIY7ueHiME+OwLnTUnU1vlRNWTsbkMUcIv2VKcwEC91mk7ggwAK2hQO+GSoYIPX+VEWVcskjwJKwpbH0Q==" saltValue="WFrp+X4kSy5KFub/Gtx8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UhkN6OmkvpiSHbcItPsS5HA0UQHN+dhyPjdz5K3xG6RMWkaQv8OGaO1MANhpiAJ6zmB7KFg7CPAKhpZWaDJWg==" saltValue="9sdItQJM+mmWsq5dt/gH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1.473504922066653E-2</v>
      </c>
    </row>
    <row r="4" spans="1:8" ht="15.75" customHeight="1" x14ac:dyDescent="0.25">
      <c r="B4" s="19" t="s">
        <v>116</v>
      </c>
      <c r="C4" s="99">
        <v>6.8189616093901534E-2</v>
      </c>
    </row>
    <row r="5" spans="1:8" ht="15.75" customHeight="1" x14ac:dyDescent="0.25">
      <c r="B5" s="19" t="s">
        <v>114</v>
      </c>
      <c r="C5" s="99">
        <v>0.1000974723100938</v>
      </c>
    </row>
    <row r="6" spans="1:8" ht="15.75" customHeight="1" x14ac:dyDescent="0.25">
      <c r="B6" s="19" t="s">
        <v>110</v>
      </c>
      <c r="C6" s="99">
        <v>0.26534518868097168</v>
      </c>
    </row>
    <row r="7" spans="1:8" ht="15.75" customHeight="1" x14ac:dyDescent="0.25">
      <c r="B7" s="19" t="s">
        <v>115</v>
      </c>
      <c r="C7" s="99">
        <v>0.29945329704313961</v>
      </c>
    </row>
    <row r="8" spans="1:8" ht="15.75" customHeight="1" x14ac:dyDescent="0.25">
      <c r="B8" s="19" t="s">
        <v>117</v>
      </c>
      <c r="C8" s="99">
        <v>1.967746635595265E-3</v>
      </c>
    </row>
    <row r="9" spans="1:8" ht="15.75" customHeight="1" x14ac:dyDescent="0.25">
      <c r="B9" s="19" t="s">
        <v>111</v>
      </c>
      <c r="C9" s="99">
        <v>0.1252214677487857</v>
      </c>
    </row>
    <row r="10" spans="1:8" ht="15.75" customHeight="1" x14ac:dyDescent="0.25">
      <c r="B10" s="19" t="s">
        <v>113</v>
      </c>
      <c r="C10" s="99">
        <v>0.12499016226684589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121</v>
      </c>
      <c r="C15" s="99">
        <v>0.32507562913398969</v>
      </c>
      <c r="D15" s="99">
        <v>0.32507562913398969</v>
      </c>
      <c r="E15" s="99">
        <v>0.32507562913398969</v>
      </c>
      <c r="F15" s="99">
        <v>0.32507562913398969</v>
      </c>
    </row>
    <row r="16" spans="1:8" ht="15.75" customHeight="1" x14ac:dyDescent="0.25">
      <c r="B16" s="19" t="s">
        <v>2</v>
      </c>
      <c r="C16" s="99">
        <v>1.52583579249242E-2</v>
      </c>
      <c r="D16" s="99">
        <v>1.52583579249242E-2</v>
      </c>
      <c r="E16" s="99">
        <v>1.52583579249242E-2</v>
      </c>
      <c r="F16" s="99">
        <v>1.52583579249242E-2</v>
      </c>
    </row>
    <row r="17" spans="1:8" ht="15.75" customHeight="1" x14ac:dyDescent="0.25">
      <c r="B17" s="19" t="s">
        <v>109</v>
      </c>
      <c r="C17" s="99">
        <v>9.342367820145225E-3</v>
      </c>
      <c r="D17" s="99">
        <v>9.342367820145225E-3</v>
      </c>
      <c r="E17" s="99">
        <v>9.342367820145225E-3</v>
      </c>
      <c r="F17" s="99">
        <v>9.342367820145225E-3</v>
      </c>
    </row>
    <row r="18" spans="1:8" ht="15.75" customHeight="1" x14ac:dyDescent="0.25">
      <c r="B18" s="19" t="s">
        <v>3</v>
      </c>
      <c r="C18" s="99">
        <v>1.828073548493462E-4</v>
      </c>
      <c r="D18" s="99">
        <v>1.828073548493462E-4</v>
      </c>
      <c r="E18" s="99">
        <v>1.828073548493462E-4</v>
      </c>
      <c r="F18" s="99">
        <v>1.828073548493462E-4</v>
      </c>
    </row>
    <row r="19" spans="1:8" ht="15.75" customHeight="1" x14ac:dyDescent="0.25">
      <c r="B19" s="19" t="s">
        <v>120</v>
      </c>
      <c r="C19" s="99">
        <v>0.12748543941078561</v>
      </c>
      <c r="D19" s="99">
        <v>0.12748543941078561</v>
      </c>
      <c r="E19" s="99">
        <v>0.12748543941078561</v>
      </c>
      <c r="F19" s="99">
        <v>0.12748543941078561</v>
      </c>
    </row>
    <row r="20" spans="1:8" ht="15.75" customHeight="1" x14ac:dyDescent="0.25">
      <c r="B20" s="19" t="s">
        <v>98</v>
      </c>
      <c r="C20" s="99">
        <v>4.5226299892980569E-3</v>
      </c>
      <c r="D20" s="99">
        <v>4.5226299892980569E-3</v>
      </c>
      <c r="E20" s="99">
        <v>4.5226299892980569E-3</v>
      </c>
      <c r="F20" s="99">
        <v>4.5226299892980569E-3</v>
      </c>
    </row>
    <row r="21" spans="1:8" ht="15.75" customHeight="1" x14ac:dyDescent="0.25">
      <c r="B21" s="19" t="s">
        <v>107</v>
      </c>
      <c r="C21" s="99">
        <v>0.15939031250457769</v>
      </c>
      <c r="D21" s="99">
        <v>0.15939031250457769</v>
      </c>
      <c r="E21" s="99">
        <v>0.15939031250457769</v>
      </c>
      <c r="F21" s="99">
        <v>0.15939031250457769</v>
      </c>
    </row>
    <row r="22" spans="1:8" ht="15.75" customHeight="1" x14ac:dyDescent="0.25">
      <c r="B22" s="19" t="s">
        <v>118</v>
      </c>
      <c r="C22" s="99">
        <v>0.1569370897422229</v>
      </c>
      <c r="D22" s="99">
        <v>0.1569370897422229</v>
      </c>
      <c r="E22" s="99">
        <v>0.1569370897422229</v>
      </c>
      <c r="F22" s="99">
        <v>0.1569370897422229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4.7503243000000001E-2</v>
      </c>
    </row>
    <row r="27" spans="1:8" ht="15.75" customHeight="1" x14ac:dyDescent="0.25">
      <c r="B27" s="19" t="s">
        <v>108</v>
      </c>
      <c r="C27" s="99">
        <v>1.0367542E-2</v>
      </c>
    </row>
    <row r="28" spans="1:8" ht="15.75" customHeight="1" x14ac:dyDescent="0.25">
      <c r="B28" s="19" t="s">
        <v>122</v>
      </c>
      <c r="C28" s="99">
        <v>0.17293429099999999</v>
      </c>
    </row>
    <row r="29" spans="1:8" ht="15.75" customHeight="1" x14ac:dyDescent="0.25">
      <c r="B29" s="19" t="s">
        <v>105</v>
      </c>
      <c r="C29" s="99">
        <v>0.15789878800000001</v>
      </c>
    </row>
    <row r="30" spans="1:8" ht="15.75" customHeight="1" x14ac:dyDescent="0.25">
      <c r="B30" s="19" t="s">
        <v>4</v>
      </c>
      <c r="C30" s="99">
        <v>5.576656E-2</v>
      </c>
    </row>
    <row r="31" spans="1:8" ht="15.75" customHeight="1" x14ac:dyDescent="0.25">
      <c r="B31" s="19" t="s">
        <v>99</v>
      </c>
      <c r="C31" s="99">
        <v>6.3201558000000005E-2</v>
      </c>
    </row>
    <row r="32" spans="1:8" ht="15.75" customHeight="1" x14ac:dyDescent="0.25">
      <c r="B32" s="19" t="s">
        <v>104</v>
      </c>
      <c r="C32" s="99">
        <v>1.0057959E-2</v>
      </c>
    </row>
    <row r="33" spans="2:3" ht="15.75" customHeight="1" x14ac:dyDescent="0.25">
      <c r="B33" s="19" t="s">
        <v>119</v>
      </c>
      <c r="C33" s="99">
        <v>0.165459261</v>
      </c>
    </row>
    <row r="34" spans="2:3" ht="15.75" customHeight="1" x14ac:dyDescent="0.25">
      <c r="B34" s="19" t="s">
        <v>106</v>
      </c>
      <c r="C34" s="99">
        <v>0.316810798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5kQAVPrVqJQoRHlv3kr5Vj1ywByCQgnQXS1ZHhqSRw8zK9fCzq2iWVnDdGJ7xID8KX900fOodTeatzSHPs+vyA==" saltValue="kzAuy9MnZRYi3IyRBpOI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129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125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126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138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YsNegzDBboKZ77Kuduu0p7bZnHgU7u2MtZqgxPwBjS6e+ptM0TPvQgOncmfuvb9qq/Qh4fk3CxrAYmsj4AJBw==" saltValue="VSmECv1OR6nQJcaJfsDk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a8uWj/bqwJbIEVbdIYzejmm2GLbKRGoCUmsMmPqqaUPMHJBQYqiDFuYtQpFp3XpvbakIFGHppExM6oD0Y5nmKA==" saltValue="3Ks2gCmw8GrxZG1Ef3iKT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KIz+hE1yjnB2WhwIrcZLMAsvoc9gO9tR5ePgrOEAhWpN/AKBJHOLZTK0f7hg9RBg94PQq0uuVx0tZcoPCeBKw==" saltValue="XYX/mWetUMAlT92lKo9g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1336.5460472984701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0.44085000000000002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0.30329999999999996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1.9631895417119349E-2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96909.39129</v>
      </c>
      <c r="C22" s="107">
        <v>96618.065000000002</v>
      </c>
      <c r="D22" s="107">
        <v>96396.876780000006</v>
      </c>
      <c r="E22" s="107">
        <v>96007.266570000007</v>
      </c>
      <c r="F22" s="107">
        <v>95500.03499</v>
      </c>
      <c r="G22" s="107">
        <v>94971.390209999998</v>
      </c>
      <c r="H22" s="107">
        <v>94329.785730000003</v>
      </c>
      <c r="I22" s="107">
        <v>93431.989069999996</v>
      </c>
      <c r="J22" s="107">
        <v>92077.744720000002</v>
      </c>
      <c r="K22" s="107">
        <v>89987.683520000006</v>
      </c>
      <c r="L22" s="107">
        <v>86734.672309999994</v>
      </c>
      <c r="M22" s="107">
        <v>81890.059389999995</v>
      </c>
      <c r="N22" s="107">
        <v>74666.415420000005</v>
      </c>
      <c r="O22" s="107">
        <v>64611.690329999998</v>
      </c>
    </row>
  </sheetData>
  <sheetProtection algorithmName="SHA-512" hashValue="6TGgf6dzjeMFy3piXclWnu4VZB8ZIJZmZ/+HTkQYdUUbBUqlrgfedLUseunzD3FTAvVERBeAb4gkuAgldBi9sw==" saltValue="yGmuB1KlbMn5yriA57A+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/S5ve4mS0JDtfRp59ebuW3ublPSyoAOqL7eEiyEekLAeeOempIKOci5LygrAByki6F29s4GA5glpL3jwOJ8ezA==" saltValue="Zf+5RN960/aKAFydJ9Sy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tvSqFtKthCtsXvfIIXRIsP3ctTE0xCGq/eyDVKFtqf0b4Dkns6mzEbQfnE7MWPegg6sDfDHTT3wgGWGJOADeg==" saltValue="fQKYQH0+v02PBTkQAgjY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0.61278763993956276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0.86284800000000006</v>
      </c>
      <c r="C10" s="96">
        <v>0.95</v>
      </c>
      <c r="D10" s="56">
        <v>14.191711276470389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14.191711276470389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14.191711276470389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14.191711276470389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0.86284800000000006</v>
      </c>
      <c r="C14" s="96">
        <v>0.95</v>
      </c>
      <c r="D14" s="56">
        <v>14.191711276470389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14.191711276470389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2.02589E-2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2.41416666666667E-2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0.52100000000000002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0.53241950000000005</v>
      </c>
      <c r="C19" s="96">
        <v>0.95</v>
      </c>
      <c r="D19" s="56">
        <v>1.783669753024828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4.6601859455142458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0.71992641902920995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0.27900000000000003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0.38404090000000002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0.48240959999999999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9.1000000000000004E-3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0.6354284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0.44971359999999999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0.14526700000000001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0.50166370000000005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0.107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YUCrO0ohMI9WpzsqxKgcZrk/atDKaEyt6fl8cA8D9UFqonTfsmMs6XxcYbjhVKGpTX6Vnhv+YScbGaxlv7Xd0g==" saltValue="ftMt/+RRR2118A9ZSQlz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7tUsj9A5ecyRISXmeDaeVIyEq/rclVf4aVczYmjN0kncrZoSpnEEb2mg6CQZKQySAL5v/4Dc5hU+LznKd3rxQ==" saltValue="Vk0gwWhj/EwD46oc5TMQ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9xyMQVQQglt2NkDFEkef4vqlMH3HM0vfcf7XHg9BjwtX9Fxsbrp43oJwWOp+euNB6OIu9ho6mOynpJ3yDxsPA==" saltValue="UN4xtBiYIeRLS/bjJvtU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4.55</v>
      </c>
      <c r="E2" s="21">
        <f>'Entradas de población-año base'!C54</f>
        <v>3.4319999999999999</v>
      </c>
      <c r="F2" s="21">
        <f>'Entradas de población-año base'!C55</f>
        <v>2.123333333333334</v>
      </c>
    </row>
    <row r="3" spans="1:6" ht="15.75" customHeight="1" x14ac:dyDescent="0.25">
      <c r="A3" s="3" t="s">
        <v>6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236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L4i+SxcO4GbYkSBhbLC8woWre/Ez2AFmdwYYgv9lcy69YNoSakFvtrJSHrOZshXtTLeWBR/IP8aaBf4hndpoWQ==" saltValue="RdTZSExXOIZWQ68GiaUK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kErbZc+E9cxfNg/9kDcf6W8+lq25lC2VWJ2NAtDwgPL5a7pFJ30B2JtI3BlQMZigulSpts87O3pVrXBmxTgmA==" saltValue="h9heSzKPrqO3D77DMcSp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5l8SX7zHLdYWvga9ixXUb2N4G8sxslXXdm4H9SE+Ek24f7iQ0mbl73DHK4ZJvecgNMLwcMhknRqMGK1wQxDVw==" saltValue="lKbyUWDTdZ4mGnLyleO1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lWGehZdL0T2lTDi6BqI3mR/DQK+CyxSGsdEO6eEOG/4xfoq9GB9pajkc3fLg12mqeyPSpaIvolP5RvA4aT76A==" saltValue="Rqqe7M7i7GtJc3hqPgdZ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aRUUlzDlbgNzrDWRlq3Efjy1hHXqbAdTeJDjTJkscecjI6ugruR/0J4OGAQwCa4xKUGTh1o5A+btokQbpO9PQ==" saltValue="rqqVCmHiBVLN5uQgrzDB+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Z30q+c7/GQoPoOs0gnRRvXa/Yjcvj+FIyKNB6yBL2gARVcQl31lPuwAPKaUGau7U/OmEvmJmcXdtfamY1uH+g==" saltValue="bc0RvwpggIjoEFaApUtT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JEtQarEmcnQ8qfNY689QPBbFPa2A7WdCOI1H1amANsS79jWTJJ45/Drw2vFy35hkjAGvzTaJkCNOp8+BwgDag==" saltValue="puhr4D66wkTl6/7ytcg7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HztNDIov2KO4V5W6U9qXQ1FoySKMbsyoQpEDxZwn2tlpulkSFbt0t8+whjO7R4mSJyKL91k+uN5wLrRINak8w==" saltValue="Prv3Yabr/7QP/sCDuOjDa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YqMS9qiTDVHuy0IHwgjIJXxCuGurkY5yXIchY56O6Y/z/6tL6AglL5OfYSrIHDsS5TqT+SIPkbXkDR8DcX4NA==" saltValue="kCcOT/NpzICwk/v7qaa/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3CH19S6qb9DtBZ0rMfZSl3ZDsJoFLKZyhgfx6FzpBBeB8qgqFEeg7qAkglvQeCWRQotXdulEgLXxI3twcHEnpg==" saltValue="++x+6Sn4cX7cirTYv6vp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wxsPhddWOI9TcUtsyPPcGIbkvh5NGo0UNvZcZycp8Qsz14/clefH7uMdmI4vG4ws0LVR+831/0fEFIhzuW8cw==" saltValue="wy6rmP67UwMuJITUdIAM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rX9+PciBIoBedght8OCldPJHBRM5iWh2Hv1+32wcaJeKjAPC7Y26eBzwRd507i4QfU9JpCT0TGgNUzseephsA==" saltValue="YlcV03mS0iFUwFe4Ngxu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uM/XL7lJPBR/M1HilOsKfQCjZD3B46wJ05m3taUI6soGz44J5qKcQ2hqCmVu2r3Tkyj6K6jyOOLs9oKTh79KQ==" saltValue="4roKVK52BecvQeTzeuaZ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2kOJ20NJ/oCYkmlfnVcnjI8CIklBpUIAMaYJhVgkJv4tbvDIJA3wq6hRc7t49S2LsFL/5L3i0xCkxv2vpPhEg==" saltValue="rnWSFG8yoibjJL+wKuZP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RmDsFrH8lol7cR7mWhIOlr9APu0SQlXgaOfNT9SRddYBV9naPH00zCTDbMULnNqQl4woB8rLwx5VXxBcfFH3Q==" saltValue="IsWPBHbac6X9jUvbs4jQ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6xUBchd8ScgZ/4fXANUoB7GXq4jqau5LATk32Sme0fyxX5JrSZI7R7B3FCzmCFrPQWQzNIF/W/8znRWG7b/+A==" saltValue="pEGGDG+cHaq004C2omN9i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