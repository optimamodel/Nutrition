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E353E7A-6159-4F08-AEE1-B21818EEAC2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4" i="2"/>
  <c r="I8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<sst xmlns="http://schemas.openxmlformats.org/spreadsheetml/2006/main" count="2159" uniqueCount="372">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</sst>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2717880.5</v>
      </c>
    </row>
    <row r="8" spans="1:3" ht="15" customHeight="1" x14ac:dyDescent="0.25">
      <c r="B8" s="5" t="s">
        <v>63</v>
      </c>
      <c r="C8" s="44">
        <v>0.15</v>
      </c>
    </row>
    <row r="9" spans="1:3" ht="15" customHeight="1" x14ac:dyDescent="0.25">
      <c r="B9" s="5" t="s">
        <v>62</v>
      </c>
      <c r="C9" s="45">
        <v>2.5600000000000001E-2</v>
      </c>
    </row>
    <row r="10" spans="1:3" ht="15" customHeight="1" x14ac:dyDescent="0.25">
      <c r="B10" s="5" t="s">
        <v>75</v>
      </c>
      <c r="C10" s="45">
        <v>0.62818479999999999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0.1673</v>
      </c>
    </row>
    <row r="24" spans="1:3" ht="15" customHeight="1" x14ac:dyDescent="0.25">
      <c r="B24" s="15" t="s">
        <v>65</v>
      </c>
      <c r="C24" s="45">
        <v>0.62609999999999999</v>
      </c>
    </row>
    <row r="25" spans="1:3" ht="15" customHeight="1" x14ac:dyDescent="0.25">
      <c r="B25" s="15" t="s">
        <v>66</v>
      </c>
      <c r="C25" s="45">
        <v>0.1709</v>
      </c>
    </row>
    <row r="26" spans="1:3" ht="15" customHeight="1" x14ac:dyDescent="0.25">
      <c r="B26" s="15" t="s">
        <v>67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9">
        <v>4.1696555750580601E-2</v>
      </c>
    </row>
    <row r="31" spans="1:3" ht="14.25" customHeight="1" x14ac:dyDescent="0.25">
      <c r="B31" s="25" t="s">
        <v>29</v>
      </c>
      <c r="C31" s="99">
        <v>7.5022305717839008E-2</v>
      </c>
    </row>
    <row r="32" spans="1:3" ht="14.25" customHeight="1" x14ac:dyDescent="0.25">
      <c r="B32" s="25" t="s">
        <v>30</v>
      </c>
      <c r="C32" s="99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16.166080000000001</v>
      </c>
    </row>
    <row r="38" spans="1:5" ht="15" customHeight="1" x14ac:dyDescent="0.25">
      <c r="B38" s="11" t="s">
        <v>54</v>
      </c>
      <c r="C38" s="43">
        <v>22.820869999999999</v>
      </c>
      <c r="D38" s="12"/>
      <c r="E38" s="13"/>
    </row>
    <row r="39" spans="1:5" ht="15" customHeight="1" x14ac:dyDescent="0.25">
      <c r="B39" s="11" t="s">
        <v>80</v>
      </c>
      <c r="C39" s="43">
        <v>27.16347</v>
      </c>
      <c r="D39" s="12"/>
      <c r="E39" s="12"/>
    </row>
    <row r="40" spans="1:5" ht="15" customHeight="1" x14ac:dyDescent="0.25">
      <c r="B40" s="11" t="s">
        <v>55</v>
      </c>
      <c r="C40" s="100">
        <v>1.74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1.6335800000000001E-2</v>
      </c>
      <c r="D45" s="12"/>
    </row>
    <row r="46" spans="1:5" ht="15.75" customHeight="1" x14ac:dyDescent="0.25">
      <c r="B46" s="11" t="s">
        <v>70</v>
      </c>
      <c r="C46" s="45">
        <v>9.5621299999999992E-2</v>
      </c>
      <c r="D46" s="12"/>
    </row>
    <row r="47" spans="1:5" ht="15.75" customHeight="1" x14ac:dyDescent="0.25">
      <c r="B47" s="11" t="s">
        <v>78</v>
      </c>
      <c r="C47" s="45">
        <v>0.41425559999999989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3.302</v>
      </c>
      <c r="D51" s="12"/>
    </row>
    <row r="52" spans="1:4" ht="15" customHeight="1" x14ac:dyDescent="0.25">
      <c r="B52" s="11" t="s">
        <v>32</v>
      </c>
      <c r="C52" s="100">
        <v>3.302</v>
      </c>
    </row>
    <row r="53" spans="1:4" ht="15.75" customHeight="1" x14ac:dyDescent="0.25">
      <c r="B53" s="11" t="s">
        <v>35</v>
      </c>
      <c r="C53" s="100">
        <v>4.55</v>
      </c>
    </row>
    <row r="54" spans="1:4" ht="15.75" customHeight="1" x14ac:dyDescent="0.25">
      <c r="B54" s="11" t="s">
        <v>33</v>
      </c>
      <c r="C54" s="100">
        <v>3.4319999999999999</v>
      </c>
    </row>
    <row r="55" spans="1:4" ht="15.75" customHeight="1" x14ac:dyDescent="0.25">
      <c r="B55" s="11" t="s">
        <v>34</v>
      </c>
      <c r="C55" s="100">
        <v>2.123333333333334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0.50705099999999992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b/QxNrEBRQzeVX9Hnln/Jvk5eyme9mi34nT0dz833NY4sbggmgPO/+cNz6aa6WxA5PTqvAw3En8qrlTByQtf9A==" saltValue="TOn2Zj3pVah52dsuD13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YWds6ZI4No/seLLxpOAgcxzIj0lKOnE+cvVhZjLEWc+KTbwjtXbxD5eg3+M3d058Q7YMSR8bg198kKFTaLjjQ==" saltValue="E1E/YE+JMZz1DlL/3rdU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1.473504922066653E-2</v>
      </c>
    </row>
    <row r="4" spans="1:8" ht="15.75" customHeight="1" x14ac:dyDescent="0.25">
      <c r="B4" s="19" t="s">
        <v>116</v>
      </c>
      <c r="C4" s="101">
        <v>6.8189616093901534E-2</v>
      </c>
    </row>
    <row r="5" spans="1:8" ht="15.75" customHeight="1" x14ac:dyDescent="0.25">
      <c r="B5" s="19" t="s">
        <v>114</v>
      </c>
      <c r="C5" s="101">
        <v>0.1000974723100938</v>
      </c>
    </row>
    <row r="6" spans="1:8" ht="15.75" customHeight="1" x14ac:dyDescent="0.25">
      <c r="B6" s="19" t="s">
        <v>110</v>
      </c>
      <c r="C6" s="101">
        <v>0.26534518868097168</v>
      </c>
    </row>
    <row r="7" spans="1:8" ht="15.75" customHeight="1" x14ac:dyDescent="0.25">
      <c r="B7" s="19" t="s">
        <v>115</v>
      </c>
      <c r="C7" s="101">
        <v>0.29945329704313961</v>
      </c>
    </row>
    <row r="8" spans="1:8" ht="15.75" customHeight="1" x14ac:dyDescent="0.25">
      <c r="B8" s="19" t="s">
        <v>117</v>
      </c>
      <c r="C8" s="101">
        <v>1.967746635595265E-3</v>
      </c>
    </row>
    <row r="9" spans="1:8" ht="15.75" customHeight="1" x14ac:dyDescent="0.25">
      <c r="B9" s="19" t="s">
        <v>111</v>
      </c>
      <c r="C9" s="101">
        <v>0.1252214677487857</v>
      </c>
    </row>
    <row r="10" spans="1:8" ht="15.75" customHeight="1" x14ac:dyDescent="0.25">
      <c r="B10" s="19" t="s">
        <v>113</v>
      </c>
      <c r="C10" s="101">
        <v>0.12499016226684589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121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2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109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3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120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98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107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118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4.7503243000000001E-2</v>
      </c>
    </row>
    <row r="27" spans="1:8" ht="15.75" customHeight="1" x14ac:dyDescent="0.25">
      <c r="B27" s="19" t="s">
        <v>108</v>
      </c>
      <c r="C27" s="101">
        <v>1.0367542E-2</v>
      </c>
    </row>
    <row r="28" spans="1:8" ht="15.75" customHeight="1" x14ac:dyDescent="0.25">
      <c r="B28" s="19" t="s">
        <v>122</v>
      </c>
      <c r="C28" s="101">
        <v>0.17293429099999999</v>
      </c>
    </row>
    <row r="29" spans="1:8" ht="15.75" customHeight="1" x14ac:dyDescent="0.25">
      <c r="B29" s="19" t="s">
        <v>105</v>
      </c>
      <c r="C29" s="101">
        <v>0.15789878800000001</v>
      </c>
    </row>
    <row r="30" spans="1:8" ht="15.75" customHeight="1" x14ac:dyDescent="0.25">
      <c r="B30" s="19" t="s">
        <v>4</v>
      </c>
      <c r="C30" s="101">
        <v>5.576656E-2</v>
      </c>
    </row>
    <row r="31" spans="1:8" ht="15.75" customHeight="1" x14ac:dyDescent="0.25">
      <c r="B31" s="19" t="s">
        <v>99</v>
      </c>
      <c r="C31" s="101">
        <v>6.3201558000000005E-2</v>
      </c>
    </row>
    <row r="32" spans="1:8" ht="15.75" customHeight="1" x14ac:dyDescent="0.25">
      <c r="B32" s="19" t="s">
        <v>104</v>
      </c>
      <c r="C32" s="101">
        <v>1.0057959E-2</v>
      </c>
    </row>
    <row r="33" spans="2:3" ht="15.75" customHeight="1" x14ac:dyDescent="0.25">
      <c r="B33" s="19" t="s">
        <v>119</v>
      </c>
      <c r="C33" s="101">
        <v>0.165459261</v>
      </c>
    </row>
    <row r="34" spans="2:3" ht="15.75" customHeight="1" x14ac:dyDescent="0.25">
      <c r="B34" s="19" t="s">
        <v>106</v>
      </c>
      <c r="C34" s="101">
        <v>0.316810798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ctdpzcqlc4HioFF03V2g2iD4szhK8tV+r/NmB4S6BpUcxLzdqiSwip9BArfcijo2NaRW9U1tZyjoDmOqhlXTIg==" saltValue="SzvTH5Cr4ZUVseDTj7wr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129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125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126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138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6rCdSDW16ZT/fdl96cO7VAS9ti6P4HnVvs586jeAHKYFU+30sKVvCkhIsGYH7t+KreHpL1i9em9zmizPsbPJQ==" saltValue="oB2PFgnKmNRAyjBupesW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KoKj5GpiMyiVzuFpJBDAOG/mR5d1ML8oMceB+Uh+a639rbcNScOgfFqiXyWNM6WBDCwjJ3e4aPFGsNXE4042qQ==" saltValue="Luj289tIQ10PD5nYY7tY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HRzyp0oF8M1LmZ2yJP98XNWluok3Z++Xg7gGkqv5w669Gcm3ErDoYaCjK2xIkwMFVt1lNxK+kMaXHw62TPqxQ==" saltValue="T3sAvpJ4XibZhMZg5o8N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1336.5460472984701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0.44085000000000002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0.30329999999999996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1.9631895417119349E-2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96909.39129</v>
      </c>
      <c r="C22" s="109">
        <v>96618.065000000002</v>
      </c>
      <c r="D22" s="109">
        <v>96396.876780000006</v>
      </c>
      <c r="E22" s="109">
        <v>96007.266570000007</v>
      </c>
      <c r="F22" s="109">
        <v>95500.03499</v>
      </c>
      <c r="G22" s="109">
        <v>94971.390209999998</v>
      </c>
      <c r="H22" s="109">
        <v>94329.785730000003</v>
      </c>
      <c r="I22" s="109">
        <v>93431.989069999996</v>
      </c>
      <c r="J22" s="109">
        <v>92077.744720000002</v>
      </c>
      <c r="K22" s="109">
        <v>89987.683520000006</v>
      </c>
      <c r="L22" s="109">
        <v>86734.672309999994</v>
      </c>
      <c r="M22" s="109">
        <v>81890.059389999995</v>
      </c>
      <c r="N22" s="109">
        <v>74666.415420000005</v>
      </c>
      <c r="O22" s="109">
        <v>64611.690329999998</v>
      </c>
    </row>
  </sheetData>
  <sheetProtection algorithmName="SHA-512" hashValue="qkIVRmBRdwSCPf6e/q+eejevEjfuDR47izVdOFDsaViMZ8opfHNDzDeZCaYWvxb9NSwXGVw8tI1W3Wdm1iYU3Q==" saltValue="5LWPh6IXrGnOseEwDJlI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Siv3ASO1LIW22jt+KIYP9gURWu8iemprl2R4Y/cHzsNbiylKz4QGeI9QKdYQTP0kAo98+4rQqzBfBxPf+FoBg==" saltValue="Yk4JX7bnZI1xU4id27IK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VXV48tPOuH+2LI7MIj2z/bEB9kDvM54DtoxVvQ35qAi87SgGaCIShGFB/VPPNISglwkFFBpDYfNqs4TivT1Ow==" saltValue="vB9fTXzUkrCnrda2OTFb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0.86284800000000006</v>
      </c>
      <c r="C10" s="98">
        <v>0.95</v>
      </c>
      <c r="D10" s="56">
        <v>14.191711276470389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14.191711276470389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14.191711276470389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14.191711276470389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0.86284800000000006</v>
      </c>
      <c r="C14" s="98">
        <v>0.95</v>
      </c>
      <c r="D14" s="56">
        <v>14.191711276470389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14.191711276470389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2.02589E-2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2.41416666666667E-2</v>
      </c>
      <c r="C17" s="98">
        <v>0.95</v>
      </c>
      <c r="D17" s="56">
        <v>9.7330203637492063E-2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0.52100000000000002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0.53241950000000005</v>
      </c>
      <c r="C19" s="98">
        <v>0.95</v>
      </c>
      <c r="D19" s="56">
        <v>1.783669753024828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4.6601859455142458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0.71992641902920995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0.27900000000000003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0.38404090000000002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0.48240959999999999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9.1000000000000004E-3</v>
      </c>
      <c r="C31" s="98">
        <v>0.95</v>
      </c>
      <c r="D31" s="56">
        <v>175.48809161556471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</v>
      </c>
      <c r="C32" s="98">
        <v>0.95</v>
      </c>
      <c r="D32" s="56">
        <v>0.45463218100922231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0.6354284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0.44971359999999999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0.14526700000000001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0.50166370000000005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0.107</v>
      </c>
      <c r="C38" s="98">
        <v>0.95</v>
      </c>
      <c r="D38" s="56">
        <v>1.6798709086682517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nxajJcXy9zmF52kgNXHFJFUly7C7N9XC0GwUrZOP9CqM4zqSERCPOP7XRX2yEBSy3w4BdZQ6sJ5qiMeWDpG4oA==" saltValue="3fMEZ5pDDUGZ9fbBshKZ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HCZeRIekTslA7sQ92dA6vuOP4k7VaRSw6rDANNyy8//OpMKaE0OpA1w09IG4DWT4BonvD9bMGso+E2dwoIOqg==" saltValue="SR6ZQWfCJuUCWRhC84Y+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NALxjVadjp/F0HYricXKJBzVUBGWyPHFpCnsNTykqmyEPVK6Ij/vrQn18dww4wiXx6gDWY4KMmJyLD7xPlgYQ==" saltValue="dlkdlYbpNNYtwG7x8zG4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4.55</v>
      </c>
      <c r="E2" s="21">
        <f>'Entradas de población-año base'!C54</f>
        <v>3.4319999999999999</v>
      </c>
      <c r="F2" s="21">
        <f>'Entradas de población-año base'!C55</f>
        <v>2.123333333333334</v>
      </c>
    </row>
    <row r="3" spans="1:6" ht="15.75" customHeight="1" x14ac:dyDescent="0.25">
      <c r="A3" s="3" t="s">
        <v>6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236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9mJi7SoNCh8gz978d5HIrNxLvWs8TWIdr5Ws20Vg9R2Qeg1IIqJuLPV7rJjEgV424SToV7Dyktl6M9T4jLrUgA==" saltValue="Nf0T36k29MAGyz0U8JI+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q6879N0omajhf82U8TzDMSLRJb1aEahsuDW7wO1nglHk8GtWCnaeAiPUNtDVV/XtMtj/tow6DNA7qUfBBh66Q==" saltValue="vFuKD13UTXv7qp7d82+z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QK009O8+VbhJD14KZCUuBhLa1+ZuH0XmDs/u2A/UiVHm1++tVyu0e9tD3kw6I7inEMuOQRtS97CbQwirWp3CA==" saltValue="Y2KHN74dUT+ecCXE1Vp1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0Ji4gbJJY0vIrYyTVFYOTkN7Qv29yhdQvXT3gtNpxDTuJ13VxNSYNiNhCYluejHK1CiB38LO5HkJjScyL9qeg==" saltValue="JwB4F9Rir2rvCXD5Gt9v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XcJiqkjbYh+ZSbdzf9tEPlqDYi7Zsu/H2fbgEsxQ5X5pH9xfJ4ZCFEaeD9n15vIs6KZ5b6LCVy3f8DVh4hnEA==" saltValue="fG4l9ILAneyA2mw37F0m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YCBLTwGL1gQndx2Rt6VScIDJPznMyMc9vdoLp2htOrM4fLSkhptxzQOvAvqE4jkyabvY/Qz2wH9tJlMzvmQnYA==" saltValue="STwcNYeDaghpHzSeZ/nq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l1MXCvME0pfEYT9hD15nl4lVznGrmUwpHaYnFgh1Z0GVUUgYrT+S49T3FNCAmwByJ+gLN1BkftM2qevgZCxBg==" saltValue="JZtO7yBQfhWmaRLylwPa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ggWrpv80scmXX19juv0qWNakrJpeQ69uaSuSzNYdQarsMWekBG/lrhSS4UHBJBud9PXPWOamiUhO2jaYu0OJg==" saltValue="Lwcp68gVCeeD2UGczIREV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8WTgxRaMeXOibvIIXaw5CWb6PoAGtH50HnZnAbBaydCBpKb6hCA4N2Ho/QqiquN7p6HlfKIX0+q8+iGyVayMw==" saltValue="WJeYnfuA6Wq48NAqY4+s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zR6TaGY7bT25PGaO7papPNjv5s4fMtM33oztramA8Pd2IJnc5l2aerhCxHh+T0sElJpp9IQriFz/zCSLIoimA==" saltValue="FtYVIar3m7slYR8L3QI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aXz8BQKSP4t8JNl/B6aqXx02gHorhBmlIQ4yLM8t5y+lVWvhej0kGFjN8gnkl6bmOiHx1jTTYrpx3iG7IqElg==" saltValue="McTk4Cz7nFYyq5YRNyJF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EQ07e5ly3dTS6iYYDZ+R0ND96O9C11BVBiJbIT8bnnSNwwhYW0knZgfmT8xdVKRw5zxV339jD62MOmNI3v3aw==" saltValue="EhXfl8H/ITauRgHGTnEy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V/e0z9oRbCIUe29/7kEb+ubpfhPaYV1+S2sPAJue8qYPk5QGBo26YQAKncq4h6O5FB3sxUMqwG1GOb33uoBBw==" saltValue="jxui/87wxVTC1tgmX8ut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YhmR3JAB0QajYxjIfSSyU4WqzEeGmHOvVR02fIwo3QA/UUImZT+VjzKH3TfP01QR28MetfmupoYHpI1PNojLg==" saltValue="A3raCYTQpnirHz4ddrjX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0JS5BYu96EOyAT2k7+7DjzAy08EeehUiNjsASnu+Ln2R0OQNiAYzsnXn3vyJitvWSVXxyyfVmTpClW/s8kMWg==" saltValue="h9nUnunEHl9+2RBcZNn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CliK/OtZGAS7mlvth7Sg9jI0vSRK2VCcErWRw8y+1ATMgM16VBmVoFpGVKh8BjXe6k5venVV3A8A9qiJ4NE+oA==" saltValue="DFictDVJ1o4a8yxPgZ4u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