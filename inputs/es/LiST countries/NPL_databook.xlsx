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79E07925-E9E0-491B-895B-70BA0E6D6946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I39" i="2" s="1"/>
  <c r="G39" i="2"/>
  <c r="H38" i="2"/>
  <c r="G38" i="2"/>
  <c r="I38" i="2" s="1"/>
  <c r="A33" i="2"/>
  <c r="A31" i="2"/>
  <c r="A26" i="2"/>
  <c r="A25" i="2"/>
  <c r="H13" i="2"/>
  <c r="I13" i="2" s="1"/>
  <c r="G13" i="2"/>
  <c r="H12" i="2"/>
  <c r="G12" i="2"/>
  <c r="H11" i="2"/>
  <c r="I11" i="2" s="1"/>
  <c r="G11" i="2"/>
  <c r="H10" i="2"/>
  <c r="G10" i="2"/>
  <c r="I10" i="2" s="1"/>
  <c r="H9" i="2"/>
  <c r="I9" i="2" s="1"/>
  <c r="G9" i="2"/>
  <c r="H8" i="2"/>
  <c r="G8" i="2"/>
  <c r="I8" i="2" s="1"/>
  <c r="H7" i="2"/>
  <c r="I7" i="2" s="1"/>
  <c r="G7" i="2"/>
  <c r="H6" i="2"/>
  <c r="G6" i="2"/>
  <c r="I6" i="2" s="1"/>
  <c r="H5" i="2"/>
  <c r="I5" i="2" s="1"/>
  <c r="G5" i="2"/>
  <c r="H4" i="2"/>
  <c r="G4" i="2"/>
  <c r="I4" i="2" s="1"/>
  <c r="H3" i="2"/>
  <c r="I3" i="2" s="1"/>
  <c r="G3" i="2"/>
  <c r="H2" i="2"/>
  <c r="G2" i="2"/>
  <c r="I2" i="2" s="1"/>
  <c r="A2" i="2"/>
  <c r="A40" i="2" s="1"/>
  <c r="C33" i="1"/>
  <c r="C20" i="1"/>
  <c r="A34" i="2" l="1"/>
  <c r="A17" i="2"/>
  <c r="A15" i="2"/>
  <c r="A18" i="2"/>
  <c r="A3" i="2"/>
  <c r="I12" i="2"/>
  <c r="A23" i="2"/>
  <c r="A39" i="2"/>
  <c r="A16" i="2"/>
  <c r="A24" i="2"/>
  <c r="A32" i="2"/>
  <c r="A19" i="2"/>
  <c r="A27" i="2"/>
  <c r="A35" i="2"/>
  <c r="A20" i="2"/>
  <c r="A28" i="2"/>
  <c r="A36" i="2"/>
  <c r="A21" i="2"/>
  <c r="A29" i="2"/>
  <c r="A37" i="2"/>
  <c r="A4" i="2"/>
  <c r="A5" i="2" s="1"/>
  <c r="A6" i="2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<sst xmlns="http://schemas.openxmlformats.org/spreadsheetml/2006/main" count="2101" uniqueCount="341">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</sst>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2974281.03125</v>
      </c>
    </row>
    <row r="8" spans="1:3" ht="15" customHeight="1" x14ac:dyDescent="0.25">
      <c r="B8" s="5" t="s">
        <v>44</v>
      </c>
      <c r="C8" s="44">
        <v>0.15</v>
      </c>
    </row>
    <row r="9" spans="1:3" ht="15" customHeight="1" x14ac:dyDescent="0.25">
      <c r="B9" s="5" t="s">
        <v>43</v>
      </c>
      <c r="C9" s="45">
        <v>2.5600000000000001E-2</v>
      </c>
    </row>
    <row r="10" spans="1:3" ht="15" customHeight="1" x14ac:dyDescent="0.25">
      <c r="B10" s="5" t="s">
        <v>56</v>
      </c>
      <c r="C10" s="45">
        <v>0.57262748718261702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0.439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0.1673</v>
      </c>
    </row>
    <row r="24" spans="1:3" ht="15" customHeight="1" x14ac:dyDescent="0.25">
      <c r="B24" s="15" t="s">
        <v>46</v>
      </c>
      <c r="C24" s="45">
        <v>0.62609999999999999</v>
      </c>
    </row>
    <row r="25" spans="1:3" ht="15" customHeight="1" x14ac:dyDescent="0.25">
      <c r="B25" s="15" t="s">
        <v>47</v>
      </c>
      <c r="C25" s="45">
        <v>0.1709</v>
      </c>
    </row>
    <row r="26" spans="1:3" ht="15" customHeight="1" x14ac:dyDescent="0.25">
      <c r="B26" s="15" t="s">
        <v>48</v>
      </c>
      <c r="C26" s="45">
        <v>3.5700000000000003E-2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0.41227810089419697</v>
      </c>
    </row>
    <row r="30" spans="1:3" ht="14.25" customHeight="1" x14ac:dyDescent="0.25">
      <c r="B30" s="25" t="s">
        <v>63</v>
      </c>
      <c r="C30" s="99">
        <v>4.1696555750580601E-2</v>
      </c>
    </row>
    <row r="31" spans="1:3" ht="14.25" customHeight="1" x14ac:dyDescent="0.25">
      <c r="B31" s="25" t="s">
        <v>10</v>
      </c>
      <c r="C31" s="99">
        <v>7.5022305717839008E-2</v>
      </c>
    </row>
    <row r="32" spans="1:3" ht="14.25" customHeight="1" x14ac:dyDescent="0.25">
      <c r="B32" s="25" t="s">
        <v>11</v>
      </c>
      <c r="C32" s="99">
        <v>0.47100303763738299</v>
      </c>
    </row>
    <row r="33" spans="1:5" ht="13" customHeight="1" x14ac:dyDescent="0.25">
      <c r="B33" s="27" t="s">
        <v>60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16.166080000000001</v>
      </c>
    </row>
    <row r="38" spans="1:5" ht="15" customHeight="1" x14ac:dyDescent="0.25">
      <c r="B38" s="11" t="s">
        <v>35</v>
      </c>
      <c r="C38" s="43">
        <v>22.820869999999999</v>
      </c>
      <c r="D38" s="12"/>
      <c r="E38" s="13"/>
    </row>
    <row r="39" spans="1:5" ht="15" customHeight="1" x14ac:dyDescent="0.25">
      <c r="B39" s="11" t="s">
        <v>61</v>
      </c>
      <c r="C39" s="43">
        <v>27.16347</v>
      </c>
      <c r="D39" s="12"/>
      <c r="E39" s="12"/>
    </row>
    <row r="40" spans="1:5" ht="15" customHeight="1" x14ac:dyDescent="0.25">
      <c r="B40" s="11" t="s">
        <v>36</v>
      </c>
      <c r="C40" s="100">
        <v>1.74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15.72035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1.6335800000000001E-2</v>
      </c>
      <c r="D45" s="12"/>
    </row>
    <row r="46" spans="1:5" ht="15.75" customHeight="1" x14ac:dyDescent="0.25">
      <c r="B46" s="11" t="s">
        <v>51</v>
      </c>
      <c r="C46" s="45">
        <v>9.5621299999999992E-2</v>
      </c>
      <c r="D46" s="12"/>
    </row>
    <row r="47" spans="1:5" ht="15.75" customHeight="1" x14ac:dyDescent="0.25">
      <c r="B47" s="11" t="s">
        <v>59</v>
      </c>
      <c r="C47" s="45">
        <v>0.41425559999999989</v>
      </c>
      <c r="D47" s="12"/>
      <c r="E47" s="13"/>
    </row>
    <row r="48" spans="1:5" ht="15" customHeight="1" x14ac:dyDescent="0.25">
      <c r="B48" s="11" t="s">
        <v>58</v>
      </c>
      <c r="C48" s="46">
        <v>0.47378730000000002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2.4</v>
      </c>
      <c r="D51" s="12"/>
    </row>
    <row r="52" spans="1:4" ht="15" customHeight="1" x14ac:dyDescent="0.25">
      <c r="B52" s="11" t="s">
        <v>13</v>
      </c>
      <c r="C52" s="100">
        <v>2.4</v>
      </c>
    </row>
    <row r="53" spans="1:4" ht="15.75" customHeight="1" x14ac:dyDescent="0.25">
      <c r="B53" s="11" t="s">
        <v>16</v>
      </c>
      <c r="C53" s="100">
        <v>2.4</v>
      </c>
    </row>
    <row r="54" spans="1:4" ht="15.75" customHeight="1" x14ac:dyDescent="0.25">
      <c r="B54" s="11" t="s">
        <v>14</v>
      </c>
      <c r="C54" s="100">
        <v>2.4</v>
      </c>
    </row>
    <row r="55" spans="1:4" ht="15.75" customHeight="1" x14ac:dyDescent="0.25">
      <c r="B55" s="11" t="s">
        <v>15</v>
      </c>
      <c r="C55" s="100">
        <v>2.4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2.1666666666666671E-2</v>
      </c>
    </row>
    <row r="59" spans="1:4" ht="15.75" customHeight="1" x14ac:dyDescent="0.25">
      <c r="B59" s="11" t="s">
        <v>40</v>
      </c>
      <c r="C59" s="45">
        <v>0.50705099999999992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0.21813127999999901</v>
      </c>
    </row>
    <row r="63" spans="1:4" ht="15.75" customHeight="1" x14ac:dyDescent="0.3">
      <c r="A63" s="4"/>
    </row>
  </sheetData>
  <sheetProtection algorithmName="SHA-512" hashValue="2M4A6aUSZdHT9kI7Wr9GmqgsuTSQmARZ4v6ytvsP9B3RaGp70PCxSgUvDZBHkHFCUJWpnIuzisS+WrlSaOnRQQ==" saltValue="MsAr2el6gRtcI1PuFJsZ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608426</v>
      </c>
      <c r="C2" s="49">
        <v>1786424</v>
      </c>
      <c r="D2" s="49">
        <v>3228717</v>
      </c>
      <c r="E2" s="49">
        <v>2633684.5</v>
      </c>
      <c r="F2" s="49">
        <v>1585960.5</v>
      </c>
      <c r="G2" s="17">
        <f t="shared" ref="G2:G13" si="0">C2+D2+E2+F2</f>
        <v>9234786</v>
      </c>
      <c r="H2" s="17">
        <f t="shared" ref="H2:H13" si="1">(B2 + stillbirth*B2/(1000-stillbirth))/(1-abortion)</f>
        <v>702435.71714418952</v>
      </c>
      <c r="I2" s="17">
        <f t="shared" ref="I2:I13" si="2">G2-H2</f>
        <v>8532350.2828558106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602506</v>
      </c>
      <c r="C3" s="50">
        <v>1752200.5</v>
      </c>
      <c r="D3" s="50">
        <v>3215647.5</v>
      </c>
      <c r="E3" s="50">
        <v>2717887</v>
      </c>
      <c r="F3" s="50">
        <v>1643646.5</v>
      </c>
      <c r="G3" s="17">
        <f t="shared" si="0"/>
        <v>9329381.5</v>
      </c>
      <c r="H3" s="17">
        <f t="shared" si="1"/>
        <v>695601.0002755915</v>
      </c>
      <c r="I3" s="17">
        <f t="shared" si="2"/>
        <v>8633780.4997244086</v>
      </c>
    </row>
    <row r="4" spans="1:9" ht="15.75" customHeight="1" x14ac:dyDescent="0.25">
      <c r="A4" s="5">
        <f t="shared" si="3"/>
        <v>2026</v>
      </c>
      <c r="B4" s="49">
        <v>596660</v>
      </c>
      <c r="C4" s="50">
        <v>1727583.5</v>
      </c>
      <c r="D4" s="50">
        <v>3190963.5</v>
      </c>
      <c r="E4" s="50">
        <v>2798086</v>
      </c>
      <c r="F4" s="50">
        <v>1703668</v>
      </c>
      <c r="G4" s="17">
        <f t="shared" si="0"/>
        <v>9420301</v>
      </c>
      <c r="H4" s="17">
        <f t="shared" si="1"/>
        <v>688851.71736785094</v>
      </c>
      <c r="I4" s="17">
        <f t="shared" si="2"/>
        <v>8731449.2826321498</v>
      </c>
    </row>
    <row r="5" spans="1:9" ht="15.75" customHeight="1" x14ac:dyDescent="0.25">
      <c r="A5" s="5">
        <f t="shared" si="3"/>
        <v>2027</v>
      </c>
      <c r="B5" s="49">
        <v>589140</v>
      </c>
      <c r="C5" s="50">
        <v>1712446.5</v>
      </c>
      <c r="D5" s="50">
        <v>3158563.5</v>
      </c>
      <c r="E5" s="50">
        <v>2870601.5</v>
      </c>
      <c r="F5" s="50">
        <v>1765151.5</v>
      </c>
      <c r="G5" s="17">
        <f t="shared" si="0"/>
        <v>9506763</v>
      </c>
      <c r="H5" s="17">
        <f t="shared" si="1"/>
        <v>680169.77972395625</v>
      </c>
      <c r="I5" s="17">
        <f t="shared" si="2"/>
        <v>8826593.2202760428</v>
      </c>
    </row>
    <row r="6" spans="1:9" ht="15.75" customHeight="1" x14ac:dyDescent="0.25">
      <c r="A6" s="5">
        <f t="shared" si="3"/>
        <v>2028</v>
      </c>
      <c r="B6" s="49">
        <v>580528</v>
      </c>
      <c r="C6" s="50">
        <v>1704565</v>
      </c>
      <c r="D6" s="50">
        <v>3119257</v>
      </c>
      <c r="E6" s="50">
        <v>2935861.5</v>
      </c>
      <c r="F6" s="50">
        <v>1828254</v>
      </c>
      <c r="G6" s="17">
        <f t="shared" si="0"/>
        <v>9587937.5</v>
      </c>
      <c r="H6" s="17">
        <f t="shared" si="1"/>
        <v>670227.11390092142</v>
      </c>
      <c r="I6" s="17">
        <f t="shared" si="2"/>
        <v>8917710.3860990778</v>
      </c>
    </row>
    <row r="7" spans="1:9" ht="15.75" customHeight="1" x14ac:dyDescent="0.25">
      <c r="A7" s="5">
        <f t="shared" si="3"/>
        <v>2029</v>
      </c>
      <c r="B7" s="49">
        <v>571094</v>
      </c>
      <c r="C7" s="50">
        <v>1702285</v>
      </c>
      <c r="D7" s="50">
        <v>3072971</v>
      </c>
      <c r="E7" s="50">
        <v>2994810.5</v>
      </c>
      <c r="F7" s="50">
        <v>1893267.5</v>
      </c>
      <c r="G7" s="17">
        <f t="shared" si="0"/>
        <v>9663334</v>
      </c>
      <c r="H7" s="17">
        <f t="shared" si="1"/>
        <v>659335.4384045779</v>
      </c>
      <c r="I7" s="17">
        <f t="shared" si="2"/>
        <v>9003998.5615954213</v>
      </c>
    </row>
    <row r="8" spans="1:9" ht="15.75" customHeight="1" x14ac:dyDescent="0.25">
      <c r="A8" s="5">
        <f t="shared" si="3"/>
        <v>2030</v>
      </c>
      <c r="B8" s="49">
        <v>563309</v>
      </c>
      <c r="C8" s="50">
        <v>1703300</v>
      </c>
      <c r="D8" s="50">
        <v>3021745.5</v>
      </c>
      <c r="E8" s="50">
        <v>3046201</v>
      </c>
      <c r="F8" s="50">
        <v>1961193.5</v>
      </c>
      <c r="G8" s="17">
        <f t="shared" si="0"/>
        <v>9732440</v>
      </c>
      <c r="H8" s="17">
        <f t="shared" si="1"/>
        <v>650347.5548197747</v>
      </c>
      <c r="I8" s="17">
        <f t="shared" si="2"/>
        <v>9082092.4451802261</v>
      </c>
    </row>
    <row r="9" spans="1:9" ht="15.75" customHeight="1" x14ac:dyDescent="0.25">
      <c r="A9" s="5">
        <f t="shared" si="3"/>
        <v>2031</v>
      </c>
      <c r="B9" s="49">
        <v>554231</v>
      </c>
      <c r="C9" s="50">
        <v>1705130</v>
      </c>
      <c r="D9" s="50">
        <v>2970172.5</v>
      </c>
      <c r="E9" s="50">
        <v>3087473.5</v>
      </c>
      <c r="F9" s="50">
        <v>2031959.5</v>
      </c>
      <c r="G9" s="17">
        <f t="shared" si="0"/>
        <v>9794735.5</v>
      </c>
      <c r="H9" s="17">
        <f t="shared" si="1"/>
        <v>639866.88594593469</v>
      </c>
      <c r="I9" s="17">
        <f t="shared" si="2"/>
        <v>9154868.6140540652</v>
      </c>
    </row>
    <row r="10" spans="1:9" ht="15.75" customHeight="1" x14ac:dyDescent="0.25">
      <c r="A10" s="5">
        <f t="shared" si="3"/>
        <v>2032</v>
      </c>
      <c r="B10" s="49">
        <v>547825</v>
      </c>
      <c r="C10" s="50">
        <v>1705636</v>
      </c>
      <c r="D10" s="50">
        <v>2923724.5</v>
      </c>
      <c r="E10" s="50">
        <v>3115719.5</v>
      </c>
      <c r="F10" s="50">
        <v>2104133</v>
      </c>
      <c r="G10" s="17">
        <f t="shared" si="0"/>
        <v>9849213</v>
      </c>
      <c r="H10" s="17">
        <f t="shared" si="1"/>
        <v>632471.07576684037</v>
      </c>
      <c r="I10" s="17">
        <f t="shared" si="2"/>
        <v>9216741.9242331591</v>
      </c>
    </row>
    <row r="11" spans="1:9" ht="15.75" customHeight="1" x14ac:dyDescent="0.25">
      <c r="A11" s="5">
        <f t="shared" si="3"/>
        <v>2033</v>
      </c>
      <c r="B11" s="49">
        <v>538918</v>
      </c>
      <c r="C11" s="50">
        <v>1705750.5</v>
      </c>
      <c r="D11" s="50">
        <v>2881851</v>
      </c>
      <c r="E11" s="50">
        <v>3129153</v>
      </c>
      <c r="F11" s="50">
        <v>2176796</v>
      </c>
      <c r="G11" s="17">
        <f t="shared" si="0"/>
        <v>9893550.5</v>
      </c>
      <c r="H11" s="17">
        <f t="shared" si="1"/>
        <v>622187.82861336018</v>
      </c>
      <c r="I11" s="17">
        <f t="shared" si="2"/>
        <v>9271362.6713866405</v>
      </c>
    </row>
    <row r="12" spans="1:9" ht="15.75" customHeight="1" x14ac:dyDescent="0.25">
      <c r="A12" s="5">
        <f t="shared" si="3"/>
        <v>2034</v>
      </c>
      <c r="B12" s="49">
        <v>533574</v>
      </c>
      <c r="C12" s="50">
        <v>1706219.5</v>
      </c>
      <c r="D12" s="50">
        <v>2844242</v>
      </c>
      <c r="E12" s="50">
        <v>3129355.5</v>
      </c>
      <c r="F12" s="50">
        <v>2252416</v>
      </c>
      <c r="G12" s="17">
        <f t="shared" si="0"/>
        <v>9932233</v>
      </c>
      <c r="H12" s="17">
        <f t="shared" si="1"/>
        <v>616018.11122386903</v>
      </c>
      <c r="I12" s="17">
        <f t="shared" si="2"/>
        <v>9316214.888776131</v>
      </c>
    </row>
    <row r="13" spans="1:9" ht="15.75" customHeight="1" x14ac:dyDescent="0.25">
      <c r="A13" s="5">
        <f t="shared" si="3"/>
        <v>2035</v>
      </c>
      <c r="B13" s="49">
        <v>528263</v>
      </c>
      <c r="C13" s="50">
        <v>1707593</v>
      </c>
      <c r="D13" s="50">
        <v>2813828.5</v>
      </c>
      <c r="E13" s="50">
        <v>3117383.5</v>
      </c>
      <c r="F13" s="50">
        <v>2330563.5</v>
      </c>
      <c r="G13" s="17">
        <f t="shared" si="0"/>
        <v>9969368.5</v>
      </c>
      <c r="H13" s="17">
        <f t="shared" si="1"/>
        <v>609886.49276286829</v>
      </c>
      <c r="I13" s="17">
        <f t="shared" si="2"/>
        <v>9359482.0072371326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DqvMgSMlQ6U2dZEE/PREsVf8+x/KP8I3piZJauhaQxJf8BousgIx2N63fHhb1PaU75Uopg4hragiMWVFknPsuw==" saltValue="LFtj8G4j8UFzGQGnyS4jT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1.473504922066653E-2</v>
      </c>
    </row>
    <row r="4" spans="1:8" ht="15.75" customHeight="1" x14ac:dyDescent="0.25">
      <c r="B4" s="19" t="s">
        <v>97</v>
      </c>
      <c r="C4" s="101">
        <v>6.8189616093901534E-2</v>
      </c>
    </row>
    <row r="5" spans="1:8" ht="15.75" customHeight="1" x14ac:dyDescent="0.25">
      <c r="B5" s="19" t="s">
        <v>95</v>
      </c>
      <c r="C5" s="101">
        <v>0.1000974723100938</v>
      </c>
    </row>
    <row r="6" spans="1:8" ht="15.75" customHeight="1" x14ac:dyDescent="0.25">
      <c r="B6" s="19" t="s">
        <v>91</v>
      </c>
      <c r="C6" s="101">
        <v>0.26534518868097168</v>
      </c>
    </row>
    <row r="7" spans="1:8" ht="15.75" customHeight="1" x14ac:dyDescent="0.25">
      <c r="B7" s="19" t="s">
        <v>96</v>
      </c>
      <c r="C7" s="101">
        <v>0.29945329704313961</v>
      </c>
    </row>
    <row r="8" spans="1:8" ht="15.75" customHeight="1" x14ac:dyDescent="0.25">
      <c r="B8" s="19" t="s">
        <v>98</v>
      </c>
      <c r="C8" s="101">
        <v>1.967746635595265E-3</v>
      </c>
    </row>
    <row r="9" spans="1:8" ht="15.75" customHeight="1" x14ac:dyDescent="0.25">
      <c r="B9" s="19" t="s">
        <v>92</v>
      </c>
      <c r="C9" s="101">
        <v>0.1252214677487857</v>
      </c>
    </row>
    <row r="10" spans="1:8" ht="15.75" customHeight="1" x14ac:dyDescent="0.25">
      <c r="B10" s="19" t="s">
        <v>94</v>
      </c>
      <c r="C10" s="101">
        <v>0.12499016226684589</v>
      </c>
    </row>
    <row r="11" spans="1:8" ht="15.75" customHeight="1" x14ac:dyDescent="0.25">
      <c r="B11" s="27" t="s">
        <v>60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0.20180536611920741</v>
      </c>
      <c r="D14" s="55">
        <v>0.20180536611920741</v>
      </c>
      <c r="E14" s="55">
        <v>0.20180536611920741</v>
      </c>
      <c r="F14" s="55">
        <v>0.20180536611920741</v>
      </c>
    </row>
    <row r="15" spans="1:8" ht="15.75" customHeight="1" x14ac:dyDescent="0.25">
      <c r="B15" s="19" t="s">
        <v>102</v>
      </c>
      <c r="C15" s="101">
        <v>0.32507562913398969</v>
      </c>
      <c r="D15" s="101">
        <v>0.32507562913398969</v>
      </c>
      <c r="E15" s="101">
        <v>0.32507562913398969</v>
      </c>
      <c r="F15" s="101">
        <v>0.32507562913398969</v>
      </c>
    </row>
    <row r="16" spans="1:8" ht="15.75" customHeight="1" x14ac:dyDescent="0.25">
      <c r="B16" s="19" t="s">
        <v>2</v>
      </c>
      <c r="C16" s="101">
        <v>1.52583579249242E-2</v>
      </c>
      <c r="D16" s="101">
        <v>1.52583579249242E-2</v>
      </c>
      <c r="E16" s="101">
        <v>1.52583579249242E-2</v>
      </c>
      <c r="F16" s="101">
        <v>1.52583579249242E-2</v>
      </c>
    </row>
    <row r="17" spans="1:8" ht="15.75" customHeight="1" x14ac:dyDescent="0.25">
      <c r="B17" s="19" t="s">
        <v>90</v>
      </c>
      <c r="C17" s="101">
        <v>9.342367820145225E-3</v>
      </c>
      <c r="D17" s="101">
        <v>9.342367820145225E-3</v>
      </c>
      <c r="E17" s="101">
        <v>9.342367820145225E-3</v>
      </c>
      <c r="F17" s="101">
        <v>9.342367820145225E-3</v>
      </c>
    </row>
    <row r="18" spans="1:8" ht="15.75" customHeight="1" x14ac:dyDescent="0.25">
      <c r="B18" s="19" t="s">
        <v>3</v>
      </c>
      <c r="C18" s="101">
        <v>1.828073548493462E-4</v>
      </c>
      <c r="D18" s="101">
        <v>1.828073548493462E-4</v>
      </c>
      <c r="E18" s="101">
        <v>1.828073548493462E-4</v>
      </c>
      <c r="F18" s="101">
        <v>1.828073548493462E-4</v>
      </c>
    </row>
    <row r="19" spans="1:8" ht="15.75" customHeight="1" x14ac:dyDescent="0.25">
      <c r="B19" s="19" t="s">
        <v>101</v>
      </c>
      <c r="C19" s="101">
        <v>0.12748543941078561</v>
      </c>
      <c r="D19" s="101">
        <v>0.12748543941078561</v>
      </c>
      <c r="E19" s="101">
        <v>0.12748543941078561</v>
      </c>
      <c r="F19" s="101">
        <v>0.12748543941078561</v>
      </c>
    </row>
    <row r="20" spans="1:8" ht="15.75" customHeight="1" x14ac:dyDescent="0.25">
      <c r="B20" s="19" t="s">
        <v>79</v>
      </c>
      <c r="C20" s="101">
        <v>4.5226299892980569E-3</v>
      </c>
      <c r="D20" s="101">
        <v>4.5226299892980569E-3</v>
      </c>
      <c r="E20" s="101">
        <v>4.5226299892980569E-3</v>
      </c>
      <c r="F20" s="101">
        <v>4.5226299892980569E-3</v>
      </c>
    </row>
    <row r="21" spans="1:8" ht="15.75" customHeight="1" x14ac:dyDescent="0.25">
      <c r="B21" s="19" t="s">
        <v>88</v>
      </c>
      <c r="C21" s="101">
        <v>0.15939031250457769</v>
      </c>
      <c r="D21" s="101">
        <v>0.15939031250457769</v>
      </c>
      <c r="E21" s="101">
        <v>0.15939031250457769</v>
      </c>
      <c r="F21" s="101">
        <v>0.15939031250457769</v>
      </c>
    </row>
    <row r="22" spans="1:8" ht="15.75" customHeight="1" x14ac:dyDescent="0.25">
      <c r="B22" s="19" t="s">
        <v>99</v>
      </c>
      <c r="C22" s="101">
        <v>0.1569370897422229</v>
      </c>
      <c r="D22" s="101">
        <v>0.1569370897422229</v>
      </c>
      <c r="E22" s="101">
        <v>0.1569370897422229</v>
      </c>
      <c r="F22" s="101">
        <v>0.1569370897422229</v>
      </c>
    </row>
    <row r="23" spans="1:8" ht="15.75" customHeight="1" x14ac:dyDescent="0.25">
      <c r="B23" s="27" t="s">
        <v>60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4.7503243000000001E-2</v>
      </c>
    </row>
    <row r="27" spans="1:8" ht="15.75" customHeight="1" x14ac:dyDescent="0.25">
      <c r="B27" s="19" t="s">
        <v>89</v>
      </c>
      <c r="C27" s="101">
        <v>1.0367542E-2</v>
      </c>
    </row>
    <row r="28" spans="1:8" ht="15.75" customHeight="1" x14ac:dyDescent="0.25">
      <c r="B28" s="19" t="s">
        <v>103</v>
      </c>
      <c r="C28" s="101">
        <v>0.17293429099999999</v>
      </c>
    </row>
    <row r="29" spans="1:8" ht="15.75" customHeight="1" x14ac:dyDescent="0.25">
      <c r="B29" s="19" t="s">
        <v>86</v>
      </c>
      <c r="C29" s="101">
        <v>0.15789878800000001</v>
      </c>
    </row>
    <row r="30" spans="1:8" ht="15.75" customHeight="1" x14ac:dyDescent="0.25">
      <c r="B30" s="19" t="s">
        <v>4</v>
      </c>
      <c r="C30" s="101">
        <v>5.576656E-2</v>
      </c>
    </row>
    <row r="31" spans="1:8" ht="15.75" customHeight="1" x14ac:dyDescent="0.25">
      <c r="B31" s="19" t="s">
        <v>80</v>
      </c>
      <c r="C31" s="101">
        <v>6.3201558000000005E-2</v>
      </c>
    </row>
    <row r="32" spans="1:8" ht="15.75" customHeight="1" x14ac:dyDescent="0.25">
      <c r="B32" s="19" t="s">
        <v>85</v>
      </c>
      <c r="C32" s="101">
        <v>1.0057959E-2</v>
      </c>
    </row>
    <row r="33" spans="2:3" ht="15.75" customHeight="1" x14ac:dyDescent="0.25">
      <c r="B33" s="19" t="s">
        <v>100</v>
      </c>
      <c r="C33" s="101">
        <v>0.165459261</v>
      </c>
    </row>
    <row r="34" spans="2:3" ht="15.75" customHeight="1" x14ac:dyDescent="0.25">
      <c r="B34" s="19" t="s">
        <v>87</v>
      </c>
      <c r="C34" s="101">
        <v>0.316810798</v>
      </c>
    </row>
    <row r="35" spans="2:3" ht="15.75" customHeight="1" x14ac:dyDescent="0.25">
      <c r="B35" s="27" t="s">
        <v>60</v>
      </c>
      <c r="C35" s="48">
        <f>SUM(C26:C34)</f>
        <v>1</v>
      </c>
    </row>
  </sheetData>
  <sheetProtection algorithmName="SHA-512" hashValue="7p15Qru8d2+UIdVnLKH6QPsXSw4FibLUI73DUdYA87f3WJLcmC0lJzSpx3uX4wK8CsWI/tqpNq/2p+G9ng0FYA==" saltValue="cICeukGkMDpJ88aCGy9hC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0.45756976014314255</v>
      </c>
      <c r="D2" s="52">
        <f>IFERROR(1-_xlfn.NORM.DIST(_xlfn.NORM.INV(SUM(D4:D5), 0, 1) + 1, 0, 1, TRUE), "")</f>
        <v>0.45756976014314255</v>
      </c>
      <c r="E2" s="52">
        <f>IFERROR(1-_xlfn.NORM.DIST(_xlfn.NORM.INV(SUM(E4:E5), 0, 1) + 1, 0, 1, TRUE), "")</f>
        <v>0.60794556372930852</v>
      </c>
      <c r="F2" s="52">
        <f>IFERROR(1-_xlfn.NORM.DIST(_xlfn.NORM.INV(SUM(F4:F5), 0, 1) + 1, 0, 1, TRUE), "")</f>
        <v>0.32472323552934501</v>
      </c>
      <c r="G2" s="52">
        <f>IFERROR(1-_xlfn.NORM.DIST(_xlfn.NORM.INV(SUM(G4:G5), 0, 1) + 1, 0, 1, TRUE), "")</f>
        <v>0.35126204341792744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0.35661993985685747</v>
      </c>
      <c r="D3" s="52">
        <f>IFERROR(_xlfn.NORM.DIST(_xlfn.NORM.INV(SUM(D4:D5), 0, 1) + 1, 0, 1, TRUE) - SUM(D4:D5), "")</f>
        <v>0.35661993985685747</v>
      </c>
      <c r="E3" s="52">
        <f>IFERROR(_xlfn.NORM.DIST(_xlfn.NORM.INV(SUM(E4:E5), 0, 1) + 1, 0, 1, TRUE) - SUM(E4:E5), "")</f>
        <v>0.29071713627069151</v>
      </c>
      <c r="F3" s="52">
        <f>IFERROR(_xlfn.NORM.DIST(_xlfn.NORM.INV(SUM(F4:F5), 0, 1) + 1, 0, 1, TRUE) - SUM(F4:F5), "")</f>
        <v>0.38256116447065502</v>
      </c>
      <c r="G3" s="52">
        <f>IFERROR(_xlfn.NORM.DIST(_xlfn.NORM.INV(SUM(G4:G5), 0, 1) + 1, 0, 1, TRUE) - SUM(G4:G5), "")</f>
        <v>0.38047815658207257</v>
      </c>
    </row>
    <row r="4" spans="1:15" ht="15.75" customHeight="1" x14ac:dyDescent="0.25">
      <c r="B4" s="5" t="s">
        <v>110</v>
      </c>
      <c r="C4" s="45">
        <v>0.13256860000000001</v>
      </c>
      <c r="D4" s="53">
        <v>0.13256860000000001</v>
      </c>
      <c r="E4" s="53">
        <v>7.8875299999999995E-2</v>
      </c>
      <c r="F4" s="53">
        <v>0.2260142</v>
      </c>
      <c r="G4" s="53">
        <v>0.20418720000000001</v>
      </c>
    </row>
    <row r="5" spans="1:15" ht="15.75" customHeight="1" x14ac:dyDescent="0.25">
      <c r="B5" s="5" t="s">
        <v>106</v>
      </c>
      <c r="C5" s="45">
        <v>5.3241700000000003E-2</v>
      </c>
      <c r="D5" s="53">
        <v>5.3241700000000003E-2</v>
      </c>
      <c r="E5" s="53">
        <v>2.2461999999999999E-2</v>
      </c>
      <c r="F5" s="53">
        <v>6.6701399999999994E-2</v>
      </c>
      <c r="G5" s="53">
        <v>6.4072599999999993E-2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0.70040620196535208</v>
      </c>
      <c r="D8" s="52">
        <f>IFERROR(1-_xlfn.NORM.DIST(_xlfn.NORM.INV(SUM(D10:D11), 0, 1) + 1, 0, 1, TRUE), "")</f>
        <v>0.70040620196535208</v>
      </c>
      <c r="E8" s="52">
        <f>IFERROR(1-_xlfn.NORM.DIST(_xlfn.NORM.INV(SUM(E10:E11), 0, 1) + 1, 0, 1, TRUE), "")</f>
        <v>0.64578835488038822</v>
      </c>
      <c r="F8" s="52">
        <f>IFERROR(1-_xlfn.NORM.DIST(_xlfn.NORM.INV(SUM(F10:F11), 0, 1) + 1, 0, 1, TRUE), "")</f>
        <v>0.62024263484849929</v>
      </c>
      <c r="G8" s="52">
        <f>IFERROR(1-_xlfn.NORM.DIST(_xlfn.NORM.INV(SUM(G10:G11), 0, 1) + 1, 0, 1, TRUE), "")</f>
        <v>0.708134508364615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0.2360351980346479</v>
      </c>
      <c r="D9" s="52">
        <f>IFERROR(_xlfn.NORM.DIST(_xlfn.NORM.INV(SUM(D10:D11), 0, 1) + 1, 0, 1, TRUE) - SUM(D10:D11), "")</f>
        <v>0.2360351980346479</v>
      </c>
      <c r="E9" s="52">
        <f>IFERROR(_xlfn.NORM.DIST(_xlfn.NORM.INV(SUM(E10:E11), 0, 1) + 1, 0, 1, TRUE) - SUM(E10:E11), "")</f>
        <v>0.2694868451196118</v>
      </c>
      <c r="F9" s="52">
        <f>IFERROR(_xlfn.NORM.DIST(_xlfn.NORM.INV(SUM(F10:F11), 0, 1) + 1, 0, 1, TRUE) - SUM(F10:F11), "")</f>
        <v>0.2840011651515007</v>
      </c>
      <c r="G9" s="52">
        <f>IFERROR(_xlfn.NORM.DIST(_xlfn.NORM.INV(SUM(G10:G11), 0, 1) + 1, 0, 1, TRUE) - SUM(G10:G11), "")</f>
        <v>0.23104749163538499</v>
      </c>
    </row>
    <row r="10" spans="1:15" ht="15.75" customHeight="1" x14ac:dyDescent="0.25">
      <c r="B10" s="5" t="s">
        <v>107</v>
      </c>
      <c r="C10" s="45">
        <v>5.1987100000000001E-2</v>
      </c>
      <c r="D10" s="53">
        <v>5.1987100000000001E-2</v>
      </c>
      <c r="E10" s="53">
        <v>7.3867299999999997E-2</v>
      </c>
      <c r="F10" s="53">
        <v>8.4582900000000003E-2</v>
      </c>
      <c r="G10" s="53">
        <v>5.4515800000000003E-2</v>
      </c>
    </row>
    <row r="11" spans="1:15" ht="15.75" customHeight="1" x14ac:dyDescent="0.25">
      <c r="B11" s="5" t="s">
        <v>119</v>
      </c>
      <c r="C11" s="45">
        <v>1.15715E-2</v>
      </c>
      <c r="D11" s="53">
        <v>1.15715E-2</v>
      </c>
      <c r="E11" s="53">
        <v>1.0857500000000001E-2</v>
      </c>
      <c r="F11" s="53">
        <v>1.1173300000000001E-2</v>
      </c>
      <c r="G11" s="53">
        <v>6.3022E-3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0.82497910925000018</v>
      </c>
      <c r="D14" s="54">
        <v>0.80162762072500005</v>
      </c>
      <c r="E14" s="54">
        <v>0.80162762072500005</v>
      </c>
      <c r="F14" s="54">
        <v>0.47399307269000007</v>
      </c>
      <c r="G14" s="54">
        <v>0.47399307269000007</v>
      </c>
      <c r="H14" s="45">
        <v>0.4</v>
      </c>
      <c r="I14" s="55">
        <v>0.4</v>
      </c>
      <c r="J14" s="55">
        <v>0.4</v>
      </c>
      <c r="K14" s="55">
        <v>0.4</v>
      </c>
      <c r="L14" s="45">
        <v>0.34899999999999998</v>
      </c>
      <c r="M14" s="55">
        <v>0.34899999999999998</v>
      </c>
      <c r="N14" s="55">
        <v>0.34899999999999998</v>
      </c>
      <c r="O14" s="55">
        <v>0.34899999999999998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0.41830648232432177</v>
      </c>
      <c r="D15" s="52">
        <f t="shared" si="0"/>
        <v>0.40646608671623191</v>
      </c>
      <c r="E15" s="52">
        <f t="shared" si="0"/>
        <v>0.40646608671623191</v>
      </c>
      <c r="F15" s="52">
        <f t="shared" si="0"/>
        <v>0.24033866150053718</v>
      </c>
      <c r="G15" s="52">
        <f t="shared" si="0"/>
        <v>0.24033866150053718</v>
      </c>
      <c r="H15" s="52">
        <f t="shared" si="0"/>
        <v>0.20282039999999998</v>
      </c>
      <c r="I15" s="52">
        <f t="shared" si="0"/>
        <v>0.20282039999999998</v>
      </c>
      <c r="J15" s="52">
        <f t="shared" si="0"/>
        <v>0.20282039999999998</v>
      </c>
      <c r="K15" s="52">
        <f t="shared" si="0"/>
        <v>0.20282039999999998</v>
      </c>
      <c r="L15" s="52">
        <f t="shared" si="0"/>
        <v>0.17696079899999995</v>
      </c>
      <c r="M15" s="52">
        <f t="shared" si="0"/>
        <v>0.17696079899999995</v>
      </c>
      <c r="N15" s="52">
        <f t="shared" si="0"/>
        <v>0.17696079899999995</v>
      </c>
      <c r="O15" s="52">
        <f t="shared" si="0"/>
        <v>0.17696079899999995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crW1JSoXwI0h+3GKZud7I1GRyZySVl+27o2Bqhs82DGfkVdaG/wMg+0Z15qpHLDLB4vJa8ciXoE2R1uEKIKoyA==" saltValue="y9VOYPMOjkRbotMNlBCm8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0.70780940000000003</v>
      </c>
      <c r="D2" s="53">
        <v>0.53241950000000005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7.0640400000000006E-2</v>
      </c>
      <c r="D3" s="53">
        <v>0.14118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0.2215502</v>
      </c>
      <c r="D4" s="53">
        <v>0.31030289999999999</v>
      </c>
      <c r="E4" s="53">
        <v>0.96187520000000004</v>
      </c>
      <c r="F4" s="53">
        <v>0.95622889999999994</v>
      </c>
      <c r="G4" s="53">
        <v>0</v>
      </c>
    </row>
    <row r="5" spans="1:7" x14ac:dyDescent="0.25">
      <c r="B5" s="3" t="s">
        <v>125</v>
      </c>
      <c r="C5" s="52">
        <v>1.7358100000000001E-2</v>
      </c>
      <c r="D5" s="52">
        <v>1.60976E-2</v>
      </c>
      <c r="E5" s="52">
        <f>1-SUM(E2:E4)</f>
        <v>3.8124799999999959E-2</v>
      </c>
      <c r="F5" s="52">
        <f>1-SUM(F2:F4)</f>
        <v>4.3771100000000063E-2</v>
      </c>
      <c r="G5" s="52">
        <f>1-SUM(G2:G4)</f>
        <v>1</v>
      </c>
    </row>
  </sheetData>
  <sheetProtection algorithmName="SHA-512" hashValue="+DZoWQd5QWKxCDN0+ipOjW9rj93DpBmLOWEhsa+jyw9jPDM+Y6bujXxLGXVxehO1U13fUnw8VFGHIU31H0lx7w==" saltValue="/zMPEmNJ0M4IDb6MKJKwK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XtRHehhnpGqP2E/uqP2uAJuYkNv7rnAQ0ca1tNz/5jRV5x8GnID20tpPjobRgVg6PbjqQDvoLfikokLbwXgt+Q==" saltValue="PqIyZ+R8htqvNL9C+FpuF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aXHtXOmek7Ho8BV3ud+WiJ6wI7+BbP9irYPXBy0LC2+66J8Eg5l036QkHdDqUvXVFr2SlyfFqQTfHyZpOyBYwQ==" saltValue="4P9B/4SMnZfXmg9+dDbGR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bQazBgVkxA/JMqv5q/McuOXya1lb5ORsfA8AVSXkXaxXiy0ulDK++NcajsTs1UTHpDLCBDBBZORBkYsQkrT6vg==" saltValue="vRfLmU8I1q/DfLErOZGkp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6Bs67HiD8h9ygXLQ1Zy+S3amt0irliJNX3pTLR6dVtz3ESp2fegiOj3jEfyuhN6gmpG8j+QFfFDt2x/c6pcJhQ==" saltValue="Fjx0ON++cycCxDtn+YDDd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52.760864598354758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19.75203299904819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5.5316310965581978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1.2981701784564781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0.19283527130965261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0.61278763993956276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0.5</v>
      </c>
      <c r="C9" s="98">
        <v>0.95</v>
      </c>
      <c r="D9" s="56">
        <v>0.33817592950044628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0.86284800000000006</v>
      </c>
      <c r="C10" s="98">
        <v>0.95</v>
      </c>
      <c r="D10" s="56">
        <v>14.191711276470389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14.191711276470389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14.191711276470389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14.191711276470389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0.86284800000000006</v>
      </c>
      <c r="C14" s="98">
        <v>0.95</v>
      </c>
      <c r="D14" s="56">
        <v>14.191711276470389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14.191711276470389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2.02589E-2</v>
      </c>
      <c r="C16" s="98">
        <v>0.95</v>
      </c>
      <c r="D16" s="56">
        <v>0.2479965587591009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2.41416666666667E-2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0.52100000000000002</v>
      </c>
      <c r="C18" s="98">
        <v>0.95</v>
      </c>
      <c r="D18" s="56">
        <v>5.5316310965581978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0.53241950000000005</v>
      </c>
      <c r="C19" s="98">
        <v>0.95</v>
      </c>
      <c r="D19" s="56">
        <v>5.5316310965581978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10.726757057587051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24.192824415868039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4.6601859455142458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0.71992641902920995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0.27900000000000003</v>
      </c>
      <c r="C26" s="98">
        <v>0.95</v>
      </c>
      <c r="D26" s="56">
        <v>8.7121114042606536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21.404647062622459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0.38404090000000002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0.48240959999999999</v>
      </c>
      <c r="C29" s="98">
        <v>0.95</v>
      </c>
      <c r="D29" s="56">
        <v>26.81689264396762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9.1000000000000004E-3</v>
      </c>
      <c r="C31" s="98">
        <v>0.95</v>
      </c>
      <c r="D31" s="56">
        <v>124.95507750751879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0.9</v>
      </c>
      <c r="C32" s="98">
        <v>0.95</v>
      </c>
      <c r="D32" s="56">
        <v>0.3680037656399861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0.6354284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0.44971359999999999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0.14526700000000001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0.50166370000000005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0.107</v>
      </c>
      <c r="C38" s="98">
        <v>0.95</v>
      </c>
      <c r="D38" s="56">
        <v>4.8321970599589923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3.4277904548683669</v>
      </c>
      <c r="E39" s="56" t="s">
        <v>183</v>
      </c>
      <c r="F39" s="98">
        <v>1</v>
      </c>
      <c r="G39" s="98">
        <v>1</v>
      </c>
    </row>
  </sheetData>
  <sheetProtection algorithmName="SHA-512" hashValue="opzsPt2/8EgiBPPebTezmq4fPDfe0S8RE0Q4OgogLPRZVvJFFkpKerObXNsu7r0l2NKq9gZpIK8GvCN6nsxaAg==" saltValue="ezysBshTlUBNMAoltPoe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3IVj3h3cCUpBlWXz/rLkUwiiiHFlHblT1+DB0oJBM+zdYpE21Gkz4mf69JsWx7lU5hU3jwxs2xDf6HMPyKDpEw==" saltValue="1eYY9Wsc4apCFKJcKT7uw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nXraRcUK7MWNMsTR6TFarjbMtH8wss2alM6d27RIyggQnQBP9oZAuvUiM62YznN9ojgLPVdvcm9qdtSpLXACQQ==" saltValue="7j2yyOHQfWF6H5+2IbbVg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2.4</v>
      </c>
      <c r="C2" s="21">
        <f>'Entradas de población-año base'!C52</f>
        <v>2.4</v>
      </c>
      <c r="D2" s="21">
        <f>'Entradas de población-año base'!C53</f>
        <v>2.4</v>
      </c>
      <c r="E2" s="21">
        <f>'Entradas de población-año base'!C54</f>
        <v>2.4</v>
      </c>
      <c r="F2" s="21">
        <f>'Entradas de población-año base'!C55</f>
        <v>2.4</v>
      </c>
    </row>
    <row r="3" spans="1:6" ht="15.75" customHeight="1" x14ac:dyDescent="0.25">
      <c r="A3" s="3" t="s">
        <v>6</v>
      </c>
      <c r="B3" s="21">
        <f>frac_mam_1month * 2.6</f>
        <v>0.13516646000000002</v>
      </c>
      <c r="C3" s="21">
        <f>frac_mam_1_5months * 2.6</f>
        <v>0.13516646000000002</v>
      </c>
      <c r="D3" s="21">
        <f>frac_mam_6_11months * 2.6</f>
        <v>0.19205497999999999</v>
      </c>
      <c r="E3" s="21">
        <f>frac_mam_12_23months * 2.6</f>
        <v>0.21991554000000002</v>
      </c>
      <c r="F3" s="21">
        <f>frac_mam_24_59months * 2.6</f>
        <v>0.14174108000000002</v>
      </c>
    </row>
    <row r="4" spans="1:6" ht="15.75" customHeight="1" x14ac:dyDescent="0.25">
      <c r="A4" s="3" t="s">
        <v>207</v>
      </c>
      <c r="B4" s="21">
        <f>frac_sam_1month * 2.6</f>
        <v>3.0085900000000002E-2</v>
      </c>
      <c r="C4" s="21">
        <f>frac_sam_1_5months * 2.6</f>
        <v>3.0085900000000002E-2</v>
      </c>
      <c r="D4" s="21">
        <f>frac_sam_6_11months * 2.6</f>
        <v>2.8229500000000005E-2</v>
      </c>
      <c r="E4" s="21">
        <f>frac_sam_12_23months * 2.6</f>
        <v>2.9050580000000003E-2</v>
      </c>
      <c r="F4" s="21">
        <f>frac_sam_24_59months * 2.6</f>
        <v>1.6385719999999999E-2</v>
      </c>
    </row>
  </sheetData>
  <sheetProtection algorithmName="SHA-512" hashValue="FpY1h2hRoghyN7IL827S/J7BricnVXRELBSTcwARqe4HVElgqAcRVF74OLbDoVnN8dZfaUOKeuD1rQuZurIwvA==" saltValue="8PBI2QcUx3IDPwI8SShvj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0.15</v>
      </c>
      <c r="E2" s="60">
        <f>food_insecure</f>
        <v>0.15</v>
      </c>
      <c r="F2" s="60">
        <f>food_insecure</f>
        <v>0.15</v>
      </c>
      <c r="G2" s="60">
        <f>food_insecure</f>
        <v>0.15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0.15</v>
      </c>
      <c r="F5" s="60">
        <f>food_insecure</f>
        <v>0.15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0.15</v>
      </c>
      <c r="F8" s="60">
        <f>food_insecure</f>
        <v>0.15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0.15</v>
      </c>
      <c r="F9" s="60">
        <f>food_insecure</f>
        <v>0.15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0.15</v>
      </c>
      <c r="I15" s="60">
        <f>food_insecure</f>
        <v>0.15</v>
      </c>
      <c r="J15" s="60">
        <f>food_insecure</f>
        <v>0.15</v>
      </c>
      <c r="K15" s="60">
        <f>food_insecure</f>
        <v>0.15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2.5600000000000001E-2</v>
      </c>
      <c r="I19" s="60">
        <f>frac_malaria_risk</f>
        <v>2.5600000000000001E-2</v>
      </c>
      <c r="J19" s="60">
        <f>frac_malaria_risk</f>
        <v>2.5600000000000001E-2</v>
      </c>
      <c r="K19" s="60">
        <f>frac_malaria_risk</f>
        <v>2.5600000000000001E-2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0.439</v>
      </c>
      <c r="M24" s="60">
        <f>famplan_unmet_need</f>
        <v>0.439</v>
      </c>
      <c r="N24" s="60">
        <f>famplan_unmet_need</f>
        <v>0.439</v>
      </c>
      <c r="O24" s="60">
        <f>famplan_unmet_need</f>
        <v>0.439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0.22287476543426521</v>
      </c>
      <c r="M25" s="60">
        <f>(1-food_insecure)*(0.49)+food_insecure*(0.7)</f>
        <v>0.52149999999999996</v>
      </c>
      <c r="N25" s="60">
        <f>(1-food_insecure)*(0.49)+food_insecure*(0.7)</f>
        <v>0.52149999999999996</v>
      </c>
      <c r="O25" s="60">
        <f>(1-food_insecure)*(0.49)+food_insecure*(0.7)</f>
        <v>0.52149999999999996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9.551775661468509E-2</v>
      </c>
      <c r="M26" s="60">
        <f>(1-food_insecure)*(0.21)+food_insecure*(0.3)</f>
        <v>0.22349999999999998</v>
      </c>
      <c r="N26" s="60">
        <f>(1-food_insecure)*(0.21)+food_insecure*(0.3)</f>
        <v>0.22349999999999998</v>
      </c>
      <c r="O26" s="60">
        <f>(1-food_insecure)*(0.21)+food_insecure*(0.3)</f>
        <v>0.22349999999999998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0.10897999076843266</v>
      </c>
      <c r="M27" s="60">
        <f>(1-food_insecure)*(0.3)</f>
        <v>0.255</v>
      </c>
      <c r="N27" s="60">
        <f>(1-food_insecure)*(0.3)</f>
        <v>0.255</v>
      </c>
      <c r="O27" s="60">
        <f>(1-food_insecure)*(0.3)</f>
        <v>0.255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0.57262748718261702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2.5600000000000001E-2</v>
      </c>
      <c r="D34" s="60">
        <f t="shared" si="3"/>
        <v>2.5600000000000001E-2</v>
      </c>
      <c r="E34" s="60">
        <f t="shared" si="3"/>
        <v>2.5600000000000001E-2</v>
      </c>
      <c r="F34" s="60">
        <f t="shared" si="3"/>
        <v>2.5600000000000001E-2</v>
      </c>
      <c r="G34" s="60">
        <f t="shared" si="3"/>
        <v>2.5600000000000001E-2</v>
      </c>
      <c r="H34" s="60">
        <f t="shared" si="3"/>
        <v>2.5600000000000001E-2</v>
      </c>
      <c r="I34" s="60">
        <f t="shared" si="3"/>
        <v>2.5600000000000001E-2</v>
      </c>
      <c r="J34" s="60">
        <f t="shared" si="3"/>
        <v>2.5600000000000001E-2</v>
      </c>
      <c r="K34" s="60">
        <f t="shared" si="3"/>
        <v>2.5600000000000001E-2</v>
      </c>
      <c r="L34" s="60">
        <f t="shared" si="3"/>
        <v>2.5600000000000001E-2</v>
      </c>
      <c r="M34" s="60">
        <f t="shared" si="3"/>
        <v>2.5600000000000001E-2</v>
      </c>
      <c r="N34" s="60">
        <f t="shared" si="3"/>
        <v>2.5600000000000001E-2</v>
      </c>
      <c r="O34" s="60">
        <f t="shared" si="3"/>
        <v>2.5600000000000001E-2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sxZpD+0HfUVdKJbK6IZhyIHno3iu0GNUB9nQuqsyUWtbtelX8j5hveKr0ufwF68Zv5bNv/Myvrs6bdd66WZJaA==" saltValue="NxC4mQLQbz0l7iJ8Ozhrk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fdGt92fRAdCgpZDwJ0jZcR8chzIZKdRAUpofUP8MBimxjorUFoz1vyxDH0cDs6kOMICT2Q5+Mvp0zDyg6E8O8Q==" saltValue="KzClPiz7qaX+GaXaVQIB5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4aEsuKYjnLVKArCsD0GW/emdRN/N4oAV9feFoxZ0+ZgUKCnR5qozme/ekJNZJ1zVWmhUjqstSenGF3Ll/t1wHA==" saltValue="hFafOgiMeUCpZ12h9A1uy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C8LqAi0pQ0wsvljkyD8cKRGW/vLahyzhg889cGDtMp/kcKlvALm3OucMHJX1VUpWtSdLxuroG6vZbBcTlHv5qQ==" saltValue="fna2UukYat02P5+sYSv1d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jjKzfiybqtajb+QjT1vVhYFw/zHjzhtjmP6L1MRFvmM/U4e3pdMNQU7fugpNIbIRrzis+3ceZzT8v/B0jjG9WQ==" saltValue="BvFbIwgb7yCXx5PPMn/B6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9UyZ/enzrJccVkAzxcWED7pFPNS0rUfelrRnAmLDyotCZs4sQqTdIGF9Ibf8kQ6nro6h3KWqvJHefZcaEN8yTA==" saltValue="n+tRinp0lr1N/o5JkULj9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X/+OEqxxB1nFeQ4Ja1WmSbcX3287uCb2AuDUSnjnnBVo4DP7QO0VTZSTo/K1XMlkRJWqhtVXa/caefNtlBDqlg==" saltValue="97dj1G4Nu6N3i/xOp1u0g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Pc3WxpQ5lwhIStC/UvNCrhveIY2jGcPZtzpj9we0lNh4R78uhYoaM74xfZqrLZCOUZtof2W5YI9K0MYV8AUEsA==" saltValue="qKvyU6/5429jKWeTsl0K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t3a4OGhn2ZxiqvaMatnF7mz5cddg0wAjAQJHS5fKhHCUljVFkHJqltiuJP2PYPUpdzWG2pNBipqzNErwOlOPnQ==" saltValue="FCIgFUquGchdoNMHCKAiH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24g4gUTLa03qiXmEj+bItA+mh2BAQB70iOQVs0UfMxnVYDulmY+LVE7S7moGZvtedwfZPQpa0KOu4UIPnMrr6A==" saltValue="0nZGVBgxrZWFQnS1BNiQA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vAWgq40tDNPcRTnqqbSsqca/QZ5uUioh5LVeqLIRFCmXnnE+uC2Gws0LbIid/s5/FfQQr5J64bbH1RBn6UQY0A==" saltValue="/wyF8r5Cuk6J5EpOeIVx0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DukcTMq5VOgyJjLuZYVV5UafuXbFKyGeE/RaBrplPcAol7iCSUAiIufZ6lZT0JUvh5b3Wf4xGfmVV3J3uQJViA==" saltValue="zn/6LmsrKWgpzAziE3GN/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X0JESfqZaebJs9WyNecfNSNAa1TpvxxH2RFQyaM0OSdyJQFQw061n30pvsi5rEueEr+UJZkZ+FZP1bEnIvYiqw==" saltValue="StSFQlak3JJCxguCo53IO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0.10893577972512025</v>
      </c>
      <c r="G18" s="90">
        <f>MIN(MAX(1-0.89/(1-frac_sam_12_23months+(frac_sam_12_23months*0.89)),0),1)</f>
        <v>0.10890478784526347</v>
      </c>
      <c r="H18" s="90">
        <f>MIN(MAX(1-0.89/(1-frac_sam_24_59months+(frac_sam_24_59months*0.89)),0),1)</f>
        <v>0.10938258660310196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0.10270915023746696</v>
      </c>
      <c r="G20" s="90">
        <f>MIN(MAX(1-0.89/(1-frac_mam_12_23months+(frac_mam_12_23months*0.89)),0),1)</f>
        <v>0.10164156622752718</v>
      </c>
      <c r="H20" s="90">
        <f>MIN(MAX(1-0.89/(1-frac_mam_24_59months+(frac_mam_24_59months*0.89)),0),1)</f>
        <v>0.10463070492418569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9.8924990780874245E-3</v>
      </c>
      <c r="G73" s="90">
        <f>MIN(MAX(1-0.99/(1-frac_sam_12_23months+(frac_sam_12_23months*0.99)),0),1)</f>
        <v>9.8893719691982573E-3</v>
      </c>
      <c r="H73" s="90">
        <f>MIN(MAX(1-0.99/(1-frac_sam_24_59months+(frac_sam_24_59months*0.99)),0),1)</f>
        <v>9.9376042876972992E-3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9.2681731492647579E-3</v>
      </c>
      <c r="G75" s="90">
        <f>MIN(MAX(1-0.99/(1-frac_mam_12_23months+(frac_mam_12_23months*0.99)),0),1)</f>
        <v>9.1619204179852476E-3</v>
      </c>
      <c r="H75" s="90">
        <f>MIN(MAX(1-0.99/(1-frac_mam_24_59months+(frac_mam_24_59months*0.99)),0),1)</f>
        <v>9.4599991942407868E-3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0.19825901946075897</v>
      </c>
      <c r="G128" s="90">
        <f>MIN(MAX(1-0.8/(1-frac_sam_12_23months+(frac_sam_12_23months*0.8)),0),1)</f>
        <v>0.19820826808836622</v>
      </c>
      <c r="H128" s="90">
        <f>MIN(MAX(1-0.8/(1-frac_sam_24_59months+(frac_sam_24_59months*0.8)),0),1)</f>
        <v>0.19899037542880538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0.18800400971739961</v>
      </c>
      <c r="G130" s="90">
        <f>MIN(MAX(1-0.8/(1-frac_mam_12_23months+(frac_mam_12_23months*0.8)),0),1)</f>
        <v>0.18623385999125075</v>
      </c>
      <c r="H130" s="90">
        <f>MIN(MAX(1-0.8/(1-frac_mam_24_59months+(frac_mam_24_59months*0.8)),0),1)</f>
        <v>0.19118132052671399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l7LYpSvfhhzfl/Ei7581XmmmIg3JoIwRUAlQIHoV1igOXHUA2FMJyU/TdGxGf5j4UTXlnEHSSgCTgn/bv1h7Og==" saltValue="XBU183SgFXlvLxIhzJeB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TNQUznp8MnJj9UGd4xF9pmwZBXCCocRBh9qZ+JO9Rp84DkKIIYlK6p3nshsdtVBVkt0xkXwp9hQtTRSnV26MvA==" saltValue="xucpDzGGrxic0iQ67fEz/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2024-08-06T08:09:17Z</dcterms:modified>
</cp:coreProperties>
</file>