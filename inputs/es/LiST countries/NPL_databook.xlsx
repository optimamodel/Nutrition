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AD968E0F-7BF8-4A82-B493-340B244F6257}" xr6:coauthVersionLast="47" xr6:coauthVersionMax="47" xr10:uidLastSave="{00000000-0000-0000-0000-000000000000}"/>
  <bookViews>
    <workbookView xWindow="-110" yWindow="-110" windowWidth="19420" windowHeight="10420" tabRatio="961" firstSheet="2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9" i="2" l="1"/>
  <c r="I13" i="2"/>
  <c r="I4" i="2"/>
  <c r="I8" i="2"/>
  <c r="A25" i="2"/>
  <c r="A26" i="2"/>
  <c r="I39" i="2"/>
  <c r="A31" i="2"/>
  <c r="A34" i="2"/>
  <c r="A40" i="2"/>
  <c r="I2" i="2"/>
  <c r="I6" i="2"/>
  <c r="A19" i="2"/>
  <c r="A35" i="2"/>
  <c r="A22" i="2"/>
  <c r="A36" i="2"/>
  <c r="I3" i="2"/>
  <c r="I7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<sst xmlns="http://schemas.openxmlformats.org/spreadsheetml/2006/main" count="2159" uniqueCount="372">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</sst>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2717880.5</v>
      </c>
    </row>
    <row r="8" spans="1:3" ht="15" customHeight="1" x14ac:dyDescent="0.25">
      <c r="B8" s="5" t="s">
        <v>63</v>
      </c>
      <c r="C8" s="44">
        <v>0.15</v>
      </c>
    </row>
    <row r="9" spans="1:3" ht="15" customHeight="1" x14ac:dyDescent="0.25">
      <c r="B9" s="5" t="s">
        <v>62</v>
      </c>
      <c r="C9" s="45">
        <v>2.5600000000000001E-2</v>
      </c>
    </row>
    <row r="10" spans="1:3" ht="15" customHeight="1" x14ac:dyDescent="0.25">
      <c r="B10" s="5" t="s">
        <v>75</v>
      </c>
      <c r="C10" s="45">
        <v>0.62818479999999999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0.24715611858834899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0.1673</v>
      </c>
    </row>
    <row r="24" spans="1:3" ht="15" customHeight="1" x14ac:dyDescent="0.25">
      <c r="B24" s="15" t="s">
        <v>65</v>
      </c>
      <c r="C24" s="45">
        <v>0.62609999999999999</v>
      </c>
    </row>
    <row r="25" spans="1:3" ht="15" customHeight="1" x14ac:dyDescent="0.25">
      <c r="B25" s="15" t="s">
        <v>66</v>
      </c>
      <c r="C25" s="45">
        <v>0.1709</v>
      </c>
    </row>
    <row r="26" spans="1:3" ht="15" customHeight="1" x14ac:dyDescent="0.25">
      <c r="B26" s="15" t="s">
        <v>67</v>
      </c>
      <c r="C26" s="45">
        <v>3.5700000000000003E-2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0.41227810089419697</v>
      </c>
    </row>
    <row r="30" spans="1:3" ht="14.25" customHeight="1" x14ac:dyDescent="0.25">
      <c r="B30" s="25" t="s">
        <v>82</v>
      </c>
      <c r="C30" s="99">
        <v>4.1696555750580601E-2</v>
      </c>
    </row>
    <row r="31" spans="1:3" ht="14.25" customHeight="1" x14ac:dyDescent="0.25">
      <c r="B31" s="25" t="s">
        <v>29</v>
      </c>
      <c r="C31" s="99">
        <v>7.5022305717839008E-2</v>
      </c>
    </row>
    <row r="32" spans="1:3" ht="14.25" customHeight="1" x14ac:dyDescent="0.25">
      <c r="B32" s="25" t="s">
        <v>30</v>
      </c>
      <c r="C32" s="99">
        <v>0.47100303763738299</v>
      </c>
    </row>
    <row r="33" spans="1:5" ht="13.25" customHeight="1" x14ac:dyDescent="0.25">
      <c r="B33" s="27" t="s">
        <v>79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16.166080000000001</v>
      </c>
    </row>
    <row r="38" spans="1:5" ht="15" customHeight="1" x14ac:dyDescent="0.25">
      <c r="B38" s="11" t="s">
        <v>54</v>
      </c>
      <c r="C38" s="43">
        <v>22.820869999999999</v>
      </c>
      <c r="D38" s="12"/>
      <c r="E38" s="13"/>
    </row>
    <row r="39" spans="1:5" ht="15" customHeight="1" x14ac:dyDescent="0.25">
      <c r="B39" s="11" t="s">
        <v>80</v>
      </c>
      <c r="C39" s="43">
        <v>27.16347</v>
      </c>
      <c r="D39" s="12"/>
      <c r="E39" s="12"/>
    </row>
    <row r="40" spans="1:5" ht="15" customHeight="1" x14ac:dyDescent="0.25">
      <c r="B40" s="11" t="s">
        <v>55</v>
      </c>
      <c r="C40" s="100">
        <v>1.74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15.72035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1.6335800000000001E-2</v>
      </c>
      <c r="D45" s="12"/>
    </row>
    <row r="46" spans="1:5" ht="15.75" customHeight="1" x14ac:dyDescent="0.25">
      <c r="B46" s="11" t="s">
        <v>70</v>
      </c>
      <c r="C46" s="45">
        <v>9.5621299999999992E-2</v>
      </c>
      <c r="D46" s="12"/>
    </row>
    <row r="47" spans="1:5" ht="15.75" customHeight="1" x14ac:dyDescent="0.25">
      <c r="B47" s="11" t="s">
        <v>78</v>
      </c>
      <c r="C47" s="45">
        <v>0.41425559999999989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3.302</v>
      </c>
      <c r="D51" s="12"/>
    </row>
    <row r="52" spans="1:4" ht="15" customHeight="1" x14ac:dyDescent="0.25">
      <c r="B52" s="11" t="s">
        <v>32</v>
      </c>
      <c r="C52" s="100">
        <v>3.302</v>
      </c>
    </row>
    <row r="53" spans="1:4" ht="15.75" customHeight="1" x14ac:dyDescent="0.25">
      <c r="B53" s="11" t="s">
        <v>35</v>
      </c>
      <c r="C53" s="100">
        <v>4.55</v>
      </c>
    </row>
    <row r="54" spans="1:4" ht="15.75" customHeight="1" x14ac:dyDescent="0.25">
      <c r="B54" s="11" t="s">
        <v>33</v>
      </c>
      <c r="C54" s="100">
        <v>3.4319999999999999</v>
      </c>
    </row>
    <row r="55" spans="1:4" ht="15.75" customHeight="1" x14ac:dyDescent="0.25">
      <c r="B55" s="11" t="s">
        <v>34</v>
      </c>
      <c r="C55" s="100">
        <v>2.123333333333334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2.1666666666666671E-2</v>
      </c>
    </row>
    <row r="59" spans="1:4" ht="15.75" customHeight="1" x14ac:dyDescent="0.25">
      <c r="B59" s="11" t="s">
        <v>59</v>
      </c>
      <c r="C59" s="45">
        <v>0.50705099999999992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0.19731512449999999</v>
      </c>
    </row>
    <row r="63" spans="1:4" ht="15.75" customHeight="1" x14ac:dyDescent="0.3">
      <c r="A63" s="4"/>
    </row>
  </sheetData>
  <sheetProtection algorithmName="SHA-512" hashValue="b/QxNrEBRQzeVX9Hnln/Jvk5eyme9mi34nT0dz833NY4sbggmgPO/+cNz6aa6WxA5PTqvAw3En8qrlTByQtf9A==" saltValue="TOn2Zj3pVah52dsuD13X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562232</v>
      </c>
      <c r="C2" s="49">
        <v>1463584.5</v>
      </c>
      <c r="D2" s="49">
        <v>2929652</v>
      </c>
      <c r="E2" s="49">
        <v>2379703.5</v>
      </c>
      <c r="F2" s="49">
        <v>1790674.5</v>
      </c>
      <c r="G2" s="17">
        <f t="shared" ref="G2:G13" si="0">C2+D2+E2+F2</f>
        <v>8563614.5</v>
      </c>
      <c r="H2" s="17">
        <f t="shared" ref="H2:H13" si="1">(B2 + stillbirth*B2/(1000-stillbirth))/(1-abortion)</f>
        <v>649104.14433540311</v>
      </c>
      <c r="I2" s="17">
        <f t="shared" ref="I2:I13" si="2">G2-H2</f>
        <v>7914510.3556645969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551647</v>
      </c>
      <c r="C3" s="50">
        <v>1436917</v>
      </c>
      <c r="D3" s="50">
        <v>2904319</v>
      </c>
      <c r="E3" s="50">
        <v>2411922.4999999995</v>
      </c>
      <c r="F3" s="50">
        <v>1833491.5</v>
      </c>
      <c r="G3" s="17">
        <f t="shared" si="0"/>
        <v>8586650</v>
      </c>
      <c r="H3" s="17">
        <f t="shared" si="1"/>
        <v>636883.62439383043</v>
      </c>
      <c r="I3" s="17">
        <f t="shared" si="2"/>
        <v>7949766.3756061699</v>
      </c>
    </row>
    <row r="4" spans="1:9" ht="15.75" customHeight="1" x14ac:dyDescent="0.25">
      <c r="A4" s="5">
        <f t="shared" si="3"/>
        <v>2026</v>
      </c>
      <c r="B4" s="49">
        <v>542047</v>
      </c>
      <c r="C4" s="50">
        <v>1412655.5</v>
      </c>
      <c r="D4" s="50">
        <v>2877354.5</v>
      </c>
      <c r="E4" s="50">
        <v>2448086.5</v>
      </c>
      <c r="F4" s="50">
        <v>1877447.5</v>
      </c>
      <c r="G4" s="17">
        <f t="shared" si="0"/>
        <v>8615544</v>
      </c>
      <c r="H4" s="17">
        <f t="shared" si="1"/>
        <v>625800.29974204989</v>
      </c>
      <c r="I4" s="17">
        <f t="shared" si="2"/>
        <v>7989743.7002579505</v>
      </c>
    </row>
    <row r="5" spans="1:9" ht="15.75" customHeight="1" x14ac:dyDescent="0.25">
      <c r="A5" s="5">
        <f t="shared" si="3"/>
        <v>2027</v>
      </c>
      <c r="B5" s="49">
        <v>533762</v>
      </c>
      <c r="C5" s="50">
        <v>1392307</v>
      </c>
      <c r="D5" s="50">
        <v>2857756.0000000005</v>
      </c>
      <c r="E5" s="50">
        <v>2488309.5000000005</v>
      </c>
      <c r="F5" s="50">
        <v>1922755.4999999998</v>
      </c>
      <c r="G5" s="17">
        <f t="shared" si="0"/>
        <v>8661128</v>
      </c>
      <c r="H5" s="17">
        <f t="shared" si="1"/>
        <v>616235.15966496652</v>
      </c>
      <c r="I5" s="17">
        <f t="shared" si="2"/>
        <v>8044892.8403350338</v>
      </c>
    </row>
    <row r="6" spans="1:9" ht="15.75" customHeight="1" x14ac:dyDescent="0.25">
      <c r="A6" s="5">
        <f t="shared" si="3"/>
        <v>2028</v>
      </c>
      <c r="B6" s="49">
        <v>527550</v>
      </c>
      <c r="C6" s="50">
        <v>1377727.5</v>
      </c>
      <c r="D6" s="50">
        <v>2849162.5</v>
      </c>
      <c r="E6" s="50">
        <v>2534803.5</v>
      </c>
      <c r="F6" s="50">
        <v>1970888.0000000002</v>
      </c>
      <c r="G6" s="17">
        <f t="shared" si="0"/>
        <v>8732581.5</v>
      </c>
      <c r="H6" s="17">
        <f t="shared" si="1"/>
        <v>609063.32500487682</v>
      </c>
      <c r="I6" s="17">
        <f t="shared" si="2"/>
        <v>8123518.1749951234</v>
      </c>
    </row>
    <row r="7" spans="1:9" ht="15.75" customHeight="1" x14ac:dyDescent="0.25">
      <c r="A7" s="5">
        <f t="shared" si="3"/>
        <v>2029</v>
      </c>
      <c r="B7" s="49">
        <v>523168</v>
      </c>
      <c r="C7" s="50">
        <v>1367541</v>
      </c>
      <c r="D7" s="50">
        <v>2841938</v>
      </c>
      <c r="E7" s="50">
        <v>2583932</v>
      </c>
      <c r="F7" s="50">
        <v>2020828.5</v>
      </c>
      <c r="G7" s="17">
        <f t="shared" si="0"/>
        <v>8814239.5</v>
      </c>
      <c r="H7" s="17">
        <f t="shared" si="1"/>
        <v>604004.24910653278</v>
      </c>
      <c r="I7" s="17">
        <f t="shared" si="2"/>
        <v>8210235.2508934671</v>
      </c>
    </row>
    <row r="8" spans="1:9" ht="15.75" customHeight="1" x14ac:dyDescent="0.25">
      <c r="A8" s="5">
        <f t="shared" si="3"/>
        <v>2030</v>
      </c>
      <c r="B8" s="49">
        <v>517956</v>
      </c>
      <c r="C8" s="50">
        <v>1358918</v>
      </c>
      <c r="D8" s="50">
        <v>2828960.5</v>
      </c>
      <c r="E8" s="50">
        <v>2630414.5</v>
      </c>
      <c r="F8" s="50">
        <v>2070914.4999999998</v>
      </c>
      <c r="G8" s="17">
        <f t="shared" si="0"/>
        <v>8889207.5</v>
      </c>
      <c r="H8" s="17">
        <f t="shared" si="1"/>
        <v>597986.92743100366</v>
      </c>
      <c r="I8" s="17">
        <f t="shared" si="2"/>
        <v>8291220.5725689959</v>
      </c>
    </row>
    <row r="9" spans="1:9" ht="15.75" customHeight="1" x14ac:dyDescent="0.25">
      <c r="A9" s="5">
        <f t="shared" si="3"/>
        <v>2031</v>
      </c>
      <c r="B9" s="49">
        <v>512429</v>
      </c>
      <c r="C9" s="50">
        <v>1350943.5</v>
      </c>
      <c r="D9" s="50">
        <v>2811587.0000000005</v>
      </c>
      <c r="E9" s="50">
        <v>2673129.5</v>
      </c>
      <c r="F9" s="50">
        <v>2119794</v>
      </c>
      <c r="G9" s="17">
        <f t="shared" si="0"/>
        <v>8955454</v>
      </c>
      <c r="H9" s="17">
        <f t="shared" si="1"/>
        <v>591605.93416533794</v>
      </c>
      <c r="I9" s="17">
        <f t="shared" si="2"/>
        <v>8363848.0658346619</v>
      </c>
    </row>
    <row r="10" spans="1:9" ht="15.75" customHeight="1" x14ac:dyDescent="0.25">
      <c r="A10" s="5">
        <f t="shared" si="3"/>
        <v>2032</v>
      </c>
      <c r="B10" s="49">
        <v>507575</v>
      </c>
      <c r="C10" s="50">
        <v>1341644.5</v>
      </c>
      <c r="D10" s="50">
        <v>2792366</v>
      </c>
      <c r="E10" s="50">
        <v>2711082.9999999995</v>
      </c>
      <c r="F10" s="50">
        <v>2166866</v>
      </c>
      <c r="G10" s="17">
        <f t="shared" si="0"/>
        <v>9011959.5</v>
      </c>
      <c r="H10" s="17">
        <f t="shared" si="1"/>
        <v>586001.92813828134</v>
      </c>
      <c r="I10" s="17">
        <f t="shared" si="2"/>
        <v>8425957.5718617178</v>
      </c>
    </row>
    <row r="11" spans="1:9" ht="15.75" customHeight="1" x14ac:dyDescent="0.25">
      <c r="A11" s="5">
        <f t="shared" si="3"/>
        <v>2033</v>
      </c>
      <c r="B11" s="49">
        <v>502269</v>
      </c>
      <c r="C11" s="50">
        <v>1329789.5</v>
      </c>
      <c r="D11" s="50">
        <v>2772229.5000000005</v>
      </c>
      <c r="E11" s="50">
        <v>2742805.0000000005</v>
      </c>
      <c r="F11" s="50">
        <v>2214974</v>
      </c>
      <c r="G11" s="17">
        <f t="shared" si="0"/>
        <v>9059798</v>
      </c>
      <c r="H11" s="17">
        <f t="shared" si="1"/>
        <v>579876.08224220353</v>
      </c>
      <c r="I11" s="17">
        <f t="shared" si="2"/>
        <v>8479921.9177577961</v>
      </c>
    </row>
    <row r="12" spans="1:9" ht="15.75" customHeight="1" x14ac:dyDescent="0.25">
      <c r="A12" s="5">
        <f t="shared" si="3"/>
        <v>2034</v>
      </c>
      <c r="B12" s="49">
        <v>497079</v>
      </c>
      <c r="C12" s="50">
        <v>1317464</v>
      </c>
      <c r="D12" s="50">
        <v>2750749</v>
      </c>
      <c r="E12" s="50">
        <v>2767072.5</v>
      </c>
      <c r="F12" s="50">
        <v>2265380</v>
      </c>
      <c r="G12" s="17">
        <f t="shared" si="0"/>
        <v>9100665.5</v>
      </c>
      <c r="H12" s="17">
        <f t="shared" si="1"/>
        <v>573884.15985233465</v>
      </c>
      <c r="I12" s="17">
        <f t="shared" si="2"/>
        <v>8526781.3401476648</v>
      </c>
    </row>
    <row r="13" spans="1:9" ht="15.75" customHeight="1" x14ac:dyDescent="0.25">
      <c r="A13" s="5">
        <f t="shared" si="3"/>
        <v>2035</v>
      </c>
      <c r="B13" s="49">
        <v>491103</v>
      </c>
      <c r="C13" s="50">
        <v>1308048.5</v>
      </c>
      <c r="D13" s="50">
        <v>2728879</v>
      </c>
      <c r="E13" s="50">
        <v>2783236.5</v>
      </c>
      <c r="F13" s="50">
        <v>2318475.9999999995</v>
      </c>
      <c r="G13" s="17">
        <f t="shared" si="0"/>
        <v>9138640</v>
      </c>
      <c r="H13" s="17">
        <f t="shared" si="1"/>
        <v>566984.79025660129</v>
      </c>
      <c r="I13" s="17">
        <f t="shared" si="2"/>
        <v>8571655.2097433992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/YWds6ZI4No/seLLxpOAgcxzIj0lKOnE+cvVhZjLEWc+KTbwjtXbxD5eg3+M3d058Q7YMSR8bg198kKFTaLjjQ==" saltValue="E1E/YE+JMZz1DlL/3rdUJ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1.473504922066653E-2</v>
      </c>
    </row>
    <row r="4" spans="1:8" ht="15.75" customHeight="1" x14ac:dyDescent="0.25">
      <c r="B4" s="19" t="s">
        <v>116</v>
      </c>
      <c r="C4" s="101">
        <v>6.8189616093901534E-2</v>
      </c>
    </row>
    <row r="5" spans="1:8" ht="15.75" customHeight="1" x14ac:dyDescent="0.25">
      <c r="B5" s="19" t="s">
        <v>114</v>
      </c>
      <c r="C5" s="101">
        <v>0.1000974723100938</v>
      </c>
    </row>
    <row r="6" spans="1:8" ht="15.75" customHeight="1" x14ac:dyDescent="0.25">
      <c r="B6" s="19" t="s">
        <v>110</v>
      </c>
      <c r="C6" s="101">
        <v>0.26534518868097168</v>
      </c>
    </row>
    <row r="7" spans="1:8" ht="15.75" customHeight="1" x14ac:dyDescent="0.25">
      <c r="B7" s="19" t="s">
        <v>115</v>
      </c>
      <c r="C7" s="101">
        <v>0.29945329704313961</v>
      </c>
    </row>
    <row r="8" spans="1:8" ht="15.75" customHeight="1" x14ac:dyDescent="0.25">
      <c r="B8" s="19" t="s">
        <v>117</v>
      </c>
      <c r="C8" s="101">
        <v>1.967746635595265E-3</v>
      </c>
    </row>
    <row r="9" spans="1:8" ht="15.75" customHeight="1" x14ac:dyDescent="0.25">
      <c r="B9" s="19" t="s">
        <v>111</v>
      </c>
      <c r="C9" s="101">
        <v>0.1252214677487857</v>
      </c>
    </row>
    <row r="10" spans="1:8" ht="15.75" customHeight="1" x14ac:dyDescent="0.25">
      <c r="B10" s="19" t="s">
        <v>113</v>
      </c>
      <c r="C10" s="101">
        <v>0.12499016226684589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0.20180536611920741</v>
      </c>
      <c r="D14" s="55">
        <v>0.20180536611920741</v>
      </c>
      <c r="E14" s="55">
        <v>0.20180536611920741</v>
      </c>
      <c r="F14" s="55">
        <v>0.20180536611920741</v>
      </c>
    </row>
    <row r="15" spans="1:8" ht="15.75" customHeight="1" x14ac:dyDescent="0.25">
      <c r="B15" s="19" t="s">
        <v>121</v>
      </c>
      <c r="C15" s="101">
        <v>0.32507562913398969</v>
      </c>
      <c r="D15" s="101">
        <v>0.32507562913398969</v>
      </c>
      <c r="E15" s="101">
        <v>0.32507562913398969</v>
      </c>
      <c r="F15" s="101">
        <v>0.32507562913398969</v>
      </c>
    </row>
    <row r="16" spans="1:8" ht="15.75" customHeight="1" x14ac:dyDescent="0.25">
      <c r="B16" s="19" t="s">
        <v>2</v>
      </c>
      <c r="C16" s="101">
        <v>1.52583579249242E-2</v>
      </c>
      <c r="D16" s="101">
        <v>1.52583579249242E-2</v>
      </c>
      <c r="E16" s="101">
        <v>1.52583579249242E-2</v>
      </c>
      <c r="F16" s="101">
        <v>1.52583579249242E-2</v>
      </c>
    </row>
    <row r="17" spans="1:8" ht="15.75" customHeight="1" x14ac:dyDescent="0.25">
      <c r="B17" s="19" t="s">
        <v>109</v>
      </c>
      <c r="C17" s="101">
        <v>9.342367820145225E-3</v>
      </c>
      <c r="D17" s="101">
        <v>9.342367820145225E-3</v>
      </c>
      <c r="E17" s="101">
        <v>9.342367820145225E-3</v>
      </c>
      <c r="F17" s="101">
        <v>9.342367820145225E-3</v>
      </c>
    </row>
    <row r="18" spans="1:8" ht="15.75" customHeight="1" x14ac:dyDescent="0.25">
      <c r="B18" s="19" t="s">
        <v>3</v>
      </c>
      <c r="C18" s="101">
        <v>1.828073548493462E-4</v>
      </c>
      <c r="D18" s="101">
        <v>1.828073548493462E-4</v>
      </c>
      <c r="E18" s="101">
        <v>1.828073548493462E-4</v>
      </c>
      <c r="F18" s="101">
        <v>1.828073548493462E-4</v>
      </c>
    </row>
    <row r="19" spans="1:8" ht="15.75" customHeight="1" x14ac:dyDescent="0.25">
      <c r="B19" s="19" t="s">
        <v>120</v>
      </c>
      <c r="C19" s="101">
        <v>0.12748543941078561</v>
      </c>
      <c r="D19" s="101">
        <v>0.12748543941078561</v>
      </c>
      <c r="E19" s="101">
        <v>0.12748543941078561</v>
      </c>
      <c r="F19" s="101">
        <v>0.12748543941078561</v>
      </c>
    </row>
    <row r="20" spans="1:8" ht="15.75" customHeight="1" x14ac:dyDescent="0.25">
      <c r="B20" s="19" t="s">
        <v>98</v>
      </c>
      <c r="C20" s="101">
        <v>4.5226299892980569E-3</v>
      </c>
      <c r="D20" s="101">
        <v>4.5226299892980569E-3</v>
      </c>
      <c r="E20" s="101">
        <v>4.5226299892980569E-3</v>
      </c>
      <c r="F20" s="101">
        <v>4.5226299892980569E-3</v>
      </c>
    </row>
    <row r="21" spans="1:8" ht="15.75" customHeight="1" x14ac:dyDescent="0.25">
      <c r="B21" s="19" t="s">
        <v>107</v>
      </c>
      <c r="C21" s="101">
        <v>0.15939031250457769</v>
      </c>
      <c r="D21" s="101">
        <v>0.15939031250457769</v>
      </c>
      <c r="E21" s="101">
        <v>0.15939031250457769</v>
      </c>
      <c r="F21" s="101">
        <v>0.15939031250457769</v>
      </c>
    </row>
    <row r="22" spans="1:8" ht="15.75" customHeight="1" x14ac:dyDescent="0.25">
      <c r="B22" s="19" t="s">
        <v>118</v>
      </c>
      <c r="C22" s="101">
        <v>0.1569370897422229</v>
      </c>
      <c r="D22" s="101">
        <v>0.1569370897422229</v>
      </c>
      <c r="E22" s="101">
        <v>0.1569370897422229</v>
      </c>
      <c r="F22" s="101">
        <v>0.1569370897422229</v>
      </c>
    </row>
    <row r="23" spans="1:8" ht="15.75" customHeight="1" x14ac:dyDescent="0.25">
      <c r="B23" s="27" t="s">
        <v>79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4.7503243000000001E-2</v>
      </c>
    </row>
    <row r="27" spans="1:8" ht="15.75" customHeight="1" x14ac:dyDescent="0.25">
      <c r="B27" s="19" t="s">
        <v>108</v>
      </c>
      <c r="C27" s="101">
        <v>1.0367542E-2</v>
      </c>
    </row>
    <row r="28" spans="1:8" ht="15.75" customHeight="1" x14ac:dyDescent="0.25">
      <c r="B28" s="19" t="s">
        <v>122</v>
      </c>
      <c r="C28" s="101">
        <v>0.17293429099999999</v>
      </c>
    </row>
    <row r="29" spans="1:8" ht="15.75" customHeight="1" x14ac:dyDescent="0.25">
      <c r="B29" s="19" t="s">
        <v>105</v>
      </c>
      <c r="C29" s="101">
        <v>0.15789878800000001</v>
      </c>
    </row>
    <row r="30" spans="1:8" ht="15.75" customHeight="1" x14ac:dyDescent="0.25">
      <c r="B30" s="19" t="s">
        <v>4</v>
      </c>
      <c r="C30" s="101">
        <v>5.576656E-2</v>
      </c>
    </row>
    <row r="31" spans="1:8" ht="15.75" customHeight="1" x14ac:dyDescent="0.25">
      <c r="B31" s="19" t="s">
        <v>99</v>
      </c>
      <c r="C31" s="101">
        <v>6.3201558000000005E-2</v>
      </c>
    </row>
    <row r="32" spans="1:8" ht="15.75" customHeight="1" x14ac:dyDescent="0.25">
      <c r="B32" s="19" t="s">
        <v>104</v>
      </c>
      <c r="C32" s="101">
        <v>1.0057959E-2</v>
      </c>
    </row>
    <row r="33" spans="2:3" ht="15.75" customHeight="1" x14ac:dyDescent="0.25">
      <c r="B33" s="19" t="s">
        <v>119</v>
      </c>
      <c r="C33" s="101">
        <v>0.165459261</v>
      </c>
    </row>
    <row r="34" spans="2:3" ht="15.75" customHeight="1" x14ac:dyDescent="0.25">
      <c r="B34" s="19" t="s">
        <v>106</v>
      </c>
      <c r="C34" s="101">
        <v>0.316810798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ctdpzcqlc4HioFF03V2g2iD4szhK8tV+r/NmB4S6BpUcxLzdqiSwip9BArfcijo2NaRW9U1tZyjoDmOqhlXTIg==" saltValue="SzvTH5Cr4ZUVseDTj7wrw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0.45756976014314255</v>
      </c>
      <c r="D2" s="52">
        <f>IFERROR(1-_xlfn.NORM.DIST(_xlfn.NORM.INV(SUM(D4:D5), 0, 1) + 1, 0, 1, TRUE), "")</f>
        <v>0.45756976014314255</v>
      </c>
      <c r="E2" s="52">
        <f>IFERROR(1-_xlfn.NORM.DIST(_xlfn.NORM.INV(SUM(E4:E5), 0, 1) + 1, 0, 1, TRUE), "")</f>
        <v>0.60794556372930852</v>
      </c>
      <c r="F2" s="52">
        <f>IFERROR(1-_xlfn.NORM.DIST(_xlfn.NORM.INV(SUM(F4:F5), 0, 1) + 1, 0, 1, TRUE), "")</f>
        <v>0.32472323552934501</v>
      </c>
      <c r="G2" s="52">
        <f>IFERROR(1-_xlfn.NORM.DIST(_xlfn.NORM.INV(SUM(G4:G5), 0, 1) + 1, 0, 1, TRUE), "")</f>
        <v>0.35126204341792744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0.35661993985685747</v>
      </c>
      <c r="D3" s="52">
        <f>IFERROR(_xlfn.NORM.DIST(_xlfn.NORM.INV(SUM(D4:D5), 0, 1) + 1, 0, 1, TRUE) - SUM(D4:D5), "")</f>
        <v>0.35661993985685747</v>
      </c>
      <c r="E3" s="52">
        <f>IFERROR(_xlfn.NORM.DIST(_xlfn.NORM.INV(SUM(E4:E5), 0, 1) + 1, 0, 1, TRUE) - SUM(E4:E5), "")</f>
        <v>0.29071713627069151</v>
      </c>
      <c r="F3" s="52">
        <f>IFERROR(_xlfn.NORM.DIST(_xlfn.NORM.INV(SUM(F4:F5), 0, 1) + 1, 0, 1, TRUE) - SUM(F4:F5), "")</f>
        <v>0.38256116447065502</v>
      </c>
      <c r="G3" s="52">
        <f>IFERROR(_xlfn.NORM.DIST(_xlfn.NORM.INV(SUM(G4:G5), 0, 1) + 1, 0, 1, TRUE) - SUM(G4:G5), "")</f>
        <v>0.38047815658207257</v>
      </c>
    </row>
    <row r="4" spans="1:15" ht="15.75" customHeight="1" x14ac:dyDescent="0.25">
      <c r="B4" s="5" t="s">
        <v>129</v>
      </c>
      <c r="C4" s="45">
        <v>0.13256860000000001</v>
      </c>
      <c r="D4" s="53">
        <v>0.13256860000000001</v>
      </c>
      <c r="E4" s="53">
        <v>7.8875299999999995E-2</v>
      </c>
      <c r="F4" s="53">
        <v>0.2260142</v>
      </c>
      <c r="G4" s="53">
        <v>0.20418720000000001</v>
      </c>
    </row>
    <row r="5" spans="1:15" ht="15.75" customHeight="1" x14ac:dyDescent="0.25">
      <c r="B5" s="5" t="s">
        <v>125</v>
      </c>
      <c r="C5" s="45">
        <v>5.3241700000000003E-2</v>
      </c>
      <c r="D5" s="53">
        <v>5.3241700000000003E-2</v>
      </c>
      <c r="E5" s="53">
        <v>2.2461999999999999E-2</v>
      </c>
      <c r="F5" s="53">
        <v>6.6701399999999994E-2</v>
      </c>
      <c r="G5" s="53">
        <v>6.4072599999999993E-2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0.70040620196535208</v>
      </c>
      <c r="D8" s="52">
        <f>IFERROR(1-_xlfn.NORM.DIST(_xlfn.NORM.INV(SUM(D10:D11), 0, 1) + 1, 0, 1, TRUE), "")</f>
        <v>0.70040620196535208</v>
      </c>
      <c r="E8" s="52">
        <f>IFERROR(1-_xlfn.NORM.DIST(_xlfn.NORM.INV(SUM(E10:E11), 0, 1) + 1, 0, 1, TRUE), "")</f>
        <v>0.64578835488038822</v>
      </c>
      <c r="F8" s="52">
        <f>IFERROR(1-_xlfn.NORM.DIST(_xlfn.NORM.INV(SUM(F10:F11), 0, 1) + 1, 0, 1, TRUE), "")</f>
        <v>0.62024263484849929</v>
      </c>
      <c r="G8" s="52">
        <f>IFERROR(1-_xlfn.NORM.DIST(_xlfn.NORM.INV(SUM(G10:G11), 0, 1) + 1, 0, 1, TRUE), "")</f>
        <v>0.708134508364615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0.2360351980346479</v>
      </c>
      <c r="D9" s="52">
        <f>IFERROR(_xlfn.NORM.DIST(_xlfn.NORM.INV(SUM(D10:D11), 0, 1) + 1, 0, 1, TRUE) - SUM(D10:D11), "")</f>
        <v>0.2360351980346479</v>
      </c>
      <c r="E9" s="52">
        <f>IFERROR(_xlfn.NORM.DIST(_xlfn.NORM.INV(SUM(E10:E11), 0, 1) + 1, 0, 1, TRUE) - SUM(E10:E11), "")</f>
        <v>0.2694868451196118</v>
      </c>
      <c r="F9" s="52">
        <f>IFERROR(_xlfn.NORM.DIST(_xlfn.NORM.INV(SUM(F10:F11), 0, 1) + 1, 0, 1, TRUE) - SUM(F10:F11), "")</f>
        <v>0.2840011651515007</v>
      </c>
      <c r="G9" s="52">
        <f>IFERROR(_xlfn.NORM.DIST(_xlfn.NORM.INV(SUM(G10:G11), 0, 1) + 1, 0, 1, TRUE) - SUM(G10:G11), "")</f>
        <v>0.23104749163538499</v>
      </c>
    </row>
    <row r="10" spans="1:15" ht="15.75" customHeight="1" x14ac:dyDescent="0.25">
      <c r="B10" s="5" t="s">
        <v>126</v>
      </c>
      <c r="C10" s="45">
        <v>5.1987100000000001E-2</v>
      </c>
      <c r="D10" s="53">
        <v>5.1987100000000001E-2</v>
      </c>
      <c r="E10" s="53">
        <v>7.3867299999999997E-2</v>
      </c>
      <c r="F10" s="53">
        <v>8.4582900000000003E-2</v>
      </c>
      <c r="G10" s="53">
        <v>5.4515800000000003E-2</v>
      </c>
    </row>
    <row r="11" spans="1:15" ht="15.75" customHeight="1" x14ac:dyDescent="0.25">
      <c r="B11" s="5" t="s">
        <v>138</v>
      </c>
      <c r="C11" s="45">
        <v>1.15715E-2</v>
      </c>
      <c r="D11" s="53">
        <v>1.15715E-2</v>
      </c>
      <c r="E11" s="53">
        <v>1.0857500000000001E-2</v>
      </c>
      <c r="F11" s="53">
        <v>1.1173300000000001E-2</v>
      </c>
      <c r="G11" s="53">
        <v>6.3022E-3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0.82497910925000018</v>
      </c>
      <c r="D14" s="54">
        <v>0.80162762072500005</v>
      </c>
      <c r="E14" s="54">
        <v>0.80162762072500005</v>
      </c>
      <c r="F14" s="54">
        <v>0.47399307269000007</v>
      </c>
      <c r="G14" s="54">
        <v>0.47399307269000007</v>
      </c>
      <c r="H14" s="45">
        <v>0.4</v>
      </c>
      <c r="I14" s="55">
        <v>0.4</v>
      </c>
      <c r="J14" s="55">
        <v>0.4</v>
      </c>
      <c r="K14" s="55">
        <v>0.4</v>
      </c>
      <c r="L14" s="45">
        <v>0.34899999999999998</v>
      </c>
      <c r="M14" s="55">
        <v>0.34899999999999998</v>
      </c>
      <c r="N14" s="55">
        <v>0.34899999999999998</v>
      </c>
      <c r="O14" s="55">
        <v>0.34899999999999998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0.41830648232432177</v>
      </c>
      <c r="D15" s="52">
        <f t="shared" si="0"/>
        <v>0.40646608671623191</v>
      </c>
      <c r="E15" s="52">
        <f t="shared" si="0"/>
        <v>0.40646608671623191</v>
      </c>
      <c r="F15" s="52">
        <f t="shared" si="0"/>
        <v>0.24033866150053718</v>
      </c>
      <c r="G15" s="52">
        <f t="shared" si="0"/>
        <v>0.24033866150053718</v>
      </c>
      <c r="H15" s="52">
        <f t="shared" si="0"/>
        <v>0.20282039999999998</v>
      </c>
      <c r="I15" s="52">
        <f t="shared" si="0"/>
        <v>0.20282039999999998</v>
      </c>
      <c r="J15" s="52">
        <f t="shared" si="0"/>
        <v>0.20282039999999998</v>
      </c>
      <c r="K15" s="52">
        <f t="shared" si="0"/>
        <v>0.20282039999999998</v>
      </c>
      <c r="L15" s="52">
        <f t="shared" si="0"/>
        <v>0.17696079899999995</v>
      </c>
      <c r="M15" s="52">
        <f t="shared" si="0"/>
        <v>0.17696079899999995</v>
      </c>
      <c r="N15" s="52">
        <f t="shared" si="0"/>
        <v>0.17696079899999995</v>
      </c>
      <c r="O15" s="52">
        <f t="shared" si="0"/>
        <v>0.17696079899999995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K6rCdSDW16ZT/fdl96cO7VAS9ti6P4HnVvs586jeAHKYFU+30sKVvCkhIsGYH7t+KreHpL1i9em9zmizPsbPJQ==" saltValue="oB2PFgnKmNRAyjBupesW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0.70780940000000003</v>
      </c>
      <c r="D2" s="53">
        <v>0.53241950000000005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7.0640400000000006E-2</v>
      </c>
      <c r="D3" s="53">
        <v>0.14118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0.2215502</v>
      </c>
      <c r="D4" s="53">
        <v>0.31030289999999999</v>
      </c>
      <c r="E4" s="53">
        <v>0.96187520000000004</v>
      </c>
      <c r="F4" s="53">
        <v>0.95622889999999994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</v>
      </c>
      <c r="D5" s="52">
        <f t="shared" si="0"/>
        <v>1.6097599999999934E-2</v>
      </c>
      <c r="E5" s="52">
        <f>1-SUM(E2:E4)</f>
        <v>3.8124799999999959E-2</v>
      </c>
      <c r="F5" s="52">
        <f>1-SUM(F2:F4)</f>
        <v>4.3771100000000063E-2</v>
      </c>
      <c r="G5" s="52">
        <f>1-SUM(G2:G4)</f>
        <v>1</v>
      </c>
    </row>
  </sheetData>
  <sheetProtection algorithmName="SHA-512" hashValue="KoKj5GpiMyiVzuFpJBDAOG/mR5d1ML8oMceB+Uh+a639rbcNScOgfFqiXyWNM6WBDCwjJ3e4aPFGsNXE4042qQ==" saltValue="Luj289tIQ10PD5nYY7tY3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oHRzyp0oF8M1LmZ2yJP98XNWluok3Z++Xg7gGkqv5w669Gcm3ErDoYaCjK2xIkwMFVt1lNxK+kMaXHw62TPqxQ==" saltValue="T3sAvpJ4XibZhMZg5o8NX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1336.5460472984701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0.44085000000000002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0.30329999999999996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1.9631895417119349E-2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96909.39129</v>
      </c>
      <c r="C22" s="109">
        <v>96618.065000000002</v>
      </c>
      <c r="D22" s="109">
        <v>96396.876780000006</v>
      </c>
      <c r="E22" s="109">
        <v>96007.266570000007</v>
      </c>
      <c r="F22" s="109">
        <v>95500.03499</v>
      </c>
      <c r="G22" s="109">
        <v>94971.390209999998</v>
      </c>
      <c r="H22" s="109">
        <v>94329.785730000003</v>
      </c>
      <c r="I22" s="109">
        <v>93431.989069999996</v>
      </c>
      <c r="J22" s="109">
        <v>92077.744720000002</v>
      </c>
      <c r="K22" s="109">
        <v>89987.683520000006</v>
      </c>
      <c r="L22" s="109">
        <v>86734.672309999994</v>
      </c>
      <c r="M22" s="109">
        <v>81890.059389999995</v>
      </c>
      <c r="N22" s="109">
        <v>74666.415420000005</v>
      </c>
      <c r="O22" s="109">
        <v>64611.690329999998</v>
      </c>
    </row>
  </sheetData>
  <sheetProtection algorithmName="SHA-512" hashValue="qkIVRmBRdwSCPf6e/q+eejevEjfuDR47izVdOFDsaViMZ8opfHNDzDeZCaYWvxb9NSwXGVw8tI1W3Wdm1iYU3Q==" saltValue="5LWPh6IXrGnOseEwDJlII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FSiv3ASO1LIW22jt+KIYP9gURWu8iemprl2R4Y/cHzsNbiylKz4QGeI9QKdYQTP0kAo98+4rQqzBfBxPf+FoBg==" saltValue="Yk4JX7bnZI1xU4id27IKJ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KVXV48tPOuH+2LI7MIj2z/bEB9kDvM54DtoxVvQ35qAi87SgGaCIShGFB/VPPNISglwkFFBpDYfNqs4TivT1Ow==" saltValue="vB9fTXzUkrCnrda2OTFbC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17.026484135107474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17.026484135107474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8.0705350947424606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0.61278763993956276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0.24171699078812695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0.86284800000000006</v>
      </c>
      <c r="C10" s="98">
        <v>0.95</v>
      </c>
      <c r="D10" s="56">
        <v>14.191711276470389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14.191711276470389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14.191711276470389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14.191711276470389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0.86284800000000006</v>
      </c>
      <c r="C14" s="98">
        <v>0.95</v>
      </c>
      <c r="D14" s="56">
        <v>14.191711276470389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14.191711276470389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2.02589E-2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2.41416666666667E-2</v>
      </c>
      <c r="C17" s="98">
        <v>0.95</v>
      </c>
      <c r="D17" s="56">
        <v>9.7330203637492063E-2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0.52100000000000002</v>
      </c>
      <c r="C18" s="98">
        <v>0.95</v>
      </c>
      <c r="D18" s="56">
        <v>8.0705350947424606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0.53241950000000005</v>
      </c>
      <c r="C19" s="98">
        <v>0.95</v>
      </c>
      <c r="D19" s="56">
        <v>1.783669753024828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8.0705350947424606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4.6601859455142458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0.71992641902920995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0.27900000000000003</v>
      </c>
      <c r="C26" s="98">
        <v>0.95</v>
      </c>
      <c r="D26" s="56">
        <v>4.7229528222409431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17.846880984952122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0.38404090000000002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0.48240959999999999</v>
      </c>
      <c r="C29" s="98">
        <v>0.95</v>
      </c>
      <c r="D29" s="56">
        <v>26.81689264396762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9.1000000000000004E-3</v>
      </c>
      <c r="C31" s="98">
        <v>0.95</v>
      </c>
      <c r="D31" s="56">
        <v>175.48809161556471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0.9</v>
      </c>
      <c r="C32" s="98">
        <v>0.95</v>
      </c>
      <c r="D32" s="56">
        <v>0.45463218100922231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0.6354284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0.44971359999999999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0.14526700000000001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0.50166370000000005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0.107</v>
      </c>
      <c r="C38" s="98">
        <v>0.95</v>
      </c>
      <c r="D38" s="56">
        <v>1.6798709086682517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nxajJcXy9zmF52kgNXHFJFUly7C7N9XC0GwUrZOP9CqM4zqSERCPOP7XRX2yEBSy3w4BdZQ6sJ5qiMeWDpG4oA==" saltValue="3fMEZ5pDDUGZ9fbBshKZ5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IHCZeRIekTslA7sQ92dA6vuOP4k7VaRSw6rDANNyy8//OpMKaE0OpA1w09IG4DWT4BonvD9bMGso+E2dwoIOqg==" saltValue="SR6ZQWfCJuUCWRhC84Y+T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ENALxjVadjp/F0HYricXKJBzVUBGWyPHFpCnsNTykqmyEPVK6Ij/vrQn18dww4wiXx6gDWY4KMmJyLD7xPlgYQ==" saltValue="dlkdlYbpNNYtwG7x8zG4O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3.302</v>
      </c>
      <c r="C2" s="21">
        <f>'Entradas de población-año base'!C52</f>
        <v>3.302</v>
      </c>
      <c r="D2" s="21">
        <f>'Entradas de población-año base'!C53</f>
        <v>4.55</v>
      </c>
      <c r="E2" s="21">
        <f>'Entradas de población-año base'!C54</f>
        <v>3.4319999999999999</v>
      </c>
      <c r="F2" s="21">
        <f>'Entradas de población-año base'!C55</f>
        <v>2.123333333333334</v>
      </c>
    </row>
    <row r="3" spans="1:6" ht="15.75" customHeight="1" x14ac:dyDescent="0.25">
      <c r="A3" s="3" t="s">
        <v>6</v>
      </c>
      <c r="B3" s="21">
        <f>frac_mam_1month * 2.6</f>
        <v>0.13516646000000002</v>
      </c>
      <c r="C3" s="21">
        <f>frac_mam_1_5months * 2.6</f>
        <v>0.13516646000000002</v>
      </c>
      <c r="D3" s="21">
        <f>frac_mam_6_11months * 2.6</f>
        <v>0.19205497999999999</v>
      </c>
      <c r="E3" s="21">
        <f>frac_mam_12_23months * 2.6</f>
        <v>0.21991554000000002</v>
      </c>
      <c r="F3" s="21">
        <f>frac_mam_24_59months * 2.6</f>
        <v>0.14174108000000002</v>
      </c>
    </row>
    <row r="4" spans="1:6" ht="15.75" customHeight="1" x14ac:dyDescent="0.25">
      <c r="A4" s="3" t="s">
        <v>236</v>
      </c>
      <c r="B4" s="21">
        <f>frac_sam_1month * 2.6</f>
        <v>3.0085900000000002E-2</v>
      </c>
      <c r="C4" s="21">
        <f>frac_sam_1_5months * 2.6</f>
        <v>3.0085900000000002E-2</v>
      </c>
      <c r="D4" s="21">
        <f>frac_sam_6_11months * 2.6</f>
        <v>2.8229500000000005E-2</v>
      </c>
      <c r="E4" s="21">
        <f>frac_sam_12_23months * 2.6</f>
        <v>2.9050580000000003E-2</v>
      </c>
      <c r="F4" s="21">
        <f>frac_sam_24_59months * 2.6</f>
        <v>1.6385719999999999E-2</v>
      </c>
    </row>
  </sheetData>
  <sheetProtection algorithmName="SHA-512" hashValue="9mJi7SoNCh8gz978d5HIrNxLvWs8TWIdr5Ws20Vg9R2Qeg1IIqJuLPV7rJjEgV424SToV7Dyktl6M9T4jLrUgA==" saltValue="Nf0T36k29MAGyz0U8JI+H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0.15</v>
      </c>
      <c r="F2" s="60">
        <f>food_insecure</f>
        <v>0.15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0.15</v>
      </c>
      <c r="F5" s="60">
        <f>food_insecure</f>
        <v>0.15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7.1543333333333348E-2</v>
      </c>
      <c r="D7" s="60">
        <f>diarrhoea_1_5mo*frac_diarrhea_severe</f>
        <v>7.1543333333333348E-2</v>
      </c>
      <c r="E7" s="60">
        <f>diarrhoea_6_11mo*frac_diarrhea_severe</f>
        <v>9.8583333333333342E-2</v>
      </c>
      <c r="F7" s="60">
        <f>diarrhoea_12_23mo*frac_diarrhea_severe</f>
        <v>7.4360000000000009E-2</v>
      </c>
      <c r="G7" s="60">
        <f>diarrhoea_24_59mo*frac_diarrhea_severe</f>
        <v>4.6005555555555577E-2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0.15</v>
      </c>
      <c r="F8" s="60">
        <f>food_insecure</f>
        <v>0.15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0.15</v>
      </c>
      <c r="F9" s="60">
        <f>food_insecure</f>
        <v>0.15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7.1543333333333348E-2</v>
      </c>
      <c r="D12" s="60">
        <f>diarrhoea_1_5mo*frac_diarrhea_severe</f>
        <v>7.1543333333333348E-2</v>
      </c>
      <c r="E12" s="60">
        <f>diarrhoea_6_11mo*frac_diarrhea_severe</f>
        <v>9.8583333333333342E-2</v>
      </c>
      <c r="F12" s="60">
        <f>diarrhoea_12_23mo*frac_diarrhea_severe</f>
        <v>7.4360000000000009E-2</v>
      </c>
      <c r="G12" s="60">
        <f>diarrhoea_24_59mo*frac_diarrhea_severe</f>
        <v>4.6005555555555577E-2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0.15</v>
      </c>
      <c r="I15" s="60">
        <f t="shared" si="0"/>
        <v>0.15</v>
      </c>
      <c r="J15" s="60">
        <f t="shared" si="0"/>
        <v>0.15</v>
      </c>
      <c r="K15" s="60">
        <f t="shared" si="0"/>
        <v>0.15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0.15</v>
      </c>
      <c r="I16" s="60">
        <f t="shared" si="0"/>
        <v>0.15</v>
      </c>
      <c r="J16" s="60">
        <f t="shared" si="0"/>
        <v>0.15</v>
      </c>
      <c r="K16" s="60">
        <f t="shared" si="0"/>
        <v>0.15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2.5600000000000001E-2</v>
      </c>
      <c r="I19" s="60">
        <f>frac_malaria_risk</f>
        <v>2.5600000000000001E-2</v>
      </c>
      <c r="J19" s="60">
        <f>frac_malaria_risk</f>
        <v>2.5600000000000001E-2</v>
      </c>
      <c r="K19" s="60">
        <f>frac_malaria_risk</f>
        <v>2.5600000000000001E-2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0.24715611858834899</v>
      </c>
      <c r="M24" s="60">
        <f>famplan_unmet_need</f>
        <v>0.24715611858834899</v>
      </c>
      <c r="N24" s="60">
        <f>famplan_unmet_need</f>
        <v>0.24715611858834899</v>
      </c>
      <c r="O24" s="60">
        <f>famplan_unmet_need</f>
        <v>0.24715611858834899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0.1939016268</v>
      </c>
      <c r="M25" s="60">
        <f>(1-food_insecure)*(0.49)+food_insecure*(0.7)</f>
        <v>0.52149999999999996</v>
      </c>
      <c r="N25" s="60">
        <f>(1-food_insecure)*(0.49)+food_insecure*(0.7)</f>
        <v>0.52149999999999996</v>
      </c>
      <c r="O25" s="60">
        <f>(1-food_insecure)*(0.49)+food_insecure*(0.7)</f>
        <v>0.52149999999999996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8.310069719999999E-2</v>
      </c>
      <c r="M26" s="60">
        <f>(1-food_insecure)*(0.21)+food_insecure*(0.3)</f>
        <v>0.22349999999999998</v>
      </c>
      <c r="N26" s="60">
        <f>(1-food_insecure)*(0.21)+food_insecure*(0.3)</f>
        <v>0.22349999999999998</v>
      </c>
      <c r="O26" s="60">
        <f>(1-food_insecure)*(0.21)+food_insecure*(0.3)</f>
        <v>0.22349999999999998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9.4812876000000004E-2</v>
      </c>
      <c r="M27" s="60">
        <f>(1-food_insecure)*(0.3)</f>
        <v>0.255</v>
      </c>
      <c r="N27" s="60">
        <f>(1-food_insecure)*(0.3)</f>
        <v>0.255</v>
      </c>
      <c r="O27" s="60">
        <f>(1-food_insecure)*(0.3)</f>
        <v>0.255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0.62818479999999999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2.5600000000000001E-2</v>
      </c>
      <c r="D34" s="60">
        <f t="shared" si="4"/>
        <v>2.5600000000000001E-2</v>
      </c>
      <c r="E34" s="60">
        <f t="shared" si="4"/>
        <v>2.5600000000000001E-2</v>
      </c>
      <c r="F34" s="60">
        <f t="shared" si="4"/>
        <v>2.5600000000000001E-2</v>
      </c>
      <c r="G34" s="60">
        <f t="shared" si="4"/>
        <v>2.5600000000000001E-2</v>
      </c>
      <c r="H34" s="60">
        <f t="shared" si="4"/>
        <v>2.5600000000000001E-2</v>
      </c>
      <c r="I34" s="60">
        <f t="shared" si="4"/>
        <v>2.5600000000000001E-2</v>
      </c>
      <c r="J34" s="60">
        <f t="shared" si="4"/>
        <v>2.5600000000000001E-2</v>
      </c>
      <c r="K34" s="60">
        <f t="shared" si="4"/>
        <v>2.5600000000000001E-2</v>
      </c>
      <c r="L34" s="60">
        <f t="shared" si="4"/>
        <v>2.5600000000000001E-2</v>
      </c>
      <c r="M34" s="60">
        <f t="shared" si="4"/>
        <v>2.5600000000000001E-2</v>
      </c>
      <c r="N34" s="60">
        <f t="shared" si="4"/>
        <v>2.5600000000000001E-2</v>
      </c>
      <c r="O34" s="60">
        <f t="shared" si="4"/>
        <v>2.5600000000000001E-2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xq6879N0omajhf82U8TzDMSLRJb1aEahsuDW7wO1nglHk8GtWCnaeAiPUNtDVV/XtMtj/tow6DNA7qUfBBh66Q==" saltValue="vFuKD13UTXv7qp7d82+zt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zQK009O8+VbhJD14KZCUuBhLa1+ZuH0XmDs/u2A/UiVHm1++tVyu0e9tD3kw6I7inEMuOQRtS97CbQwirWp3CA==" saltValue="Y2KHN74dUT+ecCXE1Vp1r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o0Ji4gbJJY0vIrYyTVFYOTkN7Qv29yhdQvXT3gtNpxDTuJ13VxNSYNiNhCYluejHK1CiB38LO5HkJjScyL9qeg==" saltValue="JwB4F9Rir2rvCXD5Gt9vu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HXcJiqkjbYh+ZSbdzf9tEPlqDYi7Zsu/H2fbgEsxQ5X5pH9xfJ4ZCFEaeD9n15vIs6KZ5b6LCVy3f8DVh4hnEA==" saltValue="fG4l9ILAneyA2mw37F0mP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YCBLTwGL1gQndx2Rt6VScIDJPznMyMc9vdoLp2htOrM4fLSkhptxzQOvAvqE4jkyabvY/Qz2wH9tJlMzvmQnYA==" saltValue="STwcNYeDaghpHzSeZ/nqa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7l1MXCvME0pfEYT9hD15nl4lVznGrmUwpHaYnFgh1Z0GVUUgYrT+S49T3FNCAmwByJ+gLN1BkftM2qevgZCxBg==" saltValue="JZtO7yBQfhWmaRLylwPaA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xggWrpv80scmXX19juv0qWNakrJpeQ69uaSuSzNYdQarsMWekBG/lrhSS4UHBJBud9PXPWOamiUhO2jaYu0OJg==" saltValue="Lwcp68gVCeeD2UGczIREV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i8WTgxRaMeXOibvIIXaw5CWb6PoAGtH50HnZnAbBaydCBpKb6hCA4N2Ho/QqiquN7p6HlfKIX0+q8+iGyVayMw==" saltValue="WJeYnfuA6Wq48NAqY4+s4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azR6TaGY7bT25PGaO7papPNjv5s4fMtM33oztramA8Pd2IJnc5l2aerhCxHh+T0sElJpp9IQriFz/zCSLIoimA==" saltValue="FtYVIar3m7slYR8L3QIm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waXz8BQKSP4t8JNl/B6aqXx02gHorhBmlIQ4yLM8t5y+lVWvhej0kGFjN8gnkl6bmOiHx1jTTYrpx3iG7IqElg==" saltValue="McTk4Cz7nFYyq5YRNyJF3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EQ07e5ly3dTS6iYYDZ+R0ND96O9C11BVBiJbIT8bnnSNwwhYW0knZgfmT8xdVKRw5zxV339jD62MOmNI3v3aw==" saltValue="EhXfl8H/ITauRgHGTnEy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6V/e0z9oRbCIUe29/7kEb+ubpfhPaYV1+S2sPAJue8qYPk5QGBo26YQAKncq4h6O5FB3sxUMqwG1GOb33uoBBw==" saltValue="jxui/87wxVTC1tgmX8ut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YhmR3JAB0QajYxjIfSSyU4WqzEeGmHOvVR02fIwo3QA/UUImZT+VjzKH3TfP01QR28MetfmupoYHpI1PNojLg==" saltValue="A3raCYTQpnirHz4ddrjXb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a0JS5BYu96EOyAT2k7+7DjzAy08EeehUiNjsASnu+Ln2R0OQNiAYzsnXn3vyJitvWSVXxyyfVmTpClW/s8kMWg==" saltValue="h9nUnunEHl9+2RBcZNnW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CliK/OtZGAS7mlvth7Sg9jI0vSRK2VCcErWRw8y+1ATMgM16VBmVoFpGVKh8BjXe6k5venVV3A8A9qiJ4NE+oA==" saltValue="DFictDVJ1o4a8yxPgZ4uw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2025-07-08T03:32:22Z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