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es\LiST countries\"/>
    </mc:Choice>
  </mc:AlternateContent>
  <xr:revisionPtr revIDLastSave="0" documentId="8_{26FCEEAA-0AC3-44E9-A1FE-21B0EBBDD6E9}" xr6:coauthVersionLast="47" xr6:coauthVersionMax="47" xr10:uidLastSave="{00000000-0000-0000-0000-000000000000}"/>
  <bookViews>
    <workbookView xWindow="20" yWindow="20" windowWidth="19180" windowHeight="1018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Variables económicas   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azón de momios" sheetId="23" state="hidden" r:id="rId21"/>
    <sheet name="Resultados de nacimiento- prog" sheetId="24" state="hidden" r:id="rId22"/>
    <sheet name="Riesgos desenlace de nacimiento" sheetId="21" state="hidden" r:id="rId23"/>
    <sheet name="Riesgos relativos" sheetId="22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H153" i="27"/>
  <c r="G153" i="27"/>
  <c r="F153" i="27"/>
  <c r="E153" i="27"/>
  <c r="D153" i="27"/>
  <c r="H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E130" i="27"/>
  <c r="D130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G112" i="27"/>
  <c r="E112" i="27"/>
  <c r="D112" i="27"/>
  <c r="H97" i="27"/>
  <c r="G97" i="27"/>
  <c r="G152" i="27" s="1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H13" i="2"/>
  <c r="G13" i="2"/>
  <c r="H12" i="2"/>
  <c r="G12" i="2"/>
  <c r="I12" i="2" s="1"/>
  <c r="H11" i="2"/>
  <c r="G11" i="2"/>
  <c r="H10" i="2"/>
  <c r="G10" i="2"/>
  <c r="H9" i="2"/>
  <c r="G9" i="2"/>
  <c r="H8" i="2"/>
  <c r="G8" i="2"/>
  <c r="I8" i="2" s="1"/>
  <c r="H7" i="2"/>
  <c r="G7" i="2"/>
  <c r="H6" i="2"/>
  <c r="G6" i="2"/>
  <c r="H5" i="2"/>
  <c r="G5" i="2"/>
  <c r="H4" i="2"/>
  <c r="G4" i="2"/>
  <c r="I4" i="2" s="1"/>
  <c r="H3" i="2"/>
  <c r="G3" i="2"/>
  <c r="H2" i="2"/>
  <c r="G2" i="2"/>
  <c r="A2" i="2"/>
  <c r="A39" i="2" s="1"/>
  <c r="C33" i="1"/>
  <c r="C20" i="1"/>
  <c r="I9" i="2" l="1"/>
  <c r="I13" i="2"/>
  <c r="A25" i="2"/>
  <c r="A31" i="2"/>
  <c r="A26" i="2"/>
  <c r="I39" i="2"/>
  <c r="A34" i="2"/>
  <c r="A40" i="2"/>
  <c r="I2" i="2"/>
  <c r="I6" i="2"/>
  <c r="A19" i="2"/>
  <c r="A35" i="2"/>
  <c r="A22" i="2"/>
  <c r="A36" i="2"/>
  <c r="I3" i="2"/>
  <c r="I7" i="2"/>
  <c r="I11" i="2"/>
  <c r="A23" i="2"/>
  <c r="A37" i="2"/>
  <c r="A24" i="2"/>
  <c r="I38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00000000-0006-0000-1A00-00000C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00000000-0006-0000-1A00-00000D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00000000-0006-0000-1A00-00000E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0000000-0006-0000-1A00-00000F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0000000-0006-0000-1A00-000010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0000000-0006-0000-1A00-000011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00000000-0006-0000-1A00-000012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00000000-0006-0000-1A00-000013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1" shapeId="0" xr:uid="{00000000-0006-0000-1A00-000015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0" authorId="1" shapeId="0" xr:uid="{00000000-0006-0000-1A00-000016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2" authorId="0" shapeId="0" xr:uid="{00000000-0006-0000-1A00-000017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8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9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A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B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C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D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E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F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3" authorId="0" shapeId="0" xr:uid="{00000000-0006-0000-1A00-000020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3" authorId="0" shapeId="0" xr:uid="{00000000-0006-0000-1A00-000021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3" authorId="0" shapeId="0" xr:uid="{00000000-0006-0000-1A00-000022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3" authorId="0" shapeId="0" xr:uid="{00000000-0006-0000-1A00-000023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4" authorId="0" shapeId="0" xr:uid="{00000000-0006-0000-1A00-000024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4" authorId="0" shapeId="0" xr:uid="{00000000-0006-0000-1A00-00002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4" authorId="0" shapeId="0" xr:uid="{00000000-0006-0000-1A00-00002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4" authorId="0" shapeId="0" xr:uid="{00000000-0006-0000-1A00-00002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4" authorId="0" shapeId="0" xr:uid="{00000000-0006-0000-1A00-00002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7" authorId="0" shapeId="0" xr:uid="{00000000-0006-0000-1A00-000029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E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3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3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3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1" authorId="0" shapeId="0" xr:uid="{00000000-0006-0000-1A00-00003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1" authorId="0" shapeId="0" xr:uid="{00000000-0006-0000-1A00-00003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1" authorId="0" shapeId="0" xr:uid="{00000000-0006-0000-1A00-00003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1" authorId="0" shapeId="0" xr:uid="{00000000-0006-0000-1A00-00003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3" authorId="1" shapeId="0" xr:uid="{00000000-0006-0000-1A00-000038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58" authorId="0" shapeId="0" xr:uid="{00000000-0006-0000-1A00-000039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58" authorId="0" shapeId="0" xr:uid="{00000000-0006-0000-1A00-00003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58" authorId="0" shapeId="0" xr:uid="{00000000-0006-0000-1A00-00003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59" authorId="0" shapeId="0" xr:uid="{00000000-0006-0000-1A00-00003C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59" authorId="0" shapeId="0" xr:uid="{00000000-0006-0000-1A00-00003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59" authorId="0" shapeId="0" xr:uid="{00000000-0006-0000-1A00-00003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1" authorId="1" shapeId="0" xr:uid="{00000000-0006-0000-1A00-00003F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1" authorId="1" shapeId="0" xr:uid="{00000000-0006-0000-1A00-00004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3" authorId="1" shapeId="0" xr:uid="{00000000-0006-0000-1A00-00004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00000000-0006-0000-1A00-00004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00000000-0006-0000-1A00-000043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5" authorId="1" shapeId="0" xr:uid="{00000000-0006-0000-1A00-00004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7" authorId="1" shapeId="0" xr:uid="{00000000-0006-0000-1A00-00004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0000000-0006-0000-1A00-00004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0" shapeId="0" xr:uid="{00000000-0006-0000-1A00-000047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69" authorId="0" shapeId="0" xr:uid="{00000000-0006-0000-1A00-00004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1" authorId="0" shapeId="0" xr:uid="{00000000-0006-0000-1A00-000049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1" authorId="0" shapeId="0" xr:uid="{00000000-0006-0000-1A00-00004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3" authorId="1" shapeId="0" xr:uid="{00000000-0006-0000-1A00-00004B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D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50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5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99" authorId="0" shapeId="0" xr:uid="{00000000-0006-0000-1A00-00005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99" authorId="0" shapeId="0" xr:uid="{00000000-0006-0000-1A00-00005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99" authorId="0" shapeId="0" xr:uid="{00000000-0006-0000-1A00-00005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99" authorId="0" shapeId="0" xr:uid="{00000000-0006-0000-1A00-00005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2" authorId="0" shapeId="0" xr:uid="{00000000-0006-0000-1A00-00005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6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6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06" authorId="0" shapeId="0" xr:uid="{00000000-0006-0000-1A00-00006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06" authorId="0" shapeId="0" xr:uid="{00000000-0006-0000-1A00-00006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06" authorId="0" shapeId="0" xr:uid="{00000000-0006-0000-1A00-00006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06" authorId="0" shapeId="0" xr:uid="{00000000-0006-0000-1A00-00006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08" authorId="1" shapeId="0" xr:uid="{00000000-0006-0000-1A00-000069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3" authorId="0" shapeId="0" xr:uid="{00000000-0006-0000-1A00-00006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3" authorId="0" shapeId="0" xr:uid="{00000000-0006-0000-1A00-00006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3" authorId="0" shapeId="0" xr:uid="{00000000-0006-0000-1A00-00006C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4" authorId="0" shapeId="0" xr:uid="{00000000-0006-0000-1A00-00006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4" authorId="0" shapeId="0" xr:uid="{00000000-0006-0000-1A00-00006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4" authorId="0" shapeId="0" xr:uid="{00000000-0006-0000-1A00-00006F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16" authorId="1" shapeId="0" xr:uid="{00000000-0006-0000-1A00-00007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6" authorId="1" shapeId="0" xr:uid="{00000000-0006-0000-1A00-00007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18" authorId="1" shapeId="0" xr:uid="{00000000-0006-0000-1A00-00007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8" authorId="1" shapeId="0" xr:uid="{00000000-0006-0000-1A00-000073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0" authorId="1" shapeId="0" xr:uid="{00000000-0006-0000-1A00-00007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0" authorId="1" shapeId="0" xr:uid="{00000000-0006-0000-1A00-00007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2" authorId="1" shapeId="0" xr:uid="{00000000-0006-0000-1A00-00007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2" authorId="1" shapeId="0" xr:uid="{00000000-0006-0000-1A00-000077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4" authorId="0" shapeId="0" xr:uid="{00000000-0006-0000-1A00-00007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4" authorId="0" shapeId="0" xr:uid="{00000000-0006-0000-1A00-000079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26" authorId="0" shapeId="0" xr:uid="{00000000-0006-0000-1A00-00007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26" authorId="0" shapeId="0" xr:uid="{00000000-0006-0000-1A00-00007B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28" authorId="1" shapeId="0" xr:uid="{00000000-0006-0000-1A00-00007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D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8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5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54" authorId="0" shapeId="0" xr:uid="{00000000-0006-0000-1A00-00008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54" authorId="0" shapeId="0" xr:uid="{00000000-0006-0000-1A00-00008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54" authorId="0" shapeId="0" xr:uid="{00000000-0006-0000-1A00-00008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54" authorId="0" shapeId="0" xr:uid="{00000000-0006-0000-1A00-00008A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57" authorId="0" shapeId="0" xr:uid="{00000000-0006-0000-1A00-00008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F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9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9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4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1" authorId="0" shapeId="0" xr:uid="{00000000-0006-0000-1A00-00009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1" authorId="0" shapeId="0" xr:uid="{00000000-0006-0000-1A00-00009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1" authorId="0" shapeId="0" xr:uid="{00000000-0006-0000-1A00-00009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1" authorId="0" shapeId="0" xr:uid="{00000000-0006-0000-1A00-000099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3" authorId="1" shapeId="0" xr:uid="{00000000-0006-0000-1A00-00009A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<sst xmlns="http://schemas.openxmlformats.org/spreadsheetml/2006/main" count="2159" uniqueCount="372">
  <si>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</si>
  <si>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</si>
  <si>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</si>
  <si>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</si>
  <si>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</si>
  <si>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</si>
  <si>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</si>
  <si>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</si>
  <si>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</si>
  <si>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</si>
  <si>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</si>
  <si>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</si>
  <si>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</si>
  <si>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</si>
  <si>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</si>
  <si>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</si>
  <si>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</si>
  <si>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</si>
  <si>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</si>
  <si>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</si>
  <si>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</si>
  <si>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</si>
  <si>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</si>
  <si>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</si>
  <si>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</si>
  <si>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</si>
  <si>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</si>
  <si>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</si>
  <si>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</si>
  <si>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</si>
  <si>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</si>
  <si>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</si>
  <si>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</si>
  <si>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</si>
  <si>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</si>
  <si>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</si>
  <si>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</si>
  <si>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</si>
  <si>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</si>
  <si>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</si>
  <si>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</si>
  <si>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</si>
  <si>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</si>
  <si>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</si>
  <si>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</si>
  <si>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</si>
  <si>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</si>
  <si>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</si>
  <si>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</si>
  <si>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</si>
  <si>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</si>
  <si>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</si>
  <si>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</si>
  <si>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</si>
  <si>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</si>
  <si>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</si>
  <si>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</si>
  <si>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</si>
  <si>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</si>
  <si>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</si>
  <si>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</si>
  <si>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</si>
  <si>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</si>
  <si>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</si>
  <si>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</si>
  <si>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</si>
  <si>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</si>
  <si>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</si>
  <si>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</si>
  <si>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</si>
  <si>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</si>
  <si>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</si>
  <si>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</si>
  <si>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</si>
  <si>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</si>
  <si>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</si>
  <si>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</si>
  <si>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</si>
  <si>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</si>
  <si>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</si>
  <si>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</si>
  <si>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</si>
  <si>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</si>
  <si>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</si>
  <si>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</si>
  <si>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</si>
  <si>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</si>
  <si>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</si>
  <si>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</si>
  <si>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</si>
  <si>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</si>
  <si>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</si>
  <si>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</si>
  <si>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</si>
  <si>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</si>
  <si>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</si>
  <si>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</si>
  <si>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</si>
  <si>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</si>
  <si>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</si>
  <si>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</si>
  <si>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</si>
  <si>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</si>
  <si>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</si>
  <si>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</si>
  <si>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</si>
  <si>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</si>
  <si>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</si>
  <si>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</si>
  <si>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</si>
  <si>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</si>
  <si>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</si>
  <si>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</si>
  <si>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</si>
  <si>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</si>
  <si>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</si>
  <si>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</si>
  <si>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</si>
  <si>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</si>
  <si>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</si>
  <si>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</si>
  <si>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</si>
  <si>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</si>
  <si>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</si>
  <si>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</si>
  <si>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</si>
  <si>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</si>
  <si>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</si>
  <si>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</si>
  <si>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</si>
  <si>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</si>
  <si>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</si>
  <si>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</si>
  <si>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</si>
  <si>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</si>
  <si>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</si>
  <si>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</si>
  <si>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</si>
  <si>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</si>
  <si>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</si>
  <si>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</si>
  <si>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</si>
  <si>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</si>
  <si>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</si>
  <si>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</si>
  <si>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</si>
  <si>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</si>
  <si>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</si>
  <si>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</si>
  <si>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</si>
  <si>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</si>
  <si>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</si>
  <si>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</si>
  <si>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</si>
  <si>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</si>
  <si>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</si>
  <si>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</si>
  <si>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</si>
  <si>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</si>
  <si>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Crecimiento anual del PIB</t>
  </si>
  <si>
    <t>PIB per cápita</t>
  </si>
  <si>
    <t>Descuento temporal (costos)</t>
  </si>
  <si>
    <t>Descuento temporal (beneficios)</t>
  </si>
  <si>
    <t>Porcentaje de ingresos vitales que realmente se han ganado</t>
  </si>
  <si>
    <t>Edad a la que se acaba la productividad laboral</t>
  </si>
  <si>
    <t>Edad de inicio de la productividad laboral</t>
  </si>
  <si>
    <t>Participación laboral femenina</t>
  </si>
  <si>
    <t>Porcentaje de embarazos a los cuales se les puede atribuir una pérdida de productividad por anemia materna</t>
  </si>
  <si>
    <t>Aumento de puntuación de CI gracias a la lactancia temprana</t>
  </si>
  <si>
    <t xml:space="preserve">Aumento de ingresos por punto de CI </t>
  </si>
  <si>
    <t>Participación del trabajo en el PIB</t>
  </si>
  <si>
    <t>Reducción total de ingresos vitales en individuos con retraso del crecimiento</t>
  </si>
  <si>
    <t>Disminución de productividad debido a la anemia infantil (%)</t>
  </si>
  <si>
    <t>Disminución de productividad debido al bajo peso al nacer (%)</t>
  </si>
  <si>
    <t>Disminución de productividad debido a la anemia materna (%)</t>
  </si>
  <si>
    <t>Porcentaje de mortinatos a incluir en la pérdida de productividad</t>
  </si>
  <si>
    <t>Número de personas vivas restantes (empezando con 100.000 nacimientos)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</si>
  <si>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</si>
  <si>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</si>
  <si>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</si>
  <si>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</si>
  <si>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</si>
  <si>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</si>
  <si>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</si>
  <si>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</si>
  <si>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</si>
  <si>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</si>
  <si>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</si>
  <si>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</si>
  <si>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</si>
  <si>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</si>
  <si>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</si>
  <si>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</si>
  <si>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</si>
  <si>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</si>
  <si>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</si>
  <si>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</si>
  <si>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</si>
  <si>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</si>
  <si>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</si>
  <si>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</si>
  <si>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</si>
  <si>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</si>
  <si>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</si>
  <si>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</si>
  <si>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</si>
  <si>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</si>
  <si>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</si>
  <si>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</si>
  <si>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</si>
  <si>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</si>
  <si>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</si>
  <si>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</si>
  <si>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</si>
  <si>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</si>
  <si>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</si>
  <si>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</si>
  <si>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</si>
  <si>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</si>
  <si>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</si>
  <si>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</si>
  <si>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</si>
  <si>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</si>
  <si>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</si>
  <si>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</si>
  <si>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</si>
  <si>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</si>
  <si>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</si>
  <si>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</si>
  <si>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</si>
  <si>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</si>
  <si>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</si>
  <si>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</si>
  <si>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</si>
  <si>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</si>
  <si>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</si>
  <si>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</si>
  <si>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</si>
  <si>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</si>
  <si>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</si>
  <si>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</si>
  <si>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</si>
  <si>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</si>
  <si>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</si>
  <si>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</si>
  <si>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Costo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</si>
  <si>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</si>
  <si>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</si>
  <si>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</si>
  <si>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</si>
  <si>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</si>
  <si>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</si>
  <si>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</si>
  <si>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</si>
  <si>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</si>
  <si>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</si>
  <si>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</si>
  <si>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</si>
  <si>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</si>
  <si>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</si>
  <si>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</si>
  <si>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</si>
  <si>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</si>
  <si>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Mortinatos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</si>
  <si>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</si>
  <si>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</si>
  <si>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</si>
  <si>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</si>
  <si>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</si>
  <si>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</si>
  <si>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</si>
  <si>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</si>
  <si>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</si>
  <si>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</si>
  <si>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</si>
  <si>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</si>
  <si>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</si>
  <si>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</si>
  <si>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</si>
  <si>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</si>
  <si>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</si>
  <si>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</si>
  <si>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</si>
  <si>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</si>
  <si>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</si>
  <si>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</si>
  <si>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</si>
  <si>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</si>
  <si>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</si>
  <si>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</si>
  <si>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</si>
  <si>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</si>
  <si>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</si>
  <si>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</si>
  <si>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</si>
  <si>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</si>
  <si>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</si>
  <si>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</si>
  <si>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</si>
  <si>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</si>
  <si>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</si>
  <si>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</si>
  <si>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</si>
  <si>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</si>
  <si>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</si>
  <si>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</si>
  <si>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</si>
  <si>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</si>
  <si>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</si>
  <si>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</si>
  <si>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</si>
  <si>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Emaciación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</si>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</sst>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2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38</v>
      </c>
      <c r="B1" s="29" t="s">
        <v>0</v>
      </c>
      <c r="C1" s="29" t="s">
        <v>43</v>
      </c>
    </row>
    <row r="2" spans="1:3" ht="15.9" customHeight="1" x14ac:dyDescent="0.3">
      <c r="A2" s="8" t="s">
        <v>74</v>
      </c>
      <c r="B2" s="29"/>
      <c r="C2" s="29"/>
    </row>
    <row r="3" spans="1:3" ht="15.9" customHeight="1" x14ac:dyDescent="0.3">
      <c r="A3" s="1"/>
      <c r="B3" s="5" t="s">
        <v>37</v>
      </c>
      <c r="C3" s="41">
        <v>2024</v>
      </c>
    </row>
    <row r="4" spans="1:3" ht="15.9" customHeight="1" x14ac:dyDescent="0.3">
      <c r="A4" s="1"/>
      <c r="B4" s="5" t="s">
        <v>45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69</v>
      </c>
    </row>
    <row r="7" spans="1:3" ht="15" customHeight="1" x14ac:dyDescent="0.25">
      <c r="B7" s="11" t="s">
        <v>42</v>
      </c>
      <c r="C7" s="43">
        <v>1225084.5</v>
      </c>
    </row>
    <row r="8" spans="1:3" ht="15" customHeight="1" x14ac:dyDescent="0.25">
      <c r="B8" s="5" t="s">
        <v>63</v>
      </c>
      <c r="C8" s="44">
        <v>0.24199999999999999</v>
      </c>
    </row>
    <row r="9" spans="1:3" ht="15" customHeight="1" x14ac:dyDescent="0.25">
      <c r="B9" s="5" t="s">
        <v>62</v>
      </c>
      <c r="C9" s="45">
        <v>7.2000000000000008E-2</v>
      </c>
    </row>
    <row r="10" spans="1:3" ht="15" customHeight="1" x14ac:dyDescent="0.25">
      <c r="B10" s="5" t="s">
        <v>75</v>
      </c>
      <c r="C10" s="45">
        <v>0.78792312620000005</v>
      </c>
    </row>
    <row r="11" spans="1:3" ht="15" customHeight="1" x14ac:dyDescent="0.25">
      <c r="B11" s="5" t="s">
        <v>68</v>
      </c>
      <c r="C11" s="45">
        <v>1</v>
      </c>
    </row>
    <row r="12" spans="1:3" ht="15" customHeight="1" x14ac:dyDescent="0.25">
      <c r="B12" s="5" t="s">
        <v>60</v>
      </c>
      <c r="C12" s="45">
        <v>1</v>
      </c>
    </row>
    <row r="13" spans="1:3" ht="15" customHeight="1" x14ac:dyDescent="0.25">
      <c r="B13" s="5" t="s">
        <v>81</v>
      </c>
      <c r="C13" s="45">
        <v>0.38</v>
      </c>
    </row>
    <row r="14" spans="1:3" ht="15" customHeight="1" x14ac:dyDescent="0.25">
      <c r="B14" s="8"/>
    </row>
    <row r="15" spans="1:3" ht="15" customHeight="1" x14ac:dyDescent="0.3">
      <c r="A15" s="8" t="s">
        <v>47</v>
      </c>
      <c r="B15" s="14"/>
      <c r="C15" s="3"/>
    </row>
    <row r="16" spans="1:3" ht="15" customHeight="1" x14ac:dyDescent="0.25">
      <c r="B16" s="5" t="s">
        <v>52</v>
      </c>
      <c r="C16" s="45">
        <v>0.1</v>
      </c>
    </row>
    <row r="17" spans="1:3" ht="15" customHeight="1" x14ac:dyDescent="0.25">
      <c r="B17" s="5" t="s">
        <v>49</v>
      </c>
      <c r="C17" s="45">
        <v>0.01</v>
      </c>
    </row>
    <row r="18" spans="1:3" ht="15" customHeight="1" x14ac:dyDescent="0.25">
      <c r="B18" s="5" t="s">
        <v>50</v>
      </c>
      <c r="C18" s="45">
        <v>0.98</v>
      </c>
    </row>
    <row r="19" spans="1:3" ht="15" customHeight="1" x14ac:dyDescent="0.25">
      <c r="B19" s="5" t="s">
        <v>48</v>
      </c>
      <c r="C19" s="45">
        <v>0.01</v>
      </c>
    </row>
    <row r="20" spans="1:3" ht="15" customHeight="1" x14ac:dyDescent="0.25">
      <c r="B20" s="5" t="s">
        <v>53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64</v>
      </c>
      <c r="C23" s="45">
        <v>7.2900000000000006E-2</v>
      </c>
    </row>
    <row r="24" spans="1:3" ht="15" customHeight="1" x14ac:dyDescent="0.25">
      <c r="B24" s="15" t="s">
        <v>65</v>
      </c>
      <c r="C24" s="45">
        <v>0.45440000000000003</v>
      </c>
    </row>
    <row r="25" spans="1:3" ht="15" customHeight="1" x14ac:dyDescent="0.25">
      <c r="B25" s="15" t="s">
        <v>66</v>
      </c>
      <c r="C25" s="45">
        <v>0.37469999999999998</v>
      </c>
    </row>
    <row r="26" spans="1:3" ht="15" customHeight="1" x14ac:dyDescent="0.25">
      <c r="B26" s="15" t="s">
        <v>67</v>
      </c>
      <c r="C26" s="45">
        <v>9.8000000000000004E-2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41</v>
      </c>
      <c r="B28" s="15"/>
      <c r="C28" s="15"/>
    </row>
    <row r="29" spans="1:3" ht="14.25" customHeight="1" x14ac:dyDescent="0.25">
      <c r="B29" s="25" t="s">
        <v>46</v>
      </c>
      <c r="C29" s="45">
        <v>0.313922160131612</v>
      </c>
    </row>
    <row r="30" spans="1:3" ht="14.25" customHeight="1" x14ac:dyDescent="0.25">
      <c r="B30" s="25" t="s">
        <v>82</v>
      </c>
      <c r="C30" s="99">
        <v>4.8182353063125502E-2</v>
      </c>
    </row>
    <row r="31" spans="1:3" ht="14.25" customHeight="1" x14ac:dyDescent="0.25">
      <c r="B31" s="25" t="s">
        <v>29</v>
      </c>
      <c r="C31" s="99">
        <v>7.3364831683659995E-2</v>
      </c>
    </row>
    <row r="32" spans="1:3" ht="14.25" customHeight="1" x14ac:dyDescent="0.25">
      <c r="B32" s="25" t="s">
        <v>30</v>
      </c>
      <c r="C32" s="99">
        <v>0.56453065512160205</v>
      </c>
    </row>
    <row r="33" spans="1:5" ht="13.25" customHeight="1" x14ac:dyDescent="0.25">
      <c r="B33" s="27" t="s">
        <v>79</v>
      </c>
      <c r="C33" s="48">
        <f>SUM(C29:C32)</f>
        <v>0.99999999999999956</v>
      </c>
    </row>
    <row r="34" spans="1:5" ht="15" customHeight="1" x14ac:dyDescent="0.25"/>
    <row r="35" spans="1:5" ht="15" customHeight="1" x14ac:dyDescent="0.3">
      <c r="A35" s="4" t="s">
        <v>39</v>
      </c>
    </row>
    <row r="36" spans="1:5" ht="15" customHeight="1" x14ac:dyDescent="0.25">
      <c r="A36" s="8" t="s">
        <v>56</v>
      </c>
      <c r="B36" s="5"/>
    </row>
    <row r="37" spans="1:5" ht="15" customHeight="1" x14ac:dyDescent="0.25">
      <c r="B37" s="11" t="s">
        <v>57</v>
      </c>
      <c r="C37" s="43">
        <v>24.281790000000001</v>
      </c>
    </row>
    <row r="38" spans="1:5" ht="15" customHeight="1" x14ac:dyDescent="0.25">
      <c r="B38" s="11" t="s">
        <v>54</v>
      </c>
      <c r="C38" s="43">
        <v>45.410170000000001</v>
      </c>
      <c r="D38" s="12"/>
      <c r="E38" s="13"/>
    </row>
    <row r="39" spans="1:5" ht="15" customHeight="1" x14ac:dyDescent="0.25">
      <c r="B39" s="11" t="s">
        <v>80</v>
      </c>
      <c r="C39" s="43">
        <v>58.632680000000001</v>
      </c>
      <c r="D39" s="12"/>
      <c r="E39" s="12"/>
    </row>
    <row r="40" spans="1:5" ht="15" customHeight="1" x14ac:dyDescent="0.25">
      <c r="B40" s="11" t="s">
        <v>55</v>
      </c>
      <c r="C40" s="100">
        <v>3.5</v>
      </c>
    </row>
    <row r="41" spans="1:5" ht="15" customHeight="1" x14ac:dyDescent="0.25">
      <c r="B41" s="11" t="s">
        <v>51</v>
      </c>
      <c r="C41" s="45">
        <v>0.12</v>
      </c>
    </row>
    <row r="42" spans="1:5" ht="15" customHeight="1" x14ac:dyDescent="0.25">
      <c r="B42" s="11" t="s">
        <v>76</v>
      </c>
      <c r="C42" s="43">
        <v>17.717009999999998</v>
      </c>
    </row>
    <row r="43" spans="1:5" ht="15.75" customHeight="1" x14ac:dyDescent="0.25">
      <c r="D43" s="12"/>
    </row>
    <row r="44" spans="1:5" ht="15.75" customHeight="1" x14ac:dyDescent="0.25">
      <c r="A44" s="8" t="s">
        <v>40</v>
      </c>
      <c r="D44" s="12"/>
    </row>
    <row r="45" spans="1:5" ht="15.75" customHeight="1" x14ac:dyDescent="0.25">
      <c r="B45" s="11" t="s">
        <v>71</v>
      </c>
      <c r="C45" s="45">
        <v>7.1995999999999996E-3</v>
      </c>
      <c r="D45" s="12"/>
    </row>
    <row r="46" spans="1:5" ht="15.75" customHeight="1" x14ac:dyDescent="0.25">
      <c r="B46" s="11" t="s">
        <v>70</v>
      </c>
      <c r="C46" s="45">
        <v>7.7358700000000002E-2</v>
      </c>
      <c r="D46" s="12"/>
    </row>
    <row r="47" spans="1:5" ht="15.75" customHeight="1" x14ac:dyDescent="0.25">
      <c r="B47" s="11" t="s">
        <v>78</v>
      </c>
      <c r="C47" s="45">
        <v>7.4154299999999992E-2</v>
      </c>
      <c r="D47" s="12"/>
      <c r="E47" s="13"/>
    </row>
    <row r="48" spans="1:5" ht="15" customHeight="1" x14ac:dyDescent="0.25">
      <c r="B48" s="11" t="s">
        <v>77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36</v>
      </c>
      <c r="C51" s="100">
        <v>5.59</v>
      </c>
      <c r="D51" s="12"/>
    </row>
    <row r="52" spans="1:4" ht="15" customHeight="1" x14ac:dyDescent="0.25">
      <c r="B52" s="11" t="s">
        <v>32</v>
      </c>
      <c r="C52" s="100">
        <v>5.59</v>
      </c>
    </row>
    <row r="53" spans="1:4" ht="15.75" customHeight="1" x14ac:dyDescent="0.25">
      <c r="B53" s="11" t="s">
        <v>35</v>
      </c>
      <c r="C53" s="100">
        <v>9.984</v>
      </c>
    </row>
    <row r="54" spans="1:4" ht="15.75" customHeight="1" x14ac:dyDescent="0.25">
      <c r="B54" s="11" t="s">
        <v>33</v>
      </c>
      <c r="C54" s="100">
        <v>8.2159999999999993</v>
      </c>
    </row>
    <row r="55" spans="1:4" ht="15.75" customHeight="1" x14ac:dyDescent="0.25">
      <c r="B55" s="11" t="s">
        <v>34</v>
      </c>
      <c r="C55" s="100">
        <v>3.952</v>
      </c>
    </row>
    <row r="57" spans="1:4" ht="15.75" customHeight="1" x14ac:dyDescent="0.25">
      <c r="A57" s="8" t="s">
        <v>58</v>
      </c>
    </row>
    <row r="58" spans="1:4" ht="15.75" customHeight="1" x14ac:dyDescent="0.25">
      <c r="B58" s="5" t="s">
        <v>61</v>
      </c>
      <c r="C58" s="45">
        <v>1.9375E-2</v>
      </c>
    </row>
    <row r="59" spans="1:4" ht="15.75" customHeight="1" x14ac:dyDescent="0.25">
      <c r="B59" s="11" t="s">
        <v>59</v>
      </c>
      <c r="C59" s="45">
        <v>0.455787</v>
      </c>
    </row>
    <row r="60" spans="1:4" ht="15.75" customHeight="1" x14ac:dyDescent="0.25">
      <c r="B60" s="11" t="s">
        <v>73</v>
      </c>
      <c r="C60" s="45">
        <v>4.5999999999999999E-2</v>
      </c>
    </row>
    <row r="61" spans="1:4" ht="15.75" customHeight="1" x14ac:dyDescent="0.25">
      <c r="B61" s="11" t="s">
        <v>72</v>
      </c>
      <c r="C61" s="45">
        <v>1.4E-2</v>
      </c>
    </row>
    <row r="62" spans="1:4" ht="15.75" customHeight="1" x14ac:dyDescent="0.25">
      <c r="B62" s="11" t="s">
        <v>83</v>
      </c>
      <c r="C62" s="44">
        <v>0.14599999999999999</v>
      </c>
    </row>
    <row r="63" spans="1:4" ht="15.75" customHeight="1" x14ac:dyDescent="0.3">
      <c r="A63" s="4"/>
    </row>
  </sheetData>
  <sheetProtection algorithmName="SHA-512" hashValue="R1gHnUYwcnr3hfNMPbtt6SS7UjpGhh8Xm/kUMdGuqs4WI4E5A5f1EaZfmqpowu1JbMgdsUvVoRVecOtbVwu6TA==" saltValue="2UuhqHsoxnYaA8bfY2NsL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92</v>
      </c>
      <c r="B1" s="20" t="s">
        <v>85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86</v>
      </c>
      <c r="H1" s="18" t="s">
        <v>84</v>
      </c>
      <c r="I1" s="18" t="s">
        <v>91</v>
      </c>
    </row>
    <row r="2" spans="1:9" ht="15.75" customHeight="1" x14ac:dyDescent="0.25">
      <c r="A2" s="5">
        <f>start_year</f>
        <v>2024</v>
      </c>
      <c r="B2" s="49">
        <v>258339.99999999997</v>
      </c>
      <c r="C2" s="49">
        <v>578448</v>
      </c>
      <c r="D2" s="49">
        <v>1061950.5</v>
      </c>
      <c r="E2" s="49">
        <v>900684.50000000012</v>
      </c>
      <c r="F2" s="49">
        <v>653982.5</v>
      </c>
      <c r="G2" s="17">
        <f t="shared" ref="G2:G13" si="0">C2+D2+E2+F2</f>
        <v>3195065.5</v>
      </c>
      <c r="H2" s="17">
        <f t="shared" ref="H2:H13" si="1">(B2 + stillbirth*B2/(1000-stillbirth))/(1-abortion)</f>
        <v>298863.14311335247</v>
      </c>
      <c r="I2" s="17">
        <f t="shared" ref="I2:I13" si="2">G2-H2</f>
        <v>2896202.3568866476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257433</v>
      </c>
      <c r="C3" s="50">
        <v>582883.5</v>
      </c>
      <c r="D3" s="50">
        <v>1068437.5</v>
      </c>
      <c r="E3" s="50">
        <v>916601.5</v>
      </c>
      <c r="F3" s="50">
        <v>673184</v>
      </c>
      <c r="G3" s="17">
        <f t="shared" si="0"/>
        <v>3241106.5</v>
      </c>
      <c r="H3" s="17">
        <f t="shared" si="1"/>
        <v>297813.87133660942</v>
      </c>
      <c r="I3" s="17">
        <f t="shared" si="2"/>
        <v>2943292.6286633904</v>
      </c>
    </row>
    <row r="4" spans="1:9" ht="15.75" customHeight="1" x14ac:dyDescent="0.25">
      <c r="A4" s="5">
        <f t="shared" si="3"/>
        <v>2026</v>
      </c>
      <c r="B4" s="49">
        <v>256749.00000000003</v>
      </c>
      <c r="C4" s="50">
        <v>587626</v>
      </c>
      <c r="D4" s="50">
        <v>1075087</v>
      </c>
      <c r="E4" s="50">
        <v>930932</v>
      </c>
      <c r="F4" s="50">
        <v>692991</v>
      </c>
      <c r="G4" s="17">
        <f t="shared" si="0"/>
        <v>3286636</v>
      </c>
      <c r="H4" s="17">
        <f t="shared" si="1"/>
        <v>297022.57928005786</v>
      </c>
      <c r="I4" s="17">
        <f t="shared" si="2"/>
        <v>2989613.4207199421</v>
      </c>
    </row>
    <row r="5" spans="1:9" ht="15.75" customHeight="1" x14ac:dyDescent="0.25">
      <c r="A5" s="5">
        <f t="shared" si="3"/>
        <v>2027</v>
      </c>
      <c r="B5" s="49">
        <v>256091.99999999997</v>
      </c>
      <c r="C5" s="50">
        <v>591713.5</v>
      </c>
      <c r="D5" s="50">
        <v>1082083</v>
      </c>
      <c r="E5" s="50">
        <v>943804</v>
      </c>
      <c r="F5" s="50">
        <v>713430.00000000012</v>
      </c>
      <c r="G5" s="17">
        <f t="shared" si="0"/>
        <v>3331030.5</v>
      </c>
      <c r="H5" s="17">
        <f t="shared" si="1"/>
        <v>296262.52243626484</v>
      </c>
      <c r="I5" s="17">
        <f t="shared" si="2"/>
        <v>3034767.9775637351</v>
      </c>
    </row>
    <row r="6" spans="1:9" ht="15.75" customHeight="1" x14ac:dyDescent="0.25">
      <c r="A6" s="5">
        <f t="shared" si="3"/>
        <v>2028</v>
      </c>
      <c r="B6" s="49">
        <v>255064</v>
      </c>
      <c r="C6" s="50">
        <v>594138</v>
      </c>
      <c r="D6" s="50">
        <v>1089389.5</v>
      </c>
      <c r="E6" s="50">
        <v>955103.49999999988</v>
      </c>
      <c r="F6" s="50">
        <v>734595.5</v>
      </c>
      <c r="G6" s="17">
        <f t="shared" si="0"/>
        <v>3373226.5</v>
      </c>
      <c r="H6" s="17">
        <f t="shared" si="1"/>
        <v>295073.27063197392</v>
      </c>
      <c r="I6" s="17">
        <f t="shared" si="2"/>
        <v>3078153.2293680259</v>
      </c>
    </row>
    <row r="7" spans="1:9" ht="15.75" customHeight="1" x14ac:dyDescent="0.25">
      <c r="A7" s="5">
        <f t="shared" si="3"/>
        <v>2029</v>
      </c>
      <c r="B7" s="49">
        <v>254577</v>
      </c>
      <c r="C7" s="50">
        <v>595634.5</v>
      </c>
      <c r="D7" s="50">
        <v>1096786</v>
      </c>
      <c r="E7" s="50">
        <v>965028.5</v>
      </c>
      <c r="F7" s="50">
        <v>756310.5</v>
      </c>
      <c r="G7" s="17">
        <f t="shared" si="0"/>
        <v>3413759.5</v>
      </c>
      <c r="H7" s="17">
        <f t="shared" si="1"/>
        <v>294509.87994258705</v>
      </c>
      <c r="I7" s="17">
        <f t="shared" si="2"/>
        <v>3119249.6200574129</v>
      </c>
    </row>
    <row r="8" spans="1:9" ht="15.75" customHeight="1" x14ac:dyDescent="0.25">
      <c r="A8" s="5">
        <f t="shared" si="3"/>
        <v>2030</v>
      </c>
      <c r="B8" s="49">
        <v>253947</v>
      </c>
      <c r="C8" s="50">
        <v>596781.5</v>
      </c>
      <c r="D8" s="50">
        <v>1103797.5</v>
      </c>
      <c r="E8" s="50">
        <v>974322</v>
      </c>
      <c r="F8" s="50">
        <v>778306.49999999988</v>
      </c>
      <c r="G8" s="17">
        <f t="shared" si="0"/>
        <v>3453207.5</v>
      </c>
      <c r="H8" s="17">
        <f t="shared" si="1"/>
        <v>293781.05831155274</v>
      </c>
      <c r="I8" s="17">
        <f t="shared" si="2"/>
        <v>3159426.4416884473</v>
      </c>
    </row>
    <row r="9" spans="1:9" ht="15.75" customHeight="1" x14ac:dyDescent="0.25">
      <c r="A9" s="5">
        <f t="shared" si="3"/>
        <v>2031</v>
      </c>
      <c r="B9" s="49">
        <v>253198</v>
      </c>
      <c r="C9" s="50">
        <v>597016.5</v>
      </c>
      <c r="D9" s="50">
        <v>1111568</v>
      </c>
      <c r="E9" s="50">
        <v>982868.5</v>
      </c>
      <c r="F9" s="50">
        <v>799955.5</v>
      </c>
      <c r="G9" s="17">
        <f t="shared" si="0"/>
        <v>3491408.5</v>
      </c>
      <c r="H9" s="17">
        <f t="shared" si="1"/>
        <v>292914.5703724341</v>
      </c>
      <c r="I9" s="17">
        <f t="shared" si="2"/>
        <v>3198493.9296275657</v>
      </c>
    </row>
    <row r="10" spans="1:9" ht="15.75" customHeight="1" x14ac:dyDescent="0.25">
      <c r="A10" s="5">
        <f t="shared" si="3"/>
        <v>2032</v>
      </c>
      <c r="B10" s="49">
        <v>252417</v>
      </c>
      <c r="C10" s="50">
        <v>596808.5</v>
      </c>
      <c r="D10" s="50">
        <v>1120063.9999999998</v>
      </c>
      <c r="E10" s="50">
        <v>990466.5</v>
      </c>
      <c r="F10" s="50">
        <v>820468.5</v>
      </c>
      <c r="G10" s="17">
        <f t="shared" si="0"/>
        <v>3527807.5</v>
      </c>
      <c r="H10" s="17">
        <f t="shared" si="1"/>
        <v>292011.06292189792</v>
      </c>
      <c r="I10" s="17">
        <f t="shared" si="2"/>
        <v>3235796.437078102</v>
      </c>
    </row>
    <row r="11" spans="1:9" ht="15.75" customHeight="1" x14ac:dyDescent="0.25">
      <c r="A11" s="5">
        <f t="shared" si="3"/>
        <v>2033</v>
      </c>
      <c r="B11" s="49">
        <v>251322</v>
      </c>
      <c r="C11" s="50">
        <v>597084.5</v>
      </c>
      <c r="D11" s="50">
        <v>1127411</v>
      </c>
      <c r="E11" s="50">
        <v>997968.5</v>
      </c>
      <c r="F11" s="50">
        <v>839601</v>
      </c>
      <c r="G11" s="17">
        <f t="shared" si="0"/>
        <v>3562065</v>
      </c>
      <c r="H11" s="17">
        <f t="shared" si="1"/>
        <v>290744.30151557631</v>
      </c>
      <c r="I11" s="17">
        <f t="shared" si="2"/>
        <v>3271320.6984844236</v>
      </c>
    </row>
    <row r="12" spans="1:9" ht="15.75" customHeight="1" x14ac:dyDescent="0.25">
      <c r="A12" s="5">
        <f t="shared" si="3"/>
        <v>2034</v>
      </c>
      <c r="B12" s="49">
        <v>250216</v>
      </c>
      <c r="C12" s="50">
        <v>597073.5</v>
      </c>
      <c r="D12" s="50">
        <v>1133998.5000000002</v>
      </c>
      <c r="E12" s="50">
        <v>1005676.5</v>
      </c>
      <c r="F12" s="50">
        <v>857306</v>
      </c>
      <c r="G12" s="17">
        <f t="shared" si="0"/>
        <v>3594054.5</v>
      </c>
      <c r="H12" s="17">
        <f t="shared" si="1"/>
        <v>289464.81465220486</v>
      </c>
      <c r="I12" s="17">
        <f t="shared" si="2"/>
        <v>3304589.685347795</v>
      </c>
    </row>
    <row r="13" spans="1:9" ht="15.75" customHeight="1" x14ac:dyDescent="0.25">
      <c r="A13" s="5">
        <f t="shared" si="3"/>
        <v>2035</v>
      </c>
      <c r="B13" s="49">
        <v>249230</v>
      </c>
      <c r="C13" s="50">
        <v>595997.5</v>
      </c>
      <c r="D13" s="50">
        <v>1140516.9999999998</v>
      </c>
      <c r="E13" s="50">
        <v>1013401.5</v>
      </c>
      <c r="F13" s="50">
        <v>873553.5</v>
      </c>
      <c r="G13" s="17">
        <f t="shared" si="0"/>
        <v>3623469.5</v>
      </c>
      <c r="H13" s="17">
        <f t="shared" si="1"/>
        <v>288324.15095664957</v>
      </c>
      <c r="I13" s="17">
        <f t="shared" si="2"/>
        <v>3335145.3490433507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Z4Cf+1KDF87ISNEcvWuXolgrAfIzgtc/uB9ubl7yVxd3listBJv23KAmb2ZIP4vPC9kG51w/9gM6WX63j3QIJQ==" saltValue="c+NsCrBllNJD1bUJepO1yA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101</v>
      </c>
      <c r="C2" s="29" t="s">
        <v>97</v>
      </c>
      <c r="D2" s="29"/>
      <c r="E2" s="29"/>
      <c r="F2" s="29"/>
      <c r="G2" s="29"/>
    </row>
    <row r="3" spans="1:8" ht="15.75" customHeight="1" x14ac:dyDescent="0.25">
      <c r="B3" s="19" t="s">
        <v>112</v>
      </c>
      <c r="C3" s="55">
        <v>1.457150145715014E-2</v>
      </c>
    </row>
    <row r="4" spans="1:8" ht="15.75" customHeight="1" x14ac:dyDescent="0.25">
      <c r="B4" s="19" t="s">
        <v>116</v>
      </c>
      <c r="C4" s="101">
        <v>5.6389805638980627E-2</v>
      </c>
    </row>
    <row r="5" spans="1:8" ht="15.75" customHeight="1" x14ac:dyDescent="0.25">
      <c r="B5" s="19" t="s">
        <v>114</v>
      </c>
      <c r="C5" s="101">
        <v>9.5235509523551004E-2</v>
      </c>
    </row>
    <row r="6" spans="1:8" ht="15.75" customHeight="1" x14ac:dyDescent="0.25">
      <c r="B6" s="19" t="s">
        <v>110</v>
      </c>
      <c r="C6" s="101">
        <v>0.24108282410828241</v>
      </c>
    </row>
    <row r="7" spans="1:8" ht="15.75" customHeight="1" x14ac:dyDescent="0.25">
      <c r="B7" s="19" t="s">
        <v>115</v>
      </c>
      <c r="C7" s="101">
        <v>0.38396373839637371</v>
      </c>
    </row>
    <row r="8" spans="1:8" ht="15.75" customHeight="1" x14ac:dyDescent="0.25">
      <c r="B8" s="19" t="s">
        <v>117</v>
      </c>
      <c r="C8" s="101">
        <v>4.505000450500056E-3</v>
      </c>
    </row>
    <row r="9" spans="1:8" ht="15.75" customHeight="1" x14ac:dyDescent="0.25">
      <c r="B9" s="19" t="s">
        <v>111</v>
      </c>
      <c r="C9" s="101">
        <v>7.3147507314750781E-2</v>
      </c>
    </row>
    <row r="10" spans="1:8" ht="15.75" customHeight="1" x14ac:dyDescent="0.25">
      <c r="B10" s="19" t="s">
        <v>113</v>
      </c>
      <c r="C10" s="101">
        <v>0.1311041131104114</v>
      </c>
    </row>
    <row r="11" spans="1:8" ht="15.75" customHeight="1" x14ac:dyDescent="0.25">
      <c r="B11" s="27" t="s">
        <v>79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102</v>
      </c>
      <c r="B13" s="29" t="s">
        <v>101</v>
      </c>
      <c r="C13" s="102" t="s">
        <v>93</v>
      </c>
      <c r="D13" s="102" t="s">
        <v>96</v>
      </c>
      <c r="E13" s="102" t="s">
        <v>94</v>
      </c>
      <c r="F13" s="102" t="s">
        <v>95</v>
      </c>
      <c r="G13" s="19"/>
    </row>
    <row r="14" spans="1:8" ht="15.75" customHeight="1" x14ac:dyDescent="0.25">
      <c r="B14" s="19" t="s">
        <v>103</v>
      </c>
      <c r="C14" s="55">
        <v>0.21106080706727851</v>
      </c>
      <c r="D14" s="55">
        <v>0.21106080706727851</v>
      </c>
      <c r="E14" s="55">
        <v>0.21106080706727851</v>
      </c>
      <c r="F14" s="55">
        <v>0.21106080706727851</v>
      </c>
    </row>
    <row r="15" spans="1:8" ht="15.75" customHeight="1" x14ac:dyDescent="0.25">
      <c r="B15" s="19" t="s">
        <v>121</v>
      </c>
      <c r="C15" s="101">
        <v>0.41237195447993258</v>
      </c>
      <c r="D15" s="101">
        <v>0.41237195447993258</v>
      </c>
      <c r="E15" s="101">
        <v>0.41237195447993258</v>
      </c>
      <c r="F15" s="101">
        <v>0.41237195447993258</v>
      </c>
    </row>
    <row r="16" spans="1:8" ht="15.75" customHeight="1" x14ac:dyDescent="0.25">
      <c r="B16" s="19" t="s">
        <v>2</v>
      </c>
      <c r="C16" s="101">
        <v>4.0164812369605563E-2</v>
      </c>
      <c r="D16" s="101">
        <v>4.0164812369605563E-2</v>
      </c>
      <c r="E16" s="101">
        <v>4.0164812369605563E-2</v>
      </c>
      <c r="F16" s="101">
        <v>4.0164812369605563E-2</v>
      </c>
    </row>
    <row r="17" spans="1:8" ht="15.75" customHeight="1" x14ac:dyDescent="0.25">
      <c r="B17" s="19" t="s">
        <v>109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3</v>
      </c>
      <c r="C18" s="101">
        <v>9.8733560397260348E-4</v>
      </c>
      <c r="D18" s="101">
        <v>9.8733560397260348E-4</v>
      </c>
      <c r="E18" s="101">
        <v>9.8733560397260348E-4</v>
      </c>
      <c r="F18" s="101">
        <v>9.8733560397260348E-4</v>
      </c>
    </row>
    <row r="19" spans="1:8" ht="15.75" customHeight="1" x14ac:dyDescent="0.25">
      <c r="B19" s="19" t="s">
        <v>120</v>
      </c>
      <c r="C19" s="101">
        <v>2.6499715031151418E-2</v>
      </c>
      <c r="D19" s="101">
        <v>2.6499715031151418E-2</v>
      </c>
      <c r="E19" s="101">
        <v>2.6499715031151418E-2</v>
      </c>
      <c r="F19" s="101">
        <v>2.6499715031151418E-2</v>
      </c>
    </row>
    <row r="20" spans="1:8" ht="15.75" customHeight="1" x14ac:dyDescent="0.25">
      <c r="B20" s="19" t="s">
        <v>98</v>
      </c>
      <c r="C20" s="101">
        <v>5.7101080443523709E-2</v>
      </c>
      <c r="D20" s="101">
        <v>5.7101080443523709E-2</v>
      </c>
      <c r="E20" s="101">
        <v>5.7101080443523709E-2</v>
      </c>
      <c r="F20" s="101">
        <v>5.7101080443523709E-2</v>
      </c>
    </row>
    <row r="21" spans="1:8" ht="15.75" customHeight="1" x14ac:dyDescent="0.25">
      <c r="B21" s="19" t="s">
        <v>107</v>
      </c>
      <c r="C21" s="101">
        <v>0.1063705702456989</v>
      </c>
      <c r="D21" s="101">
        <v>0.1063705702456989</v>
      </c>
      <c r="E21" s="101">
        <v>0.1063705702456989</v>
      </c>
      <c r="F21" s="101">
        <v>0.1063705702456989</v>
      </c>
    </row>
    <row r="22" spans="1:8" ht="15.75" customHeight="1" x14ac:dyDescent="0.25">
      <c r="B22" s="19" t="s">
        <v>118</v>
      </c>
      <c r="C22" s="101">
        <v>0.14544372475883671</v>
      </c>
      <c r="D22" s="101">
        <v>0.14544372475883671</v>
      </c>
      <c r="E22" s="101">
        <v>0.14544372475883671</v>
      </c>
      <c r="F22" s="101">
        <v>0.14544372475883671</v>
      </c>
    </row>
    <row r="23" spans="1:8" ht="15.75" customHeight="1" x14ac:dyDescent="0.25">
      <c r="B23" s="27" t="s">
        <v>79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123</v>
      </c>
      <c r="B25" s="29" t="s">
        <v>101</v>
      </c>
      <c r="C25" s="29" t="s">
        <v>123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100</v>
      </c>
      <c r="C26" s="55">
        <v>0.103712281</v>
      </c>
    </row>
    <row r="27" spans="1:8" ht="15.75" customHeight="1" x14ac:dyDescent="0.25">
      <c r="B27" s="19" t="s">
        <v>108</v>
      </c>
      <c r="C27" s="101">
        <v>0.109547722</v>
      </c>
    </row>
    <row r="28" spans="1:8" ht="15.75" customHeight="1" x14ac:dyDescent="0.25">
      <c r="B28" s="19" t="s">
        <v>122</v>
      </c>
      <c r="C28" s="101">
        <v>6.2347139000000003E-2</v>
      </c>
    </row>
    <row r="29" spans="1:8" ht="15.75" customHeight="1" x14ac:dyDescent="0.25">
      <c r="B29" s="19" t="s">
        <v>105</v>
      </c>
      <c r="C29" s="101">
        <v>0.20200695599999999</v>
      </c>
    </row>
    <row r="30" spans="1:8" ht="15.75" customHeight="1" x14ac:dyDescent="0.25">
      <c r="B30" s="19" t="s">
        <v>4</v>
      </c>
      <c r="C30" s="101">
        <v>0.123504</v>
      </c>
    </row>
    <row r="31" spans="1:8" ht="15.75" customHeight="1" x14ac:dyDescent="0.25">
      <c r="B31" s="19" t="s">
        <v>99</v>
      </c>
      <c r="C31" s="101">
        <v>0.126081523</v>
      </c>
    </row>
    <row r="32" spans="1:8" ht="15.75" customHeight="1" x14ac:dyDescent="0.25">
      <c r="B32" s="19" t="s">
        <v>104</v>
      </c>
      <c r="C32" s="101">
        <v>1.7896931000000001E-2</v>
      </c>
    </row>
    <row r="33" spans="2:3" ht="15.75" customHeight="1" x14ac:dyDescent="0.25">
      <c r="B33" s="19" t="s">
        <v>119</v>
      </c>
      <c r="C33" s="101">
        <v>0.13369104100000001</v>
      </c>
    </row>
    <row r="34" spans="2:3" ht="15.75" customHeight="1" x14ac:dyDescent="0.25">
      <c r="B34" s="19" t="s">
        <v>106</v>
      </c>
      <c r="C34" s="101">
        <v>0.12121240799999999</v>
      </c>
    </row>
    <row r="35" spans="2:3" ht="15.75" customHeight="1" x14ac:dyDescent="0.25">
      <c r="B35" s="27" t="s">
        <v>79</v>
      </c>
      <c r="C35" s="48">
        <f>SUM(C26:C34)</f>
        <v>1.0000000010000001</v>
      </c>
    </row>
  </sheetData>
  <sheetProtection algorithmName="SHA-512" hashValue="VZgzgyY7PfuYrA71VtYd8KT6Kwy4RN2smrI0XMnLrogyoISUm8OC6QjdajicojTUIrx3/N5UcfXAIaLoXwjTEQ==" saltValue="KZqWXRUTUla82JZXvohiFQ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139</v>
      </c>
      <c r="C1" s="11" t="s">
        <v>97</v>
      </c>
      <c r="D1" s="11" t="s">
        <v>93</v>
      </c>
      <c r="E1" s="11" t="s">
        <v>96</v>
      </c>
      <c r="F1" s="11" t="s">
        <v>94</v>
      </c>
      <c r="G1" s="11" t="s">
        <v>95</v>
      </c>
    </row>
    <row r="2" spans="1:15" ht="15.75" customHeight="1" x14ac:dyDescent="0.25">
      <c r="A2" s="3" t="s">
        <v>140</v>
      </c>
      <c r="B2" s="5" t="s">
        <v>130</v>
      </c>
      <c r="C2" s="52">
        <f>IFERROR(1-_xlfn.NORM.DIST(_xlfn.NORM.INV(SUM(C4:C5), 0, 1) + 1, 0, 1, TRUE), "")</f>
        <v>0.52282654412950691</v>
      </c>
      <c r="D2" s="52">
        <f>IFERROR(1-_xlfn.NORM.DIST(_xlfn.NORM.INV(SUM(D4:D5), 0, 1) + 1, 0, 1, TRUE), "")</f>
        <v>0.52282654412950691</v>
      </c>
      <c r="E2" s="52">
        <f>IFERROR(1-_xlfn.NORM.DIST(_xlfn.NORM.INV(SUM(E4:E5), 0, 1) + 1, 0, 1, TRUE), "")</f>
        <v>0.56565441419134599</v>
      </c>
      <c r="F2" s="52">
        <f>IFERROR(1-_xlfn.NORM.DIST(_xlfn.NORM.INV(SUM(F4:F5), 0, 1) + 1, 0, 1, TRUE), "")</f>
        <v>0.41214044466243571</v>
      </c>
      <c r="G2" s="52">
        <f>IFERROR(1-_xlfn.NORM.DIST(_xlfn.NORM.INV(SUM(G4:G5), 0, 1) + 1, 0, 1, TRUE), "")</f>
        <v>0.37776664499865675</v>
      </c>
    </row>
    <row r="3" spans="1:15" ht="15.75" customHeight="1" x14ac:dyDescent="0.25">
      <c r="B3" s="5" t="s">
        <v>127</v>
      </c>
      <c r="C3" s="52">
        <f>IFERROR(_xlfn.NORM.DIST(_xlfn.NORM.INV(SUM(C4:C5), 0, 1) + 1, 0, 1, TRUE) - SUM(C4:C5), "")</f>
        <v>0.33197445587049312</v>
      </c>
      <c r="D3" s="52">
        <f>IFERROR(_xlfn.NORM.DIST(_xlfn.NORM.INV(SUM(D4:D5), 0, 1) + 1, 0, 1, TRUE) - SUM(D4:D5), "")</f>
        <v>0.33197445587049312</v>
      </c>
      <c r="E3" s="52">
        <f>IFERROR(_xlfn.NORM.DIST(_xlfn.NORM.INV(SUM(E4:E5), 0, 1) + 1, 0, 1, TRUE) - SUM(E4:E5), "")</f>
        <v>0.31240108580865406</v>
      </c>
      <c r="F3" s="52">
        <f>IFERROR(_xlfn.NORM.DIST(_xlfn.NORM.INV(SUM(F4:F5), 0, 1) + 1, 0, 1, TRUE) - SUM(F4:F5), "")</f>
        <v>0.36956255533756427</v>
      </c>
      <c r="G3" s="52">
        <f>IFERROR(_xlfn.NORM.DIST(_xlfn.NORM.INV(SUM(G4:G5), 0, 1) + 1, 0, 1, TRUE) - SUM(G4:G5), "")</f>
        <v>0.37671105500134328</v>
      </c>
    </row>
    <row r="4" spans="1:15" ht="15.75" customHeight="1" x14ac:dyDescent="0.25">
      <c r="B4" s="5" t="s">
        <v>129</v>
      </c>
      <c r="C4" s="45">
        <v>7.2916499999999995E-2</v>
      </c>
      <c r="D4" s="53">
        <v>7.2916499999999995E-2</v>
      </c>
      <c r="E4" s="53">
        <v>9.6801600000000002E-2</v>
      </c>
      <c r="F4" s="53">
        <v>0.13684399999999999</v>
      </c>
      <c r="G4" s="53">
        <v>0.16139909999999999</v>
      </c>
    </row>
    <row r="5" spans="1:15" ht="15.75" customHeight="1" x14ac:dyDescent="0.25">
      <c r="B5" s="5" t="s">
        <v>125</v>
      </c>
      <c r="C5" s="45">
        <v>7.22825E-2</v>
      </c>
      <c r="D5" s="53">
        <v>7.22825E-2</v>
      </c>
      <c r="E5" s="53">
        <v>2.5142899999999999E-2</v>
      </c>
      <c r="F5" s="53">
        <v>8.1453000000000012E-2</v>
      </c>
      <c r="G5" s="53">
        <v>8.4123199999999995E-2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141</v>
      </c>
      <c r="B8" s="5" t="s">
        <v>131</v>
      </c>
      <c r="C8" s="52">
        <f>IFERROR(1-_xlfn.NORM.DIST(_xlfn.NORM.INV(SUM(C10:C11), 0, 1) + 1, 0, 1, TRUE), "")</f>
        <v>0.66140786356424619</v>
      </c>
      <c r="D8" s="52">
        <f>IFERROR(1-_xlfn.NORM.DIST(_xlfn.NORM.INV(SUM(D10:D11), 0, 1) + 1, 0, 1, TRUE), "")</f>
        <v>0.66140786356424619</v>
      </c>
      <c r="E8" s="52">
        <f>IFERROR(1-_xlfn.NORM.DIST(_xlfn.NORM.INV(SUM(E10:E11), 0, 1) + 1, 0, 1, TRUE), "")</f>
        <v>0.65979688502469769</v>
      </c>
      <c r="F8" s="52">
        <f>IFERROR(1-_xlfn.NORM.DIST(_xlfn.NORM.INV(SUM(F10:F11), 0, 1) + 1, 0, 1, TRUE), "")</f>
        <v>0.74864000436299494</v>
      </c>
      <c r="G8" s="52">
        <f>IFERROR(1-_xlfn.NORM.DIST(_xlfn.NORM.INV(SUM(G10:G11), 0, 1) + 1, 0, 1, TRUE), "")</f>
        <v>0.84624001077781252</v>
      </c>
    </row>
    <row r="9" spans="1:15" ht="15.75" customHeight="1" x14ac:dyDescent="0.25">
      <c r="B9" s="5" t="s">
        <v>128</v>
      </c>
      <c r="C9" s="52">
        <f>IFERROR(_xlfn.NORM.DIST(_xlfn.NORM.INV(SUM(C10:C11), 0, 1) + 1, 0, 1, TRUE) - SUM(C10:C11), "")</f>
        <v>0.26024953643575388</v>
      </c>
      <c r="D9" s="52">
        <f>IFERROR(_xlfn.NORM.DIST(_xlfn.NORM.INV(SUM(D10:D11), 0, 1) + 1, 0, 1, TRUE) - SUM(D10:D11), "")</f>
        <v>0.26024953643575388</v>
      </c>
      <c r="E9" s="52">
        <f>IFERROR(_xlfn.NORM.DIST(_xlfn.NORM.INV(SUM(E10:E11), 0, 1) + 1, 0, 1, TRUE) - SUM(E10:E11), "")</f>
        <v>0.2612147149753023</v>
      </c>
      <c r="F9" s="52">
        <f>IFERROR(_xlfn.NORM.DIST(_xlfn.NORM.INV(SUM(F10:F11), 0, 1) + 1, 0, 1, TRUE) - SUM(F10:F11), "")</f>
        <v>0.20392169563700507</v>
      </c>
      <c r="G9" s="52">
        <f>IFERROR(_xlfn.NORM.DIST(_xlfn.NORM.INV(SUM(G10:G11), 0, 1) + 1, 0, 1, TRUE) - SUM(G10:G11), "")</f>
        <v>0.13209108922218746</v>
      </c>
    </row>
    <row r="10" spans="1:15" ht="15.75" customHeight="1" x14ac:dyDescent="0.25">
      <c r="B10" s="5" t="s">
        <v>126</v>
      </c>
      <c r="C10" s="45">
        <v>5.5282699999999997E-2</v>
      </c>
      <c r="D10" s="53">
        <v>5.5282699999999997E-2</v>
      </c>
      <c r="E10" s="53">
        <v>6.7739999999999995E-2</v>
      </c>
      <c r="F10" s="53">
        <v>3.5547700000000002E-2</v>
      </c>
      <c r="G10" s="53">
        <v>1.7248099999999999E-2</v>
      </c>
    </row>
    <row r="11" spans="1:15" ht="15.75" customHeight="1" x14ac:dyDescent="0.25">
      <c r="B11" s="5" t="s">
        <v>138</v>
      </c>
      <c r="C11" s="45">
        <v>2.3059900000000001E-2</v>
      </c>
      <c r="D11" s="53">
        <v>2.3059900000000001E-2</v>
      </c>
      <c r="E11" s="53">
        <v>1.12484E-2</v>
      </c>
      <c r="F11" s="53">
        <v>1.1890599999999999E-2</v>
      </c>
      <c r="G11" s="53">
        <v>4.4207999999999999E-3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124</v>
      </c>
      <c r="C13" s="11" t="s">
        <v>97</v>
      </c>
      <c r="D13" s="11" t="s">
        <v>93</v>
      </c>
      <c r="E13" s="11" t="s">
        <v>96</v>
      </c>
      <c r="F13" s="11" t="s">
        <v>94</v>
      </c>
      <c r="G13" s="11" t="s">
        <v>95</v>
      </c>
      <c r="H13" s="18" t="s">
        <v>132</v>
      </c>
      <c r="I13" s="18" t="s">
        <v>133</v>
      </c>
      <c r="J13" s="18" t="s">
        <v>134</v>
      </c>
      <c r="K13" s="18" t="s">
        <v>135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136</v>
      </c>
      <c r="C14" s="51">
        <v>0.83306406925000009</v>
      </c>
      <c r="D14" s="54">
        <v>0.81199289555200016</v>
      </c>
      <c r="E14" s="54">
        <v>0.81199289555200016</v>
      </c>
      <c r="F14" s="54">
        <v>0.67868807884899995</v>
      </c>
      <c r="G14" s="54">
        <v>0.67868807884899995</v>
      </c>
      <c r="H14" s="45">
        <v>0.504</v>
      </c>
      <c r="I14" s="55">
        <v>0.504</v>
      </c>
      <c r="J14" s="55">
        <v>0.504</v>
      </c>
      <c r="K14" s="55">
        <v>0.504</v>
      </c>
      <c r="L14" s="45">
        <v>0.46</v>
      </c>
      <c r="M14" s="55">
        <v>0.46</v>
      </c>
      <c r="N14" s="55">
        <v>0.46</v>
      </c>
      <c r="O14" s="55">
        <v>0.46</v>
      </c>
    </row>
    <row r="15" spans="1:15" ht="15.75" customHeight="1" x14ac:dyDescent="0.25">
      <c r="B15" s="11" t="s">
        <v>137</v>
      </c>
      <c r="C15" s="52">
        <f t="shared" ref="C15:O15" si="0">iron_deficiency_anaemia*C14</f>
        <v>0.37969977293124979</v>
      </c>
      <c r="D15" s="52">
        <f t="shared" si="0"/>
        <v>0.37009580588495949</v>
      </c>
      <c r="E15" s="52">
        <f t="shared" si="0"/>
        <v>0.37009580588495949</v>
      </c>
      <c r="F15" s="52">
        <f t="shared" si="0"/>
        <v>0.30933720339434911</v>
      </c>
      <c r="G15" s="52">
        <f t="shared" si="0"/>
        <v>0.30933720339434911</v>
      </c>
      <c r="H15" s="52">
        <f t="shared" si="0"/>
        <v>0.229716648</v>
      </c>
      <c r="I15" s="52">
        <f t="shared" si="0"/>
        <v>0.229716648</v>
      </c>
      <c r="J15" s="52">
        <f t="shared" si="0"/>
        <v>0.229716648</v>
      </c>
      <c r="K15" s="52">
        <f t="shared" si="0"/>
        <v>0.229716648</v>
      </c>
      <c r="L15" s="52">
        <f t="shared" si="0"/>
        <v>0.20966202</v>
      </c>
      <c r="M15" s="52">
        <f t="shared" si="0"/>
        <v>0.20966202</v>
      </c>
      <c r="N15" s="52">
        <f t="shared" si="0"/>
        <v>0.20966202</v>
      </c>
      <c r="O15" s="52">
        <f t="shared" si="0"/>
        <v>0.20966202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Bz0AtFDrH9uz5CyuASXyzwZPIlixn79lSmJJ6DYzodJWfLXqEF5L6CkAjyscRO8k93sKefTbV09upTo433bKNg==" saltValue="fkkctODgHL9697ZQ8VCDs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139</v>
      </c>
      <c r="C1" s="8" t="s">
        <v>97</v>
      </c>
      <c r="D1" s="8" t="s">
        <v>93</v>
      </c>
      <c r="E1" s="8" t="s">
        <v>96</v>
      </c>
      <c r="F1" s="8" t="s">
        <v>94</v>
      </c>
      <c r="G1" s="8" t="s">
        <v>95</v>
      </c>
    </row>
    <row r="2" spans="1:7" x14ac:dyDescent="0.25">
      <c r="A2" s="3" t="s">
        <v>142</v>
      </c>
      <c r="B2" s="3" t="s">
        <v>143</v>
      </c>
      <c r="C2" s="45">
        <v>0.64467859999999999</v>
      </c>
      <c r="D2" s="53">
        <v>0.30287550000000002</v>
      </c>
      <c r="E2" s="53">
        <v>0</v>
      </c>
      <c r="F2" s="53">
        <v>0</v>
      </c>
      <c r="G2" s="53">
        <v>0</v>
      </c>
    </row>
    <row r="3" spans="1:7" x14ac:dyDescent="0.25">
      <c r="B3" s="3" t="s">
        <v>146</v>
      </c>
      <c r="C3" s="53">
        <v>0.13002649999999999</v>
      </c>
      <c r="D3" s="53">
        <v>0.11225300000000001</v>
      </c>
      <c r="E3" s="53">
        <v>0</v>
      </c>
      <c r="F3" s="53">
        <v>0</v>
      </c>
      <c r="G3" s="53">
        <v>0</v>
      </c>
    </row>
    <row r="4" spans="1:7" x14ac:dyDescent="0.25">
      <c r="B4" s="3" t="s">
        <v>145</v>
      </c>
      <c r="C4" s="53">
        <v>0.19975219999999999</v>
      </c>
      <c r="D4" s="53">
        <v>0.53624519999999998</v>
      </c>
      <c r="E4" s="53">
        <v>0.91649709999999995</v>
      </c>
      <c r="F4" s="53">
        <v>0.52460410000000002</v>
      </c>
      <c r="G4" s="53">
        <v>0</v>
      </c>
    </row>
    <row r="5" spans="1:7" x14ac:dyDescent="0.25">
      <c r="B5" s="3" t="s">
        <v>144</v>
      </c>
      <c r="C5" s="52">
        <f t="shared" ref="C5:D5" si="0">1-SUM(C2:C4)</f>
        <v>2.5542699999999918E-2</v>
      </c>
      <c r="D5" s="52">
        <f t="shared" si="0"/>
        <v>4.8626300000000011E-2</v>
      </c>
      <c r="E5" s="52">
        <f>1-SUM(E2:E4)</f>
        <v>8.3502900000000047E-2</v>
      </c>
      <c r="F5" s="52">
        <f>1-SUM(F2:F4)</f>
        <v>0.47539589999999998</v>
      </c>
      <c r="G5" s="52">
        <f>1-SUM(G2:G4)</f>
        <v>1</v>
      </c>
    </row>
  </sheetData>
  <sheetProtection algorithmName="SHA-512" hashValue="vXKdYqSyJl8ajWolPFh5nOcdyyaWECCBNsTl7X/cgFIdWLTfqJT+hCCEqIw3voE2WD8VfGUkBpxwTlcQeWd7vA==" saltValue="ivKGZDEOyioaIuTrAgJvTQ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154</v>
      </c>
      <c r="B1" s="4" t="s">
        <v>152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155</v>
      </c>
      <c r="B2" s="9" t="s">
        <v>149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157</v>
      </c>
      <c r="B4" s="9" t="s">
        <v>149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147</v>
      </c>
      <c r="B6" s="9" t="s">
        <v>149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123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158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153</v>
      </c>
      <c r="B10" s="11" t="s">
        <v>148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56</v>
      </c>
      <c r="B13" s="11" t="s">
        <v>156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151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8KoKoy0W/urW9sYKRIeo0hPg0Kj8G8nc1lGMT2tctCYB69aj+CpxyzgjW0n9nUbpBzzjMa5GhfeUxaI70Gzk1g==" saltValue="ZcG6xaeby2v9v9Vy3/thWg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5" t="s">
        <v>10</v>
      </c>
      <c r="B1" s="105" t="s">
        <v>11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x14ac:dyDescent="0.25">
      <c r="A2" t="s">
        <v>160</v>
      </c>
      <c r="B2" s="109">
        <v>1748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x14ac:dyDescent="0.25">
      <c r="A3" t="s">
        <v>159</v>
      </c>
      <c r="B3" s="110">
        <v>0.03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x14ac:dyDescent="0.25">
      <c r="A4" t="s">
        <v>170</v>
      </c>
      <c r="B4" s="110">
        <v>0.50552999999999992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 x14ac:dyDescent="0.25">
      <c r="A5" t="s">
        <v>161</v>
      </c>
      <c r="B5" s="110">
        <v>0.03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5" x14ac:dyDescent="0.25">
      <c r="A6" t="s">
        <v>162</v>
      </c>
      <c r="B6" s="110">
        <v>0.03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1:15" x14ac:dyDescent="0.25">
      <c r="A7" t="s">
        <v>165</v>
      </c>
      <c r="B7" s="111">
        <v>18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5" x14ac:dyDescent="0.25">
      <c r="A8" t="s">
        <v>164</v>
      </c>
      <c r="B8" s="111">
        <v>65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1:15" x14ac:dyDescent="0.25">
      <c r="A9" t="s">
        <v>166</v>
      </c>
      <c r="B9" s="110">
        <v>0.62619999999999998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1:15" x14ac:dyDescent="0.25">
      <c r="A10" t="s">
        <v>163</v>
      </c>
      <c r="B10" s="110">
        <v>0.9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</row>
    <row r="11" spans="1:15" x14ac:dyDescent="0.25">
      <c r="A11" t="s">
        <v>171</v>
      </c>
      <c r="B11" s="110">
        <v>0.66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</row>
    <row r="12" spans="1:15" x14ac:dyDescent="0.25">
      <c r="A12" t="s">
        <v>172</v>
      </c>
      <c r="B12" s="110">
        <v>2.5000000000000001E-2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1:15" x14ac:dyDescent="0.25">
      <c r="A13" t="s">
        <v>173</v>
      </c>
      <c r="B13" s="110">
        <v>7.4999999999999997E-2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1:15" x14ac:dyDescent="0.25">
      <c r="A14" t="s">
        <v>174</v>
      </c>
      <c r="B14" s="112">
        <v>2.2238260162964832E-2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</row>
    <row r="15" spans="1:15" x14ac:dyDescent="0.25">
      <c r="A15" t="s">
        <v>167</v>
      </c>
      <c r="B15" s="111">
        <v>0.5</v>
      </c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</row>
    <row r="16" spans="1:15" x14ac:dyDescent="0.25">
      <c r="A16" t="s">
        <v>168</v>
      </c>
      <c r="B16" s="111">
        <v>0.8</v>
      </c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</row>
    <row r="17" spans="1:15" x14ac:dyDescent="0.25">
      <c r="A17" t="s">
        <v>169</v>
      </c>
      <c r="B17" s="113">
        <v>1.0666666666666666E-2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</row>
    <row r="18" spans="1:15" x14ac:dyDescent="0.25">
      <c r="A18" t="s">
        <v>175</v>
      </c>
      <c r="B18" s="110">
        <v>0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</row>
    <row r="19" spans="1:15" x14ac:dyDescent="0.25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</row>
    <row r="20" spans="1:1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1:15" ht="13" x14ac:dyDescent="0.3">
      <c r="A21" s="107" t="s">
        <v>12</v>
      </c>
      <c r="B21" s="108" t="s">
        <v>13</v>
      </c>
      <c r="C21" s="108" t="s">
        <v>14</v>
      </c>
      <c r="D21" s="108" t="s">
        <v>15</v>
      </c>
      <c r="E21" s="108" t="s">
        <v>16</v>
      </c>
      <c r="F21" s="108" t="s">
        <v>17</v>
      </c>
      <c r="G21" s="108" t="s">
        <v>18</v>
      </c>
      <c r="H21" s="108" t="s">
        <v>19</v>
      </c>
      <c r="I21" s="108" t="s">
        <v>20</v>
      </c>
      <c r="J21" s="108" t="s">
        <v>21</v>
      </c>
      <c r="K21" s="108" t="s">
        <v>22</v>
      </c>
      <c r="L21" s="108" t="s">
        <v>23</v>
      </c>
      <c r="M21" s="108" t="s">
        <v>24</v>
      </c>
      <c r="N21" s="108" t="s">
        <v>25</v>
      </c>
      <c r="O21" s="108" t="s">
        <v>26</v>
      </c>
    </row>
    <row r="22" spans="1:15" x14ac:dyDescent="0.25">
      <c r="A22" s="108" t="s">
        <v>176</v>
      </c>
      <c r="B22" s="109">
        <v>93636.709489999994</v>
      </c>
      <c r="C22" s="109">
        <v>93049.663109999994</v>
      </c>
      <c r="D22" s="109">
        <v>92618.028040000005</v>
      </c>
      <c r="E22" s="109">
        <v>91974.285229999994</v>
      </c>
      <c r="F22" s="109">
        <v>91065.814599999998</v>
      </c>
      <c r="G22" s="109">
        <v>89932.625249999997</v>
      </c>
      <c r="H22" s="109">
        <v>88468.640010000003</v>
      </c>
      <c r="I22" s="109">
        <v>86499.739419999998</v>
      </c>
      <c r="J22" s="109">
        <v>83751.840920000002</v>
      </c>
      <c r="K22" s="109">
        <v>80160.81972</v>
      </c>
      <c r="L22" s="109">
        <v>75357.937409999999</v>
      </c>
      <c r="M22" s="109">
        <v>69181.632500000007</v>
      </c>
      <c r="N22" s="109">
        <v>60972.206489999997</v>
      </c>
      <c r="O22" s="109">
        <v>50993.801610000002</v>
      </c>
    </row>
  </sheetData>
  <sheetProtection algorithmName="SHA-512" hashValue="sSjwVvzvZrobchTN5UkCPuw6L93JyEXV1QkC1xlfYKynxi/fyzuomZr5jiU6dSKPkmqMD/nlAZFrS5Y38RQbwQ==" saltValue="a7r/K2LZs3KyvpY3HsbLFQ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183</v>
      </c>
      <c r="B1" s="36" t="s">
        <v>185</v>
      </c>
      <c r="C1" s="36" t="s">
        <v>179</v>
      </c>
      <c r="D1" s="36" t="s">
        <v>178</v>
      </c>
      <c r="E1" s="36" t="s">
        <v>184</v>
      </c>
    </row>
    <row r="2" spans="1:5" ht="13" x14ac:dyDescent="0.3">
      <c r="A2" s="34" t="s">
        <v>180</v>
      </c>
      <c r="B2" s="32" t="s">
        <v>123</v>
      </c>
      <c r="C2" s="47"/>
      <c r="D2" s="47"/>
      <c r="E2" s="38" t="str">
        <f>IF(E$7="","",E$7)</f>
        <v/>
      </c>
    </row>
    <row r="3" spans="1:5" x14ac:dyDescent="0.25">
      <c r="B3" s="32" t="s">
        <v>97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93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96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94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177</v>
      </c>
      <c r="C7" s="31"/>
      <c r="D7" s="30"/>
      <c r="E7" s="47"/>
    </row>
    <row r="9" spans="1:5" ht="13" x14ac:dyDescent="0.3">
      <c r="A9" s="34" t="s">
        <v>181</v>
      </c>
      <c r="B9" s="32" t="s">
        <v>123</v>
      </c>
      <c r="C9" s="47"/>
      <c r="D9" s="47"/>
      <c r="E9" s="38" t="str">
        <f>IF(E$7="","",E$7)</f>
        <v/>
      </c>
    </row>
    <row r="10" spans="1:5" x14ac:dyDescent="0.25">
      <c r="B10" s="32" t="s">
        <v>97</v>
      </c>
      <c r="C10" s="47"/>
      <c r="D10" s="47"/>
      <c r="E10" s="38" t="str">
        <f>IF(E$7="","",E$7)</f>
        <v/>
      </c>
    </row>
    <row r="11" spans="1:5" x14ac:dyDescent="0.25">
      <c r="B11" s="32" t="s">
        <v>93</v>
      </c>
      <c r="C11" s="47"/>
      <c r="D11" s="47"/>
      <c r="E11" s="38" t="str">
        <f>IF(E$7="","",E$7)</f>
        <v/>
      </c>
    </row>
    <row r="12" spans="1:5" x14ac:dyDescent="0.25">
      <c r="B12" s="32" t="s">
        <v>96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94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177</v>
      </c>
      <c r="C14" s="31"/>
      <c r="D14" s="30"/>
      <c r="E14" s="47"/>
    </row>
    <row r="16" spans="1:5" ht="13" x14ac:dyDescent="0.3">
      <c r="A16" s="34" t="s">
        <v>182</v>
      </c>
      <c r="B16" s="32" t="s">
        <v>123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97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93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96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94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177</v>
      </c>
      <c r="C21" s="31"/>
      <c r="D21" s="30"/>
      <c r="E21" s="47"/>
    </row>
  </sheetData>
  <sheetProtection algorithmName="SHA-512" hashValue="QlbfSvS97yN8K3OheX3vChy1sJkrKO0dV87HixwsbVNN95jnXs0IMw/wvKjD4+R7pnYD14chrdeoj4zsVShjvg==" saltValue="j7h/KWxSN0SoVSN0x6cw0w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188</v>
      </c>
      <c r="C1" s="40" t="s">
        <v>190</v>
      </c>
      <c r="D1" s="40" t="s">
        <v>186</v>
      </c>
    </row>
    <row r="2" spans="1:4" ht="13" x14ac:dyDescent="0.3">
      <c r="A2" s="40" t="s">
        <v>192</v>
      </c>
      <c r="B2" s="32" t="s">
        <v>193</v>
      </c>
      <c r="C2" s="32" t="s">
        <v>191</v>
      </c>
      <c r="D2" s="47"/>
    </row>
    <row r="3" spans="1:4" ht="13" x14ac:dyDescent="0.3">
      <c r="A3" s="40" t="s">
        <v>189</v>
      </c>
      <c r="B3" s="32" t="s">
        <v>179</v>
      </c>
      <c r="C3" s="32" t="s">
        <v>187</v>
      </c>
      <c r="D3" s="47"/>
    </row>
  </sheetData>
  <sheetProtection algorithmName="SHA-512" hashValue="HBezLzo5BO9/Mck2d8gBM9nyMd7Ovo0Ak1jsRzmKfz9LudOxj4JR8oRLo+aO9/wxVKaIjzhhcIp/8f1qllOhuQ==" saltValue="5yH6pdx52VM9tSKSF+2dDQ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192</v>
      </c>
      <c r="B1" s="22" t="str">
        <f>"Cobertura de referencia ("&amp;start_year&amp;")"</f>
        <v>Cobertura de referencia (2024)</v>
      </c>
      <c r="C1" s="22" t="s">
        <v>223</v>
      </c>
      <c r="D1" s="22" t="s">
        <v>224</v>
      </c>
      <c r="E1" s="22" t="s">
        <v>197</v>
      </c>
      <c r="F1" s="22" t="s">
        <v>216</v>
      </c>
      <c r="G1" s="22" t="s">
        <v>215</v>
      </c>
    </row>
    <row r="2" spans="1:7" ht="15.75" customHeight="1" x14ac:dyDescent="0.25">
      <c r="A2" s="5" t="s">
        <v>194</v>
      </c>
      <c r="B2" s="45">
        <v>0</v>
      </c>
      <c r="C2" s="98">
        <v>0.95</v>
      </c>
      <c r="D2" s="56">
        <v>19.75</v>
      </c>
      <c r="E2" s="56" t="s">
        <v>212</v>
      </c>
      <c r="F2" s="98">
        <v>1</v>
      </c>
      <c r="G2" s="98">
        <v>1</v>
      </c>
    </row>
    <row r="3" spans="1:7" ht="15.75" customHeight="1" x14ac:dyDescent="0.25">
      <c r="A3" s="5" t="s">
        <v>195</v>
      </c>
      <c r="B3" s="45">
        <v>0</v>
      </c>
      <c r="C3" s="98">
        <v>0.95</v>
      </c>
      <c r="D3" s="56">
        <v>19.75</v>
      </c>
      <c r="E3" s="56" t="s">
        <v>212</v>
      </c>
      <c r="F3" s="98">
        <v>1</v>
      </c>
      <c r="G3" s="98">
        <v>1</v>
      </c>
    </row>
    <row r="4" spans="1:7" ht="15.75" customHeight="1" x14ac:dyDescent="0.25">
      <c r="A4" s="5" t="s">
        <v>196</v>
      </c>
      <c r="B4" s="98">
        <v>0</v>
      </c>
      <c r="C4" s="98">
        <v>0.95</v>
      </c>
      <c r="D4" s="56">
        <v>21.195</v>
      </c>
      <c r="E4" s="56" t="s">
        <v>212</v>
      </c>
      <c r="F4" s="98">
        <v>1</v>
      </c>
      <c r="G4" s="98">
        <v>1</v>
      </c>
    </row>
    <row r="5" spans="1:7" ht="15.75" customHeight="1" x14ac:dyDescent="0.25">
      <c r="A5" s="5" t="s">
        <v>198</v>
      </c>
      <c r="B5" s="98">
        <v>0</v>
      </c>
      <c r="C5" s="98">
        <v>0.95</v>
      </c>
      <c r="D5" s="56">
        <v>0.48</v>
      </c>
      <c r="E5" s="56" t="s">
        <v>212</v>
      </c>
      <c r="F5" s="98">
        <v>1</v>
      </c>
      <c r="G5" s="98">
        <v>1</v>
      </c>
    </row>
    <row r="6" spans="1:7" ht="15.75" customHeight="1" x14ac:dyDescent="0.25">
      <c r="A6" s="5" t="s">
        <v>199</v>
      </c>
      <c r="B6" s="98">
        <v>0</v>
      </c>
      <c r="C6" s="98">
        <v>0.95</v>
      </c>
      <c r="D6" s="56">
        <v>99.99</v>
      </c>
      <c r="E6" s="56" t="s">
        <v>212</v>
      </c>
      <c r="F6" s="98">
        <v>1</v>
      </c>
      <c r="G6" s="98">
        <v>1</v>
      </c>
    </row>
    <row r="7" spans="1:7" ht="15.75" customHeight="1" x14ac:dyDescent="0.25">
      <c r="A7" s="5" t="s">
        <v>200</v>
      </c>
      <c r="B7" s="98">
        <v>0</v>
      </c>
      <c r="C7" s="98">
        <v>0.95</v>
      </c>
      <c r="D7" s="56">
        <v>0.44994896638918952</v>
      </c>
      <c r="E7" s="56" t="s">
        <v>212</v>
      </c>
      <c r="F7" s="98">
        <v>1</v>
      </c>
      <c r="G7" s="98">
        <v>1</v>
      </c>
    </row>
    <row r="8" spans="1:7" ht="15.75" customHeight="1" x14ac:dyDescent="0.25">
      <c r="A8" s="5" t="s">
        <v>201</v>
      </c>
      <c r="B8" s="98">
        <v>0</v>
      </c>
      <c r="C8" s="98">
        <v>0.95</v>
      </c>
      <c r="D8" s="56">
        <v>2.9310961239067201</v>
      </c>
      <c r="E8" s="56" t="s">
        <v>212</v>
      </c>
      <c r="F8" s="98">
        <v>1</v>
      </c>
      <c r="G8" s="98">
        <v>1</v>
      </c>
    </row>
    <row r="9" spans="1:7" ht="15.75" customHeight="1" x14ac:dyDescent="0.25">
      <c r="A9" s="5" t="s">
        <v>202</v>
      </c>
      <c r="B9" s="98">
        <v>0.5</v>
      </c>
      <c r="C9" s="98">
        <v>0.95</v>
      </c>
      <c r="D9" s="56">
        <v>0.32855565777368906</v>
      </c>
      <c r="E9" s="56" t="s">
        <v>212</v>
      </c>
      <c r="F9" s="98">
        <v>1</v>
      </c>
      <c r="G9" s="98">
        <v>1</v>
      </c>
    </row>
    <row r="10" spans="1:7" ht="15.75" customHeight="1" x14ac:dyDescent="0.25">
      <c r="A10" s="11" t="s">
        <v>203</v>
      </c>
      <c r="B10" s="45">
        <v>0.43240960000000001</v>
      </c>
      <c r="C10" s="98">
        <v>0.95</v>
      </c>
      <c r="D10" s="56">
        <v>15.05570683744001</v>
      </c>
      <c r="E10" s="56" t="s">
        <v>212</v>
      </c>
      <c r="F10" s="98">
        <v>1</v>
      </c>
      <c r="G10" s="98">
        <v>1</v>
      </c>
    </row>
    <row r="11" spans="1:7" ht="15.75" customHeight="1" x14ac:dyDescent="0.25">
      <c r="A11" s="11" t="s">
        <v>204</v>
      </c>
      <c r="B11" s="98">
        <v>0</v>
      </c>
      <c r="C11" s="98">
        <v>0.95</v>
      </c>
      <c r="D11" s="56">
        <v>15.05570683744001</v>
      </c>
      <c r="E11" s="56" t="s">
        <v>212</v>
      </c>
      <c r="F11" s="98">
        <v>1</v>
      </c>
      <c r="G11" s="98">
        <v>1</v>
      </c>
    </row>
    <row r="12" spans="1:7" ht="15.75" customHeight="1" x14ac:dyDescent="0.25">
      <c r="A12" s="11" t="s">
        <v>205</v>
      </c>
      <c r="B12" s="98">
        <v>0</v>
      </c>
      <c r="C12" s="98">
        <v>0.95</v>
      </c>
      <c r="D12" s="56">
        <v>15.05570683744001</v>
      </c>
      <c r="E12" s="56" t="s">
        <v>212</v>
      </c>
      <c r="F12" s="98">
        <v>1</v>
      </c>
      <c r="G12" s="98">
        <v>1</v>
      </c>
    </row>
    <row r="13" spans="1:7" ht="15.75" customHeight="1" x14ac:dyDescent="0.25">
      <c r="A13" s="11" t="s">
        <v>206</v>
      </c>
      <c r="B13" s="98">
        <v>0</v>
      </c>
      <c r="C13" s="98">
        <v>0.95</v>
      </c>
      <c r="D13" s="56">
        <v>15.05570683744001</v>
      </c>
      <c r="E13" s="56" t="s">
        <v>212</v>
      </c>
      <c r="F13" s="98">
        <v>1</v>
      </c>
      <c r="G13" s="98">
        <v>1</v>
      </c>
    </row>
    <row r="14" spans="1:7" ht="15.75" customHeight="1" x14ac:dyDescent="0.25">
      <c r="A14" s="5" t="s">
        <v>207</v>
      </c>
      <c r="B14" s="45">
        <v>0.43240960000000001</v>
      </c>
      <c r="C14" s="98">
        <v>0.95</v>
      </c>
      <c r="D14" s="56">
        <v>15.05570683744001</v>
      </c>
      <c r="E14" s="56" t="s">
        <v>212</v>
      </c>
      <c r="F14" s="98">
        <v>1</v>
      </c>
      <c r="G14" s="98">
        <v>1</v>
      </c>
    </row>
    <row r="15" spans="1:7" ht="15.75" customHeight="1" x14ac:dyDescent="0.25">
      <c r="A15" s="5" t="s">
        <v>208</v>
      </c>
      <c r="B15" s="98">
        <v>0</v>
      </c>
      <c r="C15" s="98">
        <v>0.95</v>
      </c>
      <c r="D15" s="56">
        <v>15.05570683744001</v>
      </c>
      <c r="E15" s="56" t="s">
        <v>212</v>
      </c>
      <c r="F15" s="98">
        <v>1</v>
      </c>
      <c r="G15" s="98">
        <v>1</v>
      </c>
    </row>
    <row r="16" spans="1:7" ht="15.75" customHeight="1" x14ac:dyDescent="0.25">
      <c r="A16" s="5" t="s">
        <v>209</v>
      </c>
      <c r="B16" s="45">
        <v>0</v>
      </c>
      <c r="C16" s="98">
        <v>0.95</v>
      </c>
      <c r="D16" s="56">
        <v>5.8835597567123799</v>
      </c>
      <c r="E16" s="56" t="s">
        <v>212</v>
      </c>
      <c r="F16" s="98">
        <v>1</v>
      </c>
      <c r="G16" s="98">
        <v>1</v>
      </c>
    </row>
    <row r="17" spans="1:7" ht="15.75" customHeight="1" x14ac:dyDescent="0.25">
      <c r="A17" s="5" t="s">
        <v>210</v>
      </c>
      <c r="B17" s="98">
        <v>0</v>
      </c>
      <c r="C17" s="98">
        <v>0.95</v>
      </c>
      <c r="D17" s="56">
        <v>0.14000000000000001</v>
      </c>
      <c r="E17" s="56" t="s">
        <v>212</v>
      </c>
      <c r="F17" s="98">
        <v>1</v>
      </c>
      <c r="G17" s="98">
        <v>1</v>
      </c>
    </row>
    <row r="18" spans="1:7" ht="15.9" customHeight="1" x14ac:dyDescent="0.25">
      <c r="A18" s="5" t="s">
        <v>180</v>
      </c>
      <c r="B18" s="98">
        <v>0.182</v>
      </c>
      <c r="C18" s="98">
        <v>0.95</v>
      </c>
      <c r="D18" s="56">
        <v>21.195</v>
      </c>
      <c r="E18" s="56" t="s">
        <v>212</v>
      </c>
      <c r="F18" s="98">
        <v>1</v>
      </c>
      <c r="G18" s="98">
        <v>1</v>
      </c>
    </row>
    <row r="19" spans="1:7" ht="15.75" customHeight="1" x14ac:dyDescent="0.25">
      <c r="A19" s="5" t="s">
        <v>181</v>
      </c>
      <c r="B19" s="98">
        <v>0.30287550000000002</v>
      </c>
      <c r="C19" s="98">
        <v>0.95</v>
      </c>
      <c r="D19" s="56">
        <v>1.8074989747168151</v>
      </c>
      <c r="E19" s="56" t="s">
        <v>212</v>
      </c>
      <c r="F19" s="98">
        <v>1</v>
      </c>
      <c r="G19" s="98">
        <v>1</v>
      </c>
    </row>
    <row r="20" spans="1:7" ht="15.75" customHeight="1" x14ac:dyDescent="0.25">
      <c r="A20" s="5" t="s">
        <v>182</v>
      </c>
      <c r="B20" s="98">
        <v>0</v>
      </c>
      <c r="C20" s="98">
        <v>0.95</v>
      </c>
      <c r="D20" s="56">
        <v>99.99</v>
      </c>
      <c r="E20" s="56" t="s">
        <v>212</v>
      </c>
      <c r="F20" s="98">
        <v>1</v>
      </c>
      <c r="G20" s="98">
        <v>1</v>
      </c>
    </row>
    <row r="21" spans="1:7" ht="15.75" customHeight="1" x14ac:dyDescent="0.25">
      <c r="A21" s="5" t="s">
        <v>211</v>
      </c>
      <c r="B21" s="45">
        <v>0</v>
      </c>
      <c r="C21" s="98">
        <v>0.95</v>
      </c>
      <c r="D21" s="56">
        <v>7.48</v>
      </c>
      <c r="E21" s="56" t="s">
        <v>212</v>
      </c>
      <c r="F21" s="98">
        <v>1</v>
      </c>
      <c r="G21" s="98">
        <v>1</v>
      </c>
    </row>
    <row r="22" spans="1:7" ht="15.75" customHeight="1" x14ac:dyDescent="0.25">
      <c r="A22" s="5" t="s">
        <v>213</v>
      </c>
      <c r="B22" s="98">
        <v>0</v>
      </c>
      <c r="C22" s="98">
        <v>0.95</v>
      </c>
      <c r="D22" s="56">
        <v>21.195</v>
      </c>
      <c r="E22" s="56" t="s">
        <v>212</v>
      </c>
      <c r="F22" s="98">
        <v>1</v>
      </c>
      <c r="G22" s="98">
        <v>1</v>
      </c>
    </row>
    <row r="23" spans="1:7" ht="15.75" customHeight="1" x14ac:dyDescent="0.25">
      <c r="A23" s="5" t="s">
        <v>214</v>
      </c>
      <c r="B23" s="98">
        <v>0.30650460000000002</v>
      </c>
      <c r="C23" s="98">
        <v>0.95</v>
      </c>
      <c r="D23" s="56">
        <v>4.9354522743270124</v>
      </c>
      <c r="E23" s="56" t="s">
        <v>212</v>
      </c>
      <c r="F23" s="98">
        <v>1</v>
      </c>
      <c r="G23" s="98">
        <v>1</v>
      </c>
    </row>
    <row r="24" spans="1:7" ht="15.75" customHeight="1" x14ac:dyDescent="0.25">
      <c r="A24" s="5" t="s">
        <v>217</v>
      </c>
      <c r="B24" s="45">
        <v>0.28426940885284802</v>
      </c>
      <c r="C24" s="98">
        <v>0.95</v>
      </c>
      <c r="D24" s="56">
        <v>99.99</v>
      </c>
      <c r="E24" s="56" t="s">
        <v>212</v>
      </c>
      <c r="F24" s="98">
        <v>1</v>
      </c>
      <c r="G24" s="98">
        <v>1</v>
      </c>
    </row>
    <row r="25" spans="1:7" ht="15.75" customHeight="1" x14ac:dyDescent="0.25">
      <c r="A25" s="5" t="s">
        <v>218</v>
      </c>
      <c r="B25" s="98">
        <v>0</v>
      </c>
      <c r="C25" s="98">
        <v>0.95</v>
      </c>
      <c r="D25" s="56">
        <v>99.99</v>
      </c>
      <c r="E25" s="56" t="s">
        <v>212</v>
      </c>
      <c r="F25" s="98">
        <v>1</v>
      </c>
      <c r="G25" s="98">
        <v>1</v>
      </c>
    </row>
    <row r="26" spans="1:7" ht="15.75" customHeight="1" x14ac:dyDescent="0.25">
      <c r="A26" s="5" t="s">
        <v>219</v>
      </c>
      <c r="B26" s="45">
        <v>1.6E-2</v>
      </c>
      <c r="C26" s="98">
        <v>0.95</v>
      </c>
      <c r="D26" s="56">
        <v>4.4421306161984946</v>
      </c>
      <c r="E26" s="56" t="s">
        <v>212</v>
      </c>
      <c r="F26" s="98">
        <v>1</v>
      </c>
      <c r="G26" s="98">
        <v>1</v>
      </c>
    </row>
    <row r="27" spans="1:7" ht="15.75" customHeight="1" x14ac:dyDescent="0.25">
      <c r="A27" s="5" t="s">
        <v>220</v>
      </c>
      <c r="B27" s="45">
        <v>0</v>
      </c>
      <c r="C27" s="98">
        <v>0.95</v>
      </c>
      <c r="D27" s="56">
        <v>4.0650280224179349</v>
      </c>
      <c r="E27" s="56" t="s">
        <v>212</v>
      </c>
      <c r="F27" s="98">
        <v>1</v>
      </c>
      <c r="G27" s="98">
        <v>1</v>
      </c>
    </row>
    <row r="28" spans="1:7" ht="15.75" customHeight="1" x14ac:dyDescent="0.25">
      <c r="A28" s="5" t="s">
        <v>221</v>
      </c>
      <c r="B28" s="45">
        <v>0.39322339999999989</v>
      </c>
      <c r="C28" s="98">
        <v>0.95</v>
      </c>
      <c r="D28" s="56">
        <v>99.99</v>
      </c>
      <c r="E28" s="56" t="s">
        <v>212</v>
      </c>
      <c r="F28" s="98">
        <v>1</v>
      </c>
      <c r="G28" s="98">
        <v>1</v>
      </c>
    </row>
    <row r="29" spans="1:7" ht="15.75" customHeight="1" x14ac:dyDescent="0.25">
      <c r="A29" s="5" t="s">
        <v>222</v>
      </c>
      <c r="B29" s="45">
        <v>0.19176319999999999</v>
      </c>
      <c r="C29" s="98">
        <v>0.95</v>
      </c>
      <c r="D29" s="56">
        <v>206.81375092158379</v>
      </c>
      <c r="E29" s="56" t="s">
        <v>212</v>
      </c>
      <c r="F29" s="98">
        <v>1</v>
      </c>
      <c r="G29" s="98">
        <v>1</v>
      </c>
    </row>
    <row r="30" spans="1:7" ht="15.75" customHeight="1" x14ac:dyDescent="0.25">
      <c r="A30" s="5" t="s">
        <v>233</v>
      </c>
      <c r="B30" s="98">
        <v>0</v>
      </c>
      <c r="C30" s="98">
        <v>0.95</v>
      </c>
      <c r="D30" s="56">
        <v>124.66848615801089</v>
      </c>
      <c r="E30" s="56" t="s">
        <v>212</v>
      </c>
      <c r="F30" s="98">
        <v>1</v>
      </c>
      <c r="G30" s="98">
        <v>1</v>
      </c>
    </row>
    <row r="31" spans="1:7" ht="15.75" customHeight="1" x14ac:dyDescent="0.25">
      <c r="A31" s="5" t="s">
        <v>193</v>
      </c>
      <c r="B31" s="45">
        <v>0.18079999999999999</v>
      </c>
      <c r="C31" s="98">
        <v>0.95</v>
      </c>
      <c r="D31" s="56">
        <v>123.05968780269725</v>
      </c>
      <c r="E31" s="56" t="s">
        <v>212</v>
      </c>
      <c r="F31" s="98">
        <v>1</v>
      </c>
      <c r="G31" s="98">
        <v>1</v>
      </c>
    </row>
    <row r="32" spans="1:7" ht="15.75" customHeight="1" x14ac:dyDescent="0.25">
      <c r="A32" s="5" t="s">
        <v>225</v>
      </c>
      <c r="B32" s="45">
        <v>0.2</v>
      </c>
      <c r="C32" s="98">
        <v>0.95</v>
      </c>
      <c r="D32" s="56">
        <v>1.5917274986535743</v>
      </c>
      <c r="E32" s="56" t="s">
        <v>212</v>
      </c>
      <c r="F32" s="98">
        <v>1</v>
      </c>
      <c r="G32" s="98">
        <v>1</v>
      </c>
    </row>
    <row r="33" spans="1:7" ht="15.75" customHeight="1" x14ac:dyDescent="0.25">
      <c r="A33" s="5" t="s">
        <v>226</v>
      </c>
      <c r="B33" s="45">
        <v>0.2258269</v>
      </c>
      <c r="C33" s="98">
        <v>0.95</v>
      </c>
      <c r="D33" s="56">
        <v>99.99</v>
      </c>
      <c r="E33" s="56" t="s">
        <v>212</v>
      </c>
      <c r="F33" s="98">
        <v>1</v>
      </c>
      <c r="G33" s="98">
        <v>1</v>
      </c>
    </row>
    <row r="34" spans="1:7" ht="15.75" customHeight="1" x14ac:dyDescent="0.25">
      <c r="A34" s="5" t="s">
        <v>227</v>
      </c>
      <c r="B34" s="45">
        <v>0.63865939999999999</v>
      </c>
      <c r="C34" s="98">
        <v>0.95</v>
      </c>
      <c r="D34" s="56">
        <v>99.99</v>
      </c>
      <c r="E34" s="56" t="s">
        <v>212</v>
      </c>
      <c r="F34" s="98">
        <v>1</v>
      </c>
      <c r="G34" s="98">
        <v>1</v>
      </c>
    </row>
    <row r="35" spans="1:7" ht="15.75" customHeight="1" x14ac:dyDescent="0.25">
      <c r="A35" s="5" t="s">
        <v>228</v>
      </c>
      <c r="B35" s="98">
        <v>0</v>
      </c>
      <c r="C35" s="98">
        <v>0.95</v>
      </c>
      <c r="D35" s="56">
        <v>99.99</v>
      </c>
      <c r="E35" s="56" t="s">
        <v>212</v>
      </c>
      <c r="F35" s="98">
        <v>1</v>
      </c>
      <c r="G35" s="98">
        <v>1</v>
      </c>
    </row>
    <row r="36" spans="1:7" ht="15.75" customHeight="1" x14ac:dyDescent="0.25">
      <c r="A36" s="5" t="s">
        <v>229</v>
      </c>
      <c r="B36" s="45">
        <v>1.9524400000000001E-2</v>
      </c>
      <c r="C36" s="98">
        <v>0.95</v>
      </c>
      <c r="D36" s="56">
        <v>99.99</v>
      </c>
      <c r="E36" s="56" t="s">
        <v>212</v>
      </c>
      <c r="F36" s="98">
        <v>1</v>
      </c>
      <c r="G36" s="98">
        <v>1</v>
      </c>
    </row>
    <row r="37" spans="1:7" ht="15.75" customHeight="1" x14ac:dyDescent="0.25">
      <c r="A37" s="5" t="s">
        <v>230</v>
      </c>
      <c r="B37" s="45">
        <v>0.18938730000000001</v>
      </c>
      <c r="C37" s="98">
        <v>0.95</v>
      </c>
      <c r="D37" s="56">
        <v>99.99</v>
      </c>
      <c r="E37" s="56" t="s">
        <v>212</v>
      </c>
      <c r="F37" s="98">
        <v>1</v>
      </c>
      <c r="G37" s="98">
        <v>1</v>
      </c>
    </row>
    <row r="38" spans="1:7" ht="15.75" customHeight="1" x14ac:dyDescent="0.25">
      <c r="A38" s="5" t="s">
        <v>231</v>
      </c>
      <c r="B38" s="45">
        <v>5.2999999999999999E-2</v>
      </c>
      <c r="C38" s="98">
        <v>0.95</v>
      </c>
      <c r="D38" s="56">
        <v>2.4500000000000002</v>
      </c>
      <c r="E38" s="56" t="s">
        <v>212</v>
      </c>
      <c r="F38" s="98">
        <v>1</v>
      </c>
      <c r="G38" s="98">
        <v>1</v>
      </c>
    </row>
    <row r="39" spans="1:7" ht="15.75" customHeight="1" x14ac:dyDescent="0.25">
      <c r="A39" s="5" t="s">
        <v>232</v>
      </c>
      <c r="B39" s="45">
        <v>0</v>
      </c>
      <c r="C39" s="98">
        <v>0.95</v>
      </c>
      <c r="D39" s="56">
        <v>3.43</v>
      </c>
      <c r="E39" s="56" t="s">
        <v>212</v>
      </c>
      <c r="F39" s="98">
        <v>1</v>
      </c>
      <c r="G39" s="98">
        <v>1</v>
      </c>
    </row>
  </sheetData>
  <sheetProtection algorithmName="SHA-512" hashValue="vX5+C2wWNvV2sln7RV522iYl5l9/npOUdNkdKz1XFs4y9mlP27CwcGZmcKlYeGFv26CHDHYxxx/52hjTmM9z7A==" saltValue="NdP3liEIjFA8zOWtMe9z+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192</v>
      </c>
      <c r="B1" s="4" t="s">
        <v>234</v>
      </c>
      <c r="C1" s="4" t="s">
        <v>235</v>
      </c>
    </row>
    <row r="2" spans="1:3" x14ac:dyDescent="0.25">
      <c r="A2" s="57" t="s">
        <v>207</v>
      </c>
      <c r="B2" s="47" t="s">
        <v>220</v>
      </c>
      <c r="C2" s="47"/>
    </row>
    <row r="3" spans="1:3" x14ac:dyDescent="0.25">
      <c r="A3" s="57" t="s">
        <v>208</v>
      </c>
      <c r="B3" s="47" t="s">
        <v>220</v>
      </c>
      <c r="C3" s="47"/>
    </row>
    <row r="4" spans="1:3" x14ac:dyDescent="0.25">
      <c r="A4" s="57" t="s">
        <v>222</v>
      </c>
      <c r="B4" s="47" t="s">
        <v>213</v>
      </c>
      <c r="C4" s="47"/>
    </row>
    <row r="5" spans="1:3" x14ac:dyDescent="0.25">
      <c r="A5" s="57" t="s">
        <v>222</v>
      </c>
      <c r="B5" s="47" t="s">
        <v>233</v>
      </c>
      <c r="C5" s="47"/>
    </row>
    <row r="6" spans="1:3" x14ac:dyDescent="0.25">
      <c r="A6" s="57" t="s">
        <v>219</v>
      </c>
      <c r="B6" s="58" t="s">
        <v>233</v>
      </c>
      <c r="C6" s="58"/>
    </row>
    <row r="7" spans="1:3" x14ac:dyDescent="0.25">
      <c r="A7" s="57" t="s">
        <v>232</v>
      </c>
      <c r="B7" s="58" t="s">
        <v>233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UeQ6z+lrQdOqQdW3b5o/B8vW1tjr3RhkfGlnjqBCITIX0dVEK+fDZZSKKvzT7ISuGkg5NRPcOxnDGHI0uIxxbA==" saltValue="fgQgDG/eqeJl3iGfKh3zP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192</v>
      </c>
    </row>
    <row r="2" spans="1:1" x14ac:dyDescent="0.25">
      <c r="A2" s="33" t="s">
        <v>199</v>
      </c>
    </row>
    <row r="3" spans="1:1" x14ac:dyDescent="0.25">
      <c r="A3" s="33" t="s">
        <v>209</v>
      </c>
    </row>
    <row r="4" spans="1:1" x14ac:dyDescent="0.25">
      <c r="A4" s="33" t="s">
        <v>214</v>
      </c>
    </row>
    <row r="5" spans="1:1" x14ac:dyDescent="0.25">
      <c r="A5" s="33" t="s">
        <v>226</v>
      </c>
    </row>
    <row r="6" spans="1:1" x14ac:dyDescent="0.25">
      <c r="A6" s="33" t="s">
        <v>227</v>
      </c>
    </row>
    <row r="7" spans="1:1" x14ac:dyDescent="0.25">
      <c r="A7" s="33" t="s">
        <v>228</v>
      </c>
    </row>
    <row r="8" spans="1:1" x14ac:dyDescent="0.25">
      <c r="A8" s="33" t="s">
        <v>229</v>
      </c>
    </row>
    <row r="9" spans="1:1" x14ac:dyDescent="0.25">
      <c r="A9" s="33" t="s">
        <v>230</v>
      </c>
    </row>
    <row r="10" spans="1:1" x14ac:dyDescent="0.25">
      <c r="A10" s="33" t="s">
        <v>193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sujLRbLminig3mr+xXz59gosHN786dBB4gidVb1wiuel0xx8OQFqVM4E9PcRKLzKN/6lOcidDnc/QIskVNpHHQ==" saltValue="tk13Cm9HOsDHiCa2lafpXw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237</v>
      </c>
      <c r="B1" t="s">
        <v>97</v>
      </c>
      <c r="C1" t="s">
        <v>93</v>
      </c>
      <c r="D1" t="s">
        <v>96</v>
      </c>
      <c r="E1" t="s">
        <v>94</v>
      </c>
      <c r="F1" t="s">
        <v>95</v>
      </c>
    </row>
    <row r="2" spans="1:6" ht="15.75" customHeight="1" x14ac:dyDescent="0.25">
      <c r="A2" s="3" t="s">
        <v>103</v>
      </c>
      <c r="B2" s="21">
        <f>'Entradas de población-año base'!C51</f>
        <v>5.59</v>
      </c>
      <c r="C2" s="21">
        <f>'Entradas de población-año base'!C52</f>
        <v>5.59</v>
      </c>
      <c r="D2" s="21">
        <f>'Entradas de población-año base'!C53</f>
        <v>9.984</v>
      </c>
      <c r="E2" s="21">
        <f>'Entradas de población-año base'!C54</f>
        <v>8.2159999999999993</v>
      </c>
      <c r="F2" s="21">
        <f>'Entradas de población-año base'!C55</f>
        <v>3.952</v>
      </c>
    </row>
    <row r="3" spans="1:6" ht="15.75" customHeight="1" x14ac:dyDescent="0.25">
      <c r="A3" s="3" t="s">
        <v>6</v>
      </c>
      <c r="B3" s="21">
        <f>frac_mam_1month * 2.6</f>
        <v>0.14373501999999999</v>
      </c>
      <c r="C3" s="21">
        <f>frac_mam_1_5months * 2.6</f>
        <v>0.14373501999999999</v>
      </c>
      <c r="D3" s="21">
        <f>frac_mam_6_11months * 2.6</f>
        <v>0.176124</v>
      </c>
      <c r="E3" s="21">
        <f>frac_mam_12_23months * 2.6</f>
        <v>9.242402000000001E-2</v>
      </c>
      <c r="F3" s="21">
        <f>frac_mam_24_59months * 2.6</f>
        <v>4.4845059999999999E-2</v>
      </c>
    </row>
    <row r="4" spans="1:6" ht="15.75" customHeight="1" x14ac:dyDescent="0.25">
      <c r="A4" s="3" t="s">
        <v>236</v>
      </c>
      <c r="B4" s="21">
        <f>frac_sam_1month * 2.6</f>
        <v>5.9955740000000007E-2</v>
      </c>
      <c r="C4" s="21">
        <f>frac_sam_1_5months * 2.6</f>
        <v>5.9955740000000007E-2</v>
      </c>
      <c r="D4" s="21">
        <f>frac_sam_6_11months * 2.6</f>
        <v>2.9245840000000002E-2</v>
      </c>
      <c r="E4" s="21">
        <f>frac_sam_12_23months * 2.6</f>
        <v>3.0915559999999998E-2</v>
      </c>
      <c r="F4" s="21">
        <f>frac_sam_24_59months * 2.6</f>
        <v>1.149408E-2</v>
      </c>
    </row>
  </sheetData>
  <sheetProtection algorithmName="SHA-512" hashValue="y8ZCSZKZcz6gSEyak7jMhDiZf2trbX8PGQRMkGX9yg4NA4Lt0HThcTfHltMfnEwU7IuSoW+cxO2sPa+F0B70NA==" saltValue="5w7BhfHRyoH1rL47b3vIkQ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102</v>
      </c>
      <c r="B2" s="5" t="s">
        <v>196</v>
      </c>
      <c r="C2" s="60">
        <v>0</v>
      </c>
      <c r="D2" s="60">
        <v>0</v>
      </c>
      <c r="E2" s="60">
        <f>food_insecure</f>
        <v>0.24199999999999999</v>
      </c>
      <c r="F2" s="60">
        <f>food_insecure</f>
        <v>0.24199999999999999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198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211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213</v>
      </c>
      <c r="C5" s="60">
        <v>0</v>
      </c>
      <c r="D5" s="60">
        <v>0</v>
      </c>
      <c r="E5" s="60">
        <f>food_insecure</f>
        <v>0.24199999999999999</v>
      </c>
      <c r="F5" s="60">
        <f>food_insecure</f>
        <v>0.24199999999999999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221</v>
      </c>
      <c r="C7" s="60">
        <f>diarrhoea_1mo*frac_diarrhea_severe</f>
        <v>0.10830624999999999</v>
      </c>
      <c r="D7" s="60">
        <f>diarrhoea_1_5mo*frac_diarrhea_severe</f>
        <v>0.10830624999999999</v>
      </c>
      <c r="E7" s="60">
        <f>diarrhoea_6_11mo*frac_diarrhea_severe</f>
        <v>0.19344</v>
      </c>
      <c r="F7" s="60">
        <f>diarrhoea_12_23mo*frac_diarrhea_severe</f>
        <v>0.15918499999999999</v>
      </c>
      <c r="G7" s="60">
        <f>diarrhoea_24_59mo*frac_diarrhea_severe</f>
        <v>7.6569999999999999E-2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222</v>
      </c>
      <c r="C8" s="60">
        <v>0</v>
      </c>
      <c r="D8" s="60">
        <v>0</v>
      </c>
      <c r="E8" s="60">
        <f>food_insecure</f>
        <v>0.24199999999999999</v>
      </c>
      <c r="F8" s="60">
        <f>food_insecure</f>
        <v>0.24199999999999999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233</v>
      </c>
      <c r="C9" s="60">
        <v>0</v>
      </c>
      <c r="D9" s="60">
        <v>0</v>
      </c>
      <c r="E9" s="60">
        <f>food_insecure</f>
        <v>0.24199999999999999</v>
      </c>
      <c r="F9" s="60">
        <f>food_insecure</f>
        <v>0.24199999999999999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193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225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231</v>
      </c>
      <c r="C12" s="60">
        <f>diarrhoea_1mo*frac_diarrhea_severe</f>
        <v>0.10830624999999999</v>
      </c>
      <c r="D12" s="60">
        <f>diarrhoea_1_5mo*frac_diarrhea_severe</f>
        <v>0.10830624999999999</v>
      </c>
      <c r="E12" s="60">
        <f>diarrhoea_6_11mo*frac_diarrhea_severe</f>
        <v>0.19344</v>
      </c>
      <c r="F12" s="60">
        <f>diarrhoea_12_23mo*frac_diarrhea_severe</f>
        <v>0.15918499999999999</v>
      </c>
      <c r="G12" s="60">
        <f>diarrhoea_24_59mo*frac_diarrhea_severe</f>
        <v>7.6569999999999999E-2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232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123</v>
      </c>
      <c r="B15" s="9" t="s">
        <v>194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0.24199999999999999</v>
      </c>
      <c r="I15" s="60">
        <f t="shared" si="0"/>
        <v>0.24199999999999999</v>
      </c>
      <c r="J15" s="60">
        <f t="shared" si="0"/>
        <v>0.24199999999999999</v>
      </c>
      <c r="K15" s="60">
        <f t="shared" si="0"/>
        <v>0.24199999999999999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195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0.24199999999999999</v>
      </c>
      <c r="I16" s="60">
        <f t="shared" si="0"/>
        <v>0.24199999999999999</v>
      </c>
      <c r="J16" s="60">
        <f t="shared" si="0"/>
        <v>0.24199999999999999</v>
      </c>
      <c r="K16" s="60">
        <f t="shared" si="0"/>
        <v>0.24199999999999999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207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208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209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7.2000000000000008E-2</v>
      </c>
      <c r="I19" s="60">
        <f>frac_malaria_risk</f>
        <v>7.2000000000000008E-2</v>
      </c>
      <c r="J19" s="60">
        <f>frac_malaria_risk</f>
        <v>7.2000000000000008E-2</v>
      </c>
      <c r="K19" s="60">
        <f>frac_malaria_risk</f>
        <v>7.2000000000000008E-2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220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240</v>
      </c>
      <c r="B24" s="11" t="s">
        <v>199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0.38</v>
      </c>
      <c r="M24" s="60">
        <f>famplan_unmet_need</f>
        <v>0.38</v>
      </c>
      <c r="N24" s="60">
        <f>famplan_unmet_need</f>
        <v>0.38</v>
      </c>
      <c r="O24" s="60">
        <f>famplan_unmet_need</f>
        <v>0.38</v>
      </c>
    </row>
    <row r="25" spans="1:15" ht="15.75" customHeight="1" x14ac:dyDescent="0.25">
      <c r="B25" s="11" t="s">
        <v>203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0.11469541488851596</v>
      </c>
      <c r="M25" s="60">
        <f>(1-food_insecure)*(0.49)+food_insecure*(0.7)</f>
        <v>0.54081999999999997</v>
      </c>
      <c r="N25" s="60">
        <f>(1-food_insecure)*(0.49)+food_insecure*(0.7)</f>
        <v>0.54081999999999997</v>
      </c>
      <c r="O25" s="60">
        <f>(1-food_insecure)*(0.49)+food_insecure*(0.7)</f>
        <v>0.54081999999999997</v>
      </c>
    </row>
    <row r="26" spans="1:15" ht="15.75" customHeight="1" x14ac:dyDescent="0.25">
      <c r="B26" s="11" t="s">
        <v>204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4.9155177809363987E-2</v>
      </c>
      <c r="M26" s="60">
        <f>(1-food_insecure)*(0.21)+food_insecure*(0.3)</f>
        <v>0.23177999999999999</v>
      </c>
      <c r="N26" s="60">
        <f>(1-food_insecure)*(0.21)+food_insecure*(0.3)</f>
        <v>0.23177999999999999</v>
      </c>
      <c r="O26" s="60">
        <f>(1-food_insecure)*(0.21)+food_insecure*(0.3)</f>
        <v>0.23177999999999999</v>
      </c>
    </row>
    <row r="27" spans="1:15" ht="15.75" customHeight="1" x14ac:dyDescent="0.25">
      <c r="B27" s="11" t="s">
        <v>205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4.8226281102119989E-2</v>
      </c>
      <c r="M27" s="60">
        <f>(1-food_insecure)*(0.3)</f>
        <v>0.22739999999999999</v>
      </c>
      <c r="N27" s="60">
        <f>(1-food_insecure)*(0.3)</f>
        <v>0.22739999999999999</v>
      </c>
      <c r="O27" s="60">
        <f>(1-food_insecure)*(0.3)</f>
        <v>0.22739999999999999</v>
      </c>
    </row>
    <row r="28" spans="1:15" ht="15.75" customHeight="1" x14ac:dyDescent="0.25">
      <c r="B28" s="11" t="s">
        <v>206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0.78792312619999993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200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201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202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210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214</v>
      </c>
      <c r="C34" s="60">
        <f t="shared" ref="C34:O34" si="4">frac_malaria_risk</f>
        <v>7.2000000000000008E-2</v>
      </c>
      <c r="D34" s="60">
        <f t="shared" si="4"/>
        <v>7.2000000000000008E-2</v>
      </c>
      <c r="E34" s="60">
        <f t="shared" si="4"/>
        <v>7.2000000000000008E-2</v>
      </c>
      <c r="F34" s="60">
        <f t="shared" si="4"/>
        <v>7.2000000000000008E-2</v>
      </c>
      <c r="G34" s="60">
        <f t="shared" si="4"/>
        <v>7.2000000000000008E-2</v>
      </c>
      <c r="H34" s="60">
        <f t="shared" si="4"/>
        <v>7.2000000000000008E-2</v>
      </c>
      <c r="I34" s="60">
        <f t="shared" si="4"/>
        <v>7.2000000000000008E-2</v>
      </c>
      <c r="J34" s="60">
        <f t="shared" si="4"/>
        <v>7.2000000000000008E-2</v>
      </c>
      <c r="K34" s="60">
        <f t="shared" si="4"/>
        <v>7.2000000000000008E-2</v>
      </c>
      <c r="L34" s="60">
        <f t="shared" si="4"/>
        <v>7.2000000000000008E-2</v>
      </c>
      <c r="M34" s="60">
        <f t="shared" si="4"/>
        <v>7.2000000000000008E-2</v>
      </c>
      <c r="N34" s="60">
        <f t="shared" si="4"/>
        <v>7.2000000000000008E-2</v>
      </c>
      <c r="O34" s="60">
        <f t="shared" si="4"/>
        <v>7.2000000000000008E-2</v>
      </c>
    </row>
    <row r="35" spans="2:15" ht="15.75" customHeight="1" x14ac:dyDescent="0.25">
      <c r="B35" s="9" t="s">
        <v>226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227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228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229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230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3O2NHAghgGmzs8bBnNEjtQ4ggQ93hYLFRB8xfQ5QJG2ZgpTwjw9YpisJAVK184vuTKBSQuSTMYxzMnZ5WjNMeg==" saltValue="7ZPzRQWusJg6MZz05qFNLA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212</v>
      </c>
    </row>
    <row r="2" spans="1:1" x14ac:dyDescent="0.25">
      <c r="A2" s="8" t="s">
        <v>242</v>
      </c>
    </row>
    <row r="3" spans="1:1" x14ac:dyDescent="0.25">
      <c r="A3" s="8" t="s">
        <v>241</v>
      </c>
    </row>
    <row r="4" spans="1:1" x14ac:dyDescent="0.25">
      <c r="A4" s="8" t="s">
        <v>243</v>
      </c>
    </row>
  </sheetData>
  <sheetProtection algorithmName="SHA-512" hashValue="corkf7w97m+AVKqzgkpb1SrXs8+egykWSBdsBxsAAie+516dfrBLY8V1munUz62bJMDiYUmZXQGj22a2DHLX3w==" saltValue="/vfdBDRngf2pa2nthk1nng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253</v>
      </c>
      <c r="B1" s="4" t="s">
        <v>246</v>
      </c>
      <c r="C1" s="4" t="s">
        <v>257</v>
      </c>
      <c r="D1" s="4" t="s">
        <v>245</v>
      </c>
      <c r="E1" s="4" t="s">
        <v>255</v>
      </c>
    </row>
    <row r="2" spans="1:5" ht="14" customHeight="1" x14ac:dyDescent="0.3">
      <c r="A2" s="28" t="s">
        <v>244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252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251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250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248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249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j89ZcvlltYkPWiHiRP4LB4fQGmrEeS+ak7PkiJnNoMpZIjOpZHlvEGjFfd5hIu+h0bZ6HtLsmDqxMnvwpNBjfQ==" saltValue="rmi1kLrKtfLQsmreYp/7Rg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102</v>
      </c>
      <c r="B2" s="5" t="s">
        <v>196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198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180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211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213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233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193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225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231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232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123</v>
      </c>
      <c r="B18" s="5" t="s">
        <v>194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195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207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208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209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220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240</v>
      </c>
      <c r="B27" s="5" t="s">
        <v>199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203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204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205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206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200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201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202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210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214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226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227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228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229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230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sXlvb/AD6BvcLDqbkq/i1rC7UsxuzrsDZCq9y+148lxmmmqvQB+fa2/F++nSSWvMKfdJ4Lem+1l80lQKIKbgNg==" saltValue="yTGSu1bhvkCwWH7CyuHqLw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workbookViewId="0">
      <selection activeCell="H15" sqref="H15"/>
    </sheetView>
  </sheetViews>
  <sheetFormatPr defaultColWidth="12.7265625" defaultRowHeight="12.5" x14ac:dyDescent="0.25"/>
  <cols>
    <col min="1" max="1" width="58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192</v>
      </c>
      <c r="B1" s="108" t="s">
        <v>260</v>
      </c>
      <c r="C1" s="108" t="s">
        <v>124</v>
      </c>
      <c r="D1" s="108" t="s">
        <v>261</v>
      </c>
      <c r="E1" s="108" t="s">
        <v>262</v>
      </c>
      <c r="F1" s="108" t="s">
        <v>142</v>
      </c>
      <c r="G1" s="108" t="s">
        <v>103</v>
      </c>
      <c r="H1" s="108" t="s">
        <v>56</v>
      </c>
      <c r="I1" s="108" t="s">
        <v>259</v>
      </c>
      <c r="J1" s="108" t="s">
        <v>41</v>
      </c>
      <c r="K1" s="108" t="s">
        <v>258</v>
      </c>
      <c r="L1" s="108" t="s">
        <v>263</v>
      </c>
    </row>
    <row r="2" spans="1:12" x14ac:dyDescent="0.25">
      <c r="A2" s="115" t="s">
        <v>194</v>
      </c>
      <c r="B2" s="116"/>
      <c r="C2" s="116"/>
      <c r="D2" s="116"/>
      <c r="E2" s="116"/>
      <c r="F2" s="116"/>
      <c r="G2" s="116"/>
      <c r="H2" s="116"/>
      <c r="I2" s="116" t="s">
        <v>5</v>
      </c>
      <c r="J2" s="116"/>
      <c r="K2" s="116"/>
      <c r="L2" s="116"/>
    </row>
    <row r="3" spans="1:12" x14ac:dyDescent="0.25">
      <c r="A3" s="115" t="s">
        <v>195</v>
      </c>
      <c r="B3" s="116"/>
      <c r="C3" s="116"/>
      <c r="D3" s="116"/>
      <c r="E3" s="116"/>
      <c r="F3" s="116"/>
      <c r="G3" s="116"/>
      <c r="H3" s="116" t="s">
        <v>5</v>
      </c>
      <c r="I3" s="116" t="s">
        <v>5</v>
      </c>
      <c r="J3" s="116"/>
      <c r="K3" s="116"/>
      <c r="L3" s="116"/>
    </row>
    <row r="4" spans="1:12" x14ac:dyDescent="0.25">
      <c r="A4" s="115" t="s">
        <v>196</v>
      </c>
      <c r="B4" s="116" t="s">
        <v>5</v>
      </c>
      <c r="C4" s="116"/>
      <c r="D4" s="116" t="s">
        <v>5</v>
      </c>
      <c r="E4" s="116"/>
      <c r="F4" s="116"/>
      <c r="G4" s="116"/>
      <c r="H4" s="116"/>
      <c r="I4" s="116"/>
      <c r="J4" s="116"/>
      <c r="K4" s="116"/>
      <c r="L4" s="116"/>
    </row>
    <row r="5" spans="1:12" x14ac:dyDescent="0.25">
      <c r="A5" s="115" t="s">
        <v>198</v>
      </c>
      <c r="B5" s="116"/>
      <c r="C5" s="116" t="s">
        <v>5</v>
      </c>
      <c r="D5" s="116"/>
      <c r="E5" s="116"/>
      <c r="F5" s="116"/>
      <c r="G5" s="116"/>
      <c r="H5" s="116"/>
      <c r="I5" s="116"/>
      <c r="J5" s="116"/>
      <c r="K5" s="116"/>
      <c r="L5" s="116"/>
    </row>
    <row r="6" spans="1:12" x14ac:dyDescent="0.25">
      <c r="A6" s="115" t="s">
        <v>199</v>
      </c>
      <c r="B6" s="116"/>
      <c r="C6" s="116"/>
      <c r="D6" s="116"/>
      <c r="E6" s="116"/>
      <c r="F6" s="116"/>
      <c r="G6" s="116"/>
      <c r="H6" s="116"/>
      <c r="I6" s="116"/>
      <c r="J6" s="116" t="s">
        <v>5</v>
      </c>
      <c r="K6" s="116" t="s">
        <v>5</v>
      </c>
      <c r="L6" s="116"/>
    </row>
    <row r="7" spans="1:12" x14ac:dyDescent="0.25">
      <c r="A7" s="115" t="s">
        <v>200</v>
      </c>
      <c r="B7" s="116"/>
      <c r="C7" s="116" t="s">
        <v>5</v>
      </c>
      <c r="D7" s="116"/>
      <c r="E7" s="116"/>
      <c r="F7" s="116"/>
      <c r="G7" s="116"/>
      <c r="H7" s="116" t="s">
        <v>5</v>
      </c>
      <c r="I7" s="116"/>
      <c r="J7" s="116"/>
      <c r="K7" s="116"/>
      <c r="L7" s="116"/>
    </row>
    <row r="8" spans="1:12" x14ac:dyDescent="0.25">
      <c r="A8" s="115" t="s">
        <v>201</v>
      </c>
      <c r="B8" s="116"/>
      <c r="C8" s="116" t="s">
        <v>5</v>
      </c>
      <c r="D8" s="116"/>
      <c r="E8" s="116"/>
      <c r="F8" s="116"/>
      <c r="G8" s="116"/>
      <c r="H8" s="116" t="s">
        <v>5</v>
      </c>
      <c r="I8" s="116"/>
      <c r="J8" s="116"/>
      <c r="K8" s="116"/>
      <c r="L8" s="116"/>
    </row>
    <row r="9" spans="1:12" x14ac:dyDescent="0.25">
      <c r="A9" s="115" t="s">
        <v>202</v>
      </c>
      <c r="B9" s="116"/>
      <c r="C9" s="116" t="s">
        <v>5</v>
      </c>
      <c r="D9" s="116"/>
      <c r="E9" s="116"/>
      <c r="F9" s="116"/>
      <c r="G9" s="116"/>
      <c r="H9" s="116" t="s">
        <v>5</v>
      </c>
      <c r="I9" s="116"/>
      <c r="J9" s="116"/>
      <c r="K9" s="116"/>
      <c r="L9" s="116"/>
    </row>
    <row r="10" spans="1:12" x14ac:dyDescent="0.25">
      <c r="A10" s="115" t="s">
        <v>203</v>
      </c>
      <c r="B10" s="116"/>
      <c r="C10" s="116" t="s">
        <v>5</v>
      </c>
      <c r="D10" s="116"/>
      <c r="E10" s="116"/>
      <c r="F10" s="116"/>
      <c r="G10" s="116"/>
      <c r="H10" s="116"/>
      <c r="I10" s="116"/>
      <c r="J10" s="116"/>
      <c r="K10" s="116"/>
      <c r="L10" s="116"/>
    </row>
    <row r="11" spans="1:12" x14ac:dyDescent="0.25">
      <c r="A11" s="115" t="s">
        <v>204</v>
      </c>
      <c r="B11" s="116"/>
      <c r="C11" s="116" t="s">
        <v>5</v>
      </c>
      <c r="D11" s="116"/>
      <c r="E11" s="116"/>
      <c r="F11" s="116"/>
      <c r="G11" s="116"/>
      <c r="H11" s="116"/>
      <c r="I11" s="116"/>
      <c r="J11" s="116"/>
      <c r="K11" s="116"/>
      <c r="L11" s="116"/>
    </row>
    <row r="12" spans="1:12" x14ac:dyDescent="0.25">
      <c r="A12" s="115" t="s">
        <v>205</v>
      </c>
      <c r="B12" s="116"/>
      <c r="C12" s="116" t="s">
        <v>5</v>
      </c>
      <c r="D12" s="116"/>
      <c r="E12" s="116"/>
      <c r="F12" s="116"/>
      <c r="G12" s="116"/>
      <c r="H12" s="116"/>
      <c r="I12" s="116"/>
      <c r="J12" s="116"/>
      <c r="K12" s="116"/>
      <c r="L12" s="116"/>
    </row>
    <row r="13" spans="1:12" x14ac:dyDescent="0.25">
      <c r="A13" s="115" t="s">
        <v>206</v>
      </c>
      <c r="B13" s="116"/>
      <c r="C13" s="116" t="s">
        <v>5</v>
      </c>
      <c r="D13" s="116"/>
      <c r="E13" s="116"/>
      <c r="F13" s="116"/>
      <c r="G13" s="116"/>
      <c r="H13" s="116"/>
      <c r="I13" s="116"/>
      <c r="J13" s="116"/>
      <c r="K13" s="116"/>
      <c r="L13" s="116"/>
    </row>
    <row r="14" spans="1:12" x14ac:dyDescent="0.25">
      <c r="A14" s="117" t="s">
        <v>207</v>
      </c>
      <c r="B14" s="116"/>
      <c r="C14" s="116" t="s">
        <v>5</v>
      </c>
      <c r="D14" s="116"/>
      <c r="E14" s="116"/>
      <c r="F14" s="116"/>
      <c r="G14" s="116"/>
      <c r="H14" s="116"/>
      <c r="I14" s="116" t="s">
        <v>5</v>
      </c>
      <c r="J14" s="116"/>
      <c r="K14" s="116"/>
      <c r="L14" s="116"/>
    </row>
    <row r="15" spans="1:12" x14ac:dyDescent="0.25">
      <c r="A15" s="117" t="s">
        <v>208</v>
      </c>
      <c r="B15" s="116"/>
      <c r="C15" s="116" t="s">
        <v>5</v>
      </c>
      <c r="D15" s="116"/>
      <c r="E15" s="116"/>
      <c r="F15" s="116"/>
      <c r="G15" s="116"/>
      <c r="H15" s="116"/>
      <c r="I15" s="116" t="s">
        <v>5</v>
      </c>
      <c r="J15" s="116"/>
      <c r="K15" s="116"/>
      <c r="L15" s="116"/>
    </row>
    <row r="16" spans="1:12" x14ac:dyDescent="0.25">
      <c r="A16" s="115" t="s">
        <v>209</v>
      </c>
      <c r="B16" s="116"/>
      <c r="C16" s="116" t="s">
        <v>5</v>
      </c>
      <c r="D16" s="116"/>
      <c r="E16" s="116"/>
      <c r="F16" s="116"/>
      <c r="G16" s="116"/>
      <c r="H16" s="116" t="s">
        <v>5</v>
      </c>
      <c r="I16" s="116" t="s">
        <v>5</v>
      </c>
      <c r="J16" s="116"/>
      <c r="K16" s="116"/>
      <c r="L16" s="116"/>
    </row>
    <row r="17" spans="1:12" x14ac:dyDescent="0.25">
      <c r="A17" s="115" t="s">
        <v>210</v>
      </c>
      <c r="B17" s="116"/>
      <c r="C17" s="116" t="s">
        <v>5</v>
      </c>
      <c r="D17" s="116"/>
      <c r="E17" s="116"/>
      <c r="F17" s="116"/>
      <c r="G17" s="116"/>
      <c r="H17" s="116"/>
      <c r="I17" s="116"/>
      <c r="J17" s="116"/>
      <c r="K17" s="116"/>
      <c r="L17" s="116"/>
    </row>
    <row r="18" spans="1:12" x14ac:dyDescent="0.25">
      <c r="A18" s="115" t="s">
        <v>180</v>
      </c>
      <c r="B18" s="116" t="s">
        <v>5</v>
      </c>
      <c r="C18" s="116"/>
      <c r="D18" s="116"/>
      <c r="E18" s="116"/>
      <c r="F18" s="116" t="s">
        <v>5</v>
      </c>
      <c r="G18" s="116"/>
      <c r="H18" s="116"/>
      <c r="I18" s="116"/>
      <c r="J18" s="116"/>
      <c r="K18" s="116"/>
      <c r="L18" s="116"/>
    </row>
    <row r="19" spans="1:12" x14ac:dyDescent="0.25">
      <c r="A19" s="115" t="s">
        <v>181</v>
      </c>
      <c r="B19" s="116" t="s">
        <v>5</v>
      </c>
      <c r="C19" s="116"/>
      <c r="D19" s="116"/>
      <c r="E19" s="116"/>
      <c r="F19" s="116" t="s">
        <v>5</v>
      </c>
      <c r="G19" s="116"/>
      <c r="H19" s="116"/>
      <c r="I19" s="116"/>
      <c r="J19" s="116"/>
      <c r="K19" s="116"/>
      <c r="L19" s="116"/>
    </row>
    <row r="20" spans="1:12" x14ac:dyDescent="0.25">
      <c r="A20" s="115" t="s">
        <v>182</v>
      </c>
      <c r="B20" s="116" t="s">
        <v>5</v>
      </c>
      <c r="C20" s="116"/>
      <c r="D20" s="116"/>
      <c r="E20" s="116"/>
      <c r="F20" s="116" t="s">
        <v>5</v>
      </c>
      <c r="G20" s="116"/>
      <c r="H20" s="116"/>
      <c r="I20" s="116"/>
      <c r="J20" s="116"/>
      <c r="K20" s="116"/>
      <c r="L20" s="116"/>
    </row>
    <row r="21" spans="1:12" x14ac:dyDescent="0.25">
      <c r="A21" s="115" t="s">
        <v>211</v>
      </c>
      <c r="B21" s="116"/>
      <c r="C21" s="116"/>
      <c r="D21" s="116"/>
      <c r="E21" s="116"/>
      <c r="F21" s="116"/>
      <c r="G21" s="116"/>
      <c r="H21" s="116" t="s">
        <v>5</v>
      </c>
      <c r="I21" s="116" t="s">
        <v>5</v>
      </c>
      <c r="J21" s="116"/>
      <c r="K21" s="116"/>
      <c r="L21" s="116"/>
    </row>
    <row r="22" spans="1:12" x14ac:dyDescent="0.25">
      <c r="A22" s="115" t="s">
        <v>213</v>
      </c>
      <c r="B22" s="116" t="s">
        <v>5</v>
      </c>
      <c r="C22" s="116" t="s">
        <v>5</v>
      </c>
      <c r="D22" s="116" t="s">
        <v>5</v>
      </c>
      <c r="E22" s="116"/>
      <c r="F22" s="116"/>
      <c r="G22" s="116"/>
      <c r="H22" s="116"/>
      <c r="I22" s="116"/>
      <c r="J22" s="116"/>
      <c r="K22" s="116"/>
      <c r="L22" s="116"/>
    </row>
    <row r="23" spans="1:12" x14ac:dyDescent="0.25">
      <c r="A23" s="115" t="s">
        <v>214</v>
      </c>
      <c r="B23" s="116"/>
      <c r="C23" s="116" t="s">
        <v>5</v>
      </c>
      <c r="D23" s="116"/>
      <c r="E23" s="116"/>
      <c r="F23" s="116"/>
      <c r="G23" s="116"/>
      <c r="H23" s="116"/>
      <c r="I23" s="116" t="s">
        <v>5</v>
      </c>
      <c r="J23" s="116"/>
      <c r="K23" s="116"/>
      <c r="L23" s="116"/>
    </row>
    <row r="24" spans="1:12" x14ac:dyDescent="0.25">
      <c r="A24" s="115" t="s">
        <v>217</v>
      </c>
      <c r="B24" s="116"/>
      <c r="C24" s="116"/>
      <c r="D24" s="116"/>
      <c r="E24" s="116"/>
      <c r="F24" s="116"/>
      <c r="G24" s="116"/>
      <c r="H24" s="116" t="s">
        <v>5</v>
      </c>
      <c r="I24" s="116"/>
      <c r="J24" s="116"/>
      <c r="K24" s="116"/>
      <c r="L24" s="116"/>
    </row>
    <row r="25" spans="1:12" x14ac:dyDescent="0.25">
      <c r="A25" s="115" t="s">
        <v>218</v>
      </c>
      <c r="B25" s="116"/>
      <c r="C25" s="116"/>
      <c r="D25" s="116"/>
      <c r="E25" s="116"/>
      <c r="F25" s="116"/>
      <c r="G25" s="116"/>
      <c r="H25" s="116" t="s">
        <v>5</v>
      </c>
      <c r="I25" s="116"/>
      <c r="J25" s="116"/>
      <c r="K25" s="116"/>
      <c r="L25" s="116"/>
    </row>
    <row r="26" spans="1:12" x14ac:dyDescent="0.25">
      <c r="A26" s="115" t="s">
        <v>219</v>
      </c>
      <c r="B26" s="116"/>
      <c r="C26" s="116" t="s">
        <v>5</v>
      </c>
      <c r="D26" s="116"/>
      <c r="E26" s="116"/>
      <c r="F26" s="116"/>
      <c r="G26" s="116"/>
      <c r="H26" s="116"/>
      <c r="I26" s="116"/>
      <c r="J26" s="116"/>
      <c r="K26" s="116"/>
      <c r="L26" s="116"/>
    </row>
    <row r="27" spans="1:12" x14ac:dyDescent="0.25">
      <c r="A27" s="115" t="s">
        <v>220</v>
      </c>
      <c r="B27" s="116"/>
      <c r="C27" s="116" t="s">
        <v>5</v>
      </c>
      <c r="D27" s="116"/>
      <c r="E27" s="116"/>
      <c r="F27" s="116"/>
      <c r="G27" s="116"/>
      <c r="H27" s="116"/>
      <c r="I27" s="116" t="s">
        <v>5</v>
      </c>
      <c r="J27" s="116"/>
      <c r="K27" s="116"/>
      <c r="L27" s="116" t="s">
        <v>5</v>
      </c>
    </row>
    <row r="28" spans="1:12" x14ac:dyDescent="0.25">
      <c r="A28" s="115" t="s">
        <v>221</v>
      </c>
      <c r="B28" s="116"/>
      <c r="C28" s="116"/>
      <c r="D28" s="116"/>
      <c r="E28" s="116"/>
      <c r="F28" s="116"/>
      <c r="G28" s="116"/>
      <c r="H28" s="116" t="s">
        <v>5</v>
      </c>
      <c r="I28" s="116"/>
      <c r="J28" s="116"/>
      <c r="K28" s="116"/>
      <c r="L28" s="116"/>
    </row>
    <row r="29" spans="1:12" x14ac:dyDescent="0.25">
      <c r="A29" s="115" t="s">
        <v>222</v>
      </c>
      <c r="B29" s="116" t="s">
        <v>5</v>
      </c>
      <c r="C29" s="116"/>
      <c r="D29" s="116" t="s">
        <v>5</v>
      </c>
      <c r="E29" s="116"/>
      <c r="F29" s="116"/>
      <c r="G29" s="116"/>
      <c r="H29" s="116"/>
      <c r="I29" s="116"/>
      <c r="J29" s="116"/>
      <c r="K29" s="116"/>
      <c r="L29" s="116"/>
    </row>
    <row r="30" spans="1:12" x14ac:dyDescent="0.25">
      <c r="A30" s="115" t="s">
        <v>233</v>
      </c>
      <c r="B30" s="116" t="s">
        <v>5</v>
      </c>
      <c r="C30" s="116" t="s">
        <v>5</v>
      </c>
      <c r="D30" s="116" t="s">
        <v>5</v>
      </c>
      <c r="E30" s="116"/>
      <c r="F30" s="116"/>
      <c r="G30" s="116"/>
      <c r="H30" s="116"/>
      <c r="I30" s="116"/>
      <c r="J30" s="116"/>
      <c r="K30" s="116"/>
      <c r="L30" s="116"/>
    </row>
    <row r="31" spans="1:12" x14ac:dyDescent="0.25">
      <c r="A31" s="115" t="s">
        <v>193</v>
      </c>
      <c r="B31" s="116"/>
      <c r="C31" s="116"/>
      <c r="D31" s="116"/>
      <c r="E31" s="116" t="s">
        <v>5</v>
      </c>
      <c r="F31" s="116"/>
      <c r="G31" s="116"/>
      <c r="H31" s="116"/>
      <c r="I31" s="116"/>
      <c r="J31" s="116"/>
      <c r="K31" s="116"/>
      <c r="L31" s="116"/>
    </row>
    <row r="32" spans="1:12" x14ac:dyDescent="0.25">
      <c r="A32" s="115" t="s">
        <v>225</v>
      </c>
      <c r="B32" s="116"/>
      <c r="C32" s="116"/>
      <c r="D32" s="116"/>
      <c r="E32" s="116"/>
      <c r="F32" s="116"/>
      <c r="G32" s="116" t="s">
        <v>5</v>
      </c>
      <c r="H32" s="116" t="s">
        <v>5</v>
      </c>
      <c r="I32" s="116"/>
      <c r="J32" s="116"/>
      <c r="K32" s="116"/>
      <c r="L32" s="116"/>
    </row>
    <row r="33" spans="1:12" x14ac:dyDescent="0.25">
      <c r="A33" s="115" t="s">
        <v>226</v>
      </c>
      <c r="B33" s="116"/>
      <c r="C33" s="116"/>
      <c r="D33" s="116"/>
      <c r="E33" s="116"/>
      <c r="F33" s="116"/>
      <c r="G33" s="116" t="s">
        <v>5</v>
      </c>
      <c r="H33" s="116" t="s">
        <v>5</v>
      </c>
      <c r="I33" s="116"/>
      <c r="J33" s="116"/>
      <c r="K33" s="116"/>
      <c r="L33" s="116"/>
    </row>
    <row r="34" spans="1:12" x14ac:dyDescent="0.25">
      <c r="A34" s="115" t="s">
        <v>227</v>
      </c>
      <c r="B34" s="116"/>
      <c r="C34" s="116"/>
      <c r="D34" s="116"/>
      <c r="E34" s="116"/>
      <c r="F34" s="116"/>
      <c r="G34" s="116" t="s">
        <v>5</v>
      </c>
      <c r="H34" s="116" t="s">
        <v>5</v>
      </c>
      <c r="I34" s="116"/>
      <c r="J34" s="116"/>
      <c r="K34" s="116"/>
      <c r="L34" s="116"/>
    </row>
    <row r="35" spans="1:12" x14ac:dyDescent="0.25">
      <c r="A35" s="115" t="s">
        <v>228</v>
      </c>
      <c r="B35" s="116"/>
      <c r="C35" s="116"/>
      <c r="D35" s="116"/>
      <c r="E35" s="116"/>
      <c r="F35" s="116"/>
      <c r="G35" s="116" t="s">
        <v>5</v>
      </c>
      <c r="H35" s="116" t="s">
        <v>5</v>
      </c>
      <c r="I35" s="116"/>
      <c r="J35" s="116"/>
      <c r="K35" s="116"/>
      <c r="L35" s="116"/>
    </row>
    <row r="36" spans="1:12" x14ac:dyDescent="0.25">
      <c r="A36" s="115" t="s">
        <v>229</v>
      </c>
      <c r="B36" s="116"/>
      <c r="C36" s="116"/>
      <c r="D36" s="116"/>
      <c r="E36" s="116"/>
      <c r="F36" s="116"/>
      <c r="G36" s="116" t="s">
        <v>5</v>
      </c>
      <c r="H36" s="116" t="s">
        <v>5</v>
      </c>
      <c r="I36" s="116"/>
      <c r="J36" s="116"/>
      <c r="K36" s="116"/>
      <c r="L36" s="116"/>
    </row>
    <row r="37" spans="1:12" x14ac:dyDescent="0.25">
      <c r="A37" s="115" t="s">
        <v>230</v>
      </c>
      <c r="B37" s="116"/>
      <c r="C37" s="116"/>
      <c r="D37" s="116"/>
      <c r="E37" s="116"/>
      <c r="F37" s="116"/>
      <c r="G37" s="116" t="s">
        <v>5</v>
      </c>
      <c r="H37" s="116" t="s">
        <v>5</v>
      </c>
      <c r="I37" s="116"/>
      <c r="J37" s="116"/>
      <c r="K37" s="116"/>
      <c r="L37" s="116"/>
    </row>
    <row r="38" spans="1:12" x14ac:dyDescent="0.25">
      <c r="A38" s="115" t="s">
        <v>231</v>
      </c>
      <c r="B38" s="116"/>
      <c r="C38" s="116"/>
      <c r="D38" s="116"/>
      <c r="E38" s="116"/>
      <c r="F38" s="116"/>
      <c r="G38" s="116"/>
      <c r="H38" s="116" t="s">
        <v>5</v>
      </c>
      <c r="I38" s="116"/>
      <c r="J38" s="116"/>
      <c r="K38" s="116"/>
      <c r="L38" s="116"/>
    </row>
    <row r="39" spans="1:12" x14ac:dyDescent="0.25">
      <c r="A39" s="115" t="s">
        <v>232</v>
      </c>
      <c r="B39" s="116" t="s">
        <v>5</v>
      </c>
      <c r="C39" s="116"/>
      <c r="D39" s="116"/>
      <c r="E39" s="116"/>
      <c r="F39" s="116"/>
      <c r="G39" s="116" t="s">
        <v>5</v>
      </c>
      <c r="H39" s="116" t="s">
        <v>5</v>
      </c>
      <c r="I39" s="116"/>
      <c r="J39" s="116"/>
      <c r="K39" s="116"/>
      <c r="L39" s="116"/>
    </row>
  </sheetData>
  <sheetProtection algorithmName="SHA-512" hashValue="jVQWYIaRuHJY5UJf0/13bZt5AXWVfaubXJvgPcR4wAZNg+f/h+0zUvhi/DdyBxwDkrGZ3v+vHKJAT36/+C+J0A==" saltValue="DMCJzjZDi61BjvLe5LApTQ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264</v>
      </c>
      <c r="B1" s="108" t="s">
        <v>260</v>
      </c>
      <c r="C1" s="108" t="s">
        <v>124</v>
      </c>
      <c r="D1" s="108" t="s">
        <v>261</v>
      </c>
      <c r="E1" s="108" t="s">
        <v>262</v>
      </c>
      <c r="F1" s="108" t="s">
        <v>142</v>
      </c>
      <c r="G1" s="108" t="s">
        <v>103</v>
      </c>
      <c r="H1" s="108" t="s">
        <v>56</v>
      </c>
      <c r="I1" s="108" t="s">
        <v>259</v>
      </c>
      <c r="J1" s="108" t="s">
        <v>41</v>
      </c>
      <c r="K1" s="108" t="s">
        <v>258</v>
      </c>
      <c r="L1" s="108" t="s">
        <v>263</v>
      </c>
    </row>
    <row r="2" spans="1:12" x14ac:dyDescent="0.25">
      <c r="A2" s="108" t="s">
        <v>97</v>
      </c>
      <c r="B2" s="116" t="s">
        <v>5</v>
      </c>
      <c r="C2" s="116" t="s">
        <v>5</v>
      </c>
      <c r="D2" s="116" t="s">
        <v>5</v>
      </c>
      <c r="E2" s="116" t="s">
        <v>5</v>
      </c>
      <c r="F2" s="116" t="s">
        <v>5</v>
      </c>
      <c r="G2" s="116" t="s">
        <v>5</v>
      </c>
      <c r="H2" s="116" t="s">
        <v>5</v>
      </c>
      <c r="I2" s="116"/>
      <c r="J2" s="116"/>
      <c r="K2" s="116"/>
      <c r="L2" s="116"/>
    </row>
    <row r="3" spans="1:12" x14ac:dyDescent="0.25">
      <c r="A3" s="108" t="s">
        <v>93</v>
      </c>
      <c r="B3" s="116" t="s">
        <v>5</v>
      </c>
      <c r="C3" s="116" t="s">
        <v>5</v>
      </c>
      <c r="D3" s="116" t="s">
        <v>5</v>
      </c>
      <c r="E3" s="116" t="s">
        <v>5</v>
      </c>
      <c r="F3" s="116" t="s">
        <v>5</v>
      </c>
      <c r="G3" s="116" t="s">
        <v>5</v>
      </c>
      <c r="H3" s="116" t="s">
        <v>5</v>
      </c>
      <c r="I3" s="116"/>
      <c r="J3" s="116"/>
      <c r="K3" s="116"/>
      <c r="L3" s="116"/>
    </row>
    <row r="4" spans="1:12" x14ac:dyDescent="0.25">
      <c r="A4" s="108" t="s">
        <v>96</v>
      </c>
      <c r="B4" s="116" t="s">
        <v>5</v>
      </c>
      <c r="C4" s="116" t="s">
        <v>5</v>
      </c>
      <c r="D4" s="116" t="s">
        <v>5</v>
      </c>
      <c r="E4" s="116" t="s">
        <v>5</v>
      </c>
      <c r="F4" s="116" t="s">
        <v>5</v>
      </c>
      <c r="G4" s="116" t="s">
        <v>5</v>
      </c>
      <c r="H4" s="116" t="s">
        <v>5</v>
      </c>
      <c r="I4" s="116"/>
      <c r="J4" s="116"/>
      <c r="K4" s="116"/>
      <c r="L4" s="116"/>
    </row>
    <row r="5" spans="1:12" x14ac:dyDescent="0.25">
      <c r="A5" s="108" t="s">
        <v>94</v>
      </c>
      <c r="B5" s="116" t="s">
        <v>5</v>
      </c>
      <c r="C5" s="116" t="s">
        <v>5</v>
      </c>
      <c r="D5" s="116" t="s">
        <v>5</v>
      </c>
      <c r="E5" s="116" t="s">
        <v>5</v>
      </c>
      <c r="F5" s="116" t="s">
        <v>5</v>
      </c>
      <c r="G5" s="116" t="s">
        <v>5</v>
      </c>
      <c r="H5" s="116" t="s">
        <v>5</v>
      </c>
      <c r="I5" s="116"/>
      <c r="J5" s="116"/>
      <c r="K5" s="116"/>
      <c r="L5" s="116"/>
    </row>
    <row r="6" spans="1:12" x14ac:dyDescent="0.25">
      <c r="A6" s="108" t="s">
        <v>95</v>
      </c>
      <c r="B6" s="116" t="s">
        <v>5</v>
      </c>
      <c r="C6" s="116" t="s">
        <v>5</v>
      </c>
      <c r="D6" s="116" t="s">
        <v>5</v>
      </c>
      <c r="E6" s="116" t="s">
        <v>5</v>
      </c>
      <c r="F6" s="116" t="s">
        <v>5</v>
      </c>
      <c r="G6" s="116" t="s">
        <v>5</v>
      </c>
      <c r="H6" s="116" t="s">
        <v>5</v>
      </c>
      <c r="I6" s="116"/>
      <c r="J6" s="116"/>
      <c r="K6" s="116"/>
      <c r="L6" s="116"/>
    </row>
    <row r="7" spans="1:12" x14ac:dyDescent="0.25">
      <c r="A7" s="108" t="s">
        <v>132</v>
      </c>
      <c r="B7" s="116"/>
      <c r="C7" s="116" t="s">
        <v>5</v>
      </c>
      <c r="D7" s="116"/>
      <c r="E7" s="116"/>
      <c r="F7" s="116"/>
      <c r="G7" s="116"/>
      <c r="H7" s="116" t="s">
        <v>5</v>
      </c>
      <c r="I7" s="116" t="s">
        <v>5</v>
      </c>
      <c r="J7" s="116"/>
      <c r="K7" s="116"/>
      <c r="L7" s="116" t="s">
        <v>5</v>
      </c>
    </row>
    <row r="8" spans="1:12" x14ac:dyDescent="0.25">
      <c r="A8" s="108" t="s">
        <v>133</v>
      </c>
      <c r="B8" s="116"/>
      <c r="C8" s="116" t="s">
        <v>5</v>
      </c>
      <c r="D8" s="116"/>
      <c r="E8" s="116"/>
      <c r="F8" s="116"/>
      <c r="G8" s="116"/>
      <c r="H8" s="116" t="s">
        <v>5</v>
      </c>
      <c r="I8" s="116" t="s">
        <v>5</v>
      </c>
      <c r="J8" s="116"/>
      <c r="K8" s="116"/>
      <c r="L8" s="116" t="s">
        <v>5</v>
      </c>
    </row>
    <row r="9" spans="1:12" x14ac:dyDescent="0.25">
      <c r="A9" s="108" t="s">
        <v>134</v>
      </c>
      <c r="B9" s="116"/>
      <c r="C9" s="116" t="s">
        <v>5</v>
      </c>
      <c r="D9" s="116"/>
      <c r="E9" s="116"/>
      <c r="F9" s="116"/>
      <c r="G9" s="116"/>
      <c r="H9" s="116" t="s">
        <v>5</v>
      </c>
      <c r="I9" s="116" t="s">
        <v>5</v>
      </c>
      <c r="J9" s="116"/>
      <c r="K9" s="116"/>
      <c r="L9" s="116" t="s">
        <v>5</v>
      </c>
    </row>
    <row r="10" spans="1:12" x14ac:dyDescent="0.25">
      <c r="A10" s="108" t="s">
        <v>135</v>
      </c>
      <c r="B10" s="116"/>
      <c r="C10" s="116" t="s">
        <v>5</v>
      </c>
      <c r="D10" s="116"/>
      <c r="E10" s="116"/>
      <c r="F10" s="116"/>
      <c r="G10" s="116"/>
      <c r="H10" s="116" t="s">
        <v>5</v>
      </c>
      <c r="I10" s="116" t="s">
        <v>5</v>
      </c>
      <c r="J10" s="116"/>
      <c r="K10" s="116"/>
      <c r="L10" s="116" t="s">
        <v>5</v>
      </c>
    </row>
    <row r="11" spans="1:12" x14ac:dyDescent="0.25">
      <c r="A11" s="108" t="s">
        <v>87</v>
      </c>
      <c r="B11" s="116"/>
      <c r="C11" s="116" t="s">
        <v>5</v>
      </c>
      <c r="D11" s="116"/>
      <c r="E11" s="116"/>
      <c r="F11" s="116"/>
      <c r="G11" s="116"/>
      <c r="H11" s="116"/>
      <c r="I11" s="116"/>
      <c r="J11" s="116" t="s">
        <v>5</v>
      </c>
      <c r="K11" s="116" t="s">
        <v>5</v>
      </c>
      <c r="L11" s="116"/>
    </row>
    <row r="12" spans="1:12" x14ac:dyDescent="0.25">
      <c r="A12" s="108" t="s">
        <v>88</v>
      </c>
      <c r="B12" s="116"/>
      <c r="C12" s="116" t="s">
        <v>5</v>
      </c>
      <c r="D12" s="116"/>
      <c r="E12" s="116"/>
      <c r="F12" s="116"/>
      <c r="G12" s="116"/>
      <c r="H12" s="116"/>
      <c r="I12" s="116"/>
      <c r="J12" s="116"/>
      <c r="K12" s="116" t="s">
        <v>5</v>
      </c>
      <c r="L12" s="116"/>
    </row>
    <row r="13" spans="1:12" x14ac:dyDescent="0.25">
      <c r="A13" s="108" t="s">
        <v>89</v>
      </c>
      <c r="B13" s="116"/>
      <c r="C13" s="116" t="s">
        <v>5</v>
      </c>
      <c r="D13" s="116"/>
      <c r="E13" s="116"/>
      <c r="F13" s="116"/>
      <c r="G13" s="116"/>
      <c r="H13" s="116"/>
      <c r="I13" s="116"/>
      <c r="J13" s="116"/>
      <c r="K13" s="116" t="s">
        <v>5</v>
      </c>
      <c r="L13" s="116"/>
    </row>
    <row r="14" spans="1:12" x14ac:dyDescent="0.25">
      <c r="A14" s="108" t="s">
        <v>90</v>
      </c>
      <c r="B14" s="116"/>
      <c r="C14" s="116" t="s">
        <v>5</v>
      </c>
      <c r="D14" s="116"/>
      <c r="E14" s="116"/>
      <c r="F14" s="116"/>
      <c r="G14" s="116"/>
      <c r="H14" s="116"/>
      <c r="I14" s="116"/>
      <c r="J14" s="116"/>
      <c r="K14" s="116" t="s">
        <v>5</v>
      </c>
      <c r="L14" s="116"/>
    </row>
  </sheetData>
  <sheetProtection algorithmName="SHA-512" hashValue="AuphbAiyGwBVI8bSGc/E13dafdLgZjMGS19YqM0PRM7WOWIjYYB6P3fNbDlqe4GkULquZQeyFngOz+XEHJM5HQ==" saltValue="8i+0jyLlA8iKD9zPxwyQ9w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265</v>
      </c>
      <c r="B1" s="4" t="s">
        <v>185</v>
      </c>
      <c r="C1" s="4" t="s">
        <v>189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10" ht="13" x14ac:dyDescent="0.3">
      <c r="A2" s="4" t="s">
        <v>267</v>
      </c>
      <c r="B2" s="125" t="s">
        <v>123</v>
      </c>
      <c r="C2" s="8" t="s">
        <v>179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6"/>
      <c r="C3" s="8" t="s">
        <v>178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6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5" t="s">
        <v>97</v>
      </c>
      <c r="C5" s="8" t="s">
        <v>179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6"/>
      <c r="C6" s="8" t="s">
        <v>178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6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5" t="s">
        <v>93</v>
      </c>
      <c r="C8" s="8" t="s">
        <v>179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6"/>
      <c r="C9" s="8" t="s">
        <v>178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6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5" t="s">
        <v>96</v>
      </c>
      <c r="C11" s="8" t="s">
        <v>179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6"/>
      <c r="C12" s="8" t="s">
        <v>178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6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5" t="s">
        <v>94</v>
      </c>
      <c r="C14" s="8" t="s">
        <v>179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6"/>
      <c r="C15" s="8" t="s">
        <v>178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6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177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273</v>
      </c>
      <c r="B19" s="125" t="s">
        <v>123</v>
      </c>
      <c r="C19" s="8" t="s">
        <v>179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6"/>
      <c r="C20" s="8" t="s">
        <v>178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6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5" t="s">
        <v>97</v>
      </c>
      <c r="C22" s="8" t="s">
        <v>179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6"/>
      <c r="C23" s="8" t="s">
        <v>178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6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5" t="s">
        <v>93</v>
      </c>
      <c r="C25" s="8" t="s">
        <v>179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6"/>
      <c r="C26" s="8" t="s">
        <v>178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6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5" t="s">
        <v>96</v>
      </c>
      <c r="C28" s="8" t="s">
        <v>179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6"/>
      <c r="C29" s="8" t="s">
        <v>178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6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5" t="s">
        <v>94</v>
      </c>
      <c r="C31" s="8" t="s">
        <v>179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6"/>
      <c r="C32" s="8" t="s">
        <v>178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6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177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270</v>
      </c>
      <c r="B36" s="125" t="s">
        <v>123</v>
      </c>
      <c r="C36" s="8" t="s">
        <v>179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6"/>
      <c r="C37" s="8" t="s">
        <v>178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6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5" t="s">
        <v>97</v>
      </c>
      <c r="C39" s="8" t="s">
        <v>179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6"/>
      <c r="C40" s="8" t="s">
        <v>178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6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5" t="s">
        <v>93</v>
      </c>
      <c r="C42" s="8" t="s">
        <v>179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6"/>
      <c r="C43" s="8" t="s">
        <v>178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6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5" t="s">
        <v>96</v>
      </c>
      <c r="C45" s="8" t="s">
        <v>179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6"/>
      <c r="C46" s="8" t="s">
        <v>178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6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5" t="s">
        <v>94</v>
      </c>
      <c r="C48" s="8" t="s">
        <v>179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6"/>
      <c r="C49" s="8" t="s">
        <v>178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6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177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265</v>
      </c>
      <c r="B54" s="4" t="s">
        <v>185</v>
      </c>
      <c r="C54" s="4" t="s">
        <v>189</v>
      </c>
      <c r="D54" s="4" t="s">
        <v>97</v>
      </c>
      <c r="E54" s="4" t="s">
        <v>93</v>
      </c>
      <c r="F54" s="4" t="s">
        <v>96</v>
      </c>
      <c r="G54" s="4" t="s">
        <v>94</v>
      </c>
      <c r="H54" s="4" t="s">
        <v>95</v>
      </c>
    </row>
    <row r="55" spans="1:8" ht="13" x14ac:dyDescent="0.3">
      <c r="A55" s="4" t="s">
        <v>268</v>
      </c>
      <c r="B55" s="125" t="s">
        <v>123</v>
      </c>
      <c r="C55" s="8" t="s">
        <v>179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6"/>
      <c r="C56" s="8" t="s">
        <v>178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6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5" t="s">
        <v>97</v>
      </c>
      <c r="C58" s="8" t="s">
        <v>179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6"/>
      <c r="C59" s="8" t="s">
        <v>178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6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5" t="s">
        <v>93</v>
      </c>
      <c r="C61" s="8" t="s">
        <v>179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6"/>
      <c r="C62" s="8" t="s">
        <v>178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6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5" t="s">
        <v>96</v>
      </c>
      <c r="C64" s="8" t="s">
        <v>179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6"/>
      <c r="C65" s="8" t="s">
        <v>178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6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5" t="s">
        <v>94</v>
      </c>
      <c r="C67" s="8" t="s">
        <v>179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6"/>
      <c r="C68" s="8" t="s">
        <v>178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6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177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274</v>
      </c>
      <c r="B72" s="125" t="s">
        <v>123</v>
      </c>
      <c r="C72" s="8" t="s">
        <v>179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6"/>
      <c r="C73" s="8" t="s">
        <v>178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6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5" t="s">
        <v>97</v>
      </c>
      <c r="C75" s="8" t="s">
        <v>179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6"/>
      <c r="C76" s="8" t="s">
        <v>178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6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5" t="s">
        <v>93</v>
      </c>
      <c r="C78" s="8" t="s">
        <v>179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6"/>
      <c r="C79" s="8" t="s">
        <v>178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6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5" t="s">
        <v>96</v>
      </c>
      <c r="C81" s="8" t="s">
        <v>179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6"/>
      <c r="C82" s="8" t="s">
        <v>178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6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5" t="s">
        <v>94</v>
      </c>
      <c r="C84" s="8" t="s">
        <v>179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6"/>
      <c r="C85" s="8" t="s">
        <v>178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6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177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271</v>
      </c>
      <c r="B89" s="125" t="s">
        <v>123</v>
      </c>
      <c r="C89" s="8" t="s">
        <v>179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6"/>
      <c r="C90" s="8" t="s">
        <v>178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6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5" t="s">
        <v>97</v>
      </c>
      <c r="C92" s="8" t="s">
        <v>179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6"/>
      <c r="C93" s="8" t="s">
        <v>178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6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5" t="s">
        <v>93</v>
      </c>
      <c r="C95" s="8" t="s">
        <v>179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6"/>
      <c r="C96" s="8" t="s">
        <v>178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6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5" t="s">
        <v>96</v>
      </c>
      <c r="C98" s="8" t="s">
        <v>179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6"/>
      <c r="C99" s="8" t="s">
        <v>178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6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5" t="s">
        <v>94</v>
      </c>
      <c r="C101" s="8" t="s">
        <v>179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6"/>
      <c r="C102" s="8" t="s">
        <v>178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6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177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276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265</v>
      </c>
      <c r="B107" s="4" t="s">
        <v>185</v>
      </c>
      <c r="C107" s="4" t="s">
        <v>189</v>
      </c>
      <c r="D107" s="4" t="s">
        <v>97</v>
      </c>
      <c r="E107" s="4" t="s">
        <v>93</v>
      </c>
      <c r="F107" s="4" t="s">
        <v>96</v>
      </c>
      <c r="G107" s="4" t="s">
        <v>94</v>
      </c>
      <c r="H107" s="4" t="s">
        <v>95</v>
      </c>
    </row>
    <row r="108" spans="1:8" ht="13" x14ac:dyDescent="0.3">
      <c r="A108" s="4" t="s">
        <v>269</v>
      </c>
      <c r="B108" s="125" t="s">
        <v>123</v>
      </c>
      <c r="C108" s="8" t="s">
        <v>179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6"/>
      <c r="C109" s="8" t="s">
        <v>178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6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5" t="s">
        <v>97</v>
      </c>
      <c r="C111" s="8" t="s">
        <v>179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6"/>
      <c r="C112" s="8" t="s">
        <v>178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6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5" t="s">
        <v>93</v>
      </c>
      <c r="C114" s="8" t="s">
        <v>179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6"/>
      <c r="C115" s="8" t="s">
        <v>178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6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5" t="s">
        <v>96</v>
      </c>
      <c r="C117" s="8" t="s">
        <v>179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6"/>
      <c r="C118" s="8" t="s">
        <v>178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6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5" t="s">
        <v>94</v>
      </c>
      <c r="C120" s="8" t="s">
        <v>179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6"/>
      <c r="C121" s="8" t="s">
        <v>178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6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177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275</v>
      </c>
      <c r="B125" s="125" t="s">
        <v>123</v>
      </c>
      <c r="C125" s="8" t="s">
        <v>179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6"/>
      <c r="C126" s="8" t="s">
        <v>178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6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5" t="s">
        <v>97</v>
      </c>
      <c r="C128" s="8" t="s">
        <v>179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6"/>
      <c r="C129" s="8" t="s">
        <v>178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6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5" t="s">
        <v>93</v>
      </c>
      <c r="C131" s="8" t="s">
        <v>179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6"/>
      <c r="C132" s="8" t="s">
        <v>178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6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5" t="s">
        <v>96</v>
      </c>
      <c r="C134" s="8" t="s">
        <v>179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6"/>
      <c r="C135" s="8" t="s">
        <v>178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6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5" t="s">
        <v>94</v>
      </c>
      <c r="C137" s="8" t="s">
        <v>179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6"/>
      <c r="C138" s="8" t="s">
        <v>178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6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177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272</v>
      </c>
      <c r="B142" s="125" t="s">
        <v>123</v>
      </c>
      <c r="C142" s="8" t="s">
        <v>179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6"/>
      <c r="C143" s="8" t="s">
        <v>178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6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5" t="s">
        <v>97</v>
      </c>
      <c r="C145" s="8" t="s">
        <v>179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6"/>
      <c r="C146" s="8" t="s">
        <v>178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6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5" t="s">
        <v>93</v>
      </c>
      <c r="C148" s="8" t="s">
        <v>179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6"/>
      <c r="C149" s="8" t="s">
        <v>178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6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5" t="s">
        <v>96</v>
      </c>
      <c r="C151" s="8" t="s">
        <v>179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6"/>
      <c r="C152" s="8" t="s">
        <v>178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6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5" t="s">
        <v>94</v>
      </c>
      <c r="C154" s="8" t="s">
        <v>179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6"/>
      <c r="C155" s="8" t="s">
        <v>178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6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177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rjMQa+YG/6JNgOuZL1pTdz0OweLwZvBWhgKtOiL3addytjgm6ZZsLS7PYvR5zalvf4aaXtqc+3o9PeNQyNMhGQ==" saltValue="7FiovST8wu5mk45Wp01Pmg==" spinCount="100000" sheet="1" objects="1" scenarios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6" customWidth="1"/>
    <col min="2" max="2" width="44.453125" style="106" customWidth="1"/>
    <col min="3" max="3" width="17.7265625" style="106" customWidth="1"/>
    <col min="4" max="4" width="17.54296875" style="106" customWidth="1"/>
    <col min="5" max="5" width="17.26953125" style="106" customWidth="1"/>
    <col min="6" max="6" width="15" style="106" customWidth="1"/>
    <col min="7" max="7" width="13.7265625" style="106" customWidth="1"/>
    <col min="8" max="16384" width="12.7265625" style="106"/>
  </cols>
  <sheetData>
    <row r="1" spans="1:7" s="121" customFormat="1" ht="14.25" customHeight="1" x14ac:dyDescent="0.3">
      <c r="A1" s="120" t="s">
        <v>307</v>
      </c>
    </row>
    <row r="2" spans="1:7" ht="14.25" customHeight="1" x14ac:dyDescent="0.3">
      <c r="A2" s="122" t="s">
        <v>237</v>
      </c>
      <c r="B2" s="107"/>
      <c r="C2" s="105" t="s">
        <v>97</v>
      </c>
      <c r="D2" s="105" t="s">
        <v>93</v>
      </c>
      <c r="E2" s="105" t="s">
        <v>96</v>
      </c>
      <c r="F2" s="105" t="s">
        <v>94</v>
      </c>
      <c r="G2" s="105" t="s">
        <v>95</v>
      </c>
    </row>
    <row r="3" spans="1:7" ht="14.25" customHeight="1" x14ac:dyDescent="0.25">
      <c r="B3" s="117" t="s">
        <v>294</v>
      </c>
      <c r="C3" s="118" t="s">
        <v>8</v>
      </c>
      <c r="D3" s="118">
        <v>45</v>
      </c>
      <c r="E3" s="118">
        <v>361.6</v>
      </c>
      <c r="F3" s="118">
        <v>174.7</v>
      </c>
      <c r="G3" s="118">
        <v>174.7</v>
      </c>
    </row>
    <row r="4" spans="1:7" ht="14.25" customHeight="1" x14ac:dyDescent="0.3">
      <c r="A4" s="105"/>
      <c r="B4" s="117" t="s">
        <v>280</v>
      </c>
      <c r="C4" s="118">
        <v>1.0249999999999999</v>
      </c>
      <c r="D4" s="118">
        <v>1.0249999999999999</v>
      </c>
      <c r="E4" s="118">
        <v>1.0249999999999999</v>
      </c>
      <c r="F4" s="118">
        <v>1.0249999999999999</v>
      </c>
      <c r="G4" s="118">
        <v>1.0249999999999999</v>
      </c>
    </row>
    <row r="5" spans="1:7" ht="14.25" customHeight="1" x14ac:dyDescent="0.3">
      <c r="A5" s="123" t="s">
        <v>277</v>
      </c>
    </row>
    <row r="6" spans="1:7" ht="14.25" customHeight="1" x14ac:dyDescent="0.25">
      <c r="B6" s="117" t="s">
        <v>222</v>
      </c>
      <c r="C6" s="118">
        <v>1</v>
      </c>
      <c r="D6" s="118">
        <v>1</v>
      </c>
      <c r="E6" s="118">
        <v>0.89</v>
      </c>
      <c r="F6" s="118">
        <v>0.89</v>
      </c>
      <c r="G6" s="118">
        <v>1</v>
      </c>
    </row>
    <row r="7" spans="1:7" ht="14.25" customHeight="1" x14ac:dyDescent="0.25">
      <c r="B7" s="117" t="s">
        <v>213</v>
      </c>
      <c r="C7" s="118">
        <v>1</v>
      </c>
      <c r="D7" s="118">
        <v>1</v>
      </c>
      <c r="E7" s="118">
        <v>0.88</v>
      </c>
      <c r="F7" s="118">
        <v>0.88</v>
      </c>
      <c r="G7" s="118">
        <v>1</v>
      </c>
    </row>
    <row r="8" spans="1:7" ht="14.25" customHeight="1" x14ac:dyDescent="0.25">
      <c r="B8" s="117" t="s">
        <v>196</v>
      </c>
      <c r="C8" s="118">
        <v>1</v>
      </c>
      <c r="D8" s="118">
        <v>1</v>
      </c>
      <c r="E8" s="118">
        <v>1</v>
      </c>
      <c r="F8" s="118">
        <v>0.80800000000000005</v>
      </c>
      <c r="G8" s="118">
        <v>0.80800000000000005</v>
      </c>
    </row>
    <row r="9" spans="1:7" ht="14.25" customHeight="1" x14ac:dyDescent="0.25">
      <c r="B9" s="117" t="s">
        <v>233</v>
      </c>
      <c r="C9" s="118">
        <v>1</v>
      </c>
      <c r="D9" s="118">
        <v>1</v>
      </c>
      <c r="E9" s="118">
        <v>0.88</v>
      </c>
      <c r="F9" s="118">
        <v>0.88</v>
      </c>
      <c r="G9" s="118">
        <v>1</v>
      </c>
    </row>
    <row r="10" spans="1:7" ht="14.25" customHeight="1" x14ac:dyDescent="0.25">
      <c r="B10" s="117" t="s">
        <v>232</v>
      </c>
      <c r="C10" s="118">
        <v>1</v>
      </c>
      <c r="D10" s="118">
        <v>1</v>
      </c>
      <c r="E10" s="118">
        <v>1</v>
      </c>
      <c r="F10" s="118">
        <v>1</v>
      </c>
      <c r="G10" s="118">
        <v>1</v>
      </c>
    </row>
    <row r="11" spans="1:7" ht="14.25" customHeight="1" x14ac:dyDescent="0.25">
      <c r="B11" s="117"/>
      <c r="C11" s="117"/>
      <c r="D11" s="117"/>
      <c r="E11" s="117"/>
      <c r="F11" s="117"/>
      <c r="G11" s="117"/>
    </row>
    <row r="12" spans="1:7" s="121" customFormat="1" ht="14.25" customHeight="1" x14ac:dyDescent="0.3">
      <c r="A12" s="120" t="s">
        <v>301</v>
      </c>
    </row>
    <row r="13" spans="1:7" ht="14.25" customHeight="1" x14ac:dyDescent="0.3">
      <c r="A13" s="123"/>
      <c r="B13" s="117" t="s">
        <v>211</v>
      </c>
      <c r="C13" s="118">
        <v>1</v>
      </c>
      <c r="D13" s="118">
        <v>1.39</v>
      </c>
      <c r="E13" s="118">
        <v>1</v>
      </c>
      <c r="F13" s="118">
        <v>1</v>
      </c>
      <c r="G13" s="118">
        <v>1</v>
      </c>
    </row>
    <row r="14" spans="1:7" ht="14.25" customHeight="1" x14ac:dyDescent="0.3">
      <c r="A14" s="123"/>
      <c r="B14" s="114"/>
    </row>
    <row r="15" spans="1:7" s="121" customFormat="1" ht="14.25" customHeight="1" x14ac:dyDescent="0.3">
      <c r="A15" s="120" t="s">
        <v>308</v>
      </c>
    </row>
    <row r="16" spans="1:7" ht="14.25" customHeight="1" x14ac:dyDescent="0.3">
      <c r="A16" s="122" t="s">
        <v>311</v>
      </c>
      <c r="B16" s="117" t="s">
        <v>288</v>
      </c>
      <c r="C16" s="118">
        <v>1.024</v>
      </c>
      <c r="D16" s="118">
        <v>1.024</v>
      </c>
      <c r="E16" s="118">
        <v>1.024</v>
      </c>
      <c r="F16" s="118">
        <v>1.024</v>
      </c>
      <c r="G16" s="118">
        <v>1.024</v>
      </c>
    </row>
    <row r="17" spans="1:7" ht="14.25" customHeight="1" x14ac:dyDescent="0.3">
      <c r="A17" s="105"/>
      <c r="B17" s="117" t="s">
        <v>285</v>
      </c>
      <c r="C17" s="118">
        <v>1.024</v>
      </c>
      <c r="D17" s="118">
        <v>1.024</v>
      </c>
      <c r="E17" s="118">
        <v>1.024</v>
      </c>
      <c r="F17" s="118">
        <v>1.024</v>
      </c>
      <c r="G17" s="118">
        <v>1.024</v>
      </c>
    </row>
    <row r="18" spans="1:7" ht="14.25" customHeight="1" x14ac:dyDescent="0.3">
      <c r="A18" s="122" t="s">
        <v>124</v>
      </c>
      <c r="B18" s="117" t="s">
        <v>291</v>
      </c>
      <c r="C18" s="118">
        <v>1</v>
      </c>
      <c r="D18" s="118">
        <v>1</v>
      </c>
      <c r="E18" s="118">
        <v>1</v>
      </c>
      <c r="F18" s="118">
        <v>1</v>
      </c>
      <c r="G18" s="118">
        <v>1</v>
      </c>
    </row>
    <row r="19" spans="1:7" ht="14.25" customHeight="1" x14ac:dyDescent="0.25"/>
    <row r="20" spans="1:7" s="121" customFormat="1" ht="14.25" customHeight="1" x14ac:dyDescent="0.3">
      <c r="A20" s="120" t="s">
        <v>304</v>
      </c>
    </row>
    <row r="21" spans="1:7" s="123" customFormat="1" ht="14.25" customHeight="1" x14ac:dyDescent="0.3">
      <c r="C21" s="124" t="s">
        <v>87</v>
      </c>
      <c r="D21" s="124" t="s">
        <v>88</v>
      </c>
      <c r="E21" s="124" t="s">
        <v>89</v>
      </c>
      <c r="F21" s="124" t="s">
        <v>90</v>
      </c>
    </row>
    <row r="22" spans="1:7" x14ac:dyDescent="0.25">
      <c r="B22" s="117" t="s">
        <v>199</v>
      </c>
      <c r="C22" s="118">
        <v>1.52</v>
      </c>
      <c r="D22" s="118">
        <v>1</v>
      </c>
      <c r="E22" s="118">
        <v>1</v>
      </c>
      <c r="F22" s="118">
        <v>1</v>
      </c>
    </row>
    <row r="24" spans="1:7" s="119" customFormat="1" ht="13" x14ac:dyDescent="0.3">
      <c r="A24" s="119" t="s">
        <v>266</v>
      </c>
    </row>
    <row r="25" spans="1:7" ht="13" x14ac:dyDescent="0.3">
      <c r="A25" s="120" t="s">
        <v>307</v>
      </c>
      <c r="B25" s="121"/>
      <c r="C25" s="121"/>
      <c r="D25" s="121"/>
      <c r="E25" s="121"/>
      <c r="F25" s="121"/>
      <c r="G25" s="121"/>
    </row>
    <row r="26" spans="1:7" ht="13" x14ac:dyDescent="0.3">
      <c r="A26" s="122" t="s">
        <v>237</v>
      </c>
      <c r="B26" s="107"/>
      <c r="C26" s="105" t="s">
        <v>97</v>
      </c>
      <c r="D26" s="105" t="s">
        <v>93</v>
      </c>
      <c r="E26" s="105" t="s">
        <v>96</v>
      </c>
      <c r="F26" s="105" t="s">
        <v>94</v>
      </c>
      <c r="G26" s="105" t="s">
        <v>95</v>
      </c>
    </row>
    <row r="27" spans="1:7" x14ac:dyDescent="0.25">
      <c r="B27" s="117" t="s">
        <v>295</v>
      </c>
      <c r="C27" s="118" t="s">
        <v>8</v>
      </c>
      <c r="D27" s="118">
        <f t="shared" ref="D27:G27" si="0">D3*0.9</f>
        <v>40.5</v>
      </c>
      <c r="E27" s="118">
        <f t="shared" si="0"/>
        <v>325.44000000000005</v>
      </c>
      <c r="F27" s="118">
        <f t="shared" si="0"/>
        <v>157.22999999999999</v>
      </c>
      <c r="G27" s="118">
        <f t="shared" si="0"/>
        <v>157.22999999999999</v>
      </c>
    </row>
    <row r="28" spans="1:7" ht="13" x14ac:dyDescent="0.3">
      <c r="A28" s="105"/>
      <c r="B28" s="117" t="s">
        <v>281</v>
      </c>
      <c r="C28" s="118">
        <v>1.014</v>
      </c>
      <c r="D28" s="118">
        <v>1.014</v>
      </c>
      <c r="E28" s="118">
        <v>1.014</v>
      </c>
      <c r="F28" s="118">
        <v>1.014</v>
      </c>
      <c r="G28" s="118">
        <v>1.014</v>
      </c>
    </row>
    <row r="29" spans="1:7" ht="13" x14ac:dyDescent="0.3">
      <c r="A29" s="123" t="s">
        <v>278</v>
      </c>
    </row>
    <row r="30" spans="1:7" x14ac:dyDescent="0.25">
      <c r="B30" s="117" t="s">
        <v>309</v>
      </c>
      <c r="C30" s="118">
        <f>IF(C6=1,1,C6*0.9)</f>
        <v>1</v>
      </c>
      <c r="D30" s="118">
        <f t="shared" ref="D30:G30" si="1">IF(D6=1,1,D6*0.9)</f>
        <v>1</v>
      </c>
      <c r="E30" s="118">
        <f>E6*0.9</f>
        <v>0.80100000000000005</v>
      </c>
      <c r="F30" s="118">
        <f>F6*0.9</f>
        <v>0.80100000000000005</v>
      </c>
      <c r="G30" s="118">
        <f t="shared" si="1"/>
        <v>1</v>
      </c>
    </row>
    <row r="31" spans="1:7" x14ac:dyDescent="0.25">
      <c r="B31" s="117" t="s">
        <v>299</v>
      </c>
      <c r="C31" s="118">
        <f>IF(C7=1,1,C7*0.9)</f>
        <v>1</v>
      </c>
      <c r="D31" s="118">
        <f>IF(D7=1,1,D7*0.9)</f>
        <v>1</v>
      </c>
      <c r="E31" s="118">
        <v>0.85</v>
      </c>
      <c r="F31" s="118">
        <v>0.85</v>
      </c>
      <c r="G31" s="118">
        <f>IF(G7=1,1,G7*0.9)</f>
        <v>1</v>
      </c>
    </row>
    <row r="32" spans="1:7" x14ac:dyDescent="0.25">
      <c r="B32" s="117" t="s">
        <v>27</v>
      </c>
      <c r="C32" s="118">
        <f>IF(C8=1,1,C8*0.9)</f>
        <v>1</v>
      </c>
      <c r="D32" s="118">
        <f>IF(D8=1,1,D8*0.9)</f>
        <v>1</v>
      </c>
      <c r="E32" s="118">
        <v>1</v>
      </c>
      <c r="F32" s="90">
        <v>0.39500000000000002</v>
      </c>
      <c r="G32" s="90">
        <v>0.39500000000000002</v>
      </c>
    </row>
    <row r="33" spans="1:7" x14ac:dyDescent="0.25">
      <c r="B33" s="117" t="s">
        <v>314</v>
      </c>
      <c r="C33" s="118">
        <f t="shared" ref="C33:G33" si="2">IF(C9=1,1,C9*0.9)</f>
        <v>1</v>
      </c>
      <c r="D33" s="118">
        <f t="shared" si="2"/>
        <v>1</v>
      </c>
      <c r="E33" s="118">
        <v>0.85</v>
      </c>
      <c r="F33" s="118">
        <v>0.85</v>
      </c>
      <c r="G33" s="118">
        <f t="shared" si="2"/>
        <v>1</v>
      </c>
    </row>
    <row r="34" spans="1:7" x14ac:dyDescent="0.25">
      <c r="B34" s="117" t="s">
        <v>312</v>
      </c>
      <c r="C34" s="118">
        <f>IF(C10=1,1,C10*0.9)</f>
        <v>1</v>
      </c>
      <c r="D34" s="118">
        <f>IF(D10=1,1,D10*0.9)</f>
        <v>1</v>
      </c>
      <c r="E34" s="118">
        <f>IF(E10=1,1,E10*0.9)</f>
        <v>1</v>
      </c>
      <c r="F34" s="118">
        <f>IF(F10=1,1,F10*0.9)</f>
        <v>1</v>
      </c>
      <c r="G34" s="118">
        <f>IF(G10=1,1,G10*0.9)</f>
        <v>1</v>
      </c>
    </row>
    <row r="35" spans="1:7" x14ac:dyDescent="0.25">
      <c r="B35" s="117"/>
      <c r="C35" s="117"/>
      <c r="D35" s="117"/>
      <c r="E35" s="117"/>
      <c r="F35" s="117"/>
      <c r="G35" s="117"/>
    </row>
    <row r="36" spans="1:7" ht="13" x14ac:dyDescent="0.3">
      <c r="A36" s="120" t="s">
        <v>302</v>
      </c>
      <c r="B36" s="121"/>
      <c r="C36" s="121"/>
      <c r="D36" s="121"/>
      <c r="E36" s="121"/>
      <c r="F36" s="121"/>
      <c r="G36" s="121"/>
    </row>
    <row r="37" spans="1:7" ht="13" x14ac:dyDescent="0.3">
      <c r="A37" s="123"/>
      <c r="B37" s="117" t="s">
        <v>297</v>
      </c>
      <c r="C37" s="118">
        <v>1</v>
      </c>
      <c r="D37" s="118">
        <v>1.1100000000000001</v>
      </c>
      <c r="E37" s="118">
        <v>1</v>
      </c>
      <c r="F37" s="118">
        <v>1</v>
      </c>
      <c r="G37" s="118">
        <v>1</v>
      </c>
    </row>
    <row r="38" spans="1:7" ht="13" x14ac:dyDescent="0.3">
      <c r="A38" s="123"/>
      <c r="B38" s="114"/>
    </row>
    <row r="39" spans="1:7" ht="13" x14ac:dyDescent="0.3">
      <c r="A39" s="120" t="s">
        <v>308</v>
      </c>
      <c r="B39" s="121"/>
      <c r="C39" s="121"/>
      <c r="D39" s="121"/>
      <c r="E39" s="121"/>
      <c r="F39" s="121"/>
      <c r="G39" s="121"/>
    </row>
    <row r="40" spans="1:7" ht="13" x14ac:dyDescent="0.3">
      <c r="A40" s="122" t="s">
        <v>311</v>
      </c>
      <c r="B40" s="117" t="s">
        <v>289</v>
      </c>
      <c r="C40" s="118">
        <v>1.016</v>
      </c>
      <c r="D40" s="118">
        <v>1.016</v>
      </c>
      <c r="E40" s="118">
        <v>1.016</v>
      </c>
      <c r="F40" s="118">
        <v>1.016</v>
      </c>
      <c r="G40" s="118">
        <v>1.016</v>
      </c>
    </row>
    <row r="41" spans="1:7" ht="13" x14ac:dyDescent="0.3">
      <c r="A41" s="105"/>
      <c r="B41" s="117" t="s">
        <v>286</v>
      </c>
      <c r="C41" s="118">
        <v>1.016</v>
      </c>
      <c r="D41" s="118">
        <v>1.016</v>
      </c>
      <c r="E41" s="118">
        <v>1.016</v>
      </c>
      <c r="F41" s="118">
        <v>1.016</v>
      </c>
      <c r="G41" s="118">
        <v>1.016</v>
      </c>
    </row>
    <row r="42" spans="1:7" ht="13" x14ac:dyDescent="0.3">
      <c r="A42" s="122" t="s">
        <v>124</v>
      </c>
      <c r="B42" s="117" t="s">
        <v>292</v>
      </c>
      <c r="C42" s="118">
        <f t="shared" ref="C42:G42" si="3">IF(C18=1,1,C18*0.9)</f>
        <v>1</v>
      </c>
      <c r="D42" s="118">
        <f t="shared" si="3"/>
        <v>1</v>
      </c>
      <c r="E42" s="118">
        <f t="shared" si="3"/>
        <v>1</v>
      </c>
      <c r="F42" s="118">
        <f t="shared" si="3"/>
        <v>1</v>
      </c>
      <c r="G42" s="118">
        <f t="shared" si="3"/>
        <v>1</v>
      </c>
    </row>
    <row r="44" spans="1:7" ht="13" x14ac:dyDescent="0.3">
      <c r="A44" s="120" t="s">
        <v>305</v>
      </c>
      <c r="B44" s="121"/>
      <c r="C44" s="121"/>
      <c r="D44" s="121"/>
      <c r="E44" s="121"/>
      <c r="F44" s="121"/>
      <c r="G44" s="121"/>
    </row>
    <row r="45" spans="1:7" ht="13" x14ac:dyDescent="0.3">
      <c r="A45" s="123"/>
      <c r="B45" s="123"/>
      <c r="C45" s="124" t="s">
        <v>87</v>
      </c>
      <c r="D45" s="124" t="s">
        <v>88</v>
      </c>
      <c r="E45" s="124" t="s">
        <v>89</v>
      </c>
      <c r="F45" s="124" t="s">
        <v>90</v>
      </c>
      <c r="G45" s="123"/>
    </row>
    <row r="46" spans="1:7" x14ac:dyDescent="0.25">
      <c r="B46" s="117" t="s">
        <v>283</v>
      </c>
      <c r="C46" s="118">
        <f>C22*0.9</f>
        <v>1.3680000000000001</v>
      </c>
      <c r="D46" s="118">
        <v>1</v>
      </c>
      <c r="E46" s="118">
        <v>1</v>
      </c>
      <c r="F46" s="118">
        <v>1</v>
      </c>
    </row>
    <row r="48" spans="1:7" s="119" customFormat="1" ht="13" x14ac:dyDescent="0.3">
      <c r="A48" s="119" t="s">
        <v>276</v>
      </c>
    </row>
    <row r="49" spans="1:7" ht="13" x14ac:dyDescent="0.3">
      <c r="A49" s="120" t="s">
        <v>307</v>
      </c>
      <c r="B49" s="121"/>
      <c r="C49" s="121"/>
      <c r="D49" s="121"/>
      <c r="E49" s="121"/>
      <c r="F49" s="121"/>
      <c r="G49" s="121"/>
    </row>
    <row r="50" spans="1:7" ht="13" x14ac:dyDescent="0.3">
      <c r="A50" s="122" t="s">
        <v>237</v>
      </c>
      <c r="B50" s="107"/>
      <c r="C50" s="105" t="s">
        <v>97</v>
      </c>
      <c r="D50" s="105" t="s">
        <v>93</v>
      </c>
      <c r="E50" s="105" t="s">
        <v>96</v>
      </c>
      <c r="F50" s="105" t="s">
        <v>94</v>
      </c>
      <c r="G50" s="105" t="s">
        <v>95</v>
      </c>
    </row>
    <row r="51" spans="1:7" x14ac:dyDescent="0.25">
      <c r="B51" s="117" t="s">
        <v>296</v>
      </c>
      <c r="C51" s="118" t="s">
        <v>8</v>
      </c>
      <c r="D51" s="118">
        <f t="shared" ref="D51:G51" si="4">D3*1.05</f>
        <v>47.25</v>
      </c>
      <c r="E51" s="118">
        <f t="shared" si="4"/>
        <v>379.68000000000006</v>
      </c>
      <c r="F51" s="118">
        <f t="shared" si="4"/>
        <v>183.435</v>
      </c>
      <c r="G51" s="118">
        <f t="shared" si="4"/>
        <v>183.435</v>
      </c>
    </row>
    <row r="52" spans="1:7" ht="13" x14ac:dyDescent="0.3">
      <c r="A52" s="105"/>
      <c r="B52" s="117" t="s">
        <v>282</v>
      </c>
      <c r="C52" s="118">
        <v>1.0349999999999999</v>
      </c>
      <c r="D52" s="118">
        <v>1.0349999999999999</v>
      </c>
      <c r="E52" s="118">
        <v>1.0349999999999999</v>
      </c>
      <c r="F52" s="118">
        <v>1.0349999999999999</v>
      </c>
      <c r="G52" s="118">
        <v>1.0349999999999999</v>
      </c>
    </row>
    <row r="53" spans="1:7" ht="13" x14ac:dyDescent="0.3">
      <c r="A53" s="123" t="s">
        <v>279</v>
      </c>
    </row>
    <row r="54" spans="1:7" x14ac:dyDescent="0.25">
      <c r="B54" s="117" t="s">
        <v>310</v>
      </c>
      <c r="C54" s="118">
        <f>IF(C6=1,1,C6*1.1)</f>
        <v>1</v>
      </c>
      <c r="D54" s="118">
        <f t="shared" ref="D54:G54" si="5">IF(D6=1,1,D6*1.1)</f>
        <v>1</v>
      </c>
      <c r="E54" s="118">
        <f>E6*1.05</f>
        <v>0.93450000000000011</v>
      </c>
      <c r="F54" s="118">
        <f>F6*1.05</f>
        <v>0.93450000000000011</v>
      </c>
      <c r="G54" s="118">
        <f t="shared" si="5"/>
        <v>1</v>
      </c>
    </row>
    <row r="55" spans="1:7" x14ac:dyDescent="0.25">
      <c r="B55" s="117" t="s">
        <v>300</v>
      </c>
      <c r="C55" s="118">
        <f>IF(C7=1,1,C7*1.1)</f>
        <v>1</v>
      </c>
      <c r="D55" s="118">
        <f>IF(D7=1,1,D7*1.1)</f>
        <v>1</v>
      </c>
      <c r="E55" s="118">
        <v>0.91</v>
      </c>
      <c r="F55" s="118">
        <v>0.91</v>
      </c>
      <c r="G55" s="118">
        <f>IF(G7=1,1,G7*1.1)</f>
        <v>1</v>
      </c>
    </row>
    <row r="56" spans="1:7" x14ac:dyDescent="0.25">
      <c r="B56" s="117" t="s">
        <v>28</v>
      </c>
      <c r="C56" s="118">
        <f>IF(C8=1,1,C8*1.1)</f>
        <v>1</v>
      </c>
      <c r="D56" s="118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7" t="s">
        <v>315</v>
      </c>
      <c r="C57" s="118">
        <f t="shared" ref="C57:G58" si="6">IF(C9=1,1,C9*1.1)</f>
        <v>1</v>
      </c>
      <c r="D57" s="118">
        <f t="shared" si="6"/>
        <v>1</v>
      </c>
      <c r="E57" s="118">
        <v>0.91</v>
      </c>
      <c r="F57" s="118">
        <v>0.91</v>
      </c>
      <c r="G57" s="118">
        <f t="shared" si="6"/>
        <v>1</v>
      </c>
    </row>
    <row r="58" spans="1:7" x14ac:dyDescent="0.25">
      <c r="B58" s="117" t="s">
        <v>313</v>
      </c>
      <c r="C58" s="118">
        <f t="shared" si="6"/>
        <v>1</v>
      </c>
      <c r="D58" s="118">
        <f t="shared" si="6"/>
        <v>1</v>
      </c>
      <c r="E58" s="118">
        <f t="shared" si="6"/>
        <v>1</v>
      </c>
      <c r="F58" s="118">
        <f t="shared" si="6"/>
        <v>1</v>
      </c>
      <c r="G58" s="118">
        <f t="shared" si="6"/>
        <v>1</v>
      </c>
    </row>
    <row r="59" spans="1:7" x14ac:dyDescent="0.25">
      <c r="B59" s="117"/>
      <c r="C59" s="117"/>
      <c r="D59" s="117"/>
      <c r="E59" s="117"/>
      <c r="F59" s="117"/>
      <c r="G59" s="117"/>
    </row>
    <row r="60" spans="1:7" ht="13" x14ac:dyDescent="0.3">
      <c r="A60" s="120" t="s">
        <v>303</v>
      </c>
      <c r="B60" s="121"/>
      <c r="C60" s="121"/>
      <c r="D60" s="121"/>
      <c r="E60" s="121"/>
      <c r="F60" s="121"/>
      <c r="G60" s="121"/>
    </row>
    <row r="61" spans="1:7" ht="13" x14ac:dyDescent="0.3">
      <c r="A61" s="123"/>
      <c r="B61" s="117" t="s">
        <v>298</v>
      </c>
      <c r="C61" s="118">
        <v>1</v>
      </c>
      <c r="D61" s="118">
        <v>1.74</v>
      </c>
      <c r="E61" s="118">
        <v>1</v>
      </c>
      <c r="F61" s="118">
        <v>1</v>
      </c>
      <c r="G61" s="118">
        <v>1</v>
      </c>
    </row>
    <row r="62" spans="1:7" ht="13" x14ac:dyDescent="0.3">
      <c r="A62" s="123"/>
      <c r="B62" s="114"/>
    </row>
    <row r="63" spans="1:7" ht="13" x14ac:dyDescent="0.3">
      <c r="A63" s="120" t="s">
        <v>308</v>
      </c>
      <c r="B63" s="121"/>
      <c r="C63" s="121"/>
      <c r="D63" s="121"/>
      <c r="E63" s="121"/>
      <c r="F63" s="121"/>
      <c r="G63" s="121"/>
    </row>
    <row r="64" spans="1:7" ht="13" x14ac:dyDescent="0.3">
      <c r="A64" s="122" t="s">
        <v>311</v>
      </c>
      <c r="B64" s="117" t="s">
        <v>290</v>
      </c>
      <c r="C64" s="118">
        <v>1.0309999999999999</v>
      </c>
      <c r="D64" s="118">
        <v>1.0309999999999999</v>
      </c>
      <c r="E64" s="118">
        <v>1.0309999999999999</v>
      </c>
      <c r="F64" s="118">
        <v>1.0309999999999999</v>
      </c>
      <c r="G64" s="118">
        <v>1.0309999999999999</v>
      </c>
    </row>
    <row r="65" spans="1:7" ht="13" x14ac:dyDescent="0.3">
      <c r="A65" s="105"/>
      <c r="B65" s="117" t="s">
        <v>287</v>
      </c>
      <c r="C65" s="118">
        <v>1.0309999999999999</v>
      </c>
      <c r="D65" s="118">
        <v>1.0309999999999999</v>
      </c>
      <c r="E65" s="118">
        <v>1.0309999999999999</v>
      </c>
      <c r="F65" s="118">
        <v>1.0309999999999999</v>
      </c>
      <c r="G65" s="118">
        <v>1.0309999999999999</v>
      </c>
    </row>
    <row r="66" spans="1:7" ht="13" x14ac:dyDescent="0.3">
      <c r="A66" s="122" t="s">
        <v>124</v>
      </c>
      <c r="B66" s="117" t="s">
        <v>293</v>
      </c>
      <c r="C66" s="118">
        <f t="shared" ref="C66:G66" si="7">IF(C18=1,1,C18*1.1)</f>
        <v>1</v>
      </c>
      <c r="D66" s="118">
        <f t="shared" si="7"/>
        <v>1</v>
      </c>
      <c r="E66" s="118">
        <f t="shared" si="7"/>
        <v>1</v>
      </c>
      <c r="F66" s="118">
        <f t="shared" si="7"/>
        <v>1</v>
      </c>
      <c r="G66" s="118">
        <f t="shared" si="7"/>
        <v>1</v>
      </c>
    </row>
    <row r="68" spans="1:7" ht="13" x14ac:dyDescent="0.3">
      <c r="A68" s="120" t="s">
        <v>306</v>
      </c>
      <c r="B68" s="121"/>
      <c r="C68" s="121"/>
      <c r="D68" s="121"/>
      <c r="E68" s="121"/>
      <c r="F68" s="121"/>
      <c r="G68" s="121"/>
    </row>
    <row r="69" spans="1:7" ht="13" x14ac:dyDescent="0.3">
      <c r="A69" s="123"/>
      <c r="B69" s="123"/>
      <c r="C69" s="124" t="s">
        <v>87</v>
      </c>
      <c r="D69" s="124" t="s">
        <v>88</v>
      </c>
      <c r="E69" s="124" t="s">
        <v>89</v>
      </c>
      <c r="F69" s="124" t="s">
        <v>90</v>
      </c>
      <c r="G69" s="123"/>
    </row>
    <row r="70" spans="1:7" x14ac:dyDescent="0.25">
      <c r="B70" s="117" t="s">
        <v>284</v>
      </c>
      <c r="C70" s="118">
        <f>C22*1.1</f>
        <v>1.6720000000000002</v>
      </c>
      <c r="D70" s="118">
        <v>1</v>
      </c>
      <c r="E70" s="118">
        <v>1</v>
      </c>
      <c r="F70" s="118">
        <v>1</v>
      </c>
    </row>
  </sheetData>
  <sheetProtection algorithmName="SHA-512" hashValue="oDSb3oZiBw6e2Wn9TVPiUrEYhgNzC5kjq2X+oQlvFiemT/zFp1QS4CbBw6w2IVXlVN7PTSdg4TQUI+0CtTW9tA==" saltValue="/xzI1cvtSu94r/qufUNjM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6" customWidth="1"/>
    <col min="2" max="6" width="16.1796875" style="106"/>
    <col min="7" max="7" width="17.26953125" style="106" customWidth="1"/>
    <col min="8" max="8" width="16.1796875" style="106" customWidth="1"/>
    <col min="9" max="16384" width="16.1796875" style="106"/>
  </cols>
  <sheetData>
    <row r="1" spans="1:6" ht="15.75" customHeight="1" x14ac:dyDescent="0.3">
      <c r="A1" s="107" t="s">
        <v>192</v>
      </c>
      <c r="B1" s="105"/>
      <c r="C1" s="105" t="s">
        <v>71</v>
      </c>
      <c r="D1" s="105" t="s">
        <v>78</v>
      </c>
      <c r="E1" s="105" t="s">
        <v>70</v>
      </c>
      <c r="F1" s="107" t="s">
        <v>77</v>
      </c>
    </row>
    <row r="2" spans="1:6" ht="15.75" customHeight="1" x14ac:dyDescent="0.25">
      <c r="A2" s="117" t="s">
        <v>194</v>
      </c>
      <c r="B2" s="117" t="s">
        <v>317</v>
      </c>
      <c r="C2" s="118">
        <v>0.28999999999999998</v>
      </c>
      <c r="D2" s="118">
        <v>0.28999999999999998</v>
      </c>
      <c r="E2" s="118">
        <v>0</v>
      </c>
      <c r="F2" s="118">
        <v>0</v>
      </c>
    </row>
    <row r="3" spans="1:6" ht="15.75" customHeight="1" x14ac:dyDescent="0.25">
      <c r="A3" s="117"/>
      <c r="B3" s="117" t="s">
        <v>316</v>
      </c>
      <c r="C3" s="118">
        <v>1</v>
      </c>
      <c r="D3" s="118">
        <v>1</v>
      </c>
      <c r="E3" s="118">
        <v>1</v>
      </c>
      <c r="F3" s="118">
        <v>1</v>
      </c>
    </row>
    <row r="4" spans="1:6" ht="15.75" customHeight="1" x14ac:dyDescent="0.25">
      <c r="A4" s="117" t="s">
        <v>195</v>
      </c>
      <c r="B4" s="117" t="s">
        <v>317</v>
      </c>
      <c r="C4" s="118">
        <f>1-0.76</f>
        <v>0.24</v>
      </c>
      <c r="D4" s="118">
        <v>0</v>
      </c>
      <c r="E4" s="118">
        <f>1-0.76</f>
        <v>0.24</v>
      </c>
      <c r="F4" s="118">
        <v>0</v>
      </c>
    </row>
    <row r="5" spans="1:6" ht="15.75" customHeight="1" x14ac:dyDescent="0.25">
      <c r="A5" s="117"/>
      <c r="B5" s="117" t="s">
        <v>316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7" t="s">
        <v>207</v>
      </c>
      <c r="B6" s="117" t="s">
        <v>317</v>
      </c>
      <c r="C6" s="118">
        <v>0.61</v>
      </c>
      <c r="D6" s="118">
        <v>0.61</v>
      </c>
      <c r="E6" s="118">
        <v>0</v>
      </c>
      <c r="F6" s="118">
        <v>0</v>
      </c>
    </row>
    <row r="7" spans="1:6" ht="15.75" customHeight="1" x14ac:dyDescent="0.25">
      <c r="A7" s="117"/>
      <c r="B7" s="117" t="s">
        <v>316</v>
      </c>
      <c r="C7" s="118">
        <v>1</v>
      </c>
      <c r="D7" s="118">
        <v>1</v>
      </c>
      <c r="E7" s="118">
        <v>1</v>
      </c>
      <c r="F7" s="118">
        <v>1</v>
      </c>
    </row>
    <row r="8" spans="1:6" ht="15.75" customHeight="1" x14ac:dyDescent="0.25">
      <c r="A8" s="117" t="s">
        <v>208</v>
      </c>
      <c r="B8" s="117" t="s">
        <v>317</v>
      </c>
      <c r="C8" s="118">
        <v>0.61</v>
      </c>
      <c r="D8" s="118">
        <v>0.61</v>
      </c>
      <c r="E8" s="118">
        <v>0</v>
      </c>
      <c r="F8" s="118">
        <v>0</v>
      </c>
    </row>
    <row r="9" spans="1:6" ht="15.75" customHeight="1" x14ac:dyDescent="0.25">
      <c r="A9" s="117"/>
      <c r="B9" s="117" t="s">
        <v>316</v>
      </c>
      <c r="C9" s="118">
        <v>1</v>
      </c>
      <c r="D9" s="118">
        <v>1</v>
      </c>
      <c r="E9" s="118">
        <v>1</v>
      </c>
      <c r="F9" s="118">
        <v>1</v>
      </c>
    </row>
    <row r="10" spans="1:6" ht="15.75" customHeight="1" x14ac:dyDescent="0.25">
      <c r="A10" s="117" t="s">
        <v>209</v>
      </c>
      <c r="B10" s="117" t="s">
        <v>317</v>
      </c>
      <c r="C10" s="118">
        <v>0.35</v>
      </c>
      <c r="D10" s="118">
        <v>0.35</v>
      </c>
      <c r="E10" s="118">
        <v>0</v>
      </c>
      <c r="F10" s="118">
        <v>0</v>
      </c>
    </row>
    <row r="11" spans="1:6" ht="15.75" customHeight="1" x14ac:dyDescent="0.25">
      <c r="A11" s="117"/>
      <c r="B11" s="117" t="s">
        <v>316</v>
      </c>
      <c r="C11" s="118">
        <v>1</v>
      </c>
      <c r="D11" s="118">
        <v>1</v>
      </c>
      <c r="E11" s="118">
        <v>0</v>
      </c>
      <c r="F11" s="118">
        <v>0</v>
      </c>
    </row>
    <row r="12" spans="1:6" ht="15.75" customHeight="1" x14ac:dyDescent="0.25">
      <c r="A12" s="117" t="s">
        <v>214</v>
      </c>
      <c r="B12" s="117" t="s">
        <v>317</v>
      </c>
      <c r="C12" s="118">
        <v>0.35</v>
      </c>
      <c r="D12" s="118">
        <v>0.35</v>
      </c>
      <c r="E12" s="118">
        <v>0</v>
      </c>
      <c r="F12" s="118">
        <v>0</v>
      </c>
    </row>
    <row r="13" spans="1:6" ht="15.75" customHeight="1" x14ac:dyDescent="0.25">
      <c r="A13" s="117"/>
      <c r="B13" s="117" t="s">
        <v>316</v>
      </c>
      <c r="C13" s="118">
        <v>1</v>
      </c>
      <c r="D13" s="118">
        <v>1</v>
      </c>
      <c r="E13" s="118">
        <v>0</v>
      </c>
      <c r="F13" s="118">
        <v>0</v>
      </c>
    </row>
    <row r="14" spans="1:6" ht="15.75" customHeight="1" x14ac:dyDescent="0.25">
      <c r="A14" s="117" t="s">
        <v>220</v>
      </c>
      <c r="B14" s="117" t="s">
        <v>317</v>
      </c>
      <c r="C14" s="118">
        <f>1-0.9*0.39</f>
        <v>0.64900000000000002</v>
      </c>
      <c r="D14" s="118">
        <f>1-0.9*0.39</f>
        <v>0.64900000000000002</v>
      </c>
      <c r="E14" s="118">
        <v>0</v>
      </c>
      <c r="F14" s="118">
        <v>0</v>
      </c>
    </row>
    <row r="15" spans="1:6" ht="15.75" customHeight="1" x14ac:dyDescent="0.25">
      <c r="A15" s="117"/>
      <c r="B15" s="117" t="s">
        <v>316</v>
      </c>
      <c r="C15" s="118">
        <v>1</v>
      </c>
      <c r="D15" s="118">
        <v>1</v>
      </c>
      <c r="E15" s="118">
        <v>1</v>
      </c>
      <c r="F15" s="118">
        <v>1</v>
      </c>
    </row>
    <row r="17" spans="1:6" s="119" customFormat="1" ht="15.75" customHeight="1" x14ac:dyDescent="0.3">
      <c r="A17" s="119" t="s">
        <v>266</v>
      </c>
    </row>
    <row r="18" spans="1:6" ht="15.75" customHeight="1" x14ac:dyDescent="0.3">
      <c r="A18" s="107" t="s">
        <v>192</v>
      </c>
      <c r="B18" s="105"/>
      <c r="C18" s="105" t="s">
        <v>71</v>
      </c>
      <c r="D18" s="105" t="s">
        <v>78</v>
      </c>
      <c r="E18" s="105" t="s">
        <v>70</v>
      </c>
      <c r="F18" s="107" t="s">
        <v>77</v>
      </c>
    </row>
    <row r="19" spans="1:6" ht="15.75" customHeight="1" x14ac:dyDescent="0.25">
      <c r="A19" s="117" t="s">
        <v>194</v>
      </c>
      <c r="B19" s="117" t="s">
        <v>317</v>
      </c>
      <c r="C19" s="118">
        <f>1-0.94</f>
        <v>6.0000000000000053E-2</v>
      </c>
      <c r="D19" s="118">
        <f>1-0.94</f>
        <v>6.0000000000000053E-2</v>
      </c>
      <c r="E19" s="118">
        <f t="shared" ref="E19:F19" si="0">E2*0.9</f>
        <v>0</v>
      </c>
      <c r="F19" s="118">
        <f t="shared" si="0"/>
        <v>0</v>
      </c>
    </row>
    <row r="20" spans="1:6" ht="15.75" customHeight="1" x14ac:dyDescent="0.25">
      <c r="A20" s="117"/>
      <c r="B20" s="117" t="s">
        <v>316</v>
      </c>
      <c r="C20" s="118">
        <v>1</v>
      </c>
      <c r="D20" s="118">
        <v>1</v>
      </c>
      <c r="E20" s="118">
        <v>1</v>
      </c>
      <c r="F20" s="118">
        <v>1</v>
      </c>
    </row>
    <row r="21" spans="1:6" ht="15.75" customHeight="1" x14ac:dyDescent="0.25">
      <c r="A21" s="117" t="s">
        <v>195</v>
      </c>
      <c r="B21" s="117" t="s">
        <v>317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7"/>
      <c r="B22" s="117" t="s">
        <v>316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7" t="s">
        <v>207</v>
      </c>
      <c r="B23" s="117" t="s">
        <v>317</v>
      </c>
      <c r="C23" s="118">
        <f>1-0.86</f>
        <v>0.14000000000000001</v>
      </c>
      <c r="D23" s="118">
        <f>1-0.86</f>
        <v>0.14000000000000001</v>
      </c>
      <c r="E23" s="118">
        <f t="shared" ref="E23:F23" si="1">E6*0.9</f>
        <v>0</v>
      </c>
      <c r="F23" s="118">
        <f t="shared" si="1"/>
        <v>0</v>
      </c>
    </row>
    <row r="24" spans="1:6" ht="15.75" customHeight="1" x14ac:dyDescent="0.25">
      <c r="A24" s="117"/>
      <c r="B24" s="117" t="s">
        <v>316</v>
      </c>
      <c r="C24" s="118">
        <v>1</v>
      </c>
      <c r="D24" s="118">
        <v>1</v>
      </c>
      <c r="E24" s="118">
        <v>1</v>
      </c>
      <c r="F24" s="118">
        <v>1</v>
      </c>
    </row>
    <row r="25" spans="1:6" ht="15.75" customHeight="1" x14ac:dyDescent="0.25">
      <c r="A25" s="117" t="s">
        <v>208</v>
      </c>
      <c r="B25" s="117" t="s">
        <v>317</v>
      </c>
      <c r="C25" s="118">
        <f>1-0.86</f>
        <v>0.14000000000000001</v>
      </c>
      <c r="D25" s="118">
        <f>1-0.86</f>
        <v>0.14000000000000001</v>
      </c>
      <c r="E25" s="118">
        <f t="shared" ref="E25:F25" si="2">E8*0.9</f>
        <v>0</v>
      </c>
      <c r="F25" s="118">
        <f t="shared" si="2"/>
        <v>0</v>
      </c>
    </row>
    <row r="26" spans="1:6" ht="15.75" customHeight="1" x14ac:dyDescent="0.25">
      <c r="A26" s="117"/>
      <c r="B26" s="117" t="s">
        <v>316</v>
      </c>
      <c r="C26" s="118">
        <v>1</v>
      </c>
      <c r="D26" s="118">
        <v>1</v>
      </c>
      <c r="E26" s="118">
        <v>1</v>
      </c>
      <c r="F26" s="118">
        <v>1</v>
      </c>
    </row>
    <row r="27" spans="1:6" ht="15.75" customHeight="1" x14ac:dyDescent="0.25">
      <c r="A27" s="117" t="s">
        <v>209</v>
      </c>
      <c r="B27" s="117" t="s">
        <v>317</v>
      </c>
      <c r="C27" s="118">
        <f>1-0.77</f>
        <v>0.22999999999999998</v>
      </c>
      <c r="D27" s="118">
        <f>1-0.77</f>
        <v>0.22999999999999998</v>
      </c>
      <c r="E27" s="118">
        <f t="shared" ref="E27:F27" si="3">E12*0.9</f>
        <v>0</v>
      </c>
      <c r="F27" s="118">
        <f t="shared" si="3"/>
        <v>0</v>
      </c>
    </row>
    <row r="28" spans="1:6" ht="15.75" customHeight="1" x14ac:dyDescent="0.25">
      <c r="A28" s="117"/>
      <c r="B28" s="117" t="s">
        <v>316</v>
      </c>
      <c r="C28" s="118">
        <v>1</v>
      </c>
      <c r="D28" s="118">
        <v>1</v>
      </c>
      <c r="E28" s="118">
        <v>1</v>
      </c>
      <c r="F28" s="118">
        <v>1</v>
      </c>
    </row>
    <row r="29" spans="1:6" ht="15.75" customHeight="1" x14ac:dyDescent="0.25">
      <c r="A29" s="117" t="s">
        <v>214</v>
      </c>
      <c r="B29" s="117" t="s">
        <v>317</v>
      </c>
      <c r="C29" s="118">
        <f>1-0.77</f>
        <v>0.22999999999999998</v>
      </c>
      <c r="D29" s="118">
        <f>1-0.77</f>
        <v>0.22999999999999998</v>
      </c>
      <c r="E29" s="118">
        <f t="shared" ref="E29:F29" si="4">E12*0.9</f>
        <v>0</v>
      </c>
      <c r="F29" s="118">
        <f t="shared" si="4"/>
        <v>0</v>
      </c>
    </row>
    <row r="30" spans="1:6" ht="15.75" customHeight="1" x14ac:dyDescent="0.25">
      <c r="A30" s="117"/>
      <c r="B30" s="117" t="s">
        <v>316</v>
      </c>
      <c r="C30" s="118">
        <v>1</v>
      </c>
      <c r="D30" s="118">
        <v>1</v>
      </c>
      <c r="E30" s="118">
        <v>1</v>
      </c>
      <c r="F30" s="118">
        <v>1</v>
      </c>
    </row>
    <row r="31" spans="1:6" ht="15.75" customHeight="1" x14ac:dyDescent="0.25">
      <c r="A31" s="117" t="s">
        <v>220</v>
      </c>
      <c r="B31" s="117" t="s">
        <v>317</v>
      </c>
      <c r="C31" s="118">
        <f>1-0.96*0.86</f>
        <v>0.1744</v>
      </c>
      <c r="D31" s="118">
        <f>1-0.96*0.86</f>
        <v>0.1744</v>
      </c>
      <c r="E31" s="118">
        <f t="shared" ref="E31:F31" si="5">E14*0.9</f>
        <v>0</v>
      </c>
      <c r="F31" s="118">
        <f t="shared" si="5"/>
        <v>0</v>
      </c>
    </row>
    <row r="32" spans="1:6" ht="15.75" customHeight="1" x14ac:dyDescent="0.25">
      <c r="A32" s="117"/>
      <c r="B32" s="117" t="s">
        <v>316</v>
      </c>
      <c r="C32" s="118">
        <v>1</v>
      </c>
      <c r="D32" s="118">
        <v>1</v>
      </c>
      <c r="E32" s="118">
        <v>1</v>
      </c>
      <c r="F32" s="118">
        <v>1</v>
      </c>
    </row>
    <row r="34" spans="1:6" s="119" customFormat="1" ht="15.75" customHeight="1" x14ac:dyDescent="0.3">
      <c r="A34" s="119" t="s">
        <v>276</v>
      </c>
    </row>
    <row r="35" spans="1:6" ht="15.75" customHeight="1" x14ac:dyDescent="0.3">
      <c r="A35" s="107" t="s">
        <v>192</v>
      </c>
      <c r="B35" s="105"/>
      <c r="C35" s="105" t="s">
        <v>71</v>
      </c>
      <c r="D35" s="105" t="s">
        <v>78</v>
      </c>
      <c r="E35" s="105" t="s">
        <v>70</v>
      </c>
      <c r="F35" s="107" t="s">
        <v>77</v>
      </c>
    </row>
    <row r="36" spans="1:6" ht="15.75" customHeight="1" x14ac:dyDescent="0.25">
      <c r="A36" s="117" t="s">
        <v>194</v>
      </c>
      <c r="B36" s="117" t="s">
        <v>317</v>
      </c>
      <c r="C36" s="118">
        <f>1-0.54</f>
        <v>0.45999999999999996</v>
      </c>
      <c r="D36" s="118">
        <f>1-0.54</f>
        <v>0.45999999999999996</v>
      </c>
      <c r="E36" s="118">
        <f t="shared" ref="E36:F36" si="6">E2*1.1</f>
        <v>0</v>
      </c>
      <c r="F36" s="118">
        <f t="shared" si="6"/>
        <v>0</v>
      </c>
    </row>
    <row r="37" spans="1:6" ht="15.75" customHeight="1" x14ac:dyDescent="0.25">
      <c r="A37" s="117"/>
      <c r="B37" s="117" t="s">
        <v>316</v>
      </c>
      <c r="C37" s="118">
        <v>1</v>
      </c>
      <c r="D37" s="118">
        <v>1</v>
      </c>
      <c r="E37" s="118">
        <v>1</v>
      </c>
      <c r="F37" s="118">
        <v>1</v>
      </c>
    </row>
    <row r="38" spans="1:6" ht="15.75" customHeight="1" x14ac:dyDescent="0.25">
      <c r="A38" s="117" t="s">
        <v>195</v>
      </c>
      <c r="B38" s="117" t="s">
        <v>317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7"/>
      <c r="B39" s="117" t="s">
        <v>316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7" t="s">
        <v>207</v>
      </c>
      <c r="B40" s="117" t="s">
        <v>317</v>
      </c>
      <c r="C40" s="118">
        <f>1-0.17</f>
        <v>0.83</v>
      </c>
      <c r="D40" s="118">
        <f>1-0.17</f>
        <v>0.83</v>
      </c>
      <c r="E40" s="118">
        <f t="shared" ref="E40:F40" si="7">E6*1.1</f>
        <v>0</v>
      </c>
      <c r="F40" s="118">
        <f t="shared" si="7"/>
        <v>0</v>
      </c>
    </row>
    <row r="41" spans="1:6" ht="15.75" customHeight="1" x14ac:dyDescent="0.25">
      <c r="A41" s="117"/>
      <c r="B41" s="117" t="s">
        <v>316</v>
      </c>
      <c r="C41" s="118">
        <v>1</v>
      </c>
      <c r="D41" s="118">
        <v>1</v>
      </c>
      <c r="E41" s="118">
        <v>1</v>
      </c>
      <c r="F41" s="118">
        <v>1</v>
      </c>
    </row>
    <row r="42" spans="1:6" ht="15.75" customHeight="1" x14ac:dyDescent="0.25">
      <c r="A42" s="117" t="s">
        <v>208</v>
      </c>
      <c r="B42" s="117" t="s">
        <v>317</v>
      </c>
      <c r="C42" s="118">
        <f>1-0.17</f>
        <v>0.83</v>
      </c>
      <c r="D42" s="118">
        <f>1-0.17</f>
        <v>0.83</v>
      </c>
      <c r="E42" s="118">
        <f t="shared" ref="E42:F42" si="8">E8*1.1</f>
        <v>0</v>
      </c>
      <c r="F42" s="118">
        <f t="shared" si="8"/>
        <v>0</v>
      </c>
    </row>
    <row r="43" spans="1:6" ht="15.75" customHeight="1" x14ac:dyDescent="0.25">
      <c r="A43" s="117"/>
      <c r="B43" s="117" t="s">
        <v>316</v>
      </c>
      <c r="C43" s="118">
        <v>1</v>
      </c>
      <c r="D43" s="118">
        <v>1</v>
      </c>
      <c r="E43" s="118">
        <v>1</v>
      </c>
      <c r="F43" s="118">
        <v>1</v>
      </c>
    </row>
    <row r="44" spans="1:6" ht="15.75" customHeight="1" x14ac:dyDescent="0.25">
      <c r="A44" s="117" t="s">
        <v>209</v>
      </c>
      <c r="B44" s="117" t="s">
        <v>317</v>
      </c>
      <c r="C44" s="118">
        <f>1-0.55</f>
        <v>0.44999999999999996</v>
      </c>
      <c r="D44" s="118">
        <f>1-0.55</f>
        <v>0.44999999999999996</v>
      </c>
      <c r="E44" s="118">
        <f t="shared" ref="E44:F44" si="9">E10*1.1</f>
        <v>0</v>
      </c>
      <c r="F44" s="118">
        <f t="shared" si="9"/>
        <v>0</v>
      </c>
    </row>
    <row r="45" spans="1:6" ht="15.75" customHeight="1" x14ac:dyDescent="0.25">
      <c r="A45" s="117"/>
      <c r="B45" s="117" t="s">
        <v>316</v>
      </c>
      <c r="C45" s="118">
        <v>1</v>
      </c>
      <c r="D45" s="118">
        <v>1</v>
      </c>
      <c r="E45" s="118">
        <v>1</v>
      </c>
      <c r="F45" s="118">
        <v>1</v>
      </c>
    </row>
    <row r="46" spans="1:6" ht="15.75" customHeight="1" x14ac:dyDescent="0.25">
      <c r="A46" s="117" t="s">
        <v>214</v>
      </c>
      <c r="B46" s="117" t="s">
        <v>317</v>
      </c>
      <c r="C46" s="118">
        <f>1-0.55</f>
        <v>0.44999999999999996</v>
      </c>
      <c r="D46" s="118">
        <f>1-0.55</f>
        <v>0.44999999999999996</v>
      </c>
      <c r="E46" s="118">
        <f t="shared" ref="E46:F46" si="10">E12*1.1</f>
        <v>0</v>
      </c>
      <c r="F46" s="118">
        <f t="shared" si="10"/>
        <v>0</v>
      </c>
    </row>
    <row r="47" spans="1:6" ht="15.75" customHeight="1" x14ac:dyDescent="0.25">
      <c r="A47" s="117"/>
      <c r="B47" s="117" t="s">
        <v>316</v>
      </c>
      <c r="C47" s="118">
        <v>1</v>
      </c>
      <c r="D47" s="118">
        <v>1</v>
      </c>
      <c r="E47" s="118">
        <v>1</v>
      </c>
      <c r="F47" s="118">
        <v>1</v>
      </c>
    </row>
    <row r="48" spans="1:6" ht="15.75" customHeight="1" x14ac:dyDescent="0.25">
      <c r="A48" s="117" t="s">
        <v>220</v>
      </c>
      <c r="B48" s="117" t="s">
        <v>317</v>
      </c>
      <c r="C48" s="118">
        <f>1-0.84*0.17</f>
        <v>0.85719999999999996</v>
      </c>
      <c r="D48" s="118">
        <f>1-0.84*0.17</f>
        <v>0.85719999999999996</v>
      </c>
      <c r="E48" s="118">
        <f t="shared" ref="E48:F48" si="11">E14*1.1</f>
        <v>0</v>
      </c>
      <c r="F48" s="118">
        <f t="shared" si="11"/>
        <v>0</v>
      </c>
    </row>
    <row r="49" spans="1:6" ht="15.75" customHeight="1" x14ac:dyDescent="0.25">
      <c r="A49" s="117"/>
      <c r="B49" s="117" t="s">
        <v>316</v>
      </c>
      <c r="C49" s="118">
        <v>1</v>
      </c>
      <c r="D49" s="118">
        <v>1</v>
      </c>
      <c r="E49" s="118">
        <v>1</v>
      </c>
      <c r="F49" s="118">
        <v>1</v>
      </c>
    </row>
  </sheetData>
  <sheetProtection algorithmName="SHA-512" hashValue="3czN3tjuVj1bUY9jrLlbLOVl6L2X2qVmoYxOe/gjNMJfDVXfIUk2LZf5IUt+Mnknbj48gO4FXbglXtomVTmXTQ==" saltValue="qWrXrpsk+8b547EvAPysv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320</v>
      </c>
    </row>
    <row r="2" spans="1:6" ht="15.75" customHeight="1" x14ac:dyDescent="0.3">
      <c r="B2" s="69"/>
      <c r="C2" s="26" t="s">
        <v>77</v>
      </c>
      <c r="D2" s="70" t="s">
        <v>78</v>
      </c>
      <c r="E2" s="70" t="s">
        <v>70</v>
      </c>
      <c r="F2" s="70" t="s">
        <v>71</v>
      </c>
    </row>
    <row r="3" spans="1:6" ht="15.75" customHeight="1" x14ac:dyDescent="0.3">
      <c r="A3" s="4" t="s">
        <v>327</v>
      </c>
      <c r="B3" s="14"/>
      <c r="C3" s="71"/>
      <c r="D3" s="72"/>
      <c r="E3" s="72"/>
      <c r="F3" s="72"/>
    </row>
    <row r="4" spans="1:6" ht="15.75" customHeight="1" x14ac:dyDescent="0.25">
      <c r="B4" s="5" t="s">
        <v>46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82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30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324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333</v>
      </c>
      <c r="C11" s="74"/>
      <c r="D11" s="75"/>
      <c r="E11" s="75"/>
      <c r="F11" s="75"/>
    </row>
    <row r="12" spans="1:6" ht="15.75" customHeight="1" x14ac:dyDescent="0.3">
      <c r="A12" s="4" t="s">
        <v>321</v>
      </c>
      <c r="C12" s="73"/>
      <c r="D12" s="64"/>
      <c r="E12" s="64"/>
      <c r="F12" s="64"/>
    </row>
    <row r="13" spans="1:6" ht="15.75" customHeight="1" x14ac:dyDescent="0.25">
      <c r="B13" s="11" t="s">
        <v>336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126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330</v>
      </c>
      <c r="B17" s="14"/>
      <c r="C17" s="77"/>
      <c r="D17" s="78"/>
      <c r="E17" s="78"/>
      <c r="F17" s="78"/>
    </row>
    <row r="18" spans="1:6" ht="15.75" customHeight="1" x14ac:dyDescent="0.25">
      <c r="B18" s="5" t="s">
        <v>112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116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114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110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115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117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111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113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320</v>
      </c>
    </row>
    <row r="29" spans="1:6" ht="15.75" customHeight="1" x14ac:dyDescent="0.3">
      <c r="B29" s="69"/>
      <c r="C29" s="26" t="s">
        <v>77</v>
      </c>
      <c r="D29" s="70" t="s">
        <v>78</v>
      </c>
      <c r="E29" s="70" t="s">
        <v>70</v>
      </c>
      <c r="F29" s="70" t="s">
        <v>71</v>
      </c>
    </row>
    <row r="30" spans="1:6" ht="15.75" customHeight="1" x14ac:dyDescent="0.3">
      <c r="A30" s="4" t="s">
        <v>328</v>
      </c>
      <c r="B30" s="14"/>
      <c r="C30" s="71"/>
      <c r="D30" s="72"/>
      <c r="E30" s="72"/>
      <c r="F30" s="72"/>
    </row>
    <row r="31" spans="1:6" ht="15.75" customHeight="1" x14ac:dyDescent="0.25">
      <c r="B31" s="5" t="s">
        <v>46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82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30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325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333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337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318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334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331</v>
      </c>
      <c r="B44" s="14"/>
      <c r="C44" s="77"/>
      <c r="D44" s="78"/>
      <c r="E44" s="78"/>
      <c r="F44" s="78"/>
    </row>
    <row r="45" spans="1:6" ht="15.75" customHeight="1" x14ac:dyDescent="0.25">
      <c r="B45" s="5" t="s">
        <v>112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116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114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110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115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117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111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113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276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320</v>
      </c>
    </row>
    <row r="56" spans="1:6" ht="15.75" customHeight="1" x14ac:dyDescent="0.3">
      <c r="B56" s="69"/>
      <c r="C56" s="26" t="s">
        <v>77</v>
      </c>
      <c r="D56" s="70" t="s">
        <v>78</v>
      </c>
      <c r="E56" s="70" t="s">
        <v>70</v>
      </c>
      <c r="F56" s="70" t="s">
        <v>71</v>
      </c>
    </row>
    <row r="57" spans="1:6" ht="15.75" customHeight="1" x14ac:dyDescent="0.3">
      <c r="A57" s="4" t="s">
        <v>329</v>
      </c>
      <c r="B57" s="14"/>
      <c r="C57" s="71"/>
      <c r="D57" s="72"/>
      <c r="E57" s="72"/>
      <c r="F57" s="72"/>
    </row>
    <row r="58" spans="1:6" ht="15.75" customHeight="1" x14ac:dyDescent="0.25">
      <c r="B58" s="5" t="s">
        <v>46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82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30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326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333</v>
      </c>
      <c r="B65" s="68"/>
      <c r="C65" s="74"/>
      <c r="D65" s="75"/>
      <c r="E65" s="75"/>
      <c r="F65" s="75"/>
    </row>
    <row r="66" spans="1:6" ht="15.75" customHeight="1" x14ac:dyDescent="0.3">
      <c r="A66" s="4" t="s">
        <v>323</v>
      </c>
      <c r="C66" s="73"/>
      <c r="D66" s="64"/>
      <c r="E66" s="64"/>
      <c r="F66" s="64"/>
    </row>
    <row r="67" spans="1:6" ht="15.75" customHeight="1" x14ac:dyDescent="0.25">
      <c r="B67" s="11" t="s">
        <v>338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319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332</v>
      </c>
      <c r="B71" s="14"/>
      <c r="C71" s="77"/>
      <c r="D71" s="78"/>
      <c r="E71" s="78"/>
      <c r="F71" s="78"/>
    </row>
    <row r="72" spans="1:6" ht="15.75" customHeight="1" x14ac:dyDescent="0.25">
      <c r="B72" s="5" t="s">
        <v>112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116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114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110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115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117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111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113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So4x2Log5WA6JlDo6ruuxQhzhcHE5K+8hQG868AgFms2otMIEEf5fzjx5U0Y1q1THdfPa7nw3S/sW9X1XPN4Ew==" saltValue="bISxkh3SbdsUXF2Yfz/gP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350</v>
      </c>
    </row>
    <row r="2" spans="1:16" ht="13" x14ac:dyDescent="0.3">
      <c r="A2" s="39" t="s">
        <v>260</v>
      </c>
      <c r="B2" s="1" t="s">
        <v>342</v>
      </c>
      <c r="C2" s="1" t="s">
        <v>343</v>
      </c>
      <c r="D2" s="70" t="s">
        <v>97</v>
      </c>
      <c r="E2" s="70" t="s">
        <v>93</v>
      </c>
      <c r="F2" s="70" t="s">
        <v>96</v>
      </c>
      <c r="G2" s="70" t="s">
        <v>94</v>
      </c>
      <c r="H2" s="70" t="s">
        <v>95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103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345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346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344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121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345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346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344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109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345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346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344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345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346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344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345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346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344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118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345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346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344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351</v>
      </c>
    </row>
    <row r="29" spans="1:16" ht="13" x14ac:dyDescent="0.3">
      <c r="A29" s="39" t="s">
        <v>311</v>
      </c>
      <c r="B29" s="4" t="s">
        <v>342</v>
      </c>
      <c r="C29" s="4" t="s">
        <v>353</v>
      </c>
      <c r="D29" s="70" t="s">
        <v>97</v>
      </c>
      <c r="E29" s="70" t="s">
        <v>93</v>
      </c>
      <c r="F29" s="70" t="s">
        <v>96</v>
      </c>
      <c r="G29" s="70" t="s">
        <v>94</v>
      </c>
      <c r="H29" s="70" t="s">
        <v>95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103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345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236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121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345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236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109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345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236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345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236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345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236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118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345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236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348</v>
      </c>
    </row>
    <row r="56" spans="1:16" ht="26.4" customHeight="1" x14ac:dyDescent="0.3">
      <c r="A56" s="39" t="s">
        <v>124</v>
      </c>
      <c r="B56" s="4" t="s">
        <v>342</v>
      </c>
      <c r="C56" s="69" t="s">
        <v>339</v>
      </c>
      <c r="D56" s="70" t="s">
        <v>132</v>
      </c>
      <c r="E56" s="70" t="s">
        <v>133</v>
      </c>
      <c r="F56" s="70" t="s">
        <v>134</v>
      </c>
      <c r="G56" s="70" t="s">
        <v>135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100</v>
      </c>
      <c r="C57" s="3" t="s">
        <v>347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108</v>
      </c>
      <c r="C59" s="3" t="s">
        <v>347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122</v>
      </c>
      <c r="C61" s="3" t="s">
        <v>347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349</v>
      </c>
    </row>
    <row r="65" spans="1:16" ht="26.4" customHeight="1" x14ac:dyDescent="0.3">
      <c r="A65" s="39" t="s">
        <v>142</v>
      </c>
      <c r="B65" s="4" t="s">
        <v>342</v>
      </c>
      <c r="C65" s="69" t="s">
        <v>341</v>
      </c>
      <c r="D65" s="70" t="s">
        <v>97</v>
      </c>
      <c r="E65" s="70" t="s">
        <v>93</v>
      </c>
      <c r="F65" s="70" t="s">
        <v>96</v>
      </c>
      <c r="G65" s="70" t="s">
        <v>94</v>
      </c>
      <c r="H65" s="81" t="s">
        <v>95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112</v>
      </c>
      <c r="C66" s="3" t="s">
        <v>143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146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145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144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116</v>
      </c>
      <c r="C70" s="3" t="s">
        <v>143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146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145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144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114</v>
      </c>
      <c r="C74" s="3" t="s">
        <v>143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146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145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144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115</v>
      </c>
      <c r="C78" s="3" t="s">
        <v>143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146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145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144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103</v>
      </c>
      <c r="C82" s="3" t="s">
        <v>143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146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145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144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121</v>
      </c>
      <c r="C86" s="3" t="s">
        <v>143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146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145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144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109</v>
      </c>
      <c r="C90" s="3" t="s">
        <v>143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146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145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144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143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146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145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144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120</v>
      </c>
      <c r="C98" s="3" t="s">
        <v>143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146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145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144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352</v>
      </c>
    </row>
    <row r="104" spans="1:16" ht="26.4" customHeight="1" x14ac:dyDescent="0.3">
      <c r="A104" s="39" t="s">
        <v>103</v>
      </c>
      <c r="B104" s="82" t="s">
        <v>144</v>
      </c>
      <c r="C104" s="69" t="s">
        <v>341</v>
      </c>
      <c r="D104" s="70" t="s">
        <v>97</v>
      </c>
      <c r="E104" s="70" t="s">
        <v>93</v>
      </c>
      <c r="F104" s="70" t="s">
        <v>96</v>
      </c>
      <c r="G104" s="70" t="s">
        <v>94</v>
      </c>
      <c r="H104" s="81" t="s">
        <v>95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143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146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145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144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350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260</v>
      </c>
      <c r="B112" s="1" t="s">
        <v>342</v>
      </c>
      <c r="C112" s="1" t="s">
        <v>343</v>
      </c>
      <c r="D112" s="70" t="s">
        <v>97</v>
      </c>
      <c r="E112" s="70" t="s">
        <v>93</v>
      </c>
      <c r="F112" s="70" t="s">
        <v>96</v>
      </c>
      <c r="G112" s="70" t="s">
        <v>94</v>
      </c>
      <c r="H112" s="70" t="s">
        <v>95</v>
      </c>
    </row>
    <row r="113" spans="1:8" ht="13" x14ac:dyDescent="0.3">
      <c r="A113" s="4"/>
      <c r="B113" s="8" t="s">
        <v>103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345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346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344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121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345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346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344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109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345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346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344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345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346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344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345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346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344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118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345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346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344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351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311</v>
      </c>
      <c r="B139" s="4" t="s">
        <v>342</v>
      </c>
      <c r="C139" s="4" t="s">
        <v>353</v>
      </c>
      <c r="D139" s="70" t="s">
        <v>97</v>
      </c>
      <c r="E139" s="70" t="s">
        <v>93</v>
      </c>
      <c r="F139" s="70" t="s">
        <v>96</v>
      </c>
      <c r="G139" s="70" t="s">
        <v>94</v>
      </c>
      <c r="H139" s="70" t="s">
        <v>95</v>
      </c>
    </row>
    <row r="140" spans="1:8" ht="13" x14ac:dyDescent="0.3">
      <c r="A140" s="4"/>
      <c r="B140" s="8" t="s">
        <v>103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345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236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121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345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236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109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345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236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345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236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345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236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118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345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236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348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124</v>
      </c>
      <c r="B166" s="4" t="s">
        <v>342</v>
      </c>
      <c r="C166" s="69" t="s">
        <v>339</v>
      </c>
      <c r="D166" s="70" t="s">
        <v>132</v>
      </c>
      <c r="E166" s="70" t="s">
        <v>133</v>
      </c>
      <c r="F166" s="70" t="s">
        <v>134</v>
      </c>
      <c r="G166" s="70" t="s">
        <v>135</v>
      </c>
      <c r="H166" s="79"/>
    </row>
    <row r="167" spans="1:8" ht="13" x14ac:dyDescent="0.3">
      <c r="A167" s="4"/>
      <c r="B167" s="8" t="s">
        <v>100</v>
      </c>
      <c r="C167" s="3" t="s">
        <v>347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108</v>
      </c>
      <c r="C169" s="3" t="s">
        <v>347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122</v>
      </c>
      <c r="C171" s="3" t="s">
        <v>347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349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142</v>
      </c>
      <c r="B175" s="4" t="s">
        <v>342</v>
      </c>
      <c r="C175" s="69" t="s">
        <v>341</v>
      </c>
      <c r="D175" s="70" t="s">
        <v>97</v>
      </c>
      <c r="E175" s="70" t="s">
        <v>93</v>
      </c>
      <c r="F175" s="70" t="s">
        <v>96</v>
      </c>
      <c r="G175" s="70" t="s">
        <v>94</v>
      </c>
      <c r="H175" s="81" t="s">
        <v>95</v>
      </c>
    </row>
    <row r="176" spans="1:8" ht="13" x14ac:dyDescent="0.3">
      <c r="A176" s="82"/>
      <c r="B176" s="8" t="s">
        <v>112</v>
      </c>
      <c r="C176" s="3" t="s">
        <v>143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146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145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144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116</v>
      </c>
      <c r="C180" s="3" t="s">
        <v>143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146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145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144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114</v>
      </c>
      <c r="C184" s="3" t="s">
        <v>143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146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145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144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115</v>
      </c>
      <c r="C188" s="3" t="s">
        <v>143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146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145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144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103</v>
      </c>
      <c r="C192" s="3" t="s">
        <v>143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146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145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144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121</v>
      </c>
      <c r="C196" s="3" t="s">
        <v>143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146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145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144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109</v>
      </c>
      <c r="C200" s="3" t="s">
        <v>143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146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145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144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143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146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145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144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120</v>
      </c>
      <c r="C208" s="3" t="s">
        <v>143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146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145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144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352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103</v>
      </c>
      <c r="B214" s="82" t="s">
        <v>144</v>
      </c>
      <c r="C214" s="69" t="s">
        <v>341</v>
      </c>
      <c r="D214" s="70" t="s">
        <v>97</v>
      </c>
      <c r="E214" s="70" t="s">
        <v>93</v>
      </c>
      <c r="F214" s="70" t="s">
        <v>96</v>
      </c>
      <c r="G214" s="70" t="s">
        <v>94</v>
      </c>
      <c r="H214" s="81" t="s">
        <v>95</v>
      </c>
    </row>
    <row r="215" spans="1:9" ht="13" x14ac:dyDescent="0.3">
      <c r="A215" s="4"/>
      <c r="C215" s="3" t="s">
        <v>143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146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145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144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276</v>
      </c>
      <c r="H220" s="92"/>
    </row>
    <row r="221" spans="1:9" ht="13" x14ac:dyDescent="0.3">
      <c r="A221" s="67" t="s">
        <v>350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260</v>
      </c>
      <c r="B222" s="1" t="s">
        <v>342</v>
      </c>
      <c r="C222" s="1" t="s">
        <v>343</v>
      </c>
      <c r="D222" s="70" t="s">
        <v>97</v>
      </c>
      <c r="E222" s="70" t="s">
        <v>93</v>
      </c>
      <c r="F222" s="70" t="s">
        <v>96</v>
      </c>
      <c r="G222" s="70" t="s">
        <v>94</v>
      </c>
      <c r="H222" s="70" t="s">
        <v>95</v>
      </c>
      <c r="I222" s="79"/>
    </row>
    <row r="223" spans="1:9" ht="13" x14ac:dyDescent="0.3">
      <c r="A223" s="4"/>
      <c r="B223" s="8" t="s">
        <v>103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345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346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344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121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345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346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344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109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345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346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344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345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346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344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345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346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344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118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345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346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344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351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311</v>
      </c>
      <c r="B249" s="4" t="s">
        <v>342</v>
      </c>
      <c r="C249" s="4" t="s">
        <v>353</v>
      </c>
      <c r="D249" s="70" t="s">
        <v>97</v>
      </c>
      <c r="E249" s="70" t="s">
        <v>93</v>
      </c>
      <c r="F249" s="70" t="s">
        <v>96</v>
      </c>
      <c r="G249" s="70" t="s">
        <v>94</v>
      </c>
      <c r="H249" s="70" t="s">
        <v>95</v>
      </c>
      <c r="I249" s="79"/>
    </row>
    <row r="250" spans="1:9" ht="13" x14ac:dyDescent="0.3">
      <c r="A250" s="4"/>
      <c r="B250" s="8" t="s">
        <v>103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345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236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121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345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236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109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345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236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345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236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345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236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118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345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236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348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124</v>
      </c>
      <c r="B276" s="4" t="s">
        <v>342</v>
      </c>
      <c r="C276" s="69" t="s">
        <v>339</v>
      </c>
      <c r="D276" s="70" t="s">
        <v>132</v>
      </c>
      <c r="E276" s="70" t="s">
        <v>133</v>
      </c>
      <c r="F276" s="70" t="s">
        <v>134</v>
      </c>
      <c r="G276" s="70" t="s">
        <v>135</v>
      </c>
      <c r="H276" s="79"/>
    </row>
    <row r="277" spans="1:9" ht="13" x14ac:dyDescent="0.3">
      <c r="A277" s="4"/>
      <c r="B277" s="8" t="s">
        <v>100</v>
      </c>
      <c r="C277" s="3" t="s">
        <v>347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108</v>
      </c>
      <c r="C279" s="3" t="s">
        <v>347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122</v>
      </c>
      <c r="C281" s="3" t="s">
        <v>347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349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142</v>
      </c>
      <c r="B285" s="4" t="s">
        <v>342</v>
      </c>
      <c r="C285" s="69" t="s">
        <v>341</v>
      </c>
      <c r="D285" s="70" t="s">
        <v>97</v>
      </c>
      <c r="E285" s="70" t="s">
        <v>93</v>
      </c>
      <c r="F285" s="70" t="s">
        <v>96</v>
      </c>
      <c r="G285" s="70" t="s">
        <v>94</v>
      </c>
      <c r="H285" s="81" t="s">
        <v>95</v>
      </c>
      <c r="I285" s="79"/>
    </row>
    <row r="286" spans="1:9" ht="13" x14ac:dyDescent="0.3">
      <c r="A286" s="82"/>
      <c r="B286" s="8" t="s">
        <v>112</v>
      </c>
      <c r="C286" s="3" t="s">
        <v>143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146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145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144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116</v>
      </c>
      <c r="C290" s="3" t="s">
        <v>143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146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145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144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114</v>
      </c>
      <c r="C294" s="3" t="s">
        <v>143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146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145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144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115</v>
      </c>
      <c r="C298" s="3" t="s">
        <v>143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146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145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144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103</v>
      </c>
      <c r="C302" s="3" t="s">
        <v>143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146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145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144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121</v>
      </c>
      <c r="C306" s="3" t="s">
        <v>143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146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145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144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109</v>
      </c>
      <c r="C310" s="3" t="s">
        <v>143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146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145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144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143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146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145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144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120</v>
      </c>
      <c r="C318" s="3" t="s">
        <v>143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146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145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144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352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103</v>
      </c>
      <c r="B324" s="82" t="s">
        <v>144</v>
      </c>
      <c r="C324" s="69" t="s">
        <v>341</v>
      </c>
      <c r="D324" s="70" t="s">
        <v>97</v>
      </c>
      <c r="E324" s="70" t="s">
        <v>93</v>
      </c>
      <c r="F324" s="70" t="s">
        <v>96</v>
      </c>
      <c r="G324" s="70" t="s">
        <v>94</v>
      </c>
      <c r="H324" s="81" t="s">
        <v>95</v>
      </c>
      <c r="I324" s="79"/>
    </row>
    <row r="325" spans="1:9" ht="13" x14ac:dyDescent="0.3">
      <c r="A325" s="4"/>
      <c r="C325" s="3" t="s">
        <v>143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146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145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144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rLbNAEA6g2le21vjcuY1thF0Ppy0kUyzDUgPia661ds7lFlIdpyrGIkZtwQ4ke/4QbgNgCWZe5HI05zm9s3rQw==" saltValue="Fw/y47e4A03zio64R9PJc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97</v>
      </c>
      <c r="D1" s="70" t="s">
        <v>93</v>
      </c>
      <c r="E1" s="70" t="s">
        <v>96</v>
      </c>
      <c r="F1" s="70" t="s">
        <v>94</v>
      </c>
      <c r="G1" s="70" t="s">
        <v>95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132</v>
      </c>
      <c r="M1" s="70" t="s">
        <v>133</v>
      </c>
      <c r="N1" s="70" t="s">
        <v>134</v>
      </c>
      <c r="O1" s="70" t="s">
        <v>135</v>
      </c>
    </row>
    <row r="2" spans="1:15" ht="13" x14ac:dyDescent="0.3">
      <c r="A2" s="4" t="s">
        <v>357</v>
      </c>
    </row>
    <row r="3" spans="1:15" x14ac:dyDescent="0.25">
      <c r="B3" s="11" t="s">
        <v>198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203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204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205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206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207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208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209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3" t="s">
        <v>213</v>
      </c>
      <c r="C11" s="104">
        <v>1</v>
      </c>
      <c r="D11" s="104">
        <v>1</v>
      </c>
      <c r="E11" s="104">
        <v>1</v>
      </c>
      <c r="F11" s="104">
        <v>1</v>
      </c>
      <c r="G11" s="104">
        <v>1</v>
      </c>
      <c r="H11" s="104">
        <v>1</v>
      </c>
      <c r="I11" s="104">
        <v>1</v>
      </c>
      <c r="J11" s="104">
        <v>1</v>
      </c>
      <c r="K11" s="104">
        <v>1</v>
      </c>
      <c r="L11" s="104">
        <v>1</v>
      </c>
      <c r="M11" s="104">
        <v>1</v>
      </c>
      <c r="N11" s="104">
        <v>1</v>
      </c>
      <c r="O11" s="104">
        <v>1</v>
      </c>
    </row>
    <row r="12" spans="1:15" x14ac:dyDescent="0.25">
      <c r="B12" s="11" t="s">
        <v>214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220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233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354</v>
      </c>
      <c r="B17" s="11"/>
    </row>
    <row r="18" spans="1:15" x14ac:dyDescent="0.25">
      <c r="B18" s="5" t="s">
        <v>200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201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202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210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97</v>
      </c>
      <c r="D24" s="70" t="s">
        <v>93</v>
      </c>
      <c r="E24" s="70" t="s">
        <v>96</v>
      </c>
      <c r="F24" s="70" t="s">
        <v>94</v>
      </c>
      <c r="G24" s="70" t="s">
        <v>95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132</v>
      </c>
      <c r="M24" s="70" t="s">
        <v>133</v>
      </c>
      <c r="N24" s="70" t="s">
        <v>134</v>
      </c>
      <c r="O24" s="70" t="s">
        <v>135</v>
      </c>
    </row>
    <row r="25" spans="1:15" ht="13" x14ac:dyDescent="0.3">
      <c r="A25" s="4" t="s">
        <v>358</v>
      </c>
    </row>
    <row r="26" spans="1:15" x14ac:dyDescent="0.25">
      <c r="B26" s="11" t="s">
        <v>198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203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204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205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206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207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208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209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213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214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220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233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355</v>
      </c>
      <c r="B40" s="11"/>
    </row>
    <row r="41" spans="1:15" x14ac:dyDescent="0.25">
      <c r="B41" s="5" t="s">
        <v>200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201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202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210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276</v>
      </c>
    </row>
    <row r="47" spans="1:15" ht="26.4" customHeight="1" x14ac:dyDescent="0.3">
      <c r="A47" s="4"/>
      <c r="B47" s="4"/>
      <c r="C47" s="70" t="s">
        <v>97</v>
      </c>
      <c r="D47" s="70" t="s">
        <v>93</v>
      </c>
      <c r="E47" s="70" t="s">
        <v>96</v>
      </c>
      <c r="F47" s="70" t="s">
        <v>94</v>
      </c>
      <c r="G47" s="70" t="s">
        <v>95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132</v>
      </c>
      <c r="M47" s="70" t="s">
        <v>133</v>
      </c>
      <c r="N47" s="70" t="s">
        <v>134</v>
      </c>
      <c r="O47" s="70" t="s">
        <v>135</v>
      </c>
    </row>
    <row r="48" spans="1:15" ht="13" x14ac:dyDescent="0.3">
      <c r="A48" s="4" t="s">
        <v>359</v>
      </c>
    </row>
    <row r="49" spans="1:15" x14ac:dyDescent="0.25">
      <c r="B49" s="11" t="s">
        <v>198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203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204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205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206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207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208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209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213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214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220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233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356</v>
      </c>
      <c r="B63" s="11"/>
    </row>
    <row r="64" spans="1:15" x14ac:dyDescent="0.25">
      <c r="B64" s="5" t="s">
        <v>200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201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202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210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B46bpGq9YsocoGXV3gYClgqx7U3T9qYnyBrYyIQM1ZDPHjw7PREHnB+cickFd8usAEUm9wdKIObhWqD7inzjRw==" saltValue="Buro7VsGq7APgOVfGf8Wq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</row>
    <row r="2" spans="1:7" ht="13" x14ac:dyDescent="0.3">
      <c r="A2" s="4" t="s">
        <v>364</v>
      </c>
    </row>
    <row r="3" spans="1:7" x14ac:dyDescent="0.25">
      <c r="B3" s="11" t="s">
        <v>193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361</v>
      </c>
      <c r="B4" s="11"/>
      <c r="C4" s="83"/>
      <c r="D4" s="83"/>
      <c r="E4" s="83"/>
      <c r="F4" s="83"/>
      <c r="G4" s="83"/>
    </row>
    <row r="5" spans="1:7" x14ac:dyDescent="0.25">
      <c r="B5" s="5" t="s">
        <v>191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360</v>
      </c>
    </row>
    <row r="8" spans="1:7" ht="13" x14ac:dyDescent="0.3">
      <c r="A8" s="4"/>
      <c r="B8" s="1"/>
      <c r="C8" s="4" t="s">
        <v>97</v>
      </c>
      <c r="D8" s="4" t="s">
        <v>93</v>
      </c>
      <c r="E8" s="4" t="s">
        <v>96</v>
      </c>
      <c r="F8" s="4" t="s">
        <v>94</v>
      </c>
      <c r="G8" s="4" t="s">
        <v>95</v>
      </c>
    </row>
    <row r="9" spans="1:7" ht="13" x14ac:dyDescent="0.3">
      <c r="A9" s="4" t="s">
        <v>365</v>
      </c>
    </row>
    <row r="10" spans="1:7" x14ac:dyDescent="0.25">
      <c r="B10" s="11" t="s">
        <v>193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362</v>
      </c>
      <c r="B11" s="11"/>
      <c r="C11" s="83"/>
      <c r="D11" s="83"/>
      <c r="E11" s="83"/>
      <c r="F11" s="83"/>
      <c r="G11" s="83"/>
    </row>
    <row r="12" spans="1:7" x14ac:dyDescent="0.25">
      <c r="B12" s="5" t="s">
        <v>191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367</v>
      </c>
    </row>
    <row r="15" spans="1:7" ht="13" x14ac:dyDescent="0.3">
      <c r="A15" s="4"/>
      <c r="B15" s="1"/>
      <c r="C15" s="4" t="s">
        <v>97</v>
      </c>
      <c r="D15" s="4" t="s">
        <v>93</v>
      </c>
      <c r="E15" s="4" t="s">
        <v>96</v>
      </c>
      <c r="F15" s="4" t="s">
        <v>94</v>
      </c>
      <c r="G15" s="4" t="s">
        <v>95</v>
      </c>
    </row>
    <row r="16" spans="1:7" ht="13" x14ac:dyDescent="0.3">
      <c r="A16" s="4" t="s">
        <v>366</v>
      </c>
    </row>
    <row r="17" spans="1:7" x14ac:dyDescent="0.25">
      <c r="B17" s="11" t="s">
        <v>193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363</v>
      </c>
      <c r="B18" s="11"/>
      <c r="C18" s="83"/>
      <c r="D18" s="83"/>
      <c r="E18" s="83"/>
      <c r="F18" s="83"/>
      <c r="G18" s="83"/>
    </row>
    <row r="19" spans="1:7" x14ac:dyDescent="0.25">
      <c r="B19" s="5" t="s">
        <v>191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bfqBdPNK2yoTmK9ImwCe5TaS96sh1TNQhGkBtTgo/ZTwBjHOf5krryA/7Wv2ZxCEXUMT3EctmwUcjDKp8efTeQ==" saltValue="2YEuj9tDj+6oTzBOewywd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3"/>
  <sheetViews>
    <sheetView topLeftCell="A124" zoomScale="70" zoomScaleNormal="70" workbookViewId="0">
      <selection activeCell="H75" sqref="H75"/>
    </sheetView>
  </sheetViews>
  <sheetFormatPr defaultColWidth="12.6328125" defaultRowHeight="12.5" x14ac:dyDescent="0.25"/>
  <cols>
    <col min="1" max="1" width="53" style="5" customWidth="1"/>
    <col min="2" max="2" width="30.54296875" style="5" customWidth="1"/>
    <col min="3" max="3" width="24.6328125" style="5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0" width="12.6328125" style="8" customWidth="1"/>
    <col min="11" max="16384" width="12.6328125" style="8"/>
  </cols>
  <sheetData>
    <row r="1" spans="1:8" ht="13" x14ac:dyDescent="0.3">
      <c r="A1" s="4" t="s">
        <v>192</v>
      </c>
      <c r="B1" s="4" t="s">
        <v>371</v>
      </c>
      <c r="C1" s="82" t="s">
        <v>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8" x14ac:dyDescent="0.25">
      <c r="A2" s="5" t="s">
        <v>225</v>
      </c>
      <c r="B2" s="5" t="s">
        <v>103</v>
      </c>
      <c r="C2" s="5" t="s">
        <v>368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370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369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222</v>
      </c>
      <c r="B5" s="5" t="s">
        <v>236</v>
      </c>
      <c r="C5" s="5" t="s">
        <v>368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369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6</v>
      </c>
      <c r="C7" s="5" t="s">
        <v>368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369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213</v>
      </c>
      <c r="B9" s="5" t="s">
        <v>236</v>
      </c>
      <c r="C9" s="5" t="s">
        <v>368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369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6</v>
      </c>
      <c r="C11" s="5" t="s">
        <v>368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369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233</v>
      </c>
      <c r="B13" s="5" t="s">
        <v>236</v>
      </c>
      <c r="C13" s="5" t="s">
        <v>368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369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6</v>
      </c>
      <c r="C15" s="5" t="s">
        <v>368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369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196</v>
      </c>
      <c r="B17" s="5" t="s">
        <v>236</v>
      </c>
      <c r="C17" s="5" t="s">
        <v>368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369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B19" s="5" t="s">
        <v>6</v>
      </c>
      <c r="C19" s="5" t="s">
        <v>368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369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A21" s="5" t="s">
        <v>202</v>
      </c>
      <c r="B21" s="5" t="s">
        <v>111</v>
      </c>
      <c r="C21" s="5" t="s">
        <v>368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370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200</v>
      </c>
      <c r="B23" s="5" t="s">
        <v>111</v>
      </c>
      <c r="C23" s="5" t="s">
        <v>368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370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201</v>
      </c>
      <c r="B25" s="5" t="s">
        <v>111</v>
      </c>
      <c r="C25" s="5" t="s">
        <v>368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370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229</v>
      </c>
      <c r="B27" s="5" t="s">
        <v>103</v>
      </c>
      <c r="C27" s="5" t="s">
        <v>368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370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x14ac:dyDescent="0.25">
      <c r="C29" s="5" t="s">
        <v>369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230</v>
      </c>
      <c r="B30" s="5" t="s">
        <v>103</v>
      </c>
      <c r="C30" s="5" t="s">
        <v>368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370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369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228</v>
      </c>
      <c r="B33" s="5" t="s">
        <v>103</v>
      </c>
      <c r="C33" s="5" t="s">
        <v>368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370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369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227</v>
      </c>
      <c r="B36" s="5" t="s">
        <v>103</v>
      </c>
      <c r="C36" s="5" t="s">
        <v>368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370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369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226</v>
      </c>
      <c r="B39" s="5" t="s">
        <v>103</v>
      </c>
      <c r="C39" s="5" t="s">
        <v>368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370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369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232</v>
      </c>
      <c r="B42" s="5" t="s">
        <v>103</v>
      </c>
      <c r="C42" s="5" t="s">
        <v>368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370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369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121</v>
      </c>
      <c r="C45" s="5" t="s">
        <v>368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370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369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221</v>
      </c>
      <c r="B48" s="5" t="s">
        <v>103</v>
      </c>
      <c r="C48" s="5" t="s">
        <v>368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370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231</v>
      </c>
      <c r="B50" s="5" t="s">
        <v>103</v>
      </c>
      <c r="C50" s="5" t="s">
        <v>368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370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211</v>
      </c>
      <c r="B52" s="5" t="s">
        <v>115</v>
      </c>
      <c r="C52" s="5" t="s">
        <v>368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370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x14ac:dyDescent="0.3">
      <c r="A55" s="96" t="s">
        <v>360</v>
      </c>
      <c r="B55" s="97"/>
      <c r="C55" s="97"/>
    </row>
    <row r="56" spans="1:8" ht="13" x14ac:dyDescent="0.3">
      <c r="A56" s="4" t="s">
        <v>192</v>
      </c>
      <c r="B56" s="4" t="s">
        <v>371</v>
      </c>
      <c r="C56" s="82" t="s">
        <v>9</v>
      </c>
      <c r="D56" s="4" t="s">
        <v>97</v>
      </c>
      <c r="E56" s="4" t="s">
        <v>93</v>
      </c>
      <c r="F56" s="4" t="s">
        <v>96</v>
      </c>
      <c r="G56" s="4" t="s">
        <v>94</v>
      </c>
      <c r="H56" s="4" t="s">
        <v>95</v>
      </c>
    </row>
    <row r="57" spans="1:8" x14ac:dyDescent="0.25">
      <c r="A57" s="5" t="s">
        <v>225</v>
      </c>
      <c r="B57" s="5" t="s">
        <v>103</v>
      </c>
      <c r="C57" s="5" t="s">
        <v>368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370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369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222</v>
      </c>
      <c r="B60" s="5" t="s">
        <v>236</v>
      </c>
      <c r="C60" s="5" t="s">
        <v>368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369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6</v>
      </c>
      <c r="C62" s="5" t="s">
        <v>368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369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213</v>
      </c>
      <c r="B64" s="5" t="s">
        <v>236</v>
      </c>
      <c r="C64" s="5" t="s">
        <v>368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369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6</v>
      </c>
      <c r="C66" s="5" t="s">
        <v>368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369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233</v>
      </c>
      <c r="B68" s="5" t="s">
        <v>236</v>
      </c>
      <c r="C68" s="5" t="s">
        <v>368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369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6</v>
      </c>
      <c r="C70" s="5" t="s">
        <v>368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369</v>
      </c>
      <c r="D71" s="90">
        <f t="shared" si="0"/>
        <v>0</v>
      </c>
      <c r="E71" s="90">
        <f t="shared" si="0"/>
        <v>0</v>
      </c>
      <c r="F71" s="90">
        <v>0</v>
      </c>
      <c r="G71" s="90">
        <v>0</v>
      </c>
      <c r="H71" s="90">
        <f>IF($C16="Affected fraction",H16,IF(H16=1,1,H16*0.9))</f>
        <v>0</v>
      </c>
    </row>
    <row r="72" spans="1:8" x14ac:dyDescent="0.25">
      <c r="A72" s="5" t="s">
        <v>196</v>
      </c>
      <c r="B72" s="5" t="s">
        <v>236</v>
      </c>
      <c r="C72" s="5" t="s">
        <v>368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369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v>0</v>
      </c>
    </row>
    <row r="74" spans="1:8" x14ac:dyDescent="0.25">
      <c r="B74" s="5" t="s">
        <v>6</v>
      </c>
      <c r="C74" s="5" t="s">
        <v>368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369</v>
      </c>
      <c r="D75" s="90">
        <f t="shared" si="0"/>
        <v>0</v>
      </c>
      <c r="E75" s="90">
        <f t="shared" si="0"/>
        <v>0</v>
      </c>
      <c r="F75" s="90">
        <v>0</v>
      </c>
      <c r="G75" s="90">
        <v>0</v>
      </c>
      <c r="H75" s="90">
        <v>0</v>
      </c>
    </row>
    <row r="76" spans="1:8" x14ac:dyDescent="0.25">
      <c r="A76" s="5" t="s">
        <v>202</v>
      </c>
      <c r="B76" s="5" t="s">
        <v>111</v>
      </c>
      <c r="C76" s="5" t="s">
        <v>368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370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200</v>
      </c>
      <c r="B78" s="5" t="s">
        <v>111</v>
      </c>
      <c r="C78" s="5" t="s">
        <v>368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370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201</v>
      </c>
      <c r="B80" s="5" t="s">
        <v>111</v>
      </c>
      <c r="C80" s="5" t="s">
        <v>368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370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229</v>
      </c>
      <c r="B82" s="5" t="s">
        <v>103</v>
      </c>
      <c r="C82" s="5" t="s">
        <v>368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370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369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230</v>
      </c>
      <c r="B85" s="5" t="s">
        <v>103</v>
      </c>
      <c r="C85" s="5" t="s">
        <v>368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370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369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228</v>
      </c>
      <c r="B88" s="5" t="s">
        <v>103</v>
      </c>
      <c r="C88" s="5" t="s">
        <v>368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370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369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227</v>
      </c>
      <c r="B91" s="5" t="s">
        <v>103</v>
      </c>
      <c r="C91" s="5" t="s">
        <v>368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370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369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226</v>
      </c>
      <c r="B94" s="5" t="s">
        <v>103</v>
      </c>
      <c r="C94" s="5" t="s">
        <v>368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370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369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232</v>
      </c>
      <c r="B97" s="5" t="s">
        <v>103</v>
      </c>
      <c r="C97" s="5" t="s">
        <v>368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370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369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121</v>
      </c>
      <c r="C100" s="5" t="s">
        <v>368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370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369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221</v>
      </c>
      <c r="B103" s="5" t="s">
        <v>103</v>
      </c>
      <c r="C103" s="5" t="s">
        <v>368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370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231</v>
      </c>
      <c r="B105" s="5" t="s">
        <v>103</v>
      </c>
      <c r="C105" s="5" t="s">
        <v>368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370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211</v>
      </c>
      <c r="B107" s="5" t="s">
        <v>115</v>
      </c>
      <c r="C107" s="5" t="s">
        <v>368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370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x14ac:dyDescent="0.3">
      <c r="A110" s="96" t="s">
        <v>367</v>
      </c>
      <c r="B110" s="97"/>
      <c r="C110" s="97"/>
    </row>
    <row r="111" spans="1:8" ht="13" x14ac:dyDescent="0.3">
      <c r="A111" s="4" t="s">
        <v>192</v>
      </c>
      <c r="B111" s="4" t="s">
        <v>371</v>
      </c>
      <c r="C111" s="82" t="s">
        <v>9</v>
      </c>
      <c r="D111" s="4" t="s">
        <v>97</v>
      </c>
      <c r="E111" s="4" t="s">
        <v>93</v>
      </c>
      <c r="F111" s="4" t="s">
        <v>96</v>
      </c>
      <c r="G111" s="4" t="s">
        <v>94</v>
      </c>
      <c r="H111" s="4" t="s">
        <v>95</v>
      </c>
    </row>
    <row r="112" spans="1:8" x14ac:dyDescent="0.25">
      <c r="A112" s="5" t="s">
        <v>225</v>
      </c>
      <c r="B112" s="5" t="s">
        <v>103</v>
      </c>
      <c r="C112" s="5" t="s">
        <v>368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370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369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222</v>
      </c>
      <c r="B115" s="5" t="s">
        <v>236</v>
      </c>
      <c r="C115" s="5" t="s">
        <v>368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369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6</v>
      </c>
      <c r="C117" s="5" t="s">
        <v>368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369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213</v>
      </c>
      <c r="B119" s="5" t="s">
        <v>236</v>
      </c>
      <c r="C119" s="5" t="s">
        <v>368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369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6</v>
      </c>
      <c r="C121" s="5" t="s">
        <v>368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369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233</v>
      </c>
      <c r="B123" s="5" t="s">
        <v>236</v>
      </c>
      <c r="C123" s="5" t="s">
        <v>368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369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6</v>
      </c>
      <c r="C125" s="5" t="s">
        <v>368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369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196</v>
      </c>
      <c r="B127" s="5" t="s">
        <v>236</v>
      </c>
      <c r="C127" s="5" t="s">
        <v>368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369</v>
      </c>
      <c r="D128" s="90">
        <f t="shared" si="3"/>
        <v>0</v>
      </c>
      <c r="E128" s="90">
        <f t="shared" si="3"/>
        <v>0</v>
      </c>
      <c r="F128" s="90">
        <v>0</v>
      </c>
      <c r="G128" s="90">
        <v>0</v>
      </c>
      <c r="H128" s="90">
        <v>0</v>
      </c>
    </row>
    <row r="129" spans="1:8" x14ac:dyDescent="0.25">
      <c r="B129" s="5" t="s">
        <v>6</v>
      </c>
      <c r="C129" s="5" t="s">
        <v>368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369</v>
      </c>
      <c r="D130" s="90">
        <f t="shared" si="3"/>
        <v>0</v>
      </c>
      <c r="E130" s="90">
        <f t="shared" si="3"/>
        <v>0</v>
      </c>
      <c r="F130" s="90">
        <v>0</v>
      </c>
      <c r="G130" s="90">
        <v>0</v>
      </c>
      <c r="H130" s="90">
        <v>0</v>
      </c>
    </row>
    <row r="131" spans="1:8" x14ac:dyDescent="0.25">
      <c r="A131" s="5" t="s">
        <v>202</v>
      </c>
      <c r="B131" s="5" t="s">
        <v>111</v>
      </c>
      <c r="C131" s="5" t="s">
        <v>368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370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200</v>
      </c>
      <c r="B133" s="5" t="s">
        <v>111</v>
      </c>
      <c r="C133" s="5" t="s">
        <v>368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370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201</v>
      </c>
      <c r="B135" s="5" t="s">
        <v>111</v>
      </c>
      <c r="C135" s="5" t="s">
        <v>368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370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229</v>
      </c>
      <c r="B137" s="5" t="s">
        <v>103</v>
      </c>
      <c r="C137" s="5" t="s">
        <v>368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370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369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230</v>
      </c>
      <c r="B140" s="5" t="s">
        <v>103</v>
      </c>
      <c r="C140" s="5" t="s">
        <v>368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370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369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228</v>
      </c>
      <c r="B143" s="5" t="s">
        <v>103</v>
      </c>
      <c r="C143" s="5" t="s">
        <v>368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370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369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227</v>
      </c>
      <c r="B146" s="5" t="s">
        <v>103</v>
      </c>
      <c r="C146" s="5" t="s">
        <v>368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370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369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226</v>
      </c>
      <c r="B149" s="5" t="s">
        <v>103</v>
      </c>
      <c r="C149" s="5" t="s">
        <v>368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370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369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232</v>
      </c>
      <c r="B152" s="5" t="s">
        <v>103</v>
      </c>
      <c r="C152" s="5" t="s">
        <v>368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370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369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121</v>
      </c>
      <c r="C155" s="5" t="s">
        <v>368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370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369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221</v>
      </c>
      <c r="B158" s="5" t="s">
        <v>103</v>
      </c>
      <c r="C158" s="5" t="s">
        <v>368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370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231</v>
      </c>
      <c r="B160" s="5" t="s">
        <v>103</v>
      </c>
      <c r="C160" s="5" t="s">
        <v>368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370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211</v>
      </c>
      <c r="B162" s="5" t="s">
        <v>115</v>
      </c>
      <c r="C162" s="5" t="s">
        <v>368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370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7Pj7zv0OliUKLlpllRjHGnmJt8zNx+wZP5uzwrxoHOWrkJJqC0ICX+2Cqndy42xkYdZq0WOfTykgDYmflaCQpw==" saltValue="Lnsm7CL6QNz8lE1i6YyzZ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192</v>
      </c>
      <c r="B1" s="1" t="s">
        <v>371</v>
      </c>
      <c r="C1" s="1"/>
      <c r="D1" s="4" t="s">
        <v>132</v>
      </c>
      <c r="E1" s="4" t="s">
        <v>133</v>
      </c>
      <c r="F1" s="4" t="s">
        <v>134</v>
      </c>
      <c r="G1" s="4" t="s">
        <v>135</v>
      </c>
      <c r="H1" s="4"/>
    </row>
    <row r="2" spans="1:8" x14ac:dyDescent="0.25">
      <c r="A2" s="3" t="s">
        <v>195</v>
      </c>
      <c r="B2" s="8" t="s">
        <v>105</v>
      </c>
      <c r="C2" s="3" t="s">
        <v>368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370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218</v>
      </c>
      <c r="B4" s="8" t="s">
        <v>105</v>
      </c>
      <c r="C4" s="3" t="s">
        <v>368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370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217</v>
      </c>
      <c r="B6" s="8" t="s">
        <v>105</v>
      </c>
      <c r="C6" s="3" t="s">
        <v>368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370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220</v>
      </c>
      <c r="B8" s="3" t="s">
        <v>263</v>
      </c>
      <c r="C8" s="3" t="s">
        <v>368</v>
      </c>
      <c r="D8" s="118">
        <v>1</v>
      </c>
      <c r="E8" s="118">
        <v>1</v>
      </c>
      <c r="F8" s="118">
        <v>1</v>
      </c>
      <c r="G8" s="118">
        <v>1</v>
      </c>
      <c r="H8" s="3"/>
    </row>
    <row r="9" spans="1:8" x14ac:dyDescent="0.25">
      <c r="A9" s="3"/>
      <c r="B9" s="3"/>
      <c r="C9" s="3" t="s">
        <v>246</v>
      </c>
      <c r="D9" s="118">
        <v>0.09</v>
      </c>
      <c r="E9" s="118">
        <v>0.09</v>
      </c>
      <c r="F9" s="118">
        <v>0.09</v>
      </c>
      <c r="G9" s="118">
        <v>0.09</v>
      </c>
      <c r="H9" s="3"/>
    </row>
    <row r="11" spans="1:8" s="92" customFormat="1" ht="13" x14ac:dyDescent="0.3">
      <c r="A11" s="92" t="s">
        <v>360</v>
      </c>
    </row>
    <row r="12" spans="1:8" ht="13" x14ac:dyDescent="0.3">
      <c r="A12" s="1" t="s">
        <v>192</v>
      </c>
      <c r="B12" s="1" t="s">
        <v>371</v>
      </c>
      <c r="C12" s="1"/>
      <c r="D12" s="4" t="s">
        <v>132</v>
      </c>
      <c r="E12" s="4" t="s">
        <v>133</v>
      </c>
      <c r="F12" s="4" t="s">
        <v>134</v>
      </c>
      <c r="G12" s="4" t="s">
        <v>135</v>
      </c>
    </row>
    <row r="13" spans="1:8" x14ac:dyDescent="0.25">
      <c r="A13" s="3" t="s">
        <v>195</v>
      </c>
      <c r="B13" s="8" t="s">
        <v>105</v>
      </c>
      <c r="C13" s="3" t="s">
        <v>368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370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218</v>
      </c>
      <c r="B15" s="8" t="s">
        <v>105</v>
      </c>
      <c r="C15" s="3" t="s">
        <v>368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370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217</v>
      </c>
      <c r="B17" s="8" t="s">
        <v>105</v>
      </c>
      <c r="C17" s="3" t="s">
        <v>368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370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220</v>
      </c>
      <c r="B19" s="3" t="s">
        <v>263</v>
      </c>
      <c r="C19" s="3" t="s">
        <v>368</v>
      </c>
      <c r="D19" s="118">
        <f t="shared" si="0"/>
        <v>1</v>
      </c>
      <c r="E19" s="118">
        <f t="shared" si="0"/>
        <v>1</v>
      </c>
      <c r="F19" s="118">
        <f t="shared" si="0"/>
        <v>1</v>
      </c>
      <c r="G19" s="118">
        <f t="shared" si="0"/>
        <v>1</v>
      </c>
    </row>
    <row r="20" spans="1:7" x14ac:dyDescent="0.25">
      <c r="A20" s="3"/>
      <c r="B20" s="3"/>
      <c r="C20" s="3" t="s">
        <v>246</v>
      </c>
      <c r="D20" s="118">
        <v>0.02</v>
      </c>
      <c r="E20" s="118">
        <v>0.02</v>
      </c>
      <c r="F20" s="118">
        <v>0.02</v>
      </c>
      <c r="G20" s="118">
        <v>0.02</v>
      </c>
    </row>
    <row r="22" spans="1:7" s="92" customFormat="1" ht="13" x14ac:dyDescent="0.3">
      <c r="A22" s="92" t="s">
        <v>367</v>
      </c>
    </row>
    <row r="23" spans="1:7" ht="13" x14ac:dyDescent="0.3">
      <c r="A23" s="1" t="s">
        <v>192</v>
      </c>
      <c r="B23" s="1" t="s">
        <v>371</v>
      </c>
      <c r="C23" s="1"/>
      <c r="D23" s="4" t="s">
        <v>132</v>
      </c>
      <c r="E23" s="4" t="s">
        <v>133</v>
      </c>
      <c r="F23" s="4" t="s">
        <v>134</v>
      </c>
      <c r="G23" s="4" t="s">
        <v>135</v>
      </c>
    </row>
    <row r="24" spans="1:7" x14ac:dyDescent="0.25">
      <c r="A24" s="3" t="s">
        <v>195</v>
      </c>
      <c r="B24" s="8" t="s">
        <v>105</v>
      </c>
      <c r="C24" s="3" t="s">
        <v>368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370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218</v>
      </c>
      <c r="B26" s="8" t="s">
        <v>105</v>
      </c>
      <c r="C26" s="3" t="s">
        <v>368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370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217</v>
      </c>
      <c r="B28" s="8" t="s">
        <v>105</v>
      </c>
      <c r="C28" s="3" t="s">
        <v>368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370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220</v>
      </c>
      <c r="B30" s="3" t="s">
        <v>263</v>
      </c>
      <c r="C30" s="3" t="s">
        <v>368</v>
      </c>
      <c r="D30" s="118">
        <f t="shared" ref="D30:G30" si="1">IF($C8="Affected fraction",D8,IF(D8=1,1,D8*1.05))</f>
        <v>1</v>
      </c>
      <c r="E30" s="118">
        <f t="shared" si="1"/>
        <v>1</v>
      </c>
      <c r="F30" s="118">
        <f t="shared" si="1"/>
        <v>1</v>
      </c>
      <c r="G30" s="118">
        <f t="shared" si="1"/>
        <v>1</v>
      </c>
    </row>
    <row r="31" spans="1:7" x14ac:dyDescent="0.25">
      <c r="A31" s="3"/>
      <c r="B31" s="3"/>
      <c r="C31" s="3" t="s">
        <v>246</v>
      </c>
      <c r="D31" s="118">
        <v>0.14000000000000001</v>
      </c>
      <c r="E31" s="118">
        <v>0.14000000000000001</v>
      </c>
      <c r="F31" s="118">
        <v>0.14000000000000001</v>
      </c>
      <c r="G31" s="118">
        <v>0.14000000000000001</v>
      </c>
    </row>
  </sheetData>
  <sheetProtection algorithmName="SHA-512" hashValue="TXQOyiVvX/q3iu4g3Pey0WlZjF5t++va5xj+5Iof/Y8Y/+vpUizIx268c6KHCQtD8g7FsNY9xwNOcI91ftsl+Q==" saltValue="RWZqA/qjEaQIW8dOE9RyJg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2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Variables económicas   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Razón de momios</vt:lpstr>
      <vt:lpstr>Resultados de nacimiento- prog</vt:lpstr>
      <vt:lpstr>Riesgos desenlace de nacimiento</vt:lpstr>
      <vt:lpstr>Riesgos relativos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lang=es</cp:keywords>
  <dc:description/>
  <cp:lastModifiedBy>Tharindu Wickramaarachchi</cp:lastModifiedBy>
  <cp:revision/>
  <dcterms:created xsi:type="dcterms:W3CDTF">2017-08-01T10:42:13Z</dcterms:created>
  <dcterms:modified xsi:type="dcterms:W3CDTF">2025-07-04T01:25:18Z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