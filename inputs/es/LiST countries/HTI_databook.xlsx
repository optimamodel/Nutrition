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A19348F-388E-477F-BED0-1869D04290FE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<sst xmlns="http://schemas.openxmlformats.org/spreadsheetml/2006/main" count="2102" uniqueCount="341">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</sst>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1273383.1796875</v>
      </c>
    </row>
    <row r="8" spans="1:3" ht="15" customHeight="1" x14ac:dyDescent="0.25">
      <c r="B8" s="5" t="s">
        <v>44</v>
      </c>
      <c r="C8" s="44">
        <v>0.24199999999999999</v>
      </c>
    </row>
    <row r="9" spans="1:3" ht="15" customHeight="1" x14ac:dyDescent="0.25">
      <c r="B9" s="5" t="s">
        <v>43</v>
      </c>
      <c r="C9" s="45">
        <v>7.2000000000000008E-2</v>
      </c>
    </row>
    <row r="10" spans="1:3" ht="15" customHeight="1" x14ac:dyDescent="0.25">
      <c r="B10" s="5" t="s">
        <v>56</v>
      </c>
      <c r="C10" s="45">
        <v>0.78792312620000005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0.56000000000000005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7.2900000000000006E-2</v>
      </c>
    </row>
    <row r="24" spans="1:3" ht="15" customHeight="1" x14ac:dyDescent="0.25">
      <c r="B24" s="15" t="s">
        <v>46</v>
      </c>
      <c r="C24" s="45">
        <v>0.45440000000000003</v>
      </c>
    </row>
    <row r="25" spans="1:3" ht="15" customHeight="1" x14ac:dyDescent="0.25">
      <c r="B25" s="15" t="s">
        <v>47</v>
      </c>
      <c r="C25" s="45">
        <v>0.37469999999999998</v>
      </c>
    </row>
    <row r="26" spans="1:3" ht="15" customHeight="1" x14ac:dyDescent="0.25">
      <c r="B26" s="15" t="s">
        <v>48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0.313922160131612</v>
      </c>
    </row>
    <row r="30" spans="1:3" ht="14.25" customHeight="1" x14ac:dyDescent="0.25">
      <c r="B30" s="25" t="s">
        <v>63</v>
      </c>
      <c r="C30" s="99">
        <v>4.8182353063125502E-2</v>
      </c>
    </row>
    <row r="31" spans="1:3" ht="14.25" customHeight="1" x14ac:dyDescent="0.25">
      <c r="B31" s="25" t="s">
        <v>10</v>
      </c>
      <c r="C31" s="99">
        <v>7.3364831683659995E-2</v>
      </c>
    </row>
    <row r="32" spans="1:3" ht="14.25" customHeight="1" x14ac:dyDescent="0.25">
      <c r="B32" s="25" t="s">
        <v>11</v>
      </c>
      <c r="C32" s="99">
        <v>0.56453065512160205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24.281790000000001</v>
      </c>
    </row>
    <row r="38" spans="1:5" ht="15" customHeight="1" x14ac:dyDescent="0.25">
      <c r="B38" s="11" t="s">
        <v>35</v>
      </c>
      <c r="C38" s="43">
        <v>45.410170000000001</v>
      </c>
      <c r="D38" s="12"/>
      <c r="E38" s="13"/>
    </row>
    <row r="39" spans="1:5" ht="15" customHeight="1" x14ac:dyDescent="0.25">
      <c r="B39" s="11" t="s">
        <v>61</v>
      </c>
      <c r="C39" s="43">
        <v>58.632680000000001</v>
      </c>
      <c r="D39" s="12"/>
      <c r="E39" s="12"/>
    </row>
    <row r="40" spans="1:5" ht="15" customHeight="1" x14ac:dyDescent="0.25">
      <c r="B40" s="11" t="s">
        <v>36</v>
      </c>
      <c r="C40" s="100">
        <v>3.5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7.1995999999999996E-3</v>
      </c>
      <c r="D45" s="12"/>
    </row>
    <row r="46" spans="1:5" ht="15.75" customHeight="1" x14ac:dyDescent="0.25">
      <c r="B46" s="11" t="s">
        <v>51</v>
      </c>
      <c r="C46" s="45">
        <v>7.7358700000000002E-2</v>
      </c>
      <c r="D46" s="12"/>
    </row>
    <row r="47" spans="1:5" ht="15.75" customHeight="1" x14ac:dyDescent="0.25">
      <c r="B47" s="11" t="s">
        <v>59</v>
      </c>
      <c r="C47" s="45">
        <v>7.4154299999999992E-2</v>
      </c>
      <c r="D47" s="12"/>
      <c r="E47" s="13"/>
    </row>
    <row r="48" spans="1:5" ht="15" customHeight="1" x14ac:dyDescent="0.25">
      <c r="B48" s="11" t="s">
        <v>58</v>
      </c>
      <c r="C48" s="46">
        <v>0.84128739999999991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0.455787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ry8+d17CbXPFtBl9XhSCSbKOoVlwQ2JBfpdOYjkFUvEGnr/Qh8Fp3NaRxEnNC8F0bKTMUPTx9CzBjo8Lt6a4AQ==" saltValue="yTgKuTs90BxSOhpWbMYZ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266581</v>
      </c>
      <c r="C2" s="49">
        <v>695453.5</v>
      </c>
      <c r="D2" s="49">
        <v>1058977.5</v>
      </c>
      <c r="E2" s="49">
        <v>912421.5</v>
      </c>
      <c r="F2" s="49">
        <v>583943.5</v>
      </c>
      <c r="G2" s="17">
        <f t="shared" ref="G2:G13" si="0">C2+D2+E2+F2</f>
        <v>3250796</v>
      </c>
      <c r="H2" s="17">
        <f t="shared" ref="H2:H13" si="1">(B2 + stillbirth*B2/(1000-stillbirth))/(1-abortion)</f>
        <v>308396.82416312082</v>
      </c>
      <c r="I2" s="17">
        <f t="shared" ref="I2:I13" si="2">G2-H2</f>
        <v>2942399.1758368793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265489</v>
      </c>
      <c r="C3" s="50">
        <v>700609</v>
      </c>
      <c r="D3" s="50">
        <v>1065174</v>
      </c>
      <c r="E3" s="50">
        <v>924954.5</v>
      </c>
      <c r="F3" s="50">
        <v>604615</v>
      </c>
      <c r="G3" s="17">
        <f t="shared" si="0"/>
        <v>3295352.5</v>
      </c>
      <c r="H3" s="17">
        <f t="shared" si="1"/>
        <v>307133.53333599464</v>
      </c>
      <c r="I3" s="17">
        <f t="shared" si="2"/>
        <v>2988218.9666640055</v>
      </c>
    </row>
    <row r="4" spans="1:9" ht="15.75" customHeight="1" x14ac:dyDescent="0.25">
      <c r="A4" s="5">
        <f t="shared" si="3"/>
        <v>2026</v>
      </c>
      <c r="B4" s="49">
        <v>264193</v>
      </c>
      <c r="C4" s="50">
        <v>705573.5</v>
      </c>
      <c r="D4" s="50">
        <v>1071341.5</v>
      </c>
      <c r="E4" s="50">
        <v>935880</v>
      </c>
      <c r="F4" s="50">
        <v>625208</v>
      </c>
      <c r="G4" s="17">
        <f t="shared" si="0"/>
        <v>3338003</v>
      </c>
      <c r="H4" s="17">
        <f t="shared" si="1"/>
        <v>305634.24312358111</v>
      </c>
      <c r="I4" s="17">
        <f t="shared" si="2"/>
        <v>3032368.7568764188</v>
      </c>
    </row>
    <row r="5" spans="1:9" ht="15.75" customHeight="1" x14ac:dyDescent="0.25">
      <c r="A5" s="5">
        <f t="shared" si="3"/>
        <v>2027</v>
      </c>
      <c r="B5" s="49">
        <v>264007</v>
      </c>
      <c r="C5" s="50">
        <v>709713.50000000012</v>
      </c>
      <c r="D5" s="50">
        <v>1077209</v>
      </c>
      <c r="E5" s="50">
        <v>945404.49999999988</v>
      </c>
      <c r="F5" s="50">
        <v>645814</v>
      </c>
      <c r="G5" s="17">
        <f t="shared" si="0"/>
        <v>3378141</v>
      </c>
      <c r="H5" s="17">
        <f t="shared" si="1"/>
        <v>305419.06721346616</v>
      </c>
      <c r="I5" s="17">
        <f t="shared" si="2"/>
        <v>3072721.9327865336</v>
      </c>
    </row>
    <row r="6" spans="1:9" ht="15.75" customHeight="1" x14ac:dyDescent="0.25">
      <c r="A6" s="5">
        <f t="shared" si="3"/>
        <v>2028</v>
      </c>
      <c r="B6" s="49">
        <v>262471</v>
      </c>
      <c r="C6" s="50">
        <v>713643.5</v>
      </c>
      <c r="D6" s="50">
        <v>1082902</v>
      </c>
      <c r="E6" s="50">
        <v>953650.5</v>
      </c>
      <c r="F6" s="50">
        <v>666425</v>
      </c>
      <c r="G6" s="17">
        <f t="shared" si="0"/>
        <v>3416621</v>
      </c>
      <c r="H6" s="17">
        <f t="shared" si="1"/>
        <v>303642.13066542055</v>
      </c>
      <c r="I6" s="17">
        <f t="shared" si="2"/>
        <v>3112978.8693345794</v>
      </c>
    </row>
    <row r="7" spans="1:9" ht="15.75" customHeight="1" x14ac:dyDescent="0.25">
      <c r="A7" s="5">
        <f t="shared" si="3"/>
        <v>2029</v>
      </c>
      <c r="B7" s="49">
        <v>261202</v>
      </c>
      <c r="C7" s="50">
        <v>717556.49999999988</v>
      </c>
      <c r="D7" s="50">
        <v>1088676.5</v>
      </c>
      <c r="E7" s="50">
        <v>960921.50000000012</v>
      </c>
      <c r="F7" s="50">
        <v>686842.5</v>
      </c>
      <c r="G7" s="17">
        <f t="shared" si="0"/>
        <v>3453997</v>
      </c>
      <c r="H7" s="17">
        <f t="shared" si="1"/>
        <v>302174.07566576567</v>
      </c>
      <c r="I7" s="17">
        <f t="shared" si="2"/>
        <v>3151822.9243342346</v>
      </c>
    </row>
    <row r="8" spans="1:9" ht="15.75" customHeight="1" x14ac:dyDescent="0.25">
      <c r="A8" s="5">
        <f t="shared" si="3"/>
        <v>2030</v>
      </c>
      <c r="B8" s="49">
        <v>261052</v>
      </c>
      <c r="C8" s="50">
        <v>720973.5</v>
      </c>
      <c r="D8" s="50">
        <v>1094587.5</v>
      </c>
      <c r="E8" s="50">
        <v>967926.5</v>
      </c>
      <c r="F8" s="50">
        <v>706851.5</v>
      </c>
      <c r="G8" s="17">
        <f t="shared" si="0"/>
        <v>3490339</v>
      </c>
      <c r="H8" s="17">
        <f t="shared" si="1"/>
        <v>302000.54670599557</v>
      </c>
      <c r="I8" s="17">
        <f t="shared" si="2"/>
        <v>3188338.4532940043</v>
      </c>
    </row>
    <row r="9" spans="1:9" ht="15.75" customHeight="1" x14ac:dyDescent="0.25">
      <c r="A9" s="5">
        <f t="shared" si="3"/>
        <v>2031</v>
      </c>
      <c r="B9" s="49">
        <v>260695</v>
      </c>
      <c r="C9" s="50">
        <v>723598</v>
      </c>
      <c r="D9" s="50">
        <v>1101650</v>
      </c>
      <c r="E9" s="50">
        <v>975156</v>
      </c>
      <c r="F9" s="50">
        <v>726244.5</v>
      </c>
      <c r="G9" s="17">
        <f t="shared" si="0"/>
        <v>3526648.5</v>
      </c>
      <c r="H9" s="17">
        <f t="shared" si="1"/>
        <v>301587.54778174282</v>
      </c>
      <c r="I9" s="17">
        <f t="shared" si="2"/>
        <v>3225060.9522182574</v>
      </c>
    </row>
    <row r="10" spans="1:9" ht="15.75" customHeight="1" x14ac:dyDescent="0.25">
      <c r="A10" s="5">
        <f t="shared" si="3"/>
        <v>2032</v>
      </c>
      <c r="B10" s="49">
        <v>259116</v>
      </c>
      <c r="C10" s="50">
        <v>726132</v>
      </c>
      <c r="D10" s="50">
        <v>1109632</v>
      </c>
      <c r="E10" s="50">
        <v>982193</v>
      </c>
      <c r="F10" s="50">
        <v>743608</v>
      </c>
      <c r="G10" s="17">
        <f t="shared" si="0"/>
        <v>3561565</v>
      </c>
      <c r="H10" s="17">
        <f t="shared" si="1"/>
        <v>299760.86626522976</v>
      </c>
      <c r="I10" s="17">
        <f t="shared" si="2"/>
        <v>3261804.1337347701</v>
      </c>
    </row>
    <row r="11" spans="1:9" ht="15.75" customHeight="1" x14ac:dyDescent="0.25">
      <c r="A11" s="5">
        <f t="shared" si="3"/>
        <v>2033</v>
      </c>
      <c r="B11" s="49">
        <v>258266</v>
      </c>
      <c r="C11" s="50">
        <v>729320.5</v>
      </c>
      <c r="D11" s="50">
        <v>1117177</v>
      </c>
      <c r="E11" s="50">
        <v>989143.5</v>
      </c>
      <c r="F11" s="50">
        <v>758928</v>
      </c>
      <c r="G11" s="17">
        <f t="shared" si="0"/>
        <v>3594569</v>
      </c>
      <c r="H11" s="17">
        <f t="shared" si="1"/>
        <v>298777.53549319931</v>
      </c>
      <c r="I11" s="17">
        <f t="shared" si="2"/>
        <v>3295791.4645068008</v>
      </c>
    </row>
    <row r="12" spans="1:9" ht="15.75" customHeight="1" x14ac:dyDescent="0.25">
      <c r="A12" s="5">
        <f t="shared" si="3"/>
        <v>2034</v>
      </c>
      <c r="B12" s="49">
        <v>257593</v>
      </c>
      <c r="C12" s="50">
        <v>732583.50000000012</v>
      </c>
      <c r="D12" s="50">
        <v>1124530.5</v>
      </c>
      <c r="E12" s="50">
        <v>996455</v>
      </c>
      <c r="F12" s="50">
        <v>772988</v>
      </c>
      <c r="G12" s="17">
        <f t="shared" si="0"/>
        <v>3626557</v>
      </c>
      <c r="H12" s="17">
        <f t="shared" si="1"/>
        <v>297998.96889369749</v>
      </c>
      <c r="I12" s="17">
        <f t="shared" si="2"/>
        <v>3328558.0311063025</v>
      </c>
    </row>
    <row r="13" spans="1:9" ht="15.75" customHeight="1" x14ac:dyDescent="0.25">
      <c r="A13" s="5">
        <f t="shared" si="3"/>
        <v>2035</v>
      </c>
      <c r="B13" s="49">
        <v>257422</v>
      </c>
      <c r="C13" s="50">
        <v>734906.49999999988</v>
      </c>
      <c r="D13" s="50">
        <v>1132129.5</v>
      </c>
      <c r="E13" s="50">
        <v>1004080</v>
      </c>
      <c r="F13" s="50">
        <v>785383.5</v>
      </c>
      <c r="G13" s="17">
        <f t="shared" si="0"/>
        <v>3656499.5</v>
      </c>
      <c r="H13" s="17">
        <f t="shared" si="1"/>
        <v>297801.14587955963</v>
      </c>
      <c r="I13" s="17">
        <f t="shared" si="2"/>
        <v>3358698.3541204403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QoVmEFV1Fmx/IBJYXrbo02HiVb49WFF0JImrk54+RNhnXou95V6udT9tjxBrHoQTookNdnFsHQis4hP8fy2kA==" saltValue="90BSVLVF0HAMLPzRkCCW4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1.457150145715014E-2</v>
      </c>
    </row>
    <row r="4" spans="1:8" ht="15.75" customHeight="1" x14ac:dyDescent="0.25">
      <c r="B4" s="19" t="s">
        <v>97</v>
      </c>
      <c r="C4" s="101">
        <v>5.6389805638980627E-2</v>
      </c>
    </row>
    <row r="5" spans="1:8" ht="15.75" customHeight="1" x14ac:dyDescent="0.25">
      <c r="B5" s="19" t="s">
        <v>95</v>
      </c>
      <c r="C5" s="101">
        <v>9.5235509523551004E-2</v>
      </c>
    </row>
    <row r="6" spans="1:8" ht="15.75" customHeight="1" x14ac:dyDescent="0.25">
      <c r="B6" s="19" t="s">
        <v>91</v>
      </c>
      <c r="C6" s="101">
        <v>0.24108282410828241</v>
      </c>
    </row>
    <row r="7" spans="1:8" ht="15.75" customHeight="1" x14ac:dyDescent="0.25">
      <c r="B7" s="19" t="s">
        <v>96</v>
      </c>
      <c r="C7" s="101">
        <v>0.38396373839637371</v>
      </c>
    </row>
    <row r="8" spans="1:8" ht="15.75" customHeight="1" x14ac:dyDescent="0.25">
      <c r="B8" s="19" t="s">
        <v>98</v>
      </c>
      <c r="C8" s="101">
        <v>4.505000450500056E-3</v>
      </c>
    </row>
    <row r="9" spans="1:8" ht="15.75" customHeight="1" x14ac:dyDescent="0.25">
      <c r="B9" s="19" t="s">
        <v>92</v>
      </c>
      <c r="C9" s="101">
        <v>7.3147507314750781E-2</v>
      </c>
    </row>
    <row r="10" spans="1:8" ht="15.75" customHeight="1" x14ac:dyDescent="0.25">
      <c r="B10" s="19" t="s">
        <v>94</v>
      </c>
      <c r="C10" s="101">
        <v>0.1311041131104114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102</v>
      </c>
      <c r="C15" s="101">
        <v>0.41237195447993258</v>
      </c>
      <c r="D15" s="101">
        <v>0.41237195447993258</v>
      </c>
      <c r="E15" s="101">
        <v>0.41237195447993258</v>
      </c>
      <c r="F15" s="101">
        <v>0.41237195447993258</v>
      </c>
    </row>
    <row r="16" spans="1:8" ht="15.75" customHeight="1" x14ac:dyDescent="0.25">
      <c r="B16" s="19" t="s">
        <v>2</v>
      </c>
      <c r="C16" s="101">
        <v>4.0164812369605563E-2</v>
      </c>
      <c r="D16" s="101">
        <v>4.0164812369605563E-2</v>
      </c>
      <c r="E16" s="101">
        <v>4.0164812369605563E-2</v>
      </c>
      <c r="F16" s="101">
        <v>4.0164812369605563E-2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9.8733560397260348E-4</v>
      </c>
      <c r="D18" s="101">
        <v>9.8733560397260348E-4</v>
      </c>
      <c r="E18" s="101">
        <v>9.8733560397260348E-4</v>
      </c>
      <c r="F18" s="101">
        <v>9.8733560397260348E-4</v>
      </c>
    </row>
    <row r="19" spans="1:8" ht="15.75" customHeight="1" x14ac:dyDescent="0.25">
      <c r="B19" s="19" t="s">
        <v>101</v>
      </c>
      <c r="C19" s="101">
        <v>2.6499715031151418E-2</v>
      </c>
      <c r="D19" s="101">
        <v>2.6499715031151418E-2</v>
      </c>
      <c r="E19" s="101">
        <v>2.6499715031151418E-2</v>
      </c>
      <c r="F19" s="101">
        <v>2.6499715031151418E-2</v>
      </c>
    </row>
    <row r="20" spans="1:8" ht="15.75" customHeight="1" x14ac:dyDescent="0.25">
      <c r="B20" s="19" t="s">
        <v>79</v>
      </c>
      <c r="C20" s="101">
        <v>5.7101080443523709E-2</v>
      </c>
      <c r="D20" s="101">
        <v>5.7101080443523709E-2</v>
      </c>
      <c r="E20" s="101">
        <v>5.7101080443523709E-2</v>
      </c>
      <c r="F20" s="101">
        <v>5.7101080443523709E-2</v>
      </c>
    </row>
    <row r="21" spans="1:8" ht="15.75" customHeight="1" x14ac:dyDescent="0.25">
      <c r="B21" s="19" t="s">
        <v>88</v>
      </c>
      <c r="C21" s="101">
        <v>0.1063705702456989</v>
      </c>
      <c r="D21" s="101">
        <v>0.1063705702456989</v>
      </c>
      <c r="E21" s="101">
        <v>0.1063705702456989</v>
      </c>
      <c r="F21" s="101">
        <v>0.1063705702456989</v>
      </c>
    </row>
    <row r="22" spans="1:8" ht="15.75" customHeight="1" x14ac:dyDescent="0.25">
      <c r="B22" s="19" t="s">
        <v>99</v>
      </c>
      <c r="C22" s="101">
        <v>0.14544372475883671</v>
      </c>
      <c r="D22" s="101">
        <v>0.14544372475883671</v>
      </c>
      <c r="E22" s="101">
        <v>0.14544372475883671</v>
      </c>
      <c r="F22" s="101">
        <v>0.14544372475883671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0.103712281</v>
      </c>
    </row>
    <row r="27" spans="1:8" ht="15.75" customHeight="1" x14ac:dyDescent="0.25">
      <c r="B27" s="19" t="s">
        <v>89</v>
      </c>
      <c r="C27" s="101">
        <v>0.109547722</v>
      </c>
    </row>
    <row r="28" spans="1:8" ht="15.75" customHeight="1" x14ac:dyDescent="0.25">
      <c r="B28" s="19" t="s">
        <v>103</v>
      </c>
      <c r="C28" s="101">
        <v>6.2347139000000003E-2</v>
      </c>
    </row>
    <row r="29" spans="1:8" ht="15.75" customHeight="1" x14ac:dyDescent="0.25">
      <c r="B29" s="19" t="s">
        <v>86</v>
      </c>
      <c r="C29" s="101">
        <v>0.20200695599999999</v>
      </c>
    </row>
    <row r="30" spans="1:8" ht="15.75" customHeight="1" x14ac:dyDescent="0.25">
      <c r="B30" s="19" t="s">
        <v>4</v>
      </c>
      <c r="C30" s="101">
        <v>0.123504</v>
      </c>
    </row>
    <row r="31" spans="1:8" ht="15.75" customHeight="1" x14ac:dyDescent="0.25">
      <c r="B31" s="19" t="s">
        <v>80</v>
      </c>
      <c r="C31" s="101">
        <v>0.126081523</v>
      </c>
    </row>
    <row r="32" spans="1:8" ht="15.75" customHeight="1" x14ac:dyDescent="0.25">
      <c r="B32" s="19" t="s">
        <v>85</v>
      </c>
      <c r="C32" s="101">
        <v>1.7896931000000001E-2</v>
      </c>
    </row>
    <row r="33" spans="2:3" ht="15.75" customHeight="1" x14ac:dyDescent="0.25">
      <c r="B33" s="19" t="s">
        <v>100</v>
      </c>
      <c r="C33" s="101">
        <v>0.13369104100000001</v>
      </c>
    </row>
    <row r="34" spans="2:3" ht="15.75" customHeight="1" x14ac:dyDescent="0.25">
      <c r="B34" s="19" t="s">
        <v>87</v>
      </c>
      <c r="C34" s="101">
        <v>0.12121240799999999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n3sdFE8Y/IxEzVBkW4PdEB+5ilhTTQe9orbKnwuKFMLrNdjZ9cseDJjEi5/o1zyDzbbjzUZfIgF1vi6XQF1waA==" saltValue="jb/datiZ+t1eUCDlgA0+s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110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106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107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119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uB8vRdVIiKCxYy8y0pCuWjVqGu6DuSqVXk4zwrdPqA7UjHIMdkyqd6rDY9WTNEkCde8QHFWsmyCRpHRkCqy+g==" saltValue="epYa7g0H25dvYOObXxt+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125</v>
      </c>
      <c r="C5" s="52">
        <v>2.5542800000000001E-2</v>
      </c>
      <c r="D5" s="52">
        <v>4.86264E-2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4LvvG94m2zycCA5bavVZe1hEQHSlHdSmXuzfji84+RIYpa/ofwwi5yt0iNKyFcaXH25uKFzOb2V+gn1wv1pS1w==" saltValue="Wo0hL1zjUrkEuiPx/qnAb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pllHwBMShab2xylZENrn6kYiKgIJ9dwSF38Ju8/5nkeNSAzoQJYoyX0AOqI1wDpqarcWoxE1ZKRCJPeK5MxQQ==" saltValue="L+/OYlOLkwI/bqiANNtzO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9oG3szBZOWV07N0GLRKvDK4fyJ7BvRHb0qpTdBE7K4osvBwwaeT5zeoUaxFaBQH14L6O1l9s7r6gBSgGnTxazQ==" saltValue="t3V1xT8Ypb4AL6+MY22xk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DtYBo+ZgTEYS/zI5+R/7tZo4C9au9Jg5qHpl64T/SaYbKcz6ri1/b1jJhL5U3yzZK1gKosAxpkx/AlitY/D7pw==" saltValue="zP+ci5vqJIVevCRng1sQq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M2tCANkB8MRG5/g6fNUsqByPzu/Ns+3Zfy8UQobcyjYbB+dVH5iCs/jAzBb21Z0aDwjrYUGgFt/RPnfpa0JvrQ==" saltValue="qkXc9gvCToUnCevuxKXw+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36.314322339717627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0.23093564031105701</v>
      </c>
      <c r="C3" s="98">
        <v>0.95</v>
      </c>
      <c r="D3" s="56">
        <v>47.396457506944927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73.95954362537492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0.1229003668333799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0.43240960000000001</v>
      </c>
      <c r="C10" s="98">
        <v>0.95</v>
      </c>
      <c r="D10" s="56">
        <v>15.05570683744001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0.43240960000000001</v>
      </c>
      <c r="C11" s="98">
        <v>0.95</v>
      </c>
      <c r="D11" s="56">
        <v>15.05570683744001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0.43240960000000001</v>
      </c>
      <c r="C12" s="98">
        <v>0.95</v>
      </c>
      <c r="D12" s="56">
        <v>15.05570683744001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0.43240960000000001</v>
      </c>
      <c r="C13" s="98">
        <v>0.95</v>
      </c>
      <c r="D13" s="56">
        <v>15.05570683744001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0.43240960000000001</v>
      </c>
      <c r="C14" s="98">
        <v>0.95</v>
      </c>
      <c r="D14" s="56">
        <v>15.05570683744001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0.43240960000000001</v>
      </c>
      <c r="C15" s="98">
        <v>0.95</v>
      </c>
      <c r="D15" s="56">
        <v>15.05570683744001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0.78</v>
      </c>
      <c r="C16" s="98">
        <v>0.95</v>
      </c>
      <c r="D16" s="56">
        <v>0.25737104316799292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4.9901519233322401E-2</v>
      </c>
      <c r="C18" s="98">
        <v>0.95</v>
      </c>
      <c r="D18" s="56">
        <v>1.8074989747168151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0.37475879999999989</v>
      </c>
      <c r="C19" s="98">
        <v>0.95</v>
      </c>
      <c r="D19" s="56">
        <v>1.8074989747168151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0.18938730000000001</v>
      </c>
      <c r="C21" s="98">
        <v>0.95</v>
      </c>
      <c r="D21" s="56">
        <v>1.1459341628410029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25.663027124609449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4.9354522743270124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0.38197877794735302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0.43240960000000001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21.733846424218829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0.217519374398254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64.086600374027668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0.2</v>
      </c>
      <c r="C31" s="98">
        <v>0.95</v>
      </c>
      <c r="D31" s="56">
        <v>0.87638737554351476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0.49216312756226022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0.19176319999999999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0.39322339999999989</v>
      </c>
      <c r="C38" s="98">
        <v>0.95</v>
      </c>
      <c r="D38" s="56">
        <v>4.9717444122782668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3GwvUfij29PoG2x8YTTXOIWAj4F1/lZJhTgiz9PqCTxSXSEJuMaGR1fjJnAahsxeXOK2bzepVd0xKAWEzH5Lvg==" saltValue="uqcOImggnJYEnsyk8+x+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ewn2fP04mS8XSfdeciGsVTa8O1IuoebVVI0Rmkch3TSSdt/SZOJQDgTjTSlgCOCg0EmIynn0dcFgnc2FGOn9g==" saltValue="+sMO/RVcWMAtkmo0i01W9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ruTEQZ6IAXhXAZ65yGx57Y03ytRzIO3OPNW0ilwoMPXfOoF3hxxg3eSEXPhylwgfytHyYgexpmnn+oeYy1g8g==" saltValue="nsNalJPzQlVxoaOEi9h2I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207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sheetProtection algorithmName="SHA-512" hashValue="xzfEHwZR9QzHaVuAJkcNkxV+ZXPtQIiqL+XlxNhhvaOucSTYTIPEawS1nVOCdydPEophKLFSQy/Y8jlEd9yyEA==" saltValue="fZABOFiRsT6juUB3XMGKi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0.24199999999999999</v>
      </c>
      <c r="E2" s="60">
        <f>food_insecure</f>
        <v>0.24199999999999999</v>
      </c>
      <c r="F2" s="60">
        <f>food_insecure</f>
        <v>0.24199999999999999</v>
      </c>
      <c r="G2" s="60">
        <f>food_insecure</f>
        <v>0.24199999999999999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0.24199999999999999</v>
      </c>
      <c r="I15" s="60">
        <f>food_insecure</f>
        <v>0.24199999999999999</v>
      </c>
      <c r="J15" s="60">
        <f>food_insecure</f>
        <v>0.24199999999999999</v>
      </c>
      <c r="K15" s="60">
        <f>food_insecure</f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0.56000000000000005</v>
      </c>
      <c r="M24" s="60">
        <f>famplan_unmet_need</f>
        <v>0.56000000000000005</v>
      </c>
      <c r="N24" s="60">
        <f>famplan_unmet_need</f>
        <v>0.56000000000000005</v>
      </c>
      <c r="O24" s="60">
        <f>famplan_unmet_need</f>
        <v>0.56000000000000005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7.2000000000000008E-2</v>
      </c>
      <c r="D34" s="60">
        <f t="shared" si="3"/>
        <v>7.2000000000000008E-2</v>
      </c>
      <c r="E34" s="60">
        <f t="shared" si="3"/>
        <v>7.2000000000000008E-2</v>
      </c>
      <c r="F34" s="60">
        <f t="shared" si="3"/>
        <v>7.2000000000000008E-2</v>
      </c>
      <c r="G34" s="60">
        <f t="shared" si="3"/>
        <v>7.2000000000000008E-2</v>
      </c>
      <c r="H34" s="60">
        <f t="shared" si="3"/>
        <v>7.2000000000000008E-2</v>
      </c>
      <c r="I34" s="60">
        <f t="shared" si="3"/>
        <v>7.2000000000000008E-2</v>
      </c>
      <c r="J34" s="60">
        <f t="shared" si="3"/>
        <v>7.2000000000000008E-2</v>
      </c>
      <c r="K34" s="60">
        <f t="shared" si="3"/>
        <v>7.2000000000000008E-2</v>
      </c>
      <c r="L34" s="60">
        <f t="shared" si="3"/>
        <v>7.2000000000000008E-2</v>
      </c>
      <c r="M34" s="60">
        <f t="shared" si="3"/>
        <v>7.2000000000000008E-2</v>
      </c>
      <c r="N34" s="60">
        <f t="shared" si="3"/>
        <v>7.2000000000000008E-2</v>
      </c>
      <c r="O34" s="60">
        <f t="shared" si="3"/>
        <v>7.2000000000000008E-2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xHFQh2TsnmOA2w+V9yp4WCPTnMynQKbqfJQGO3jb0fRAOK4J7gCGBxLIqJS236d/0TPGBhrFbaJt/ONmluF7Q==" saltValue="5+v19Izo125I7BFUl4nzZ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UiElxzCkhCqt3h329YN/vE9ZWoYPiXZafWU+7t0+DJpkOkEw9Xdwguq7q6yEf+BOniI9Zl8IrVBoITRwNmHIUA==" saltValue="KNs+gTX+7y9Hl2GPJCk4L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s1kmWcoz8YEmkrJjb8sMmrENA2cxpTKZuJsOiErp6RtTFO7Esop1DNgs6wf2uYLJMLfWu6/446Q15IIf1X5FQ==" saltValue="UjCR0ks50YVJNIAyXz0nF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Cq5l0a0C/eBooso15GAayoD+f8v2ff0soMqZI5hyis85mmw6VJmqH4/vXamY2K7wYuh68MgH0WBEMDxgVuZQw==" saltValue="9AzQQaQ2Iqro7QQesDfJw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XzNnf37PS1gsqMZjEFFlEzW+YUEI1kbfW0wJHVq54lz/ra/JOk+5Bbadr1sms0WfJU7B5NDEyYn+0yt55eGY2Q==" saltValue="Q9DBS77difAY5Un1NNQk3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vmBK5h9jDrFv90eznOTHN0TQ/v9fsjda1bFibcC1kxJ2IrtG8XFuJhm2HkYtb/SdIC+kjCr3gyx3/80+ipIOg==" saltValue="afLrmMVHihRPDY7uhBK2x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UtBt7C4xlKb8g2kA6VrcY2jwbNf3u7oZ1+yBPKj3sEGNP334TiI6K1ybEOMiZNpST9/M2F736rq/eRcG4Fm0rQ==" saltValue="gx4NaifesTMMc3rBUU8OI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d6cMx5GuCDmHtMyXk3ULElxRJQLLZp+EXkhQm1EprLkyQer4y2XQ3gNf+VQAFQVXEqg7ENlg08KVe7OYcz0qg==" saltValue="Caq4ACwR+3ZvpWj2vFhD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RRuZdUG96GN5Utcc11EKkVpaSNZODO43IaQFEqBP5XDCnjFSbb1DdqB0VGnwP2nyCZAupsj9rxOIi4Cvhbi2A==" saltValue="dsHY/09oT6r9MBJjWyaN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ncXzMjla6tP/I9FNrmimfR77coePmDUrWmcdEjzkQ7CWqWIo5nRn8h3HllHnM/7E3umeKxFp+tXOjj0C0/34g==" saltValue="wqXmf2l3tbZBIeV8NcYu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xtOYB5/IIcRly3CXdvw9sOzxWaVXwbW+vv3FZ1UNmBmuGDeuE1JDFgy0xBhMu0DNtflsAQnUAV/qHOMyZ/zOuw==" saltValue="npJmnkaIyA7nz54NYGRN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NnTUHWn+kCbVombmXM9CMc9ONZ71I6U44pwEawVeWIq+BZ1Zo4CqhOlB5SWR8MlksudxQGkc/V7hyWFXoCpUQ==" saltValue="tMPdPIOjHb1RxaS1X3GM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+uFZpoE/CxNEoIvd8EfrEPxcf0W8ZlmJA18YtIz6R+/Xf8jMg7vhfeUU8T+aLduOK0XU4t5ng4dPvAlipvseQ==" saltValue="vM4O4kStuANQgyOh812a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M9o660XNyDGS8oHbngkk0vuAiiwYMofxsufOp5F86K61UQ28jqU7VXHoM+A+IazptoB8ofPnngYe+nBohYeYQ==" saltValue="NlM44qn/klcDVX6XErpT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qUhL8so3mTVqpT2I1X3GAGH9pY4PP1AT8+H8zAFYyDPFPlL4+jRujrBA344E0AkcIWvjdEkvC40B03gRM0VVA==" saltValue="C8YfRX6oooM5rDK2+N1gI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2024-05-16T23:35:44Z</dcterms:modified>
</cp:coreProperties>
</file>