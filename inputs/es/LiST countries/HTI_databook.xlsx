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8EFC86F-C9D5-4110-9667-A7A249EFFDA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5" i="2" l="1"/>
  <c r="A27" i="2"/>
  <c r="A3" i="2"/>
  <c r="A17" i="2"/>
  <c r="A31" i="2"/>
  <c r="A19" i="2"/>
  <c r="I4" i="2"/>
  <c r="I8" i="2"/>
  <c r="I12" i="2"/>
  <c r="A20" i="2"/>
  <c r="A34" i="2"/>
  <c r="A26" i="2"/>
  <c r="A15" i="2"/>
  <c r="A28" i="2"/>
  <c r="A18" i="2"/>
  <c r="A33" i="2"/>
  <c r="A23" i="2"/>
  <c r="A35" i="2"/>
  <c r="A16" i="2"/>
  <c r="A24" i="2"/>
  <c r="A32" i="2"/>
  <c r="A39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<sst xmlns="http://schemas.openxmlformats.org/spreadsheetml/2006/main" count="2101" uniqueCount="341">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</sst>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1273383.1796875</v>
      </c>
    </row>
    <row r="8" spans="1:3" ht="15" customHeight="1" x14ac:dyDescent="0.25">
      <c r="B8" s="5" t="s">
        <v>44</v>
      </c>
      <c r="C8" s="44">
        <v>0.24199999999999999</v>
      </c>
    </row>
    <row r="9" spans="1:3" ht="15" customHeight="1" x14ac:dyDescent="0.25">
      <c r="B9" s="5" t="s">
        <v>43</v>
      </c>
      <c r="C9" s="45">
        <v>7.2000000000000008E-2</v>
      </c>
    </row>
    <row r="10" spans="1:3" ht="15" customHeight="1" x14ac:dyDescent="0.25">
      <c r="B10" s="5" t="s">
        <v>56</v>
      </c>
      <c r="C10" s="45">
        <v>0.78792312620000005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7.2900000000000006E-2</v>
      </c>
    </row>
    <row r="24" spans="1:3" ht="15" customHeight="1" x14ac:dyDescent="0.25">
      <c r="B24" s="15" t="s">
        <v>46</v>
      </c>
      <c r="C24" s="45">
        <v>0.45440000000000003</v>
      </c>
    </row>
    <row r="25" spans="1:3" ht="15" customHeight="1" x14ac:dyDescent="0.25">
      <c r="B25" s="15" t="s">
        <v>47</v>
      </c>
      <c r="C25" s="45">
        <v>0.37469999999999998</v>
      </c>
    </row>
    <row r="26" spans="1:3" ht="15" customHeight="1" x14ac:dyDescent="0.25">
      <c r="B26" s="15" t="s">
        <v>48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0.313922160131612</v>
      </c>
    </row>
    <row r="30" spans="1:3" ht="14.25" customHeight="1" x14ac:dyDescent="0.25">
      <c r="B30" s="25" t="s">
        <v>63</v>
      </c>
      <c r="C30" s="99">
        <v>4.8182353063125502E-2</v>
      </c>
    </row>
    <row r="31" spans="1:3" ht="14.25" customHeight="1" x14ac:dyDescent="0.25">
      <c r="B31" s="25" t="s">
        <v>10</v>
      </c>
      <c r="C31" s="99">
        <v>7.3364831683659995E-2</v>
      </c>
    </row>
    <row r="32" spans="1:3" ht="14.25" customHeight="1" x14ac:dyDescent="0.25">
      <c r="B32" s="25" t="s">
        <v>11</v>
      </c>
      <c r="C32" s="99">
        <v>0.56453065512160205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24.281790000000001</v>
      </c>
    </row>
    <row r="38" spans="1:5" ht="15" customHeight="1" x14ac:dyDescent="0.25">
      <c r="B38" s="11" t="s">
        <v>35</v>
      </c>
      <c r="C38" s="43">
        <v>45.410170000000001</v>
      </c>
      <c r="D38" s="12"/>
      <c r="E38" s="13"/>
    </row>
    <row r="39" spans="1:5" ht="15" customHeight="1" x14ac:dyDescent="0.25">
      <c r="B39" s="11" t="s">
        <v>61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7.1995999999999996E-3</v>
      </c>
      <c r="D45" s="12"/>
    </row>
    <row r="46" spans="1:5" ht="15.75" customHeight="1" x14ac:dyDescent="0.25">
      <c r="B46" s="11" t="s">
        <v>51</v>
      </c>
      <c r="C46" s="45">
        <v>7.7358700000000002E-2</v>
      </c>
      <c r="D46" s="12"/>
    </row>
    <row r="47" spans="1:5" ht="15.75" customHeight="1" x14ac:dyDescent="0.25">
      <c r="B47" s="11" t="s">
        <v>59</v>
      </c>
      <c r="C47" s="45">
        <v>7.4154299999999992E-2</v>
      </c>
      <c r="D47" s="12"/>
      <c r="E47" s="13"/>
    </row>
    <row r="48" spans="1:5" ht="15" customHeight="1" x14ac:dyDescent="0.25">
      <c r="B48" s="11" t="s">
        <v>58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0.455787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NpGLJgrm1cNAVoxf6s9HPoWnTp1/mLdSXGx1y7b/OEVhYbW4/ziZwBkfsNDw9RhKuW/Xh2cBuVD1JFBcEtDOw==" saltValue="ckSGg5/2rude9SSyWjnI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3n4RTKf7pGrXE+baT/IkAM2V5Hen8O2guMX2BPXpfOpswg/nSw6E+QbbRgHerpDfRSnKUWRQPGJwt0+7VGKOg==" saltValue="gmhCNhl83BGvlFCPfJJ80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1.457150145715014E-2</v>
      </c>
    </row>
    <row r="4" spans="1:8" ht="15.75" customHeight="1" x14ac:dyDescent="0.25">
      <c r="B4" s="19" t="s">
        <v>97</v>
      </c>
      <c r="C4" s="101">
        <v>5.6389805638980627E-2</v>
      </c>
    </row>
    <row r="5" spans="1:8" ht="15.75" customHeight="1" x14ac:dyDescent="0.25">
      <c r="B5" s="19" t="s">
        <v>95</v>
      </c>
      <c r="C5" s="101">
        <v>9.5235509523551004E-2</v>
      </c>
    </row>
    <row r="6" spans="1:8" ht="15.75" customHeight="1" x14ac:dyDescent="0.25">
      <c r="B6" s="19" t="s">
        <v>91</v>
      </c>
      <c r="C6" s="101">
        <v>0.24108282410828241</v>
      </c>
    </row>
    <row r="7" spans="1:8" ht="15.75" customHeight="1" x14ac:dyDescent="0.25">
      <c r="B7" s="19" t="s">
        <v>96</v>
      </c>
      <c r="C7" s="101">
        <v>0.38396373839637371</v>
      </c>
    </row>
    <row r="8" spans="1:8" ht="15.75" customHeight="1" x14ac:dyDescent="0.25">
      <c r="B8" s="19" t="s">
        <v>98</v>
      </c>
      <c r="C8" s="101">
        <v>4.505000450500056E-3</v>
      </c>
    </row>
    <row r="9" spans="1:8" ht="15.75" customHeight="1" x14ac:dyDescent="0.25">
      <c r="B9" s="19" t="s">
        <v>92</v>
      </c>
      <c r="C9" s="101">
        <v>7.3147507314750781E-2</v>
      </c>
    </row>
    <row r="10" spans="1:8" ht="15.75" customHeight="1" x14ac:dyDescent="0.25">
      <c r="B10" s="19" t="s">
        <v>94</v>
      </c>
      <c r="C10" s="101">
        <v>0.1311041131104114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102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2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101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79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99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0.103712281</v>
      </c>
    </row>
    <row r="27" spans="1:8" ht="15.75" customHeight="1" x14ac:dyDescent="0.25">
      <c r="B27" s="19" t="s">
        <v>89</v>
      </c>
      <c r="C27" s="101">
        <v>0.109547722</v>
      </c>
    </row>
    <row r="28" spans="1:8" ht="15.75" customHeight="1" x14ac:dyDescent="0.25">
      <c r="B28" s="19" t="s">
        <v>103</v>
      </c>
      <c r="C28" s="101">
        <v>6.2347139000000003E-2</v>
      </c>
    </row>
    <row r="29" spans="1:8" ht="15.75" customHeight="1" x14ac:dyDescent="0.25">
      <c r="B29" s="19" t="s">
        <v>86</v>
      </c>
      <c r="C29" s="101">
        <v>0.20200695599999999</v>
      </c>
    </row>
    <row r="30" spans="1:8" ht="15.75" customHeight="1" x14ac:dyDescent="0.25">
      <c r="B30" s="19" t="s">
        <v>4</v>
      </c>
      <c r="C30" s="101">
        <v>0.123504</v>
      </c>
    </row>
    <row r="31" spans="1:8" ht="15.75" customHeight="1" x14ac:dyDescent="0.25">
      <c r="B31" s="19" t="s">
        <v>80</v>
      </c>
      <c r="C31" s="101">
        <v>0.126081523</v>
      </c>
    </row>
    <row r="32" spans="1:8" ht="15.75" customHeight="1" x14ac:dyDescent="0.25">
      <c r="B32" s="19" t="s">
        <v>85</v>
      </c>
      <c r="C32" s="101">
        <v>1.7896931000000001E-2</v>
      </c>
    </row>
    <row r="33" spans="2:3" ht="15.75" customHeight="1" x14ac:dyDescent="0.25">
      <c r="B33" s="19" t="s">
        <v>100</v>
      </c>
      <c r="C33" s="101">
        <v>0.13369104100000001</v>
      </c>
    </row>
    <row r="34" spans="2:3" ht="15.75" customHeight="1" x14ac:dyDescent="0.25">
      <c r="B34" s="19" t="s">
        <v>87</v>
      </c>
      <c r="C34" s="101">
        <v>0.12121240799999999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gzlUsizDI8ZLbg6S9FPgrMF5PX0HsHsIeSBcH+f813pc8ow9RoL7HogRVZEiiWbGn3MgLvNDzsVNSVS/MJeAOg==" saltValue="G+zxYS5djP/CoLbKzQuM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110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106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107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119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DPkit5LgJ1K7U0p3mSyVJ4QsL1sLawRhBHpRKPGju2BGFbivGTjNLInsBtSuDjgoPK5L8L0cqTI/aE3GfgVzw==" saltValue="C6kcTA9b5crT1VC7WptT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125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Oh/rZhuZ7FUFNcx/JNB+0A4iCyWBQ6IqV0dC/4RY14vTq5T7oUXRSGhPvmg7VzassKmM99HWifuYvFUBesuvFQ==" saltValue="Guam68goUaWHe8QsH2a8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N277T2vaEtkAfm6vxBZd5MQT54bm3KgPmPBskYIXhUNiSy/erpoM2m0sNnqngk73tBWWRtM4XR0971wC84geg==" saltValue="+5FO+QJAb9z0+AhwyznV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VqNX3CL0Ea04sKof3EoAmlnSqdIRstwxmzAxtk0du8Bzj6ULrDaAJ7ijuFawZdmnXmXQowBnbaQgoM+oxs/TIQ==" saltValue="EeOaTZZ444JXCxc6D2SN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IlXr+p3SznwKUcvCv1YmF8zitMa4o7TonGhwhVDGsyEjdrU5tQVj5PLQlKyTciBZzJS5DUYBdZRyj0U67CaOw==" saltValue="5ZqKvEww3TYlDPCe5y7Z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UhSQhc62o11EJ2Z106FUyoOHXjIAEiZPCzCWcR6A+0BM54r26padQA1//nagVA+3QzXxzNtdOOgOmz4YEk6Xg==" saltValue="IL/C+ecTIcRxeThO1uHx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0.1229003668333799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2.9310961239067201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1.39698440993215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0.43240960000000001</v>
      </c>
      <c r="C10" s="98">
        <v>0.95</v>
      </c>
      <c r="D10" s="56">
        <v>15.05570683744001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15.05570683744001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15.05570683744001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15.05570683744001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0.43240960000000001</v>
      </c>
      <c r="C14" s="98">
        <v>0.95</v>
      </c>
      <c r="D14" s="56">
        <v>15.05570683744001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15.05570683744001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0.1590328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0.182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0.30287550000000002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0.30650460000000002</v>
      </c>
      <c r="C23" s="98">
        <v>0.95</v>
      </c>
      <c r="D23" s="56">
        <v>4.9354522743270124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0.28426940885284802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1.6E-2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0.39322339999999989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0.19176319999999999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0.18079999999999999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0.2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0.2258269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0.63865939999999999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1.9524400000000001E-2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0.18938730000000001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5.2999999999999999E-2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ZsrhdmcLCuK1WUW00LoiZ7XCPI3PqmsMUbMEfI25027h0aOpu0/d701Beo+62SXOlPWNGSYfGAIh4bC25yKVjw==" saltValue="/qnG/tkoFDSCWKm+nDvC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itXAKmQh2uFZf+U1rNa3AQ7oZ0bl4fu2Sic9pCzHPZlhnZ+dOGvJBGozKACDuAFIEE2SmphtvdC4VwZgHuzwg==" saltValue="Ass5tNec+Qhruiywk6tr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3LdBabOJuM3no7byZ2+62ERxv4WT3r7v9+FriTJJm5oxHggXkw4GzN7pwkTqWJqO6kp79oEKbNWpDjUnseNjw==" saltValue="g2VxERJ9gDlobp/Uhyae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207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0nHAz/0az0oRnvRT3CQy5g1OE4nEPLtKgQpiY8dMotmY6EYfQX8OMJ2v4gjX4JvcsaX+si+JFHD54fk9/mQAVw==" saltValue="1LopRbedQBshSsmxnJQC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BOPvT56qB1nt7z5yNZ2mMyYeWkYXeJWc8RN291sScN9C15BiDE4np63RErH6sZapad4DFg55w82K2Mpbl2AcA==" saltValue="fBq3883jYn6lCaNIFkpP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Rn0ov4UGw2M0lcgGgccviAPL0Sb/lh1S5lWFpgT6lhw1+wFcQAJ0j0C8vv099FaRP38SjkZlno2PEIhXCQ6ijw==" saltValue="UhgApPmO0aUEItPgMJIZ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FActA3UJieffdJGQ9+pqyI4QJflpcZd6RhIEEeC8v++rszAsiQ92cqDoUeegcD+frhxTC3m8Z9437isxLkSCQ==" saltValue="LUruziS5/M0qHK1x973a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9BBU64xv2/sNqCHTwAVw3FIEEnC55oF0B/PlYL/OM1O/cZQL5F9oLNPfKNhM13QBYDtG8O/w2mEB0J1dXeWAA==" saltValue="T65CvFzg7c07yT68i1Zw1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Ps5i4o7Y7blZGwmRzBkWLiCJ3yHNgKgxws1aVLq+EBiaL9WBbKrJTwZMZtaRgkq0OQkP2OPwBbU8EeNd+3BfQ==" saltValue="vi5ZVl31gTacQAQL3pwt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47ilYoSem1cfLYTS9cDb4BMPOS602JZ7CTpefJICwzcPEID5a+LegAtIvpNaUEDCWnrdGpy7ANYNBEIV9JuQQ==" saltValue="AEeT9ui2PQ7qLn+vs0U8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CD3y+g0fkuuvwX8jfFSXmgt6/rWf0Jh89Gk0HsxrfSBQ4YOX+/Pg50wWHJOi7iIQ6r0qgkfHQnMsDUByFDHrA==" saltValue="naRLfktHh9+9z05YkJ+q0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du2+821Gn0qQEFNFX2LngmPVS7HZlRkvL6E6dPwbJBPMVA8qECfe2+yJ617uNEZyM3qpWDx8aWkLeBuo7/waw==" saltValue="IFyi87tZbnGzlJ1mHrVW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kh+qlSVnaDKCsfAYI8yV6OW7awejdzcZ+rATkTkNYPVT4+bX7o8UPwDaotwoepV8II88C6tfoC2NxIiXv1whA==" saltValue="4sXSDWQlFA+YbrPHUX9b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5mGiOA1eDoW9+/LOznIAiFpHN7Sy+nrXk3TFrcUZLAaHKqQ/BiZ7oGEBRi1YCW39JJ0lI2JQ6x0CeIDxMklcw==" saltValue="K70bWXm1CoJdkMu6mSZ5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H/grposf3dhB1HothLxaWRD5x295avS1dRV+mJnbCq1OW2OEeaU1ATchOfT3ambhB8FO77BK3YvMY5WE7iN0w==" saltValue="Ausia9StTZJcmAElJF8m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shBKoIKngxA0JZLvzjm/OzUBsoKqbBKjNdtseZuO7SsUlY4x6Q/RNtOmI1+bTgPRHJjBtfoujEoC3+K7cxyzw==" saltValue="0/Q7HeiMjvCztV0Ae88A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kHJXVG23ZqpBbWF34Bdol8tXQY24BOLsG7r7ESQuLNlJbSA03naW6eJgLV8ylmiuVkBdiycNRG6lXs1QPkyIw==" saltValue="ysjKxD4lxmofftG+W1wR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0.10889741738807213</v>
      </c>
      <c r="G18" s="90">
        <f>MIN(MAX(1-0.89/(1-frac_sam_12_23months+(frac_sam_12_23months*0.89)),0),1)</f>
        <v>0.10883438567609527</v>
      </c>
      <c r="H18" s="90">
        <f>MIN(MAX(1-0.89/(1-frac_sam_24_59months+(frac_sam_24_59months*0.89)),0),1)</f>
        <v>0.10956699311394735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0.10331846722669302</v>
      </c>
      <c r="G20" s="90">
        <f>MIN(MAX(1-0.89/(1-frac_mam_12_23months+(frac_mam_12_23months*0.89)),0),1)</f>
        <v>0.10650621862184739</v>
      </c>
      <c r="H20" s="90">
        <f>MIN(MAX(1-0.89/(1-frac_mam_24_59months+(frac_mam_24_59months*0.89)),0),1)</f>
        <v>0.10830820117531603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9.8886283124670626E-3</v>
      </c>
      <c r="G73" s="90">
        <f>MIN(MAX(1-0.99/(1-frac_sam_12_23months+(frac_sam_12_23months*0.99)),0),1)</f>
        <v>9.882269061085025E-3</v>
      </c>
      <c r="H73" s="90">
        <f>MIN(MAX(1-0.99/(1-frac_sam_24_59months+(frac_sam_24_59months*0.99)),0),1)</f>
        <v>9.956232145110655E-3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9.3289194100083517E-3</v>
      </c>
      <c r="G75" s="90">
        <f>MIN(MAX(1-0.99/(1-frac_mam_12_23months+(frac_mam_12_23months*0.99)),0),1)</f>
        <v>9.6479526252554182E-3</v>
      </c>
      <c r="H75" s="90">
        <f>MIN(MAX(1-0.99/(1-frac_mam_24_59months+(frac_mam_24_59months*0.99)),0),1)</f>
        <v>9.829214352720772E-3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0.19819619802276778</v>
      </c>
      <c r="G128" s="90">
        <f>MIN(MAX(1-0.8/(1-frac_sam_12_23months+(frac_sam_12_23months*0.8)),0),1)</f>
        <v>0.19809296885108418</v>
      </c>
      <c r="H128" s="90">
        <f>MIN(MAX(1-0.8/(1-frac_sam_24_59months+(frac_sam_24_59months*0.8)),0),1)</f>
        <v>0.19929204605544026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0.18901274466471751</v>
      </c>
      <c r="G130" s="90">
        <f>MIN(MAX(1-0.8/(1-frac_mam_12_23months+(frac_mam_12_23months*0.8)),0),1)</f>
        <v>0.1942716420097339</v>
      </c>
      <c r="H130" s="90">
        <f>MIN(MAX(1-0.8/(1-frac_mam_24_59months+(frac_mam_24_59months*0.8)),0),1)</f>
        <v>0.19723075114376043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2Jh19SanwSWcxP3sYTxCEQYV8vSae+fYboLTCia6NOVcDe5wPOT0WaV253NqDp0T6QYWznbS/nyauqnZRJm3g==" saltValue="k376ev8+HrVjMIyrNPVY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60Cdz/eJy4rgluD5ehjl+gfvLzs8rXym3d651ibSuibRj4HaYPXpjAjiRkIXTFONyR2kJppafsKhRbFVoYYcw==" saltValue="m2ifFDZey1CGYu2KNUrz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2024-08-06T07:42:29Z</dcterms:modified>
</cp:coreProperties>
</file>