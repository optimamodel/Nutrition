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C6726A5-A6C7-4C9D-A075-A5328157C70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3" i="2" l="1"/>
  <c r="A25" i="2"/>
  <c r="A36" i="2"/>
  <c r="A37" i="2"/>
  <c r="A22" i="2"/>
  <c r="A24" i="2"/>
  <c r="I9" i="2"/>
  <c r="I13" i="2"/>
  <c r="I38" i="2"/>
  <c r="A26" i="2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<sst xmlns="http://schemas.openxmlformats.org/spreadsheetml/2006/main" count="2169" uniqueCount="373">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</sst>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1225084.5</v>
      </c>
    </row>
    <row r="8" spans="1:3" ht="15" customHeight="1" x14ac:dyDescent="0.25">
      <c r="B8" s="5" t="s">
        <v>63</v>
      </c>
      <c r="C8" s="44">
        <v>0.24199999999999999</v>
      </c>
    </row>
    <row r="9" spans="1:3" ht="15" customHeight="1" x14ac:dyDescent="0.25">
      <c r="B9" s="5" t="s">
        <v>62</v>
      </c>
      <c r="C9" s="45">
        <v>7.2000000000000008E-2</v>
      </c>
    </row>
    <row r="10" spans="1:3" ht="15" customHeight="1" x14ac:dyDescent="0.25">
      <c r="B10" s="5" t="s">
        <v>75</v>
      </c>
      <c r="C10" s="45">
        <v>0.78792312620000005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7.2900000000000006E-2</v>
      </c>
    </row>
    <row r="24" spans="1:3" ht="15" customHeight="1" x14ac:dyDescent="0.25">
      <c r="B24" s="15" t="s">
        <v>65</v>
      </c>
      <c r="C24" s="45">
        <v>0.45440000000000003</v>
      </c>
    </row>
    <row r="25" spans="1:3" ht="15" customHeight="1" x14ac:dyDescent="0.25">
      <c r="B25" s="15" t="s">
        <v>66</v>
      </c>
      <c r="C25" s="45">
        <v>0.37469999999999998</v>
      </c>
    </row>
    <row r="26" spans="1:3" ht="15" customHeight="1" x14ac:dyDescent="0.25">
      <c r="B26" s="15" t="s">
        <v>67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0.313922160131612</v>
      </c>
    </row>
    <row r="30" spans="1:3" ht="14.25" customHeight="1" x14ac:dyDescent="0.25">
      <c r="B30" s="25" t="s">
        <v>82</v>
      </c>
      <c r="C30" s="97">
        <v>4.8182353063125502E-2</v>
      </c>
    </row>
    <row r="31" spans="1:3" ht="14.25" customHeight="1" x14ac:dyDescent="0.25">
      <c r="B31" s="25" t="s">
        <v>29</v>
      </c>
      <c r="C31" s="97">
        <v>7.3364831683659995E-2</v>
      </c>
    </row>
    <row r="32" spans="1:3" ht="14.25" customHeight="1" x14ac:dyDescent="0.25">
      <c r="B32" s="25" t="s">
        <v>30</v>
      </c>
      <c r="C32" s="97">
        <v>0.56453065512160205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24.281790000000001</v>
      </c>
    </row>
    <row r="38" spans="1:5" ht="15" customHeight="1" x14ac:dyDescent="0.25">
      <c r="B38" s="11" t="s">
        <v>54</v>
      </c>
      <c r="C38" s="43">
        <v>45.410170000000001</v>
      </c>
      <c r="D38" s="12"/>
      <c r="E38" s="13"/>
    </row>
    <row r="39" spans="1:5" ht="15" customHeight="1" x14ac:dyDescent="0.25">
      <c r="B39" s="11" t="s">
        <v>80</v>
      </c>
      <c r="C39" s="43">
        <v>58.632680000000001</v>
      </c>
      <c r="D39" s="12"/>
      <c r="E39" s="12"/>
    </row>
    <row r="40" spans="1:5" ht="15" customHeight="1" x14ac:dyDescent="0.25">
      <c r="B40" s="11" t="s">
        <v>55</v>
      </c>
      <c r="C40" s="98">
        <v>3.5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7.1995999999999996E-3</v>
      </c>
      <c r="D45" s="12"/>
    </row>
    <row r="46" spans="1:5" ht="15.75" customHeight="1" x14ac:dyDescent="0.25">
      <c r="B46" s="11" t="s">
        <v>70</v>
      </c>
      <c r="C46" s="45">
        <v>7.7358700000000002E-2</v>
      </c>
      <c r="D46" s="12"/>
    </row>
    <row r="47" spans="1:5" ht="15.75" customHeight="1" x14ac:dyDescent="0.25">
      <c r="B47" s="11" t="s">
        <v>78</v>
      </c>
      <c r="C47" s="45">
        <v>7.4154299999999992E-2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5.59</v>
      </c>
      <c r="D51" s="12"/>
    </row>
    <row r="52" spans="1:4" ht="15" customHeight="1" x14ac:dyDescent="0.25">
      <c r="B52" s="11" t="s">
        <v>32</v>
      </c>
      <c r="C52" s="98">
        <v>5.59</v>
      </c>
    </row>
    <row r="53" spans="1:4" ht="15.75" customHeight="1" x14ac:dyDescent="0.25">
      <c r="B53" s="11" t="s">
        <v>35</v>
      </c>
      <c r="C53" s="98">
        <v>9.984</v>
      </c>
    </row>
    <row r="54" spans="1:4" ht="15.75" customHeight="1" x14ac:dyDescent="0.25">
      <c r="B54" s="11" t="s">
        <v>33</v>
      </c>
      <c r="C54" s="98">
        <v>8.2159999999999993</v>
      </c>
    </row>
    <row r="55" spans="1:4" ht="15.75" customHeight="1" x14ac:dyDescent="0.25">
      <c r="B55" s="11" t="s">
        <v>34</v>
      </c>
      <c r="C55" s="98">
        <v>3.952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0.455787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TPns2SYeiKjG+O8Yciv6Lc0q/nkO2777UeebaiE93BSGF2uCIFPRifJ5moMIbyTaiDWZ5JKDJKtFPGY1eJdaQ==" saltValue="hruG9VqCJZB7gJyfJSrS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258339.99999999997</v>
      </c>
      <c r="C2" s="49">
        <v>578448</v>
      </c>
      <c r="D2" s="49">
        <v>1061950.5</v>
      </c>
      <c r="E2" s="49">
        <v>900684.50000000012</v>
      </c>
      <c r="F2" s="49">
        <v>653982.5</v>
      </c>
      <c r="G2" s="17">
        <f t="shared" ref="G2:G13" si="0">C2+D2+E2+F2</f>
        <v>3195065.5</v>
      </c>
      <c r="H2" s="17">
        <f t="shared" ref="H2:H13" si="1">(B2 + stillbirth*B2/(1000-stillbirth))/(1-abortion)</f>
        <v>298863.14311335247</v>
      </c>
      <c r="I2" s="17">
        <f t="shared" ref="I2:I13" si="2">G2-H2</f>
        <v>2896202.3568866476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257433</v>
      </c>
      <c r="C3" s="50">
        <v>582883.5</v>
      </c>
      <c r="D3" s="50">
        <v>1068437.5</v>
      </c>
      <c r="E3" s="50">
        <v>916601.5</v>
      </c>
      <c r="F3" s="50">
        <v>673184</v>
      </c>
      <c r="G3" s="17">
        <f t="shared" si="0"/>
        <v>3241106.5</v>
      </c>
      <c r="H3" s="17">
        <f t="shared" si="1"/>
        <v>297813.87133660942</v>
      </c>
      <c r="I3" s="17">
        <f t="shared" si="2"/>
        <v>2943292.6286633904</v>
      </c>
    </row>
    <row r="4" spans="1:9" ht="15.75" customHeight="1" x14ac:dyDescent="0.25">
      <c r="A4" s="5">
        <f t="shared" si="3"/>
        <v>2026</v>
      </c>
      <c r="B4" s="49">
        <v>256749.00000000003</v>
      </c>
      <c r="C4" s="50">
        <v>587626</v>
      </c>
      <c r="D4" s="50">
        <v>1075087</v>
      </c>
      <c r="E4" s="50">
        <v>930932</v>
      </c>
      <c r="F4" s="50">
        <v>692991</v>
      </c>
      <c r="G4" s="17">
        <f t="shared" si="0"/>
        <v>3286636</v>
      </c>
      <c r="H4" s="17">
        <f t="shared" si="1"/>
        <v>297022.57928005786</v>
      </c>
      <c r="I4" s="17">
        <f t="shared" si="2"/>
        <v>2989613.4207199421</v>
      </c>
    </row>
    <row r="5" spans="1:9" ht="15.75" customHeight="1" x14ac:dyDescent="0.25">
      <c r="A5" s="5">
        <f t="shared" si="3"/>
        <v>2027</v>
      </c>
      <c r="B5" s="49">
        <v>256091.99999999997</v>
      </c>
      <c r="C5" s="50">
        <v>591713.5</v>
      </c>
      <c r="D5" s="50">
        <v>1082083</v>
      </c>
      <c r="E5" s="50">
        <v>943804</v>
      </c>
      <c r="F5" s="50">
        <v>713430.00000000012</v>
      </c>
      <c r="G5" s="17">
        <f t="shared" si="0"/>
        <v>3331030.5</v>
      </c>
      <c r="H5" s="17">
        <f t="shared" si="1"/>
        <v>296262.52243626484</v>
      </c>
      <c r="I5" s="17">
        <f t="shared" si="2"/>
        <v>3034767.9775637351</v>
      </c>
    </row>
    <row r="6" spans="1:9" ht="15.75" customHeight="1" x14ac:dyDescent="0.25">
      <c r="A6" s="5">
        <f t="shared" si="3"/>
        <v>2028</v>
      </c>
      <c r="B6" s="49">
        <v>255064</v>
      </c>
      <c r="C6" s="50">
        <v>594138</v>
      </c>
      <c r="D6" s="50">
        <v>1089389.5</v>
      </c>
      <c r="E6" s="50">
        <v>955103.49999999988</v>
      </c>
      <c r="F6" s="50">
        <v>734595.5</v>
      </c>
      <c r="G6" s="17">
        <f t="shared" si="0"/>
        <v>3373226.5</v>
      </c>
      <c r="H6" s="17">
        <f t="shared" si="1"/>
        <v>295073.27063197392</v>
      </c>
      <c r="I6" s="17">
        <f t="shared" si="2"/>
        <v>3078153.2293680259</v>
      </c>
    </row>
    <row r="7" spans="1:9" ht="15.75" customHeight="1" x14ac:dyDescent="0.25">
      <c r="A7" s="5">
        <f t="shared" si="3"/>
        <v>2029</v>
      </c>
      <c r="B7" s="49">
        <v>254577</v>
      </c>
      <c r="C7" s="50">
        <v>595634.5</v>
      </c>
      <c r="D7" s="50">
        <v>1096786</v>
      </c>
      <c r="E7" s="50">
        <v>965028.5</v>
      </c>
      <c r="F7" s="50">
        <v>756310.5</v>
      </c>
      <c r="G7" s="17">
        <f t="shared" si="0"/>
        <v>3413759.5</v>
      </c>
      <c r="H7" s="17">
        <f t="shared" si="1"/>
        <v>294509.87994258705</v>
      </c>
      <c r="I7" s="17">
        <f t="shared" si="2"/>
        <v>3119249.6200574129</v>
      </c>
    </row>
    <row r="8" spans="1:9" ht="15.75" customHeight="1" x14ac:dyDescent="0.25">
      <c r="A8" s="5">
        <f t="shared" si="3"/>
        <v>2030</v>
      </c>
      <c r="B8" s="49">
        <v>253947</v>
      </c>
      <c r="C8" s="50">
        <v>596781.5</v>
      </c>
      <c r="D8" s="50">
        <v>1103797.5</v>
      </c>
      <c r="E8" s="50">
        <v>974322</v>
      </c>
      <c r="F8" s="50">
        <v>778306.49999999988</v>
      </c>
      <c r="G8" s="17">
        <f t="shared" si="0"/>
        <v>3453207.5</v>
      </c>
      <c r="H8" s="17">
        <f t="shared" si="1"/>
        <v>293781.05831155274</v>
      </c>
      <c r="I8" s="17">
        <f t="shared" si="2"/>
        <v>3159426.4416884473</v>
      </c>
    </row>
    <row r="9" spans="1:9" ht="15.75" customHeight="1" x14ac:dyDescent="0.25">
      <c r="A9" s="5">
        <f t="shared" si="3"/>
        <v>2031</v>
      </c>
      <c r="B9" s="49">
        <v>253198</v>
      </c>
      <c r="C9" s="50">
        <v>597016.5</v>
      </c>
      <c r="D9" s="50">
        <v>1111568</v>
      </c>
      <c r="E9" s="50">
        <v>982868.5</v>
      </c>
      <c r="F9" s="50">
        <v>799955.5</v>
      </c>
      <c r="G9" s="17">
        <f t="shared" si="0"/>
        <v>3491408.5</v>
      </c>
      <c r="H9" s="17">
        <f t="shared" si="1"/>
        <v>292914.5703724341</v>
      </c>
      <c r="I9" s="17">
        <f t="shared" si="2"/>
        <v>3198493.9296275657</v>
      </c>
    </row>
    <row r="10" spans="1:9" ht="15.75" customHeight="1" x14ac:dyDescent="0.25">
      <c r="A10" s="5">
        <f t="shared" si="3"/>
        <v>2032</v>
      </c>
      <c r="B10" s="49">
        <v>252417</v>
      </c>
      <c r="C10" s="50">
        <v>596808.5</v>
      </c>
      <c r="D10" s="50">
        <v>1120063.9999999998</v>
      </c>
      <c r="E10" s="50">
        <v>990466.5</v>
      </c>
      <c r="F10" s="50">
        <v>820468.5</v>
      </c>
      <c r="G10" s="17">
        <f t="shared" si="0"/>
        <v>3527807.5</v>
      </c>
      <c r="H10" s="17">
        <f t="shared" si="1"/>
        <v>292011.06292189792</v>
      </c>
      <c r="I10" s="17">
        <f t="shared" si="2"/>
        <v>3235796.437078102</v>
      </c>
    </row>
    <row r="11" spans="1:9" ht="15.75" customHeight="1" x14ac:dyDescent="0.25">
      <c r="A11" s="5">
        <f t="shared" si="3"/>
        <v>2033</v>
      </c>
      <c r="B11" s="49">
        <v>251322</v>
      </c>
      <c r="C11" s="50">
        <v>597084.5</v>
      </c>
      <c r="D11" s="50">
        <v>1127411</v>
      </c>
      <c r="E11" s="50">
        <v>997968.5</v>
      </c>
      <c r="F11" s="50">
        <v>839601</v>
      </c>
      <c r="G11" s="17">
        <f t="shared" si="0"/>
        <v>3562065</v>
      </c>
      <c r="H11" s="17">
        <f t="shared" si="1"/>
        <v>290744.30151557631</v>
      </c>
      <c r="I11" s="17">
        <f t="shared" si="2"/>
        <v>3271320.6984844236</v>
      </c>
    </row>
    <row r="12" spans="1:9" ht="15.75" customHeight="1" x14ac:dyDescent="0.25">
      <c r="A12" s="5">
        <f t="shared" si="3"/>
        <v>2034</v>
      </c>
      <c r="B12" s="49">
        <v>250216</v>
      </c>
      <c r="C12" s="50">
        <v>597073.5</v>
      </c>
      <c r="D12" s="50">
        <v>1133998.5000000002</v>
      </c>
      <c r="E12" s="50">
        <v>1005676.5</v>
      </c>
      <c r="F12" s="50">
        <v>857306</v>
      </c>
      <c r="G12" s="17">
        <f t="shared" si="0"/>
        <v>3594054.5</v>
      </c>
      <c r="H12" s="17">
        <f t="shared" si="1"/>
        <v>289464.81465220486</v>
      </c>
      <c r="I12" s="17">
        <f t="shared" si="2"/>
        <v>3304589.685347795</v>
      </c>
    </row>
    <row r="13" spans="1:9" ht="15.75" customHeight="1" x14ac:dyDescent="0.25">
      <c r="A13" s="5">
        <f t="shared" si="3"/>
        <v>2035</v>
      </c>
      <c r="B13" s="49">
        <v>249230</v>
      </c>
      <c r="C13" s="50">
        <v>595997.5</v>
      </c>
      <c r="D13" s="50">
        <v>1140516.9999999998</v>
      </c>
      <c r="E13" s="50">
        <v>1013401.5</v>
      </c>
      <c r="F13" s="50">
        <v>873553.5</v>
      </c>
      <c r="G13" s="17">
        <f t="shared" si="0"/>
        <v>3623469.5</v>
      </c>
      <c r="H13" s="17">
        <f t="shared" si="1"/>
        <v>288324.15095664957</v>
      </c>
      <c r="I13" s="17">
        <f t="shared" si="2"/>
        <v>3335145.3490433507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gyqH2xjmLo8ndH7k2492Cx/ikiFSmp/aoEwZ2kTO9mo4iFpifnPxoeM+EXAjBTRG1fcPjcS2wToEBB9B7fWLg==" saltValue="yktCVmhhXscdm/gp/hPoT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1.457150145715014E-2</v>
      </c>
    </row>
    <row r="4" spans="1:8" ht="15.75" customHeight="1" x14ac:dyDescent="0.25">
      <c r="B4" s="19" t="s">
        <v>116</v>
      </c>
      <c r="C4" s="99">
        <v>5.6389805638980627E-2</v>
      </c>
    </row>
    <row r="5" spans="1:8" ht="15.75" customHeight="1" x14ac:dyDescent="0.25">
      <c r="B5" s="19" t="s">
        <v>114</v>
      </c>
      <c r="C5" s="99">
        <v>9.5235509523551004E-2</v>
      </c>
    </row>
    <row r="6" spans="1:8" ht="15.75" customHeight="1" x14ac:dyDescent="0.25">
      <c r="B6" s="19" t="s">
        <v>110</v>
      </c>
      <c r="C6" s="99">
        <v>0.24108282410828241</v>
      </c>
    </row>
    <row r="7" spans="1:8" ht="15.75" customHeight="1" x14ac:dyDescent="0.25">
      <c r="B7" s="19" t="s">
        <v>115</v>
      </c>
      <c r="C7" s="99">
        <v>0.38396373839637371</v>
      </c>
    </row>
    <row r="8" spans="1:8" ht="15.75" customHeight="1" x14ac:dyDescent="0.25">
      <c r="B8" s="19" t="s">
        <v>117</v>
      </c>
      <c r="C8" s="99">
        <v>4.505000450500056E-3</v>
      </c>
    </row>
    <row r="9" spans="1:8" ht="15.75" customHeight="1" x14ac:dyDescent="0.25">
      <c r="B9" s="19" t="s">
        <v>111</v>
      </c>
      <c r="C9" s="99">
        <v>7.3147507314750781E-2</v>
      </c>
    </row>
    <row r="10" spans="1:8" ht="15.75" customHeight="1" x14ac:dyDescent="0.25">
      <c r="B10" s="19" t="s">
        <v>113</v>
      </c>
      <c r="C10" s="99">
        <v>0.1311041131104114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121</v>
      </c>
      <c r="C15" s="99">
        <v>0.41237195447993258</v>
      </c>
      <c r="D15" s="99">
        <v>0.41237195447993258</v>
      </c>
      <c r="E15" s="99">
        <v>0.41237195447993258</v>
      </c>
      <c r="F15" s="99">
        <v>0.41237195447993258</v>
      </c>
    </row>
    <row r="16" spans="1:8" ht="15.75" customHeight="1" x14ac:dyDescent="0.25">
      <c r="B16" s="19" t="s">
        <v>2</v>
      </c>
      <c r="C16" s="99">
        <v>4.0164812369605563E-2</v>
      </c>
      <c r="D16" s="99">
        <v>4.0164812369605563E-2</v>
      </c>
      <c r="E16" s="99">
        <v>4.0164812369605563E-2</v>
      </c>
      <c r="F16" s="99">
        <v>4.0164812369605563E-2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9.8733560397260348E-4</v>
      </c>
      <c r="D18" s="99">
        <v>9.8733560397260348E-4</v>
      </c>
      <c r="E18" s="99">
        <v>9.8733560397260348E-4</v>
      </c>
      <c r="F18" s="99">
        <v>9.8733560397260348E-4</v>
      </c>
    </row>
    <row r="19" spans="1:8" ht="15.75" customHeight="1" x14ac:dyDescent="0.25">
      <c r="B19" s="19" t="s">
        <v>120</v>
      </c>
      <c r="C19" s="99">
        <v>2.6499715031151418E-2</v>
      </c>
      <c r="D19" s="99">
        <v>2.6499715031151418E-2</v>
      </c>
      <c r="E19" s="99">
        <v>2.6499715031151418E-2</v>
      </c>
      <c r="F19" s="99">
        <v>2.6499715031151418E-2</v>
      </c>
    </row>
    <row r="20" spans="1:8" ht="15.75" customHeight="1" x14ac:dyDescent="0.25">
      <c r="B20" s="19" t="s">
        <v>98</v>
      </c>
      <c r="C20" s="99">
        <v>5.7101080443523709E-2</v>
      </c>
      <c r="D20" s="99">
        <v>5.7101080443523709E-2</v>
      </c>
      <c r="E20" s="99">
        <v>5.7101080443523709E-2</v>
      </c>
      <c r="F20" s="99">
        <v>5.7101080443523709E-2</v>
      </c>
    </row>
    <row r="21" spans="1:8" ht="15.75" customHeight="1" x14ac:dyDescent="0.25">
      <c r="B21" s="19" t="s">
        <v>107</v>
      </c>
      <c r="C21" s="99">
        <v>0.1063705702456989</v>
      </c>
      <c r="D21" s="99">
        <v>0.1063705702456989</v>
      </c>
      <c r="E21" s="99">
        <v>0.1063705702456989</v>
      </c>
      <c r="F21" s="99">
        <v>0.1063705702456989</v>
      </c>
    </row>
    <row r="22" spans="1:8" ht="15.75" customHeight="1" x14ac:dyDescent="0.25">
      <c r="B22" s="19" t="s">
        <v>118</v>
      </c>
      <c r="C22" s="99">
        <v>0.14544372475883671</v>
      </c>
      <c r="D22" s="99">
        <v>0.14544372475883671</v>
      </c>
      <c r="E22" s="99">
        <v>0.14544372475883671</v>
      </c>
      <c r="F22" s="99">
        <v>0.14544372475883671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0.103712281</v>
      </c>
    </row>
    <row r="27" spans="1:8" ht="15.75" customHeight="1" x14ac:dyDescent="0.25">
      <c r="B27" s="19" t="s">
        <v>108</v>
      </c>
      <c r="C27" s="99">
        <v>0.109547722</v>
      </c>
    </row>
    <row r="28" spans="1:8" ht="15.75" customHeight="1" x14ac:dyDescent="0.25">
      <c r="B28" s="19" t="s">
        <v>122</v>
      </c>
      <c r="C28" s="99">
        <v>6.2347139000000003E-2</v>
      </c>
    </row>
    <row r="29" spans="1:8" ht="15.75" customHeight="1" x14ac:dyDescent="0.25">
      <c r="B29" s="19" t="s">
        <v>105</v>
      </c>
      <c r="C29" s="99">
        <v>0.20200695599999999</v>
      </c>
    </row>
    <row r="30" spans="1:8" ht="15.75" customHeight="1" x14ac:dyDescent="0.25">
      <c r="B30" s="19" t="s">
        <v>4</v>
      </c>
      <c r="C30" s="99">
        <v>0.123504</v>
      </c>
    </row>
    <row r="31" spans="1:8" ht="15.75" customHeight="1" x14ac:dyDescent="0.25">
      <c r="B31" s="19" t="s">
        <v>99</v>
      </c>
      <c r="C31" s="99">
        <v>0.126081523</v>
      </c>
    </row>
    <row r="32" spans="1:8" ht="15.75" customHeight="1" x14ac:dyDescent="0.25">
      <c r="B32" s="19" t="s">
        <v>104</v>
      </c>
      <c r="C32" s="99">
        <v>1.7896931000000001E-2</v>
      </c>
    </row>
    <row r="33" spans="2:3" ht="15.75" customHeight="1" x14ac:dyDescent="0.25">
      <c r="B33" s="19" t="s">
        <v>119</v>
      </c>
      <c r="C33" s="99">
        <v>0.13369104100000001</v>
      </c>
    </row>
    <row r="34" spans="2:3" ht="15.75" customHeight="1" x14ac:dyDescent="0.25">
      <c r="B34" s="19" t="s">
        <v>106</v>
      </c>
      <c r="C34" s="99">
        <v>0.12121240799999999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FDROM+mc+mn+eix/NyO0iwVaSl0qxFw55XlAzFCsf/DHPsQQopP4iY1v7Uo/FBzky3nnD+a7LcIJmurliVaNYw==" saltValue="W8Qpk1OpQ11orf3YPu+PS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129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125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126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138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i5jHCoj/RLCi8PTCaKA61t3zKBn2WdTGdHmfgQYf5gsK8QxMujkb8a61nrPkizgCuK076g4naYHDUgY+gtJbQ==" saltValue="HhLwlk5J8/X2dBssqhOD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2.5542699999999918E-2</v>
      </c>
      <c r="D5" s="52">
        <f t="shared" si="0"/>
        <v>4.8626300000000011E-2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U3xizROTNiit8pdRfZeGnk4TwdV72dYwKR9pStvRcirGrWWsTvEXu3Gm8TbD1NeozzOC4d3M/Z/O6zGbz6JkRw==" saltValue="98p0msal+Dq0VWD9Zv6JN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1O9wwhzaQljXiLyerrRELDYOP28UCYFOSoxO7GJEy2upRIvo6dGfI8Pd/R3LfaripKwTZVyobrnVr85T+C90A==" saltValue="3kpVhGZBemTJKcqZQL6L1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1748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0.50552999999999992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0.62619999999999998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2.2238260162964832E-2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93636.709489999994</v>
      </c>
      <c r="C22" s="107">
        <v>93049.663109999994</v>
      </c>
      <c r="D22" s="107">
        <v>92618.028040000005</v>
      </c>
      <c r="E22" s="107">
        <v>91974.285229999994</v>
      </c>
      <c r="F22" s="107">
        <v>91065.814599999998</v>
      </c>
      <c r="G22" s="107">
        <v>89932.625249999997</v>
      </c>
      <c r="H22" s="107">
        <v>88468.640010000003</v>
      </c>
      <c r="I22" s="107">
        <v>86499.739419999998</v>
      </c>
      <c r="J22" s="107">
        <v>83751.840920000002</v>
      </c>
      <c r="K22" s="107">
        <v>80160.81972</v>
      </c>
      <c r="L22" s="107">
        <v>75357.937409999999</v>
      </c>
      <c r="M22" s="107">
        <v>69181.632500000007</v>
      </c>
      <c r="N22" s="107">
        <v>60972.206489999997</v>
      </c>
      <c r="O22" s="107">
        <v>50993.801610000002</v>
      </c>
    </row>
  </sheetData>
  <sheetProtection algorithmName="SHA-512" hashValue="ye27bYhpYNw70YKyNNwmStubD0czsbl1IlZbcNPp4eDXEiVQEZg06pt3hU1de+QF/C4h7wXAAW/I6zkkhkQ2ug==" saltValue="nyrbFgNy+bKEJA217xOaB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z8qh70zFh8SAIZEU1S7MmAOzacBayd1GDM1YYMtn9vbSGVW1IpQQBpPKtr+Ee6gM6DvuqAk32+IAsiyThwLig==" saltValue="wFZEGZlhbyaKUueAuFPxV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Uq6jjNZtnAjbjrXeuEcE8tQF2fh8lv8QF8z7IqtemFgiV1qUv+PSyocXlop7uMfIMf7DeuIJzsxTjotsM9XBA==" saltValue="zdILby1bMPr1STqTTtvO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0.44994896638918952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2.9310961239067201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0.43240960000000001</v>
      </c>
      <c r="C10" s="96">
        <v>0.95</v>
      </c>
      <c r="D10" s="56">
        <v>15.05570683744001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15.05570683744001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15.05570683744001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15.05570683744001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0.43240960000000001</v>
      </c>
      <c r="C14" s="96">
        <v>0.95</v>
      </c>
      <c r="D14" s="56">
        <v>15.05570683744001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15.05570683744001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5.8835597567123799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0.182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0.30287550000000002</v>
      </c>
      <c r="C19" s="96">
        <v>0.95</v>
      </c>
      <c r="D19" s="56">
        <v>1.8074989747168151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0.30650460000000002</v>
      </c>
      <c r="C23" s="96">
        <v>0.95</v>
      </c>
      <c r="D23" s="56">
        <v>4.9354522743270124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0.28426940885284802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1.6E-2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4.0650280224179349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0.39322339999999989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0.19176319999999999</v>
      </c>
      <c r="C29" s="96">
        <v>0.95</v>
      </c>
      <c r="D29" s="56">
        <v>206.81375092158379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124.66848615801089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0.18079999999999999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0.2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0.2258269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0.63865939999999999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1.9524400000000001E-2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0.18938730000000001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5.2999999999999999E-2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ECQ3eMtlMc7xn4aCtVLnreYthEpe8QLRpWTs6fQeCnHW//L3Y+uDamTBMC8UKGs7azHuo3sKsXJyJGcZ3ATT9Q==" saltValue="SgXMjE47mebgCCQ+WA1m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wCYyi1mxe9yzYu83rDgVTzdYUeo5o9GLEED592vhMctz4kLp0UCf5jdDZk1YFoAwyrFz4FgpoGHB/zpKn9hDg==" saltValue="IWJs1xKg0aGmXEPucI6B9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gu8g6awNWtLFk/BRDgbP5w6OEKuiqxhEnRqOE9J+a6DJrDc4qTHBR0T/sFZgw9R6ZBNn5MNZ2a1JYyGPukAWw==" saltValue="vEbmrsnu0IfuGtBarPRTP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5.59</v>
      </c>
      <c r="C2" s="21">
        <f>'Entradas de población-año base'!C52</f>
        <v>5.59</v>
      </c>
      <c r="D2" s="21">
        <f>'Entradas de población-año base'!C53</f>
        <v>9.984</v>
      </c>
      <c r="E2" s="21">
        <f>'Entradas de población-año base'!C54</f>
        <v>8.2159999999999993</v>
      </c>
      <c r="F2" s="21">
        <f>'Entradas de población-año base'!C55</f>
        <v>3.952</v>
      </c>
    </row>
    <row r="3" spans="1:6" ht="15.75" customHeight="1" x14ac:dyDescent="0.25">
      <c r="A3" s="3" t="s">
        <v>6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236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sheetProtection algorithmName="SHA-512" hashValue="5hAqg4BZnc9W2vmjL3/GCmkLqLYCZSME67RVio0qiMYT9x+W2B/Av8LZzkwrOU1wuN78qVaMP3wzzp1+re8BiQ==" saltValue="JN3FtoPlOt5rdqZfuDL8t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0.24199999999999999</v>
      </c>
      <c r="F2" s="60">
        <f>food_insecure</f>
        <v>0.24199999999999999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0.10830624999999999</v>
      </c>
      <c r="D7" s="60">
        <f>diarrhoea_1_5mo*frac_diarrhea_severe</f>
        <v>0.10830624999999999</v>
      </c>
      <c r="E7" s="60">
        <f>diarrhoea_6_11mo*frac_diarrhea_severe</f>
        <v>0.19344</v>
      </c>
      <c r="F7" s="60">
        <f>diarrhoea_12_23mo*frac_diarrhea_severe</f>
        <v>0.15918499999999999</v>
      </c>
      <c r="G7" s="60">
        <f>diarrhoea_24_59mo*frac_diarrhea_severe</f>
        <v>7.6569999999999999E-2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0.10830624999999999</v>
      </c>
      <c r="D12" s="60">
        <f>diarrhoea_1_5mo*frac_diarrhea_severe</f>
        <v>0.10830624999999999</v>
      </c>
      <c r="E12" s="60">
        <f>diarrhoea_6_11mo*frac_diarrhea_severe</f>
        <v>0.19344</v>
      </c>
      <c r="F12" s="60">
        <f>diarrhoea_12_23mo*frac_diarrhea_severe</f>
        <v>0.15918499999999999</v>
      </c>
      <c r="G12" s="60">
        <f>diarrhoea_24_59mo*frac_diarrhea_severe</f>
        <v>7.6569999999999999E-2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0.24199999999999999</v>
      </c>
      <c r="I15" s="60">
        <f t="shared" si="0"/>
        <v>0.24199999999999999</v>
      </c>
      <c r="J15" s="60">
        <f t="shared" si="0"/>
        <v>0.24199999999999999</v>
      </c>
      <c r="K15" s="60">
        <f t="shared" si="0"/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0.24199999999999999</v>
      </c>
      <c r="I16" s="60">
        <f t="shared" si="0"/>
        <v>0.24199999999999999</v>
      </c>
      <c r="J16" s="60">
        <f t="shared" si="0"/>
        <v>0.24199999999999999</v>
      </c>
      <c r="K16" s="60">
        <f t="shared" si="0"/>
        <v>0.24199999999999999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7.2000000000000008E-2</v>
      </c>
      <c r="D34" s="60">
        <f t="shared" si="4"/>
        <v>7.2000000000000008E-2</v>
      </c>
      <c r="E34" s="60">
        <f t="shared" si="4"/>
        <v>7.2000000000000008E-2</v>
      </c>
      <c r="F34" s="60">
        <f t="shared" si="4"/>
        <v>7.2000000000000008E-2</v>
      </c>
      <c r="G34" s="60">
        <f t="shared" si="4"/>
        <v>7.2000000000000008E-2</v>
      </c>
      <c r="H34" s="60">
        <f t="shared" si="4"/>
        <v>7.2000000000000008E-2</v>
      </c>
      <c r="I34" s="60">
        <f t="shared" si="4"/>
        <v>7.2000000000000008E-2</v>
      </c>
      <c r="J34" s="60">
        <f t="shared" si="4"/>
        <v>7.2000000000000008E-2</v>
      </c>
      <c r="K34" s="60">
        <f t="shared" si="4"/>
        <v>7.2000000000000008E-2</v>
      </c>
      <c r="L34" s="60">
        <f t="shared" si="4"/>
        <v>7.2000000000000008E-2</v>
      </c>
      <c r="M34" s="60">
        <f t="shared" si="4"/>
        <v>7.2000000000000008E-2</v>
      </c>
      <c r="N34" s="60">
        <f t="shared" si="4"/>
        <v>7.2000000000000008E-2</v>
      </c>
      <c r="O34" s="60">
        <f t="shared" si="4"/>
        <v>7.2000000000000008E-2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LYw/dyaZBCEr+Y7BxX/Jhv+4WG6nlfkV8qFGrMxqoR4jyQ6pEmrlbontu6bgOckXLbVFLTPwsBS5KLYGcJ4Xw==" saltValue="eHZTctzSfYDiwiuis85E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F/yPLDIFoHr+6vzlMrYTPk8EHB5qv3czpqHXyJjMFSkqRzzINeqvZPZT5ec9kx7g93ltrXbaus8t4fdZnA4xOg==" saltValue="mVQ9DJ0aKsN5xCozL5TL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0hCTuIMPr2xadd15f3ioZk4R8P7XBgoC896xdrMB6NMalBn5RvHvyze4wsNz5MikyFFyNKxysw54Sc3KV/66A==" saltValue="5yHycapkisVuPN3saUsk2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EXIoBn/HgnOOkS7rUO/TrDr50ZsBnYYtkaXblMZr/CjtoRd0ZfDlnrFzyHz4wVyUWNOPBxuDoVLnCcgFtW+lw==" saltValue="OLmSJrw09NU9y8rU7iSt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WujpbEsn2PQNlrB0iByUslkKT9yglKX1BDoxLREZh8gE5DgaCgb5/ZYz2b7bnqd8H5a7ltMbGlp2mFaRmznVXA==" saltValue="+WUy4PpnF9vT6wUqDgbs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HiXjc4iRVXSIpLQl3DwHfpjpfQH/NtSoA1zI2pz6tRJ1RDJNrw9DE+nCnHgCKtz7WHpFdhCIGehwNp6JLyMoNQ==" saltValue="wWaCJbSLMjLkJcyTjPrQh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sR014gDNRAEolTJO8VrjSrNwDm+8SuB2FZRNRTBnQd6UfCa6utHe/DLwyYAH8gfrWrcEg1A/MfOeCjW0jaY9w==" saltValue="r4QAv0iH4QYY+cyYSzrGi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YFjb5s8F3R5sUF9TmhiJtzyX2HIBusa66M2GmOSr65VtGI8AH5dNlT23OHlX2OLplmLdwKePAM8Kf1FV3DbFdw==" saltValue="QCxMTUBKdl4E8GdZdxil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ra9WyNmCRe8N45bSlYskoKTVPZ8PqoAPwLlZAhX8VTJpWOqk4Dpsz0kLmIFDzG3j4jpHmuLxe5TsL8VpJlxfsw==" saltValue="749a7TKiWb4jfoqb2XQ8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hzyNIDc3fIEnKCYy4tdwh+t7exTHINtvvqBXnQ1LYmkqq3y/vKEUMQNXDeQ4q/OLMALC8moK+klpbPQdJeJ5Q==" saltValue="u1wcDHvFtvZkmWlbD+J+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xI+lYCh/sfY8baWQAh1IQWh0QeIFGZ13XUNTAK6r20RVe4lonKBVqG3GQv/PoKtyCp1C8zbxjvO7FysKRCJzw==" saltValue="SYOilggucN6hUOG8J7pA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iq/gJCw8IwENqKkLS5vVPDn8FD2a5V45mL2rStcQTYCIzatBDTSlVCof+zz9Cg7fDRBVgQ18QOxCMC+QKp4ww==" saltValue="ugAPAWs6eGanMYJNnLIH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ZskkcJHsXYXS7/flZQif/95rNL8Dw6tdjCD2ddGfyt7MlPa2SydmiEU0c+YGzUOqXH+lcGoYrV93tJ4vPmiGg==" saltValue="S3W9C4EpXXQ4jcManUxM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re45G0vXr1zXyRYr648TMSNCOQ2IMPVcdBTevbWSuyVAIvoFvANrOUGYcnlYZCQC466fl6ZZGrBlWixfriK3Q==" saltValue="ZS8cza/myLopn6cM6K4F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4dD7KEmZJM7ijbdcWKUXkb+YciT8V8bidUQKsSe/2voa9J6cOYRQW2OTN98lglvKSYEwA+8+kHWGCmhr/a4uA==" saltValue="1quuM+MCiuOpuVxYidsMx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