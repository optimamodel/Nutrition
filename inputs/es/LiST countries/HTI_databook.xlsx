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C9C0590C-4976-4F69-8D71-ECD53CBFE2C3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25" i="2"/>
  <c r="A31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<sst xmlns="http://schemas.openxmlformats.org/spreadsheetml/2006/main" count="2159" uniqueCount="372">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</sst>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1225084.5</v>
      </c>
    </row>
    <row r="8" spans="1:3" ht="15" customHeight="1" x14ac:dyDescent="0.25">
      <c r="B8" s="5" t="s">
        <v>63</v>
      </c>
      <c r="C8" s="44">
        <v>0.24199999999999999</v>
      </c>
    </row>
    <row r="9" spans="1:3" ht="15" customHeight="1" x14ac:dyDescent="0.25">
      <c r="B9" s="5" t="s">
        <v>62</v>
      </c>
      <c r="C9" s="45">
        <v>7.2000000000000008E-2</v>
      </c>
    </row>
    <row r="10" spans="1:3" ht="15" customHeight="1" x14ac:dyDescent="0.25">
      <c r="B10" s="5" t="s">
        <v>75</v>
      </c>
      <c r="C10" s="45">
        <v>0.78792312620000005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7.2900000000000006E-2</v>
      </c>
    </row>
    <row r="24" spans="1:3" ht="15" customHeight="1" x14ac:dyDescent="0.25">
      <c r="B24" s="15" t="s">
        <v>65</v>
      </c>
      <c r="C24" s="45">
        <v>0.45440000000000003</v>
      </c>
    </row>
    <row r="25" spans="1:3" ht="15" customHeight="1" x14ac:dyDescent="0.25">
      <c r="B25" s="15" t="s">
        <v>66</v>
      </c>
      <c r="C25" s="45">
        <v>0.37469999999999998</v>
      </c>
    </row>
    <row r="26" spans="1:3" ht="15" customHeight="1" x14ac:dyDescent="0.25">
      <c r="B26" s="15" t="s">
        <v>67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0.313922160131612</v>
      </c>
    </row>
    <row r="30" spans="1:3" ht="14.25" customHeight="1" x14ac:dyDescent="0.25">
      <c r="B30" s="25" t="s">
        <v>82</v>
      </c>
      <c r="C30" s="99">
        <v>4.8182353063125502E-2</v>
      </c>
    </row>
    <row r="31" spans="1:3" ht="14.25" customHeight="1" x14ac:dyDescent="0.25">
      <c r="B31" s="25" t="s">
        <v>29</v>
      </c>
      <c r="C31" s="99">
        <v>7.3364831683659995E-2</v>
      </c>
    </row>
    <row r="32" spans="1:3" ht="14.25" customHeight="1" x14ac:dyDescent="0.25">
      <c r="B32" s="25" t="s">
        <v>30</v>
      </c>
      <c r="C32" s="99">
        <v>0.56453065512160205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24.281790000000001</v>
      </c>
    </row>
    <row r="38" spans="1:5" ht="15" customHeight="1" x14ac:dyDescent="0.25">
      <c r="B38" s="11" t="s">
        <v>54</v>
      </c>
      <c r="C38" s="43">
        <v>45.410170000000001</v>
      </c>
      <c r="D38" s="12"/>
      <c r="E38" s="13"/>
    </row>
    <row r="39" spans="1:5" ht="15" customHeight="1" x14ac:dyDescent="0.25">
      <c r="B39" s="11" t="s">
        <v>80</v>
      </c>
      <c r="C39" s="43">
        <v>58.632680000000001</v>
      </c>
      <c r="D39" s="12"/>
      <c r="E39" s="12"/>
    </row>
    <row r="40" spans="1:5" ht="15" customHeight="1" x14ac:dyDescent="0.25">
      <c r="B40" s="11" t="s">
        <v>55</v>
      </c>
      <c r="C40" s="100">
        <v>3.5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7.1995999999999996E-3</v>
      </c>
      <c r="D45" s="12"/>
    </row>
    <row r="46" spans="1:5" ht="15.75" customHeight="1" x14ac:dyDescent="0.25">
      <c r="B46" s="11" t="s">
        <v>70</v>
      </c>
      <c r="C46" s="45">
        <v>7.7358700000000002E-2</v>
      </c>
      <c r="D46" s="12"/>
    </row>
    <row r="47" spans="1:5" ht="15.75" customHeight="1" x14ac:dyDescent="0.25">
      <c r="B47" s="11" t="s">
        <v>78</v>
      </c>
      <c r="C47" s="45">
        <v>7.4154299999999992E-2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5.59</v>
      </c>
      <c r="D51" s="12"/>
    </row>
    <row r="52" spans="1:4" ht="15" customHeight="1" x14ac:dyDescent="0.25">
      <c r="B52" s="11" t="s">
        <v>32</v>
      </c>
      <c r="C52" s="100">
        <v>5.59</v>
      </c>
    </row>
    <row r="53" spans="1:4" ht="15.75" customHeight="1" x14ac:dyDescent="0.25">
      <c r="B53" s="11" t="s">
        <v>35</v>
      </c>
      <c r="C53" s="100">
        <v>9.984</v>
      </c>
    </row>
    <row r="54" spans="1:4" ht="15.75" customHeight="1" x14ac:dyDescent="0.25">
      <c r="B54" s="11" t="s">
        <v>33</v>
      </c>
      <c r="C54" s="100">
        <v>8.2159999999999993</v>
      </c>
    </row>
    <row r="55" spans="1:4" ht="15.75" customHeight="1" x14ac:dyDescent="0.25">
      <c r="B55" s="11" t="s">
        <v>34</v>
      </c>
      <c r="C55" s="100">
        <v>3.952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0.455787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R1gHnUYwcnr3hfNMPbtt6SS7UjpGhh8Xm/kUMdGuqs4WI4E5A5f1EaZfmqpowu1JbMgdsUvVoRVecOtbVwu6TA==" saltValue="2UuhqHsoxnYaA8bfY2Ns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258339.99999999997</v>
      </c>
      <c r="C2" s="49">
        <v>578448</v>
      </c>
      <c r="D2" s="49">
        <v>1061950.5</v>
      </c>
      <c r="E2" s="49">
        <v>900684.50000000012</v>
      </c>
      <c r="F2" s="49">
        <v>653982.5</v>
      </c>
      <c r="G2" s="17">
        <f t="shared" ref="G2:G13" si="0">C2+D2+E2+F2</f>
        <v>3195065.5</v>
      </c>
      <c r="H2" s="17">
        <f t="shared" ref="H2:H13" si="1">(B2 + stillbirth*B2/(1000-stillbirth))/(1-abortion)</f>
        <v>298863.14311335247</v>
      </c>
      <c r="I2" s="17">
        <f t="shared" ref="I2:I13" si="2">G2-H2</f>
        <v>2896202.3568866476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257433</v>
      </c>
      <c r="C3" s="50">
        <v>582883.5</v>
      </c>
      <c r="D3" s="50">
        <v>1068437.5</v>
      </c>
      <c r="E3" s="50">
        <v>916601.5</v>
      </c>
      <c r="F3" s="50">
        <v>673184</v>
      </c>
      <c r="G3" s="17">
        <f t="shared" si="0"/>
        <v>3241106.5</v>
      </c>
      <c r="H3" s="17">
        <f t="shared" si="1"/>
        <v>297813.87133660942</v>
      </c>
      <c r="I3" s="17">
        <f t="shared" si="2"/>
        <v>2943292.6286633904</v>
      </c>
    </row>
    <row r="4" spans="1:9" ht="15.75" customHeight="1" x14ac:dyDescent="0.25">
      <c r="A4" s="5">
        <f t="shared" si="3"/>
        <v>2026</v>
      </c>
      <c r="B4" s="49">
        <v>256749.00000000003</v>
      </c>
      <c r="C4" s="50">
        <v>587626</v>
      </c>
      <c r="D4" s="50">
        <v>1075087</v>
      </c>
      <c r="E4" s="50">
        <v>930932</v>
      </c>
      <c r="F4" s="50">
        <v>692991</v>
      </c>
      <c r="G4" s="17">
        <f t="shared" si="0"/>
        <v>3286636</v>
      </c>
      <c r="H4" s="17">
        <f t="shared" si="1"/>
        <v>297022.57928005786</v>
      </c>
      <c r="I4" s="17">
        <f t="shared" si="2"/>
        <v>2989613.4207199421</v>
      </c>
    </row>
    <row r="5" spans="1:9" ht="15.75" customHeight="1" x14ac:dyDescent="0.25">
      <c r="A5" s="5">
        <f t="shared" si="3"/>
        <v>2027</v>
      </c>
      <c r="B5" s="49">
        <v>256091.99999999997</v>
      </c>
      <c r="C5" s="50">
        <v>591713.5</v>
      </c>
      <c r="D5" s="50">
        <v>1082083</v>
      </c>
      <c r="E5" s="50">
        <v>943804</v>
      </c>
      <c r="F5" s="50">
        <v>713430.00000000012</v>
      </c>
      <c r="G5" s="17">
        <f t="shared" si="0"/>
        <v>3331030.5</v>
      </c>
      <c r="H5" s="17">
        <f t="shared" si="1"/>
        <v>296262.52243626484</v>
      </c>
      <c r="I5" s="17">
        <f t="shared" si="2"/>
        <v>3034767.9775637351</v>
      </c>
    </row>
    <row r="6" spans="1:9" ht="15.75" customHeight="1" x14ac:dyDescent="0.25">
      <c r="A6" s="5">
        <f t="shared" si="3"/>
        <v>2028</v>
      </c>
      <c r="B6" s="49">
        <v>255064</v>
      </c>
      <c r="C6" s="50">
        <v>594138</v>
      </c>
      <c r="D6" s="50">
        <v>1089389.5</v>
      </c>
      <c r="E6" s="50">
        <v>955103.49999999988</v>
      </c>
      <c r="F6" s="50">
        <v>734595.5</v>
      </c>
      <c r="G6" s="17">
        <f t="shared" si="0"/>
        <v>3373226.5</v>
      </c>
      <c r="H6" s="17">
        <f t="shared" si="1"/>
        <v>295073.27063197392</v>
      </c>
      <c r="I6" s="17">
        <f t="shared" si="2"/>
        <v>3078153.2293680259</v>
      </c>
    </row>
    <row r="7" spans="1:9" ht="15.75" customHeight="1" x14ac:dyDescent="0.25">
      <c r="A7" s="5">
        <f t="shared" si="3"/>
        <v>2029</v>
      </c>
      <c r="B7" s="49">
        <v>254577</v>
      </c>
      <c r="C7" s="50">
        <v>595634.5</v>
      </c>
      <c r="D7" s="50">
        <v>1096786</v>
      </c>
      <c r="E7" s="50">
        <v>965028.5</v>
      </c>
      <c r="F7" s="50">
        <v>756310.5</v>
      </c>
      <c r="G7" s="17">
        <f t="shared" si="0"/>
        <v>3413759.5</v>
      </c>
      <c r="H7" s="17">
        <f t="shared" si="1"/>
        <v>294509.87994258705</v>
      </c>
      <c r="I7" s="17">
        <f t="shared" si="2"/>
        <v>3119249.6200574129</v>
      </c>
    </row>
    <row r="8" spans="1:9" ht="15.75" customHeight="1" x14ac:dyDescent="0.25">
      <c r="A8" s="5">
        <f t="shared" si="3"/>
        <v>2030</v>
      </c>
      <c r="B8" s="49">
        <v>253947</v>
      </c>
      <c r="C8" s="50">
        <v>596781.5</v>
      </c>
      <c r="D8" s="50">
        <v>1103797.5</v>
      </c>
      <c r="E8" s="50">
        <v>974322</v>
      </c>
      <c r="F8" s="50">
        <v>778306.49999999988</v>
      </c>
      <c r="G8" s="17">
        <f t="shared" si="0"/>
        <v>3453207.5</v>
      </c>
      <c r="H8" s="17">
        <f t="shared" si="1"/>
        <v>293781.05831155274</v>
      </c>
      <c r="I8" s="17">
        <f t="shared" si="2"/>
        <v>3159426.4416884473</v>
      </c>
    </row>
    <row r="9" spans="1:9" ht="15.75" customHeight="1" x14ac:dyDescent="0.25">
      <c r="A9" s="5">
        <f t="shared" si="3"/>
        <v>2031</v>
      </c>
      <c r="B9" s="49">
        <v>253198</v>
      </c>
      <c r="C9" s="50">
        <v>597016.5</v>
      </c>
      <c r="D9" s="50">
        <v>1111568</v>
      </c>
      <c r="E9" s="50">
        <v>982868.5</v>
      </c>
      <c r="F9" s="50">
        <v>799955.5</v>
      </c>
      <c r="G9" s="17">
        <f t="shared" si="0"/>
        <v>3491408.5</v>
      </c>
      <c r="H9" s="17">
        <f t="shared" si="1"/>
        <v>292914.5703724341</v>
      </c>
      <c r="I9" s="17">
        <f t="shared" si="2"/>
        <v>3198493.9296275657</v>
      </c>
    </row>
    <row r="10" spans="1:9" ht="15.75" customHeight="1" x14ac:dyDescent="0.25">
      <c r="A10" s="5">
        <f t="shared" si="3"/>
        <v>2032</v>
      </c>
      <c r="B10" s="49">
        <v>252417</v>
      </c>
      <c r="C10" s="50">
        <v>596808.5</v>
      </c>
      <c r="D10" s="50">
        <v>1120063.9999999998</v>
      </c>
      <c r="E10" s="50">
        <v>990466.5</v>
      </c>
      <c r="F10" s="50">
        <v>820468.5</v>
      </c>
      <c r="G10" s="17">
        <f t="shared" si="0"/>
        <v>3527807.5</v>
      </c>
      <c r="H10" s="17">
        <f t="shared" si="1"/>
        <v>292011.06292189792</v>
      </c>
      <c r="I10" s="17">
        <f t="shared" si="2"/>
        <v>3235796.437078102</v>
      </c>
    </row>
    <row r="11" spans="1:9" ht="15.75" customHeight="1" x14ac:dyDescent="0.25">
      <c r="A11" s="5">
        <f t="shared" si="3"/>
        <v>2033</v>
      </c>
      <c r="B11" s="49">
        <v>251322</v>
      </c>
      <c r="C11" s="50">
        <v>597084.5</v>
      </c>
      <c r="D11" s="50">
        <v>1127411</v>
      </c>
      <c r="E11" s="50">
        <v>997968.5</v>
      </c>
      <c r="F11" s="50">
        <v>839601</v>
      </c>
      <c r="G11" s="17">
        <f t="shared" si="0"/>
        <v>3562065</v>
      </c>
      <c r="H11" s="17">
        <f t="shared" si="1"/>
        <v>290744.30151557631</v>
      </c>
      <c r="I11" s="17">
        <f t="shared" si="2"/>
        <v>3271320.6984844236</v>
      </c>
    </row>
    <row r="12" spans="1:9" ht="15.75" customHeight="1" x14ac:dyDescent="0.25">
      <c r="A12" s="5">
        <f t="shared" si="3"/>
        <v>2034</v>
      </c>
      <c r="B12" s="49">
        <v>250216</v>
      </c>
      <c r="C12" s="50">
        <v>597073.5</v>
      </c>
      <c r="D12" s="50">
        <v>1133998.5000000002</v>
      </c>
      <c r="E12" s="50">
        <v>1005676.5</v>
      </c>
      <c r="F12" s="50">
        <v>857306</v>
      </c>
      <c r="G12" s="17">
        <f t="shared" si="0"/>
        <v>3594054.5</v>
      </c>
      <c r="H12" s="17">
        <f t="shared" si="1"/>
        <v>289464.81465220486</v>
      </c>
      <c r="I12" s="17">
        <f t="shared" si="2"/>
        <v>3304589.685347795</v>
      </c>
    </row>
    <row r="13" spans="1:9" ht="15.75" customHeight="1" x14ac:dyDescent="0.25">
      <c r="A13" s="5">
        <f t="shared" si="3"/>
        <v>2035</v>
      </c>
      <c r="B13" s="49">
        <v>249230</v>
      </c>
      <c r="C13" s="50">
        <v>595997.5</v>
      </c>
      <c r="D13" s="50">
        <v>1140516.9999999998</v>
      </c>
      <c r="E13" s="50">
        <v>1013401.5</v>
      </c>
      <c r="F13" s="50">
        <v>873553.5</v>
      </c>
      <c r="G13" s="17">
        <f t="shared" si="0"/>
        <v>3623469.5</v>
      </c>
      <c r="H13" s="17">
        <f t="shared" si="1"/>
        <v>288324.15095664957</v>
      </c>
      <c r="I13" s="17">
        <f t="shared" si="2"/>
        <v>3335145.3490433507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4Cf+1KDF87ISNEcvWuXolgrAfIzgtc/uB9ubl7yVxd3listBJv23KAmb2ZIP4vPC9kG51w/9gM6WX63j3QIJQ==" saltValue="c+NsCrBllNJD1bUJepO1y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1.457150145715014E-2</v>
      </c>
    </row>
    <row r="4" spans="1:8" ht="15.75" customHeight="1" x14ac:dyDescent="0.25">
      <c r="B4" s="19" t="s">
        <v>116</v>
      </c>
      <c r="C4" s="101">
        <v>5.6389805638980627E-2</v>
      </c>
    </row>
    <row r="5" spans="1:8" ht="15.75" customHeight="1" x14ac:dyDescent="0.25">
      <c r="B5" s="19" t="s">
        <v>114</v>
      </c>
      <c r="C5" s="101">
        <v>9.5235509523551004E-2</v>
      </c>
    </row>
    <row r="6" spans="1:8" ht="15.75" customHeight="1" x14ac:dyDescent="0.25">
      <c r="B6" s="19" t="s">
        <v>110</v>
      </c>
      <c r="C6" s="101">
        <v>0.24108282410828241</v>
      </c>
    </row>
    <row r="7" spans="1:8" ht="15.75" customHeight="1" x14ac:dyDescent="0.25">
      <c r="B7" s="19" t="s">
        <v>115</v>
      </c>
      <c r="C7" s="101">
        <v>0.38396373839637371</v>
      </c>
    </row>
    <row r="8" spans="1:8" ht="15.75" customHeight="1" x14ac:dyDescent="0.25">
      <c r="B8" s="19" t="s">
        <v>117</v>
      </c>
      <c r="C8" s="101">
        <v>4.505000450500056E-3</v>
      </c>
    </row>
    <row r="9" spans="1:8" ht="15.75" customHeight="1" x14ac:dyDescent="0.25">
      <c r="B9" s="19" t="s">
        <v>111</v>
      </c>
      <c r="C9" s="101">
        <v>7.3147507314750781E-2</v>
      </c>
    </row>
    <row r="10" spans="1:8" ht="15.75" customHeight="1" x14ac:dyDescent="0.25">
      <c r="B10" s="19" t="s">
        <v>113</v>
      </c>
      <c r="C10" s="101">
        <v>0.1311041131104114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121</v>
      </c>
      <c r="C15" s="101">
        <v>0.41237195447993258</v>
      </c>
      <c r="D15" s="101">
        <v>0.41237195447993258</v>
      </c>
      <c r="E15" s="101">
        <v>0.41237195447993258</v>
      </c>
      <c r="F15" s="101">
        <v>0.41237195447993258</v>
      </c>
    </row>
    <row r="16" spans="1:8" ht="15.75" customHeight="1" x14ac:dyDescent="0.25">
      <c r="B16" s="19" t="s">
        <v>2</v>
      </c>
      <c r="C16" s="101">
        <v>4.0164812369605563E-2</v>
      </c>
      <c r="D16" s="101">
        <v>4.0164812369605563E-2</v>
      </c>
      <c r="E16" s="101">
        <v>4.0164812369605563E-2</v>
      </c>
      <c r="F16" s="101">
        <v>4.0164812369605563E-2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9.8733560397260348E-4</v>
      </c>
      <c r="D18" s="101">
        <v>9.8733560397260348E-4</v>
      </c>
      <c r="E18" s="101">
        <v>9.8733560397260348E-4</v>
      </c>
      <c r="F18" s="101">
        <v>9.8733560397260348E-4</v>
      </c>
    </row>
    <row r="19" spans="1:8" ht="15.75" customHeight="1" x14ac:dyDescent="0.25">
      <c r="B19" s="19" t="s">
        <v>120</v>
      </c>
      <c r="C19" s="101">
        <v>2.6499715031151418E-2</v>
      </c>
      <c r="D19" s="101">
        <v>2.6499715031151418E-2</v>
      </c>
      <c r="E19" s="101">
        <v>2.6499715031151418E-2</v>
      </c>
      <c r="F19" s="101">
        <v>2.6499715031151418E-2</v>
      </c>
    </row>
    <row r="20" spans="1:8" ht="15.75" customHeight="1" x14ac:dyDescent="0.25">
      <c r="B20" s="19" t="s">
        <v>98</v>
      </c>
      <c r="C20" s="101">
        <v>5.7101080443523709E-2</v>
      </c>
      <c r="D20" s="101">
        <v>5.7101080443523709E-2</v>
      </c>
      <c r="E20" s="101">
        <v>5.7101080443523709E-2</v>
      </c>
      <c r="F20" s="101">
        <v>5.7101080443523709E-2</v>
      </c>
    </row>
    <row r="21" spans="1:8" ht="15.75" customHeight="1" x14ac:dyDescent="0.25">
      <c r="B21" s="19" t="s">
        <v>107</v>
      </c>
      <c r="C21" s="101">
        <v>0.1063705702456989</v>
      </c>
      <c r="D21" s="101">
        <v>0.1063705702456989</v>
      </c>
      <c r="E21" s="101">
        <v>0.1063705702456989</v>
      </c>
      <c r="F21" s="101">
        <v>0.1063705702456989</v>
      </c>
    </row>
    <row r="22" spans="1:8" ht="15.75" customHeight="1" x14ac:dyDescent="0.25">
      <c r="B22" s="19" t="s">
        <v>118</v>
      </c>
      <c r="C22" s="101">
        <v>0.14544372475883671</v>
      </c>
      <c r="D22" s="101">
        <v>0.14544372475883671</v>
      </c>
      <c r="E22" s="101">
        <v>0.14544372475883671</v>
      </c>
      <c r="F22" s="101">
        <v>0.14544372475883671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0.103712281</v>
      </c>
    </row>
    <row r="27" spans="1:8" ht="15.75" customHeight="1" x14ac:dyDescent="0.25">
      <c r="B27" s="19" t="s">
        <v>108</v>
      </c>
      <c r="C27" s="101">
        <v>0.109547722</v>
      </c>
    </row>
    <row r="28" spans="1:8" ht="15.75" customHeight="1" x14ac:dyDescent="0.25">
      <c r="B28" s="19" t="s">
        <v>122</v>
      </c>
      <c r="C28" s="101">
        <v>6.2347139000000003E-2</v>
      </c>
    </row>
    <row r="29" spans="1:8" ht="15.75" customHeight="1" x14ac:dyDescent="0.25">
      <c r="B29" s="19" t="s">
        <v>105</v>
      </c>
      <c r="C29" s="101">
        <v>0.20200695599999999</v>
      </c>
    </row>
    <row r="30" spans="1:8" ht="15.75" customHeight="1" x14ac:dyDescent="0.25">
      <c r="B30" s="19" t="s">
        <v>4</v>
      </c>
      <c r="C30" s="101">
        <v>0.123504</v>
      </c>
    </row>
    <row r="31" spans="1:8" ht="15.75" customHeight="1" x14ac:dyDescent="0.25">
      <c r="B31" s="19" t="s">
        <v>99</v>
      </c>
      <c r="C31" s="101">
        <v>0.126081523</v>
      </c>
    </row>
    <row r="32" spans="1:8" ht="15.75" customHeight="1" x14ac:dyDescent="0.25">
      <c r="B32" s="19" t="s">
        <v>104</v>
      </c>
      <c r="C32" s="101">
        <v>1.7896931000000001E-2</v>
      </c>
    </row>
    <row r="33" spans="2:3" ht="15.75" customHeight="1" x14ac:dyDescent="0.25">
      <c r="B33" s="19" t="s">
        <v>119</v>
      </c>
      <c r="C33" s="101">
        <v>0.13369104100000001</v>
      </c>
    </row>
    <row r="34" spans="2:3" ht="15.75" customHeight="1" x14ac:dyDescent="0.25">
      <c r="B34" s="19" t="s">
        <v>106</v>
      </c>
      <c r="C34" s="101">
        <v>0.12121240799999999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VZgzgyY7PfuYrA71VtYd8KT6Kwy4RN2smrI0XMnLrogyoISUm8OC6QjdajicojTUIrx3/N5UcfXAIaLoXwjTEQ==" saltValue="KZqWXRUTUla82JZXvohiF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129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125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126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138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z0AtFDrH9uz5CyuASXyzwZPIlixn79lSmJJ6DYzodJWfLXqEF5L6CkAjyscRO8k93sKefTbV09upTo433bKNg==" saltValue="fkkctODgHL9697ZQ8VCD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2.5542699999999918E-2</v>
      </c>
      <c r="D5" s="52">
        <f t="shared" si="0"/>
        <v>4.8626300000000011E-2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vXKdYqSyJl8ajWolPFh5nOcdyyaWECCBNsTl7X/cgFIdWLTfqJT+hCCEqIw3voE2WD8VfGUkBpxwTlcQeWd7vA==" saltValue="ivKGZDEOyioaIuTrAgJvT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KoKoy0W/urW9sYKRIeo0hPg0Kj8G8nc1lGMT2tctCYB69aj+CpxyzgjW0n9nUbpBzzjMa5GhfeUxaI70Gzk1g==" saltValue="ZcG6xaeby2v9v9Vy3/thW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1748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0.50552999999999992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0.62619999999999998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2.2238260162964832E-2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93636.709489999994</v>
      </c>
      <c r="C22" s="109">
        <v>93049.663109999994</v>
      </c>
      <c r="D22" s="109">
        <v>92618.028040000005</v>
      </c>
      <c r="E22" s="109">
        <v>91974.285229999994</v>
      </c>
      <c r="F22" s="109">
        <v>91065.814599999998</v>
      </c>
      <c r="G22" s="109">
        <v>89932.625249999997</v>
      </c>
      <c r="H22" s="109">
        <v>88468.640010000003</v>
      </c>
      <c r="I22" s="109">
        <v>86499.739419999998</v>
      </c>
      <c r="J22" s="109">
        <v>83751.840920000002</v>
      </c>
      <c r="K22" s="109">
        <v>80160.81972</v>
      </c>
      <c r="L22" s="109">
        <v>75357.937409999999</v>
      </c>
      <c r="M22" s="109">
        <v>69181.632500000007</v>
      </c>
      <c r="N22" s="109">
        <v>60972.206489999997</v>
      </c>
      <c r="O22" s="109">
        <v>50993.801610000002</v>
      </c>
    </row>
  </sheetData>
  <sheetProtection algorithmName="SHA-512" hashValue="sSjwVvzvZrobchTN5UkCPuw6L93JyEXV1QkC1xlfYKynxi/fyzuomZr5jiU6dSKPkmqMD/nlAZFrS5Y38RQbwQ==" saltValue="a7r/K2LZs3KyvpY3HsbLF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lbfSvS97yN8K3OheX3vChy1sJkrKO0dV87HixwsbVNN95jnXs0IMw/wvKjD4+R7pnYD14chrdeoj4zsVShjvg==" saltValue="j7h/KWxSN0SoVSN0x6cw0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HBezLzo5BO9/Mck2d8gBM9nyMd7Ovo0Ak1jsRzmKfz9LudOxj4JR8oRLo+aO9/wxVKaIjzhhcIp/8f1qllOhuQ==" saltValue="5yH6pdx52VM9tSKSF+2dD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0.44994896638918952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2.9310961239067201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0.43240960000000001</v>
      </c>
      <c r="C10" s="98">
        <v>0.95</v>
      </c>
      <c r="D10" s="56">
        <v>15.05570683744001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15.05570683744001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15.05570683744001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15.05570683744001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0.43240960000000001</v>
      </c>
      <c r="C14" s="98">
        <v>0.95</v>
      </c>
      <c r="D14" s="56">
        <v>15.05570683744001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15.05570683744001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5.8835597567123799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0.182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0.30287550000000002</v>
      </c>
      <c r="C19" s="98">
        <v>0.95</v>
      </c>
      <c r="D19" s="56">
        <v>1.8074989747168151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0.30650460000000002</v>
      </c>
      <c r="C23" s="98">
        <v>0.95</v>
      </c>
      <c r="D23" s="56">
        <v>4.9354522743270124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0.28426940885284802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1.6E-2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4.0650280224179349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0.39322339999999989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0.19176319999999999</v>
      </c>
      <c r="C29" s="98">
        <v>0.95</v>
      </c>
      <c r="D29" s="56">
        <v>206.81375092158379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124.66848615801089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0.18079999999999999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0.2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0.2258269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0.63865939999999999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1.9524400000000001E-2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0.18938730000000001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5.2999999999999999E-2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vX5+C2wWNvV2sln7RV522iYl5l9/npOUdNkdKz1XFs4y9mlP27CwcGZmcKlYeGFv26CHDHYxxx/52hjTmM9z7A==" saltValue="NdP3liEIjFA8zOWtMe9z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eQ6z+lrQdOqQdW3b5o/B8vW1tjr3RhkfGlnjqBCITIX0dVEK+fDZZSKKvzT7ISuGkg5NRPcOxnDGHI0uIxxbA==" saltValue="fgQgDG/eqeJl3iGfKh3zP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ujLRbLminig3mr+xXz59gosHN786dBB4gidVb1wiuel0xx8OQFqVM4E9PcRKLzKN/6lOcidDnc/QIskVNpHHQ==" saltValue="tk13Cm9HOsDHiCa2lafpX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5.59</v>
      </c>
      <c r="C2" s="21">
        <f>'Entradas de población-año base'!C52</f>
        <v>5.59</v>
      </c>
      <c r="D2" s="21">
        <f>'Entradas de población-año base'!C53</f>
        <v>9.984</v>
      </c>
      <c r="E2" s="21">
        <f>'Entradas de población-año base'!C54</f>
        <v>8.2159999999999993</v>
      </c>
      <c r="F2" s="21">
        <f>'Entradas de población-año base'!C55</f>
        <v>3.952</v>
      </c>
    </row>
    <row r="3" spans="1:6" ht="15.75" customHeight="1" x14ac:dyDescent="0.25">
      <c r="A3" s="3" t="s">
        <v>6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236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sheetProtection algorithmName="SHA-512" hashValue="y8ZCSZKZcz6gSEyak7jMhDiZf2trbX8PGQRMkGX9yg4NA4Lt0HThcTfHltMfnEwU7IuSoW+cxO2sPa+F0B70NA==" saltValue="5w7BhfHRyoH1rL47b3vIk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0.24199999999999999</v>
      </c>
      <c r="F2" s="60">
        <f>food_insecure</f>
        <v>0.24199999999999999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0.10830624999999999</v>
      </c>
      <c r="D7" s="60">
        <f>diarrhoea_1_5mo*frac_diarrhea_severe</f>
        <v>0.10830624999999999</v>
      </c>
      <c r="E7" s="60">
        <f>diarrhoea_6_11mo*frac_diarrhea_severe</f>
        <v>0.19344</v>
      </c>
      <c r="F7" s="60">
        <f>diarrhoea_12_23mo*frac_diarrhea_severe</f>
        <v>0.15918499999999999</v>
      </c>
      <c r="G7" s="60">
        <f>diarrhoea_24_59mo*frac_diarrhea_severe</f>
        <v>7.6569999999999999E-2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0.10830624999999999</v>
      </c>
      <c r="D12" s="60">
        <f>diarrhoea_1_5mo*frac_diarrhea_severe</f>
        <v>0.10830624999999999</v>
      </c>
      <c r="E12" s="60">
        <f>diarrhoea_6_11mo*frac_diarrhea_severe</f>
        <v>0.19344</v>
      </c>
      <c r="F12" s="60">
        <f>diarrhoea_12_23mo*frac_diarrhea_severe</f>
        <v>0.15918499999999999</v>
      </c>
      <c r="G12" s="60">
        <f>diarrhoea_24_59mo*frac_diarrhea_severe</f>
        <v>7.6569999999999999E-2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0.24199999999999999</v>
      </c>
      <c r="I15" s="60">
        <f t="shared" si="0"/>
        <v>0.24199999999999999</v>
      </c>
      <c r="J15" s="60">
        <f t="shared" si="0"/>
        <v>0.24199999999999999</v>
      </c>
      <c r="K15" s="60">
        <f t="shared" si="0"/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0.24199999999999999</v>
      </c>
      <c r="I16" s="60">
        <f t="shared" si="0"/>
        <v>0.24199999999999999</v>
      </c>
      <c r="J16" s="60">
        <f t="shared" si="0"/>
        <v>0.24199999999999999</v>
      </c>
      <c r="K16" s="60">
        <f t="shared" si="0"/>
        <v>0.24199999999999999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7.2000000000000008E-2</v>
      </c>
      <c r="D34" s="60">
        <f t="shared" si="4"/>
        <v>7.2000000000000008E-2</v>
      </c>
      <c r="E34" s="60">
        <f t="shared" si="4"/>
        <v>7.2000000000000008E-2</v>
      </c>
      <c r="F34" s="60">
        <f t="shared" si="4"/>
        <v>7.2000000000000008E-2</v>
      </c>
      <c r="G34" s="60">
        <f t="shared" si="4"/>
        <v>7.2000000000000008E-2</v>
      </c>
      <c r="H34" s="60">
        <f t="shared" si="4"/>
        <v>7.2000000000000008E-2</v>
      </c>
      <c r="I34" s="60">
        <f t="shared" si="4"/>
        <v>7.2000000000000008E-2</v>
      </c>
      <c r="J34" s="60">
        <f t="shared" si="4"/>
        <v>7.2000000000000008E-2</v>
      </c>
      <c r="K34" s="60">
        <f t="shared" si="4"/>
        <v>7.2000000000000008E-2</v>
      </c>
      <c r="L34" s="60">
        <f t="shared" si="4"/>
        <v>7.2000000000000008E-2</v>
      </c>
      <c r="M34" s="60">
        <f t="shared" si="4"/>
        <v>7.2000000000000008E-2</v>
      </c>
      <c r="N34" s="60">
        <f t="shared" si="4"/>
        <v>7.2000000000000008E-2</v>
      </c>
      <c r="O34" s="60">
        <f t="shared" si="4"/>
        <v>7.2000000000000008E-2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O2NHAghgGmzs8bBnNEjtQ4ggQ93hYLFRB8xfQ5QJG2ZgpTwjw9YpisJAVK184vuTKBSQuSTMYxzMnZ5WjNMeg==" saltValue="7ZPzRQWusJg6MZz05qFNL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corkf7w97m+AVKqzgkpb1SrXs8+egykWSBdsBxsAAie+516dfrBLY8V1munUz62bJMDiYUmZXQGj22a2DHLX3w==" saltValue="/vfdBDRngf2pa2nthk1nn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89ZcvlltYkPWiHiRP4LB4fQGmrEeS+ak7PkiJnNoMpZIjOpZHlvEGjFfd5hIu+h0bZ6HtLsmDqxMnvwpNBjfQ==" saltValue="rmi1kLrKtfLQsmreYp/7R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Xlvb/AD6BvcLDqbkq/i1rC7UsxuzrsDZCq9y+148lxmmmqvQB+fa2/F++nSSWvMKfdJ4Lem+1l80lQKIKbgNg==" saltValue="yTGSu1bhvkCwWH7CyuHqL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jVQWYIaRuHJY5UJf0/13bZt5AXWVfaubXJvgPcR4wAZNg+f/h+0zUvhi/DdyBxwDkrGZ3v+vHKJAT36/+C+J0A==" saltValue="DMCJzjZDi61BjvLe5LAp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AuphbAiyGwBVI8bSGc/E13dafdLgZjMGS19YqM0PRM7WOWIjYYB6P3fNbDlqe4GkULquZQeyFngOz+XEHJM5HQ==" saltValue="8i+0jyLlA8iKD9zPxwyQ9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jMQa+YG/6JNgOuZL1pTdz0OweLwZvBWhgKtOiL3addytjgm6ZZsLS7PYvR5zalvf4aaXtqc+3o9PeNQyNMhGQ==" saltValue="7FiovST8wu5mk45Wp01Pm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oDSb3oZiBw6e2Wn9TVPiUrEYhgNzC5kjq2X+oQlvFiemT/zFp1QS4CbBw6w2IVXlVN7PTSdg4TQUI+0CtTW9tA==" saltValue="/xzI1cvtSu94r/qufUNj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3czN3tjuVj1bUY9jrLlbLOVl6L2X2qVmoYxOe/gjNMJfDVXfIUk2LZf5IUt+Mnknbj48gO4FXbglXtomVTmXTQ==" saltValue="qWrXrpsk+8b547EvAPys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o4x2Log5WA6JlDo6ruuxQhzhcHE5K+8hQG868AgFms2otMIEEf5fzjx5U0Y1q1THdfPa7nw3S/sW9X1XPN4Ew==" saltValue="bISxkh3SbdsUXF2Yfz/g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LbNAEA6g2le21vjcuY1thF0Ppy0kUyzDUgPia661ds7lFlIdpyrGIkZtwQ4ke/4QbgNgCWZe5HI05zm9s3rQw==" saltValue="Fw/y47e4A03zio64R9PJ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46bpGq9YsocoGXV3gYClgqx7U3T9qYnyBrYyIQM1ZDPHjw7PREHnB+cickFd8usAEUm9wdKIObhWqD7inzjRw==" saltValue="Buro7VsGq7APgOVfGf8W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fqBdPNK2yoTmK9ImwCe5TaS96sh1TNQhGkBtTgo/ZTwBjHOf5krryA/7Wv2ZxCEXUMT3EctmwUcjDKp8efTeQ==" saltValue="2YEuj9tDj+6oTzBOewyw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Pj7zv0OliUKLlpllRjHGnmJt8zNx+wZP5uzwrxoHOWrkJJqC0ICX+2Cqndy42xkYdZq0WOfTykgDYmflaCQpw==" saltValue="Lnsm7CL6QNz8lE1i6Yyz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TXQOyiVvX/q3iu4g3Pey0WlZjF5t++va5xj+5Iof/Y8Y/+vpUizIx268c6KHCQtD8g7FsNY9xwNOcI91ftsl+Q==" saltValue="RWZqA/qjEaQIW8dOE9RyJ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