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509E614-C85E-4BF9-8032-CD0A415FEBC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7" i="2" l="1"/>
  <c r="I11" i="2"/>
  <c r="A40" i="2"/>
  <c r="A36" i="2"/>
  <c r="I7" i="2"/>
  <c r="I13" i="2"/>
  <c r="I6" i="2"/>
  <c r="I12" i="2"/>
  <c r="A35" i="2"/>
  <c r="A19" i="2"/>
  <c r="A22" i="2"/>
  <c r="I39" i="2"/>
  <c r="I3" i="2"/>
  <c r="I9" i="2"/>
  <c r="A23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<sst xmlns="http://schemas.openxmlformats.org/spreadsheetml/2006/main" count="2169" uniqueCount="373">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</sst>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1225084.5</v>
      </c>
    </row>
    <row r="8" spans="1:3" ht="15" customHeight="1" x14ac:dyDescent="0.25">
      <c r="B8" s="5" t="s">
        <v>63</v>
      </c>
      <c r="C8" s="44">
        <v>0.24199999999999999</v>
      </c>
    </row>
    <row r="9" spans="1:3" ht="15" customHeight="1" x14ac:dyDescent="0.25">
      <c r="B9" s="5" t="s">
        <v>62</v>
      </c>
      <c r="C9" s="45">
        <v>7.2000000000000008E-2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7.2900000000000006E-2</v>
      </c>
    </row>
    <row r="24" spans="1:3" ht="15" customHeight="1" x14ac:dyDescent="0.25">
      <c r="B24" s="15" t="s">
        <v>65</v>
      </c>
      <c r="C24" s="45">
        <v>0.45440000000000003</v>
      </c>
    </row>
    <row r="25" spans="1:3" ht="15" customHeight="1" x14ac:dyDescent="0.25">
      <c r="B25" s="15" t="s">
        <v>66</v>
      </c>
      <c r="C25" s="45">
        <v>0.37469999999999998</v>
      </c>
    </row>
    <row r="26" spans="1:3" ht="15" customHeight="1" x14ac:dyDescent="0.25">
      <c r="B26" s="15" t="s">
        <v>67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0.313922160131612</v>
      </c>
    </row>
    <row r="30" spans="1:3" ht="14.25" customHeight="1" x14ac:dyDescent="0.25">
      <c r="B30" s="25" t="s">
        <v>82</v>
      </c>
      <c r="C30" s="97">
        <v>4.8182353063125502E-2</v>
      </c>
    </row>
    <row r="31" spans="1:3" ht="14.25" customHeight="1" x14ac:dyDescent="0.25">
      <c r="B31" s="25" t="s">
        <v>29</v>
      </c>
      <c r="C31" s="97">
        <v>7.3364831683659995E-2</v>
      </c>
    </row>
    <row r="32" spans="1:3" ht="14.25" customHeight="1" x14ac:dyDescent="0.25">
      <c r="B32" s="25" t="s">
        <v>30</v>
      </c>
      <c r="C32" s="97">
        <v>0.56453065512160205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24.281790000000001</v>
      </c>
    </row>
    <row r="38" spans="1:5" ht="15" customHeight="1" x14ac:dyDescent="0.25">
      <c r="B38" s="11" t="s">
        <v>54</v>
      </c>
      <c r="C38" s="43">
        <v>45.410170000000001</v>
      </c>
      <c r="D38" s="12"/>
      <c r="E38" s="13"/>
    </row>
    <row r="39" spans="1:5" ht="15" customHeight="1" x14ac:dyDescent="0.25">
      <c r="B39" s="11" t="s">
        <v>80</v>
      </c>
      <c r="C39" s="43">
        <v>58.632680000000001</v>
      </c>
      <c r="D39" s="12"/>
      <c r="E39" s="12"/>
    </row>
    <row r="40" spans="1:5" ht="15" customHeight="1" x14ac:dyDescent="0.25">
      <c r="B40" s="11" t="s">
        <v>55</v>
      </c>
      <c r="C40" s="98">
        <v>3.5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78</v>
      </c>
      <c r="C47" s="45">
        <v>7.4154299999999992E-2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5.59</v>
      </c>
      <c r="D51" s="12"/>
    </row>
    <row r="52" spans="1:4" ht="15" customHeight="1" x14ac:dyDescent="0.25">
      <c r="B52" s="11" t="s">
        <v>32</v>
      </c>
      <c r="C52" s="98">
        <v>5.59</v>
      </c>
    </row>
    <row r="53" spans="1:4" ht="15.75" customHeight="1" x14ac:dyDescent="0.25">
      <c r="B53" s="11" t="s">
        <v>35</v>
      </c>
      <c r="C53" s="98">
        <v>9.984</v>
      </c>
    </row>
    <row r="54" spans="1:4" ht="15.75" customHeight="1" x14ac:dyDescent="0.25">
      <c r="B54" s="11" t="s">
        <v>33</v>
      </c>
      <c r="C54" s="98">
        <v>8.2159999999999993</v>
      </c>
    </row>
    <row r="55" spans="1:4" ht="15.75" customHeight="1" x14ac:dyDescent="0.25">
      <c r="B55" s="11" t="s">
        <v>34</v>
      </c>
      <c r="C55" s="98">
        <v>3.952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0.455787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96r+BsT7V5e85HOCyLWK4Qz3TdkOJhaynZ5j7yd7Vzfsb+yLB+uMa7wjnsTqByKGp0XTZKRIzWPjYSgd7DfYg==" saltValue="rhFV0oLq2LHy56W52CBn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1gze6SZTKlkn3MW3vJJDts+wpUtvq76rcpE3sOBfTWFROUTUK9GZgXCQXv+GKC0QYpqhCac8FqrREEu/I/yjQ==" saltValue="On6eVP/OyOORZ1V82Gj+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1.457150145715014E-2</v>
      </c>
    </row>
    <row r="4" spans="1:8" ht="15.75" customHeight="1" x14ac:dyDescent="0.25">
      <c r="B4" s="19" t="s">
        <v>116</v>
      </c>
      <c r="C4" s="99">
        <v>5.6389805638980627E-2</v>
      </c>
    </row>
    <row r="5" spans="1:8" ht="15.75" customHeight="1" x14ac:dyDescent="0.25">
      <c r="B5" s="19" t="s">
        <v>114</v>
      </c>
      <c r="C5" s="99">
        <v>9.5235509523551004E-2</v>
      </c>
    </row>
    <row r="6" spans="1:8" ht="15.75" customHeight="1" x14ac:dyDescent="0.25">
      <c r="B6" s="19" t="s">
        <v>110</v>
      </c>
      <c r="C6" s="99">
        <v>0.24108282410828241</v>
      </c>
    </row>
    <row r="7" spans="1:8" ht="15.75" customHeight="1" x14ac:dyDescent="0.25">
      <c r="B7" s="19" t="s">
        <v>115</v>
      </c>
      <c r="C7" s="99">
        <v>0.38396373839637371</v>
      </c>
    </row>
    <row r="8" spans="1:8" ht="15.75" customHeight="1" x14ac:dyDescent="0.25">
      <c r="B8" s="19" t="s">
        <v>117</v>
      </c>
      <c r="C8" s="99">
        <v>4.505000450500056E-3</v>
      </c>
    </row>
    <row r="9" spans="1:8" ht="15.75" customHeight="1" x14ac:dyDescent="0.25">
      <c r="B9" s="19" t="s">
        <v>111</v>
      </c>
      <c r="C9" s="99">
        <v>7.3147507314750781E-2</v>
      </c>
    </row>
    <row r="10" spans="1:8" ht="15.75" customHeight="1" x14ac:dyDescent="0.25">
      <c r="B10" s="19" t="s">
        <v>113</v>
      </c>
      <c r="C10" s="99">
        <v>0.1311041131104114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121</v>
      </c>
      <c r="C15" s="99">
        <v>0.41237195447993258</v>
      </c>
      <c r="D15" s="99">
        <v>0.41237195447993258</v>
      </c>
      <c r="E15" s="99">
        <v>0.41237195447993258</v>
      </c>
      <c r="F15" s="99">
        <v>0.41237195447993258</v>
      </c>
    </row>
    <row r="16" spans="1:8" ht="15.75" customHeight="1" x14ac:dyDescent="0.25">
      <c r="B16" s="19" t="s">
        <v>2</v>
      </c>
      <c r="C16" s="99">
        <v>4.0164812369605563E-2</v>
      </c>
      <c r="D16" s="99">
        <v>4.0164812369605563E-2</v>
      </c>
      <c r="E16" s="99">
        <v>4.0164812369605563E-2</v>
      </c>
      <c r="F16" s="99">
        <v>4.0164812369605563E-2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9.8733560397260348E-4</v>
      </c>
      <c r="D18" s="99">
        <v>9.8733560397260348E-4</v>
      </c>
      <c r="E18" s="99">
        <v>9.8733560397260348E-4</v>
      </c>
      <c r="F18" s="99">
        <v>9.8733560397260348E-4</v>
      </c>
    </row>
    <row r="19" spans="1:8" ht="15.75" customHeight="1" x14ac:dyDescent="0.25">
      <c r="B19" s="19" t="s">
        <v>120</v>
      </c>
      <c r="C19" s="99">
        <v>2.6499715031151418E-2</v>
      </c>
      <c r="D19" s="99">
        <v>2.6499715031151418E-2</v>
      </c>
      <c r="E19" s="99">
        <v>2.6499715031151418E-2</v>
      </c>
      <c r="F19" s="99">
        <v>2.6499715031151418E-2</v>
      </c>
    </row>
    <row r="20" spans="1:8" ht="15.75" customHeight="1" x14ac:dyDescent="0.25">
      <c r="B20" s="19" t="s">
        <v>98</v>
      </c>
      <c r="C20" s="99">
        <v>5.7101080443523709E-2</v>
      </c>
      <c r="D20" s="99">
        <v>5.7101080443523709E-2</v>
      </c>
      <c r="E20" s="99">
        <v>5.7101080443523709E-2</v>
      </c>
      <c r="F20" s="99">
        <v>5.7101080443523709E-2</v>
      </c>
    </row>
    <row r="21" spans="1:8" ht="15.75" customHeight="1" x14ac:dyDescent="0.25">
      <c r="B21" s="19" t="s">
        <v>107</v>
      </c>
      <c r="C21" s="99">
        <v>0.1063705702456989</v>
      </c>
      <c r="D21" s="99">
        <v>0.1063705702456989</v>
      </c>
      <c r="E21" s="99">
        <v>0.1063705702456989</v>
      </c>
      <c r="F21" s="99">
        <v>0.1063705702456989</v>
      </c>
    </row>
    <row r="22" spans="1:8" ht="15.75" customHeight="1" x14ac:dyDescent="0.25">
      <c r="B22" s="19" t="s">
        <v>118</v>
      </c>
      <c r="C22" s="99">
        <v>0.14544372475883671</v>
      </c>
      <c r="D22" s="99">
        <v>0.14544372475883671</v>
      </c>
      <c r="E22" s="99">
        <v>0.14544372475883671</v>
      </c>
      <c r="F22" s="99">
        <v>0.14544372475883671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0.103712281</v>
      </c>
    </row>
    <row r="27" spans="1:8" ht="15.75" customHeight="1" x14ac:dyDescent="0.25">
      <c r="B27" s="19" t="s">
        <v>108</v>
      </c>
      <c r="C27" s="99">
        <v>0.109547722</v>
      </c>
    </row>
    <row r="28" spans="1:8" ht="15.75" customHeight="1" x14ac:dyDescent="0.25">
      <c r="B28" s="19" t="s">
        <v>122</v>
      </c>
      <c r="C28" s="99">
        <v>6.2347139000000003E-2</v>
      </c>
    </row>
    <row r="29" spans="1:8" ht="15.75" customHeight="1" x14ac:dyDescent="0.25">
      <c r="B29" s="19" t="s">
        <v>105</v>
      </c>
      <c r="C29" s="99">
        <v>0.20200695599999999</v>
      </c>
    </row>
    <row r="30" spans="1:8" ht="15.75" customHeight="1" x14ac:dyDescent="0.25">
      <c r="B30" s="19" t="s">
        <v>4</v>
      </c>
      <c r="C30" s="99">
        <v>0.123504</v>
      </c>
    </row>
    <row r="31" spans="1:8" ht="15.75" customHeight="1" x14ac:dyDescent="0.25">
      <c r="B31" s="19" t="s">
        <v>99</v>
      </c>
      <c r="C31" s="99">
        <v>0.126081523</v>
      </c>
    </row>
    <row r="32" spans="1:8" ht="15.75" customHeight="1" x14ac:dyDescent="0.25">
      <c r="B32" s="19" t="s">
        <v>104</v>
      </c>
      <c r="C32" s="99">
        <v>1.7896931000000001E-2</v>
      </c>
    </row>
    <row r="33" spans="2:3" ht="15.75" customHeight="1" x14ac:dyDescent="0.25">
      <c r="B33" s="19" t="s">
        <v>119</v>
      </c>
      <c r="C33" s="99">
        <v>0.13369104100000001</v>
      </c>
    </row>
    <row r="34" spans="2:3" ht="15.75" customHeight="1" x14ac:dyDescent="0.25">
      <c r="B34" s="19" t="s">
        <v>106</v>
      </c>
      <c r="C34" s="99">
        <v>0.12121240799999999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Qf0D9j56ywbqbGRXRPn1sKiscnvDo9yuJoEfihJUkWGs4V88+QKWshW5nOKhWxp/szW2jImm/uTJJMNUpkzlIA==" saltValue="JJlND+1OtBGJfAR35pk2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129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125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126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WFfGaPj5VgEdIO8bMCBI3l+uvFkld38F+DUvLExeEUNoJ/ngCn6vD839gIEaazl+EpyA8b+HccEI6p5EYJueQ==" saltValue="BGbDUS927xsqFDUydHtb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n3C8mTpeXF4FUdpVjakWV6ILtBkt6sUlg0x8kTT4/O/YHeGhAXEkLHONIHvaULmhjJ78Y5pmRulpNTZ/dwJ0RA==" saltValue="9VHfsgFY16lDSbkffuhg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v9I2mOXs1z9WvtdTIOYQvkL5ffStzFxv6v/Qw5oIbf/tQ1+jvu8nblCFPh0dq19B4TPRV9Uv5AeSnr0UrKAHw==" saltValue="vlgKqkq/YKPxc9yetdEG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1748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0.50552999999999992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0.62619999999999998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2.2238260162964832E-2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93636.709489999994</v>
      </c>
      <c r="C22" s="107">
        <v>93049.663109999994</v>
      </c>
      <c r="D22" s="107">
        <v>92618.028040000005</v>
      </c>
      <c r="E22" s="107">
        <v>91974.285229999994</v>
      </c>
      <c r="F22" s="107">
        <v>91065.814599999998</v>
      </c>
      <c r="G22" s="107">
        <v>89932.625249999997</v>
      </c>
      <c r="H22" s="107">
        <v>88468.640010000003</v>
      </c>
      <c r="I22" s="107">
        <v>86499.739419999998</v>
      </c>
      <c r="J22" s="107">
        <v>83751.840920000002</v>
      </c>
      <c r="K22" s="107">
        <v>80160.81972</v>
      </c>
      <c r="L22" s="107">
        <v>75357.937409999999</v>
      </c>
      <c r="M22" s="107">
        <v>69181.632500000007</v>
      </c>
      <c r="N22" s="107">
        <v>60972.206489999997</v>
      </c>
      <c r="O22" s="107">
        <v>50993.801610000002</v>
      </c>
    </row>
  </sheetData>
  <sheetProtection algorithmName="SHA-512" hashValue="OgidZL7+QhLbFQuE7E2flh9TWRb5zWOov05Iv+b6vYhqCIuSFoq0hB0IaTT4bnXMtXwAVMQZJEgDXjAc0998VA==" saltValue="NCGTj0ArJmc5TeI6Q5Xz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d+YWx2kq/13A0yok+8WrpzllweVN3I2aJHjtd1+Oh1NseIEr+2/+oW07Ds0oXue02Dfk9al85p/AED9cHhxOQ==" saltValue="DFxLLOMg5f/4EYt7fh2P0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QNeguwv+wGuQj0j0oj4Yzv0pmA0+q86pFdQSAuUIGbse8y0YGlwWPJ8CtOga6ztjkNDaTLTdq4gFq/L7m9KrA==" saltValue="mEfL0R8bWXRGf5xKbba1p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2.9310961239067201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0.43240960000000001</v>
      </c>
      <c r="C10" s="96">
        <v>0.95</v>
      </c>
      <c r="D10" s="56">
        <v>15.05570683744001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15.05570683744001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15.05570683744001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15.05570683744001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0.43240960000000001</v>
      </c>
      <c r="C14" s="96">
        <v>0.95</v>
      </c>
      <c r="D14" s="56">
        <v>15.05570683744001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15.05570683744001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0.30287550000000002</v>
      </c>
      <c r="C19" s="96">
        <v>0.95</v>
      </c>
      <c r="D19" s="56">
        <v>1.8074989747168151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0.30650460000000002</v>
      </c>
      <c r="C23" s="96">
        <v>0.95</v>
      </c>
      <c r="D23" s="56">
        <v>4.9354522743270124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0.28426940885284802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1.6E-2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4.0650280224179349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0.39322339999999989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0.19176319999999999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0.18079999999999999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0.2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0.2258269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0.63865939999999999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1.9524400000000001E-2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0.18938730000000001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5.2999999999999999E-2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wX3/yH9Jlyx5B2TQ3pB05xdlR2hs2FdB8pCgurqkT+JW7W05VSzzCyaysQVXH4+/OX7kx+hexDoYveGkKxA3+Q==" saltValue="2ols2V+gANtC6ibVmJPK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jf/VBdobozCTKwPFVptH/7QlD+txJVED975N7ML3/2gIxHKeyxB8YYmGIDcYRjlcwukieRiHLEFQnsn2klzbQ==" saltValue="xp3IpKNOREycJPz0HzMA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5jDZvhBiYq0+0zZ25Vb85aI/Qy5Qup/7xd4YrrPWOtA0nH2wfYkwGnsTR2gLOOXbuJGbkF5+Nt2g3HM4y/Mmg==" saltValue="NKvNpmX5gQeXIR6706xL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5.59</v>
      </c>
      <c r="C2" s="21">
        <f>'Entradas de población-año base'!C52</f>
        <v>5.59</v>
      </c>
      <c r="D2" s="21">
        <f>'Entradas de población-año base'!C53</f>
        <v>9.984</v>
      </c>
      <c r="E2" s="21">
        <f>'Entradas de población-año base'!C54</f>
        <v>8.2159999999999993</v>
      </c>
      <c r="F2" s="21">
        <f>'Entradas de población-año base'!C55</f>
        <v>3.952</v>
      </c>
    </row>
    <row r="3" spans="1:6" ht="15.75" customHeight="1" x14ac:dyDescent="0.25">
      <c r="A3" s="3" t="s">
        <v>6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236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p6291X7zjIxalNqRNbuwWnn/YOyWeTOrsaDZMEcLsa+jkQojhKsAPP+NXc6u9vRHDFZkWh0W/LyPK1bjOd+2rQ==" saltValue="szYCCUpCaT0n1PPf0O8M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mluApJg1miCaE1vNfCUsMOd+v102GKQsJEKWDBETOWXxGLhVT7NdIwpYUMLq6Z+zaB8yPbe3iEtb/5zXuGVug==" saltValue="virtsXXGrSoH49IeY9Vn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UfoIFCkrn2MXxpkbICg9hGbGnUxh5uONqRapT8kUD0mAN0Lxj56gcW4Ung1eNqX69ab3IxZktIPkLTiwLTixQ==" saltValue="mTkB4fTkq51vHUAYnqR/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h1zE48xxleMImpMwY6tyqY+weZDFFPde6BuUYHWD5B9FLRkYbE9vami5dMC9Cdc34VjPwqtUoVWC0EhnT6rfg==" saltValue="P85yB3jDtbO4Ljn6/AvK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YWfw1Lf/RuzTShplg6WtXCqWUN3T8OLvAYPxztKARWi/MZMCqjWYgMGWNzOyJPnfdopbxhX0oIeHeuiXq2zyA==" saltValue="JycgcTcrEynvxnZkBzZp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3UHVT0q5iFFxIYtwxZpYOoIxVX+wSu84YvyUnaQUIDBDIBXKJfpi5cM/WUHF0I0a57+bSQUgppA/tPcfe6lpxw==" saltValue="sgsJBaAoZN00HxCF5SGF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jr6wEATN2fI6PKiJzrQnv/JVuVfwT1UaaFMm+KUPArFNaulX0liGPS0porDhfA1GPVUalin9U8g++Cml8R3Mw==" saltValue="xj5FBOmj6XTKP2E9lqJM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dxYUe+++BFPVUyBf9o4uL9LYSZAFtn+k28+kO7RG0YneUyexvTYUdiAj9XKTOt7bmXc/5S/TZrtKF++TgujCA==" saltValue="PbIckjPI/L8yVOoRB0ClO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1pv013Q1u2PkBUiqkePwYyZofNOZ0F2ugLrRxe0Vx3Ozg9+749GPTuuuROe9sRPsYmkfJ5ijnuCcbtS+RaA2Q==" saltValue="Q8n7LrxZ4JsSuBlIvyPa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DcgNt+RwNndLRKUCarfkQwvLtENh/tZ7cby+MrVaL3W9Z1b4pYI5r0kiHw8yPRcwN3AYhpZ52CiNFqulfUfWA==" saltValue="4BtI8vS9Mt5moB2ru/8j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tfSeM5DaG3IL2+RKToxNxxUHA3wbCLPQvK6QpYw/zAOFkDhhr1hQnl/iIsq23jktIwLBwNmqwwtUlIH3l9yaw==" saltValue="IJhGYnnAoZdPd67Stgdv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77Z10IU+FN+rIZ+sRP83iqWbA2M2PHXrVsbilRVIlGkp9jyfc7y9nIIu8CvNsTQ1+Q+UMOVeRdozPXsJYb8jA==" saltValue="FheReTWCkL/P88K3Hw8T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7qK6HHAkSoGnND5jdkOnet6Eg3QzHdxUl2dmNgyiZD2Kx3kiZvb0xrJ+8Z2xfWDTbY4dkqwhL59u+zGPPuHcQ==" saltValue="rG9bvi/RF1Sp1XoqbwDN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XIgu8TtbLkPST5YhJ6K4DUnYHOhEtYkjPkGkE5dpg62OmIDf8akeitaNU7lcCrfUzEe1oE0OZFg6SP+p0Fniw==" saltValue="+3J5mnfVlTt6sPmNgNZh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1lvJC8JKEXMuFomgaXr4rzfNas57f8q5npVPtqSU4AcYSq84dZPKdT2NDgzNUwOVzWtQVt8FzhnSWxhTXpofQ==" saltValue="SX/nv6L/njwN3l97epsW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7bOboKcJhHcMzfRd+cocEVvndqku2xaj84A+74JEGZF35qm2Ff1QwCsCMQ9VePKBVla7MWZeZxr628AzHjv5g==" saltValue="fWwKoLNhITAFw05uCB8N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