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769D3472-A511-4E1F-BCBB-662CAF4283E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9" i="2" l="1"/>
  <c r="I13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<sst xmlns="http://schemas.openxmlformats.org/spreadsheetml/2006/main" count="2159" uniqueCount="372">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</sst>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2298212.5</v>
      </c>
    </row>
    <row r="8" spans="1:3" ht="15" customHeight="1" x14ac:dyDescent="0.25">
      <c r="B8" s="5" t="s">
        <v>63</v>
      </c>
      <c r="C8" s="44">
        <v>0.23400000000000001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0.45275009155273399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0.46700000000000003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7.3499999999999996E-2</v>
      </c>
    </row>
    <row r="24" spans="1:3" ht="15" customHeight="1" x14ac:dyDescent="0.25">
      <c r="B24" s="15" t="s">
        <v>65</v>
      </c>
      <c r="C24" s="45">
        <v>0.48159999999999997</v>
      </c>
    </row>
    <row r="25" spans="1:3" ht="15" customHeight="1" x14ac:dyDescent="0.25">
      <c r="B25" s="15" t="s">
        <v>66</v>
      </c>
      <c r="C25" s="45">
        <v>0.38009999999999999</v>
      </c>
    </row>
    <row r="26" spans="1:3" ht="15" customHeight="1" x14ac:dyDescent="0.25">
      <c r="B26" s="15" t="s">
        <v>67</v>
      </c>
      <c r="C26" s="45">
        <v>6.480000000000001E-2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0.34994163924792399</v>
      </c>
    </row>
    <row r="30" spans="1:3" ht="14.25" customHeight="1" x14ac:dyDescent="0.25">
      <c r="B30" s="25" t="s">
        <v>82</v>
      </c>
      <c r="C30" s="99">
        <v>0.10516916316476101</v>
      </c>
    </row>
    <row r="31" spans="1:3" ht="14.25" customHeight="1" x14ac:dyDescent="0.25">
      <c r="B31" s="25" t="s">
        <v>29</v>
      </c>
      <c r="C31" s="99">
        <v>8.4505866375242988E-2</v>
      </c>
    </row>
    <row r="32" spans="1:3" ht="14.25" customHeight="1" x14ac:dyDescent="0.25">
      <c r="B32" s="25" t="s">
        <v>30</v>
      </c>
      <c r="C32" s="99">
        <v>0.46038333121207198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10.659739999999999</v>
      </c>
    </row>
    <row r="38" spans="1:5" ht="15" customHeight="1" x14ac:dyDescent="0.25">
      <c r="B38" s="11" t="s">
        <v>54</v>
      </c>
      <c r="C38" s="43">
        <v>15.35069</v>
      </c>
      <c r="D38" s="12"/>
      <c r="E38" s="13"/>
    </row>
    <row r="39" spans="1:5" ht="15" customHeight="1" x14ac:dyDescent="0.25">
      <c r="B39" s="11" t="s">
        <v>80</v>
      </c>
      <c r="C39" s="43">
        <v>17.175809999999998</v>
      </c>
      <c r="D39" s="12"/>
      <c r="E39" s="12"/>
    </row>
    <row r="40" spans="1:5" ht="15" customHeight="1" x14ac:dyDescent="0.25">
      <c r="B40" s="11" t="s">
        <v>55</v>
      </c>
      <c r="C40" s="100">
        <v>0.96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1.09351E-2</v>
      </c>
      <c r="D45" s="12"/>
    </row>
    <row r="46" spans="1:5" ht="15.75" customHeight="1" x14ac:dyDescent="0.25">
      <c r="B46" s="11" t="s">
        <v>70</v>
      </c>
      <c r="C46" s="45">
        <v>0.1174965</v>
      </c>
      <c r="D46" s="12"/>
    </row>
    <row r="47" spans="1:5" ht="15.75" customHeight="1" x14ac:dyDescent="0.25">
      <c r="B47" s="11" t="s">
        <v>78</v>
      </c>
      <c r="C47" s="45">
        <v>7.0600399999999994E-2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3.2</v>
      </c>
      <c r="D51" s="12"/>
    </row>
    <row r="52" spans="1:4" ht="15" customHeight="1" x14ac:dyDescent="0.25">
      <c r="B52" s="11" t="s">
        <v>32</v>
      </c>
      <c r="C52" s="100">
        <v>3.2</v>
      </c>
    </row>
    <row r="53" spans="1:4" ht="15.75" customHeight="1" x14ac:dyDescent="0.25">
      <c r="B53" s="11" t="s">
        <v>35</v>
      </c>
      <c r="C53" s="100">
        <v>3.2</v>
      </c>
    </row>
    <row r="54" spans="1:4" ht="15.75" customHeight="1" x14ac:dyDescent="0.25">
      <c r="B54" s="11" t="s">
        <v>33</v>
      </c>
      <c r="C54" s="100">
        <v>3.2</v>
      </c>
    </row>
    <row r="55" spans="1:4" ht="15.75" customHeight="1" x14ac:dyDescent="0.25">
      <c r="B55" s="11" t="s">
        <v>34</v>
      </c>
      <c r="C55" s="100">
        <v>3.2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0.54960799999999999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tBCFtuSRFX2m7Bualo/8nEtB4BQ+l3aNfKOD0VJ+46h4TdbVXaC8W2MijWLPZDa9Dy+XCb5YFE+T5LIxqFn2rw==" saltValue="9CCAamZrOVR/eo+sxjB8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532402</v>
      </c>
      <c r="C2" s="49">
        <v>1775399.5</v>
      </c>
      <c r="D2" s="49">
        <v>2549319</v>
      </c>
      <c r="E2" s="49">
        <v>1464377</v>
      </c>
      <c r="F2" s="49">
        <v>1186209</v>
      </c>
      <c r="G2" s="17">
        <f t="shared" ref="G2:G13" si="0">C2+D2+E2+F2</f>
        <v>6975304.5</v>
      </c>
      <c r="H2" s="17">
        <f t="shared" ref="H2:H13" si="1">(B2 + stillbirth*B2/(1000-stillbirth))/(1-abortion)</f>
        <v>611695.29584756587</v>
      </c>
      <c r="I2" s="17">
        <f t="shared" ref="I2:I13" si="2">G2-H2</f>
        <v>6363609.2041524341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573943</v>
      </c>
      <c r="C3" s="50">
        <v>1795384.5</v>
      </c>
      <c r="D3" s="50">
        <v>2780169</v>
      </c>
      <c r="E3" s="50">
        <v>1581613.5</v>
      </c>
      <c r="F3" s="50">
        <v>1231949</v>
      </c>
      <c r="G3" s="17">
        <f t="shared" si="0"/>
        <v>7389116</v>
      </c>
      <c r="H3" s="17">
        <f t="shared" si="1"/>
        <v>659423.20499291795</v>
      </c>
      <c r="I3" s="17">
        <f t="shared" si="2"/>
        <v>6729692.7950070817</v>
      </c>
    </row>
    <row r="4" spans="1:9" ht="15.75" customHeight="1" x14ac:dyDescent="0.25">
      <c r="A4" s="5">
        <f t="shared" si="3"/>
        <v>2026</v>
      </c>
      <c r="B4" s="49">
        <v>610419</v>
      </c>
      <c r="C4" s="50">
        <v>1790412</v>
      </c>
      <c r="D4" s="50">
        <v>2971406.5</v>
      </c>
      <c r="E4" s="50">
        <v>1709798</v>
      </c>
      <c r="F4" s="50">
        <v>1273598.5</v>
      </c>
      <c r="G4" s="17">
        <f t="shared" si="0"/>
        <v>7745215</v>
      </c>
      <c r="H4" s="17">
        <f t="shared" si="1"/>
        <v>701331.7583254294</v>
      </c>
      <c r="I4" s="17">
        <f t="shared" si="2"/>
        <v>7043883.2416745704</v>
      </c>
    </row>
    <row r="5" spans="1:9" ht="15.75" customHeight="1" x14ac:dyDescent="0.25">
      <c r="A5" s="5">
        <f t="shared" si="3"/>
        <v>2027</v>
      </c>
      <c r="B5" s="49">
        <v>639263</v>
      </c>
      <c r="C5" s="50">
        <v>1755175</v>
      </c>
      <c r="D5" s="50">
        <v>3125682</v>
      </c>
      <c r="E5" s="50">
        <v>1849299.5</v>
      </c>
      <c r="F5" s="50">
        <v>1310525</v>
      </c>
      <c r="G5" s="17">
        <f t="shared" si="0"/>
        <v>8040681.5</v>
      </c>
      <c r="H5" s="17">
        <f t="shared" si="1"/>
        <v>734471.63968092238</v>
      </c>
      <c r="I5" s="17">
        <f t="shared" si="2"/>
        <v>7306209.860319078</v>
      </c>
    </row>
    <row r="6" spans="1:9" ht="15.75" customHeight="1" x14ac:dyDescent="0.25">
      <c r="A6" s="5">
        <f t="shared" si="3"/>
        <v>2028</v>
      </c>
      <c r="B6" s="49">
        <v>665188</v>
      </c>
      <c r="C6" s="50">
        <v>1678421.5</v>
      </c>
      <c r="D6" s="50">
        <v>3250326.5</v>
      </c>
      <c r="E6" s="50">
        <v>2002848</v>
      </c>
      <c r="F6" s="50">
        <v>1342899</v>
      </c>
      <c r="G6" s="17">
        <f t="shared" si="0"/>
        <v>8274495</v>
      </c>
      <c r="H6" s="17">
        <f t="shared" si="1"/>
        <v>764257.77974960767</v>
      </c>
      <c r="I6" s="17">
        <f t="shared" si="2"/>
        <v>7510237.2202503923</v>
      </c>
    </row>
    <row r="7" spans="1:9" ht="15.75" customHeight="1" x14ac:dyDescent="0.25">
      <c r="A7" s="5">
        <f t="shared" si="3"/>
        <v>2029</v>
      </c>
      <c r="B7" s="49">
        <v>684175</v>
      </c>
      <c r="C7" s="50">
        <v>1574473</v>
      </c>
      <c r="D7" s="50">
        <v>3335087.5</v>
      </c>
      <c r="E7" s="50">
        <v>2170490.5</v>
      </c>
      <c r="F7" s="50">
        <v>1370461</v>
      </c>
      <c r="G7" s="17">
        <f t="shared" si="0"/>
        <v>8450512</v>
      </c>
      <c r="H7" s="17">
        <f t="shared" si="1"/>
        <v>786072.60873645917</v>
      </c>
      <c r="I7" s="17">
        <f t="shared" si="2"/>
        <v>7664439.3912635408</v>
      </c>
    </row>
    <row r="8" spans="1:9" ht="15.75" customHeight="1" x14ac:dyDescent="0.25">
      <c r="A8" s="5">
        <f t="shared" si="3"/>
        <v>2030</v>
      </c>
      <c r="B8" s="49">
        <v>699103</v>
      </c>
      <c r="C8" s="50">
        <v>1465464.5</v>
      </c>
      <c r="D8" s="50">
        <v>3371692</v>
      </c>
      <c r="E8" s="50">
        <v>2346187</v>
      </c>
      <c r="F8" s="50">
        <v>1392492.5</v>
      </c>
      <c r="G8" s="17">
        <f t="shared" si="0"/>
        <v>8575836</v>
      </c>
      <c r="H8" s="17">
        <f t="shared" si="1"/>
        <v>803223.91052798601</v>
      </c>
      <c r="I8" s="17">
        <f t="shared" si="2"/>
        <v>7772612.0894720145</v>
      </c>
    </row>
    <row r="9" spans="1:9" ht="15.75" customHeight="1" x14ac:dyDescent="0.25">
      <c r="A9" s="5">
        <f t="shared" si="3"/>
        <v>2031</v>
      </c>
      <c r="B9" s="49">
        <v>706443</v>
      </c>
      <c r="C9" s="50">
        <v>1362082.5</v>
      </c>
      <c r="D9" s="50">
        <v>3363171</v>
      </c>
      <c r="E9" s="50">
        <v>2525926.5</v>
      </c>
      <c r="F9" s="50">
        <v>1410994</v>
      </c>
      <c r="G9" s="17">
        <f t="shared" si="0"/>
        <v>8662174</v>
      </c>
      <c r="H9" s="17">
        <f t="shared" si="1"/>
        <v>811657.09348282288</v>
      </c>
      <c r="I9" s="17">
        <f t="shared" si="2"/>
        <v>7850516.9065171769</v>
      </c>
    </row>
    <row r="10" spans="1:9" ht="15.75" customHeight="1" x14ac:dyDescent="0.25">
      <c r="A10" s="5">
        <f t="shared" si="3"/>
        <v>2032</v>
      </c>
      <c r="B10" s="49">
        <v>710855</v>
      </c>
      <c r="C10" s="50">
        <v>1271529</v>
      </c>
      <c r="D10" s="50">
        <v>3316385.5</v>
      </c>
      <c r="E10" s="50">
        <v>2703312.5</v>
      </c>
      <c r="F10" s="50">
        <v>1428747</v>
      </c>
      <c r="G10" s="17">
        <f t="shared" si="0"/>
        <v>8719974</v>
      </c>
      <c r="H10" s="17">
        <f t="shared" si="1"/>
        <v>816726.19473578501</v>
      </c>
      <c r="I10" s="17">
        <f t="shared" si="2"/>
        <v>7903247.805264215</v>
      </c>
    </row>
    <row r="11" spans="1:9" ht="15.75" customHeight="1" x14ac:dyDescent="0.25">
      <c r="A11" s="5">
        <f t="shared" si="3"/>
        <v>2033</v>
      </c>
      <c r="B11" s="49">
        <v>702271</v>
      </c>
      <c r="C11" s="50">
        <v>1204044.5</v>
      </c>
      <c r="D11" s="50">
        <v>3240248</v>
      </c>
      <c r="E11" s="50">
        <v>2868461.5</v>
      </c>
      <c r="F11" s="50">
        <v>1449682.5</v>
      </c>
      <c r="G11" s="17">
        <f t="shared" si="0"/>
        <v>8762436.5</v>
      </c>
      <c r="H11" s="17">
        <f t="shared" si="1"/>
        <v>806863.73663165409</v>
      </c>
      <c r="I11" s="17">
        <f t="shared" si="2"/>
        <v>7955572.7633683458</v>
      </c>
    </row>
    <row r="12" spans="1:9" ht="15.75" customHeight="1" x14ac:dyDescent="0.25">
      <c r="A12" s="5">
        <f t="shared" si="3"/>
        <v>2034</v>
      </c>
      <c r="B12" s="49">
        <v>694568</v>
      </c>
      <c r="C12" s="50">
        <v>1177233</v>
      </c>
      <c r="D12" s="50">
        <v>3131602</v>
      </c>
      <c r="E12" s="50">
        <v>3015146.5</v>
      </c>
      <c r="F12" s="50">
        <v>1480634</v>
      </c>
      <c r="G12" s="17">
        <f t="shared" si="0"/>
        <v>8804615.5</v>
      </c>
      <c r="H12" s="17">
        <f t="shared" si="1"/>
        <v>798013.49026910507</v>
      </c>
      <c r="I12" s="17">
        <f t="shared" si="2"/>
        <v>8006602.009730895</v>
      </c>
    </row>
    <row r="13" spans="1:9" ht="15.75" customHeight="1" x14ac:dyDescent="0.25">
      <c r="A13" s="5">
        <f t="shared" si="3"/>
        <v>2035</v>
      </c>
      <c r="B13" s="49">
        <v>680805</v>
      </c>
      <c r="C13" s="50">
        <v>1190252</v>
      </c>
      <c r="D13" s="50">
        <v>2993307</v>
      </c>
      <c r="E13" s="50">
        <v>3139393</v>
      </c>
      <c r="F13" s="50">
        <v>1526329</v>
      </c>
      <c r="G13" s="17">
        <f t="shared" si="0"/>
        <v>8849281</v>
      </c>
      <c r="H13" s="17">
        <f t="shared" si="1"/>
        <v>782200.69776128198</v>
      </c>
      <c r="I13" s="17">
        <f t="shared" si="2"/>
        <v>8067080.3022387177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GWAUpt1npWH7r3yXBgMe08/sKR+otsREXDsjGHntrAIAEvjEXwPgp8lpGDVAEN/SYTz0WOg6n7HqiAzEOxcQw==" saltValue="0eos/JOid+px/JWYxGet4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0.15451909999999969</v>
      </c>
    </row>
    <row r="5" spans="1:8" ht="15.75" customHeight="1" x14ac:dyDescent="0.25">
      <c r="B5" s="19" t="s">
        <v>114</v>
      </c>
      <c r="C5" s="101">
        <v>4.2198999999999926E-3</v>
      </c>
    </row>
    <row r="6" spans="1:8" ht="15.75" customHeight="1" x14ac:dyDescent="0.25">
      <c r="B6" s="19" t="s">
        <v>110</v>
      </c>
      <c r="C6" s="101">
        <v>0.19492200000000021</v>
      </c>
    </row>
    <row r="7" spans="1:8" ht="15.75" customHeight="1" x14ac:dyDescent="0.25">
      <c r="B7" s="19" t="s">
        <v>115</v>
      </c>
      <c r="C7" s="101">
        <v>0.42669009999999979</v>
      </c>
    </row>
    <row r="8" spans="1:8" ht="15.75" customHeight="1" x14ac:dyDescent="0.25">
      <c r="B8" s="19" t="s">
        <v>117</v>
      </c>
      <c r="C8" s="101">
        <v>0</v>
      </c>
    </row>
    <row r="9" spans="1:8" ht="15.75" customHeight="1" x14ac:dyDescent="0.25">
      <c r="B9" s="19" t="s">
        <v>111</v>
      </c>
      <c r="C9" s="101">
        <v>0.16146820000000039</v>
      </c>
    </row>
    <row r="10" spans="1:8" ht="15.75" customHeight="1" x14ac:dyDescent="0.25">
      <c r="B10" s="19" t="s">
        <v>113</v>
      </c>
      <c r="C10" s="101">
        <v>5.8180699999999898E-2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121</v>
      </c>
      <c r="C15" s="101">
        <v>0.29688997844133608</v>
      </c>
      <c r="D15" s="101">
        <v>0.29688997844133608</v>
      </c>
      <c r="E15" s="101">
        <v>0.29688997844133608</v>
      </c>
      <c r="F15" s="101">
        <v>0.29688997844133608</v>
      </c>
    </row>
    <row r="16" spans="1:8" ht="15.75" customHeight="1" x14ac:dyDescent="0.25">
      <c r="B16" s="19" t="s">
        <v>2</v>
      </c>
      <c r="C16" s="101">
        <v>5.627712966098989E-2</v>
      </c>
      <c r="D16" s="101">
        <v>5.627712966098989E-2</v>
      </c>
      <c r="E16" s="101">
        <v>5.627712966098989E-2</v>
      </c>
      <c r="F16" s="101">
        <v>5.627712966098989E-2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98</v>
      </c>
      <c r="C20" s="101">
        <v>6.7017783841196291E-2</v>
      </c>
      <c r="D20" s="101">
        <v>6.7017783841196291E-2</v>
      </c>
      <c r="E20" s="101">
        <v>6.7017783841196291E-2</v>
      </c>
      <c r="F20" s="101">
        <v>6.7017783841196291E-2</v>
      </c>
    </row>
    <row r="21" spans="1:8" ht="15.75" customHeight="1" x14ac:dyDescent="0.25">
      <c r="B21" s="19" t="s">
        <v>107</v>
      </c>
      <c r="C21" s="101">
        <v>0.38511254926272848</v>
      </c>
      <c r="D21" s="101">
        <v>0.38511254926272848</v>
      </c>
      <c r="E21" s="101">
        <v>0.38511254926272848</v>
      </c>
      <c r="F21" s="101">
        <v>0.38511254926272848</v>
      </c>
    </row>
    <row r="22" spans="1:8" ht="15.75" customHeight="1" x14ac:dyDescent="0.25">
      <c r="B22" s="19" t="s">
        <v>118</v>
      </c>
      <c r="C22" s="101">
        <v>0.13258606647106591</v>
      </c>
      <c r="D22" s="101">
        <v>0.13258606647106591</v>
      </c>
      <c r="E22" s="101">
        <v>0.13258606647106591</v>
      </c>
      <c r="F22" s="101">
        <v>0.13258606647106591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5.7343604999999999E-2</v>
      </c>
    </row>
    <row r="27" spans="1:8" ht="15.75" customHeight="1" x14ac:dyDescent="0.25">
      <c r="B27" s="19" t="s">
        <v>108</v>
      </c>
      <c r="C27" s="101">
        <v>1.4167997E-2</v>
      </c>
    </row>
    <row r="28" spans="1:8" ht="15.75" customHeight="1" x14ac:dyDescent="0.25">
      <c r="B28" s="19" t="s">
        <v>122</v>
      </c>
      <c r="C28" s="101">
        <v>0.101559973</v>
      </c>
    </row>
    <row r="29" spans="1:8" ht="15.75" customHeight="1" x14ac:dyDescent="0.25">
      <c r="B29" s="19" t="s">
        <v>105</v>
      </c>
      <c r="C29" s="101">
        <v>0.21960849700000001</v>
      </c>
    </row>
    <row r="30" spans="1:8" ht="15.75" customHeight="1" x14ac:dyDescent="0.25">
      <c r="B30" s="19" t="s">
        <v>4</v>
      </c>
      <c r="C30" s="101">
        <v>5.5062585999999997E-2</v>
      </c>
    </row>
    <row r="31" spans="1:8" ht="15.75" customHeight="1" x14ac:dyDescent="0.25">
      <c r="B31" s="19" t="s">
        <v>99</v>
      </c>
      <c r="C31" s="101">
        <v>0.14229177300000001</v>
      </c>
    </row>
    <row r="32" spans="1:8" ht="15.75" customHeight="1" x14ac:dyDescent="0.25">
      <c r="B32" s="19" t="s">
        <v>104</v>
      </c>
      <c r="C32" s="101">
        <v>3.0837276E-2</v>
      </c>
    </row>
    <row r="33" spans="2:3" ht="15.75" customHeight="1" x14ac:dyDescent="0.25">
      <c r="B33" s="19" t="s">
        <v>119</v>
      </c>
      <c r="C33" s="101">
        <v>8.2024560999999996E-2</v>
      </c>
    </row>
    <row r="34" spans="2:3" ht="15.75" customHeight="1" x14ac:dyDescent="0.25">
      <c r="B34" s="19" t="s">
        <v>106</v>
      </c>
      <c r="C34" s="101">
        <v>0.29710373299999998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Q6uEG1An6zLAgxohRNaE5APD0MUCUqJ/CJ8XeZL6BBPb3/LIva+5H0bgY+HLydd0pOdb3T9ul6zK8QbYcnaF2g==" saltValue="h3vgeZpVKKaIqpAls18mv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129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125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126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138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0.47549585524999999</v>
      </c>
      <c r="D14" s="54">
        <v>0.47235857479600002</v>
      </c>
      <c r="E14" s="54">
        <v>0.47235857479600002</v>
      </c>
      <c r="F14" s="54">
        <v>0.37734795349299999</v>
      </c>
      <c r="G14" s="54">
        <v>0.37734795349299999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0.26133632601224199</v>
      </c>
      <c r="D15" s="52">
        <f t="shared" si="0"/>
        <v>0.25961205157647999</v>
      </c>
      <c r="E15" s="52">
        <f t="shared" si="0"/>
        <v>0.25961205157647999</v>
      </c>
      <c r="F15" s="52">
        <f t="shared" si="0"/>
        <v>0.20739345402338072</v>
      </c>
      <c r="G15" s="52">
        <f t="shared" si="0"/>
        <v>0.20739345402338072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pvM/4x/WT3tW7nwwfjEpU7qLq1QvwusgsmkAumFqp9B1QTjfHoasXMAorAXvuw/IM+m+DrI+izeuFWNJ8NjJqw==" saltValue="EOmJfgOK8/EjyUnoI5Jq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0.18827609999999995</v>
      </c>
      <c r="D5" s="52">
        <f t="shared" si="0"/>
        <v>0.28117159999999997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KDcFAytVTNEEJkvBrfjkxXIMVv8Nm3eKjpFDcYY8MOtTKjU2PDWo452D0IA4eNbl8w5SVdcGrsS/jWWZz4/6nQ==" saltValue="lMG9OcILyHCX+au6NWEgq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cDQHQQjDAqIfevbwiTvV08M+3xe5bXMT5kYqeYV+7Lo78J2dPz8kxFF2Yzi2fUqEvyS7qAUnchjOBJayfPYzRQ==" saltValue="zP85relkOzE/tbVHIezdf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420.622705161108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0.34848000000000001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0.14885000000000001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1.8886668619558955E-2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97656.185949999999</v>
      </c>
      <c r="C22" s="109">
        <v>97200.521630000003</v>
      </c>
      <c r="D22" s="109">
        <v>96662.864490000007</v>
      </c>
      <c r="E22" s="109">
        <v>96337.203020000001</v>
      </c>
      <c r="F22" s="109">
        <v>95971.435800000007</v>
      </c>
      <c r="G22" s="109">
        <v>95528.598329999993</v>
      </c>
      <c r="H22" s="109">
        <v>95018.418650000007</v>
      </c>
      <c r="I22" s="109">
        <v>94372.985239999995</v>
      </c>
      <c r="J22" s="109">
        <v>93429.646110000001</v>
      </c>
      <c r="K22" s="109">
        <v>91816.644530000005</v>
      </c>
      <c r="L22" s="109">
        <v>89168.003330000007</v>
      </c>
      <c r="M22" s="109">
        <v>85109.735379999998</v>
      </c>
      <c r="N22" s="109">
        <v>78535.152199999997</v>
      </c>
      <c r="O22" s="109">
        <v>69498.841279999993</v>
      </c>
    </row>
  </sheetData>
  <sheetProtection algorithmName="SHA-512" hashValue="4zQaixwBJvXhmqkeKyrSLHSAhC7XxHm8MwNkBo2MKaTz/i7IgKrabb5u6sG/glVhfJvOI5alhKqtaE25b3zdIQ==" saltValue="tLCa8D49eGrJX4iJ7XD3M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Ny4jvXKPilV++WIPVmSKFfEuyRKZsRsXx+2z6jqWO1lwaNuFgJhLXuPXymiRAfZeKWRlgru1PBzfyaJ9rROhZQ==" saltValue="+LB73R+i+dokAT74QzN3R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VZdwupMipi/ojSki+wOGbU99cqY6aNTCX5mSgeKby5op1qzUoPwkRMHeUiaFTP3P5uXIqIHA7cIwhljUnh8bqw==" saltValue="LuYZX31K9ZPo/fXkvI4cN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</v>
      </c>
      <c r="C10" s="98">
        <v>0.95</v>
      </c>
      <c r="D10" s="56">
        <v>13.49883587438004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13.49883587438004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13.49883587438004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13.49883587438004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</v>
      </c>
      <c r="C14" s="98">
        <v>0.95</v>
      </c>
      <c r="D14" s="56">
        <v>13.49883587438004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13.49883587438004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7.8606899999999993E-2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0.32122916666666701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7.7588900000000002E-2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7.7588900000000002E-2</v>
      </c>
      <c r="C19" s="98">
        <v>0.95</v>
      </c>
      <c r="D19" s="56">
        <v>1.73788639265208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3.9129999999999998E-3</v>
      </c>
      <c r="C23" s="98">
        <v>0.95</v>
      </c>
      <c r="D23" s="56">
        <v>4.4354944052820704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0.66624536519805999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0.45581739999999998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0.23215369999999999</v>
      </c>
      <c r="C29" s="98">
        <v>0.95</v>
      </c>
      <c r="D29" s="56">
        <v>193.6128732031849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0.72116230000000003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0.12046129999999999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5.8989100000000003E-2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0.80314839999999998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RhJsEAO/0IxQXQE9nKMEj1PLxiHbT/3X1iZOwwCd6v3HhrOIGRuslQ7+OdRCC75mF8Dyeukx7IcyirOcKeu9ZA==" saltValue="dApTth6WTNoaJxt0Kdby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YEK7HwFAqksUZfcaZyeqyuo3Wl8Jr1vUo6Ktnj24ieR2V/ZtlQY3V4KLODyIQpu7w3hsfNKPJt8sJtD1wxrEhg==" saltValue="XxV4UivBYCa3b49tQJYf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2kqYmsMDcxQlXglFa4G8c/gMJjDl5m4uNK5iln7h7IMQOd4OcA71HbTV82ISf3+kX0/ozGyPdWcpuWQBh5nYw==" saltValue="IxvkSGI0dhgUPUpNuX2SM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236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sheetProtection algorithmName="SHA-512" hashValue="WIeTSp6hLSiFalbz3GJK2Ynx0JePCII2niGcAQIZZHg3uzaQ3h2+wwZnCTY1F9bBgHCFh1VWGcikFhZ2M7IDWw==" saltValue="fRYkeNcASFvFQiRQGtfIA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0.23400000000000001</v>
      </c>
      <c r="F2" s="60">
        <f>food_insecure</f>
        <v>0.23400000000000001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0.23400000000000001</v>
      </c>
      <c r="I15" s="60">
        <f t="shared" si="0"/>
        <v>0.23400000000000001</v>
      </c>
      <c r="J15" s="60">
        <f t="shared" si="0"/>
        <v>0.23400000000000001</v>
      </c>
      <c r="K15" s="60">
        <f t="shared" si="0"/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0.23400000000000001</v>
      </c>
      <c r="I16" s="60">
        <f t="shared" si="0"/>
        <v>0.23400000000000001</v>
      </c>
      <c r="J16" s="60">
        <f t="shared" si="0"/>
        <v>0.23400000000000001</v>
      </c>
      <c r="K16" s="60">
        <f t="shared" si="0"/>
        <v>0.23400000000000001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0.46700000000000003</v>
      </c>
      <c r="M24" s="60">
        <f>famplan_unmet_need</f>
        <v>0.46700000000000003</v>
      </c>
      <c r="N24" s="60">
        <f>famplan_unmet_need</f>
        <v>0.46700000000000003</v>
      </c>
      <c r="O24" s="60">
        <f>famplan_unmet_need</f>
        <v>0.46700000000000003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0.29504431564025896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0.12644756384582528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0.12575802896118171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0.45275009155273405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SH9q2ZrpfdHDvmE62mEdxmZXYIemi1CgkggzJfxVUIO4eMEkFuAhxid14bhJb4jmnEg4o3LXMCw0m8qjdbmjw==" saltValue="Op4hWls+ndqkVLLFUL2MI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KCyMUvcyAhSbpQpd0442oSUBTWy4IEQBX1IPC9klirBgToMiPgQcxjCpYfp43pTgrR5gr2bKoMhayXOyeVBzPA==" saltValue="OnPqd+orysgNDckk11H2m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T1F8rwgseqn9CyERm1tQarcRp4qnpRYg1KlELk8HR30r5LjwTNv5sivW9ymPal/m9rk+bjdWT6WhOjlUso3jw==" saltValue="njz1WtGXArkSDhYN0yctz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8SugseB36UT2btXZkrfT/FvJCfHF5+k4oMgCxLEuzfpep/E+SQfyT7YuI/bi/Kb4BlAJfgRw2UvQ3p4X0P8YA==" saltValue="13AwH565O7tCeY3cpyX1h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tJO4b95hzFmiNHWM4XfurMTsWPi3Chkv8Eo2ZB47164eW/ildHAOkOrCuVcVNLmW0OB39nobQWvX+HBhWcMdSw==" saltValue="swJvxQaZ32uaPJp54GwkI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tZq/Ym+zeJe+Xf0qHnYAlTb5gbeGGZRfSUDQSqNrf8rzb26pyA09gT3x4CHRtFobQ2CTHj1ueKIN3IqcQb/Rcg==" saltValue="yYre9wa4wayPSUXw9s0/k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BTlp/+qTclcDmbH28MLJ3/B9mIleca5k3DcH4Dxc1ZwXkWRF0l/YYn23/cDRDuMNVucr9ILG25cWMlGKIAPzg==" saltValue="qZ8Od2nKvrpgNxG5gTZeC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9pBMs18FmSixIvWXCAFeVBDQSm7MzhO7L336sP3gZqfm4cAN2QD3sWaq4/BagtsjCds18Ly8yIR8vMrsv6h95g==" saltValue="wJ+ssnxEDrsaeh6Bf0+M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hYi4oC1lhj/KyWok8a1nBOGFMUwM7pn33tyUBqqFQjHK5ME1bNTOx8DjtszON/a0Fji97CxqWq7/pSLKZocMuw==" saltValue="ujgDnjHk8C7FsYUTh3lc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ypr6dBJRZ7d8Id28nEbZ4GX9eWoegCt6ExVYbFoxKLZJMfZ2orMusSR+gBivLA/iD9lglHeWi/D5KX7CM2QFA==" saltValue="LA7fuNx4E+A1F3KYfvbp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D8qZ0abJtvDV6oLvQB0Wv2/GMsdV9Y9qJxA5uUQRA9CUHlg719w6HRakF2RMy7jWcsAAiJqz0kDGLrlIhO92w==" saltValue="ihkDpcIj2vnqQxgpy/n4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y6qmcTLEcqY0hPEuJ/CwxWZEi+u/DTdS/qXL8g3p8W2tgF1J1VWfjgbgxyCbxMVasQ41XUI2XrKBMh6C5AXpDg==" saltValue="yHz5Xeuep01irKYFB0XA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785TG4jVp0GLrSaPcqVOskYqvAVWLxgc0aDx5ehwHzScOU6GquR6NagWBeef1NVzbbHFx9o92xX4JGoieoM0mg==" saltValue="cVbojq+QA4gJMZZoXOqBy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Djmv1nEOjm/EsTG7SOA/f+hAdRbGz9fCJfh0P1cUZZRsXrVSoWsOi9b4xlQC5HLizo7twfhuL6T4IfnP8+snA==" saltValue="6GK+ZiQwMoR4OwE7BJ9Y4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KT/1Ypuxt9/dfxXtVpGMrVlstal12UxFJHgxFTUlbJcImiZBjH0mUXTAXT4l6oOvvRJGA5gBMSfqNqTTAcp76Q==" saltValue="trkpSZEQX0NinS/JmvXhd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2025-07-04T02:36:35Z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