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D5FF75D-7EDA-44D0-9727-F8FDAA4A2D9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9" i="2"/>
  <c r="A28" i="2"/>
  <c r="A23" i="2"/>
  <c r="A21" i="2"/>
  <c r="A20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A31" i="2" l="1"/>
  <c r="A36" i="2"/>
  <c r="I2" i="2"/>
  <c r="I6" i="2"/>
  <c r="I10" i="2"/>
  <c r="A15" i="2"/>
  <c r="A37" i="2"/>
  <c r="A16" i="2"/>
  <c r="A24" i="2"/>
  <c r="A32" i="2"/>
  <c r="A17" i="2"/>
  <c r="A25" i="2"/>
  <c r="A33" i="2"/>
  <c r="A18" i="2"/>
  <c r="A34" i="2"/>
  <c r="A3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6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<sst xmlns="http://schemas.openxmlformats.org/spreadsheetml/2006/main" count="2101" uniqueCount="341">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</sst>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4354785.1875</v>
      </c>
    </row>
    <row r="8" spans="1:3" ht="15" customHeight="1" x14ac:dyDescent="0.25">
      <c r="B8" s="5" t="s">
        <v>44</v>
      </c>
      <c r="C8" s="44">
        <v>0.77599999999999991</v>
      </c>
    </row>
    <row r="9" spans="1:3" ht="15" customHeight="1" x14ac:dyDescent="0.25">
      <c r="B9" s="5" t="s">
        <v>43</v>
      </c>
      <c r="C9" s="45">
        <v>0.6</v>
      </c>
    </row>
    <row r="10" spans="1:3" ht="15" customHeight="1" x14ac:dyDescent="0.25">
      <c r="B10" s="5" t="s">
        <v>56</v>
      </c>
      <c r="C10" s="45">
        <v>0.30287649154663099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0.504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0.13400000000000001</v>
      </c>
    </row>
    <row r="24" spans="1:3" ht="15" customHeight="1" x14ac:dyDescent="0.25">
      <c r="B24" s="15" t="s">
        <v>46</v>
      </c>
      <c r="C24" s="45">
        <v>0.50590000000000002</v>
      </c>
    </row>
    <row r="25" spans="1:3" ht="15" customHeight="1" x14ac:dyDescent="0.25">
      <c r="B25" s="15" t="s">
        <v>47</v>
      </c>
      <c r="C25" s="45">
        <v>0.29549999999999998</v>
      </c>
    </row>
    <row r="26" spans="1:3" ht="15" customHeight="1" x14ac:dyDescent="0.25">
      <c r="B26" s="15" t="s">
        <v>48</v>
      </c>
      <c r="C26" s="45">
        <v>6.4600000000000005E-2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0.28578644131437603</v>
      </c>
    </row>
    <row r="30" spans="1:3" ht="14.25" customHeight="1" x14ac:dyDescent="0.25">
      <c r="B30" s="25" t="s">
        <v>63</v>
      </c>
      <c r="C30" s="99">
        <v>6.9844134891047002E-2</v>
      </c>
    </row>
    <row r="31" spans="1:3" ht="14.25" customHeight="1" x14ac:dyDescent="0.25">
      <c r="B31" s="25" t="s">
        <v>10</v>
      </c>
      <c r="C31" s="99">
        <v>8.7209546463448695E-2</v>
      </c>
    </row>
    <row r="32" spans="1:3" ht="14.25" customHeight="1" x14ac:dyDescent="0.25">
      <c r="B32" s="25" t="s">
        <v>11</v>
      </c>
      <c r="C32" s="99">
        <v>0.55715987733112793</v>
      </c>
    </row>
    <row r="33" spans="1:5" ht="13" customHeight="1" x14ac:dyDescent="0.25">
      <c r="B33" s="27" t="s">
        <v>60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24.115670000000001</v>
      </c>
    </row>
    <row r="38" spans="1:5" ht="15" customHeight="1" x14ac:dyDescent="0.25">
      <c r="B38" s="11" t="s">
        <v>35</v>
      </c>
      <c r="C38" s="43">
        <v>45.25882</v>
      </c>
      <c r="D38" s="12"/>
      <c r="E38" s="13"/>
    </row>
    <row r="39" spans="1:5" ht="15" customHeight="1" x14ac:dyDescent="0.25">
      <c r="B39" s="11" t="s">
        <v>61</v>
      </c>
      <c r="C39" s="43">
        <v>66.003</v>
      </c>
      <c r="D39" s="12"/>
      <c r="E39" s="12"/>
    </row>
    <row r="40" spans="1:5" ht="15" customHeight="1" x14ac:dyDescent="0.25">
      <c r="B40" s="11" t="s">
        <v>36</v>
      </c>
      <c r="C40" s="100">
        <v>3.92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18.363099999999999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7.9161000000000006E-3</v>
      </c>
      <c r="D45" s="12"/>
    </row>
    <row r="46" spans="1:5" ht="15.75" customHeight="1" x14ac:dyDescent="0.25">
      <c r="B46" s="11" t="s">
        <v>51</v>
      </c>
      <c r="C46" s="45">
        <v>8.5057899999999992E-2</v>
      </c>
      <c r="D46" s="12"/>
    </row>
    <row r="47" spans="1:5" ht="15.75" customHeight="1" x14ac:dyDescent="0.25">
      <c r="B47" s="11" t="s">
        <v>59</v>
      </c>
      <c r="C47" s="45">
        <v>7.3472599999999999E-2</v>
      </c>
      <c r="D47" s="12"/>
      <c r="E47" s="13"/>
    </row>
    <row r="48" spans="1:5" ht="15" customHeight="1" x14ac:dyDescent="0.25">
      <c r="B48" s="11" t="s">
        <v>58</v>
      </c>
      <c r="C48" s="46">
        <v>0.8335534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0.52655600000000002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0.17138204999999901</v>
      </c>
    </row>
    <row r="63" spans="1:4" ht="15.75" customHeight="1" x14ac:dyDescent="0.3">
      <c r="A63" s="4"/>
    </row>
  </sheetData>
  <sheetProtection algorithmName="SHA-512" hashValue="NrH0Pwo8W4cu/jRG1D/ypZ79OmbnawQPPUi5YzASv4V6lMSHtNhbHBgeFPn1VZ+bB6J0H5FNG8S0S33R46OE6g==" saltValue="cS3sPZc0QGIITYRjs+s3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927190</v>
      </c>
      <c r="C2" s="49">
        <v>2003918.5</v>
      </c>
      <c r="D2" s="49">
        <v>2754665.5</v>
      </c>
      <c r="E2" s="49">
        <v>1965655.5</v>
      </c>
      <c r="F2" s="49">
        <v>1229754.5</v>
      </c>
      <c r="G2" s="17">
        <f t="shared" ref="G2:G13" si="0">C2+D2+E2+F2</f>
        <v>7953994</v>
      </c>
      <c r="H2" s="17">
        <f t="shared" ref="H2:H13" si="1">(B2 + stillbirth*B2/(1000-stillbirth))/(1-abortion)</f>
        <v>1073334.7534103496</v>
      </c>
      <c r="I2" s="17">
        <f t="shared" ref="I2:I13" si="2">G2-H2</f>
        <v>6880659.2465896504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937701</v>
      </c>
      <c r="C3" s="50">
        <v>2045160.5</v>
      </c>
      <c r="D3" s="50">
        <v>2816849</v>
      </c>
      <c r="E3" s="50">
        <v>2043037</v>
      </c>
      <c r="F3" s="50">
        <v>1259247</v>
      </c>
      <c r="G3" s="17">
        <f t="shared" si="0"/>
        <v>8164293.5</v>
      </c>
      <c r="H3" s="17">
        <f t="shared" si="1"/>
        <v>1085502.5093105384</v>
      </c>
      <c r="I3" s="17">
        <f t="shared" si="2"/>
        <v>7078790.9906894621</v>
      </c>
    </row>
    <row r="4" spans="1:9" ht="15.75" customHeight="1" x14ac:dyDescent="0.25">
      <c r="A4" s="5">
        <f t="shared" si="3"/>
        <v>2026</v>
      </c>
      <c r="B4" s="49">
        <v>946788</v>
      </c>
      <c r="C4" s="50">
        <v>2079533</v>
      </c>
      <c r="D4" s="50">
        <v>2879054.5</v>
      </c>
      <c r="E4" s="50">
        <v>2123351.5</v>
      </c>
      <c r="F4" s="50">
        <v>1290745.5</v>
      </c>
      <c r="G4" s="17">
        <f t="shared" si="0"/>
        <v>8372684.5</v>
      </c>
      <c r="H4" s="17">
        <f t="shared" si="1"/>
        <v>1096021.8126941381</v>
      </c>
      <c r="I4" s="17">
        <f t="shared" si="2"/>
        <v>7276662.6873058621</v>
      </c>
    </row>
    <row r="5" spans="1:9" ht="15.75" customHeight="1" x14ac:dyDescent="0.25">
      <c r="A5" s="5">
        <f t="shared" si="3"/>
        <v>2027</v>
      </c>
      <c r="B5" s="49">
        <v>958349</v>
      </c>
      <c r="C5" s="50">
        <v>2108957</v>
      </c>
      <c r="D5" s="50">
        <v>2942505</v>
      </c>
      <c r="E5" s="50">
        <v>2204304</v>
      </c>
      <c r="F5" s="50">
        <v>1324112.5</v>
      </c>
      <c r="G5" s="17">
        <f t="shared" si="0"/>
        <v>8579878.5</v>
      </c>
      <c r="H5" s="17">
        <f t="shared" si="1"/>
        <v>1109405.0708010818</v>
      </c>
      <c r="I5" s="17">
        <f t="shared" si="2"/>
        <v>7470473.4291989179</v>
      </c>
    </row>
    <row r="6" spans="1:9" ht="15.75" customHeight="1" x14ac:dyDescent="0.25">
      <c r="A6" s="5">
        <f t="shared" si="3"/>
        <v>2028</v>
      </c>
      <c r="B6" s="49">
        <v>969625</v>
      </c>
      <c r="C6" s="50">
        <v>2134680</v>
      </c>
      <c r="D6" s="50">
        <v>3007941.5</v>
      </c>
      <c r="E6" s="50">
        <v>2283427.5</v>
      </c>
      <c r="F6" s="50">
        <v>1360507</v>
      </c>
      <c r="G6" s="17">
        <f t="shared" si="0"/>
        <v>8786556</v>
      </c>
      <c r="H6" s="17">
        <f t="shared" si="1"/>
        <v>1122458.4068804779</v>
      </c>
      <c r="I6" s="17">
        <f t="shared" si="2"/>
        <v>7664097.5931195226</v>
      </c>
    </row>
    <row r="7" spans="1:9" ht="15.75" customHeight="1" x14ac:dyDescent="0.25">
      <c r="A7" s="5">
        <f t="shared" si="3"/>
        <v>2029</v>
      </c>
      <c r="B7" s="49">
        <v>977745</v>
      </c>
      <c r="C7" s="50">
        <v>2157955.5</v>
      </c>
      <c r="D7" s="50">
        <v>3076177</v>
      </c>
      <c r="E7" s="50">
        <v>2360065</v>
      </c>
      <c r="F7" s="50">
        <v>1401253.5</v>
      </c>
      <c r="G7" s="17">
        <f t="shared" si="0"/>
        <v>8995451</v>
      </c>
      <c r="H7" s="17">
        <f t="shared" si="1"/>
        <v>1131858.2906127139</v>
      </c>
      <c r="I7" s="17">
        <f t="shared" si="2"/>
        <v>7863592.7093872856</v>
      </c>
    </row>
    <row r="8" spans="1:9" ht="15.75" customHeight="1" x14ac:dyDescent="0.25">
      <c r="A8" s="5">
        <f t="shared" si="3"/>
        <v>2030</v>
      </c>
      <c r="B8" s="49">
        <v>986067</v>
      </c>
      <c r="C8" s="50">
        <v>2183886</v>
      </c>
      <c r="D8" s="50">
        <v>3146394.5</v>
      </c>
      <c r="E8" s="50">
        <v>2432767.5</v>
      </c>
      <c r="F8" s="50">
        <v>1446639</v>
      </c>
      <c r="G8" s="17">
        <f t="shared" si="0"/>
        <v>9209687</v>
      </c>
      <c r="H8" s="17">
        <f t="shared" si="1"/>
        <v>1141492.0138171066</v>
      </c>
      <c r="I8" s="17">
        <f t="shared" si="2"/>
        <v>8068194.9861828936</v>
      </c>
    </row>
    <row r="9" spans="1:9" ht="15.75" customHeight="1" x14ac:dyDescent="0.25">
      <c r="A9" s="5">
        <f t="shared" si="3"/>
        <v>2031</v>
      </c>
      <c r="B9" s="49">
        <v>994660</v>
      </c>
      <c r="C9" s="50">
        <v>2216348.5</v>
      </c>
      <c r="D9" s="50">
        <v>3214493</v>
      </c>
      <c r="E9" s="50">
        <v>2502118.5</v>
      </c>
      <c r="F9" s="50">
        <v>1497634.5</v>
      </c>
      <c r="G9" s="17">
        <f t="shared" si="0"/>
        <v>9430594.5</v>
      </c>
      <c r="H9" s="17">
        <f t="shared" si="1"/>
        <v>1151439.4523529571</v>
      </c>
      <c r="I9" s="17">
        <f t="shared" si="2"/>
        <v>8279155.0476470431</v>
      </c>
    </row>
    <row r="10" spans="1:9" ht="15.75" customHeight="1" x14ac:dyDescent="0.25">
      <c r="A10" s="5">
        <f t="shared" si="3"/>
        <v>2032</v>
      </c>
      <c r="B10" s="49">
        <v>1002209</v>
      </c>
      <c r="C10" s="50">
        <v>2253927</v>
      </c>
      <c r="D10" s="50">
        <v>3278796.5</v>
      </c>
      <c r="E10" s="50">
        <v>2569322.5</v>
      </c>
      <c r="F10" s="50">
        <v>1553466.5</v>
      </c>
      <c r="G10" s="17">
        <f t="shared" si="0"/>
        <v>9655512.5</v>
      </c>
      <c r="H10" s="17">
        <f t="shared" si="1"/>
        <v>1160178.3344089487</v>
      </c>
      <c r="I10" s="17">
        <f t="shared" si="2"/>
        <v>8495334.1655910518</v>
      </c>
    </row>
    <row r="11" spans="1:9" ht="15.75" customHeight="1" x14ac:dyDescent="0.25">
      <c r="A11" s="5">
        <f t="shared" si="3"/>
        <v>2033</v>
      </c>
      <c r="B11" s="49">
        <v>1012090</v>
      </c>
      <c r="C11" s="50">
        <v>2294226</v>
      </c>
      <c r="D11" s="50">
        <v>3340565</v>
      </c>
      <c r="E11" s="50">
        <v>2634280</v>
      </c>
      <c r="F11" s="50">
        <v>1613104</v>
      </c>
      <c r="G11" s="17">
        <f t="shared" si="0"/>
        <v>9882175</v>
      </c>
      <c r="H11" s="17">
        <f t="shared" si="1"/>
        <v>1171616.7889850847</v>
      </c>
      <c r="I11" s="17">
        <f t="shared" si="2"/>
        <v>8710558.2110149153</v>
      </c>
    </row>
    <row r="12" spans="1:9" ht="15.75" customHeight="1" x14ac:dyDescent="0.25">
      <c r="A12" s="5">
        <f t="shared" si="3"/>
        <v>2034</v>
      </c>
      <c r="B12" s="49">
        <v>1016579</v>
      </c>
      <c r="C12" s="50">
        <v>2336697</v>
      </c>
      <c r="D12" s="50">
        <v>3399269.5</v>
      </c>
      <c r="E12" s="50">
        <v>2697623.5</v>
      </c>
      <c r="F12" s="50">
        <v>1676662</v>
      </c>
      <c r="G12" s="17">
        <f t="shared" si="0"/>
        <v>10110252</v>
      </c>
      <c r="H12" s="17">
        <f t="shared" si="1"/>
        <v>1176813.3503242482</v>
      </c>
      <c r="I12" s="17">
        <f t="shared" si="2"/>
        <v>8933438.6496757511</v>
      </c>
    </row>
    <row r="13" spans="1:9" ht="15.75" customHeight="1" x14ac:dyDescent="0.25">
      <c r="A13" s="5">
        <f t="shared" si="3"/>
        <v>2035</v>
      </c>
      <c r="B13" s="49">
        <v>1022598</v>
      </c>
      <c r="C13" s="50">
        <v>2379916.5</v>
      </c>
      <c r="D13" s="50">
        <v>3455477</v>
      </c>
      <c r="E13" s="50">
        <v>2759846.5</v>
      </c>
      <c r="F13" s="50">
        <v>1743809</v>
      </c>
      <c r="G13" s="17">
        <f t="shared" si="0"/>
        <v>10339049</v>
      </c>
      <c r="H13" s="17">
        <f t="shared" si="1"/>
        <v>1183781.0720218257</v>
      </c>
      <c r="I13" s="17">
        <f t="shared" si="2"/>
        <v>9155267.9279781748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8iBVl9T++S2cSD65w9r/FhTT62CHj9NMxAWak3VOoC8gWcwqi04koGuNjr+ZEWmDCcnQDcs0ezZlLrXvhyS/w==" saltValue="+SkBJXdXyOh8fpi7FwR7R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1.2181401218140131E-2</v>
      </c>
    </row>
    <row r="4" spans="1:8" ht="15.75" customHeight="1" x14ac:dyDescent="0.25">
      <c r="B4" s="19" t="s">
        <v>97</v>
      </c>
      <c r="C4" s="101">
        <v>7.1480107148010633E-2</v>
      </c>
    </row>
    <row r="5" spans="1:8" ht="15.75" customHeight="1" x14ac:dyDescent="0.25">
      <c r="B5" s="19" t="s">
        <v>95</v>
      </c>
      <c r="C5" s="101">
        <v>0.105523710552371</v>
      </c>
    </row>
    <row r="6" spans="1:8" ht="15.75" customHeight="1" x14ac:dyDescent="0.25">
      <c r="B6" s="19" t="s">
        <v>91</v>
      </c>
      <c r="C6" s="101">
        <v>0.25522302552230253</v>
      </c>
    </row>
    <row r="7" spans="1:8" ht="15.75" customHeight="1" x14ac:dyDescent="0.25">
      <c r="B7" s="19" t="s">
        <v>96</v>
      </c>
      <c r="C7" s="101">
        <v>0.37572243757224411</v>
      </c>
    </row>
    <row r="8" spans="1:8" ht="15.75" customHeight="1" x14ac:dyDescent="0.25">
      <c r="B8" s="19" t="s">
        <v>98</v>
      </c>
      <c r="C8" s="101">
        <v>3.1590003159000352E-3</v>
      </c>
    </row>
    <row r="9" spans="1:8" ht="15.75" customHeight="1" x14ac:dyDescent="0.25">
      <c r="B9" s="19" t="s">
        <v>92</v>
      </c>
      <c r="C9" s="101">
        <v>5.5272605527260543E-2</v>
      </c>
    </row>
    <row r="10" spans="1:8" ht="15.75" customHeight="1" x14ac:dyDescent="0.25">
      <c r="B10" s="19" t="s">
        <v>94</v>
      </c>
      <c r="C10" s="101">
        <v>0.1214377121437713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0.12519808072152641</v>
      </c>
      <c r="D14" s="55">
        <v>0.12519808072152641</v>
      </c>
      <c r="E14" s="55">
        <v>0.12519808072152641</v>
      </c>
      <c r="F14" s="55">
        <v>0.12519808072152641</v>
      </c>
    </row>
    <row r="15" spans="1:8" ht="15.75" customHeight="1" x14ac:dyDescent="0.25">
      <c r="B15" s="19" t="s">
        <v>102</v>
      </c>
      <c r="C15" s="101">
        <v>0.1612690439744941</v>
      </c>
      <c r="D15" s="101">
        <v>0.1612690439744941</v>
      </c>
      <c r="E15" s="101">
        <v>0.1612690439744941</v>
      </c>
      <c r="F15" s="101">
        <v>0.1612690439744941</v>
      </c>
    </row>
    <row r="16" spans="1:8" ht="15.75" customHeight="1" x14ac:dyDescent="0.25">
      <c r="B16" s="19" t="s">
        <v>2</v>
      </c>
      <c r="C16" s="101">
        <v>2.05544624250979E-2</v>
      </c>
      <c r="D16" s="101">
        <v>2.05544624250979E-2</v>
      </c>
      <c r="E16" s="101">
        <v>2.05544624250979E-2</v>
      </c>
      <c r="F16" s="101">
        <v>2.05544624250979E-2</v>
      </c>
    </row>
    <row r="17" spans="1:8" ht="15.75" customHeight="1" x14ac:dyDescent="0.25">
      <c r="B17" s="19" t="s">
        <v>90</v>
      </c>
      <c r="C17" s="101">
        <v>0.38184603296141229</v>
      </c>
      <c r="D17" s="101">
        <v>0.38184603296141229</v>
      </c>
      <c r="E17" s="101">
        <v>0.38184603296141229</v>
      </c>
      <c r="F17" s="101">
        <v>0.38184603296141229</v>
      </c>
    </row>
    <row r="18" spans="1:8" ht="15.75" customHeight="1" x14ac:dyDescent="0.25">
      <c r="B18" s="19" t="s">
        <v>3</v>
      </c>
      <c r="C18" s="101">
        <v>5.4711808826019823E-2</v>
      </c>
      <c r="D18" s="101">
        <v>5.4711808826019823E-2</v>
      </c>
      <c r="E18" s="101">
        <v>5.4711808826019823E-2</v>
      </c>
      <c r="F18" s="101">
        <v>5.4711808826019823E-2</v>
      </c>
    </row>
    <row r="19" spans="1:8" ht="15.75" customHeight="1" x14ac:dyDescent="0.25">
      <c r="B19" s="19" t="s">
        <v>101</v>
      </c>
      <c r="C19" s="101">
        <v>3.0265539065716909E-2</v>
      </c>
      <c r="D19" s="101">
        <v>3.0265539065716909E-2</v>
      </c>
      <c r="E19" s="101">
        <v>3.0265539065716909E-2</v>
      </c>
      <c r="F19" s="101">
        <v>3.0265539065716909E-2</v>
      </c>
    </row>
    <row r="20" spans="1:8" ht="15.75" customHeight="1" x14ac:dyDescent="0.25">
      <c r="B20" s="19" t="s">
        <v>79</v>
      </c>
      <c r="C20" s="101">
        <v>1.0857241974918601E-2</v>
      </c>
      <c r="D20" s="101">
        <v>1.0857241974918601E-2</v>
      </c>
      <c r="E20" s="101">
        <v>1.0857241974918601E-2</v>
      </c>
      <c r="F20" s="101">
        <v>1.0857241974918601E-2</v>
      </c>
    </row>
    <row r="21" spans="1:8" ht="15.75" customHeight="1" x14ac:dyDescent="0.25">
      <c r="B21" s="19" t="s">
        <v>88</v>
      </c>
      <c r="C21" s="101">
        <v>6.308013052669835E-2</v>
      </c>
      <c r="D21" s="101">
        <v>6.308013052669835E-2</v>
      </c>
      <c r="E21" s="101">
        <v>6.308013052669835E-2</v>
      </c>
      <c r="F21" s="101">
        <v>6.308013052669835E-2</v>
      </c>
    </row>
    <row r="22" spans="1:8" ht="15.75" customHeight="1" x14ac:dyDescent="0.25">
      <c r="B22" s="19" t="s">
        <v>99</v>
      </c>
      <c r="C22" s="101">
        <v>0.15221765952411559</v>
      </c>
      <c r="D22" s="101">
        <v>0.15221765952411559</v>
      </c>
      <c r="E22" s="101">
        <v>0.15221765952411559</v>
      </c>
      <c r="F22" s="101">
        <v>0.15221765952411559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8.7985991E-2</v>
      </c>
    </row>
    <row r="27" spans="1:8" ht="15.75" customHeight="1" x14ac:dyDescent="0.25">
      <c r="B27" s="19" t="s">
        <v>89</v>
      </c>
      <c r="C27" s="101">
        <v>9.0154729999999995E-3</v>
      </c>
    </row>
    <row r="28" spans="1:8" ht="15.75" customHeight="1" x14ac:dyDescent="0.25">
      <c r="B28" s="19" t="s">
        <v>103</v>
      </c>
      <c r="C28" s="101">
        <v>0.15676572499999999</v>
      </c>
    </row>
    <row r="29" spans="1:8" ht="15.75" customHeight="1" x14ac:dyDescent="0.25">
      <c r="B29" s="19" t="s">
        <v>86</v>
      </c>
      <c r="C29" s="101">
        <v>0.168756885</v>
      </c>
    </row>
    <row r="30" spans="1:8" ht="15.75" customHeight="1" x14ac:dyDescent="0.25">
      <c r="B30" s="19" t="s">
        <v>4</v>
      </c>
      <c r="C30" s="101">
        <v>0.105851448</v>
      </c>
    </row>
    <row r="31" spans="1:8" ht="15.75" customHeight="1" x14ac:dyDescent="0.25">
      <c r="B31" s="19" t="s">
        <v>80</v>
      </c>
      <c r="C31" s="101">
        <v>0.11038854400000001</v>
      </c>
    </row>
    <row r="32" spans="1:8" ht="15.75" customHeight="1" x14ac:dyDescent="0.25">
      <c r="B32" s="19" t="s">
        <v>85</v>
      </c>
      <c r="C32" s="101">
        <v>1.8940327999999999E-2</v>
      </c>
    </row>
    <row r="33" spans="2:3" ht="15.75" customHeight="1" x14ac:dyDescent="0.25">
      <c r="B33" s="19" t="s">
        <v>100</v>
      </c>
      <c r="C33" s="101">
        <v>8.4923389999999987E-2</v>
      </c>
    </row>
    <row r="34" spans="2:3" ht="15.75" customHeight="1" x14ac:dyDescent="0.25">
      <c r="B34" s="19" t="s">
        <v>87</v>
      </c>
      <c r="C34" s="101">
        <v>0.25737221700000001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kB9bXRYqDuZcttT7MQO7vwWrKAU89S0cQm5ht/fBRwKHFYYisUEJK7oyKe1Gl7TIqUJxqeEFX4Hu6ZKXjcovBw==" saltValue="+F8qEnZkUC3hGHVEtuKB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0.36831192422814019</v>
      </c>
      <c r="D2" s="52">
        <f>IFERROR(1-_xlfn.NORM.DIST(_xlfn.NORM.INV(SUM(D4:D5), 0, 1) + 1, 0, 1, TRUE), "")</f>
        <v>0.36831192422814019</v>
      </c>
      <c r="E2" s="52">
        <f>IFERROR(1-_xlfn.NORM.DIST(_xlfn.NORM.INV(SUM(E4:E5), 0, 1) + 1, 0, 1, TRUE), "")</f>
        <v>0.32883514057661167</v>
      </c>
      <c r="F2" s="52">
        <f>IFERROR(1-_xlfn.NORM.DIST(_xlfn.NORM.INV(SUM(F4:F5), 0, 1) + 1, 0, 1, TRUE), "")</f>
        <v>0.1932907776715993</v>
      </c>
      <c r="G2" s="52">
        <f>IFERROR(1-_xlfn.NORM.DIST(_xlfn.NORM.INV(SUM(G4:G5), 0, 1) + 1, 0, 1, TRUE), "")</f>
        <v>0.20437976545780612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0.37823807577185981</v>
      </c>
      <c r="D3" s="52">
        <f>IFERROR(_xlfn.NORM.DIST(_xlfn.NORM.INV(SUM(D4:D5), 0, 1) + 1, 0, 1, TRUE) - SUM(D4:D5), "")</f>
        <v>0.37823807577185981</v>
      </c>
      <c r="E3" s="52">
        <f>IFERROR(_xlfn.NORM.DIST(_xlfn.NORM.INV(SUM(E4:E5), 0, 1) + 1, 0, 1, TRUE) - SUM(E4:E5), "")</f>
        <v>0.38235605942338835</v>
      </c>
      <c r="F3" s="52">
        <f>IFERROR(_xlfn.NORM.DIST(_xlfn.NORM.INV(SUM(F4:F5), 0, 1) + 1, 0, 1, TRUE) - SUM(F4:F5), "")</f>
        <v>0.36007382232840068</v>
      </c>
      <c r="G3" s="52">
        <f>IFERROR(_xlfn.NORM.DIST(_xlfn.NORM.INV(SUM(G4:G5), 0, 1) + 1, 0, 1, TRUE) - SUM(G4:G5), "")</f>
        <v>0.36465663454219388</v>
      </c>
    </row>
    <row r="4" spans="1:15" ht="15.75" customHeight="1" x14ac:dyDescent="0.25">
      <c r="B4" s="5" t="s">
        <v>110</v>
      </c>
      <c r="C4" s="45">
        <v>0.1782513</v>
      </c>
      <c r="D4" s="53">
        <v>0.1782513</v>
      </c>
      <c r="E4" s="53">
        <v>0.19796159999999999</v>
      </c>
      <c r="F4" s="53">
        <v>0.30888330000000003</v>
      </c>
      <c r="G4" s="53">
        <v>0.28817120000000002</v>
      </c>
    </row>
    <row r="5" spans="1:15" ht="15.75" customHeight="1" x14ac:dyDescent="0.25">
      <c r="B5" s="5" t="s">
        <v>106</v>
      </c>
      <c r="C5" s="45">
        <v>7.5198700000000007E-2</v>
      </c>
      <c r="D5" s="53">
        <v>7.5198700000000007E-2</v>
      </c>
      <c r="E5" s="53">
        <v>9.0847200000000003E-2</v>
      </c>
      <c r="F5" s="53">
        <v>0.13775209999999999</v>
      </c>
      <c r="G5" s="53">
        <v>0.14279240000000001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0.70106104366323019</v>
      </c>
      <c r="D8" s="52">
        <f>IFERROR(1-_xlfn.NORM.DIST(_xlfn.NORM.INV(SUM(D10:D11), 0, 1) + 1, 0, 1, TRUE), "")</f>
        <v>0.70106104366323019</v>
      </c>
      <c r="E8" s="52">
        <f>IFERROR(1-_xlfn.NORM.DIST(_xlfn.NORM.INV(SUM(E10:E11), 0, 1) + 1, 0, 1, TRUE), "")</f>
        <v>0.65546271899326058</v>
      </c>
      <c r="F8" s="52">
        <f>IFERROR(1-_xlfn.NORM.DIST(_xlfn.NORM.INV(SUM(F10:F11), 0, 1) + 1, 0, 1, TRUE), "")</f>
        <v>0.63818750394628487</v>
      </c>
      <c r="G8" s="52">
        <f>IFERROR(1-_xlfn.NORM.DIST(_xlfn.NORM.INV(SUM(G10:G11), 0, 1) + 1, 0, 1, TRUE), "")</f>
        <v>0.68956019015790471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0.23561495633676979</v>
      </c>
      <c r="D9" s="52">
        <f>IFERROR(_xlfn.NORM.DIST(_xlfn.NORM.INV(SUM(D10:D11), 0, 1) + 1, 0, 1, TRUE) - SUM(D10:D11), "")</f>
        <v>0.23561495633676979</v>
      </c>
      <c r="E9" s="52">
        <f>IFERROR(_xlfn.NORM.DIST(_xlfn.NORM.INV(SUM(E10:E11), 0, 1) + 1, 0, 1, TRUE) - SUM(E10:E11), "")</f>
        <v>0.26379728100673938</v>
      </c>
      <c r="F9" s="52">
        <f>IFERROR(_xlfn.NORM.DIST(_xlfn.NORM.INV(SUM(F10:F11), 0, 1) + 1, 0, 1, TRUE) - SUM(F10:F11), "")</f>
        <v>0.27388339605371514</v>
      </c>
      <c r="G9" s="52">
        <f>IFERROR(_xlfn.NORM.DIST(_xlfn.NORM.INV(SUM(G10:G11), 0, 1) + 1, 0, 1, TRUE) - SUM(G10:G11), "")</f>
        <v>0.24293090984209531</v>
      </c>
    </row>
    <row r="10" spans="1:15" ht="15.75" customHeight="1" x14ac:dyDescent="0.25">
      <c r="B10" s="5" t="s">
        <v>107</v>
      </c>
      <c r="C10" s="45">
        <v>4.4328000000000013E-2</v>
      </c>
      <c r="D10" s="53">
        <v>4.4328000000000013E-2</v>
      </c>
      <c r="E10" s="53">
        <v>6.4751400000000001E-2</v>
      </c>
      <c r="F10" s="53">
        <v>7.2286900000000001E-2</v>
      </c>
      <c r="G10" s="53">
        <v>5.3947799999999997E-2</v>
      </c>
    </row>
    <row r="11" spans="1:15" ht="15.75" customHeight="1" x14ac:dyDescent="0.25">
      <c r="B11" s="5" t="s">
        <v>119</v>
      </c>
      <c r="C11" s="45">
        <v>1.8995999999999999E-2</v>
      </c>
      <c r="D11" s="53">
        <v>1.8995999999999999E-2</v>
      </c>
      <c r="E11" s="53">
        <v>1.5988599999999999E-2</v>
      </c>
      <c r="F11" s="53">
        <v>1.5642199999999998E-2</v>
      </c>
      <c r="G11" s="53">
        <v>1.35611E-2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0.78465574125000004</v>
      </c>
      <c r="D14" s="54">
        <v>0.77095435153199998</v>
      </c>
      <c r="E14" s="54">
        <v>0.77095435153199998</v>
      </c>
      <c r="F14" s="54">
        <v>0.43645716483000002</v>
      </c>
      <c r="G14" s="54">
        <v>0.43645716483000002</v>
      </c>
      <c r="H14" s="45">
        <v>0.35599999999999998</v>
      </c>
      <c r="I14" s="55">
        <v>0.35599999999999998</v>
      </c>
      <c r="J14" s="55">
        <v>0.35599999999999998</v>
      </c>
      <c r="K14" s="55">
        <v>0.35599999999999998</v>
      </c>
      <c r="L14" s="45">
        <v>0.37</v>
      </c>
      <c r="M14" s="55">
        <v>0.37</v>
      </c>
      <c r="N14" s="55">
        <v>0.37</v>
      </c>
      <c r="O14" s="55">
        <v>0.37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0.41316518848963502</v>
      </c>
      <c r="D15" s="52">
        <f t="shared" si="0"/>
        <v>0.40595063952528382</v>
      </c>
      <c r="E15" s="52">
        <f t="shared" si="0"/>
        <v>0.40595063952528382</v>
      </c>
      <c r="F15" s="52">
        <f t="shared" si="0"/>
        <v>0.2298191388842255</v>
      </c>
      <c r="G15" s="52">
        <f t="shared" si="0"/>
        <v>0.2298191388842255</v>
      </c>
      <c r="H15" s="52">
        <f t="shared" si="0"/>
        <v>0.18745393599999999</v>
      </c>
      <c r="I15" s="52">
        <f t="shared" si="0"/>
        <v>0.18745393599999999</v>
      </c>
      <c r="J15" s="52">
        <f t="shared" si="0"/>
        <v>0.18745393599999999</v>
      </c>
      <c r="K15" s="52">
        <f t="shared" si="0"/>
        <v>0.18745393599999999</v>
      </c>
      <c r="L15" s="52">
        <f t="shared" si="0"/>
        <v>0.19482572000000001</v>
      </c>
      <c r="M15" s="52">
        <f t="shared" si="0"/>
        <v>0.19482572000000001</v>
      </c>
      <c r="N15" s="52">
        <f t="shared" si="0"/>
        <v>0.19482572000000001</v>
      </c>
      <c r="O15" s="52">
        <f t="shared" si="0"/>
        <v>0.19482572000000001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4xszsFDqgloFHsVO1dy91dRnAvnRqikfFKDQjlvyABeJsLbw6ggGztc3Lcj9nHQS2xmW1iYGNBVboWa4GuyAg==" saltValue="NjhqAc1WWx7/oUYLx70e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0.78292569999999995</v>
      </c>
      <c r="D2" s="53">
        <v>0.49888320000000003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0.14835699999999999</v>
      </c>
      <c r="D3" s="53">
        <v>0.23214389999999999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3.6864300000000003E-2</v>
      </c>
      <c r="D4" s="53">
        <v>0.24762819999999999</v>
      </c>
      <c r="E4" s="53">
        <v>0.9764003</v>
      </c>
      <c r="F4" s="53">
        <v>0.79047749999999994</v>
      </c>
      <c r="G4" s="53">
        <v>0</v>
      </c>
    </row>
    <row r="5" spans="1:7" x14ac:dyDescent="0.25">
      <c r="B5" s="3" t="s">
        <v>125</v>
      </c>
      <c r="C5" s="52">
        <v>3.1852900000000003E-2</v>
      </c>
      <c r="D5" s="52">
        <v>2.1344700000000001E-2</v>
      </c>
      <c r="E5" s="52">
        <f>1-SUM(E2:E4)</f>
        <v>2.3599700000000001E-2</v>
      </c>
      <c r="F5" s="52">
        <f>1-SUM(F2:F4)</f>
        <v>0.20952250000000006</v>
      </c>
      <c r="G5" s="52">
        <f>1-SUM(G2:G4)</f>
        <v>1</v>
      </c>
    </row>
  </sheetData>
  <sheetProtection algorithmName="SHA-512" hashValue="OKEF9cQ18UKnmIxX+u9qdIOKBQ7i6NCoxlu0hMP01GUK6aPdmoSDDY6Og01Xue+enVbZgJIWKtQZxuF4Bl0S6Q==" saltValue="cnZTpUoxJfGd53/WZhJiR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KLrJ8kaWAuEiAxHNx4erXZiaSzJrfVMUogLoIvkxfTsDScUQDlxrhkmaOhju5P68S2zX9XDjWbiSo/sLThNng==" saltValue="/jBM7yrf6QfgjayqpSy1f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TovqWMVlL3+HcoXmOkcUvvbasEzOrITISuM9ALak4q0B/x9C0YLdShh/FvlvYH/t2i77atVbOIpMHjKyDK1FAA==" saltValue="j6xcuMdk1FjU37SJDWjBk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+GLD1MnfML/md8qDgnIO1RQaeJTIx5e518b+tT0y4yaib1MGR7Hw9YiNrOK548xLbnoymEtJUkS8vgdnyWnhAw==" saltValue="jG07Gqcwy9IspuHitbjb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D4UHMH8mk5/qjOPD0Q76MNCdYVzk8HIr744VNjmbud1ROFNfGawBlfxyDCWy8JAgtByJ3h9YS2GEzJkyJOPlg==" saltValue="Wh0CayYj1zzqNULZUrHw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75.462172087916926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19.380454267979939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3.478572535681232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0.12057311705742579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0.40394964285693302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0.20096420000000001</v>
      </c>
      <c r="C10" s="98">
        <v>0.95</v>
      </c>
      <c r="D10" s="56">
        <v>14.144906987123459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14.144906987123459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14.144906987123459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14.144906987123459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0.20096420000000001</v>
      </c>
      <c r="C14" s="98">
        <v>0.95</v>
      </c>
      <c r="D14" s="56">
        <v>14.144906987123459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14.144906987123459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0.53998999999999997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0.38100000000000001</v>
      </c>
      <c r="C18" s="98">
        <v>0.95</v>
      </c>
      <c r="D18" s="56">
        <v>3.478572535681232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0.49888320000000003</v>
      </c>
      <c r="C19" s="98">
        <v>0.95</v>
      </c>
      <c r="D19" s="56">
        <v>3.478572535681232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24.087514764837451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0.6758495000000001</v>
      </c>
      <c r="C23" s="98">
        <v>0.95</v>
      </c>
      <c r="D23" s="56">
        <v>4.6309332646724153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0.27543303141174003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2.9000000000000001E-2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3.872133661980933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0.19636580000000001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0.26000139999999999</v>
      </c>
      <c r="C29" s="98">
        <v>0.95</v>
      </c>
      <c r="D29" s="56">
        <v>48.649233418724378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1.37E-2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0.24</v>
      </c>
      <c r="C32" s="98">
        <v>0.95</v>
      </c>
      <c r="D32" s="56">
        <v>5.0782080812864692E-2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0.23435629999999999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0.34356619999999999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7.9883999999999997E-3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0.36189339999999998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6.2E-2</v>
      </c>
      <c r="C38" s="98">
        <v>0.95</v>
      </c>
      <c r="D38" s="56">
        <v>0.48242976772221458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KEt2d09LDMTlYDJ3XwMDxb4AazCDCgulq1prYPxonx9d+CzSuufmezpwISjL6/dmPNGkhyUHc+cbhRPsZLWMVA==" saltValue="XY/ocpx0zyIVfEKP18Iz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RYNW27DGUsky5+IZt3KWJq4+x6/GTSc33DHm6/n3IzXRl/fGvYR35XQC9/rUC72XIHwisR1rsrcTwrBe1jyyA==" saltValue="le8ckBepsSE++k+kiAI+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RbqSMu7rM9nVKfpEVCzEg3piJZFbrw6IFJnAPw62uAG7D0jOIuhBn2Quq29xSf2t6rHeWITux9UOj+A/eKvZ9g==" saltValue="Fm7Yjte2ARX9HYM5IV0w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0.11525280000000004</v>
      </c>
      <c r="C3" s="21">
        <f>frac_mam_1_5months * 2.6</f>
        <v>0.11525280000000004</v>
      </c>
      <c r="D3" s="21">
        <f>frac_mam_6_11months * 2.6</f>
        <v>0.16835364</v>
      </c>
      <c r="E3" s="21">
        <f>frac_mam_12_23months * 2.6</f>
        <v>0.18794594000000001</v>
      </c>
      <c r="F3" s="21">
        <f>frac_mam_24_59months * 2.6</f>
        <v>0.14026427999999999</v>
      </c>
    </row>
    <row r="4" spans="1:6" ht="15.75" customHeight="1" x14ac:dyDescent="0.25">
      <c r="A4" s="3" t="s">
        <v>207</v>
      </c>
      <c r="B4" s="21">
        <f>frac_sam_1month * 2.6</f>
        <v>4.9389599999999999E-2</v>
      </c>
      <c r="C4" s="21">
        <f>frac_sam_1_5months * 2.6</f>
        <v>4.9389599999999999E-2</v>
      </c>
      <c r="D4" s="21">
        <f>frac_sam_6_11months * 2.6</f>
        <v>4.1570360000000001E-2</v>
      </c>
      <c r="E4" s="21">
        <f>frac_sam_12_23months * 2.6</f>
        <v>4.0669719999999999E-2</v>
      </c>
      <c r="F4" s="21">
        <f>frac_sam_24_59months * 2.6</f>
        <v>3.5258860000000003E-2</v>
      </c>
    </row>
  </sheetData>
  <sheetProtection algorithmName="SHA-512" hashValue="puBzpE9EysIX3abuxOsWQDz1Y/rVVr5ZP7vspl2R1dbeSbqbBgCP47MS7DDDhC53rOMWexmJdvglmQ+JnTRpSg==" saltValue="rA9B3NjWDIEyAGnx9Xig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0.77599999999999991</v>
      </c>
      <c r="E2" s="60">
        <f>food_insecure</f>
        <v>0.77599999999999991</v>
      </c>
      <c r="F2" s="60">
        <f>food_insecure</f>
        <v>0.77599999999999991</v>
      </c>
      <c r="G2" s="60">
        <f>food_insecure</f>
        <v>0.77599999999999991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0.77599999999999991</v>
      </c>
      <c r="F5" s="60">
        <f>food_insecure</f>
        <v>0.77599999999999991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0.77599999999999991</v>
      </c>
      <c r="F8" s="60">
        <f>food_insecure</f>
        <v>0.77599999999999991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0.77599999999999991</v>
      </c>
      <c r="F9" s="60">
        <f>food_insecure</f>
        <v>0.77599999999999991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0.77599999999999991</v>
      </c>
      <c r="I15" s="60">
        <f>food_insecure</f>
        <v>0.77599999999999991</v>
      </c>
      <c r="J15" s="60">
        <f>food_insecure</f>
        <v>0.77599999999999991</v>
      </c>
      <c r="K15" s="60">
        <f>food_insecure</f>
        <v>0.77599999999999991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0.6</v>
      </c>
      <c r="I19" s="60">
        <f>frac_malaria_risk</f>
        <v>0.6</v>
      </c>
      <c r="J19" s="60">
        <f>frac_malaria_risk</f>
        <v>0.6</v>
      </c>
      <c r="K19" s="60">
        <f>frac_malaria_risk</f>
        <v>0.6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0.504</v>
      </c>
      <c r="M24" s="60">
        <f>famplan_unmet_need</f>
        <v>0.504</v>
      </c>
      <c r="N24" s="60">
        <f>famplan_unmet_need</f>
        <v>0.504</v>
      </c>
      <c r="O24" s="60">
        <f>famplan_unmet_need</f>
        <v>0.504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0.45519376607971179</v>
      </c>
      <c r="M25" s="60">
        <f>(1-food_insecure)*(0.49)+food_insecure*(0.7)</f>
        <v>0.65295999999999998</v>
      </c>
      <c r="N25" s="60">
        <f>(1-food_insecure)*(0.49)+food_insecure*(0.7)</f>
        <v>0.65295999999999998</v>
      </c>
      <c r="O25" s="60">
        <f>(1-food_insecure)*(0.49)+food_insecure*(0.7)</f>
        <v>0.65295999999999998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0.19508304260559076</v>
      </c>
      <c r="M26" s="60">
        <f>(1-food_insecure)*(0.21)+food_insecure*(0.3)</f>
        <v>0.27983999999999998</v>
      </c>
      <c r="N26" s="60">
        <f>(1-food_insecure)*(0.21)+food_insecure*(0.3)</f>
        <v>0.27983999999999998</v>
      </c>
      <c r="O26" s="60">
        <f>(1-food_insecure)*(0.21)+food_insecure*(0.3)</f>
        <v>0.27983999999999998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4.6846699768066415E-2</v>
      </c>
      <c r="M27" s="60">
        <f>(1-food_insecure)*(0.3)</f>
        <v>6.7200000000000024E-2</v>
      </c>
      <c r="N27" s="60">
        <f>(1-food_insecure)*(0.3)</f>
        <v>6.7200000000000024E-2</v>
      </c>
      <c r="O27" s="60">
        <f>(1-food_insecure)*(0.3)</f>
        <v>6.7200000000000024E-2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0.30287649154663099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0.6</v>
      </c>
      <c r="D34" s="60">
        <f t="shared" si="3"/>
        <v>0.6</v>
      </c>
      <c r="E34" s="60">
        <f t="shared" si="3"/>
        <v>0.6</v>
      </c>
      <c r="F34" s="60">
        <f t="shared" si="3"/>
        <v>0.6</v>
      </c>
      <c r="G34" s="60">
        <f t="shared" si="3"/>
        <v>0.6</v>
      </c>
      <c r="H34" s="60">
        <f t="shared" si="3"/>
        <v>0.6</v>
      </c>
      <c r="I34" s="60">
        <f t="shared" si="3"/>
        <v>0.6</v>
      </c>
      <c r="J34" s="60">
        <f t="shared" si="3"/>
        <v>0.6</v>
      </c>
      <c r="K34" s="60">
        <f t="shared" si="3"/>
        <v>0.6</v>
      </c>
      <c r="L34" s="60">
        <f t="shared" si="3"/>
        <v>0.6</v>
      </c>
      <c r="M34" s="60">
        <f t="shared" si="3"/>
        <v>0.6</v>
      </c>
      <c r="N34" s="60">
        <f t="shared" si="3"/>
        <v>0.6</v>
      </c>
      <c r="O34" s="60">
        <f t="shared" si="3"/>
        <v>0.6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tjL67PxfdLuJF+0Kt5rT5mfgzIx8rRnu9177zj+CBm+oBVWfGPDuzNJkfjpcCHggxNUsYfinkXedNkA/YegFA==" saltValue="HhqW4c6oXKG0J+v3YTc/b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mvja5G8njJg/iSUycLVMgGQgIUhqWeqdaPJup6KmExmnMfg/ECmXHOjFkanru9uEo68YZUF0mjcfFmlfTYrdxQ==" saltValue="0aM25hw50+wIBvo/3Ujl8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06rHF5wP7Qj3FUr0HP1gZ99ZUMlMUj3cqB7KqHn4XLAsInurNQPrMpVlQJ7E5OJA/rHfQ/P176fU14MMTbc6A==" saltValue="aOOqCBZgfmsa9jvb1G7B8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OrwkZ5Sne3lP7ILw45zDsWP1KhvJ8GqNGe830R9XyY28lirGL2afwDencVKk2vPzJtq2xV7moXcV4wyZ5OJuQ==" saltValue="6u4ZxSq1A+xR7pAPCYmE5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ns1Bwe2vqARRc0r9YYzHJi536x/K6uqZj0yUu8eL/SLJeIPb6RG6hqV/Yc9IVYWTzhvk2xPXzQqQ7oVZCF7Pg==" saltValue="QW4vst+yBTAiAJopryWp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P2zSxd+9suxC9fwdw8aAxu+6IevyAOAXjlKzK003JF45HZYIBsn4JTFhYDKEW2fOMkP8a0N8Jy2XbZSROae/A==" saltValue="H1w96a2y/pRagHNilW4V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wVWeOJhXYBUdsfihLMUibs94vUTvnz1jaEDf/xIAgTnWC+q/P04ixgnCr+hG/ke8rCy/dKK9LA6PujOvRfkyA==" saltValue="eM+f2TpvNrgSHDqTAlBg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7jEr6R5EaYJIMlPt+uaAkY6XQRpZf/9ei/pEzJ47H8IZ1oA1REuScbo71Y7Ls9QOo8whPabUjlU5pRqkIcHDg==" saltValue="cVz+d8zOwfP4YaGgd422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hhCyjo73R2c5Z3yXwroKTv8M1cGb7ztTU90Tq16q07s/7JwdTm5gcp+MHzwoqEmZcC0R4PPw6wa/gLc3Fxzsw==" saltValue="Ht+GqsApVwDFTNKfgR/H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bUQnTgjxuLjYCNBDEEPlAl3oiwrO9x1fVwSmR0/uYWXMuHJTzUfET0+mboKUh0FJGjXyRVGIcc//X88VQtrIQ==" saltValue="z3oPKw9vkdehRmm5I8sV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9SOit1eP6ky/oDsYCrFHdO4EUbgUEmkTn33hOBwaPihbNrxXIygZXcgtCOlGbVapNTCQ3d/OfhNaXLGmIvVEdw==" saltValue="NP+zaRI3q3aK6QhvKFEb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/WPyUlGpRxFf96kgRDnGUUUydhMuxIzxdwSW47i42KE4433mudvw4lNSFvSDOh/A9xT8ic0uVJa27t45Tcw1w==" saltValue="CHblSgrzz7tnpPuYMVq+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oZ3EEharvMVdjTx4vfwY4L3XT4orErVHTuKhDBqSv3WFNKU6oyCQnAEEy5NxdA3ExAZM6lyG3B01bHbK+2+yg==" saltValue="j+cU8MugMnblQBaqbqV6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0.10843195827288454</v>
      </c>
      <c r="G18" s="90">
        <f>MIN(MAX(1-0.89/(1-frac_sam_12_23months+(frac_sam_12_23months*0.89)),0),1)</f>
        <v>0.10846598913647965</v>
      </c>
      <c r="H18" s="90">
        <f>MIN(MAX(1-0.89/(1-frac_sam_24_59months+(frac_sam_24_59months*0.89)),0),1)</f>
        <v>0.10867038489522629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0.10361536237528379</v>
      </c>
      <c r="G20" s="90">
        <f>MIN(MAX(1-0.89/(1-frac_mam_12_23months+(frac_mam_12_23months*0.89)),0),1)</f>
        <v>0.10286638916254287</v>
      </c>
      <c r="H20" s="90">
        <f>MIN(MAX(1-0.89/(1-frac_mam_24_59months+(frac_mam_24_59months*0.89)),0),1)</f>
        <v>0.1046869815578052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9.8416875480552557E-3</v>
      </c>
      <c r="G73" s="90">
        <f>MIN(MAX(1-0.99/(1-frac_sam_12_23months+(frac_sam_12_23months*0.99)),0),1)</f>
        <v>9.8451179930466592E-3</v>
      </c>
      <c r="H73" s="90">
        <f>MIN(MAX(1-0.99/(1-frac_sam_24_59months+(frac_sam_24_59months*0.99)),0),1)</f>
        <v>9.8657269010907767E-3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9.3585457894183044E-3</v>
      </c>
      <c r="G75" s="90">
        <f>MIN(MAX(1-0.99/(1-frac_mam_12_23months+(frac_mam_12_23months*0.99)),0),1)</f>
        <v>9.2838420015838308E-3</v>
      </c>
      <c r="H75" s="90">
        <f>MIN(MAX(1-0.99/(1-frac_mam_24_59months+(frac_mam_24_59months*0.99)),0),1)</f>
        <v>9.4656284983311023E-3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0.19743361742711896</v>
      </c>
      <c r="G128" s="90">
        <f>MIN(MAX(1-0.8/(1-frac_sam_12_23months+(frac_sam_12_23months*0.8)),0),1)</f>
        <v>0.19748939371888585</v>
      </c>
      <c r="H128" s="90">
        <f>MIN(MAX(1-0.8/(1-frac_sam_24_59months+(frac_sam_24_59months*0.8)),0),1)</f>
        <v>0.19782432308555908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0.18950384789126928</v>
      </c>
      <c r="G130" s="90">
        <f>MIN(MAX(1-0.8/(1-frac_mam_12_23months+(frac_mam_12_23months*0.8)),0),1)</f>
        <v>0.18826443041093432</v>
      </c>
      <c r="H130" s="90">
        <f>MIN(MAX(1-0.8/(1-frac_mam_24_59months+(frac_mam_24_59months*0.8)),0),1)</f>
        <v>0.19127420450596944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s1rhM6qIXiYTL1nQkDdH8nGMfgBBXUXDj57Cq9FWejkDlMrC7nnuByDnKdsRRh8N2dgra3QR7QDaDWYX7mYPw==" saltValue="AOwUm07Gqye1E61nlReG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5LEl8iSmfQejRbW2xzht82euNl8FeyUiK23Tc4UkViXtY7468xVTbYyaA97JJ5UduPhE8TLHY4zMWwcfgVszA==" saltValue="BMKBmI7iATB6WPRUiOGC9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2024-08-06T07:57:30Z</dcterms:modified>
</cp:coreProperties>
</file>