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6D66BBA-9854-403B-B5B7-D06205527A79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<sst xmlns="http://schemas.openxmlformats.org/spreadsheetml/2006/main" count="2102" uniqueCount="341">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</sst>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4354785.1875</v>
      </c>
    </row>
    <row r="8" spans="1:3" ht="15" customHeight="1" x14ac:dyDescent="0.25">
      <c r="B8" s="5" t="s">
        <v>44</v>
      </c>
      <c r="C8" s="44">
        <v>0.77599999999999991</v>
      </c>
    </row>
    <row r="9" spans="1:3" ht="15" customHeight="1" x14ac:dyDescent="0.25">
      <c r="B9" s="5" t="s">
        <v>43</v>
      </c>
      <c r="C9" s="45">
        <v>0.6</v>
      </c>
    </row>
    <row r="10" spans="1:3" ht="15" customHeight="1" x14ac:dyDescent="0.25">
      <c r="B10" s="5" t="s">
        <v>56</v>
      </c>
      <c r="C10" s="45">
        <v>0.30287649154663099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0.504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0.13400000000000001</v>
      </c>
    </row>
    <row r="24" spans="1:3" ht="15" customHeight="1" x14ac:dyDescent="0.25">
      <c r="B24" s="15" t="s">
        <v>46</v>
      </c>
      <c r="C24" s="45">
        <v>0.50590000000000002</v>
      </c>
    </row>
    <row r="25" spans="1:3" ht="15" customHeight="1" x14ac:dyDescent="0.25">
      <c r="B25" s="15" t="s">
        <v>47</v>
      </c>
      <c r="C25" s="45">
        <v>0.29549999999999998</v>
      </c>
    </row>
    <row r="26" spans="1:3" ht="15" customHeight="1" x14ac:dyDescent="0.25">
      <c r="B26" s="15" t="s">
        <v>48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0.28578644131437603</v>
      </c>
    </row>
    <row r="30" spans="1:3" ht="14.25" customHeight="1" x14ac:dyDescent="0.25">
      <c r="B30" s="25" t="s">
        <v>63</v>
      </c>
      <c r="C30" s="99">
        <v>6.9844134891047002E-2</v>
      </c>
    </row>
    <row r="31" spans="1:3" ht="14.25" customHeight="1" x14ac:dyDescent="0.25">
      <c r="B31" s="25" t="s">
        <v>10</v>
      </c>
      <c r="C31" s="99">
        <v>8.7209546463448695E-2</v>
      </c>
    </row>
    <row r="32" spans="1:3" ht="14.25" customHeight="1" x14ac:dyDescent="0.25">
      <c r="B32" s="25" t="s">
        <v>11</v>
      </c>
      <c r="C32" s="99">
        <v>0.55715987733112793</v>
      </c>
    </row>
    <row r="33" spans="1:5" ht="13" customHeight="1" x14ac:dyDescent="0.25">
      <c r="B33" s="27" t="s">
        <v>60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24.115670000000001</v>
      </c>
    </row>
    <row r="38" spans="1:5" ht="15" customHeight="1" x14ac:dyDescent="0.25">
      <c r="B38" s="11" t="s">
        <v>35</v>
      </c>
      <c r="C38" s="43">
        <v>45.25882</v>
      </c>
      <c r="D38" s="12"/>
      <c r="E38" s="13"/>
    </row>
    <row r="39" spans="1:5" ht="15" customHeight="1" x14ac:dyDescent="0.25">
      <c r="B39" s="11" t="s">
        <v>61</v>
      </c>
      <c r="C39" s="43">
        <v>66.003</v>
      </c>
      <c r="D39" s="12"/>
      <c r="E39" s="12"/>
    </row>
    <row r="40" spans="1:5" ht="15" customHeight="1" x14ac:dyDescent="0.25">
      <c r="B40" s="11" t="s">
        <v>36</v>
      </c>
      <c r="C40" s="100">
        <v>3.92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7.9161000000000006E-3</v>
      </c>
      <c r="D45" s="12"/>
    </row>
    <row r="46" spans="1:5" ht="15.75" customHeight="1" x14ac:dyDescent="0.25">
      <c r="B46" s="11" t="s">
        <v>51</v>
      </c>
      <c r="C46" s="45">
        <v>8.5057899999999992E-2</v>
      </c>
      <c r="D46" s="12"/>
    </row>
    <row r="47" spans="1:5" ht="15.75" customHeight="1" x14ac:dyDescent="0.25">
      <c r="B47" s="11" t="s">
        <v>59</v>
      </c>
      <c r="C47" s="45">
        <v>7.3472599999999999E-2</v>
      </c>
      <c r="D47" s="12"/>
      <c r="E47" s="13"/>
    </row>
    <row r="48" spans="1:5" ht="15" customHeight="1" x14ac:dyDescent="0.25">
      <c r="B48" s="11" t="s">
        <v>58</v>
      </c>
      <c r="C48" s="46">
        <v>0.8335534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0.52655600000000002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0.17138204999999901</v>
      </c>
    </row>
    <row r="63" spans="1:4" ht="15.75" customHeight="1" x14ac:dyDescent="0.3">
      <c r="A63" s="4"/>
    </row>
  </sheetData>
  <sheetProtection algorithmName="SHA-512" hashValue="oPJ1zGm7k6eVBe+AGxnVF2XY53mTHOzT3iTxHb8j4g1xVY7+jMkBipNvawnldaTaf6gyEKOfS9Eugt1g4SpOcg==" saltValue="dBpx3hO3CDIgI2lPmlHN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927190</v>
      </c>
      <c r="C2" s="49">
        <v>2003918.5</v>
      </c>
      <c r="D2" s="49">
        <v>2754665.5</v>
      </c>
      <c r="E2" s="49">
        <v>1965655.5</v>
      </c>
      <c r="F2" s="49">
        <v>1229754.5</v>
      </c>
      <c r="G2" s="17">
        <f t="shared" ref="G2:G13" si="0">C2+D2+E2+F2</f>
        <v>7953994</v>
      </c>
      <c r="H2" s="17">
        <f t="shared" ref="H2:H13" si="1">(B2 + stillbirth*B2/(1000-stillbirth))/(1-abortion)</f>
        <v>1073334.7534103496</v>
      </c>
      <c r="I2" s="17">
        <f t="shared" ref="I2:I13" si="2">G2-H2</f>
        <v>6880659.2465896504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937701</v>
      </c>
      <c r="C3" s="50">
        <v>2045160.5</v>
      </c>
      <c r="D3" s="50">
        <v>2816849</v>
      </c>
      <c r="E3" s="50">
        <v>2043037</v>
      </c>
      <c r="F3" s="50">
        <v>1259247</v>
      </c>
      <c r="G3" s="17">
        <f t="shared" si="0"/>
        <v>8164293.5</v>
      </c>
      <c r="H3" s="17">
        <f t="shared" si="1"/>
        <v>1085502.5093105384</v>
      </c>
      <c r="I3" s="17">
        <f t="shared" si="2"/>
        <v>7078790.9906894621</v>
      </c>
    </row>
    <row r="4" spans="1:9" ht="15.75" customHeight="1" x14ac:dyDescent="0.25">
      <c r="A4" s="5">
        <f t="shared" si="3"/>
        <v>2026</v>
      </c>
      <c r="B4" s="49">
        <v>946788</v>
      </c>
      <c r="C4" s="50">
        <v>2079533</v>
      </c>
      <c r="D4" s="50">
        <v>2879054.5</v>
      </c>
      <c r="E4" s="50">
        <v>2123351.5</v>
      </c>
      <c r="F4" s="50">
        <v>1290745.5</v>
      </c>
      <c r="G4" s="17">
        <f t="shared" si="0"/>
        <v>8372684.5</v>
      </c>
      <c r="H4" s="17">
        <f t="shared" si="1"/>
        <v>1096021.8126941381</v>
      </c>
      <c r="I4" s="17">
        <f t="shared" si="2"/>
        <v>7276662.6873058621</v>
      </c>
    </row>
    <row r="5" spans="1:9" ht="15.75" customHeight="1" x14ac:dyDescent="0.25">
      <c r="A5" s="5">
        <f t="shared" si="3"/>
        <v>2027</v>
      </c>
      <c r="B5" s="49">
        <v>958349</v>
      </c>
      <c r="C5" s="50">
        <v>2108957</v>
      </c>
      <c r="D5" s="50">
        <v>2942505</v>
      </c>
      <c r="E5" s="50">
        <v>2204304</v>
      </c>
      <c r="F5" s="50">
        <v>1324112.5</v>
      </c>
      <c r="G5" s="17">
        <f t="shared" si="0"/>
        <v>8579878.5</v>
      </c>
      <c r="H5" s="17">
        <f t="shared" si="1"/>
        <v>1109405.0708010818</v>
      </c>
      <c r="I5" s="17">
        <f t="shared" si="2"/>
        <v>7470473.4291989179</v>
      </c>
    </row>
    <row r="6" spans="1:9" ht="15.75" customHeight="1" x14ac:dyDescent="0.25">
      <c r="A6" s="5">
        <f t="shared" si="3"/>
        <v>2028</v>
      </c>
      <c r="B6" s="49">
        <v>969625</v>
      </c>
      <c r="C6" s="50">
        <v>2134680</v>
      </c>
      <c r="D6" s="50">
        <v>3007941.5</v>
      </c>
      <c r="E6" s="50">
        <v>2283427.5</v>
      </c>
      <c r="F6" s="50">
        <v>1360507</v>
      </c>
      <c r="G6" s="17">
        <f t="shared" si="0"/>
        <v>8786556</v>
      </c>
      <c r="H6" s="17">
        <f t="shared" si="1"/>
        <v>1122458.4068804779</v>
      </c>
      <c r="I6" s="17">
        <f t="shared" si="2"/>
        <v>7664097.5931195226</v>
      </c>
    </row>
    <row r="7" spans="1:9" ht="15.75" customHeight="1" x14ac:dyDescent="0.25">
      <c r="A7" s="5">
        <f t="shared" si="3"/>
        <v>2029</v>
      </c>
      <c r="B7" s="49">
        <v>977745</v>
      </c>
      <c r="C7" s="50">
        <v>2157955.5</v>
      </c>
      <c r="D7" s="50">
        <v>3076177</v>
      </c>
      <c r="E7" s="50">
        <v>2360065</v>
      </c>
      <c r="F7" s="50">
        <v>1401253.5</v>
      </c>
      <c r="G7" s="17">
        <f t="shared" si="0"/>
        <v>8995451</v>
      </c>
      <c r="H7" s="17">
        <f t="shared" si="1"/>
        <v>1131858.2906127139</v>
      </c>
      <c r="I7" s="17">
        <f t="shared" si="2"/>
        <v>7863592.7093872856</v>
      </c>
    </row>
    <row r="8" spans="1:9" ht="15.75" customHeight="1" x14ac:dyDescent="0.25">
      <c r="A8" s="5">
        <f t="shared" si="3"/>
        <v>2030</v>
      </c>
      <c r="B8" s="49">
        <v>986067</v>
      </c>
      <c r="C8" s="50">
        <v>2183886</v>
      </c>
      <c r="D8" s="50">
        <v>3146394.5</v>
      </c>
      <c r="E8" s="50">
        <v>2432767.5</v>
      </c>
      <c r="F8" s="50">
        <v>1446639</v>
      </c>
      <c r="G8" s="17">
        <f t="shared" si="0"/>
        <v>9209687</v>
      </c>
      <c r="H8" s="17">
        <f t="shared" si="1"/>
        <v>1141492.0138171066</v>
      </c>
      <c r="I8" s="17">
        <f t="shared" si="2"/>
        <v>8068194.9861828936</v>
      </c>
    </row>
    <row r="9" spans="1:9" ht="15.75" customHeight="1" x14ac:dyDescent="0.25">
      <c r="A9" s="5">
        <f t="shared" si="3"/>
        <v>2031</v>
      </c>
      <c r="B9" s="49">
        <v>994660</v>
      </c>
      <c r="C9" s="50">
        <v>2216348.5</v>
      </c>
      <c r="D9" s="50">
        <v>3214493</v>
      </c>
      <c r="E9" s="50">
        <v>2502118.5</v>
      </c>
      <c r="F9" s="50">
        <v>1497634.5</v>
      </c>
      <c r="G9" s="17">
        <f t="shared" si="0"/>
        <v>9430594.5</v>
      </c>
      <c r="H9" s="17">
        <f t="shared" si="1"/>
        <v>1151439.4523529571</v>
      </c>
      <c r="I9" s="17">
        <f t="shared" si="2"/>
        <v>8279155.0476470431</v>
      </c>
    </row>
    <row r="10" spans="1:9" ht="15.75" customHeight="1" x14ac:dyDescent="0.25">
      <c r="A10" s="5">
        <f t="shared" si="3"/>
        <v>2032</v>
      </c>
      <c r="B10" s="49">
        <v>1002209</v>
      </c>
      <c r="C10" s="50">
        <v>2253927</v>
      </c>
      <c r="D10" s="50">
        <v>3278796.5</v>
      </c>
      <c r="E10" s="50">
        <v>2569322.5</v>
      </c>
      <c r="F10" s="50">
        <v>1553466.5</v>
      </c>
      <c r="G10" s="17">
        <f t="shared" si="0"/>
        <v>9655512.5</v>
      </c>
      <c r="H10" s="17">
        <f t="shared" si="1"/>
        <v>1160178.3344089487</v>
      </c>
      <c r="I10" s="17">
        <f t="shared" si="2"/>
        <v>8495334.1655910518</v>
      </c>
    </row>
    <row r="11" spans="1:9" ht="15.75" customHeight="1" x14ac:dyDescent="0.25">
      <c r="A11" s="5">
        <f t="shared" si="3"/>
        <v>2033</v>
      </c>
      <c r="B11" s="49">
        <v>1012090</v>
      </c>
      <c r="C11" s="50">
        <v>2294226</v>
      </c>
      <c r="D11" s="50">
        <v>3340565</v>
      </c>
      <c r="E11" s="50">
        <v>2634280</v>
      </c>
      <c r="F11" s="50">
        <v>1613104</v>
      </c>
      <c r="G11" s="17">
        <f t="shared" si="0"/>
        <v>9882175</v>
      </c>
      <c r="H11" s="17">
        <f t="shared" si="1"/>
        <v>1171616.7889850847</v>
      </c>
      <c r="I11" s="17">
        <f t="shared" si="2"/>
        <v>8710558.2110149153</v>
      </c>
    </row>
    <row r="12" spans="1:9" ht="15.75" customHeight="1" x14ac:dyDescent="0.25">
      <c r="A12" s="5">
        <f t="shared" si="3"/>
        <v>2034</v>
      </c>
      <c r="B12" s="49">
        <v>1016579</v>
      </c>
      <c r="C12" s="50">
        <v>2336697</v>
      </c>
      <c r="D12" s="50">
        <v>3399269.5</v>
      </c>
      <c r="E12" s="50">
        <v>2697623.5</v>
      </c>
      <c r="F12" s="50">
        <v>1676662</v>
      </c>
      <c r="G12" s="17">
        <f t="shared" si="0"/>
        <v>10110252</v>
      </c>
      <c r="H12" s="17">
        <f t="shared" si="1"/>
        <v>1176813.3503242482</v>
      </c>
      <c r="I12" s="17">
        <f t="shared" si="2"/>
        <v>8933438.6496757511</v>
      </c>
    </row>
    <row r="13" spans="1:9" ht="15.75" customHeight="1" x14ac:dyDescent="0.25">
      <c r="A13" s="5">
        <f t="shared" si="3"/>
        <v>2035</v>
      </c>
      <c r="B13" s="49">
        <v>1022598</v>
      </c>
      <c r="C13" s="50">
        <v>2379916.5</v>
      </c>
      <c r="D13" s="50">
        <v>3455477</v>
      </c>
      <c r="E13" s="50">
        <v>2759846.5</v>
      </c>
      <c r="F13" s="50">
        <v>1743809</v>
      </c>
      <c r="G13" s="17">
        <f t="shared" si="0"/>
        <v>10339049</v>
      </c>
      <c r="H13" s="17">
        <f t="shared" si="1"/>
        <v>1183781.0720218257</v>
      </c>
      <c r="I13" s="17">
        <f t="shared" si="2"/>
        <v>9155267.9279781748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6fOQwG99uNfWuBdQF+ubRamniJqF2kFxIUz00OXDPrNCqDxyGyDw8mOqMmG0/wUKfNXKRHpMhuZQY8UqlUnUQ==" saltValue="XPGXF4SUeQNYNR/6OvGVD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1.2181401218140131E-2</v>
      </c>
    </row>
    <row r="4" spans="1:8" ht="15.75" customHeight="1" x14ac:dyDescent="0.25">
      <c r="B4" s="19" t="s">
        <v>97</v>
      </c>
      <c r="C4" s="101">
        <v>7.1480107148010633E-2</v>
      </c>
    </row>
    <row r="5" spans="1:8" ht="15.75" customHeight="1" x14ac:dyDescent="0.25">
      <c r="B5" s="19" t="s">
        <v>95</v>
      </c>
      <c r="C5" s="101">
        <v>0.105523710552371</v>
      </c>
    </row>
    <row r="6" spans="1:8" ht="15.75" customHeight="1" x14ac:dyDescent="0.25">
      <c r="B6" s="19" t="s">
        <v>91</v>
      </c>
      <c r="C6" s="101">
        <v>0.25522302552230253</v>
      </c>
    </row>
    <row r="7" spans="1:8" ht="15.75" customHeight="1" x14ac:dyDescent="0.25">
      <c r="B7" s="19" t="s">
        <v>96</v>
      </c>
      <c r="C7" s="101">
        <v>0.37572243757224411</v>
      </c>
    </row>
    <row r="8" spans="1:8" ht="15.75" customHeight="1" x14ac:dyDescent="0.25">
      <c r="B8" s="19" t="s">
        <v>98</v>
      </c>
      <c r="C8" s="101">
        <v>3.1590003159000352E-3</v>
      </c>
    </row>
    <row r="9" spans="1:8" ht="15.75" customHeight="1" x14ac:dyDescent="0.25">
      <c r="B9" s="19" t="s">
        <v>92</v>
      </c>
      <c r="C9" s="101">
        <v>5.5272605527260543E-2</v>
      </c>
    </row>
    <row r="10" spans="1:8" ht="15.75" customHeight="1" x14ac:dyDescent="0.25">
      <c r="B10" s="19" t="s">
        <v>94</v>
      </c>
      <c r="C10" s="101">
        <v>0.1214377121437713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102</v>
      </c>
      <c r="C15" s="101">
        <v>0.1612690439744941</v>
      </c>
      <c r="D15" s="101">
        <v>0.1612690439744941</v>
      </c>
      <c r="E15" s="101">
        <v>0.1612690439744941</v>
      </c>
      <c r="F15" s="101">
        <v>0.1612690439744941</v>
      </c>
    </row>
    <row r="16" spans="1:8" ht="15.75" customHeight="1" x14ac:dyDescent="0.25">
      <c r="B16" s="19" t="s">
        <v>2</v>
      </c>
      <c r="C16" s="101">
        <v>2.05544624250979E-2</v>
      </c>
      <c r="D16" s="101">
        <v>2.05544624250979E-2</v>
      </c>
      <c r="E16" s="101">
        <v>2.05544624250979E-2</v>
      </c>
      <c r="F16" s="101">
        <v>2.05544624250979E-2</v>
      </c>
    </row>
    <row r="17" spans="1:8" ht="15.75" customHeight="1" x14ac:dyDescent="0.25">
      <c r="B17" s="19" t="s">
        <v>90</v>
      </c>
      <c r="C17" s="101">
        <v>0.38184603296141229</v>
      </c>
      <c r="D17" s="101">
        <v>0.38184603296141229</v>
      </c>
      <c r="E17" s="101">
        <v>0.38184603296141229</v>
      </c>
      <c r="F17" s="101">
        <v>0.38184603296141229</v>
      </c>
    </row>
    <row r="18" spans="1:8" ht="15.75" customHeight="1" x14ac:dyDescent="0.25">
      <c r="B18" s="19" t="s">
        <v>3</v>
      </c>
      <c r="C18" s="101">
        <v>5.4711808826019823E-2</v>
      </c>
      <c r="D18" s="101">
        <v>5.4711808826019823E-2</v>
      </c>
      <c r="E18" s="101">
        <v>5.4711808826019823E-2</v>
      </c>
      <c r="F18" s="101">
        <v>5.4711808826019823E-2</v>
      </c>
    </row>
    <row r="19" spans="1:8" ht="15.75" customHeight="1" x14ac:dyDescent="0.25">
      <c r="B19" s="19" t="s">
        <v>101</v>
      </c>
      <c r="C19" s="101">
        <v>3.0265539065716909E-2</v>
      </c>
      <c r="D19" s="101">
        <v>3.0265539065716909E-2</v>
      </c>
      <c r="E19" s="101">
        <v>3.0265539065716909E-2</v>
      </c>
      <c r="F19" s="101">
        <v>3.0265539065716909E-2</v>
      </c>
    </row>
    <row r="20" spans="1:8" ht="15.75" customHeight="1" x14ac:dyDescent="0.25">
      <c r="B20" s="19" t="s">
        <v>79</v>
      </c>
      <c r="C20" s="101">
        <v>1.0857241974918601E-2</v>
      </c>
      <c r="D20" s="101">
        <v>1.0857241974918601E-2</v>
      </c>
      <c r="E20" s="101">
        <v>1.0857241974918601E-2</v>
      </c>
      <c r="F20" s="101">
        <v>1.0857241974918601E-2</v>
      </c>
    </row>
    <row r="21" spans="1:8" ht="15.75" customHeight="1" x14ac:dyDescent="0.25">
      <c r="B21" s="19" t="s">
        <v>88</v>
      </c>
      <c r="C21" s="101">
        <v>6.308013052669835E-2</v>
      </c>
      <c r="D21" s="101">
        <v>6.308013052669835E-2</v>
      </c>
      <c r="E21" s="101">
        <v>6.308013052669835E-2</v>
      </c>
      <c r="F21" s="101">
        <v>6.308013052669835E-2</v>
      </c>
    </row>
    <row r="22" spans="1:8" ht="15.75" customHeight="1" x14ac:dyDescent="0.25">
      <c r="B22" s="19" t="s">
        <v>99</v>
      </c>
      <c r="C22" s="101">
        <v>0.15221765952411559</v>
      </c>
      <c r="D22" s="101">
        <v>0.15221765952411559</v>
      </c>
      <c r="E22" s="101">
        <v>0.15221765952411559</v>
      </c>
      <c r="F22" s="101">
        <v>0.15221765952411559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8.7985991E-2</v>
      </c>
    </row>
    <row r="27" spans="1:8" ht="15.75" customHeight="1" x14ac:dyDescent="0.25">
      <c r="B27" s="19" t="s">
        <v>89</v>
      </c>
      <c r="C27" s="101">
        <v>9.0154729999999995E-3</v>
      </c>
    </row>
    <row r="28" spans="1:8" ht="15.75" customHeight="1" x14ac:dyDescent="0.25">
      <c r="B28" s="19" t="s">
        <v>103</v>
      </c>
      <c r="C28" s="101">
        <v>0.15676572499999999</v>
      </c>
    </row>
    <row r="29" spans="1:8" ht="15.75" customHeight="1" x14ac:dyDescent="0.25">
      <c r="B29" s="19" t="s">
        <v>86</v>
      </c>
      <c r="C29" s="101">
        <v>0.168756885</v>
      </c>
    </row>
    <row r="30" spans="1:8" ht="15.75" customHeight="1" x14ac:dyDescent="0.25">
      <c r="B30" s="19" t="s">
        <v>4</v>
      </c>
      <c r="C30" s="101">
        <v>0.105851448</v>
      </c>
    </row>
    <row r="31" spans="1:8" ht="15.75" customHeight="1" x14ac:dyDescent="0.25">
      <c r="B31" s="19" t="s">
        <v>80</v>
      </c>
      <c r="C31" s="101">
        <v>0.11038854400000001</v>
      </c>
    </row>
    <row r="32" spans="1:8" ht="15.75" customHeight="1" x14ac:dyDescent="0.25">
      <c r="B32" s="19" t="s">
        <v>85</v>
      </c>
      <c r="C32" s="101">
        <v>1.8940327999999999E-2</v>
      </c>
    </row>
    <row r="33" spans="2:3" ht="15.75" customHeight="1" x14ac:dyDescent="0.25">
      <c r="B33" s="19" t="s">
        <v>100</v>
      </c>
      <c r="C33" s="101">
        <v>8.4923389999999987E-2</v>
      </c>
    </row>
    <row r="34" spans="2:3" ht="15.75" customHeight="1" x14ac:dyDescent="0.25">
      <c r="B34" s="19" t="s">
        <v>87</v>
      </c>
      <c r="C34" s="101">
        <v>0.25737221700000001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eTtAkFDU6trtEe6fJqHVUEXE8Hj5NaZHlWpXxA9n5xN9xzvw7Tvppz0ObPHYF0T731V7+2mSdClVohy7wz/4+A==" saltValue="fFf2/0vdetkmvUXHN3Xak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110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106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107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119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DYn8zaxfVEK8oQsNgF7d7ZV/LpkZECjhz+P5TGSaxVtA45wdxQ7gH56DsAWXcsuTjNuucRSZj/dVzeTvhLSbw==" saltValue="jzEMSzk6jpZnguQ7yooY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125</v>
      </c>
      <c r="C5" s="52">
        <v>3.1852900000000003E-2</v>
      </c>
      <c r="D5" s="52">
        <v>2.1344700000000001E-2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7U/ryV2mbM58MnIfLxjC8YAhBbVLVapxziXMG1DOgX1xwtLp0Y3CO9OVdpCmtnuGdkrTDgWgE+Vgk1X6MleyzA==" saltValue="CQhj/dOVuYkdXW1ag5pU7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mO+B0IkaK+7EL/SBTpH+o6wr+fTiq/k/9bEWFWbnVBFZSHDZDw0ajplXgeL6wuD6kAMPHBX2Poz/Jpr8EzzEA==" saltValue="3R2gQiMo4FRc+5SH+suHn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g4P2PSyRCc1eQdITxF+9SuCwEvM2XjWToeBguSTOSuIsDF7YpatRM8RuzJnKqnxwmVgg3oSsVrJ+MNMkVR18Jw==" saltValue="rw9j5bSLJP/fVaY+0+Bnn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3f7KCWo5FaKTYCotVD1TJGsQEakBESozWIltdKzIOl2WWZVZqCxNabwewBNeNtka9Ubk8IopN0z8d11kOPWB6g==" saltValue="zHQETWfqvXbBgQNBx7VX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6mH4A9Qq03ngsQPYCaXPsBXtKVeGOdlwtmVuS3XUFioAv5bbkWpZRydndpaCrJ4VI6fAFE9o0J9/8itJG6Hq1w==" saltValue="sUaaoLBmY7mjc1OGnZp6o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34.15932823545198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0.217244284915</v>
      </c>
      <c r="C3" s="98">
        <v>0.95</v>
      </c>
      <c r="D3" s="56">
        <v>44.619845118003099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40.174226962967943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0.12057311705742579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0.20096420000000001</v>
      </c>
      <c r="C10" s="98">
        <v>0.95</v>
      </c>
      <c r="D10" s="56">
        <v>14.144906987123459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0.20096420000000001</v>
      </c>
      <c r="C11" s="98">
        <v>0.95</v>
      </c>
      <c r="D11" s="56">
        <v>14.144906987123459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0.20096420000000001</v>
      </c>
      <c r="C12" s="98">
        <v>0.95</v>
      </c>
      <c r="D12" s="56">
        <v>14.144906987123459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0.20096420000000001</v>
      </c>
      <c r="C13" s="98">
        <v>0.95</v>
      </c>
      <c r="D13" s="56">
        <v>14.144906987123459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0.20096420000000001</v>
      </c>
      <c r="C14" s="98">
        <v>0.95</v>
      </c>
      <c r="D14" s="56">
        <v>14.144906987123459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0.20096420000000001</v>
      </c>
      <c r="C15" s="98">
        <v>0.95</v>
      </c>
      <c r="D15" s="56">
        <v>14.144906987123459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0.75</v>
      </c>
      <c r="C16" s="98">
        <v>0.95</v>
      </c>
      <c r="D16" s="56">
        <v>0.201186158790533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4.8506642621909998E-2</v>
      </c>
      <c r="C18" s="98">
        <v>0.95</v>
      </c>
      <c r="D18" s="56">
        <v>1.0387950708930269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0.1475428</v>
      </c>
      <c r="C19" s="98">
        <v>0.95</v>
      </c>
      <c r="D19" s="56">
        <v>1.0387950708930269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0.36189339999999998</v>
      </c>
      <c r="C21" s="98">
        <v>0.95</v>
      </c>
      <c r="D21" s="56">
        <v>0.97794835932458724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24.087514764837451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4.6309332646724153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0.36756734477292002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0.20096420000000001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20.45240587972765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0.28824549415100997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59.16814995082278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0.24</v>
      </c>
      <c r="C31" s="98">
        <v>0.95</v>
      </c>
      <c r="D31" s="56">
        <v>0.82917296352271452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0.36881327727825219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0.24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0.26000139999999999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0.19636580000000001</v>
      </c>
      <c r="C38" s="98">
        <v>0.95</v>
      </c>
      <c r="D38" s="56">
        <v>5.7015504682514626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cXVSBBvVZ5QdZqHIT8iUDyonCS1nANuosY43kBo/FE8Mum/0+8L2Zlp3AH6Tx6jJ4gTCBqTLwDCWaGDhsl3flQ==" saltValue="4/8Mbvwgvov/blwzinBH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OG+rvLVohUSaeXuXqWcgbXgzVFqvkBWkXkxcDQMZj+SH+oRnE348Kpy64gb6J2DwH5xrMMwL/t0N9T5hyGcXQ==" saltValue="bLWxOk5mx+ANFd+d05mp2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gz4QhcCUZbXYKPr7iLVf37TEXHAx9WFrGpkjviwH/DLc8+dYCoY6VSB+qUurUt7YoM5o5zICs/f7uZnXez3Rg==" saltValue="A0C0pqhjQQHHZ7AlNX6Wx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207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sheetProtection algorithmName="SHA-512" hashValue="0org9NCq3sa1qVwcatraCnIz0AIvA6as9E+mK0HlHm8h1/oG+i7Cyu3+umpie9qJOfBVCPKBSANSx7ugg6g4QQ==" saltValue="kiFy9tD0vl+H5PpkOjRkG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0.77599999999999991</v>
      </c>
      <c r="E2" s="60">
        <f>food_insecure</f>
        <v>0.77599999999999991</v>
      </c>
      <c r="F2" s="60">
        <f>food_insecure</f>
        <v>0.77599999999999991</v>
      </c>
      <c r="G2" s="60">
        <f>food_insecure</f>
        <v>0.77599999999999991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0.77599999999999991</v>
      </c>
      <c r="I15" s="60">
        <f>food_insecure</f>
        <v>0.77599999999999991</v>
      </c>
      <c r="J15" s="60">
        <f>food_insecure</f>
        <v>0.77599999999999991</v>
      </c>
      <c r="K15" s="60">
        <f>food_insecure</f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0.504</v>
      </c>
      <c r="M24" s="60">
        <f>famplan_unmet_need</f>
        <v>0.504</v>
      </c>
      <c r="N24" s="60">
        <f>famplan_unmet_need</f>
        <v>0.504</v>
      </c>
      <c r="O24" s="60">
        <f>famplan_unmet_need</f>
        <v>0.504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0.45519376607971179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0.19508304260559076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4.6846699768066415E-2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0.30287649154663099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0.6</v>
      </c>
      <c r="D34" s="60">
        <f t="shared" si="3"/>
        <v>0.6</v>
      </c>
      <c r="E34" s="60">
        <f t="shared" si="3"/>
        <v>0.6</v>
      </c>
      <c r="F34" s="60">
        <f t="shared" si="3"/>
        <v>0.6</v>
      </c>
      <c r="G34" s="60">
        <f t="shared" si="3"/>
        <v>0.6</v>
      </c>
      <c r="H34" s="60">
        <f t="shared" si="3"/>
        <v>0.6</v>
      </c>
      <c r="I34" s="60">
        <f t="shared" si="3"/>
        <v>0.6</v>
      </c>
      <c r="J34" s="60">
        <f t="shared" si="3"/>
        <v>0.6</v>
      </c>
      <c r="K34" s="60">
        <f t="shared" si="3"/>
        <v>0.6</v>
      </c>
      <c r="L34" s="60">
        <f t="shared" si="3"/>
        <v>0.6</v>
      </c>
      <c r="M34" s="60">
        <f t="shared" si="3"/>
        <v>0.6</v>
      </c>
      <c r="N34" s="60">
        <f t="shared" si="3"/>
        <v>0.6</v>
      </c>
      <c r="O34" s="60">
        <f t="shared" si="3"/>
        <v>0.6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CEkQxvx25fPaYJhKQX1DnyrrnV3AOMETcrNQcXnEW2yVee2IUZs/vxeA++PfS0W3f1iD9/IeccDS8c7HGgUDQ==" saltValue="HNBQvIUmbbc7MSeQSg2ey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tNW/20YpzP+0oob1SZncv5bJk9JQjUobruiOaXrvtuqstNXNtJqhP1wjAGWjD6OSfoJ/7aFRh2c7gm+a914zKg==" saltValue="xQQOHlWUiufmTKQUxsun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zGIZz8xEUU1hdT0e5O09ZNfBg80ZF/aNh9Wsjz+OH0ck32lk/i6AtrVyFIXN3+vupFNhzE7pmOyl7bVnT8LBg==" saltValue="fxUfp8zWo2NH+lvTY1xOO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1RLmCdDKGcwLCgSbf+WWXTOqnXL5G6XDxM68fMVftBeb9pFMbpCSAu2xRRzul/KWriY+0k2evCtSAKEUEn2AA==" saltValue="hGvohXKeep/HjM7GO7rLu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uRyp8IKw119MPRzg/RyVynryHsAJOjICAHnYb1xxV0B19wlnZ5cLAa5kK7cx6aCmtu0lgC5B9FTQRIFvCgteA==" saltValue="ZmzUkJ+jF/fG4R7AMSMJ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jHZ1Q9ZGEZ8NZiWdQ+eqlg/VQI5yJo8vsJlYxwYY5cmDLpdG0P31vbedxHPdgI15ancWB3/46AY8+oBZFpX+g==" saltValue="GZAnH1FpoXxlhYzuPa0Mz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+1wSb0lP0VAUSeSKNoX5xDy/QUQMx6SKabaz6Bep850nZkZ/zQd6RuGXU5fk+zeOgTnhfVt+OVxTKxbKrZQbRQ==" saltValue="LzsDMR3xHrUemqiKCqU71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Z20V5Fn/x5IOaMmmZ37t0vXMRfeSBkIEmAPNickdqG0d/dx+v7Zij+OyrKVkd35Y7BUsRGM10dLJU+B7ENSGQ==" saltValue="oQVwadLWhcYnJPUjNLSz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dfK/Cpj+aj8UdIzkVfoK4g70A89G7tKXToXFpl8PtsYUa+7+/ex6bRwT4a8RgqRPFlbgwG8G3O4SRyCoDLMLw==" saltValue="w/wqUP7NEJrx0v1yn3ER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GPgH9WqQZv65WQqQ0Cp0Q/Kq17L3MtYoVwdLaRmbI6QzcV/xwv7KfyA6L4ZE/dOWDErTmafJPyi5Flq22pu2iw==" saltValue="gRahHEiVqbSqX76Z6iW0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3gNY2171BXMCDu4m95leYVN3MKkCMZNhy/G8Quu9ba1ROHGgHOPklN8EbpHgPMVMMfrmlsVm0oJESe6X870pnA==" saltValue="QUD6JQkEBMleweq9pGNY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2ovPyExwh8UTGd6P0zccwApgMiPoD1m0bP5UdhsqK+dt3VbgegkBg1ZtlUvF+RwsMhEKzzdUF83C1WZFBppEA==" saltValue="czVyAEtRA6WQB9GjBPmk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M/FmgPpjbHnO63TTF8uLu4i54RKIHm5wRe42wWgNW+GNAaVBWWKoS/69Fu7lVlignupHjjnqSmyluf6o1XUrw==" saltValue="RX4Mx+8QPJxtACT40dJT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5rY6uZDe+6uVmng6Vj0wSh86oLPfDo5OtZgnf97sMwELsd8M04+pwLNDv6t71GF5ouhpmK9BY1zr/gXZIC4qoA==" saltValue="duVudMO0PJsUbpjEgVpx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DHmEkD0B/Fb6CrNgnFyST12TIGYthzXh90OP5LtUQQ8M6wqrHvlJ+958JJjHEolut/GTiLOvRVHz6ZJ+Vlvhg==" saltValue="qJefSKS8ZJVqpQJZIFPeY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2024-05-16T23:45:41Z</dcterms:modified>
</cp:coreProperties>
</file>