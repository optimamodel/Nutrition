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F810AB55-2A66-4439-B438-A7578C09ED73}" xr6:coauthVersionLast="47" xr6:coauthVersionMax="47" xr10:uidLastSave="{00000000-0000-0000-0000-000000000000}"/>
  <bookViews>
    <workbookView xWindow="-110" yWindow="-110" windowWidth="19420" windowHeight="10420" tabRatio="961" firstSheet="4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D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A31" i="2"/>
  <c r="H13" i="2"/>
  <c r="G13" i="2"/>
  <c r="I13" i="2" s="1"/>
  <c r="H12" i="2"/>
  <c r="G12" i="2"/>
  <c r="H11" i="2"/>
  <c r="G11" i="2"/>
  <c r="H10" i="2"/>
  <c r="G10" i="2"/>
  <c r="H9" i="2"/>
  <c r="G9" i="2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I9" i="2" l="1"/>
  <c r="I4" i="2"/>
  <c r="I8" i="2"/>
  <c r="I12" i="2"/>
  <c r="A25" i="2"/>
  <c r="A26" i="2"/>
  <c r="I39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<sst xmlns="http://schemas.openxmlformats.org/spreadsheetml/2006/main" count="2159" uniqueCount="372">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</sst>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4335257.5000000009</v>
      </c>
    </row>
    <row r="8" spans="1:3" ht="15" customHeight="1" x14ac:dyDescent="0.25">
      <c r="B8" s="5" t="s">
        <v>63</v>
      </c>
      <c r="C8" s="44">
        <v>0.77599999999999991</v>
      </c>
    </row>
    <row r="9" spans="1:3" ht="15" customHeight="1" x14ac:dyDescent="0.25">
      <c r="B9" s="5" t="s">
        <v>62</v>
      </c>
      <c r="C9" s="45">
        <v>0.6</v>
      </c>
    </row>
    <row r="10" spans="1:3" ht="15" customHeight="1" x14ac:dyDescent="0.25">
      <c r="B10" s="5" t="s">
        <v>75</v>
      </c>
      <c r="C10" s="45">
        <v>0.31031189999999997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0.14599999999999999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0.13400000000000001</v>
      </c>
    </row>
    <row r="24" spans="1:3" ht="15" customHeight="1" x14ac:dyDescent="0.25">
      <c r="B24" s="15" t="s">
        <v>65</v>
      </c>
      <c r="C24" s="45">
        <v>0.50590000000000002</v>
      </c>
    </row>
    <row r="25" spans="1:3" ht="15" customHeight="1" x14ac:dyDescent="0.25">
      <c r="B25" s="15" t="s">
        <v>66</v>
      </c>
      <c r="C25" s="45">
        <v>0.29549999999999998</v>
      </c>
    </row>
    <row r="26" spans="1:3" ht="15" customHeight="1" x14ac:dyDescent="0.25">
      <c r="B26" s="15" t="s">
        <v>67</v>
      </c>
      <c r="C26" s="45">
        <v>6.4600000000000005E-2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0.28578644131437603</v>
      </c>
    </row>
    <row r="30" spans="1:3" ht="14.25" customHeight="1" x14ac:dyDescent="0.25">
      <c r="B30" s="25" t="s">
        <v>82</v>
      </c>
      <c r="C30" s="99">
        <v>6.9844134891047002E-2</v>
      </c>
    </row>
    <row r="31" spans="1:3" ht="14.25" customHeight="1" x14ac:dyDescent="0.25">
      <c r="B31" s="25" t="s">
        <v>29</v>
      </c>
      <c r="C31" s="99">
        <v>8.7209546463448695E-2</v>
      </c>
    </row>
    <row r="32" spans="1:3" ht="14.25" customHeight="1" x14ac:dyDescent="0.25">
      <c r="B32" s="25" t="s">
        <v>30</v>
      </c>
      <c r="C32" s="99">
        <v>0.55715987733112793</v>
      </c>
    </row>
    <row r="33" spans="1:5" ht="13.25" customHeight="1" x14ac:dyDescent="0.25">
      <c r="B33" s="27" t="s">
        <v>79</v>
      </c>
      <c r="C33" s="48">
        <f>SUM(C29:C32)</f>
        <v>0.99999999999999967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24.115670000000001</v>
      </c>
    </row>
    <row r="38" spans="1:5" ht="15" customHeight="1" x14ac:dyDescent="0.25">
      <c r="B38" s="11" t="s">
        <v>54</v>
      </c>
      <c r="C38" s="43">
        <v>45.25882</v>
      </c>
      <c r="D38" s="12"/>
      <c r="E38" s="13"/>
    </row>
    <row r="39" spans="1:5" ht="15" customHeight="1" x14ac:dyDescent="0.25">
      <c r="B39" s="11" t="s">
        <v>80</v>
      </c>
      <c r="C39" s="43">
        <v>66.003</v>
      </c>
      <c r="D39" s="12"/>
      <c r="E39" s="12"/>
    </row>
    <row r="40" spans="1:5" ht="15" customHeight="1" x14ac:dyDescent="0.25">
      <c r="B40" s="11" t="s">
        <v>55</v>
      </c>
      <c r="C40" s="100">
        <v>3.92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18.363099999999999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7.9161000000000006E-3</v>
      </c>
      <c r="D45" s="12"/>
    </row>
    <row r="46" spans="1:5" ht="15.75" customHeight="1" x14ac:dyDescent="0.25">
      <c r="B46" s="11" t="s">
        <v>70</v>
      </c>
      <c r="C46" s="45">
        <v>8.5057899999999992E-2</v>
      </c>
      <c r="D46" s="12"/>
    </row>
    <row r="47" spans="1:5" ht="15.75" customHeight="1" x14ac:dyDescent="0.25">
      <c r="B47" s="11" t="s">
        <v>78</v>
      </c>
      <c r="C47" s="45">
        <v>7.3472599999999999E-2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2.0019999999999998</v>
      </c>
      <c r="D51" s="12"/>
    </row>
    <row r="52" spans="1:4" ht="15" customHeight="1" x14ac:dyDescent="0.25">
      <c r="B52" s="11" t="s">
        <v>32</v>
      </c>
      <c r="C52" s="100">
        <v>2.0019999999999998</v>
      </c>
    </row>
    <row r="53" spans="1:4" ht="15.75" customHeight="1" x14ac:dyDescent="0.25">
      <c r="B53" s="11" t="s">
        <v>35</v>
      </c>
      <c r="C53" s="100">
        <v>4.524</v>
      </c>
    </row>
    <row r="54" spans="1:4" ht="15.75" customHeight="1" x14ac:dyDescent="0.25">
      <c r="B54" s="11" t="s">
        <v>33</v>
      </c>
      <c r="C54" s="100">
        <v>3.9780000000000002</v>
      </c>
    </row>
    <row r="55" spans="1:4" ht="15.75" customHeight="1" x14ac:dyDescent="0.25">
      <c r="B55" s="11" t="s">
        <v>34</v>
      </c>
      <c r="C55" s="100">
        <v>1.5166666666666671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0.52655600000000002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0.18712120469999999</v>
      </c>
    </row>
    <row r="63" spans="1:4" ht="15.75" customHeight="1" x14ac:dyDescent="0.3">
      <c r="A63" s="4"/>
    </row>
  </sheetData>
  <sheetProtection algorithmName="SHA-512" hashValue="NAX/63/kbg2dSvG1hAV+LNExPANvqaLDdgZMlrprw+Iidpu9RDeudt6gkI7n7RgtcuCyASjfId3GUJcMy/yP6w==" saltValue="YQDRKixqPu/jqPE4giX3a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4717036</v>
      </c>
      <c r="C2" s="49">
        <v>1108252</v>
      </c>
      <c r="D2" s="49">
        <v>2048083</v>
      </c>
      <c r="E2" s="49">
        <v>3501255.5</v>
      </c>
      <c r="F2" s="49">
        <v>2839299</v>
      </c>
      <c r="G2" s="17">
        <f t="shared" ref="G2:G13" si="0">C2+D2+E2+F2</f>
        <v>9496889.5</v>
      </c>
      <c r="H2" s="17">
        <f t="shared" ref="H2:H13" si="1">(B2 + stillbirth*B2/(1000-stillbirth))/(1-abortion)</f>
        <v>5460540.6355630904</v>
      </c>
      <c r="I2" s="17">
        <f t="shared" ref="I2:I13" si="2">G2-H2</f>
        <v>4036348.8644369096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1013751</v>
      </c>
      <c r="C3" s="50">
        <v>1689273.5</v>
      </c>
      <c r="D3" s="50">
        <v>2853003</v>
      </c>
      <c r="E3" s="50">
        <v>1963261</v>
      </c>
      <c r="F3" s="50">
        <v>1400324</v>
      </c>
      <c r="G3" s="17">
        <f t="shared" si="0"/>
        <v>7905861.5</v>
      </c>
      <c r="H3" s="17">
        <f t="shared" si="1"/>
        <v>1173539.5977140556</v>
      </c>
      <c r="I3" s="17">
        <f t="shared" si="2"/>
        <v>6732321.9022859447</v>
      </c>
    </row>
    <row r="4" spans="1:9" ht="15.75" customHeight="1" x14ac:dyDescent="0.25">
      <c r="A4" s="5">
        <f t="shared" si="3"/>
        <v>2026</v>
      </c>
      <c r="B4" s="49">
        <v>1023320</v>
      </c>
      <c r="C4" s="50">
        <v>1728089.5</v>
      </c>
      <c r="D4" s="50">
        <v>2916805.0000000005</v>
      </c>
      <c r="E4" s="50">
        <v>2038939.5</v>
      </c>
      <c r="F4" s="50">
        <v>1438928.5</v>
      </c>
      <c r="G4" s="17">
        <f t="shared" si="0"/>
        <v>8122762.5</v>
      </c>
      <c r="H4" s="17">
        <f t="shared" si="1"/>
        <v>1184616.8744916134</v>
      </c>
      <c r="I4" s="17">
        <f t="shared" si="2"/>
        <v>6938145.6255083866</v>
      </c>
    </row>
    <row r="5" spans="1:9" ht="15.75" customHeight="1" x14ac:dyDescent="0.25">
      <c r="A5" s="5">
        <f t="shared" si="3"/>
        <v>2027</v>
      </c>
      <c r="B5" s="49">
        <v>1033723</v>
      </c>
      <c r="C5" s="50">
        <v>1763264</v>
      </c>
      <c r="D5" s="50">
        <v>2975900.4999999995</v>
      </c>
      <c r="E5" s="50">
        <v>2121549.5</v>
      </c>
      <c r="F5" s="50">
        <v>1477199</v>
      </c>
      <c r="G5" s="17">
        <f t="shared" si="0"/>
        <v>8337913</v>
      </c>
      <c r="H5" s="17">
        <f t="shared" si="1"/>
        <v>1196659.607307679</v>
      </c>
      <c r="I5" s="17">
        <f t="shared" si="2"/>
        <v>7141253.392692321</v>
      </c>
    </row>
    <row r="6" spans="1:9" ht="15.75" customHeight="1" x14ac:dyDescent="0.25">
      <c r="A6" s="5">
        <f t="shared" si="3"/>
        <v>2028</v>
      </c>
      <c r="B6" s="49">
        <v>1042914</v>
      </c>
      <c r="C6" s="50">
        <v>1792878</v>
      </c>
      <c r="D6" s="50">
        <v>3032283.9999999995</v>
      </c>
      <c r="E6" s="50">
        <v>2209831</v>
      </c>
      <c r="F6" s="50">
        <v>1515620</v>
      </c>
      <c r="G6" s="17">
        <f t="shared" si="0"/>
        <v>8550613</v>
      </c>
      <c r="H6" s="17">
        <f t="shared" si="1"/>
        <v>1207299.3032908048</v>
      </c>
      <c r="I6" s="17">
        <f t="shared" si="2"/>
        <v>7343313.6967091952</v>
      </c>
    </row>
    <row r="7" spans="1:9" ht="15.75" customHeight="1" x14ac:dyDescent="0.25">
      <c r="A7" s="5">
        <f t="shared" si="3"/>
        <v>2029</v>
      </c>
      <c r="B7" s="49">
        <v>1051289</v>
      </c>
      <c r="C7" s="50">
        <v>1818644.5</v>
      </c>
      <c r="D7" s="50">
        <v>3087947.5</v>
      </c>
      <c r="E7" s="50">
        <v>2300742</v>
      </c>
      <c r="F7" s="50">
        <v>1556188.9999999998</v>
      </c>
      <c r="G7" s="17">
        <f t="shared" si="0"/>
        <v>8763523</v>
      </c>
      <c r="H7" s="17">
        <f t="shared" si="1"/>
        <v>1216994.3804161099</v>
      </c>
      <c r="I7" s="17">
        <f t="shared" si="2"/>
        <v>7546528.6195838898</v>
      </c>
    </row>
    <row r="8" spans="1:9" ht="15.75" customHeight="1" x14ac:dyDescent="0.25">
      <c r="A8" s="5">
        <f t="shared" si="3"/>
        <v>2030</v>
      </c>
      <c r="B8" s="49">
        <v>1059649</v>
      </c>
      <c r="C8" s="50">
        <v>1840783.5</v>
      </c>
      <c r="D8" s="50">
        <v>3145892</v>
      </c>
      <c r="E8" s="50">
        <v>2390960.5</v>
      </c>
      <c r="F8" s="50">
        <v>1599925.0000000002</v>
      </c>
      <c r="G8" s="17">
        <f t="shared" si="0"/>
        <v>8977561</v>
      </c>
      <c r="H8" s="17">
        <f t="shared" si="1"/>
        <v>1226672.0932241757</v>
      </c>
      <c r="I8" s="17">
        <f t="shared" si="2"/>
        <v>7750888.9067758247</v>
      </c>
    </row>
    <row r="9" spans="1:9" ht="15.75" customHeight="1" x14ac:dyDescent="0.25">
      <c r="A9" s="5">
        <f t="shared" si="3"/>
        <v>2031</v>
      </c>
      <c r="B9" s="49">
        <v>1068175</v>
      </c>
      <c r="C9" s="50">
        <v>1861104</v>
      </c>
      <c r="D9" s="50">
        <v>3206882.5</v>
      </c>
      <c r="E9" s="50">
        <v>2476861.5</v>
      </c>
      <c r="F9" s="50">
        <v>1648066.5</v>
      </c>
      <c r="G9" s="17">
        <f t="shared" si="0"/>
        <v>9192914.5</v>
      </c>
      <c r="H9" s="17">
        <f t="shared" si="1"/>
        <v>1236541.9711430236</v>
      </c>
      <c r="I9" s="17">
        <f t="shared" si="2"/>
        <v>7956372.528856976</v>
      </c>
    </row>
    <row r="10" spans="1:9" ht="15.75" customHeight="1" x14ac:dyDescent="0.25">
      <c r="A10" s="5">
        <f t="shared" si="3"/>
        <v>2032</v>
      </c>
      <c r="B10" s="49">
        <v>1076930</v>
      </c>
      <c r="C10" s="50">
        <v>1885846</v>
      </c>
      <c r="D10" s="50">
        <v>3266865.5</v>
      </c>
      <c r="E10" s="50">
        <v>2557978</v>
      </c>
      <c r="F10" s="50">
        <v>1701387.5</v>
      </c>
      <c r="G10" s="17">
        <f t="shared" si="0"/>
        <v>9412077</v>
      </c>
      <c r="H10" s="17">
        <f t="shared" si="1"/>
        <v>1246676.944305059</v>
      </c>
      <c r="I10" s="17">
        <f t="shared" si="2"/>
        <v>8165400.0556949414</v>
      </c>
    </row>
    <row r="11" spans="1:9" ht="15.75" customHeight="1" x14ac:dyDescent="0.25">
      <c r="A11" s="5">
        <f t="shared" si="3"/>
        <v>2033</v>
      </c>
      <c r="B11" s="49">
        <v>1083649</v>
      </c>
      <c r="C11" s="50">
        <v>1917984</v>
      </c>
      <c r="D11" s="50">
        <v>3324989.5</v>
      </c>
      <c r="E11" s="50">
        <v>2635129.5</v>
      </c>
      <c r="F11" s="50">
        <v>1759103</v>
      </c>
      <c r="G11" s="17">
        <f t="shared" si="0"/>
        <v>9637206</v>
      </c>
      <c r="H11" s="17">
        <f t="shared" si="1"/>
        <v>1254455.0008071398</v>
      </c>
      <c r="I11" s="17">
        <f t="shared" si="2"/>
        <v>8382750.99919286</v>
      </c>
    </row>
    <row r="12" spans="1:9" ht="15.75" customHeight="1" x14ac:dyDescent="0.25">
      <c r="A12" s="5">
        <f t="shared" si="3"/>
        <v>2034</v>
      </c>
      <c r="B12" s="49">
        <v>1091296</v>
      </c>
      <c r="C12" s="50">
        <v>1956371</v>
      </c>
      <c r="D12" s="50">
        <v>3383741.5</v>
      </c>
      <c r="E12" s="50">
        <v>2707797</v>
      </c>
      <c r="F12" s="50">
        <v>1821539</v>
      </c>
      <c r="G12" s="17">
        <f t="shared" si="0"/>
        <v>9869448.5</v>
      </c>
      <c r="H12" s="17">
        <f t="shared" si="1"/>
        <v>1263307.3297357617</v>
      </c>
      <c r="I12" s="17">
        <f t="shared" si="2"/>
        <v>8606141.1702642385</v>
      </c>
    </row>
    <row r="13" spans="1:9" ht="15.75" customHeight="1" x14ac:dyDescent="0.25">
      <c r="A13" s="5">
        <f t="shared" si="3"/>
        <v>2035</v>
      </c>
      <c r="B13" s="49">
        <v>1099269</v>
      </c>
      <c r="C13" s="50">
        <v>2000299</v>
      </c>
      <c r="D13" s="50">
        <v>3442757</v>
      </c>
      <c r="E13" s="50">
        <v>2775911.5</v>
      </c>
      <c r="F13" s="50">
        <v>1889556.5</v>
      </c>
      <c r="G13" s="17">
        <f t="shared" si="0"/>
        <v>10108524</v>
      </c>
      <c r="H13" s="17">
        <f t="shared" si="1"/>
        <v>1272537.043159052</v>
      </c>
      <c r="I13" s="17">
        <f t="shared" si="2"/>
        <v>8835986.9568409473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8kE0byCmzBNWtHWJzLfiHEqu5WJnqpHx1I0VWkWK3k1GO4NlKfSi/nnPCmwFogHHAKpdyp+KHL0D9BmOAp2/wA==" saltValue="cKmfm56feNDJ5HnF83KCk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1.2181401218140131E-2</v>
      </c>
    </row>
    <row r="4" spans="1:8" ht="15.75" customHeight="1" x14ac:dyDescent="0.25">
      <c r="B4" s="19" t="s">
        <v>116</v>
      </c>
      <c r="C4" s="101">
        <v>7.1480107148010633E-2</v>
      </c>
    </row>
    <row r="5" spans="1:8" ht="15.75" customHeight="1" x14ac:dyDescent="0.25">
      <c r="B5" s="19" t="s">
        <v>114</v>
      </c>
      <c r="C5" s="101">
        <v>0.105523710552371</v>
      </c>
    </row>
    <row r="6" spans="1:8" ht="15.75" customHeight="1" x14ac:dyDescent="0.25">
      <c r="B6" s="19" t="s">
        <v>110</v>
      </c>
      <c r="C6" s="101">
        <v>0.25522302552230253</v>
      </c>
    </row>
    <row r="7" spans="1:8" ht="15.75" customHeight="1" x14ac:dyDescent="0.25">
      <c r="B7" s="19" t="s">
        <v>115</v>
      </c>
      <c r="C7" s="101">
        <v>0.37572243757224411</v>
      </c>
    </row>
    <row r="8" spans="1:8" ht="15.75" customHeight="1" x14ac:dyDescent="0.25">
      <c r="B8" s="19" t="s">
        <v>117</v>
      </c>
      <c r="C8" s="101">
        <v>3.1590003159000352E-3</v>
      </c>
    </row>
    <row r="9" spans="1:8" ht="15.75" customHeight="1" x14ac:dyDescent="0.25">
      <c r="B9" s="19" t="s">
        <v>111</v>
      </c>
      <c r="C9" s="101">
        <v>5.5272605527260543E-2</v>
      </c>
    </row>
    <row r="10" spans="1:8" ht="15.75" customHeight="1" x14ac:dyDescent="0.25">
      <c r="B10" s="19" t="s">
        <v>113</v>
      </c>
      <c r="C10" s="101">
        <v>0.1214377121437713</v>
      </c>
    </row>
    <row r="11" spans="1:8" ht="15.75" customHeight="1" x14ac:dyDescent="0.25">
      <c r="B11" s="27" t="s">
        <v>79</v>
      </c>
      <c r="C11" s="48">
        <f>SUM(C3:C10)</f>
        <v>1.0000000000000002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0.12519808072152641</v>
      </c>
      <c r="D14" s="55">
        <v>0.12519808072152641</v>
      </c>
      <c r="E14" s="55">
        <v>0.12519808072152641</v>
      </c>
      <c r="F14" s="55">
        <v>0.12519808072152641</v>
      </c>
    </row>
    <row r="15" spans="1:8" ht="15.75" customHeight="1" x14ac:dyDescent="0.25">
      <c r="B15" s="19" t="s">
        <v>121</v>
      </c>
      <c r="C15" s="101">
        <v>0.1612690439744941</v>
      </c>
      <c r="D15" s="101">
        <v>0.1612690439744941</v>
      </c>
      <c r="E15" s="101">
        <v>0.1612690439744941</v>
      </c>
      <c r="F15" s="101">
        <v>0.1612690439744941</v>
      </c>
    </row>
    <row r="16" spans="1:8" ht="15.75" customHeight="1" x14ac:dyDescent="0.25">
      <c r="B16" s="19" t="s">
        <v>2</v>
      </c>
      <c r="C16" s="101">
        <v>2.05544624250979E-2</v>
      </c>
      <c r="D16" s="101">
        <v>2.05544624250979E-2</v>
      </c>
      <c r="E16" s="101">
        <v>2.05544624250979E-2</v>
      </c>
      <c r="F16" s="101">
        <v>2.05544624250979E-2</v>
      </c>
    </row>
    <row r="17" spans="1:8" ht="15.75" customHeight="1" x14ac:dyDescent="0.25">
      <c r="B17" s="19" t="s">
        <v>109</v>
      </c>
      <c r="C17" s="101">
        <v>0.38184603296141229</v>
      </c>
      <c r="D17" s="101">
        <v>0.38184603296141229</v>
      </c>
      <c r="E17" s="101">
        <v>0.38184603296141229</v>
      </c>
      <c r="F17" s="101">
        <v>0.38184603296141229</v>
      </c>
    </row>
    <row r="18" spans="1:8" ht="15.75" customHeight="1" x14ac:dyDescent="0.25">
      <c r="B18" s="19" t="s">
        <v>3</v>
      </c>
      <c r="C18" s="101">
        <v>5.4711808826019823E-2</v>
      </c>
      <c r="D18" s="101">
        <v>5.4711808826019823E-2</v>
      </c>
      <c r="E18" s="101">
        <v>5.4711808826019823E-2</v>
      </c>
      <c r="F18" s="101">
        <v>5.4711808826019823E-2</v>
      </c>
    </row>
    <row r="19" spans="1:8" ht="15.75" customHeight="1" x14ac:dyDescent="0.25">
      <c r="B19" s="19" t="s">
        <v>120</v>
      </c>
      <c r="C19" s="101">
        <v>3.0265539065716909E-2</v>
      </c>
      <c r="D19" s="101">
        <v>3.0265539065716909E-2</v>
      </c>
      <c r="E19" s="101">
        <v>3.0265539065716909E-2</v>
      </c>
      <c r="F19" s="101">
        <v>3.0265539065716909E-2</v>
      </c>
    </row>
    <row r="20" spans="1:8" ht="15.75" customHeight="1" x14ac:dyDescent="0.25">
      <c r="B20" s="19" t="s">
        <v>98</v>
      </c>
      <c r="C20" s="101">
        <v>1.0857241974918601E-2</v>
      </c>
      <c r="D20" s="101">
        <v>1.0857241974918601E-2</v>
      </c>
      <c r="E20" s="101">
        <v>1.0857241974918601E-2</v>
      </c>
      <c r="F20" s="101">
        <v>1.0857241974918601E-2</v>
      </c>
    </row>
    <row r="21" spans="1:8" ht="15.75" customHeight="1" x14ac:dyDescent="0.25">
      <c r="B21" s="19" t="s">
        <v>107</v>
      </c>
      <c r="C21" s="101">
        <v>6.308013052669835E-2</v>
      </c>
      <c r="D21" s="101">
        <v>6.308013052669835E-2</v>
      </c>
      <c r="E21" s="101">
        <v>6.308013052669835E-2</v>
      </c>
      <c r="F21" s="101">
        <v>6.308013052669835E-2</v>
      </c>
    </row>
    <row r="22" spans="1:8" ht="15.75" customHeight="1" x14ac:dyDescent="0.25">
      <c r="B22" s="19" t="s">
        <v>118</v>
      </c>
      <c r="C22" s="101">
        <v>0.15221765952411559</v>
      </c>
      <c r="D22" s="101">
        <v>0.15221765952411559</v>
      </c>
      <c r="E22" s="101">
        <v>0.15221765952411559</v>
      </c>
      <c r="F22" s="101">
        <v>0.15221765952411559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8.7985991E-2</v>
      </c>
    </row>
    <row r="27" spans="1:8" ht="15.75" customHeight="1" x14ac:dyDescent="0.25">
      <c r="B27" s="19" t="s">
        <v>108</v>
      </c>
      <c r="C27" s="101">
        <v>9.0154729999999995E-3</v>
      </c>
    </row>
    <row r="28" spans="1:8" ht="15.75" customHeight="1" x14ac:dyDescent="0.25">
      <c r="B28" s="19" t="s">
        <v>122</v>
      </c>
      <c r="C28" s="101">
        <v>0.15676572499999999</v>
      </c>
    </row>
    <row r="29" spans="1:8" ht="15.75" customHeight="1" x14ac:dyDescent="0.25">
      <c r="B29" s="19" t="s">
        <v>105</v>
      </c>
      <c r="C29" s="101">
        <v>0.168756885</v>
      </c>
    </row>
    <row r="30" spans="1:8" ht="15.75" customHeight="1" x14ac:dyDescent="0.25">
      <c r="B30" s="19" t="s">
        <v>4</v>
      </c>
      <c r="C30" s="101">
        <v>0.105851448</v>
      </c>
    </row>
    <row r="31" spans="1:8" ht="15.75" customHeight="1" x14ac:dyDescent="0.25">
      <c r="B31" s="19" t="s">
        <v>99</v>
      </c>
      <c r="C31" s="101">
        <v>0.11038854400000001</v>
      </c>
    </row>
    <row r="32" spans="1:8" ht="15.75" customHeight="1" x14ac:dyDescent="0.25">
      <c r="B32" s="19" t="s">
        <v>104</v>
      </c>
      <c r="C32" s="101">
        <v>1.8940327999999999E-2</v>
      </c>
    </row>
    <row r="33" spans="2:3" ht="15.75" customHeight="1" x14ac:dyDescent="0.25">
      <c r="B33" s="19" t="s">
        <v>119</v>
      </c>
      <c r="C33" s="101">
        <v>8.4923389999999987E-2</v>
      </c>
    </row>
    <row r="34" spans="2:3" ht="15.75" customHeight="1" x14ac:dyDescent="0.25">
      <c r="B34" s="19" t="s">
        <v>106</v>
      </c>
      <c r="C34" s="101">
        <v>0.25737221700000001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QeMV5yYs3af49iA4u7o8ie73RUNq8pfWXuJrouBuhHFYXH7ZT56l13BugT4dxnDBOh3oxm16T1vTmryNCgIh+Q==" saltValue="x20q2J4MM+veHtNMG/olL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0.36831192422814019</v>
      </c>
      <c r="D2" s="52">
        <f>IFERROR(1-_xlfn.NORM.DIST(_xlfn.NORM.INV(SUM(D4:D5), 0, 1) + 1, 0, 1, TRUE), "")</f>
        <v>0.36831192422814019</v>
      </c>
      <c r="E2" s="52">
        <f>IFERROR(1-_xlfn.NORM.DIST(_xlfn.NORM.INV(SUM(E4:E5), 0, 1) + 1, 0, 1, TRUE), "")</f>
        <v>0.32883514057661167</v>
      </c>
      <c r="F2" s="52">
        <f>IFERROR(1-_xlfn.NORM.DIST(_xlfn.NORM.INV(SUM(F4:F5), 0, 1) + 1, 0, 1, TRUE), "")</f>
        <v>0.1932907776715993</v>
      </c>
      <c r="G2" s="52">
        <f>IFERROR(1-_xlfn.NORM.DIST(_xlfn.NORM.INV(SUM(G4:G5), 0, 1) + 1, 0, 1, TRUE), "")</f>
        <v>0.20437976545780612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0.37823807577185981</v>
      </c>
      <c r="D3" s="52">
        <f>IFERROR(_xlfn.NORM.DIST(_xlfn.NORM.INV(SUM(D4:D5), 0, 1) + 1, 0, 1, TRUE) - SUM(D4:D5), "")</f>
        <v>0.37823807577185981</v>
      </c>
      <c r="E3" s="52">
        <f>IFERROR(_xlfn.NORM.DIST(_xlfn.NORM.INV(SUM(E4:E5), 0, 1) + 1, 0, 1, TRUE) - SUM(E4:E5), "")</f>
        <v>0.38235605942338835</v>
      </c>
      <c r="F3" s="52">
        <f>IFERROR(_xlfn.NORM.DIST(_xlfn.NORM.INV(SUM(F4:F5), 0, 1) + 1, 0, 1, TRUE) - SUM(F4:F5), "")</f>
        <v>0.36007382232840068</v>
      </c>
      <c r="G3" s="52">
        <f>IFERROR(_xlfn.NORM.DIST(_xlfn.NORM.INV(SUM(G4:G5), 0, 1) + 1, 0, 1, TRUE) - SUM(G4:G5), "")</f>
        <v>0.36465663454219388</v>
      </c>
    </row>
    <row r="4" spans="1:15" ht="15.75" customHeight="1" x14ac:dyDescent="0.25">
      <c r="B4" s="5" t="s">
        <v>129</v>
      </c>
      <c r="C4" s="45">
        <v>0.1782513</v>
      </c>
      <c r="D4" s="53">
        <v>0.1782513</v>
      </c>
      <c r="E4" s="53">
        <v>0.19796159999999999</v>
      </c>
      <c r="F4" s="53">
        <v>0.30888330000000003</v>
      </c>
      <c r="G4" s="53">
        <v>0.28817120000000002</v>
      </c>
    </row>
    <row r="5" spans="1:15" ht="15.75" customHeight="1" x14ac:dyDescent="0.25">
      <c r="B5" s="5" t="s">
        <v>125</v>
      </c>
      <c r="C5" s="45">
        <v>7.5198700000000007E-2</v>
      </c>
      <c r="D5" s="53">
        <v>7.5198700000000007E-2</v>
      </c>
      <c r="E5" s="53">
        <v>9.0847200000000003E-2</v>
      </c>
      <c r="F5" s="53">
        <v>0.13775209999999999</v>
      </c>
      <c r="G5" s="53">
        <v>0.14279240000000001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0.70106104366323019</v>
      </c>
      <c r="D8" s="52">
        <f>IFERROR(1-_xlfn.NORM.DIST(_xlfn.NORM.INV(SUM(D10:D11), 0, 1) + 1, 0, 1, TRUE), "")</f>
        <v>0.70106104366323019</v>
      </c>
      <c r="E8" s="52">
        <f>IFERROR(1-_xlfn.NORM.DIST(_xlfn.NORM.INV(SUM(E10:E11), 0, 1) + 1, 0, 1, TRUE), "")</f>
        <v>0.65546271899326058</v>
      </c>
      <c r="F8" s="52">
        <f>IFERROR(1-_xlfn.NORM.DIST(_xlfn.NORM.INV(SUM(F10:F11), 0, 1) + 1, 0, 1, TRUE), "")</f>
        <v>0.63818750394628487</v>
      </c>
      <c r="G8" s="52">
        <f>IFERROR(1-_xlfn.NORM.DIST(_xlfn.NORM.INV(SUM(G10:G11), 0, 1) + 1, 0, 1, TRUE), "")</f>
        <v>0.68956019015790471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0.23561495633676979</v>
      </c>
      <c r="D9" s="52">
        <f>IFERROR(_xlfn.NORM.DIST(_xlfn.NORM.INV(SUM(D10:D11), 0, 1) + 1, 0, 1, TRUE) - SUM(D10:D11), "")</f>
        <v>0.23561495633676979</v>
      </c>
      <c r="E9" s="52">
        <f>IFERROR(_xlfn.NORM.DIST(_xlfn.NORM.INV(SUM(E10:E11), 0, 1) + 1, 0, 1, TRUE) - SUM(E10:E11), "")</f>
        <v>0.26379728100673938</v>
      </c>
      <c r="F9" s="52">
        <f>IFERROR(_xlfn.NORM.DIST(_xlfn.NORM.INV(SUM(F10:F11), 0, 1) + 1, 0, 1, TRUE) - SUM(F10:F11), "")</f>
        <v>0.27388339605371514</v>
      </c>
      <c r="G9" s="52">
        <f>IFERROR(_xlfn.NORM.DIST(_xlfn.NORM.INV(SUM(G10:G11), 0, 1) + 1, 0, 1, TRUE) - SUM(G10:G11), "")</f>
        <v>0.24293090984209531</v>
      </c>
    </row>
    <row r="10" spans="1:15" ht="15.75" customHeight="1" x14ac:dyDescent="0.25">
      <c r="B10" s="5" t="s">
        <v>126</v>
      </c>
      <c r="C10" s="45">
        <v>4.4328000000000013E-2</v>
      </c>
      <c r="D10" s="53">
        <v>4.4328000000000013E-2</v>
      </c>
      <c r="E10" s="53">
        <v>6.4751400000000001E-2</v>
      </c>
      <c r="F10" s="53">
        <v>7.2286900000000001E-2</v>
      </c>
      <c r="G10" s="53">
        <v>5.3947799999999997E-2</v>
      </c>
    </row>
    <row r="11" spans="1:15" ht="15.75" customHeight="1" x14ac:dyDescent="0.25">
      <c r="B11" s="5" t="s">
        <v>138</v>
      </c>
      <c r="C11" s="45">
        <v>1.8995999999999999E-2</v>
      </c>
      <c r="D11" s="53">
        <v>1.8995999999999999E-2</v>
      </c>
      <c r="E11" s="53">
        <v>1.5988599999999999E-2</v>
      </c>
      <c r="F11" s="53">
        <v>1.5642199999999998E-2</v>
      </c>
      <c r="G11" s="53">
        <v>1.35611E-2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0.78465574125000004</v>
      </c>
      <c r="D14" s="54">
        <v>0.77095435153199998</v>
      </c>
      <c r="E14" s="54">
        <v>0.77095435153199998</v>
      </c>
      <c r="F14" s="54">
        <v>0.43645716483000002</v>
      </c>
      <c r="G14" s="54">
        <v>0.43645716483000002</v>
      </c>
      <c r="H14" s="45">
        <v>0.35599999999999998</v>
      </c>
      <c r="I14" s="55">
        <v>0.35599999999999998</v>
      </c>
      <c r="J14" s="55">
        <v>0.35599999999999998</v>
      </c>
      <c r="K14" s="55">
        <v>0.35599999999999998</v>
      </c>
      <c r="L14" s="45">
        <v>0.37</v>
      </c>
      <c r="M14" s="55">
        <v>0.37</v>
      </c>
      <c r="N14" s="55">
        <v>0.37</v>
      </c>
      <c r="O14" s="55">
        <v>0.37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0.41316518848963502</v>
      </c>
      <c r="D15" s="52">
        <f t="shared" si="0"/>
        <v>0.40595063952528382</v>
      </c>
      <c r="E15" s="52">
        <f t="shared" si="0"/>
        <v>0.40595063952528382</v>
      </c>
      <c r="F15" s="52">
        <f t="shared" si="0"/>
        <v>0.2298191388842255</v>
      </c>
      <c r="G15" s="52">
        <f t="shared" si="0"/>
        <v>0.2298191388842255</v>
      </c>
      <c r="H15" s="52">
        <f t="shared" si="0"/>
        <v>0.18745393599999999</v>
      </c>
      <c r="I15" s="52">
        <f t="shared" si="0"/>
        <v>0.18745393599999999</v>
      </c>
      <c r="J15" s="52">
        <f t="shared" si="0"/>
        <v>0.18745393599999999</v>
      </c>
      <c r="K15" s="52">
        <f t="shared" si="0"/>
        <v>0.18745393599999999</v>
      </c>
      <c r="L15" s="52">
        <f t="shared" si="0"/>
        <v>0.19482572000000001</v>
      </c>
      <c r="M15" s="52">
        <f t="shared" si="0"/>
        <v>0.19482572000000001</v>
      </c>
      <c r="N15" s="52">
        <f t="shared" si="0"/>
        <v>0.19482572000000001</v>
      </c>
      <c r="O15" s="52">
        <f t="shared" si="0"/>
        <v>0.19482572000000001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s43zjrYzN1Xx/3AjhwwpWA/DkZEriZKP3k1O1qX12kC1xWBJrxLDT3EpaYe5PTbpsFWDUEvxZMD9sxPQ2cPFCw==" saltValue="zofRD/CQCnk2a/hmpjvbZ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0.78292569999999995</v>
      </c>
      <c r="D2" s="53">
        <v>0.49888320000000003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0.14835699999999999</v>
      </c>
      <c r="D3" s="53">
        <v>0.23214389999999999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3.6864300000000003E-2</v>
      </c>
      <c r="D4" s="53">
        <v>0.24762819999999999</v>
      </c>
      <c r="E4" s="53">
        <v>0.9764003</v>
      </c>
      <c r="F4" s="53">
        <v>0.79047749999999994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3.1853000000000131E-2</v>
      </c>
      <c r="D5" s="52">
        <f t="shared" si="0"/>
        <v>2.1344699999999994E-2</v>
      </c>
      <c r="E5" s="52">
        <f>1-SUM(E2:E4)</f>
        <v>2.3599700000000001E-2</v>
      </c>
      <c r="F5" s="52">
        <f>1-SUM(F2:F4)</f>
        <v>0.20952250000000006</v>
      </c>
      <c r="G5" s="52">
        <f>1-SUM(G2:G4)</f>
        <v>1</v>
      </c>
    </row>
  </sheetData>
  <sheetProtection algorithmName="SHA-512" hashValue="BfY/QcHNw0cCrkFOK9ixj+3kWQckq1La9yUYL1YklaIn1bJd0kKpcwDSI7Is4BwjTK0iX9h7a0I2Oxy7pZ1vwA==" saltValue="FVZw0tIVpBTIz0kdtqkuX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Y6sdK5iFwXqTZfSob41ZPqNMf32F+8OeJA+TkK47wfyyVg62UJ3tlkKubGlJCwDDp1MC6QAqt8Xk7qquUzia7Q==" saltValue="Z8o/b8OqEN727cZdEVOS6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516.59261598221303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0.39831000000000005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0.84050000000000002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1.9956495890291692E-2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95018.873500000002</v>
      </c>
      <c r="C22" s="109">
        <v>93989.943039999998</v>
      </c>
      <c r="D22" s="109">
        <v>93279.994089999993</v>
      </c>
      <c r="E22" s="109">
        <v>92729.862550000005</v>
      </c>
      <c r="F22" s="109">
        <v>91922.246459999995</v>
      </c>
      <c r="G22" s="109">
        <v>90939.894149999993</v>
      </c>
      <c r="H22" s="109">
        <v>89703.018169999996</v>
      </c>
      <c r="I22" s="109">
        <v>88046.452510000003</v>
      </c>
      <c r="J22" s="109">
        <v>85691.779200000004</v>
      </c>
      <c r="K22" s="109">
        <v>82504.241510000007</v>
      </c>
      <c r="L22" s="109">
        <v>77993.704169999997</v>
      </c>
      <c r="M22" s="109">
        <v>71837.377550000005</v>
      </c>
      <c r="N22" s="109">
        <v>63420.783750000002</v>
      </c>
      <c r="O22" s="109">
        <v>53031.643949999998</v>
      </c>
    </row>
  </sheetData>
  <sheetProtection algorithmName="SHA-512" hashValue="zNcc6e37npqQwR0R+NW5Vdvz/DMLzhVnMIw3STFRXiO0XlAYTCo2DsbwwG8lwIZWm6amZfWQmnWCE2l+twVapQ==" saltValue="/328LeNd6kGE5eapGNiKM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zxZq9E/vg8sBHWs6TURTVQ1jm0itNUWlcMH/8OwoPwCthX5lYfC1fJ0/eJcSX1IwWhv3SF61UTVeRQiMy1y8pg==" saltValue="9omPm/+q0jRUmLK1nT3KbQ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GkLeQayLagzbNjRMtp5NjAYffAP6uRg3Zub9kyMteYjCPPnGT0Ji7qGv/VNtBywakRoGRhU2+vcGzk2rSW03Bw==" saltValue="VEulePVEnqzyYtMtXzYYk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1.74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2.1291837256908908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0.2139553248340432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0.78848199824391296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</v>
      </c>
      <c r="C9" s="98">
        <v>0.95</v>
      </c>
      <c r="D9" s="56">
        <v>0.22197642864885933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0.20096420000000001</v>
      </c>
      <c r="C10" s="98">
        <v>0.95</v>
      </c>
      <c r="D10" s="56">
        <v>14.144906987123459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14.144906987123459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14.144906987123459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14.144906987123459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0.2021</v>
      </c>
      <c r="C14" s="98">
        <v>0.95</v>
      </c>
      <c r="D14" s="56">
        <v>2.7509100930955666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14.144906987123459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0.53998999999999997</v>
      </c>
      <c r="C16" s="98">
        <v>0.95</v>
      </c>
      <c r="D16" s="56">
        <v>2.1562548532894295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</v>
      </c>
      <c r="C17" s="98">
        <v>0.95</v>
      </c>
      <c r="D17" s="56">
        <v>0.58636119533868591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0.38100000000000001</v>
      </c>
      <c r="C18" s="98">
        <v>0.95</v>
      </c>
      <c r="D18" s="56">
        <v>1.7392913600436088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0.49888320000000003</v>
      </c>
      <c r="C19" s="98">
        <v>0.95</v>
      </c>
      <c r="D19" s="56">
        <v>1.0387950708930269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7.2638561333206297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1.74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0.6758495000000001</v>
      </c>
      <c r="C23" s="98">
        <v>0.95</v>
      </c>
      <c r="D23" s="56">
        <v>4.6309332646724153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0.27543303141174003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2.9000000000000001E-2</v>
      </c>
      <c r="C26" s="98">
        <v>0.95</v>
      </c>
      <c r="D26" s="56">
        <v>4.4432147531692987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3.8721449986372307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0.19636580000000001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0.26000139999999999</v>
      </c>
      <c r="C29" s="98">
        <v>0.95</v>
      </c>
      <c r="D29" s="56">
        <v>48.649233418724378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57.448392612859095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1.37E-2</v>
      </c>
      <c r="C31" s="98">
        <v>0.95</v>
      </c>
      <c r="D31" s="56">
        <v>83.790678659035166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0.378</v>
      </c>
      <c r="C32" s="98">
        <v>0.95</v>
      </c>
      <c r="D32" s="56">
        <v>5.0782229490324342E-2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0.23435629999999999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0.34356619999999999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7.9883999999999997E-3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0.36189339999999998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6.2E-2</v>
      </c>
      <c r="C38" s="98">
        <v>0.95</v>
      </c>
      <c r="D38" s="56">
        <v>0.48243118015808123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3.4278004905968933</v>
      </c>
      <c r="E39" s="56" t="s">
        <v>212</v>
      </c>
      <c r="F39" s="98">
        <v>1</v>
      </c>
      <c r="G39" s="98">
        <v>1</v>
      </c>
    </row>
  </sheetData>
  <sheetProtection algorithmName="SHA-512" hashValue="vCeOEhwyKZadQr5F4wPuF+Q3NpMfHxtQmzSQYzKfhuctlfqo6FB+iji5OGqlzjgN3cwz9Z+KdBOfUmy3HxXk/w==" saltValue="NRzGQKnKVfyEztx8vIUQ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SKiFmC4Yi8Kebs7pePc0YLbUJYOJla71Raj/FG+a/hDpMjAoewAZR3fDfjnrzUS55N7VbFzhqo0tsztC95kckQ==" saltValue="YTZ6mhQr/s+mX2qwEbjqa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DSI3MKVWfQK6zvNdn12ZYSAHR0Evgo7u8KB2UmvSInsQoUJgvzSu1Mjl0LQy2Axgm6EGAwNQlmop96KA0yX64A==" saltValue="Yu9p8AKxAaNIr+MbEtrXx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2.0019999999999998</v>
      </c>
      <c r="C2" s="21">
        <f>'Entradas de población-año base'!C52</f>
        <v>2.0019999999999998</v>
      </c>
      <c r="D2" s="21">
        <f>'Entradas de población-año base'!C53</f>
        <v>4.524</v>
      </c>
      <c r="E2" s="21">
        <f>'Entradas de población-año base'!C54</f>
        <v>3.9780000000000002</v>
      </c>
      <c r="F2" s="21">
        <f>'Entradas de población-año base'!C55</f>
        <v>1.5166666666666671</v>
      </c>
    </row>
    <row r="3" spans="1:6" ht="15.75" customHeight="1" x14ac:dyDescent="0.25">
      <c r="A3" s="3" t="s">
        <v>6</v>
      </c>
      <c r="B3" s="21">
        <f>frac_mam_1month * 2.6</f>
        <v>0.11525280000000004</v>
      </c>
      <c r="C3" s="21">
        <f>frac_mam_1_5months * 2.6</f>
        <v>0.11525280000000004</v>
      </c>
      <c r="D3" s="21">
        <f>frac_mam_6_11months * 2.6</f>
        <v>0.16835364</v>
      </c>
      <c r="E3" s="21">
        <f>frac_mam_12_23months * 2.6</f>
        <v>0.18794594000000001</v>
      </c>
      <c r="F3" s="21">
        <f>frac_mam_24_59months * 2.6</f>
        <v>0.14026427999999999</v>
      </c>
    </row>
    <row r="4" spans="1:6" ht="15.75" customHeight="1" x14ac:dyDescent="0.25">
      <c r="A4" s="3" t="s">
        <v>236</v>
      </c>
      <c r="B4" s="21">
        <f>frac_sam_1month * 2.6</f>
        <v>4.9389599999999999E-2</v>
      </c>
      <c r="C4" s="21">
        <f>frac_sam_1_5months * 2.6</f>
        <v>4.9389599999999999E-2</v>
      </c>
      <c r="D4" s="21">
        <f>frac_sam_6_11months * 2.6</f>
        <v>4.1570360000000001E-2</v>
      </c>
      <c r="E4" s="21">
        <f>frac_sam_12_23months * 2.6</f>
        <v>4.0669719999999999E-2</v>
      </c>
      <c r="F4" s="21">
        <f>frac_sam_24_59months * 2.6</f>
        <v>3.5258860000000003E-2</v>
      </c>
    </row>
  </sheetData>
  <sheetProtection algorithmName="SHA-512" hashValue="DiuvjJYNEmntLLyqVBc+aLRW2mRKoJ4z5Ge/NBitPcIGxG1GS8mLb2V6AtwMGvGHumql7qggHAhoizQACz1CIg==" saltValue="Yq+BCnM1LQOwYNIX1HREX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0.77599999999999991</v>
      </c>
      <c r="F2" s="60">
        <f>food_insecure</f>
        <v>0.77599999999999991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0.77599999999999991</v>
      </c>
      <c r="F5" s="60">
        <f>food_insecure</f>
        <v>0.77599999999999991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4.3679999999999997E-2</v>
      </c>
      <c r="D7" s="60">
        <f>diarrhoea_1_5mo*frac_diarrhea_severe</f>
        <v>4.3679999999999997E-2</v>
      </c>
      <c r="E7" s="60">
        <f>diarrhoea_6_11mo*frac_diarrhea_severe</f>
        <v>9.8705454545454555E-2</v>
      </c>
      <c r="F7" s="60">
        <f>diarrhoea_12_23mo*frac_diarrhea_severe</f>
        <v>8.6792727272727285E-2</v>
      </c>
      <c r="G7" s="60">
        <f>diarrhoea_24_59mo*frac_diarrhea_severe</f>
        <v>3.3090909090909101E-2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0.77599999999999991</v>
      </c>
      <c r="F8" s="60">
        <f>food_insecure</f>
        <v>0.77599999999999991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0.77599999999999991</v>
      </c>
      <c r="F9" s="60">
        <f>food_insecure</f>
        <v>0.77599999999999991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4.3679999999999997E-2</v>
      </c>
      <c r="D12" s="60">
        <f>diarrhoea_1_5mo*frac_diarrhea_severe</f>
        <v>4.3679999999999997E-2</v>
      </c>
      <c r="E12" s="60">
        <f>diarrhoea_6_11mo*frac_diarrhea_severe</f>
        <v>9.8705454545454555E-2</v>
      </c>
      <c r="F12" s="60">
        <f>diarrhoea_12_23mo*frac_diarrhea_severe</f>
        <v>8.6792727272727285E-2</v>
      </c>
      <c r="G12" s="60">
        <f>diarrhoea_24_59mo*frac_diarrhea_severe</f>
        <v>3.3090909090909101E-2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0.77599999999999991</v>
      </c>
      <c r="I15" s="60">
        <f t="shared" si="0"/>
        <v>0.77599999999999991</v>
      </c>
      <c r="J15" s="60">
        <f t="shared" si="0"/>
        <v>0.77599999999999991</v>
      </c>
      <c r="K15" s="60">
        <f t="shared" si="0"/>
        <v>0.77599999999999991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0.77599999999999991</v>
      </c>
      <c r="I16" s="60">
        <f t="shared" si="0"/>
        <v>0.77599999999999991</v>
      </c>
      <c r="J16" s="60">
        <f t="shared" si="0"/>
        <v>0.77599999999999991</v>
      </c>
      <c r="K16" s="60">
        <f t="shared" si="0"/>
        <v>0.77599999999999991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0.6</v>
      </c>
      <c r="I19" s="60">
        <f>frac_malaria_risk</f>
        <v>0.6</v>
      </c>
      <c r="J19" s="60">
        <f>frac_malaria_risk</f>
        <v>0.6</v>
      </c>
      <c r="K19" s="60">
        <f>frac_malaria_risk</f>
        <v>0.6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0.14599999999999999</v>
      </c>
      <c r="M24" s="60">
        <f>famplan_unmet_need</f>
        <v>0.14599999999999999</v>
      </c>
      <c r="N24" s="60">
        <f>famplan_unmet_need</f>
        <v>0.14599999999999999</v>
      </c>
      <c r="O24" s="60">
        <f>famplan_unmet_need</f>
        <v>0.14599999999999999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0.45033874177599997</v>
      </c>
      <c r="M25" s="60">
        <f>(1-food_insecure)*(0.49)+food_insecure*(0.7)</f>
        <v>0.65295999999999998</v>
      </c>
      <c r="N25" s="60">
        <f>(1-food_insecure)*(0.49)+food_insecure*(0.7)</f>
        <v>0.65295999999999998</v>
      </c>
      <c r="O25" s="60">
        <f>(1-food_insecure)*(0.49)+food_insecure*(0.7)</f>
        <v>0.65295999999999998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0.19300231790399999</v>
      </c>
      <c r="M26" s="60">
        <f>(1-food_insecure)*(0.21)+food_insecure*(0.3)</f>
        <v>0.27983999999999998</v>
      </c>
      <c r="N26" s="60">
        <f>(1-food_insecure)*(0.21)+food_insecure*(0.3)</f>
        <v>0.27983999999999998</v>
      </c>
      <c r="O26" s="60">
        <f>(1-food_insecure)*(0.21)+food_insecure*(0.3)</f>
        <v>0.27983999999999998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4.6347040320000019E-2</v>
      </c>
      <c r="M27" s="60">
        <f>(1-food_insecure)*(0.3)</f>
        <v>6.7200000000000024E-2</v>
      </c>
      <c r="N27" s="60">
        <f>(1-food_insecure)*(0.3)</f>
        <v>6.7200000000000024E-2</v>
      </c>
      <c r="O27" s="60">
        <f>(1-food_insecure)*(0.3)</f>
        <v>6.7200000000000024E-2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0.31031189999999997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0.6</v>
      </c>
      <c r="D34" s="60">
        <f t="shared" si="4"/>
        <v>0.6</v>
      </c>
      <c r="E34" s="60">
        <f t="shared" si="4"/>
        <v>0.6</v>
      </c>
      <c r="F34" s="60">
        <f t="shared" si="4"/>
        <v>0.6</v>
      </c>
      <c r="G34" s="60">
        <f t="shared" si="4"/>
        <v>0.6</v>
      </c>
      <c r="H34" s="60">
        <f t="shared" si="4"/>
        <v>0.6</v>
      </c>
      <c r="I34" s="60">
        <f t="shared" si="4"/>
        <v>0.6</v>
      </c>
      <c r="J34" s="60">
        <f t="shared" si="4"/>
        <v>0.6</v>
      </c>
      <c r="K34" s="60">
        <f t="shared" si="4"/>
        <v>0.6</v>
      </c>
      <c r="L34" s="60">
        <f t="shared" si="4"/>
        <v>0.6</v>
      </c>
      <c r="M34" s="60">
        <f t="shared" si="4"/>
        <v>0.6</v>
      </c>
      <c r="N34" s="60">
        <f t="shared" si="4"/>
        <v>0.6</v>
      </c>
      <c r="O34" s="60">
        <f t="shared" si="4"/>
        <v>0.6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n/EzYDfU4u8ESvM+MgeoW0wzQnFe01+JWAZLZgJ7FfhmdvxEet8knQBzBAicKnN+vhNNwcnHl2oZ0HTGVjA6OQ==" saltValue="yrFFXFYIyk/0e3CwUywY5w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IfxKGP+0ImqMlHmq/v1W6xU4rdPCdHgYzEAADr+iLubnASEFP8LSy2dBotQhIrxaWZxvy/DlgOgmfy/TtpVZag==" saltValue="JMOcLhdNHd/+wtDEKOGuL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TqK88TwfsCifXYIKMKWxk63uYNmHE8hOehLEJjvXxAFwGMLtVZJLboqt2/DFAGv3ciIKs4g+4KLZLdj7V10vWA==" saltValue="V6SaD9ICzqTkR4sOPWzNq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nkaCfGU6YXiDIU+3x3cvLZZ+Bj55Tf8CJNi60dVDSRg83nNrUnJo1JSz/EyeJ5yNRio7FOuzxSGGqjyQrRCl3Q==" saltValue="yKL50LYIw5H4fH/oIuHJj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nzUiAEJ8G10Wi+8/Kdl12XJc3wIQdMS9zv+6GCK8q9kp9G9Qv8BXMt0OJZP9PjNI0aLywe6Tyo+b8CZxk8shmg==" saltValue="3n03dSZvZtBGFRnxKnCS+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m5Z/e7AvQKzeb9j3ApCtasXiTuBMv2YLlZACoVHfVpI6FCNIyD1RkLmmyOIsu/hwsG0+frw4u/1crQeMHPLTYQ==" saltValue="TRoN0lQw3eWAVBPDsbKp5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WGC4adqmIAgiRyyhIlE5Kxsi5P+wShzdNaVoBPhjvGnUs70zZoi/kbFTSCWESv/mr/R2ssDiN1KH9QTuqMuoDA==" saltValue="Sv8+QNbKaCBMDwbrxzRPO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xFuG5QwMxceRIOk2JdIKd8C2jSc2CuljNQCbAZZvf7NugXEz75Lmw2XZ8ZywQuapDr3SaBbQ6wmZxidymkplEw==" saltValue="NFCGoO/DZVBQsVtL6EN7F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AhEMdlt6bAt5/UV+QMezsEfQKkji4gkoQaOk1VruqbaJg11X0TigPDaQh1jK6P8TRbrbiaFSxZPvRoDS5XjoZA==" saltValue="T+Kneh6hM08HLWBrobm+8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8bwnu58OrF1arAi/bEmf1E0+Bd+2N/+zEd/XrXtQGqgNDBHpJWs2/QVHs37nlmZbHIgZLgSa+aKeWxp6BtggBw==" saltValue="Q9V34t9IwOzkd4VzdQ2ua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wAIDvI22gBKjVAeokXj4IABWLPV6loEKdQjL1GYZZMx8g8oLdTNerrf0Hccux2MJcZEla47LhWYc2/d4YlC3Jg==" saltValue="exylRHB72+0VMcUbc3k0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RfCCpRuSsyo7nc3b9WCTwTKNjZ68rUbE5jjMLL/qF2zFvCErZaD6AMu+yKN5v8y6lHuP5vmhdgsV6EblCw8k9Q==" saltValue="e43TUF1r+y+40bHD0AYot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cXb8z4wctxCFI7iSfBcZbiuxgchogHrAXYiMVbmUj6Q3Z4dTKDJfTZeGuXjYXLUPLAjSf+V0YMVygIKh5SPG7Q==" saltValue="/QoOMBsngXAPmQKZDhmnp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o82h5ny0CQqnCwVZlPkEqyBWdUl+pGfSdBra+0wzeHKvtYp734ZGs6fRW3SYuajmBZ1idO5BS+l0aTXYAUAKBQ==" saltValue="v6oF6KM4nRIEldz5udceA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BtoZ8bLwCqTEQu9XH8PDAmY0wwDCgzhOoTO9zyNHbA9s/sjJdIAW7XXOwBk2kVlVk9G0LAAFYNlaxUYdoP8O5g==" saltValue="BNEiBvRu+j9QgaFvr/2Nc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2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2025-07-08T03:27:14Z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