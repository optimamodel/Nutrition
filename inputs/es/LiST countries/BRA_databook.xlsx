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5E997354-B0FF-48CD-9691-C1B52FCCA85F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6" i="2"/>
  <c r="A19" i="2"/>
  <c r="A24" i="2"/>
  <c r="I4" i="2"/>
  <c r="I8" i="2"/>
  <c r="I12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<sst xmlns="http://schemas.openxmlformats.org/spreadsheetml/2006/main" count="2159" uniqueCount="372">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</sst>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12879996.5</v>
      </c>
    </row>
    <row r="8" spans="1:3" ht="15" customHeight="1" x14ac:dyDescent="0.25">
      <c r="B8" s="5" t="s">
        <v>63</v>
      </c>
      <c r="C8" s="44">
        <v>4.3999999999999997E-2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0.83181569999999994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0.18279999999999999</v>
      </c>
    </row>
    <row r="24" spans="1:3" ht="15" customHeight="1" x14ac:dyDescent="0.25">
      <c r="B24" s="15" t="s">
        <v>65</v>
      </c>
      <c r="C24" s="45">
        <v>0.54590000000000005</v>
      </c>
    </row>
    <row r="25" spans="1:3" ht="15" customHeight="1" x14ac:dyDescent="0.25">
      <c r="B25" s="15" t="s">
        <v>66</v>
      </c>
      <c r="C25" s="45">
        <v>0.23910000000000001</v>
      </c>
    </row>
    <row r="26" spans="1:3" ht="15" customHeight="1" x14ac:dyDescent="0.25">
      <c r="B26" s="15" t="s">
        <v>67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9">
        <v>0.10516916316476101</v>
      </c>
    </row>
    <row r="31" spans="1:3" ht="14.25" customHeight="1" x14ac:dyDescent="0.25">
      <c r="B31" s="25" t="s">
        <v>29</v>
      </c>
      <c r="C31" s="99">
        <v>8.4505866375242988E-2</v>
      </c>
    </row>
    <row r="32" spans="1:3" ht="14.25" customHeight="1" x14ac:dyDescent="0.25">
      <c r="B32" s="25" t="s">
        <v>30</v>
      </c>
      <c r="C32" s="99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8.4704599999999992</v>
      </c>
    </row>
    <row r="38" spans="1:5" ht="15" customHeight="1" x14ac:dyDescent="0.25">
      <c r="B38" s="11" t="s">
        <v>54</v>
      </c>
      <c r="C38" s="43">
        <v>12.875</v>
      </c>
      <c r="D38" s="12"/>
      <c r="E38" s="13"/>
    </row>
    <row r="39" spans="1:5" ht="15" customHeight="1" x14ac:dyDescent="0.25">
      <c r="B39" s="11" t="s">
        <v>80</v>
      </c>
      <c r="C39" s="43">
        <v>14.41098</v>
      </c>
      <c r="D39" s="12"/>
      <c r="E39" s="12"/>
    </row>
    <row r="40" spans="1:5" ht="15" customHeight="1" x14ac:dyDescent="0.25">
      <c r="B40" s="11" t="s">
        <v>55</v>
      </c>
      <c r="C40" s="100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9.4821000000000003E-3</v>
      </c>
      <c r="D45" s="12"/>
    </row>
    <row r="46" spans="1:5" ht="15.75" customHeight="1" x14ac:dyDescent="0.25">
      <c r="B46" s="11" t="s">
        <v>70</v>
      </c>
      <c r="C46" s="45">
        <v>0.1019704</v>
      </c>
      <c r="D46" s="12"/>
    </row>
    <row r="47" spans="1:5" ht="15.75" customHeight="1" x14ac:dyDescent="0.25">
      <c r="B47" s="11" t="s">
        <v>78</v>
      </c>
      <c r="C47" s="45">
        <v>7.1473700000000001E-2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0.56287600000000004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8.6980708860000006E-2</v>
      </c>
    </row>
    <row r="63" spans="1:4" ht="15.75" customHeight="1" x14ac:dyDescent="0.3">
      <c r="A63" s="4"/>
    </row>
  </sheetData>
  <sheetProtection algorithmName="SHA-512" hashValue="5bjLXBHY4mdvTarYDKQnHhdn5/XJrhvy+Hz6+C0cA+riI/xoELa2pUg5jxDQF/AyTzLGrGPnZ50FLN98SyZ1qw==" saltValue="kj61B9GH2G8Izt+SdK9F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2572100</v>
      </c>
      <c r="C2" s="49">
        <v>7301316</v>
      </c>
      <c r="D2" s="49">
        <v>15891051.5</v>
      </c>
      <c r="E2" s="49">
        <v>16413838.500000002</v>
      </c>
      <c r="F2" s="49">
        <v>15948186.5</v>
      </c>
      <c r="G2" s="17">
        <f t="shared" ref="G2:G13" si="0">C2+D2+E2+F2</f>
        <v>55554392.5</v>
      </c>
      <c r="H2" s="17">
        <f t="shared" ref="H2:H13" si="1">(B2 + stillbirth*B2/(1000-stillbirth))/(1-abortion)</f>
        <v>2943389.5059470925</v>
      </c>
      <c r="I2" s="17">
        <f t="shared" ref="I2:I13" si="2">G2-H2</f>
        <v>52611002.994052909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2528724</v>
      </c>
      <c r="C3" s="50">
        <v>7211480</v>
      </c>
      <c r="D3" s="50">
        <v>15731697.5</v>
      </c>
      <c r="E3" s="50">
        <v>16288397.5</v>
      </c>
      <c r="F3" s="50">
        <v>16165471.5</v>
      </c>
      <c r="G3" s="17">
        <f t="shared" si="0"/>
        <v>55397046.5</v>
      </c>
      <c r="H3" s="17">
        <f t="shared" si="1"/>
        <v>2893752.0644751582</v>
      </c>
      <c r="I3" s="17">
        <f t="shared" si="2"/>
        <v>52503294.435524844</v>
      </c>
    </row>
    <row r="4" spans="1:9" ht="15.75" customHeight="1" x14ac:dyDescent="0.25">
      <c r="A4" s="5">
        <f t="shared" si="3"/>
        <v>2026</v>
      </c>
      <c r="B4" s="49">
        <v>2492914</v>
      </c>
      <c r="C4" s="50">
        <v>7133131</v>
      </c>
      <c r="D4" s="50">
        <v>15551253</v>
      </c>
      <c r="E4" s="50">
        <v>16178066.5</v>
      </c>
      <c r="F4" s="50">
        <v>16341990</v>
      </c>
      <c r="G4" s="17">
        <f t="shared" si="0"/>
        <v>55204440.5</v>
      </c>
      <c r="H4" s="17">
        <f t="shared" si="1"/>
        <v>2852772.7953145639</v>
      </c>
      <c r="I4" s="17">
        <f t="shared" si="2"/>
        <v>52351667.704685435</v>
      </c>
    </row>
    <row r="5" spans="1:9" ht="15.75" customHeight="1" x14ac:dyDescent="0.25">
      <c r="A5" s="5">
        <f t="shared" si="3"/>
        <v>2027</v>
      </c>
      <c r="B5" s="49">
        <v>2461631</v>
      </c>
      <c r="C5" s="50">
        <v>7073603.5</v>
      </c>
      <c r="D5" s="50">
        <v>15346297</v>
      </c>
      <c r="E5" s="50">
        <v>16089223</v>
      </c>
      <c r="F5" s="50">
        <v>16467720.5</v>
      </c>
      <c r="G5" s="17">
        <f t="shared" si="0"/>
        <v>54976844</v>
      </c>
      <c r="H5" s="17">
        <f t="shared" si="1"/>
        <v>2816974.0106971143</v>
      </c>
      <c r="I5" s="17">
        <f t="shared" si="2"/>
        <v>52159869.989302889</v>
      </c>
    </row>
    <row r="6" spans="1:9" ht="15.75" customHeight="1" x14ac:dyDescent="0.25">
      <c r="A6" s="5">
        <f t="shared" si="3"/>
        <v>2028</v>
      </c>
      <c r="B6" s="49">
        <v>2433369</v>
      </c>
      <c r="C6" s="50">
        <v>7033997</v>
      </c>
      <c r="D6" s="50">
        <v>15116048.5</v>
      </c>
      <c r="E6" s="50">
        <v>16028374</v>
      </c>
      <c r="F6" s="50">
        <v>16537266</v>
      </c>
      <c r="G6" s="17">
        <f t="shared" si="0"/>
        <v>54715685.5</v>
      </c>
      <c r="H6" s="17">
        <f t="shared" si="1"/>
        <v>2784632.3154997746</v>
      </c>
      <c r="I6" s="17">
        <f t="shared" si="2"/>
        <v>51931053.184500225</v>
      </c>
    </row>
    <row r="7" spans="1:9" ht="15.75" customHeight="1" x14ac:dyDescent="0.25">
      <c r="A7" s="5">
        <f t="shared" si="3"/>
        <v>2029</v>
      </c>
      <c r="B7" s="49">
        <v>2410757</v>
      </c>
      <c r="C7" s="50">
        <v>7015177.5</v>
      </c>
      <c r="D7" s="50">
        <v>14883269.5</v>
      </c>
      <c r="E7" s="50">
        <v>15978235.499999998</v>
      </c>
      <c r="F7" s="50">
        <v>16554173.5</v>
      </c>
      <c r="G7" s="17">
        <f t="shared" si="0"/>
        <v>54430856</v>
      </c>
      <c r="H7" s="17">
        <f t="shared" si="1"/>
        <v>2758756.2128954916</v>
      </c>
      <c r="I7" s="17">
        <f t="shared" si="2"/>
        <v>51672099.78710451</v>
      </c>
    </row>
    <row r="8" spans="1:9" ht="15.75" customHeight="1" x14ac:dyDescent="0.25">
      <c r="A8" s="5">
        <f t="shared" si="3"/>
        <v>2030</v>
      </c>
      <c r="B8" s="49">
        <v>2388528</v>
      </c>
      <c r="C8" s="50">
        <v>7010191.5</v>
      </c>
      <c r="D8" s="50">
        <v>14672118</v>
      </c>
      <c r="E8" s="50">
        <v>15924241.999999998</v>
      </c>
      <c r="F8" s="50">
        <v>16520779.999999998</v>
      </c>
      <c r="G8" s="17">
        <f t="shared" si="0"/>
        <v>54127331.5</v>
      </c>
      <c r="H8" s="17">
        <f t="shared" si="1"/>
        <v>2733318.3973643314</v>
      </c>
      <c r="I8" s="17">
        <f t="shared" si="2"/>
        <v>51394013.102635667</v>
      </c>
    </row>
    <row r="9" spans="1:9" ht="15.75" customHeight="1" x14ac:dyDescent="0.25">
      <c r="A9" s="5">
        <f t="shared" si="3"/>
        <v>2031</v>
      </c>
      <c r="B9" s="49">
        <v>2366895</v>
      </c>
      <c r="C9" s="50">
        <v>6991206</v>
      </c>
      <c r="D9" s="50">
        <v>14487943</v>
      </c>
      <c r="E9" s="50">
        <v>15860319</v>
      </c>
      <c r="F9" s="50">
        <v>16442911</v>
      </c>
      <c r="G9" s="17">
        <f t="shared" si="0"/>
        <v>53782379</v>
      </c>
      <c r="H9" s="17">
        <f t="shared" si="1"/>
        <v>2708562.6160252881</v>
      </c>
      <c r="I9" s="17">
        <f t="shared" si="2"/>
        <v>51073816.383974709</v>
      </c>
    </row>
    <row r="10" spans="1:9" ht="15.75" customHeight="1" x14ac:dyDescent="0.25">
      <c r="A10" s="5">
        <f t="shared" si="3"/>
        <v>2032</v>
      </c>
      <c r="B10" s="49">
        <v>2344074</v>
      </c>
      <c r="C10" s="50">
        <v>6960954</v>
      </c>
      <c r="D10" s="50">
        <v>14333208.5</v>
      </c>
      <c r="E10" s="50">
        <v>15782591</v>
      </c>
      <c r="F10" s="50">
        <v>16329625.500000002</v>
      </c>
      <c r="G10" s="17">
        <f t="shared" si="0"/>
        <v>53406379</v>
      </c>
      <c r="H10" s="17">
        <f t="shared" si="1"/>
        <v>2682447.3437126959</v>
      </c>
      <c r="I10" s="17">
        <f t="shared" si="2"/>
        <v>50723931.656287305</v>
      </c>
    </row>
    <row r="11" spans="1:9" ht="15.75" customHeight="1" x14ac:dyDescent="0.25">
      <c r="A11" s="5">
        <f t="shared" si="3"/>
        <v>2033</v>
      </c>
      <c r="B11" s="49">
        <v>2325924</v>
      </c>
      <c r="C11" s="50">
        <v>6938473.5</v>
      </c>
      <c r="D11" s="50">
        <v>14210478</v>
      </c>
      <c r="E11" s="50">
        <v>15679108.5</v>
      </c>
      <c r="F11" s="50">
        <v>16200371.5</v>
      </c>
      <c r="G11" s="17">
        <f t="shared" si="0"/>
        <v>53028431.5</v>
      </c>
      <c r="H11" s="17">
        <f t="shared" si="1"/>
        <v>2661677.3427279205</v>
      </c>
      <c r="I11" s="17">
        <f t="shared" si="2"/>
        <v>50366754.157272078</v>
      </c>
    </row>
    <row r="12" spans="1:9" ht="15.75" customHeight="1" x14ac:dyDescent="0.25">
      <c r="A12" s="5">
        <f t="shared" si="3"/>
        <v>2034</v>
      </c>
      <c r="B12" s="49">
        <v>2307978</v>
      </c>
      <c r="C12" s="50">
        <v>6892351</v>
      </c>
      <c r="D12" s="50">
        <v>14114666.5</v>
      </c>
      <c r="E12" s="50">
        <v>15553131</v>
      </c>
      <c r="F12" s="50">
        <v>16075359.5</v>
      </c>
      <c r="G12" s="17">
        <f t="shared" si="0"/>
        <v>52635508</v>
      </c>
      <c r="H12" s="17">
        <f t="shared" si="1"/>
        <v>2641140.7896880987</v>
      </c>
      <c r="I12" s="17">
        <f t="shared" si="2"/>
        <v>49994367.210311905</v>
      </c>
    </row>
    <row r="13" spans="1:9" ht="15.75" customHeight="1" x14ac:dyDescent="0.25">
      <c r="A13" s="5">
        <f t="shared" si="3"/>
        <v>2035</v>
      </c>
      <c r="B13" s="49">
        <v>2289062</v>
      </c>
      <c r="C13" s="50">
        <v>6797001.5</v>
      </c>
      <c r="D13" s="50">
        <v>14034295.5</v>
      </c>
      <c r="E13" s="50">
        <v>15414352</v>
      </c>
      <c r="F13" s="50">
        <v>15963456.999999998</v>
      </c>
      <c r="G13" s="17">
        <f t="shared" si="0"/>
        <v>52209106</v>
      </c>
      <c r="H13" s="17">
        <f t="shared" si="1"/>
        <v>2619494.2145570791</v>
      </c>
      <c r="I13" s="17">
        <f t="shared" si="2"/>
        <v>49589611.785442919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hVSm0CbFNGiJ5zOFg4depsFOIJ41qP+wvqC1iZACLip8tpZtI4egYLVrvpDbCbDqd39J3tWyuVPYqQH4XNV6g==" saltValue="1qUFKgeFolh5oBT38eYmZ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0.13749251374925139</v>
      </c>
    </row>
    <row r="5" spans="1:8" ht="15.75" customHeight="1" x14ac:dyDescent="0.25">
      <c r="B5" s="19" t="s">
        <v>114</v>
      </c>
      <c r="C5" s="101">
        <v>1.6327201632720171E-2</v>
      </c>
    </row>
    <row r="6" spans="1:8" ht="15.75" customHeight="1" x14ac:dyDescent="0.25">
      <c r="B6" s="19" t="s">
        <v>110</v>
      </c>
      <c r="C6" s="101">
        <v>0.14921611492161169</v>
      </c>
    </row>
    <row r="7" spans="1:8" ht="15.75" customHeight="1" x14ac:dyDescent="0.25">
      <c r="B7" s="19" t="s">
        <v>115</v>
      </c>
      <c r="C7" s="101">
        <v>0.28350592835059218</v>
      </c>
    </row>
    <row r="8" spans="1:8" ht="15.75" customHeight="1" x14ac:dyDescent="0.25">
      <c r="B8" s="19" t="s">
        <v>117</v>
      </c>
      <c r="C8" s="101">
        <v>1.020000102000012E-5</v>
      </c>
    </row>
    <row r="9" spans="1:8" ht="15.75" customHeight="1" x14ac:dyDescent="0.25">
      <c r="B9" s="19" t="s">
        <v>111</v>
      </c>
      <c r="C9" s="101">
        <v>0.21483992148399311</v>
      </c>
    </row>
    <row r="10" spans="1:8" ht="15.75" customHeight="1" x14ac:dyDescent="0.25">
      <c r="B10" s="19" t="s">
        <v>113</v>
      </c>
      <c r="C10" s="101">
        <v>0.19860811986081151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121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2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120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118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5.7909057E-2</v>
      </c>
    </row>
    <row r="27" spans="1:8" ht="15.75" customHeight="1" x14ac:dyDescent="0.25">
      <c r="B27" s="19" t="s">
        <v>108</v>
      </c>
      <c r="C27" s="101">
        <v>2.6758759999999999E-2</v>
      </c>
    </row>
    <row r="28" spans="1:8" ht="15.75" customHeight="1" x14ac:dyDescent="0.25">
      <c r="B28" s="19" t="s">
        <v>122</v>
      </c>
      <c r="C28" s="101">
        <v>6.3008400000000006E-2</v>
      </c>
    </row>
    <row r="29" spans="1:8" ht="15.75" customHeight="1" x14ac:dyDescent="0.25">
      <c r="B29" s="19" t="s">
        <v>105</v>
      </c>
      <c r="C29" s="101">
        <v>0.22726674099999999</v>
      </c>
    </row>
    <row r="30" spans="1:8" ht="15.75" customHeight="1" x14ac:dyDescent="0.25">
      <c r="B30" s="19" t="s">
        <v>4</v>
      </c>
      <c r="C30" s="101">
        <v>8.1734795999999998E-2</v>
      </c>
    </row>
    <row r="31" spans="1:8" ht="15.75" customHeight="1" x14ac:dyDescent="0.25">
      <c r="B31" s="19" t="s">
        <v>99</v>
      </c>
      <c r="C31" s="101">
        <v>8.8591216E-2</v>
      </c>
    </row>
    <row r="32" spans="1:8" ht="15.75" customHeight="1" x14ac:dyDescent="0.25">
      <c r="B32" s="19" t="s">
        <v>104</v>
      </c>
      <c r="C32" s="101">
        <v>4.6972499000000001E-2</v>
      </c>
    </row>
    <row r="33" spans="2:3" ht="15.75" customHeight="1" x14ac:dyDescent="0.25">
      <c r="B33" s="19" t="s">
        <v>119</v>
      </c>
      <c r="C33" s="101">
        <v>0.18240123999999999</v>
      </c>
    </row>
    <row r="34" spans="2:3" ht="15.75" customHeight="1" x14ac:dyDescent="0.25">
      <c r="B34" s="19" t="s">
        <v>106</v>
      </c>
      <c r="C34" s="101">
        <v>0.22535729099999999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PMY5dX88Aj6tJC8zcsInFhhzDNXpCTh9zJXYa8iWz7Qyh8ekigei3uEYe/NK1Pu0TabRrbeFTqmwxABDEtZwg==" saltValue="jpfluEcloIsrqmqylxj7m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129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125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126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138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AuxM6mIYldt219dw1kJAYCL1I4zpzQNRs2IIJxdIHGynN0JeEou0AkkqJR6Va4wr+xXQmmWy/MWMighRWK8Ng==" saltValue="ToIylDuaanaOiIxtOw4L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6.7721300000000095E-2</v>
      </c>
      <c r="D5" s="52">
        <f t="shared" si="0"/>
        <v>0.23034629999999989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vjdfprJmYUFu9Sr0FPi218ufTA8DTRzJMT5qcDGLvocd5XrT8Kgh+Fh4VMHJqlV5inRXZGKn2IE8rzFsa3kOGw==" saltValue="9x8/Xrgue40S5JDDNsNqk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NzMicL0XsU5Q3pEPn1KuhM/ytZ9RV+cK7zxx2BOxuPPy5215nVEe9PAm4qaUKZybEfU6a/7SMZvF7xCFZ6Gbw==" saltValue="m4ypeZfAwKb04kQIR+vf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8917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0.57762999999999998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0.60899999999999999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1.7156243673110892E-2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98621.013819999993</v>
      </c>
      <c r="C22" s="109">
        <v>98524.768769999995</v>
      </c>
      <c r="D22" s="109">
        <v>98388.349350000004</v>
      </c>
      <c r="E22" s="109">
        <v>97765.106839999993</v>
      </c>
      <c r="F22" s="109">
        <v>96946.711869999999</v>
      </c>
      <c r="G22" s="109">
        <v>96201.574160000004</v>
      </c>
      <c r="H22" s="109">
        <v>95439.803610000003</v>
      </c>
      <c r="I22" s="109">
        <v>94480.39976</v>
      </c>
      <c r="J22" s="109">
        <v>93263.897190000003</v>
      </c>
      <c r="K22" s="109">
        <v>91567.682209999999</v>
      </c>
      <c r="L22" s="109">
        <v>89174.384900000005</v>
      </c>
      <c r="M22" s="109">
        <v>85705.736510000002</v>
      </c>
      <c r="N22" s="109">
        <v>80721.243359999993</v>
      </c>
      <c r="O22" s="109">
        <v>73831.275460000004</v>
      </c>
    </row>
  </sheetData>
  <sheetProtection algorithmName="SHA-512" hashValue="m/Zljgpe8g0tUWhQOH4ITzGwx2UtZM5OqL67qb3zuAIwdtfDrM7j0aKf2nLbZZZlJ41O+IaYUV8N2c8lLn59Eg==" saltValue="6nCnBWqJvlZeSgfKM2yI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4c1e6HRab1X+g0g4g8zBvH1XQDdSSCKkU2kNI0zJf/l+KXsuqB8QpIj1lwraeyKyeIEwgDRW9uRGt9wSZw+Fdw==" saltValue="94I7+KoqZcyuM3EIqi1qF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3m4GlWqueQbegFodNpOXQ6YXb2cUk6B1wS9rm1ez4UD6+maAw/jWrJEAMGDuk/mHrSLgBgAEjd37Tm+DyGeUdA==" saltValue="xLNcUh8zEWzeuJMELUcTh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0.25711131554737809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0.46083239999999998</v>
      </c>
      <c r="C10" s="98">
        <v>0.95</v>
      </c>
      <c r="D10" s="56">
        <v>13.656625510767499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13.656625510767499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13.656625510767499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13.656625510767499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0.46083239999999998</v>
      </c>
      <c r="C14" s="98">
        <v>0.95</v>
      </c>
      <c r="D14" s="56">
        <v>13.656625510767499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13.656625510767499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0.48685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1.6E-2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0.27722980000000003</v>
      </c>
      <c r="C19" s="98">
        <v>0.95</v>
      </c>
      <c r="D19" s="56">
        <v>19.805611394811169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4.6821164540834266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0.89690882780986203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0.51813429999999994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0.56700000000000006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0.45041619999999999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0.98627039999999999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jn/UWqRJKSB5cNGc00fl7b9lMXdJMmnaXcmdEC1XQRUBuD/IfhjK12zDnwiGugdvcM2+ddFnvinoe7Q3yqTo+Q==" saltValue="JGfe2GA7fcAnlMgiXBEr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ZsS6NbM3vQObB7W30eVnP5R2wy2PL0qjjQsQVvCKCL5/tQ99EO4ciVvl5TkDytk8tANn8q9nWtLYHFKLMANZw==" saltValue="Ft1wjkMYe1oWhDAKeBie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Ysp9NHdLj/ka5ZWbOUwndgke93S2wZcXLFSWYDcEf/Ht/+WrgKBp7VYKcLuzoMefThN50/jh1Zax99Nq7K5Lg==" saltValue="kgO0VVXSZXB9R7ZstPsP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236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HdIY3QKDeX46haQchwy2iYM6pX6FdFqr6j0LANfLrZjgLHZx11vI7+YTGD1/piFoyBNHLRuE1y6ZmtRVE0mKTQ==" saltValue="3G4R0utCGtl8boZ1K5WI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4.3999999999999997E-2</v>
      </c>
      <c r="F2" s="60">
        <f>food_insecure</f>
        <v>4.3999999999999997E-2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4.3999999999999997E-2</v>
      </c>
      <c r="I15" s="60">
        <f t="shared" si="0"/>
        <v>4.3999999999999997E-2</v>
      </c>
      <c r="J15" s="60">
        <f t="shared" si="0"/>
        <v>4.3999999999999997E-2</v>
      </c>
      <c r="K15" s="60">
        <f t="shared" si="0"/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4.3999999999999997E-2</v>
      </c>
      <c r="I16" s="60">
        <f t="shared" si="0"/>
        <v>4.3999999999999997E-2</v>
      </c>
      <c r="J16" s="60">
        <f t="shared" si="0"/>
        <v>4.3999999999999997E-2</v>
      </c>
      <c r="K16" s="60">
        <f t="shared" si="0"/>
        <v>4.3999999999999997E-2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8.3964329932000023E-2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3.5984712828000018E-2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4.8235257240000017E-2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0.83181569999999994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CM4wc+1APwnU9UK95rOYM3dDITn46UYWqhzdUPZ/9i2ApcSpT5gBG7eaRR1zGCB6tjM4mXzkvd5f82ZwOAzhQ==" saltValue="rEpVaNhyYJBVGuCiuFJs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+p41jH2qGQq9wc+nwSn7be29a7zP7i92wPiu2Xb2uLj06s+Lob+aUfD4HslQxVPN5eU+uo2u0+5/4Msx/PKz+Q==" saltValue="2IvD3XL816SD7+qN1L5Ax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rfigaG7eWLCfgxButu9FLUka4HzHL78ysiQ1iFNJbUEym2fELiAiL5XLn9apsRV7eeip56wLrKDmoxS9b/54g==" saltValue="xlh8JIa58ziCPpXrDX0e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xPdQKv/I0z6gM5wiqAGwFKEjrDLL/9/o0AmeQayYkeA7O2sh8/m8XPAUUGBTJ3PaP4tX0DUg434qfIzqFD+/g==" saltValue="T+1qHeXpfk7U4OhxDVyp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5GIwWhK2WxEmLsPuVJxkjBKIRzELOCPrBPKFd/7nnVf5hR/MfBaMkPVGOIlNFi1AGAtoD8OPFkENQnDX/x8ufA==" saltValue="Op/SEOoUNVZ/rgs0s3RaB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A2V3gCjLfam/0tdfHTq2bYmXEXIMlGf99M8N7Ili2aPm4kevXBY01FeirE2o+gQLTJg2PudVRt8WvLBQZBihA==" saltValue="oetvhPvwOLJBxJcNpCT2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byHVLkOL5WMIA9/ufqPgGJ24cn0n1Z36fhuw2Et11JKHfUWsUIfflJTUD75Zs07GA/SBtaaBAJs6oBoZaayQg==" saltValue="WRnqgz78uvMXI7PsOwwF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gaHK+ihku8x2W31+4Q7DxE2qwLjUKQYd3iKQ8vUKitjTTqolhM88xTAzqhOoDxBMzO87Z33DW9CHuFHBESVgGQ==" saltValue="kM8MD2LHCWciP1EIeF8a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zMuwx3PrYcf2MbHq3nkwr0iLEOfFhIuIVXbp3N6YlSTB81S5bKJf1MDES5mIQmXYWtLN0D9RmU9LJZOl3MwiQ==" saltValue="Jroi8G95pva6/Oktrcek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vdw2KBnb1U1q46oGwZTFqQ0j9i/AOIdAqXJPmrxNXocehWjezIWvyrUrGd0o/kzhGG/ngqyIbZJLjCZS6qx7g==" saltValue="9fp3wBBAfXp9h39xQzeg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xvNqV2G6oQ8NJhl3ZjHrNQGnTJWiSfDTsRxo0IfDYzZ1pHgaA20YnGJSDVo0LnxMZrt8bbrXoDn/dJUM17h0w==" saltValue="5Zy+ROwCJfQM2+ehxs7Y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eVvle2URD79BM7UV7l5haHa9KqUxdFICTobWDpJCMj8ftsAXtmqGesGxqfHiaNWVuKlK6ulXeC5zUmOeXIlXg==" saltValue="BGhSUT6CJ0OASR9eqU8L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4YBRwuRelGH8Hwzfc0IJOjaBq/y6StoZKm4VmYgg5xm+WOxHWYjYczKPCSGJT0gCKIsj+thFgZoIYk9dRFz5g==" saltValue="sghjYiJko3Ync5uDSqwW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ynXRjZvc9rsYP8RgXofCvhXo++S5BStst8BB5xcHLCXuTD8ZOLdY171UIASSqkEqhsj6u9H+Y6lqMJmFN/Y6w==" saltValue="/h41dMlvSuAJPWZQDlVR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wkwQwAgteor77zsd5Po64uDn+4YCMYlH1DW+YrbAB8essa4caQ/fITNuYfRR3hXvCWtoX3b0uUVT+pmW4Zi4A==" saltValue="aeQv02RIUSUn/JDpFMoo0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