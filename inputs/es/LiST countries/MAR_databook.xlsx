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/>
  <mc:AlternateContent xmlns:mc="http://schemas.openxmlformats.org/markup-compatibility/2006">
    <mc:Choice Requires="x15">
      <x15ac:absPath xmlns:x15ac="http://schemas.microsoft.com/office/spreadsheetml/2010/11/ac" url="C:\Modelling projects\Nutrition\inputs\es\LiST countries\"/>
    </mc:Choice>
  </mc:AlternateContent>
  <xr:revisionPtr revIDLastSave="0" documentId="8_{FA78B014-8596-4F3F-B0B6-95C2E83AE1D5}" xr6:coauthVersionLast="47" xr6:coauthVersionMax="47" xr10:uidLastSave="{00000000-0000-0000-0000-000000000000}"/>
  <bookViews>
    <workbookView xWindow="-110" yWindow="-110" windowWidth="19420" windowHeight="1030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M60" i="25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H8" i="2"/>
  <c r="G8" i="2"/>
  <c r="I8" i="2" s="1"/>
  <c r="H7" i="2"/>
  <c r="G7" i="2"/>
  <c r="I7" i="2" s="1"/>
  <c r="H6" i="2"/>
  <c r="G6" i="2"/>
  <c r="I6" i="2" s="1"/>
  <c r="H5" i="2"/>
  <c r="G5" i="2"/>
  <c r="H4" i="2"/>
  <c r="G4" i="2"/>
  <c r="I4" i="2" s="1"/>
  <c r="H3" i="2"/>
  <c r="G3" i="2"/>
  <c r="H2" i="2"/>
  <c r="G2" i="2"/>
  <c r="I2" i="2" s="1"/>
  <c r="A2" i="2"/>
  <c r="A39" i="2" s="1"/>
  <c r="C33" i="1"/>
  <c r="C20" i="1"/>
  <c r="I3" i="2" l="1"/>
  <c r="I9" i="2"/>
  <c r="I39" i="2"/>
  <c r="A36" i="2"/>
  <c r="A37" i="2"/>
  <c r="A35" i="2"/>
  <c r="A19" i="2"/>
  <c r="A23" i="2"/>
  <c r="A22" i="2"/>
  <c r="A24" i="2"/>
  <c r="A40" i="2"/>
  <c r="A25" i="2"/>
  <c r="A26" i="2"/>
  <c r="A31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<sst xmlns="http://schemas.openxmlformats.org/spreadsheetml/2006/main" count="2169" uniqueCount="373">
  <si>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</si>
  <si>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</si>
  <si>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</si>
  <si>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</si>
  <si>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</si>
  <si>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</si>
  <si>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</si>
  <si>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</si>
  <si>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</si>
  <si>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</si>
  <si>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</si>
  <si>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</si>
  <si>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</si>
  <si>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</si>
  <si>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</si>
  <si>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</si>
  <si>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</si>
  <si>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</si>
  <si>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</si>
  <si>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</si>
  <si>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</si>
  <si>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</si>
  <si>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</si>
  <si>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</si>
  <si>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</si>
  <si>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</si>
  <si>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</si>
  <si>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</si>
  <si>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</si>
  <si>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</si>
  <si>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</si>
  <si>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</si>
  <si>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</si>
  <si>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</si>
  <si>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</si>
  <si>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</si>
  <si>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</si>
  <si>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</si>
  <si>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</si>
  <si>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</si>
  <si>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</si>
  <si>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</si>
  <si>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</si>
  <si>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</si>
  <si>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</si>
  <si>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</si>
  <si>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</si>
  <si>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</si>
  <si>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</si>
  <si>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</si>
  <si>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</si>
  <si>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</si>
  <si>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</si>
  <si>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</si>
  <si>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</si>
  <si>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</si>
  <si>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</si>
  <si>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</si>
  <si>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</si>
  <si>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</si>
  <si>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</si>
  <si>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</si>
  <si>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</si>
  <si>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</si>
  <si>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</si>
  <si>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</si>
  <si>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</si>
  <si>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</si>
  <si>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</si>
  <si>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</si>
  <si>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</si>
  <si>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</si>
  <si>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</si>
  <si>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</si>
  <si>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</si>
  <si>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</si>
  <si>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</si>
  <si>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</si>
  <si>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</si>
  <si>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</si>
  <si>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</si>
  <si>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</si>
  <si>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</si>
  <si>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</si>
  <si>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</si>
  <si>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</si>
  <si>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</si>
  <si>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</si>
  <si>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</si>
  <si>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</si>
  <si>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</si>
  <si>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</si>
  <si>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</si>
  <si>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</si>
  <si>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</si>
  <si>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</si>
  <si>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</si>
  <si>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</si>
  <si>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</si>
  <si>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</si>
  <si>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</si>
  <si>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</si>
  <si>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</si>
  <si>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</si>
  <si>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</si>
  <si>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</si>
  <si>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</si>
  <si>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</si>
  <si>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</si>
  <si>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</si>
  <si>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</si>
  <si>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</si>
  <si>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</si>
  <si>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</si>
  <si>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</si>
  <si>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</si>
  <si>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</si>
  <si>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</si>
  <si>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</si>
  <si>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</si>
  <si>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</si>
  <si>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</si>
  <si>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</si>
  <si>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</si>
  <si>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</si>
  <si>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</si>
  <si>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</si>
  <si>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</si>
  <si>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</si>
  <si>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</si>
  <si>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</si>
  <si>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</si>
  <si>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</si>
  <si>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</si>
  <si>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</si>
  <si>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</si>
  <si>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</si>
  <si>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</si>
  <si>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</si>
  <si>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</si>
  <si>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</si>
  <si>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</si>
  <si>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</si>
  <si>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</si>
  <si>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</si>
  <si>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</si>
  <si>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</si>
  <si>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</si>
  <si>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</si>
  <si>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</si>
  <si>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</si>
  <si>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</si>
  <si>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</si>
  <si>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</si>
  <si>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</si>
  <si>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</si>
  <si>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</si>
  <si>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</si>
  <si>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</si>
  <si>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</si>
  <si>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</si>
  <si>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</si>
  <si>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</si>
  <si>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</si>
  <si>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</si>
  <si>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</si>
  <si>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</si>
  <si>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</si>
  <si>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</si>
  <si>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</si>
  <si>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</si>
  <si>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</si>
  <si>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</si>
  <si>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</si>
  <si>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</si>
  <si>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</si>
  <si>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</si>
  <si>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</si>
  <si>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</si>
  <si>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</si>
  <si>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</si>
  <si>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</si>
  <si>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</si>
  <si>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</si>
  <si>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</si>
  <si>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</si>
  <si>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</si>
  <si>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</si>
  <si>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</si>
  <si>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</si>
  <si>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</si>
  <si>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</si>
  <si>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</si>
  <si>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</si>
  <si>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</si>
  <si>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</si>
  <si>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</si>
  <si>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</si>
  <si>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</si>
  <si>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</si>
  <si>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</si>
  <si>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</si>
  <si>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</si>
  <si>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</si>
  <si>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</si>
  <si>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</si>
  <si>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</si>
  <si>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</si>
  <si>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</si>
  <si>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</si>
  <si>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</si>
  <si>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</si>
  <si>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</si>
  <si>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</si>
  <si>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</si>
  <si>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</si>
  <si>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</si>
  <si>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</si>
  <si>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</si>
  <si>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</si>
  <si>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</si>
  <si>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</si>
  <si>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</si>
  <si>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</si>
  <si>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</si>
  <si>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</si>
  <si>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</si>
  <si>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</si>
  <si>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</si>
  <si>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</si>
  <si>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</si>
  <si>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</si>
  <si>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</si>
  <si>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</si>
  <si>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</si>
  <si>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</si>
  <si>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</si>
  <si>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</si>
  <si>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</si>
  <si>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</si>
  <si>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</si>
  <si>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</si>
  <si>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</si>
  <si>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</si>
  <si>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</si>
  <si>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</si>
  <si>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</si>
  <si>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</si>
  <si>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</si>
  <si>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</si>
  <si>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</si>
  <si>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</si>
  <si>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</si>
  <si>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</si>
  <si>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</si>
  <si>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</si>
  <si>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</si>
  <si>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</si>
  <si>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</si>
  <si>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</si>
  <si>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</si>
  <si>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</si>
  <si>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</si>
  <si>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</si>
  <si>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</si>
  <si>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</si>
  <si>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</si>
  <si>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</si>
  <si>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</si>
  <si>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</si>
  <si>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</si>
  <si>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</si>
  <si>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</si>
  <si>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</si>
  <si>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</si>
  <si>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</si>
  <si>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</si>
  <si>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</si>
  <si>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</si>
  <si>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</si>
  <si>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</si>
  <si>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</si>
  <si>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</si>
  <si>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</si>
  <si>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</si>
  <si>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</si>
  <si>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</si>
  <si>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</si>
  <si>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</si>
  <si>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</si>
  <si>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</si>
  <si>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</si>
  <si>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</si>
  <si>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</si>
  <si>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</si>
  <si>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</si>
  <si>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</si>
  <si>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</si>
  <si>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</si>
  <si>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</si>
  <si>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</si>
  <si>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</si>
  <si>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</si>
  <si>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</si>
  <si>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</si>
  <si>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</si>
  <si>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</si>
  <si>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</si>
  <si>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</si>
  <si>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</si>
  <si>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</si>
  <si>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</si>
  <si>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</si>
  <si>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</si>
  <si>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</si>
  <si>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</si>
  <si>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</si>
  <si>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</si>
  <si>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</si>
  <si>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</si>
  <si>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</si>
  <si>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</si>
  <si>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</si>
  <si>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</si>
  <si>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</si>
  <si>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</si>
  <si>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</si>
  <si>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</si>
  <si>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</si>
  <si>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</si>
  <si>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</si>
  <si>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</si>
  <si>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</si>
  <si>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</si>
  <si>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</si>
  <si>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</si>
  <si>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</si>
  <si>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</si>
  <si>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</si>
  <si>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</si>
  <si>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</si>
  <si>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</si>
  <si>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</si>
  <si>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</si>
  <si>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</si>
  <si>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</si>
  <si>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</si>
  <si>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</si>
  <si>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</si>
  <si>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</si>
  <si>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</si>
  <si>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</si>
  <si>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</si>
  <si>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</si>
  <si>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</si>
  <si>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</si>
  <si>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</si>
  <si>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</si>
  <si>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</si>
  <si>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</si>
  <si>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</si>
  <si>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</si>
  <si>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</si>
  <si>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</si>
  <si>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</si>
  <si>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</si>
  <si>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</si>
  <si>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</si>
  <si>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</si>
  <si>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</si>
  <si>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</si>
  <si>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</si>
  <si>
    <t>Todas las causas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</si>
</sst>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3145744</v>
      </c>
    </row>
    <row r="8" spans="1:3" ht="15" customHeight="1" x14ac:dyDescent="0.25">
      <c r="B8" s="5" t="s">
        <v>63</v>
      </c>
      <c r="C8" s="44">
        <v>0.01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0.63021438598632795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0.252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6.9099999999999995E-2</v>
      </c>
    </row>
    <row r="24" spans="1:3" ht="15" customHeight="1" x14ac:dyDescent="0.25">
      <c r="B24" s="15" t="s">
        <v>65</v>
      </c>
      <c r="C24" s="45">
        <v>0.43240000000000001</v>
      </c>
    </row>
    <row r="25" spans="1:3" ht="15" customHeight="1" x14ac:dyDescent="0.25">
      <c r="B25" s="15" t="s">
        <v>66</v>
      </c>
      <c r="C25" s="45">
        <v>0.39429999999999998</v>
      </c>
    </row>
    <row r="26" spans="1:3" ht="15" customHeight="1" x14ac:dyDescent="0.25">
      <c r="B26" s="15" t="s">
        <v>67</v>
      </c>
      <c r="C26" s="45">
        <v>0.1042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0.27342300031322098</v>
      </c>
    </row>
    <row r="30" spans="1:3" ht="14.25" customHeight="1" x14ac:dyDescent="0.25">
      <c r="B30" s="25" t="s">
        <v>82</v>
      </c>
      <c r="C30" s="97">
        <v>5.2040607424200101E-2</v>
      </c>
    </row>
    <row r="31" spans="1:3" ht="14.25" customHeight="1" x14ac:dyDescent="0.25">
      <c r="B31" s="25" t="s">
        <v>29</v>
      </c>
      <c r="C31" s="97">
        <v>6.8435949585570102E-2</v>
      </c>
    </row>
    <row r="32" spans="1:3" ht="14.25" customHeight="1" x14ac:dyDescent="0.25">
      <c r="B32" s="25" t="s">
        <v>30</v>
      </c>
      <c r="C32" s="97">
        <v>0.60610044267700902</v>
      </c>
    </row>
    <row r="33" spans="1:5" ht="13.25" customHeight="1" x14ac:dyDescent="0.25">
      <c r="B33" s="27" t="s">
        <v>79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11.120749999999999</v>
      </c>
    </row>
    <row r="38" spans="1:5" ht="15" customHeight="1" x14ac:dyDescent="0.25">
      <c r="B38" s="11" t="s">
        <v>54</v>
      </c>
      <c r="C38" s="43">
        <v>15.422169999999999</v>
      </c>
      <c r="D38" s="12"/>
      <c r="E38" s="13"/>
    </row>
    <row r="39" spans="1:5" ht="15" customHeight="1" x14ac:dyDescent="0.25">
      <c r="B39" s="11" t="s">
        <v>80</v>
      </c>
      <c r="C39" s="43">
        <v>17.995570000000001</v>
      </c>
      <c r="D39" s="12"/>
      <c r="E39" s="12"/>
    </row>
    <row r="40" spans="1:5" ht="15" customHeight="1" x14ac:dyDescent="0.25">
      <c r="B40" s="11" t="s">
        <v>55</v>
      </c>
      <c r="C40" s="98">
        <v>0.72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13.22335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7.4773000000000001E-3</v>
      </c>
      <c r="D45" s="12"/>
    </row>
    <row r="46" spans="1:5" ht="15.75" customHeight="1" x14ac:dyDescent="0.25">
      <c r="B46" s="11" t="s">
        <v>70</v>
      </c>
      <c r="C46" s="45">
        <v>8.0342499999999997E-2</v>
      </c>
      <c r="D46" s="12"/>
    </row>
    <row r="47" spans="1:5" ht="15.75" customHeight="1" x14ac:dyDescent="0.25">
      <c r="B47" s="11" t="s">
        <v>78</v>
      </c>
      <c r="C47" s="45">
        <v>7.38901E-2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98">
        <v>2.9</v>
      </c>
      <c r="D51" s="12"/>
    </row>
    <row r="52" spans="1:4" ht="15" customHeight="1" x14ac:dyDescent="0.25">
      <c r="B52" s="11" t="s">
        <v>32</v>
      </c>
      <c r="C52" s="98">
        <v>2.9</v>
      </c>
    </row>
    <row r="53" spans="1:4" ht="15.75" customHeight="1" x14ac:dyDescent="0.25">
      <c r="B53" s="11" t="s">
        <v>35</v>
      </c>
      <c r="C53" s="98">
        <v>2.9</v>
      </c>
    </row>
    <row r="54" spans="1:4" ht="15.75" customHeight="1" x14ac:dyDescent="0.25">
      <c r="B54" s="11" t="s">
        <v>33</v>
      </c>
      <c r="C54" s="98">
        <v>2.9</v>
      </c>
    </row>
    <row r="55" spans="1:4" ht="15.75" customHeight="1" x14ac:dyDescent="0.25">
      <c r="B55" s="11" t="s">
        <v>34</v>
      </c>
      <c r="C55" s="98">
        <v>2.9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2.0689655172413789E-2</v>
      </c>
    </row>
    <row r="59" spans="1:4" ht="15.75" customHeight="1" x14ac:dyDescent="0.25">
      <c r="B59" s="11" t="s">
        <v>59</v>
      </c>
      <c r="C59" s="45">
        <v>0.55589599999999983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0.17284669999999899</v>
      </c>
    </row>
    <row r="63" spans="1:4" ht="15.75" customHeight="1" x14ac:dyDescent="0.3">
      <c r="A63" s="4"/>
    </row>
  </sheetData>
  <sheetProtection algorithmName="SHA-512" hashValue="pM5D3zzp/Eb8/ZOYcEY0Hm1Y3TKxqsCpMRr6qw2Qf84M9aXgdk+QA10jN3w44uUJk3f260R4dGvud821HASEEQ==" saltValue="QyMv0/QgSfbY9nPJ2GjWZ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624620</v>
      </c>
      <c r="C2" s="49">
        <v>1558191</v>
      </c>
      <c r="D2" s="49">
        <v>2827186.5</v>
      </c>
      <c r="E2" s="49">
        <v>2832881.9999999995</v>
      </c>
      <c r="F2" s="49">
        <v>2498031</v>
      </c>
      <c r="G2" s="17">
        <f t="shared" ref="G2:G13" si="0">C2+D2+E2+F2</f>
        <v>9716290.5</v>
      </c>
      <c r="H2" s="17">
        <f t="shared" ref="H2:H13" si="1">(B2 + stillbirth*B2/(1000-stillbirth))/(1-abortion)</f>
        <v>719307.1041409974</v>
      </c>
      <c r="I2" s="17">
        <f t="shared" ref="I2:I13" si="2">G2-H2</f>
        <v>8996983.3958590031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619057</v>
      </c>
      <c r="C3" s="50">
        <v>1584877.5</v>
      </c>
      <c r="D3" s="50">
        <v>2833963.5</v>
      </c>
      <c r="E3" s="50">
        <v>2828487.5</v>
      </c>
      <c r="F3" s="50">
        <v>2544930.5</v>
      </c>
      <c r="G3" s="17">
        <f t="shared" si="0"/>
        <v>9792259</v>
      </c>
      <c r="H3" s="17">
        <f t="shared" si="1"/>
        <v>712900.80043580651</v>
      </c>
      <c r="I3" s="17">
        <f t="shared" si="2"/>
        <v>9079358.1995641943</v>
      </c>
    </row>
    <row r="4" spans="1:9" ht="15.75" customHeight="1" x14ac:dyDescent="0.25">
      <c r="A4" s="5">
        <f t="shared" si="3"/>
        <v>2026</v>
      </c>
      <c r="B4" s="49">
        <v>613838</v>
      </c>
      <c r="C4" s="50">
        <v>1607227.5</v>
      </c>
      <c r="D4" s="50">
        <v>2848341</v>
      </c>
      <c r="E4" s="50">
        <v>2817069.5</v>
      </c>
      <c r="F4" s="50">
        <v>2588567.5</v>
      </c>
      <c r="G4" s="17">
        <f t="shared" si="0"/>
        <v>9861205.5</v>
      </c>
      <c r="H4" s="17">
        <f t="shared" si="1"/>
        <v>706890.64421840722</v>
      </c>
      <c r="I4" s="17">
        <f t="shared" si="2"/>
        <v>9154314.8557815924</v>
      </c>
    </row>
    <row r="5" spans="1:9" ht="15.75" customHeight="1" x14ac:dyDescent="0.25">
      <c r="A5" s="5">
        <f t="shared" si="3"/>
        <v>2027</v>
      </c>
      <c r="B5" s="49">
        <v>608737</v>
      </c>
      <c r="C5" s="50">
        <v>1621788.5</v>
      </c>
      <c r="D5" s="50">
        <v>2867200.5</v>
      </c>
      <c r="E5" s="50">
        <v>2804804</v>
      </c>
      <c r="F5" s="50">
        <v>2627986</v>
      </c>
      <c r="G5" s="17">
        <f t="shared" si="0"/>
        <v>9921779</v>
      </c>
      <c r="H5" s="17">
        <f t="shared" si="1"/>
        <v>701016.37580205291</v>
      </c>
      <c r="I5" s="17">
        <f t="shared" si="2"/>
        <v>9220762.6241979469</v>
      </c>
    </row>
    <row r="6" spans="1:9" ht="15.75" customHeight="1" x14ac:dyDescent="0.25">
      <c r="A6" s="5">
        <f t="shared" si="3"/>
        <v>2028</v>
      </c>
      <c r="B6" s="49">
        <v>604819</v>
      </c>
      <c r="C6" s="50">
        <v>1626641</v>
      </c>
      <c r="D6" s="50">
        <v>2889711.5000000005</v>
      </c>
      <c r="E6" s="50">
        <v>2795500.5</v>
      </c>
      <c r="F6" s="50">
        <v>2661768.5</v>
      </c>
      <c r="G6" s="17">
        <f t="shared" si="0"/>
        <v>9973621.5</v>
      </c>
      <c r="H6" s="17">
        <f t="shared" si="1"/>
        <v>696504.44017075002</v>
      </c>
      <c r="I6" s="17">
        <f t="shared" si="2"/>
        <v>9277117.05982925</v>
      </c>
    </row>
    <row r="7" spans="1:9" ht="15.75" customHeight="1" x14ac:dyDescent="0.25">
      <c r="A7" s="5">
        <f t="shared" si="3"/>
        <v>2029</v>
      </c>
      <c r="B7" s="49">
        <v>601150</v>
      </c>
      <c r="C7" s="50">
        <v>1621387</v>
      </c>
      <c r="D7" s="50">
        <v>2919141.4999999995</v>
      </c>
      <c r="E7" s="50">
        <v>2784534.4999999995</v>
      </c>
      <c r="F7" s="50">
        <v>2690952</v>
      </c>
      <c r="G7" s="17">
        <f t="shared" si="0"/>
        <v>10016015</v>
      </c>
      <c r="H7" s="17">
        <f t="shared" si="1"/>
        <v>692279.25083148258</v>
      </c>
      <c r="I7" s="17">
        <f t="shared" si="2"/>
        <v>9323735.7491685171</v>
      </c>
    </row>
    <row r="8" spans="1:9" ht="15.75" customHeight="1" x14ac:dyDescent="0.25">
      <c r="A8" s="5">
        <f t="shared" si="3"/>
        <v>2030</v>
      </c>
      <c r="B8" s="49">
        <v>598285</v>
      </c>
      <c r="C8" s="50">
        <v>1608407.5</v>
      </c>
      <c r="D8" s="50">
        <v>2954168.5</v>
      </c>
      <c r="E8" s="50">
        <v>2770248</v>
      </c>
      <c r="F8" s="50">
        <v>2717358</v>
      </c>
      <c r="G8" s="17">
        <f t="shared" si="0"/>
        <v>10050182</v>
      </c>
      <c r="H8" s="17">
        <f t="shared" si="1"/>
        <v>688979.94108577468</v>
      </c>
      <c r="I8" s="17">
        <f t="shared" si="2"/>
        <v>9361202.0589142255</v>
      </c>
    </row>
    <row r="9" spans="1:9" ht="15.75" customHeight="1" x14ac:dyDescent="0.25">
      <c r="A9" s="5">
        <f t="shared" si="3"/>
        <v>2031</v>
      </c>
      <c r="B9" s="49">
        <v>594230</v>
      </c>
      <c r="C9" s="50">
        <v>1593172.5</v>
      </c>
      <c r="D9" s="50">
        <v>2989041.5000000005</v>
      </c>
      <c r="E9" s="50">
        <v>2756115.5</v>
      </c>
      <c r="F9" s="50">
        <v>2739125.5</v>
      </c>
      <c r="G9" s="17">
        <f t="shared" si="0"/>
        <v>10077455</v>
      </c>
      <c r="H9" s="17">
        <f t="shared" si="1"/>
        <v>684310.23741427565</v>
      </c>
      <c r="I9" s="17">
        <f t="shared" si="2"/>
        <v>9393144.7625857238</v>
      </c>
    </row>
    <row r="10" spans="1:9" ht="15.75" customHeight="1" x14ac:dyDescent="0.25">
      <c r="A10" s="5">
        <f t="shared" si="3"/>
        <v>2032</v>
      </c>
      <c r="B10" s="49">
        <v>591376</v>
      </c>
      <c r="C10" s="50">
        <v>1579554</v>
      </c>
      <c r="D10" s="50">
        <v>3022098</v>
      </c>
      <c r="E10" s="50">
        <v>2741808.5</v>
      </c>
      <c r="F10" s="50">
        <v>2754194.4999999995</v>
      </c>
      <c r="G10" s="17">
        <f t="shared" si="0"/>
        <v>10097655</v>
      </c>
      <c r="H10" s="17">
        <f t="shared" si="1"/>
        <v>681023.59517544496</v>
      </c>
      <c r="I10" s="17">
        <f t="shared" si="2"/>
        <v>9416631.4048245549</v>
      </c>
    </row>
    <row r="11" spans="1:9" ht="15.75" customHeight="1" x14ac:dyDescent="0.25">
      <c r="A11" s="5">
        <f t="shared" si="3"/>
        <v>2033</v>
      </c>
      <c r="B11" s="49">
        <v>588747</v>
      </c>
      <c r="C11" s="50">
        <v>1569231</v>
      </c>
      <c r="D11" s="50">
        <v>3050403.0000000005</v>
      </c>
      <c r="E11" s="50">
        <v>2729251</v>
      </c>
      <c r="F11" s="50">
        <v>2763036.5</v>
      </c>
      <c r="G11" s="17">
        <f t="shared" si="0"/>
        <v>10111921.5</v>
      </c>
      <c r="H11" s="17">
        <f t="shared" si="1"/>
        <v>677996.061031827</v>
      </c>
      <c r="I11" s="17">
        <f t="shared" si="2"/>
        <v>9433925.4389681723</v>
      </c>
    </row>
    <row r="12" spans="1:9" ht="15.75" customHeight="1" x14ac:dyDescent="0.25">
      <c r="A12" s="5">
        <f t="shared" si="3"/>
        <v>2034</v>
      </c>
      <c r="B12" s="49">
        <v>586104</v>
      </c>
      <c r="C12" s="50">
        <v>1562231</v>
      </c>
      <c r="D12" s="50">
        <v>3070006.5000000005</v>
      </c>
      <c r="E12" s="50">
        <v>2723123.5</v>
      </c>
      <c r="F12" s="50">
        <v>2765014</v>
      </c>
      <c r="G12" s="17">
        <f t="shared" si="0"/>
        <v>10120375</v>
      </c>
      <c r="H12" s="17">
        <f t="shared" si="1"/>
        <v>674952.40460672916</v>
      </c>
      <c r="I12" s="17">
        <f t="shared" si="2"/>
        <v>9445422.5953932703</v>
      </c>
    </row>
    <row r="13" spans="1:9" ht="15.75" customHeight="1" x14ac:dyDescent="0.25">
      <c r="A13" s="5">
        <f t="shared" si="3"/>
        <v>2035</v>
      </c>
      <c r="B13" s="49">
        <v>584049</v>
      </c>
      <c r="C13" s="50">
        <v>1555369</v>
      </c>
      <c r="D13" s="50">
        <v>3081553</v>
      </c>
      <c r="E13" s="50">
        <v>2726149.9999999995</v>
      </c>
      <c r="F13" s="50">
        <v>2759158.0000000005</v>
      </c>
      <c r="G13" s="17">
        <f t="shared" si="0"/>
        <v>10122230</v>
      </c>
      <c r="H13" s="17">
        <f t="shared" si="1"/>
        <v>672585.88400378684</v>
      </c>
      <c r="I13" s="17">
        <f t="shared" si="2"/>
        <v>9449644.1159962136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qEtamiYZiPogMOXtYQmxwm3WHTw+8nUD4CKJFddncoEine1kiKsA3Lc60HRBo3mymGeDcmps6AskKTFilwNx2A==" saltValue="frUp93J1Cpj1MURyP98kC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8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4.1866000000000082E-3</v>
      </c>
    </row>
    <row r="4" spans="1:8" ht="15.75" customHeight="1" x14ac:dyDescent="0.25">
      <c r="B4" s="19" t="s">
        <v>116</v>
      </c>
      <c r="C4" s="99">
        <v>3.4764499999999997E-2</v>
      </c>
    </row>
    <row r="5" spans="1:8" ht="15.75" customHeight="1" x14ac:dyDescent="0.25">
      <c r="B5" s="19" t="s">
        <v>114</v>
      </c>
      <c r="C5" s="99">
        <v>3.1592600000000033E-2</v>
      </c>
    </row>
    <row r="6" spans="1:8" ht="15.75" customHeight="1" x14ac:dyDescent="0.25">
      <c r="B6" s="19" t="s">
        <v>110</v>
      </c>
      <c r="C6" s="99">
        <v>0.16727610000000029</v>
      </c>
    </row>
    <row r="7" spans="1:8" ht="15.75" customHeight="1" x14ac:dyDescent="0.25">
      <c r="B7" s="19" t="s">
        <v>115</v>
      </c>
      <c r="C7" s="99">
        <v>0.51364719999999997</v>
      </c>
    </row>
    <row r="8" spans="1:8" ht="15.75" customHeight="1" x14ac:dyDescent="0.25">
      <c r="B8" s="19" t="s">
        <v>117</v>
      </c>
      <c r="C8" s="99">
        <v>5.142000000000009E-4</v>
      </c>
    </row>
    <row r="9" spans="1:8" ht="15.75" customHeight="1" x14ac:dyDescent="0.25">
      <c r="B9" s="19" t="s">
        <v>111</v>
      </c>
      <c r="C9" s="99">
        <v>0.1789375999999997</v>
      </c>
    </row>
    <row r="10" spans="1:8" ht="15.75" customHeight="1" x14ac:dyDescent="0.25">
      <c r="B10" s="19" t="s">
        <v>113</v>
      </c>
      <c r="C10" s="99">
        <v>6.9081200000000106E-2</v>
      </c>
    </row>
    <row r="11" spans="1:8" ht="15.75" customHeight="1" x14ac:dyDescent="0.25">
      <c r="B11" s="27" t="s">
        <v>79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0" t="s">
        <v>93</v>
      </c>
      <c r="D13" s="100" t="s">
        <v>96</v>
      </c>
      <c r="E13" s="100" t="s">
        <v>94</v>
      </c>
      <c r="F13" s="100" t="s">
        <v>95</v>
      </c>
      <c r="G13" s="19"/>
    </row>
    <row r="14" spans="1:8" ht="15.75" customHeight="1" x14ac:dyDescent="0.25">
      <c r="B14" s="19" t="s">
        <v>103</v>
      </c>
      <c r="C14" s="55">
        <v>6.0123603405278697E-2</v>
      </c>
      <c r="D14" s="55">
        <v>6.0123603405278697E-2</v>
      </c>
      <c r="E14" s="55">
        <v>6.0123603405278697E-2</v>
      </c>
      <c r="F14" s="55">
        <v>6.0123603405278697E-2</v>
      </c>
    </row>
    <row r="15" spans="1:8" ht="15.75" customHeight="1" x14ac:dyDescent="0.25">
      <c r="B15" s="19" t="s">
        <v>121</v>
      </c>
      <c r="C15" s="99">
        <v>0.64463796691699249</v>
      </c>
      <c r="D15" s="99">
        <v>0.64463796691699249</v>
      </c>
      <c r="E15" s="99">
        <v>0.64463796691699249</v>
      </c>
      <c r="F15" s="99">
        <v>0.64463796691699249</v>
      </c>
    </row>
    <row r="16" spans="1:8" ht="15.75" customHeight="1" x14ac:dyDescent="0.25">
      <c r="B16" s="19" t="s">
        <v>2</v>
      </c>
      <c r="C16" s="99">
        <v>1.1737965988328471E-2</v>
      </c>
      <c r="D16" s="99">
        <v>1.1737965988328471E-2</v>
      </c>
      <c r="E16" s="99">
        <v>1.1737965988328471E-2</v>
      </c>
      <c r="F16" s="99">
        <v>1.1737965988328471E-2</v>
      </c>
    </row>
    <row r="17" spans="1:8" ht="15.75" customHeight="1" x14ac:dyDescent="0.25">
      <c r="B17" s="19" t="s">
        <v>109</v>
      </c>
      <c r="C17" s="99">
        <v>4.1077226371291783E-4</v>
      </c>
      <c r="D17" s="99">
        <v>4.1077226371291783E-4</v>
      </c>
      <c r="E17" s="99">
        <v>4.1077226371291783E-4</v>
      </c>
      <c r="F17" s="99">
        <v>4.1077226371291783E-4</v>
      </c>
    </row>
    <row r="18" spans="1:8" ht="15.75" customHeight="1" x14ac:dyDescent="0.25">
      <c r="B18" s="19" t="s">
        <v>3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120</v>
      </c>
      <c r="C19" s="99">
        <v>1.566186659983906E-2</v>
      </c>
      <c r="D19" s="99">
        <v>1.566186659983906E-2</v>
      </c>
      <c r="E19" s="99">
        <v>1.566186659983906E-2</v>
      </c>
      <c r="F19" s="99">
        <v>1.566186659983906E-2</v>
      </c>
    </row>
    <row r="20" spans="1:8" ht="15.75" customHeight="1" x14ac:dyDescent="0.25">
      <c r="B20" s="19" t="s">
        <v>98</v>
      </c>
      <c r="C20" s="99">
        <v>9.7501729496966699E-3</v>
      </c>
      <c r="D20" s="99">
        <v>9.7501729496966699E-3</v>
      </c>
      <c r="E20" s="99">
        <v>9.7501729496966699E-3</v>
      </c>
      <c r="F20" s="99">
        <v>9.7501729496966699E-3</v>
      </c>
    </row>
    <row r="21" spans="1:8" ht="15.75" customHeight="1" x14ac:dyDescent="0.25">
      <c r="B21" s="19" t="s">
        <v>107</v>
      </c>
      <c r="C21" s="99">
        <v>0.16638346834571979</v>
      </c>
      <c r="D21" s="99">
        <v>0.16638346834571979</v>
      </c>
      <c r="E21" s="99">
        <v>0.16638346834571979</v>
      </c>
      <c r="F21" s="99">
        <v>0.16638346834571979</v>
      </c>
    </row>
    <row r="22" spans="1:8" ht="15.75" customHeight="1" x14ac:dyDescent="0.25">
      <c r="B22" s="19" t="s">
        <v>118</v>
      </c>
      <c r="C22" s="99">
        <v>9.1294183530432171E-2</v>
      </c>
      <c r="D22" s="99">
        <v>9.1294183530432171E-2</v>
      </c>
      <c r="E22" s="99">
        <v>9.1294183530432171E-2</v>
      </c>
      <c r="F22" s="99">
        <v>9.1294183530432171E-2</v>
      </c>
    </row>
    <row r="23" spans="1:8" ht="15.75" customHeight="1" x14ac:dyDescent="0.25">
      <c r="B23" s="27" t="s">
        <v>79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2.9403015000000001E-2</v>
      </c>
    </row>
    <row r="27" spans="1:8" ht="15.75" customHeight="1" x14ac:dyDescent="0.25">
      <c r="B27" s="19" t="s">
        <v>108</v>
      </c>
      <c r="C27" s="99">
        <v>9.4778499999999995E-3</v>
      </c>
    </row>
    <row r="28" spans="1:8" ht="15.75" customHeight="1" x14ac:dyDescent="0.25">
      <c r="B28" s="19" t="s">
        <v>122</v>
      </c>
      <c r="C28" s="99">
        <v>0.26792401599999999</v>
      </c>
    </row>
    <row r="29" spans="1:8" ht="15.75" customHeight="1" x14ac:dyDescent="0.25">
      <c r="B29" s="19" t="s">
        <v>105</v>
      </c>
      <c r="C29" s="99">
        <v>0.15314538599999999</v>
      </c>
    </row>
    <row r="30" spans="1:8" ht="15.75" customHeight="1" x14ac:dyDescent="0.25">
      <c r="B30" s="19" t="s">
        <v>4</v>
      </c>
      <c r="C30" s="99">
        <v>8.2032367999999994E-2</v>
      </c>
    </row>
    <row r="31" spans="1:8" ht="15.75" customHeight="1" x14ac:dyDescent="0.25">
      <c r="B31" s="19" t="s">
        <v>99</v>
      </c>
      <c r="C31" s="99">
        <v>7.4517409999999996E-3</v>
      </c>
    </row>
    <row r="32" spans="1:8" ht="15.75" customHeight="1" x14ac:dyDescent="0.25">
      <c r="B32" s="19" t="s">
        <v>104</v>
      </c>
      <c r="C32" s="99">
        <v>1.1600134E-2</v>
      </c>
    </row>
    <row r="33" spans="2:3" ht="15.75" customHeight="1" x14ac:dyDescent="0.25">
      <c r="B33" s="19" t="s">
        <v>119</v>
      </c>
      <c r="C33" s="99">
        <v>0.249526525</v>
      </c>
    </row>
    <row r="34" spans="2:3" ht="15.75" customHeight="1" x14ac:dyDescent="0.25">
      <c r="B34" s="19" t="s">
        <v>106</v>
      </c>
      <c r="C34" s="99">
        <v>0.18943896499999999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bCGfVMcxAJNCpYYpyRM2v7vC9E+8AthgECpO43r6HWXwm+TrJ/+EIPUsItDbg6lR4eXUTSawlI6KJcEiGAvK2A==" saltValue="51dlqK6Sxug9Mp1ppCqoN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0.42180623856288357</v>
      </c>
      <c r="D2" s="52">
        <f>IFERROR(1-_xlfn.NORM.DIST(_xlfn.NORM.INV(SUM(D4:D5), 0, 1) + 1, 0, 1, TRUE), "")</f>
        <v>0.42180623856288357</v>
      </c>
      <c r="E2" s="52">
        <f>IFERROR(1-_xlfn.NORM.DIST(_xlfn.NORM.INV(SUM(E4:E5), 0, 1) + 1, 0, 1, TRUE), "")</f>
        <v>0.42890962659178988</v>
      </c>
      <c r="F2" s="52">
        <f>IFERROR(1-_xlfn.NORM.DIST(_xlfn.NORM.INV(SUM(F4:F5), 0, 1) + 1, 0, 1, TRUE), "")</f>
        <v>0.37923916161931714</v>
      </c>
      <c r="G2" s="52">
        <f>IFERROR(1-_xlfn.NORM.DIST(_xlfn.NORM.INV(SUM(G4:G5), 0, 1) + 1, 0, 1, TRUE), "")</f>
        <v>0.39092597722275935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0.36712696143711643</v>
      </c>
      <c r="D3" s="52">
        <f>IFERROR(_xlfn.NORM.DIST(_xlfn.NORM.INV(SUM(D4:D5), 0, 1) + 1, 0, 1, TRUE) - SUM(D4:D5), "")</f>
        <v>0.36712696143711643</v>
      </c>
      <c r="E3" s="52">
        <f>IFERROR(_xlfn.NORM.DIST(_xlfn.NORM.INV(SUM(E4:E5), 0, 1) + 1, 0, 1, TRUE) - SUM(E4:E5), "")</f>
        <v>0.36522427340821012</v>
      </c>
      <c r="F3" s="52">
        <f>IFERROR(_xlfn.NORM.DIST(_xlfn.NORM.INV(SUM(F4:F5), 0, 1) + 1, 0, 1, TRUE) - SUM(F4:F5), "")</f>
        <v>0.37645553838068285</v>
      </c>
      <c r="G3" s="52">
        <f>IFERROR(_xlfn.NORM.DIST(_xlfn.NORM.INV(SUM(G4:G5), 0, 1) + 1, 0, 1, TRUE) - SUM(G4:G5), "")</f>
        <v>0.37426282277724066</v>
      </c>
    </row>
    <row r="4" spans="1:15" ht="15.75" customHeight="1" x14ac:dyDescent="0.25">
      <c r="B4" s="5" t="s">
        <v>129</v>
      </c>
      <c r="C4" s="45">
        <v>0.1209505</v>
      </c>
      <c r="D4" s="53">
        <v>0.1209505</v>
      </c>
      <c r="E4" s="53">
        <v>0.1149128</v>
      </c>
      <c r="F4" s="53">
        <v>0.1187933</v>
      </c>
      <c r="G4" s="53">
        <v>0.14242050000000001</v>
      </c>
    </row>
    <row r="5" spans="1:15" ht="15.75" customHeight="1" x14ac:dyDescent="0.25">
      <c r="B5" s="5" t="s">
        <v>125</v>
      </c>
      <c r="C5" s="45">
        <v>9.0116299999999996E-2</v>
      </c>
      <c r="D5" s="53">
        <v>9.0116299999999996E-2</v>
      </c>
      <c r="E5" s="53">
        <v>9.0953300000000001E-2</v>
      </c>
      <c r="F5" s="53">
        <v>0.12551200000000001</v>
      </c>
      <c r="G5" s="53">
        <v>9.2390699999999992E-2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0.4829443176119903</v>
      </c>
      <c r="D8" s="52">
        <f>IFERROR(1-_xlfn.NORM.DIST(_xlfn.NORM.INV(SUM(D10:D11), 0, 1) + 1, 0, 1, TRUE), "")</f>
        <v>0.4829443176119903</v>
      </c>
      <c r="E8" s="52">
        <f>IFERROR(1-_xlfn.NORM.DIST(_xlfn.NORM.INV(SUM(E10:E11), 0, 1) + 1, 0, 1, TRUE), "")</f>
        <v>0.59698980997872075</v>
      </c>
      <c r="F8" s="52">
        <f>IFERROR(1-_xlfn.NORM.DIST(_xlfn.NORM.INV(SUM(F10:F11), 0, 1) + 1, 0, 1, TRUE), "")</f>
        <v>0.68020858093685532</v>
      </c>
      <c r="G8" s="52">
        <f>IFERROR(1-_xlfn.NORM.DIST(_xlfn.NORM.INV(SUM(G10:G11), 0, 1) + 1, 0, 1, TRUE), "")</f>
        <v>0.5872286834367908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0.3478312823880097</v>
      </c>
      <c r="D9" s="52">
        <f>IFERROR(_xlfn.NORM.DIST(_xlfn.NORM.INV(SUM(D10:D11), 0, 1) + 1, 0, 1, TRUE) - SUM(D10:D11), "")</f>
        <v>0.3478312823880097</v>
      </c>
      <c r="E9" s="52">
        <f>IFERROR(_xlfn.NORM.DIST(_xlfn.NORM.INV(SUM(E10:E11), 0, 1) + 1, 0, 1, TRUE) - SUM(E10:E11), "")</f>
        <v>0.29654779002127923</v>
      </c>
      <c r="F9" s="52">
        <f>IFERROR(_xlfn.NORM.DIST(_xlfn.NORM.INV(SUM(F10:F11), 0, 1) + 1, 0, 1, TRUE) - SUM(F10:F11), "")</f>
        <v>0.24877761906314469</v>
      </c>
      <c r="G9" s="52">
        <f>IFERROR(_xlfn.NORM.DIST(_xlfn.NORM.INV(SUM(G10:G11), 0, 1) + 1, 0, 1, TRUE) - SUM(G10:G11), "")</f>
        <v>0.30161881656320921</v>
      </c>
    </row>
    <row r="10" spans="1:15" ht="15.75" customHeight="1" x14ac:dyDescent="0.25">
      <c r="B10" s="5" t="s">
        <v>126</v>
      </c>
      <c r="C10" s="45">
        <v>7.8381999999999993E-2</v>
      </c>
      <c r="D10" s="53">
        <v>7.8381999999999993E-2</v>
      </c>
      <c r="E10" s="53">
        <v>5.3425599999999997E-2</v>
      </c>
      <c r="F10" s="53">
        <v>3.8551099999999998E-2</v>
      </c>
      <c r="G10" s="53">
        <v>6.2201800000000002E-2</v>
      </c>
    </row>
    <row r="11" spans="1:15" ht="15.75" customHeight="1" x14ac:dyDescent="0.25">
      <c r="B11" s="5" t="s">
        <v>138</v>
      </c>
      <c r="C11" s="45">
        <v>9.084239999999999E-2</v>
      </c>
      <c r="D11" s="53">
        <v>9.084239999999999E-2</v>
      </c>
      <c r="E11" s="53">
        <v>5.3036800000000002E-2</v>
      </c>
      <c r="F11" s="53">
        <v>3.2462699999999997E-2</v>
      </c>
      <c r="G11" s="53">
        <v>4.8950699999999993E-2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0.36986040149999999</v>
      </c>
      <c r="D14" s="54">
        <v>0.397561844474</v>
      </c>
      <c r="E14" s="54">
        <v>0.397561844474</v>
      </c>
      <c r="F14" s="54">
        <v>0.34443006445199997</v>
      </c>
      <c r="G14" s="54">
        <v>0.34443006445199997</v>
      </c>
      <c r="H14" s="45">
        <v>0.40400000000000008</v>
      </c>
      <c r="I14" s="55">
        <v>0.40400000000000008</v>
      </c>
      <c r="J14" s="55">
        <v>0.40400000000000008</v>
      </c>
      <c r="K14" s="55">
        <v>0.40400000000000008</v>
      </c>
      <c r="L14" s="45">
        <v>0.36699999999999999</v>
      </c>
      <c r="M14" s="55">
        <v>0.36699999999999999</v>
      </c>
      <c r="N14" s="55">
        <v>0.36699999999999999</v>
      </c>
      <c r="O14" s="55">
        <v>0.36699999999999999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0.20560391775224393</v>
      </c>
      <c r="D15" s="52">
        <f t="shared" si="0"/>
        <v>0.22100303909571864</v>
      </c>
      <c r="E15" s="52">
        <f t="shared" si="0"/>
        <v>0.22100303909571864</v>
      </c>
      <c r="F15" s="52">
        <f t="shared" si="0"/>
        <v>0.19146729510860891</v>
      </c>
      <c r="G15" s="52">
        <f t="shared" si="0"/>
        <v>0.19146729510860891</v>
      </c>
      <c r="H15" s="52">
        <f t="shared" si="0"/>
        <v>0.22458198399999998</v>
      </c>
      <c r="I15" s="52">
        <f t="shared" si="0"/>
        <v>0.22458198399999998</v>
      </c>
      <c r="J15" s="52">
        <f t="shared" si="0"/>
        <v>0.22458198399999998</v>
      </c>
      <c r="K15" s="52">
        <f t="shared" si="0"/>
        <v>0.22458198399999998</v>
      </c>
      <c r="L15" s="52">
        <f t="shared" si="0"/>
        <v>0.20401383199999992</v>
      </c>
      <c r="M15" s="52">
        <f t="shared" si="0"/>
        <v>0.20401383199999992</v>
      </c>
      <c r="N15" s="52">
        <f t="shared" si="0"/>
        <v>0.20401383199999992</v>
      </c>
      <c r="O15" s="52">
        <f t="shared" si="0"/>
        <v>0.20401383199999992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H5NB9fXpjcosUT2Y1aGzrilWCBzPY1x2bH0OZ1quSvfReHGsLBD54fzwGuyAa6Qtn3G/Oc0uyq4tKPDoO6ZOsw==" saltValue="JR25J6MHksuHPABf0/TIt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0.62008740000000007</v>
      </c>
      <c r="D2" s="53">
        <v>0.26531189999999999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8.8325500000000001E-2</v>
      </c>
      <c r="D3" s="53">
        <v>0.1554044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0.23018359999999999</v>
      </c>
      <c r="D4" s="53">
        <v>0.45311059999999997</v>
      </c>
      <c r="E4" s="53">
        <v>0.75188350000000004</v>
      </c>
      <c r="F4" s="53">
        <v>0.35143940000000001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6.1403499999999944E-2</v>
      </c>
      <c r="D5" s="52">
        <f t="shared" si="0"/>
        <v>0.12617310000000004</v>
      </c>
      <c r="E5" s="52">
        <f>1-SUM(E2:E4)</f>
        <v>0.24811649999999996</v>
      </c>
      <c r="F5" s="52">
        <f>1-SUM(F2:F4)</f>
        <v>0.64856059999999993</v>
      </c>
      <c r="G5" s="52">
        <f>1-SUM(G2:G4)</f>
        <v>1</v>
      </c>
    </row>
  </sheetData>
  <sheetProtection algorithmName="SHA-512" hashValue="LV0iDZ72fraGx4GbifkdXtYieEOzkMOcY5dCzWDT0BrOFbZRi0ZHS7N0x5RIA0xMY/PafTT+aO30+k8n1a9imA==" saltValue="OUdO3B31nc9lZwtB38xK+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NpLAV75E9JSNGpxc0m/C6iN73pCbpFtnCl07VdiH299quaHvZaKPfrf6+O08WX+hRvD34CgMiFugYHJUPvfEqg==" saltValue="syaWXUKQzZ4Mh1dd6GGo5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10</v>
      </c>
      <c r="B1" s="103" t="s">
        <v>11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160</v>
      </c>
      <c r="B2" s="107">
        <v>3441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159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170</v>
      </c>
      <c r="B4" s="108">
        <v>0.43840000000000001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161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162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165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164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166</v>
      </c>
      <c r="B9" s="108">
        <v>0.21240000000000001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163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171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172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173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174</v>
      </c>
      <c r="B14" s="110">
        <v>1.6277253939456813E-2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167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168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169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175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12</v>
      </c>
      <c r="B21" s="106" t="s">
        <v>13</v>
      </c>
      <c r="C21" s="106" t="s">
        <v>14</v>
      </c>
      <c r="D21" s="106" t="s">
        <v>15</v>
      </c>
      <c r="E21" s="106" t="s">
        <v>16</v>
      </c>
      <c r="F21" s="106" t="s">
        <v>17</v>
      </c>
      <c r="G21" s="106" t="s">
        <v>18</v>
      </c>
      <c r="H21" s="106" t="s">
        <v>19</v>
      </c>
      <c r="I21" s="106" t="s">
        <v>20</v>
      </c>
      <c r="J21" s="106" t="s">
        <v>21</v>
      </c>
      <c r="K21" s="106" t="s">
        <v>22</v>
      </c>
      <c r="L21" s="106" t="s">
        <v>23</v>
      </c>
      <c r="M21" s="106" t="s">
        <v>24</v>
      </c>
      <c r="N21" s="106" t="s">
        <v>25</v>
      </c>
      <c r="O21" s="106" t="s">
        <v>26</v>
      </c>
    </row>
    <row r="22" spans="1:15" x14ac:dyDescent="0.25">
      <c r="A22" s="106" t="s">
        <v>176</v>
      </c>
      <c r="B22" s="107">
        <v>97779.389020000002</v>
      </c>
      <c r="C22" s="107">
        <v>97623.115860000005</v>
      </c>
      <c r="D22" s="107">
        <v>97527.568950000001</v>
      </c>
      <c r="E22" s="107">
        <v>97221.327130000005</v>
      </c>
      <c r="F22" s="107">
        <v>96846.840939999995</v>
      </c>
      <c r="G22" s="107">
        <v>96450.76053</v>
      </c>
      <c r="H22" s="107">
        <v>95963.286129999993</v>
      </c>
      <c r="I22" s="107">
        <v>95273.656870000006</v>
      </c>
      <c r="J22" s="107">
        <v>94188.628530000002</v>
      </c>
      <c r="K22" s="107">
        <v>92401.158649999998</v>
      </c>
      <c r="L22" s="107">
        <v>89520.896380000006</v>
      </c>
      <c r="M22" s="107">
        <v>84976.504459999996</v>
      </c>
      <c r="N22" s="107">
        <v>78084.068639999998</v>
      </c>
      <c r="O22" s="107">
        <v>68409.968930000003</v>
      </c>
    </row>
  </sheetData>
  <sheetProtection algorithmName="SHA-512" hashValue="GQZ/LpHJJakgy6QNnfcb0Uvx3xleQv5ldg7PgwY4ZSEVf4nh4TBYdtjMrhTusafJmJaCpDq4In45aMPPu/veBw==" saltValue="I6JzbBvJMeQIXzpSQ17E2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fOiImsZo16nhBeS7lXhfcYOYBaslObgSrxCe7pvX52eZs+YPc6VrLk4SHp8N5heke6Wn+YtMjqphvG1X8c+G9Q==" saltValue="jioNFcbHPkD8fSJ6igxpk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hwBjrQtiL7pPdUrwTMJaCU/pSU8QBHyIAWWAUwwUddakqONZAZof1KE674ZwNS/Ozsvs+A2Br4ezPSzGj1H6QQ==" saltValue="WfeAmEja9czKj0ECit1Jc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6">
        <v>0.95</v>
      </c>
      <c r="D2" s="56">
        <v>19.75</v>
      </c>
      <c r="E2" s="56" t="s">
        <v>212</v>
      </c>
      <c r="F2" s="96">
        <v>1</v>
      </c>
      <c r="G2" s="96">
        <v>1</v>
      </c>
    </row>
    <row r="3" spans="1:7" ht="15.75" customHeight="1" x14ac:dyDescent="0.25">
      <c r="A3" s="5" t="s">
        <v>195</v>
      </c>
      <c r="B3" s="45">
        <v>0</v>
      </c>
      <c r="C3" s="96">
        <v>0.95</v>
      </c>
      <c r="D3" s="56">
        <v>19.75</v>
      </c>
      <c r="E3" s="56" t="s">
        <v>212</v>
      </c>
      <c r="F3" s="96">
        <v>1</v>
      </c>
      <c r="G3" s="96">
        <v>1</v>
      </c>
    </row>
    <row r="4" spans="1:7" ht="15.75" customHeight="1" x14ac:dyDescent="0.25">
      <c r="A4" s="5" t="s">
        <v>196</v>
      </c>
      <c r="B4" s="96">
        <v>0</v>
      </c>
      <c r="C4" s="96">
        <v>0.95</v>
      </c>
      <c r="D4" s="56">
        <v>7.4289688625382997</v>
      </c>
      <c r="E4" s="56" t="s">
        <v>212</v>
      </c>
      <c r="F4" s="96">
        <v>1</v>
      </c>
      <c r="G4" s="96">
        <v>1</v>
      </c>
    </row>
    <row r="5" spans="1:7" ht="15.75" customHeight="1" x14ac:dyDescent="0.25">
      <c r="A5" s="5" t="s">
        <v>198</v>
      </c>
      <c r="B5" s="96">
        <v>0</v>
      </c>
      <c r="C5" s="96">
        <v>0.95</v>
      </c>
      <c r="D5" s="56">
        <v>0.48</v>
      </c>
      <c r="E5" s="56" t="s">
        <v>212</v>
      </c>
      <c r="F5" s="96">
        <v>1</v>
      </c>
      <c r="G5" s="96">
        <v>1</v>
      </c>
    </row>
    <row r="6" spans="1:7" ht="15.75" customHeight="1" x14ac:dyDescent="0.25">
      <c r="A6" s="5" t="s">
        <v>199</v>
      </c>
      <c r="B6" s="96">
        <v>0</v>
      </c>
      <c r="C6" s="96">
        <v>0.95</v>
      </c>
      <c r="D6" s="56">
        <v>99.99</v>
      </c>
      <c r="E6" s="56" t="s">
        <v>212</v>
      </c>
      <c r="F6" s="96">
        <v>1</v>
      </c>
      <c r="G6" s="96">
        <v>1</v>
      </c>
    </row>
    <row r="7" spans="1:7" ht="15.75" customHeight="1" x14ac:dyDescent="0.25">
      <c r="A7" s="5" t="s">
        <v>200</v>
      </c>
      <c r="B7" s="96">
        <v>0</v>
      </c>
      <c r="C7" s="96">
        <v>0.95</v>
      </c>
      <c r="D7" s="56">
        <v>0.19</v>
      </c>
      <c r="E7" s="56" t="s">
        <v>212</v>
      </c>
      <c r="F7" s="96">
        <v>1</v>
      </c>
      <c r="G7" s="96">
        <v>1</v>
      </c>
    </row>
    <row r="8" spans="1:7" ht="15.75" customHeight="1" x14ac:dyDescent="0.25">
      <c r="A8" s="5" t="s">
        <v>201</v>
      </c>
      <c r="B8" s="96">
        <v>0</v>
      </c>
      <c r="C8" s="96">
        <v>0.95</v>
      </c>
      <c r="D8" s="56">
        <v>0.79</v>
      </c>
      <c r="E8" s="56" t="s">
        <v>212</v>
      </c>
      <c r="F8" s="96">
        <v>1</v>
      </c>
      <c r="G8" s="96">
        <v>1</v>
      </c>
    </row>
    <row r="9" spans="1:7" ht="15.75" customHeight="1" x14ac:dyDescent="0.25">
      <c r="A9" s="5" t="s">
        <v>202</v>
      </c>
      <c r="B9" s="96">
        <v>0.5</v>
      </c>
      <c r="C9" s="96">
        <v>0.95</v>
      </c>
      <c r="D9" s="56">
        <v>0.4</v>
      </c>
      <c r="E9" s="56" t="s">
        <v>212</v>
      </c>
      <c r="F9" s="96">
        <v>1</v>
      </c>
      <c r="G9" s="96">
        <v>1</v>
      </c>
    </row>
    <row r="10" spans="1:7" ht="15.75" customHeight="1" x14ac:dyDescent="0.25">
      <c r="A10" s="11" t="s">
        <v>203</v>
      </c>
      <c r="B10" s="45">
        <v>5.2149899999999999E-2</v>
      </c>
      <c r="C10" s="96">
        <v>0.95</v>
      </c>
      <c r="D10" s="56">
        <v>12.833544068358719</v>
      </c>
      <c r="E10" s="56" t="s">
        <v>212</v>
      </c>
      <c r="F10" s="96">
        <v>1</v>
      </c>
      <c r="G10" s="96">
        <v>1</v>
      </c>
    </row>
    <row r="11" spans="1:7" ht="15.75" customHeight="1" x14ac:dyDescent="0.25">
      <c r="A11" s="11" t="s">
        <v>204</v>
      </c>
      <c r="B11" s="96">
        <v>0</v>
      </c>
      <c r="C11" s="96">
        <v>0.95</v>
      </c>
      <c r="D11" s="56">
        <v>12.833544068358719</v>
      </c>
      <c r="E11" s="56" t="s">
        <v>212</v>
      </c>
      <c r="F11" s="96">
        <v>1</v>
      </c>
      <c r="G11" s="96">
        <v>1</v>
      </c>
    </row>
    <row r="12" spans="1:7" ht="15.75" customHeight="1" x14ac:dyDescent="0.25">
      <c r="A12" s="11" t="s">
        <v>205</v>
      </c>
      <c r="B12" s="96">
        <v>0</v>
      </c>
      <c r="C12" s="96">
        <v>0.95</v>
      </c>
      <c r="D12" s="56">
        <v>12.833544068358719</v>
      </c>
      <c r="E12" s="56" t="s">
        <v>212</v>
      </c>
      <c r="F12" s="96">
        <v>1</v>
      </c>
      <c r="G12" s="96">
        <v>1</v>
      </c>
    </row>
    <row r="13" spans="1:7" ht="15.75" customHeight="1" x14ac:dyDescent="0.25">
      <c r="A13" s="11" t="s">
        <v>206</v>
      </c>
      <c r="B13" s="96">
        <v>0</v>
      </c>
      <c r="C13" s="96">
        <v>0.95</v>
      </c>
      <c r="D13" s="56">
        <v>12.833544068358719</v>
      </c>
      <c r="E13" s="56" t="s">
        <v>212</v>
      </c>
      <c r="F13" s="96">
        <v>1</v>
      </c>
      <c r="G13" s="96">
        <v>1</v>
      </c>
    </row>
    <row r="14" spans="1:7" ht="15.75" customHeight="1" x14ac:dyDescent="0.25">
      <c r="A14" s="5" t="s">
        <v>207</v>
      </c>
      <c r="B14" s="45">
        <v>5.2149899999999999E-2</v>
      </c>
      <c r="C14" s="96">
        <v>0.95</v>
      </c>
      <c r="D14" s="56">
        <v>12.833544068358719</v>
      </c>
      <c r="E14" s="56" t="s">
        <v>212</v>
      </c>
      <c r="F14" s="96">
        <v>1</v>
      </c>
      <c r="G14" s="96">
        <v>1</v>
      </c>
    </row>
    <row r="15" spans="1:7" ht="15.75" customHeight="1" x14ac:dyDescent="0.25">
      <c r="A15" s="5" t="s">
        <v>208</v>
      </c>
      <c r="B15" s="96">
        <v>0</v>
      </c>
      <c r="C15" s="96">
        <v>0.95</v>
      </c>
      <c r="D15" s="56">
        <v>12.833544068358719</v>
      </c>
      <c r="E15" s="56" t="s">
        <v>212</v>
      </c>
      <c r="F15" s="96">
        <v>1</v>
      </c>
      <c r="G15" s="96">
        <v>1</v>
      </c>
    </row>
    <row r="16" spans="1:7" ht="15.75" customHeight="1" x14ac:dyDescent="0.25">
      <c r="A16" s="5" t="s">
        <v>209</v>
      </c>
      <c r="B16" s="45">
        <v>0</v>
      </c>
      <c r="C16" s="96">
        <v>0.95</v>
      </c>
      <c r="D16" s="56">
        <v>2.5</v>
      </c>
      <c r="E16" s="56" t="s">
        <v>212</v>
      </c>
      <c r="F16" s="96">
        <v>1</v>
      </c>
      <c r="G16" s="96">
        <v>1</v>
      </c>
    </row>
    <row r="17" spans="1:7" ht="15.75" customHeight="1" x14ac:dyDescent="0.25">
      <c r="A17" s="5" t="s">
        <v>210</v>
      </c>
      <c r="B17" s="96">
        <v>0.7</v>
      </c>
      <c r="C17" s="96">
        <v>0.95</v>
      </c>
      <c r="D17" s="56">
        <v>7.992352075384429E-2</v>
      </c>
      <c r="E17" s="56" t="s">
        <v>212</v>
      </c>
      <c r="F17" s="96">
        <v>1</v>
      </c>
      <c r="G17" s="96">
        <v>1</v>
      </c>
    </row>
    <row r="18" spans="1:7" ht="15.9" customHeight="1" x14ac:dyDescent="0.25">
      <c r="A18" s="5" t="s">
        <v>180</v>
      </c>
      <c r="B18" s="96">
        <v>0.26531189999999999</v>
      </c>
      <c r="C18" s="96">
        <v>0.95</v>
      </c>
      <c r="D18" s="56">
        <v>7.4289688625382997</v>
      </c>
      <c r="E18" s="56" t="s">
        <v>212</v>
      </c>
      <c r="F18" s="96">
        <v>1</v>
      </c>
      <c r="G18" s="96">
        <v>1</v>
      </c>
    </row>
    <row r="19" spans="1:7" ht="15.75" customHeight="1" x14ac:dyDescent="0.25">
      <c r="A19" s="5" t="s">
        <v>181</v>
      </c>
      <c r="B19" s="96">
        <v>0.26531189999999999</v>
      </c>
      <c r="C19" s="96">
        <v>0.95</v>
      </c>
      <c r="D19" s="56">
        <v>6.7065442721728772</v>
      </c>
      <c r="E19" s="56" t="s">
        <v>212</v>
      </c>
      <c r="F19" s="96">
        <v>1</v>
      </c>
      <c r="G19" s="96">
        <v>1</v>
      </c>
    </row>
    <row r="20" spans="1:7" ht="15.75" customHeight="1" x14ac:dyDescent="0.25">
      <c r="A20" s="5" t="s">
        <v>182</v>
      </c>
      <c r="B20" s="96">
        <v>0</v>
      </c>
      <c r="C20" s="96">
        <v>0.95</v>
      </c>
      <c r="D20" s="56">
        <v>99.99</v>
      </c>
      <c r="E20" s="56" t="s">
        <v>212</v>
      </c>
      <c r="F20" s="96">
        <v>1</v>
      </c>
      <c r="G20" s="96">
        <v>1</v>
      </c>
    </row>
    <row r="21" spans="1:7" ht="15.75" customHeight="1" x14ac:dyDescent="0.25">
      <c r="A21" s="5" t="s">
        <v>211</v>
      </c>
      <c r="B21" s="45">
        <v>0</v>
      </c>
      <c r="C21" s="96">
        <v>0.95</v>
      </c>
      <c r="D21" s="56">
        <v>7.48</v>
      </c>
      <c r="E21" s="56" t="s">
        <v>212</v>
      </c>
      <c r="F21" s="96">
        <v>1</v>
      </c>
      <c r="G21" s="96">
        <v>1</v>
      </c>
    </row>
    <row r="22" spans="1:7" ht="15.75" customHeight="1" x14ac:dyDescent="0.25">
      <c r="A22" s="5" t="s">
        <v>213</v>
      </c>
      <c r="B22" s="96">
        <v>0</v>
      </c>
      <c r="C22" s="96">
        <v>0.95</v>
      </c>
      <c r="D22" s="56">
        <v>7.4289688625382997</v>
      </c>
      <c r="E22" s="56" t="s">
        <v>212</v>
      </c>
      <c r="F22" s="96">
        <v>1</v>
      </c>
      <c r="G22" s="96">
        <v>1</v>
      </c>
    </row>
    <row r="23" spans="1:7" ht="15.75" customHeight="1" x14ac:dyDescent="0.25">
      <c r="A23" s="5" t="s">
        <v>214</v>
      </c>
      <c r="B23" s="96">
        <v>0</v>
      </c>
      <c r="C23" s="96">
        <v>0.95</v>
      </c>
      <c r="D23" s="56">
        <v>4.1676905525779402</v>
      </c>
      <c r="E23" s="56" t="s">
        <v>212</v>
      </c>
      <c r="F23" s="96">
        <v>1</v>
      </c>
      <c r="G23" s="96">
        <v>1</v>
      </c>
    </row>
    <row r="24" spans="1:7" ht="15.75" customHeight="1" x14ac:dyDescent="0.25">
      <c r="A24" s="5" t="s">
        <v>217</v>
      </c>
      <c r="B24" s="45">
        <v>0.51984672980000002</v>
      </c>
      <c r="C24" s="96">
        <v>0.95</v>
      </c>
      <c r="D24" s="56">
        <v>99.99</v>
      </c>
      <c r="E24" s="56" t="s">
        <v>212</v>
      </c>
      <c r="F24" s="96">
        <v>1</v>
      </c>
      <c r="G24" s="96">
        <v>1</v>
      </c>
    </row>
    <row r="25" spans="1:7" ht="15.75" customHeight="1" x14ac:dyDescent="0.25">
      <c r="A25" s="5" t="s">
        <v>218</v>
      </c>
      <c r="B25" s="96">
        <v>0</v>
      </c>
      <c r="C25" s="96">
        <v>0.95</v>
      </c>
      <c r="D25" s="56">
        <v>99.99</v>
      </c>
      <c r="E25" s="56" t="s">
        <v>212</v>
      </c>
      <c r="F25" s="96">
        <v>1</v>
      </c>
      <c r="G25" s="96">
        <v>1</v>
      </c>
    </row>
    <row r="26" spans="1:7" ht="15.75" customHeight="1" x14ac:dyDescent="0.25">
      <c r="A26" s="5" t="s">
        <v>219</v>
      </c>
      <c r="B26" s="45">
        <v>5.2149899999999999E-2</v>
      </c>
      <c r="C26" s="96">
        <v>0.95</v>
      </c>
      <c r="D26" s="56">
        <v>2.9567118730808599</v>
      </c>
      <c r="E26" s="56" t="s">
        <v>212</v>
      </c>
      <c r="F26" s="96">
        <v>1</v>
      </c>
      <c r="G26" s="96">
        <v>1</v>
      </c>
    </row>
    <row r="27" spans="1:7" ht="15.75" customHeight="1" x14ac:dyDescent="0.25">
      <c r="A27" s="5" t="s">
        <v>220</v>
      </c>
      <c r="B27" s="45">
        <v>0</v>
      </c>
      <c r="C27" s="96">
        <v>0.95</v>
      </c>
      <c r="D27" s="56">
        <v>17.846880984952122</v>
      </c>
      <c r="E27" s="56" t="s">
        <v>212</v>
      </c>
      <c r="F27" s="96">
        <v>1</v>
      </c>
      <c r="G27" s="96">
        <v>1</v>
      </c>
    </row>
    <row r="28" spans="1:7" ht="15.75" customHeight="1" x14ac:dyDescent="0.25">
      <c r="A28" s="5" t="s">
        <v>221</v>
      </c>
      <c r="B28" s="45">
        <v>0.22873869999999999</v>
      </c>
      <c r="C28" s="96">
        <v>0.95</v>
      </c>
      <c r="D28" s="56">
        <v>99.99</v>
      </c>
      <c r="E28" s="56" t="s">
        <v>212</v>
      </c>
      <c r="F28" s="96">
        <v>1</v>
      </c>
      <c r="G28" s="96">
        <v>1</v>
      </c>
    </row>
    <row r="29" spans="1:7" ht="15.75" customHeight="1" x14ac:dyDescent="0.25">
      <c r="A29" s="5" t="s">
        <v>222</v>
      </c>
      <c r="B29" s="45">
        <v>0.223</v>
      </c>
      <c r="C29" s="96">
        <v>0.95</v>
      </c>
      <c r="D29" s="56">
        <v>95.432494803225381</v>
      </c>
      <c r="E29" s="56" t="s">
        <v>212</v>
      </c>
      <c r="F29" s="96">
        <v>1</v>
      </c>
      <c r="G29" s="96">
        <v>1</v>
      </c>
    </row>
    <row r="30" spans="1:7" ht="15.75" customHeight="1" x14ac:dyDescent="0.25">
      <c r="A30" s="5" t="s">
        <v>233</v>
      </c>
      <c r="B30" s="96">
        <v>0</v>
      </c>
      <c r="C30" s="96">
        <v>0.95</v>
      </c>
      <c r="D30" s="56">
        <v>53.05</v>
      </c>
      <c r="E30" s="56" t="s">
        <v>212</v>
      </c>
      <c r="F30" s="96">
        <v>1</v>
      </c>
      <c r="G30" s="96">
        <v>1</v>
      </c>
    </row>
    <row r="31" spans="1:7" ht="15.75" customHeight="1" x14ac:dyDescent="0.25">
      <c r="A31" s="5" t="s">
        <v>193</v>
      </c>
      <c r="B31" s="45">
        <v>0</v>
      </c>
      <c r="C31" s="96">
        <v>0.95</v>
      </c>
      <c r="D31" s="56">
        <v>173.50469037871034</v>
      </c>
      <c r="E31" s="56" t="s">
        <v>212</v>
      </c>
      <c r="F31" s="96">
        <v>1</v>
      </c>
      <c r="G31" s="96">
        <v>1</v>
      </c>
    </row>
    <row r="32" spans="1:7" ht="15.75" customHeight="1" x14ac:dyDescent="0.25">
      <c r="A32" s="5" t="s">
        <v>225</v>
      </c>
      <c r="B32" s="45">
        <v>0.99</v>
      </c>
      <c r="C32" s="96">
        <v>0.95</v>
      </c>
      <c r="D32" s="56">
        <v>0.53033228587019021</v>
      </c>
      <c r="E32" s="56" t="s">
        <v>212</v>
      </c>
      <c r="F32" s="96">
        <v>1</v>
      </c>
      <c r="G32" s="96">
        <v>1</v>
      </c>
    </row>
    <row r="33" spans="1:7" ht="15.75" customHeight="1" x14ac:dyDescent="0.25">
      <c r="A33" s="5" t="s">
        <v>226</v>
      </c>
      <c r="B33" s="45">
        <v>0</v>
      </c>
      <c r="C33" s="96">
        <v>0.95</v>
      </c>
      <c r="D33" s="56">
        <v>99.99</v>
      </c>
      <c r="E33" s="56" t="s">
        <v>212</v>
      </c>
      <c r="F33" s="96">
        <v>1</v>
      </c>
      <c r="G33" s="96">
        <v>1</v>
      </c>
    </row>
    <row r="34" spans="1:7" ht="15.75" customHeight="1" x14ac:dyDescent="0.25">
      <c r="A34" s="5" t="s">
        <v>227</v>
      </c>
      <c r="B34" s="45">
        <v>6.2779399999999999E-2</v>
      </c>
      <c r="C34" s="96">
        <v>0.95</v>
      </c>
      <c r="D34" s="56">
        <v>99.99</v>
      </c>
      <c r="E34" s="56" t="s">
        <v>212</v>
      </c>
      <c r="F34" s="96">
        <v>1</v>
      </c>
      <c r="G34" s="96">
        <v>1</v>
      </c>
    </row>
    <row r="35" spans="1:7" ht="15.75" customHeight="1" x14ac:dyDescent="0.25">
      <c r="A35" s="5" t="s">
        <v>228</v>
      </c>
      <c r="B35" s="96">
        <v>0</v>
      </c>
      <c r="C35" s="96">
        <v>0.95</v>
      </c>
      <c r="D35" s="56">
        <v>99.99</v>
      </c>
      <c r="E35" s="56" t="s">
        <v>212</v>
      </c>
      <c r="F35" s="96">
        <v>1</v>
      </c>
      <c r="G35" s="96">
        <v>1</v>
      </c>
    </row>
    <row r="36" spans="1:7" ht="15.75" customHeight="1" x14ac:dyDescent="0.25">
      <c r="A36" s="5" t="s">
        <v>229</v>
      </c>
      <c r="B36" s="45">
        <v>0</v>
      </c>
      <c r="C36" s="96">
        <v>0.95</v>
      </c>
      <c r="D36" s="56">
        <v>99.99</v>
      </c>
      <c r="E36" s="56" t="s">
        <v>212</v>
      </c>
      <c r="F36" s="96">
        <v>1</v>
      </c>
      <c r="G36" s="96">
        <v>1</v>
      </c>
    </row>
    <row r="37" spans="1:7" ht="15.75" customHeight="1" x14ac:dyDescent="0.25">
      <c r="A37" s="5" t="s">
        <v>230</v>
      </c>
      <c r="B37" s="45">
        <v>0.7931416</v>
      </c>
      <c r="C37" s="96">
        <v>0.95</v>
      </c>
      <c r="D37" s="56">
        <v>99.99</v>
      </c>
      <c r="E37" s="56" t="s">
        <v>212</v>
      </c>
      <c r="F37" s="96">
        <v>1</v>
      </c>
      <c r="G37" s="96">
        <v>1</v>
      </c>
    </row>
    <row r="38" spans="1:7" ht="15.75" customHeight="1" x14ac:dyDescent="0.25">
      <c r="A38" s="5" t="s">
        <v>231</v>
      </c>
      <c r="B38" s="45">
        <v>0</v>
      </c>
      <c r="C38" s="96">
        <v>0.95</v>
      </c>
      <c r="D38" s="56">
        <v>2.6612563971340846</v>
      </c>
      <c r="E38" s="56" t="s">
        <v>212</v>
      </c>
      <c r="F38" s="96">
        <v>1</v>
      </c>
      <c r="G38" s="96">
        <v>1</v>
      </c>
    </row>
    <row r="39" spans="1:7" ht="15.75" customHeight="1" x14ac:dyDescent="0.25">
      <c r="A39" s="5" t="s">
        <v>232</v>
      </c>
      <c r="B39" s="45">
        <v>0</v>
      </c>
      <c r="C39" s="96">
        <v>0.95</v>
      </c>
      <c r="D39" s="56">
        <v>3.43</v>
      </c>
      <c r="E39" s="56" t="s">
        <v>212</v>
      </c>
      <c r="F39" s="96">
        <v>1</v>
      </c>
      <c r="G39" s="96">
        <v>1</v>
      </c>
    </row>
  </sheetData>
  <sheetProtection algorithmName="SHA-512" hashValue="L6ZtYLBeY0YWqdJKWLOUz0YgPaY5UxZWdUV62RtnzjaM/SY7+HLUffHtct9wWuXsTqBJQnHO7XK3npGf2n/tdQ==" saltValue="p4ZDRLe4wL6mRtCsWRkDP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pev2qsu5nrQ9mroJDzkuAMMxTHFpI/gWGvT/7oOJ9+s+ew1YmNG4uB1kHGlzLWC6Iktbja2LDHfe/yrjS9nGXw==" saltValue="1G9noWgA1r4YLTan75ee7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AOAFaBiSJ84ZE0xDKgw+Zr1SohjSy3gHUopGTf2je8f/nFfTdVboO3KiPncOMZ+mQ0myo5YWsYlWdgAa6vAN+g==" saltValue="trx2V0qYgBf3ftKI6Tt9G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2.9</v>
      </c>
      <c r="C2" s="21">
        <f>'Entradas de población-año base'!C52</f>
        <v>2.9</v>
      </c>
      <c r="D2" s="21">
        <f>'Entradas de población-año base'!C53</f>
        <v>2.9</v>
      </c>
      <c r="E2" s="21">
        <f>'Entradas de población-año base'!C54</f>
        <v>2.9</v>
      </c>
      <c r="F2" s="21">
        <f>'Entradas de población-año base'!C55</f>
        <v>2.9</v>
      </c>
    </row>
    <row r="3" spans="1:6" ht="15.75" customHeight="1" x14ac:dyDescent="0.25">
      <c r="A3" s="3" t="s">
        <v>6</v>
      </c>
      <c r="B3" s="21">
        <f>frac_mam_1month * 2.6</f>
        <v>0.20379319999999998</v>
      </c>
      <c r="C3" s="21">
        <f>frac_mam_1_5months * 2.6</f>
        <v>0.20379319999999998</v>
      </c>
      <c r="D3" s="21">
        <f>frac_mam_6_11months * 2.6</f>
        <v>0.13890655999999998</v>
      </c>
      <c r="E3" s="21">
        <f>frac_mam_12_23months * 2.6</f>
        <v>0.10023285999999999</v>
      </c>
      <c r="F3" s="21">
        <f>frac_mam_24_59months * 2.6</f>
        <v>0.16172468000000001</v>
      </c>
    </row>
    <row r="4" spans="1:6" ht="15.75" customHeight="1" x14ac:dyDescent="0.25">
      <c r="A4" s="3" t="s">
        <v>236</v>
      </c>
      <c r="B4" s="21">
        <f>frac_sam_1month * 2.6</f>
        <v>0.23619023999999997</v>
      </c>
      <c r="C4" s="21">
        <f>frac_sam_1_5months * 2.6</f>
        <v>0.23619023999999997</v>
      </c>
      <c r="D4" s="21">
        <f>frac_sam_6_11months * 2.6</f>
        <v>0.13789568000000002</v>
      </c>
      <c r="E4" s="21">
        <f>frac_sam_12_23months * 2.6</f>
        <v>8.4403019999999995E-2</v>
      </c>
      <c r="F4" s="21">
        <f>frac_sam_24_59months * 2.6</f>
        <v>0.12727181999999998</v>
      </c>
    </row>
  </sheetData>
  <sheetProtection algorithmName="SHA-512" hashValue="ZYXMg9iEuEjtcGb/XkvmNsrfgtKGXBglOsur+8f/s9ltnrXXBNOn9zLdUIRp/znz653oa/gyRqXJglY8cJbDWQ==" saltValue="A5yrB9GWFkUW6gqYhWSQo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0.252</v>
      </c>
      <c r="M24" s="60">
        <f>famplan_unmet_need</f>
        <v>0.252</v>
      </c>
      <c r="N24" s="60">
        <f>famplan_unmet_need</f>
        <v>0.252</v>
      </c>
      <c r="O24" s="60">
        <f>famplan_unmet_need</f>
        <v>0.252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0.18197150065612802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7.7987785995483436E-2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0.10982632736206059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0.63021438598632795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VbFy22bpfORNd29tyVG0iwMs5KHyjPpGq40ufZ9lmlvoxJl921eotzfGofWwY9JYDIkHabfTaimm8soPmQpHlw==" saltValue="vGfWHR2LWVywJ9Y/lDfIHQ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qcrrggKRz5ebDgnGW1xG/Kj2RWBRol66o5OdmN5LA1sR61F4J0T26BEuhhXRzp59yKjnXMmH4tD9z07+l+P+zw==" saltValue="u2DVal4c4cd/aTQE5YKXyQ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pCbpuQCrgaXM5elQ/lxIQqBvhW005sw8xhDnqokqswCroloKG8DPdkNQq5eOX9UCrmUFKWu7HFHLIxnPN96c/g==" saltValue="YA44gF+4PghrL0l3JehW7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zzkTpI8L1L05N8uwqsARD/jheMVsTh3zMl8FNh59D6LnelXWW0z/LCghVxuTQ0plO8Chl9n5Gftvbw5wsRAZug==" saltValue="CXDsy68YEaey/iwpusOcm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192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13" t="s">
        <v>194</v>
      </c>
      <c r="B2" s="114"/>
      <c r="C2" s="114"/>
      <c r="D2" s="114"/>
      <c r="E2" s="114"/>
      <c r="F2" s="114"/>
      <c r="G2" s="114"/>
      <c r="H2" s="114"/>
      <c r="I2" s="114" t="s">
        <v>5</v>
      </c>
      <c r="J2" s="114"/>
      <c r="K2" s="114"/>
      <c r="L2" s="114"/>
    </row>
    <row r="3" spans="1:12" x14ac:dyDescent="0.25">
      <c r="A3" s="113" t="s">
        <v>195</v>
      </c>
      <c r="B3" s="114"/>
      <c r="C3" s="114"/>
      <c r="D3" s="114"/>
      <c r="E3" s="114"/>
      <c r="F3" s="114"/>
      <c r="G3" s="114"/>
      <c r="H3" s="114" t="s">
        <v>5</v>
      </c>
      <c r="I3" s="114" t="s">
        <v>5</v>
      </c>
      <c r="J3" s="114"/>
      <c r="K3" s="114"/>
      <c r="L3" s="114"/>
    </row>
    <row r="4" spans="1:12" x14ac:dyDescent="0.25">
      <c r="A4" s="113" t="s">
        <v>196</v>
      </c>
      <c r="B4" s="114" t="s">
        <v>5</v>
      </c>
      <c r="C4" s="114"/>
      <c r="D4" s="114" t="s">
        <v>5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198</v>
      </c>
      <c r="B5" s="114"/>
      <c r="C5" s="114" t="s">
        <v>5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199</v>
      </c>
      <c r="B6" s="114"/>
      <c r="C6" s="114"/>
      <c r="D6" s="114"/>
      <c r="E6" s="114"/>
      <c r="F6" s="114"/>
      <c r="G6" s="114"/>
      <c r="H6" s="114"/>
      <c r="I6" s="114"/>
      <c r="J6" s="114" t="s">
        <v>5</v>
      </c>
      <c r="K6" s="114" t="s">
        <v>5</v>
      </c>
      <c r="L6" s="114"/>
    </row>
    <row r="7" spans="1:12" x14ac:dyDescent="0.25">
      <c r="A7" s="113" t="s">
        <v>200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/>
      <c r="J7" s="114"/>
      <c r="K7" s="114"/>
      <c r="L7" s="114"/>
    </row>
    <row r="8" spans="1:12" x14ac:dyDescent="0.25">
      <c r="A8" s="113" t="s">
        <v>201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/>
      <c r="J8" s="114"/>
      <c r="K8" s="114"/>
      <c r="L8" s="114"/>
    </row>
    <row r="9" spans="1:12" x14ac:dyDescent="0.25">
      <c r="A9" s="113" t="s">
        <v>202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/>
      <c r="J9" s="114"/>
      <c r="K9" s="114"/>
      <c r="L9" s="114"/>
    </row>
    <row r="10" spans="1:12" x14ac:dyDescent="0.25">
      <c r="A10" s="113" t="s">
        <v>203</v>
      </c>
      <c r="B10" s="114"/>
      <c r="C10" s="114" t="s">
        <v>5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204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205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206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207</v>
      </c>
      <c r="B14" s="114"/>
      <c r="C14" s="114" t="s">
        <v>5</v>
      </c>
      <c r="D14" s="114"/>
      <c r="E14" s="114"/>
      <c r="F14" s="114"/>
      <c r="G14" s="114"/>
      <c r="H14" s="114"/>
      <c r="I14" s="114" t="s">
        <v>5</v>
      </c>
      <c r="J14" s="114"/>
      <c r="K14" s="114"/>
      <c r="L14" s="114"/>
    </row>
    <row r="15" spans="1:12" x14ac:dyDescent="0.25">
      <c r="A15" s="115" t="s">
        <v>208</v>
      </c>
      <c r="B15" s="114"/>
      <c r="C15" s="114" t="s">
        <v>5</v>
      </c>
      <c r="D15" s="114"/>
      <c r="E15" s="114"/>
      <c r="F15" s="114"/>
      <c r="G15" s="114"/>
      <c r="H15" s="114"/>
      <c r="I15" s="114" t="s">
        <v>5</v>
      </c>
      <c r="J15" s="114"/>
      <c r="K15" s="114"/>
      <c r="L15" s="114"/>
    </row>
    <row r="16" spans="1:12" x14ac:dyDescent="0.25">
      <c r="A16" s="113" t="s">
        <v>209</v>
      </c>
      <c r="B16" s="114"/>
      <c r="C16" s="114" t="s">
        <v>5</v>
      </c>
      <c r="D16" s="114"/>
      <c r="E16" s="114"/>
      <c r="F16" s="114"/>
      <c r="G16" s="114"/>
      <c r="H16" s="114" t="s">
        <v>5</v>
      </c>
      <c r="I16" s="114" t="s">
        <v>5</v>
      </c>
      <c r="J16" s="114"/>
      <c r="K16" s="114"/>
      <c r="L16" s="114"/>
    </row>
    <row r="17" spans="1:12" x14ac:dyDescent="0.25">
      <c r="A17" s="113" t="s">
        <v>210</v>
      </c>
      <c r="B17" s="114"/>
      <c r="C17" s="114" t="s">
        <v>5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180</v>
      </c>
      <c r="B18" s="114" t="s">
        <v>5</v>
      </c>
      <c r="C18" s="114"/>
      <c r="D18" s="114"/>
      <c r="E18" s="114"/>
      <c r="F18" s="114" t="s">
        <v>5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181</v>
      </c>
      <c r="B19" s="114" t="s">
        <v>5</v>
      </c>
      <c r="C19" s="114"/>
      <c r="D19" s="114"/>
      <c r="E19" s="114"/>
      <c r="F19" s="114" t="s">
        <v>5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182</v>
      </c>
      <c r="B20" s="114" t="s">
        <v>5</v>
      </c>
      <c r="C20" s="114"/>
      <c r="D20" s="114"/>
      <c r="E20" s="114"/>
      <c r="F20" s="114" t="s">
        <v>5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211</v>
      </c>
      <c r="B21" s="114"/>
      <c r="C21" s="114"/>
      <c r="D21" s="114"/>
      <c r="E21" s="114"/>
      <c r="F21" s="114"/>
      <c r="G21" s="114"/>
      <c r="H21" s="114" t="s">
        <v>5</v>
      </c>
      <c r="I21" s="114" t="s">
        <v>5</v>
      </c>
      <c r="J21" s="114"/>
      <c r="K21" s="114"/>
      <c r="L21" s="114"/>
    </row>
    <row r="22" spans="1:12" x14ac:dyDescent="0.25">
      <c r="A22" s="113" t="s">
        <v>213</v>
      </c>
      <c r="B22" s="114" t="s">
        <v>5</v>
      </c>
      <c r="C22" s="114" t="s">
        <v>5</v>
      </c>
      <c r="D22" s="114" t="s">
        <v>5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214</v>
      </c>
      <c r="B23" s="114"/>
      <c r="C23" s="114" t="s">
        <v>5</v>
      </c>
      <c r="D23" s="114"/>
      <c r="E23" s="114"/>
      <c r="F23" s="114"/>
      <c r="G23" s="114"/>
      <c r="H23" s="114"/>
      <c r="I23" s="114" t="s">
        <v>5</v>
      </c>
      <c r="J23" s="114"/>
      <c r="K23" s="114"/>
      <c r="L23" s="114"/>
    </row>
    <row r="24" spans="1:12" x14ac:dyDescent="0.25">
      <c r="A24" s="113" t="s">
        <v>217</v>
      </c>
      <c r="B24" s="114"/>
      <c r="C24" s="114"/>
      <c r="D24" s="114"/>
      <c r="E24" s="114"/>
      <c r="F24" s="114"/>
      <c r="G24" s="114"/>
      <c r="H24" s="114" t="s">
        <v>5</v>
      </c>
      <c r="I24" s="114"/>
      <c r="J24" s="114"/>
      <c r="K24" s="114"/>
      <c r="L24" s="114"/>
    </row>
    <row r="25" spans="1:12" x14ac:dyDescent="0.25">
      <c r="A25" s="113" t="s">
        <v>218</v>
      </c>
      <c r="B25" s="114"/>
      <c r="C25" s="114"/>
      <c r="D25" s="114"/>
      <c r="E25" s="114"/>
      <c r="F25" s="114"/>
      <c r="G25" s="114"/>
      <c r="H25" s="114" t="s">
        <v>5</v>
      </c>
      <c r="I25" s="114"/>
      <c r="J25" s="114"/>
      <c r="K25" s="114"/>
      <c r="L25" s="114"/>
    </row>
    <row r="26" spans="1:12" x14ac:dyDescent="0.25">
      <c r="A26" s="113" t="s">
        <v>219</v>
      </c>
      <c r="B26" s="114"/>
      <c r="C26" s="114" t="s">
        <v>5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220</v>
      </c>
      <c r="B27" s="114"/>
      <c r="C27" s="114" t="s">
        <v>5</v>
      </c>
      <c r="D27" s="114"/>
      <c r="E27" s="114"/>
      <c r="F27" s="114"/>
      <c r="G27" s="114"/>
      <c r="H27" s="114"/>
      <c r="I27" s="114" t="s">
        <v>5</v>
      </c>
      <c r="J27" s="114"/>
      <c r="K27" s="114"/>
      <c r="L27" s="114" t="s">
        <v>5</v>
      </c>
    </row>
    <row r="28" spans="1:12" x14ac:dyDescent="0.25">
      <c r="A28" s="113" t="s">
        <v>221</v>
      </c>
      <c r="B28" s="114"/>
      <c r="C28" s="114"/>
      <c r="D28" s="114"/>
      <c r="E28" s="114"/>
      <c r="F28" s="114"/>
      <c r="G28" s="114"/>
      <c r="H28" s="114" t="s">
        <v>5</v>
      </c>
      <c r="I28" s="114"/>
      <c r="J28" s="114"/>
      <c r="K28" s="114"/>
      <c r="L28" s="114"/>
    </row>
    <row r="29" spans="1:12" x14ac:dyDescent="0.25">
      <c r="A29" s="113" t="s">
        <v>222</v>
      </c>
      <c r="B29" s="114" t="s">
        <v>5</v>
      </c>
      <c r="C29" s="114"/>
      <c r="D29" s="114" t="s">
        <v>5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233</v>
      </c>
      <c r="B30" s="114" t="s">
        <v>5</v>
      </c>
      <c r="C30" s="114" t="s">
        <v>5</v>
      </c>
      <c r="D30" s="114" t="s">
        <v>5</v>
      </c>
      <c r="E30" s="114"/>
      <c r="F30" s="114"/>
      <c r="G30" s="114"/>
      <c r="H30" s="114" t="s">
        <v>5</v>
      </c>
      <c r="I30" s="114"/>
      <c r="J30" s="114"/>
      <c r="K30" s="114"/>
      <c r="L30" s="114"/>
    </row>
    <row r="31" spans="1:12" x14ac:dyDescent="0.25">
      <c r="A31" s="113" t="s">
        <v>193</v>
      </c>
      <c r="B31" s="114"/>
      <c r="C31" s="114"/>
      <c r="D31" s="114"/>
      <c r="E31" s="114" t="s">
        <v>5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225</v>
      </c>
      <c r="B32" s="114"/>
      <c r="C32" s="114"/>
      <c r="D32" s="114"/>
      <c r="E32" s="114"/>
      <c r="F32" s="114"/>
      <c r="G32" s="114" t="s">
        <v>5</v>
      </c>
      <c r="H32" s="114" t="s">
        <v>5</v>
      </c>
      <c r="I32" s="114"/>
      <c r="J32" s="114"/>
      <c r="K32" s="114"/>
      <c r="L32" s="114"/>
    </row>
    <row r="33" spans="1:12" x14ac:dyDescent="0.25">
      <c r="A33" s="113" t="s">
        <v>226</v>
      </c>
      <c r="B33" s="114"/>
      <c r="C33" s="114"/>
      <c r="D33" s="114"/>
      <c r="E33" s="114"/>
      <c r="F33" s="114"/>
      <c r="G33" s="114" t="s">
        <v>5</v>
      </c>
      <c r="H33" s="114" t="s">
        <v>5</v>
      </c>
      <c r="I33" s="114"/>
      <c r="J33" s="114"/>
      <c r="K33" s="114"/>
      <c r="L33" s="114"/>
    </row>
    <row r="34" spans="1:12" x14ac:dyDescent="0.25">
      <c r="A34" s="113" t="s">
        <v>227</v>
      </c>
      <c r="B34" s="114"/>
      <c r="C34" s="114"/>
      <c r="D34" s="114"/>
      <c r="E34" s="114"/>
      <c r="F34" s="114"/>
      <c r="G34" s="114" t="s">
        <v>5</v>
      </c>
      <c r="H34" s="114" t="s">
        <v>5</v>
      </c>
      <c r="I34" s="114"/>
      <c r="J34" s="114"/>
      <c r="K34" s="114"/>
      <c r="L34" s="114"/>
    </row>
    <row r="35" spans="1:12" x14ac:dyDescent="0.25">
      <c r="A35" s="113" t="s">
        <v>228</v>
      </c>
      <c r="B35" s="114"/>
      <c r="C35" s="114"/>
      <c r="D35" s="114"/>
      <c r="E35" s="114"/>
      <c r="F35" s="114"/>
      <c r="G35" s="114" t="s">
        <v>5</v>
      </c>
      <c r="H35" s="114" t="s">
        <v>5</v>
      </c>
      <c r="I35" s="114"/>
      <c r="J35" s="114"/>
      <c r="K35" s="114"/>
      <c r="L35" s="114"/>
    </row>
    <row r="36" spans="1:12" x14ac:dyDescent="0.25">
      <c r="A36" s="113" t="s">
        <v>229</v>
      </c>
      <c r="B36" s="114"/>
      <c r="C36" s="114"/>
      <c r="D36" s="114"/>
      <c r="E36" s="114"/>
      <c r="F36" s="114"/>
      <c r="G36" s="114" t="s">
        <v>5</v>
      </c>
      <c r="H36" s="114" t="s">
        <v>5</v>
      </c>
      <c r="I36" s="114"/>
      <c r="J36" s="114"/>
      <c r="K36" s="114"/>
      <c r="L36" s="114"/>
    </row>
    <row r="37" spans="1:12" x14ac:dyDescent="0.25">
      <c r="A37" s="113" t="s">
        <v>230</v>
      </c>
      <c r="B37" s="114"/>
      <c r="C37" s="114"/>
      <c r="D37" s="114"/>
      <c r="E37" s="114"/>
      <c r="F37" s="114"/>
      <c r="G37" s="114" t="s">
        <v>5</v>
      </c>
      <c r="H37" s="114" t="s">
        <v>5</v>
      </c>
      <c r="I37" s="114"/>
      <c r="J37" s="114"/>
      <c r="K37" s="114"/>
      <c r="L37" s="114"/>
    </row>
    <row r="38" spans="1:12" x14ac:dyDescent="0.25">
      <c r="A38" s="113" t="s">
        <v>231</v>
      </c>
      <c r="B38" s="114"/>
      <c r="C38" s="114"/>
      <c r="D38" s="114"/>
      <c r="E38" s="114"/>
      <c r="F38" s="114"/>
      <c r="G38" s="114"/>
      <c r="H38" s="114" t="s">
        <v>5</v>
      </c>
      <c r="I38" s="114"/>
      <c r="J38" s="114"/>
      <c r="K38" s="114"/>
      <c r="L38" s="114"/>
    </row>
    <row r="39" spans="1:12" x14ac:dyDescent="0.25">
      <c r="A39" s="113" t="s">
        <v>232</v>
      </c>
      <c r="B39" s="114" t="s">
        <v>5</v>
      </c>
      <c r="C39" s="114"/>
      <c r="D39" s="114"/>
      <c r="E39" s="114"/>
      <c r="F39" s="114"/>
      <c r="G39" s="114" t="s">
        <v>5</v>
      </c>
      <c r="H39" s="114" t="s">
        <v>5</v>
      </c>
      <c r="I39" s="114"/>
      <c r="J39" s="114"/>
      <c r="K39" s="114"/>
      <c r="L39" s="114"/>
    </row>
  </sheetData>
  <sheetProtection algorithmName="SHA-512" hashValue="yBo00vpcbIxpW4eEm7PtaNd+wAz36rTP0c7Id/ywqqPuwhcd3KaKsD+Nuojj7Jsw+ik16buErq2jdDB3hDD3Nw==" saltValue="9GJhrzDCsYZHMS6gNWkAE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264</v>
      </c>
      <c r="B1" s="106" t="s">
        <v>260</v>
      </c>
      <c r="C1" s="106" t="s">
        <v>124</v>
      </c>
      <c r="D1" s="106" t="s">
        <v>261</v>
      </c>
      <c r="E1" s="106" t="s">
        <v>262</v>
      </c>
      <c r="F1" s="106" t="s">
        <v>142</v>
      </c>
      <c r="G1" s="106" t="s">
        <v>103</v>
      </c>
      <c r="H1" s="106" t="s">
        <v>56</v>
      </c>
      <c r="I1" s="106" t="s">
        <v>259</v>
      </c>
      <c r="J1" s="106" t="s">
        <v>41</v>
      </c>
      <c r="K1" s="106" t="s">
        <v>258</v>
      </c>
      <c r="L1" s="106" t="s">
        <v>263</v>
      </c>
    </row>
    <row r="2" spans="1:12" x14ac:dyDescent="0.25">
      <c r="A2" s="106" t="s">
        <v>97</v>
      </c>
      <c r="B2" s="114" t="s">
        <v>5</v>
      </c>
      <c r="C2" s="114" t="s">
        <v>5</v>
      </c>
      <c r="D2" s="114" t="s">
        <v>5</v>
      </c>
      <c r="E2" s="114" t="s">
        <v>5</v>
      </c>
      <c r="F2" s="114" t="s">
        <v>5</v>
      </c>
      <c r="G2" s="114" t="s">
        <v>5</v>
      </c>
      <c r="H2" s="114" t="s">
        <v>5</v>
      </c>
      <c r="I2" s="114"/>
      <c r="J2" s="114"/>
      <c r="K2" s="114"/>
      <c r="L2" s="114"/>
    </row>
    <row r="3" spans="1:12" x14ac:dyDescent="0.25">
      <c r="A3" s="106" t="s">
        <v>93</v>
      </c>
      <c r="B3" s="114" t="s">
        <v>5</v>
      </c>
      <c r="C3" s="114" t="s">
        <v>5</v>
      </c>
      <c r="D3" s="114" t="s">
        <v>5</v>
      </c>
      <c r="E3" s="114" t="s">
        <v>5</v>
      </c>
      <c r="F3" s="114" t="s">
        <v>5</v>
      </c>
      <c r="G3" s="114" t="s">
        <v>5</v>
      </c>
      <c r="H3" s="114" t="s">
        <v>5</v>
      </c>
      <c r="I3" s="114"/>
      <c r="J3" s="114"/>
      <c r="K3" s="114"/>
      <c r="L3" s="114"/>
    </row>
    <row r="4" spans="1:12" x14ac:dyDescent="0.25">
      <c r="A4" s="106" t="s">
        <v>96</v>
      </c>
      <c r="B4" s="114" t="s">
        <v>5</v>
      </c>
      <c r="C4" s="114" t="s">
        <v>5</v>
      </c>
      <c r="D4" s="114" t="s">
        <v>5</v>
      </c>
      <c r="E4" s="114" t="s">
        <v>5</v>
      </c>
      <c r="F4" s="114" t="s">
        <v>5</v>
      </c>
      <c r="G4" s="114" t="s">
        <v>5</v>
      </c>
      <c r="H4" s="114" t="s">
        <v>5</v>
      </c>
      <c r="I4" s="114"/>
      <c r="J4" s="114"/>
      <c r="K4" s="114"/>
      <c r="L4" s="114"/>
    </row>
    <row r="5" spans="1:12" x14ac:dyDescent="0.25">
      <c r="A5" s="106" t="s">
        <v>94</v>
      </c>
      <c r="B5" s="114" t="s">
        <v>5</v>
      </c>
      <c r="C5" s="114" t="s">
        <v>5</v>
      </c>
      <c r="D5" s="114" t="s">
        <v>5</v>
      </c>
      <c r="E5" s="114" t="s">
        <v>5</v>
      </c>
      <c r="F5" s="114" t="s">
        <v>5</v>
      </c>
      <c r="G5" s="114" t="s">
        <v>5</v>
      </c>
      <c r="H5" s="114" t="s">
        <v>5</v>
      </c>
      <c r="I5" s="114"/>
      <c r="J5" s="114"/>
      <c r="K5" s="114"/>
      <c r="L5" s="114"/>
    </row>
    <row r="6" spans="1:12" x14ac:dyDescent="0.25">
      <c r="A6" s="106" t="s">
        <v>95</v>
      </c>
      <c r="B6" s="114" t="s">
        <v>5</v>
      </c>
      <c r="C6" s="114" t="s">
        <v>5</v>
      </c>
      <c r="D6" s="114" t="s">
        <v>5</v>
      </c>
      <c r="E6" s="114" t="s">
        <v>5</v>
      </c>
      <c r="F6" s="114" t="s">
        <v>5</v>
      </c>
      <c r="G6" s="114" t="s">
        <v>5</v>
      </c>
      <c r="H6" s="114" t="s">
        <v>5</v>
      </c>
      <c r="I6" s="114"/>
      <c r="J6" s="114"/>
      <c r="K6" s="114"/>
      <c r="L6" s="114"/>
    </row>
    <row r="7" spans="1:12" x14ac:dyDescent="0.25">
      <c r="A7" s="106" t="s">
        <v>132</v>
      </c>
      <c r="B7" s="114"/>
      <c r="C7" s="114" t="s">
        <v>5</v>
      </c>
      <c r="D7" s="114"/>
      <c r="E7" s="114"/>
      <c r="F7" s="114"/>
      <c r="G7" s="114"/>
      <c r="H7" s="114" t="s">
        <v>5</v>
      </c>
      <c r="I7" s="114" t="s">
        <v>5</v>
      </c>
      <c r="J7" s="114"/>
      <c r="K7" s="114"/>
      <c r="L7" s="114" t="s">
        <v>5</v>
      </c>
    </row>
    <row r="8" spans="1:12" x14ac:dyDescent="0.25">
      <c r="A8" s="106" t="s">
        <v>133</v>
      </c>
      <c r="B8" s="114"/>
      <c r="C8" s="114" t="s">
        <v>5</v>
      </c>
      <c r="D8" s="114"/>
      <c r="E8" s="114"/>
      <c r="F8" s="114"/>
      <c r="G8" s="114"/>
      <c r="H8" s="114" t="s">
        <v>5</v>
      </c>
      <c r="I8" s="114" t="s">
        <v>5</v>
      </c>
      <c r="J8" s="114"/>
      <c r="K8" s="114"/>
      <c r="L8" s="114" t="s">
        <v>5</v>
      </c>
    </row>
    <row r="9" spans="1:12" x14ac:dyDescent="0.25">
      <c r="A9" s="106" t="s">
        <v>134</v>
      </c>
      <c r="B9" s="114"/>
      <c r="C9" s="114" t="s">
        <v>5</v>
      </c>
      <c r="D9" s="114"/>
      <c r="E9" s="114"/>
      <c r="F9" s="114"/>
      <c r="G9" s="114"/>
      <c r="H9" s="114" t="s">
        <v>5</v>
      </c>
      <c r="I9" s="114" t="s">
        <v>5</v>
      </c>
      <c r="J9" s="114"/>
      <c r="K9" s="114"/>
      <c r="L9" s="114" t="s">
        <v>5</v>
      </c>
    </row>
    <row r="10" spans="1:12" x14ac:dyDescent="0.25">
      <c r="A10" s="106" t="s">
        <v>135</v>
      </c>
      <c r="B10" s="114"/>
      <c r="C10" s="114" t="s">
        <v>5</v>
      </c>
      <c r="D10" s="114"/>
      <c r="E10" s="114"/>
      <c r="F10" s="114"/>
      <c r="G10" s="114"/>
      <c r="H10" s="114" t="s">
        <v>5</v>
      </c>
      <c r="I10" s="114" t="s">
        <v>5</v>
      </c>
      <c r="J10" s="114"/>
      <c r="K10" s="114"/>
      <c r="L10" s="114" t="s">
        <v>5</v>
      </c>
    </row>
    <row r="11" spans="1:12" x14ac:dyDescent="0.25">
      <c r="A11" s="106" t="s">
        <v>87</v>
      </c>
      <c r="B11" s="114"/>
      <c r="C11" s="114" t="s">
        <v>5</v>
      </c>
      <c r="D11" s="114"/>
      <c r="E11" s="114"/>
      <c r="F11" s="114"/>
      <c r="G11" s="114"/>
      <c r="H11" s="114"/>
      <c r="I11" s="114"/>
      <c r="J11" s="114" t="s">
        <v>5</v>
      </c>
      <c r="K11" s="114" t="s">
        <v>5</v>
      </c>
      <c r="L11" s="114"/>
    </row>
    <row r="12" spans="1:12" x14ac:dyDescent="0.25">
      <c r="A12" s="106" t="s">
        <v>88</v>
      </c>
      <c r="B12" s="114"/>
      <c r="C12" s="114" t="s">
        <v>5</v>
      </c>
      <c r="D12" s="114"/>
      <c r="E12" s="114"/>
      <c r="F12" s="114"/>
      <c r="G12" s="114"/>
      <c r="H12" s="114"/>
      <c r="I12" s="114"/>
      <c r="J12" s="114"/>
      <c r="K12" s="114" t="s">
        <v>5</v>
      </c>
      <c r="L12" s="114"/>
    </row>
    <row r="13" spans="1:12" x14ac:dyDescent="0.25">
      <c r="A13" s="106" t="s">
        <v>89</v>
      </c>
      <c r="B13" s="114"/>
      <c r="C13" s="114" t="s">
        <v>5</v>
      </c>
      <c r="D13" s="114"/>
      <c r="E13" s="114"/>
      <c r="F13" s="114"/>
      <c r="G13" s="114"/>
      <c r="H13" s="114"/>
      <c r="I13" s="114"/>
      <c r="J13" s="114"/>
      <c r="K13" s="114" t="s">
        <v>5</v>
      </c>
      <c r="L13" s="114"/>
    </row>
    <row r="14" spans="1:12" x14ac:dyDescent="0.25">
      <c r="A14" s="106" t="s">
        <v>90</v>
      </c>
      <c r="B14" s="114"/>
      <c r="C14" s="114" t="s">
        <v>5</v>
      </c>
      <c r="D14" s="114"/>
      <c r="E14" s="114"/>
      <c r="F14" s="114"/>
      <c r="G14" s="114"/>
      <c r="H14" s="114"/>
      <c r="I14" s="114"/>
      <c r="J14" s="114"/>
      <c r="K14" s="114" t="s">
        <v>5</v>
      </c>
      <c r="L14" s="114"/>
    </row>
  </sheetData>
  <sheetProtection algorithmName="SHA-512" hashValue="ArDwvCho9gxXl4RFz9xw3fySqWPw495crXBRCNGMn6jbXkaKLyKErBIy6fbk6EP6atbs+rvkQKhsFyb5QpUcWg==" saltValue="QZznKjE5Td94O2I6aGA/J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6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6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6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6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6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6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6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6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6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7vsAe7Q+fjfvZkeKFmZEqoJwEWlCC+U66E2phATbYKoyCS7rAYX2lvrpC9JeLMmnr3UiIEotJhvylNjSve4SwA==" saltValue="Tbp1PLt/J/cedgaEXYErnQ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307</v>
      </c>
    </row>
    <row r="2" spans="1:7" ht="14.25" customHeight="1" x14ac:dyDescent="0.3">
      <c r="A2" s="120" t="s">
        <v>237</v>
      </c>
      <c r="B2" s="105"/>
      <c r="C2" s="103" t="s">
        <v>97</v>
      </c>
      <c r="D2" s="103" t="s">
        <v>93</v>
      </c>
      <c r="E2" s="103" t="s">
        <v>96</v>
      </c>
      <c r="F2" s="103" t="s">
        <v>94</v>
      </c>
      <c r="G2" s="103" t="s">
        <v>95</v>
      </c>
    </row>
    <row r="3" spans="1:7" ht="14.25" customHeight="1" x14ac:dyDescent="0.25">
      <c r="B3" s="115" t="s">
        <v>294</v>
      </c>
      <c r="C3" s="116" t="s">
        <v>8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280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277</v>
      </c>
    </row>
    <row r="6" spans="1:7" ht="14.25" customHeight="1" x14ac:dyDescent="0.25">
      <c r="B6" s="115" t="s">
        <v>222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213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196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233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232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301</v>
      </c>
    </row>
    <row r="13" spans="1:7" ht="14.25" customHeight="1" x14ac:dyDescent="0.3">
      <c r="A13" s="121"/>
      <c r="B13" s="115" t="s">
        <v>211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308</v>
      </c>
    </row>
    <row r="16" spans="1:7" ht="14.25" customHeight="1" x14ac:dyDescent="0.3">
      <c r="A16" s="120" t="s">
        <v>311</v>
      </c>
      <c r="B16" s="115" t="s">
        <v>288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285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124</v>
      </c>
      <c r="B18" s="115" t="s">
        <v>291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304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199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307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237</v>
      </c>
      <c r="B26" s="105"/>
      <c r="C26" s="103" t="s">
        <v>97</v>
      </c>
      <c r="D26" s="103" t="s">
        <v>93</v>
      </c>
      <c r="E26" s="103" t="s">
        <v>96</v>
      </c>
      <c r="F26" s="103" t="s">
        <v>94</v>
      </c>
      <c r="G26" s="103" t="s">
        <v>95</v>
      </c>
    </row>
    <row r="27" spans="1:7" x14ac:dyDescent="0.25">
      <c r="B27" s="115" t="s">
        <v>295</v>
      </c>
      <c r="C27" s="116" t="s">
        <v>8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281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278</v>
      </c>
    </row>
    <row r="30" spans="1:7" x14ac:dyDescent="0.25">
      <c r="B30" s="115" t="s">
        <v>309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299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27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314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312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302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297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308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311</v>
      </c>
      <c r="B40" s="115" t="s">
        <v>289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286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124</v>
      </c>
      <c r="B42" s="115" t="s">
        <v>292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305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283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276</v>
      </c>
    </row>
    <row r="49" spans="1:7" ht="13" x14ac:dyDescent="0.3">
      <c r="A49" s="118" t="s">
        <v>307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237</v>
      </c>
      <c r="B50" s="105"/>
      <c r="C50" s="103" t="s">
        <v>97</v>
      </c>
      <c r="D50" s="103" t="s">
        <v>93</v>
      </c>
      <c r="E50" s="103" t="s">
        <v>96</v>
      </c>
      <c r="F50" s="103" t="s">
        <v>94</v>
      </c>
      <c r="G50" s="103" t="s">
        <v>95</v>
      </c>
    </row>
    <row r="51" spans="1:7" x14ac:dyDescent="0.25">
      <c r="B51" s="115" t="s">
        <v>296</v>
      </c>
      <c r="C51" s="116" t="s">
        <v>8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282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279</v>
      </c>
    </row>
    <row r="54" spans="1:7" x14ac:dyDescent="0.25">
      <c r="B54" s="115" t="s">
        <v>310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300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28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315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313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298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308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311</v>
      </c>
      <c r="B64" s="115" t="s">
        <v>290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287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124</v>
      </c>
      <c r="B66" s="115" t="s">
        <v>293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306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284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/Nno52UKyFQU91qhdZMRbL1U5eZXfN/TSWYfzs1Cb5cA4x94eAwoh2BU/3/ECNn4ebKHkPapSquMj+mzCSlaDA==" saltValue="WqswAtrdPL+78Oshg/vcX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192</v>
      </c>
      <c r="B1" s="103"/>
      <c r="C1" s="103" t="s">
        <v>71</v>
      </c>
      <c r="D1" s="103" t="s">
        <v>78</v>
      </c>
      <c r="E1" s="103" t="s">
        <v>70</v>
      </c>
      <c r="F1" s="105" t="s">
        <v>77</v>
      </c>
    </row>
    <row r="2" spans="1:6" ht="15.75" customHeight="1" x14ac:dyDescent="0.25">
      <c r="A2" s="115" t="s">
        <v>194</v>
      </c>
      <c r="B2" s="115" t="s">
        <v>317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316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195</v>
      </c>
      <c r="B4" s="115" t="s">
        <v>317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207</v>
      </c>
      <c r="B6" s="115" t="s">
        <v>317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316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208</v>
      </c>
      <c r="B8" s="115" t="s">
        <v>317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316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209</v>
      </c>
      <c r="B10" s="115" t="s">
        <v>317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316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214</v>
      </c>
      <c r="B12" s="115" t="s">
        <v>317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316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220</v>
      </c>
      <c r="B14" s="115" t="s">
        <v>317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316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192</v>
      </c>
      <c r="B18" s="103"/>
      <c r="C18" s="103" t="s">
        <v>71</v>
      </c>
      <c r="D18" s="103" t="s">
        <v>78</v>
      </c>
      <c r="E18" s="103" t="s">
        <v>70</v>
      </c>
      <c r="F18" s="105" t="s">
        <v>77</v>
      </c>
    </row>
    <row r="19" spans="1:6" ht="15.75" customHeight="1" x14ac:dyDescent="0.25">
      <c r="A19" s="115" t="s">
        <v>194</v>
      </c>
      <c r="B19" s="115" t="s">
        <v>317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316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195</v>
      </c>
      <c r="B21" s="115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207</v>
      </c>
      <c r="B23" s="115" t="s">
        <v>317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316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208</v>
      </c>
      <c r="B25" s="115" t="s">
        <v>317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316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209</v>
      </c>
      <c r="B27" s="115" t="s">
        <v>317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316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214</v>
      </c>
      <c r="B29" s="115" t="s">
        <v>317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316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220</v>
      </c>
      <c r="B31" s="115" t="s">
        <v>317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316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276</v>
      </c>
    </row>
    <row r="35" spans="1:6" ht="15.75" customHeight="1" x14ac:dyDescent="0.3">
      <c r="A35" s="105" t="s">
        <v>192</v>
      </c>
      <c r="B35" s="103"/>
      <c r="C35" s="103" t="s">
        <v>71</v>
      </c>
      <c r="D35" s="103" t="s">
        <v>78</v>
      </c>
      <c r="E35" s="103" t="s">
        <v>70</v>
      </c>
      <c r="F35" s="105" t="s">
        <v>77</v>
      </c>
    </row>
    <row r="36" spans="1:6" ht="15.75" customHeight="1" x14ac:dyDescent="0.25">
      <c r="A36" s="115" t="s">
        <v>194</v>
      </c>
      <c r="B36" s="115" t="s">
        <v>317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316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195</v>
      </c>
      <c r="B38" s="115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207</v>
      </c>
      <c r="B40" s="115" t="s">
        <v>317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316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208</v>
      </c>
      <c r="B42" s="115" t="s">
        <v>317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316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209</v>
      </c>
      <c r="B44" s="115" t="s">
        <v>317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316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214</v>
      </c>
      <c r="B46" s="115" t="s">
        <v>317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316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220</v>
      </c>
      <c r="B48" s="115" t="s">
        <v>317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316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8x4n5TId9BVK6k9sZDCbJYZKOWlukSNflHltVv3wSKRD67hwfukdFkO+6VXICrMWp/AelZF9+SM0kk01pbp52Q==" saltValue="KvCmg+zOxsJd2ziw2alic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rCgXfl4w9YssVOGhX/KuPUZKWYMh/eXURht4z7SH7bi7wr5tWA2T18PFfEUMI9N+Gv21I5BSrXB5Us3ilvgcJA==" saltValue="CspNt8R4qQmoWD5FE0WvS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5m8LVWLDTYcbyaniuDVjS24uJPRkFPjM3afJ8efH9l6JoSpeOFCnNgDzVRp3pHue4HMwkz/c2f9J91BHbTt16Q==" saltValue="7ZV3fyWNx7ts0X8sBvpM9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213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DVwWbXZm8TjdaK589P9nQlHiP7KGUeIAoAqswuFAbT2TqIALBG2Q0SU9Z0SFLa3ebLAPyukoDUG2I0EveUQ9Pw==" saltValue="hhnvcBPnYoeO9XlKQorTP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4yYa7+syxZmJJmFGIN8VybX4FNmZXDDy+mQ9mEz8qJR4KW9WV1f/BHRgmbBDM6IH94qyem0nclyrTMlQRrsOKw==" saltValue="ucO+Ja1KcyvEvNwYah7aQ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192</v>
      </c>
      <c r="B1" s="103" t="s">
        <v>371</v>
      </c>
      <c r="C1" s="120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113" t="s">
        <v>225</v>
      </c>
      <c r="B2" s="113" t="s">
        <v>103</v>
      </c>
      <c r="C2" s="113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222</v>
      </c>
      <c r="B5" s="113" t="s">
        <v>236</v>
      </c>
      <c r="C5" s="113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6</v>
      </c>
      <c r="C7" s="113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213</v>
      </c>
      <c r="B9" s="113" t="s">
        <v>236</v>
      </c>
      <c r="C9" s="113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6</v>
      </c>
      <c r="C11" s="113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233</v>
      </c>
      <c r="B13" s="113" t="s">
        <v>236</v>
      </c>
      <c r="C13" s="113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6</v>
      </c>
      <c r="C15" s="113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370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196</v>
      </c>
      <c r="B19" s="113" t="s">
        <v>236</v>
      </c>
      <c r="C19" s="113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6</v>
      </c>
      <c r="C21" s="113" t="s">
        <v>368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369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202</v>
      </c>
      <c r="B23" s="113" t="s">
        <v>111</v>
      </c>
      <c r="C23" s="113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200</v>
      </c>
      <c r="B25" s="113" t="s">
        <v>111</v>
      </c>
      <c r="C25" s="113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201</v>
      </c>
      <c r="B27" s="113" t="s">
        <v>111</v>
      </c>
      <c r="C27" s="113" t="s">
        <v>368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370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229</v>
      </c>
      <c r="B29" s="113" t="s">
        <v>103</v>
      </c>
      <c r="C29" s="113" t="s">
        <v>368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370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230</v>
      </c>
      <c r="B32" s="113" t="s">
        <v>103</v>
      </c>
      <c r="C32" s="113" t="s">
        <v>368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370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228</v>
      </c>
      <c r="B35" s="113" t="s">
        <v>103</v>
      </c>
      <c r="C35" s="113" t="s">
        <v>368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370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227</v>
      </c>
      <c r="B38" s="113" t="s">
        <v>103</v>
      </c>
      <c r="C38" s="113" t="s">
        <v>368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370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226</v>
      </c>
      <c r="B41" s="113" t="s">
        <v>103</v>
      </c>
      <c r="C41" s="113" t="s">
        <v>368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370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232</v>
      </c>
      <c r="B44" s="113" t="s">
        <v>103</v>
      </c>
      <c r="C44" s="113" t="s">
        <v>368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370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369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121</v>
      </c>
      <c r="C47" s="113" t="s">
        <v>368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370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369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221</v>
      </c>
      <c r="B50" s="113" t="s">
        <v>103</v>
      </c>
      <c r="C50" s="113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370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231</v>
      </c>
      <c r="B52" s="113" t="s">
        <v>103</v>
      </c>
      <c r="C52" s="113" t="s">
        <v>368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370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211</v>
      </c>
      <c r="B54" s="113" t="s">
        <v>115</v>
      </c>
      <c r="C54" s="113" t="s">
        <v>368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370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360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192</v>
      </c>
      <c r="B58" s="103" t="s">
        <v>371</v>
      </c>
      <c r="C58" s="120" t="s">
        <v>9</v>
      </c>
      <c r="D58" s="4" t="s">
        <v>97</v>
      </c>
      <c r="E58" s="4" t="s">
        <v>93</v>
      </c>
      <c r="F58" s="4" t="s">
        <v>96</v>
      </c>
      <c r="G58" s="4" t="s">
        <v>94</v>
      </c>
      <c r="H58" s="4" t="s">
        <v>95</v>
      </c>
    </row>
    <row r="59" spans="1:8" x14ac:dyDescent="0.25">
      <c r="A59" s="113" t="s">
        <v>225</v>
      </c>
      <c r="B59" s="113" t="s">
        <v>103</v>
      </c>
      <c r="C59" s="113" t="s">
        <v>368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370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369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222</v>
      </c>
      <c r="B62" s="113" t="s">
        <v>236</v>
      </c>
      <c r="C62" s="113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6</v>
      </c>
      <c r="C64" s="113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213</v>
      </c>
      <c r="B66" s="113" t="s">
        <v>236</v>
      </c>
      <c r="C66" s="113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6</v>
      </c>
      <c r="C68" s="113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369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233</v>
      </c>
      <c r="B70" s="113" t="s">
        <v>236</v>
      </c>
      <c r="C70" s="113" t="s">
        <v>368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369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6</v>
      </c>
      <c r="C72" s="113" t="s">
        <v>368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368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370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196</v>
      </c>
      <c r="B76" s="113" t="s">
        <v>236</v>
      </c>
      <c r="C76" s="113" t="s">
        <v>368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369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6</v>
      </c>
      <c r="C78" s="113" t="s">
        <v>368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369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202</v>
      </c>
      <c r="B80" s="113" t="s">
        <v>111</v>
      </c>
      <c r="C80" s="113" t="s">
        <v>368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370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200</v>
      </c>
      <c r="B82" s="113" t="s">
        <v>111</v>
      </c>
      <c r="C82" s="113" t="s">
        <v>368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370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201</v>
      </c>
      <c r="B84" s="113" t="s">
        <v>111</v>
      </c>
      <c r="C84" s="113" t="s">
        <v>368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370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229</v>
      </c>
      <c r="B86" s="113" t="s">
        <v>103</v>
      </c>
      <c r="C86" s="113" t="s">
        <v>368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370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369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230</v>
      </c>
      <c r="B89" s="113" t="s">
        <v>103</v>
      </c>
      <c r="C89" s="113" t="s">
        <v>368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370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369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228</v>
      </c>
      <c r="B92" s="113" t="s">
        <v>103</v>
      </c>
      <c r="C92" s="113" t="s">
        <v>368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370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369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227</v>
      </c>
      <c r="B95" s="113" t="s">
        <v>103</v>
      </c>
      <c r="C95" s="113" t="s">
        <v>368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370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369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226</v>
      </c>
      <c r="B98" s="113" t="s">
        <v>103</v>
      </c>
      <c r="C98" s="113" t="s">
        <v>368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370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369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232</v>
      </c>
      <c r="B101" s="113" t="s">
        <v>103</v>
      </c>
      <c r="C101" s="113" t="s">
        <v>368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370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369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121</v>
      </c>
      <c r="C104" s="113" t="s">
        <v>368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370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369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221</v>
      </c>
      <c r="B107" s="113" t="s">
        <v>103</v>
      </c>
      <c r="C107" s="113" t="s">
        <v>368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370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231</v>
      </c>
      <c r="B109" s="113" t="s">
        <v>103</v>
      </c>
      <c r="C109" s="113" t="s">
        <v>368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370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211</v>
      </c>
      <c r="B111" s="113" t="s">
        <v>115</v>
      </c>
      <c r="C111" s="113" t="s">
        <v>368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370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367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192</v>
      </c>
      <c r="B115" s="103" t="s">
        <v>371</v>
      </c>
      <c r="C115" s="120" t="s">
        <v>9</v>
      </c>
      <c r="D115" s="4" t="s">
        <v>97</v>
      </c>
      <c r="E115" s="4" t="s">
        <v>93</v>
      </c>
      <c r="F115" s="4" t="s">
        <v>96</v>
      </c>
      <c r="G115" s="4" t="s">
        <v>94</v>
      </c>
      <c r="H115" s="4" t="s">
        <v>95</v>
      </c>
    </row>
    <row r="116" spans="1:8" x14ac:dyDescent="0.25">
      <c r="A116" s="113" t="s">
        <v>225</v>
      </c>
      <c r="B116" s="113" t="s">
        <v>103</v>
      </c>
      <c r="C116" s="113" t="s">
        <v>368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370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369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222</v>
      </c>
      <c r="B119" s="113" t="s">
        <v>236</v>
      </c>
      <c r="C119" s="113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6</v>
      </c>
      <c r="C121" s="113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213</v>
      </c>
      <c r="B123" s="113" t="s">
        <v>236</v>
      </c>
      <c r="C123" s="113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369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6</v>
      </c>
      <c r="C125" s="113" t="s">
        <v>368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369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233</v>
      </c>
      <c r="B127" s="113" t="s">
        <v>236</v>
      </c>
      <c r="C127" s="113" t="s">
        <v>368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369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6</v>
      </c>
      <c r="C129" s="113" t="s">
        <v>368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369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368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370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196</v>
      </c>
      <c r="B133" s="113" t="s">
        <v>236</v>
      </c>
      <c r="C133" s="113" t="s">
        <v>368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369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6</v>
      </c>
      <c r="C135" s="113" t="s">
        <v>368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369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202</v>
      </c>
      <c r="B137" s="113" t="s">
        <v>111</v>
      </c>
      <c r="C137" s="113" t="s">
        <v>368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370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200</v>
      </c>
      <c r="B139" s="113" t="s">
        <v>111</v>
      </c>
      <c r="C139" s="113" t="s">
        <v>368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370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201</v>
      </c>
      <c r="B141" s="113" t="s">
        <v>111</v>
      </c>
      <c r="C141" s="113" t="s">
        <v>368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370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229</v>
      </c>
      <c r="B143" s="113" t="s">
        <v>103</v>
      </c>
      <c r="C143" s="113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370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230</v>
      </c>
      <c r="B146" s="113" t="s">
        <v>103</v>
      </c>
      <c r="C146" s="113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228</v>
      </c>
      <c r="B149" s="113" t="s">
        <v>103</v>
      </c>
      <c r="C149" s="113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227</v>
      </c>
      <c r="B152" s="113" t="s">
        <v>103</v>
      </c>
      <c r="C152" s="113" t="s">
        <v>368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370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369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226</v>
      </c>
      <c r="B155" s="113" t="s">
        <v>103</v>
      </c>
      <c r="C155" s="113" t="s">
        <v>368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232</v>
      </c>
      <c r="B158" s="113" t="s">
        <v>103</v>
      </c>
      <c r="C158" s="113" t="s">
        <v>368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370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369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121</v>
      </c>
      <c r="C161" s="113" t="s">
        <v>368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370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369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221</v>
      </c>
      <c r="B164" s="113" t="s">
        <v>103</v>
      </c>
      <c r="C164" s="113" t="s">
        <v>368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370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231</v>
      </c>
      <c r="B166" s="113" t="s">
        <v>103</v>
      </c>
      <c r="C166" s="113" t="s">
        <v>368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370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211</v>
      </c>
      <c r="B168" s="113" t="s">
        <v>115</v>
      </c>
      <c r="C168" s="113" t="s">
        <v>368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370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o7nCEB3JqouPet/kAPcq1G/G9KEvFSq7K4pyeWQDwjiG5moT0zcyPecMsEVAJc4KbJhtzABZ8X5sK/GMJIfeoA==" saltValue="7KXNbDxgae9k3tVALbUO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CHXoAEumpqdz45MoZ56YmwFYdta0x4PbUJ45ejDnUuynQUCtOX5hPOD5IYPOrC9w5Wtb/AoKg8QWoZ19+PKtYg==" saltValue="f3K5S0cxVVgRp7FLQ8qTG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2026-04-29T02:50:26Z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