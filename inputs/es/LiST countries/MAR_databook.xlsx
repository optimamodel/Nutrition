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4C34CCC7-166A-4D6C-8A08-95C27AC0E87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A32" i="2"/>
  <c r="A31" i="2"/>
  <c r="A24" i="2"/>
  <c r="A23" i="2"/>
  <c r="A21" i="2"/>
  <c r="H13" i="2"/>
  <c r="I13" i="2" s="1"/>
  <c r="G13" i="2"/>
  <c r="H12" i="2"/>
  <c r="G12" i="2"/>
  <c r="I12" i="2" s="1"/>
  <c r="I11" i="2"/>
  <c r="H11" i="2"/>
  <c r="G11" i="2"/>
  <c r="H10" i="2"/>
  <c r="G10" i="2"/>
  <c r="I10" i="2" s="1"/>
  <c r="H9" i="2"/>
  <c r="I9" i="2" s="1"/>
  <c r="G9" i="2"/>
  <c r="H8" i="2"/>
  <c r="G8" i="2"/>
  <c r="H7" i="2"/>
  <c r="I7" i="2" s="1"/>
  <c r="G7" i="2"/>
  <c r="H6" i="2"/>
  <c r="G6" i="2"/>
  <c r="I6" i="2" s="1"/>
  <c r="H5" i="2"/>
  <c r="I5" i="2" s="1"/>
  <c r="G5" i="2"/>
  <c r="H4" i="2"/>
  <c r="G4" i="2"/>
  <c r="I4" i="2" s="1"/>
  <c r="I3" i="2"/>
  <c r="H3" i="2"/>
  <c r="G3" i="2"/>
  <c r="H2" i="2"/>
  <c r="G2" i="2"/>
  <c r="I2" i="2" s="1"/>
  <c r="A2" i="2"/>
  <c r="A40" i="2" s="1"/>
  <c r="C33" i="1"/>
  <c r="C20" i="1"/>
  <c r="A29" i="2" l="1"/>
  <c r="A15" i="2"/>
  <c r="A37" i="2"/>
  <c r="I8" i="2"/>
  <c r="A16" i="2"/>
  <c r="I38" i="2"/>
  <c r="A17" i="2"/>
  <c r="A25" i="2"/>
  <c r="A33" i="2"/>
  <c r="A18" i="2"/>
  <c r="A19" i="2"/>
  <c r="A27" i="2"/>
  <c r="A35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26" i="2"/>
  <c r="A34" i="2"/>
  <c r="A39" i="2"/>
  <c r="A20" i="2"/>
  <c r="A28" i="2"/>
  <c r="A36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<sst xmlns="http://schemas.openxmlformats.org/spreadsheetml/2006/main" count="2101" uniqueCount="341">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</sst>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3163964.28125</v>
      </c>
    </row>
    <row r="8" spans="1:3" ht="15" customHeight="1" x14ac:dyDescent="0.25">
      <c r="B8" s="5" t="s">
        <v>44</v>
      </c>
      <c r="C8" s="44">
        <v>0.01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0.63021438598632795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0.252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6.9099999999999995E-2</v>
      </c>
    </row>
    <row r="24" spans="1:3" ht="15" customHeight="1" x14ac:dyDescent="0.25">
      <c r="B24" s="15" t="s">
        <v>46</v>
      </c>
      <c r="C24" s="45">
        <v>0.43240000000000001</v>
      </c>
    </row>
    <row r="25" spans="1:3" ht="15" customHeight="1" x14ac:dyDescent="0.25">
      <c r="B25" s="15" t="s">
        <v>47</v>
      </c>
      <c r="C25" s="45">
        <v>0.39429999999999998</v>
      </c>
    </row>
    <row r="26" spans="1:3" ht="15" customHeight="1" x14ac:dyDescent="0.25">
      <c r="B26" s="15" t="s">
        <v>48</v>
      </c>
      <c r="C26" s="45">
        <v>0.1042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0.27342300031322098</v>
      </c>
    </row>
    <row r="30" spans="1:3" ht="14.25" customHeight="1" x14ac:dyDescent="0.25">
      <c r="B30" s="25" t="s">
        <v>63</v>
      </c>
      <c r="C30" s="99">
        <v>5.2040607424200101E-2</v>
      </c>
    </row>
    <row r="31" spans="1:3" ht="14.25" customHeight="1" x14ac:dyDescent="0.25">
      <c r="B31" s="25" t="s">
        <v>10</v>
      </c>
      <c r="C31" s="99">
        <v>6.8435949585570102E-2</v>
      </c>
    </row>
    <row r="32" spans="1:3" ht="14.25" customHeight="1" x14ac:dyDescent="0.25">
      <c r="B32" s="25" t="s">
        <v>11</v>
      </c>
      <c r="C32" s="99">
        <v>0.60610044267700902</v>
      </c>
    </row>
    <row r="33" spans="1:5" ht="13" customHeight="1" x14ac:dyDescent="0.25">
      <c r="B33" s="27" t="s">
        <v>60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11.120749999999999</v>
      </c>
    </row>
    <row r="38" spans="1:5" ht="15" customHeight="1" x14ac:dyDescent="0.25">
      <c r="B38" s="11" t="s">
        <v>35</v>
      </c>
      <c r="C38" s="43">
        <v>15.422169999999999</v>
      </c>
      <c r="D38" s="12"/>
      <c r="E38" s="13"/>
    </row>
    <row r="39" spans="1:5" ht="15" customHeight="1" x14ac:dyDescent="0.25">
      <c r="B39" s="11" t="s">
        <v>61</v>
      </c>
      <c r="C39" s="43">
        <v>17.995570000000001</v>
      </c>
      <c r="D39" s="12"/>
      <c r="E39" s="12"/>
    </row>
    <row r="40" spans="1:5" ht="15" customHeight="1" x14ac:dyDescent="0.25">
      <c r="B40" s="11" t="s">
        <v>36</v>
      </c>
      <c r="C40" s="100">
        <v>0.72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13.22335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7.4773000000000001E-3</v>
      </c>
      <c r="D45" s="12"/>
    </row>
    <row r="46" spans="1:5" ht="15.75" customHeight="1" x14ac:dyDescent="0.25">
      <c r="B46" s="11" t="s">
        <v>51</v>
      </c>
      <c r="C46" s="45">
        <v>8.0342499999999997E-2</v>
      </c>
      <c r="D46" s="12"/>
    </row>
    <row r="47" spans="1:5" ht="15.75" customHeight="1" x14ac:dyDescent="0.25">
      <c r="B47" s="11" t="s">
        <v>59</v>
      </c>
      <c r="C47" s="45">
        <v>7.38901E-2</v>
      </c>
      <c r="D47" s="12"/>
      <c r="E47" s="13"/>
    </row>
    <row r="48" spans="1:5" ht="15" customHeight="1" x14ac:dyDescent="0.25">
      <c r="B48" s="11" t="s">
        <v>58</v>
      </c>
      <c r="C48" s="46">
        <v>0.83829009999999993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2.9</v>
      </c>
      <c r="D51" s="12"/>
    </row>
    <row r="52" spans="1:4" ht="15" customHeight="1" x14ac:dyDescent="0.25">
      <c r="B52" s="11" t="s">
        <v>13</v>
      </c>
      <c r="C52" s="100">
        <v>2.9</v>
      </c>
    </row>
    <row r="53" spans="1:4" ht="15.75" customHeight="1" x14ac:dyDescent="0.25">
      <c r="B53" s="11" t="s">
        <v>16</v>
      </c>
      <c r="C53" s="100">
        <v>2.9</v>
      </c>
    </row>
    <row r="54" spans="1:4" ht="15.75" customHeight="1" x14ac:dyDescent="0.25">
      <c r="B54" s="11" t="s">
        <v>14</v>
      </c>
      <c r="C54" s="100">
        <v>2.9</v>
      </c>
    </row>
    <row r="55" spans="1:4" ht="15.75" customHeight="1" x14ac:dyDescent="0.25">
      <c r="B55" s="11" t="s">
        <v>15</v>
      </c>
      <c r="C55" s="100">
        <v>2.9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2.0689655172413789E-2</v>
      </c>
    </row>
    <row r="59" spans="1:4" ht="15.75" customHeight="1" x14ac:dyDescent="0.25">
      <c r="B59" s="11" t="s">
        <v>40</v>
      </c>
      <c r="C59" s="45">
        <v>0.55589599999999983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0.17284669999999899</v>
      </c>
    </row>
    <row r="63" spans="1:4" ht="15.75" customHeight="1" x14ac:dyDescent="0.3">
      <c r="A63" s="4"/>
    </row>
  </sheetData>
  <sheetProtection algorithmName="SHA-512" hashValue="6Sp5aFyXvcQZ6ZC46/YFXwXbByZUA+cX4ANAw4xmXzUc+mr/3CF7rWZ8Cl4dGo7sXruXeHow+UI+IX4/pnirxA==" saltValue="xPmTC8tbhfN8/HSqP5P/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630394</v>
      </c>
      <c r="C2" s="49">
        <v>1852641.5</v>
      </c>
      <c r="D2" s="49">
        <v>2835114</v>
      </c>
      <c r="E2" s="49">
        <v>2798930.5</v>
      </c>
      <c r="F2" s="49">
        <v>2234318</v>
      </c>
      <c r="G2" s="17">
        <f t="shared" ref="G2:G13" si="0">C2+D2+E2+F2</f>
        <v>9721004</v>
      </c>
      <c r="H2" s="17">
        <f t="shared" ref="H2:H13" si="1">(B2 + stillbirth*B2/(1000-stillbirth))/(1-abortion)</f>
        <v>725956.39365992113</v>
      </c>
      <c r="I2" s="17">
        <f t="shared" ref="I2:I13" si="2">G2-H2</f>
        <v>8995047.6063400786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623362</v>
      </c>
      <c r="C3" s="50">
        <v>1880948</v>
      </c>
      <c r="D3" s="50">
        <v>2844455</v>
      </c>
      <c r="E3" s="50">
        <v>2794516.5</v>
      </c>
      <c r="F3" s="50">
        <v>2273010</v>
      </c>
      <c r="G3" s="17">
        <f t="shared" si="0"/>
        <v>9792929.5</v>
      </c>
      <c r="H3" s="17">
        <f t="shared" si="1"/>
        <v>717858.40199087514</v>
      </c>
      <c r="I3" s="17">
        <f t="shared" si="2"/>
        <v>9075071.0980091244</v>
      </c>
    </row>
    <row r="4" spans="1:9" ht="15.75" customHeight="1" x14ac:dyDescent="0.25">
      <c r="A4" s="5">
        <f t="shared" si="3"/>
        <v>2026</v>
      </c>
      <c r="B4" s="49">
        <v>618090</v>
      </c>
      <c r="C4" s="50">
        <v>1909862</v>
      </c>
      <c r="D4" s="50">
        <v>2859133</v>
      </c>
      <c r="E4" s="50">
        <v>2785489.5</v>
      </c>
      <c r="F4" s="50">
        <v>2309130.5</v>
      </c>
      <c r="G4" s="17">
        <f t="shared" si="0"/>
        <v>9863615</v>
      </c>
      <c r="H4" s="17">
        <f t="shared" si="1"/>
        <v>711787.21142215922</v>
      </c>
      <c r="I4" s="17">
        <f t="shared" si="2"/>
        <v>9151827.7885778416</v>
      </c>
    </row>
    <row r="5" spans="1:9" ht="15.75" customHeight="1" x14ac:dyDescent="0.25">
      <c r="A5" s="5">
        <f t="shared" si="3"/>
        <v>2027</v>
      </c>
      <c r="B5" s="49">
        <v>614297</v>
      </c>
      <c r="C5" s="50">
        <v>1937064</v>
      </c>
      <c r="D5" s="50">
        <v>2876348</v>
      </c>
      <c r="E5" s="50">
        <v>2777455</v>
      </c>
      <c r="F5" s="50">
        <v>2343498</v>
      </c>
      <c r="G5" s="17">
        <f t="shared" si="0"/>
        <v>9934365</v>
      </c>
      <c r="H5" s="17">
        <f t="shared" si="1"/>
        <v>707419.22473264101</v>
      </c>
      <c r="I5" s="17">
        <f t="shared" si="2"/>
        <v>9226945.7752673589</v>
      </c>
    </row>
    <row r="6" spans="1:9" ht="15.75" customHeight="1" x14ac:dyDescent="0.25">
      <c r="A6" s="5">
        <f t="shared" si="3"/>
        <v>2028</v>
      </c>
      <c r="B6" s="49">
        <v>611320</v>
      </c>
      <c r="C6" s="50">
        <v>1959953.5</v>
      </c>
      <c r="D6" s="50">
        <v>2896239</v>
      </c>
      <c r="E6" s="50">
        <v>2773700</v>
      </c>
      <c r="F6" s="50">
        <v>2375359</v>
      </c>
      <c r="G6" s="17">
        <f t="shared" si="0"/>
        <v>10005251.5</v>
      </c>
      <c r="H6" s="17">
        <f t="shared" si="1"/>
        <v>703990.93673509418</v>
      </c>
      <c r="I6" s="17">
        <f t="shared" si="2"/>
        <v>9301260.5632649064</v>
      </c>
    </row>
    <row r="7" spans="1:9" ht="15.75" customHeight="1" x14ac:dyDescent="0.25">
      <c r="A7" s="5">
        <f t="shared" si="3"/>
        <v>2029</v>
      </c>
      <c r="B7" s="49">
        <v>607325</v>
      </c>
      <c r="C7" s="50">
        <v>1975324.5</v>
      </c>
      <c r="D7" s="50">
        <v>2923451</v>
      </c>
      <c r="E7" s="50">
        <v>2770270.5</v>
      </c>
      <c r="F7" s="50">
        <v>2401165.5</v>
      </c>
      <c r="G7" s="17">
        <f t="shared" si="0"/>
        <v>10070211.5</v>
      </c>
      <c r="H7" s="17">
        <f t="shared" si="1"/>
        <v>699390.32855565182</v>
      </c>
      <c r="I7" s="17">
        <f t="shared" si="2"/>
        <v>9370821.171444349</v>
      </c>
    </row>
    <row r="8" spans="1:9" ht="15.75" customHeight="1" x14ac:dyDescent="0.25">
      <c r="A8" s="5">
        <f t="shared" si="3"/>
        <v>2030</v>
      </c>
      <c r="B8" s="49">
        <v>606213</v>
      </c>
      <c r="C8" s="50">
        <v>1980200</v>
      </c>
      <c r="D8" s="50">
        <v>2956224.5</v>
      </c>
      <c r="E8" s="50">
        <v>2765334</v>
      </c>
      <c r="F8" s="50">
        <v>2420415</v>
      </c>
      <c r="G8" s="17">
        <f t="shared" si="0"/>
        <v>10122173.5</v>
      </c>
      <c r="H8" s="17">
        <f t="shared" si="1"/>
        <v>698109.7587695343</v>
      </c>
      <c r="I8" s="17">
        <f t="shared" si="2"/>
        <v>9424063.7412304655</v>
      </c>
    </row>
    <row r="9" spans="1:9" ht="15.75" customHeight="1" x14ac:dyDescent="0.25">
      <c r="A9" s="5">
        <f t="shared" si="3"/>
        <v>2031</v>
      </c>
      <c r="B9" s="49">
        <v>601217</v>
      </c>
      <c r="C9" s="50">
        <v>1976081</v>
      </c>
      <c r="D9" s="50">
        <v>2992068.5</v>
      </c>
      <c r="E9" s="50">
        <v>2760482</v>
      </c>
      <c r="F9" s="50">
        <v>2435630</v>
      </c>
      <c r="G9" s="17">
        <f t="shared" si="0"/>
        <v>10164261.5</v>
      </c>
      <c r="H9" s="17">
        <f t="shared" si="1"/>
        <v>692356.40746427909</v>
      </c>
      <c r="I9" s="17">
        <f t="shared" si="2"/>
        <v>9471905.0925357211</v>
      </c>
    </row>
    <row r="10" spans="1:9" ht="15.75" customHeight="1" x14ac:dyDescent="0.25">
      <c r="A10" s="5">
        <f t="shared" si="3"/>
        <v>2032</v>
      </c>
      <c r="B10" s="49">
        <v>600345</v>
      </c>
      <c r="C10" s="50">
        <v>1967055</v>
      </c>
      <c r="D10" s="50">
        <v>3031649</v>
      </c>
      <c r="E10" s="50">
        <v>2755414.5</v>
      </c>
      <c r="F10" s="50">
        <v>2447903.5</v>
      </c>
      <c r="G10" s="17">
        <f t="shared" si="0"/>
        <v>10202022</v>
      </c>
      <c r="H10" s="17">
        <f t="shared" si="1"/>
        <v>691352.21964638832</v>
      </c>
      <c r="I10" s="17">
        <f t="shared" si="2"/>
        <v>9510669.7803536113</v>
      </c>
    </row>
    <row r="11" spans="1:9" ht="15.75" customHeight="1" x14ac:dyDescent="0.25">
      <c r="A11" s="5">
        <f t="shared" si="3"/>
        <v>2033</v>
      </c>
      <c r="B11" s="49">
        <v>601915</v>
      </c>
      <c r="C11" s="50">
        <v>1952066</v>
      </c>
      <c r="D11" s="50">
        <v>3072565.5</v>
      </c>
      <c r="E11" s="50">
        <v>2752578.5</v>
      </c>
      <c r="F11" s="50">
        <v>2457664.5</v>
      </c>
      <c r="G11" s="17">
        <f t="shared" si="0"/>
        <v>10234874.5</v>
      </c>
      <c r="H11" s="17">
        <f t="shared" si="1"/>
        <v>693160.21835520549</v>
      </c>
      <c r="I11" s="17">
        <f t="shared" si="2"/>
        <v>9541714.2816447951</v>
      </c>
    </row>
    <row r="12" spans="1:9" ht="15.75" customHeight="1" x14ac:dyDescent="0.25">
      <c r="A12" s="5">
        <f t="shared" si="3"/>
        <v>2034</v>
      </c>
      <c r="B12" s="49">
        <v>602129</v>
      </c>
      <c r="C12" s="50">
        <v>1933447</v>
      </c>
      <c r="D12" s="50">
        <v>3110031.5</v>
      </c>
      <c r="E12" s="50">
        <v>2755712.5</v>
      </c>
      <c r="F12" s="50">
        <v>2463259</v>
      </c>
      <c r="G12" s="17">
        <f t="shared" si="0"/>
        <v>10262450</v>
      </c>
      <c r="H12" s="17">
        <f t="shared" si="1"/>
        <v>693406.658943541</v>
      </c>
      <c r="I12" s="17">
        <f t="shared" si="2"/>
        <v>9569043.3410564587</v>
      </c>
    </row>
    <row r="13" spans="1:9" ht="15.75" customHeight="1" x14ac:dyDescent="0.25">
      <c r="A13" s="5">
        <f t="shared" si="3"/>
        <v>2035</v>
      </c>
      <c r="B13" s="49">
        <v>599807</v>
      </c>
      <c r="C13" s="50">
        <v>1913295.5</v>
      </c>
      <c r="D13" s="50">
        <v>3142380</v>
      </c>
      <c r="E13" s="50">
        <v>2765336.5</v>
      </c>
      <c r="F13" s="50">
        <v>2462596.5</v>
      </c>
      <c r="G13" s="17">
        <f t="shared" si="0"/>
        <v>10283608.5</v>
      </c>
      <c r="H13" s="17">
        <f t="shared" si="1"/>
        <v>690732.66340094653</v>
      </c>
      <c r="I13" s="17">
        <f t="shared" si="2"/>
        <v>9592875.8365990538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N/Uw6SxoGYuZQ1jpXY+ex7npaI5Kqtcw15ZbhlvP78AzzeV1Xoq22nUMEZ+j1dzdVlwj8OnHMrIyA97xst6u8A==" saltValue="S7oDLP3L9ynhhgexqyA8G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4.1866000000000082E-3</v>
      </c>
    </row>
    <row r="4" spans="1:8" ht="15.75" customHeight="1" x14ac:dyDescent="0.25">
      <c r="B4" s="19" t="s">
        <v>97</v>
      </c>
      <c r="C4" s="101">
        <v>3.4764499999999997E-2</v>
      </c>
    </row>
    <row r="5" spans="1:8" ht="15.75" customHeight="1" x14ac:dyDescent="0.25">
      <c r="B5" s="19" t="s">
        <v>95</v>
      </c>
      <c r="C5" s="101">
        <v>3.1592600000000033E-2</v>
      </c>
    </row>
    <row r="6" spans="1:8" ht="15.75" customHeight="1" x14ac:dyDescent="0.25">
      <c r="B6" s="19" t="s">
        <v>91</v>
      </c>
      <c r="C6" s="101">
        <v>0.16727610000000029</v>
      </c>
    </row>
    <row r="7" spans="1:8" ht="15.75" customHeight="1" x14ac:dyDescent="0.25">
      <c r="B7" s="19" t="s">
        <v>96</v>
      </c>
      <c r="C7" s="101">
        <v>0.51364719999999997</v>
      </c>
    </row>
    <row r="8" spans="1:8" ht="15.75" customHeight="1" x14ac:dyDescent="0.25">
      <c r="B8" s="19" t="s">
        <v>98</v>
      </c>
      <c r="C8" s="101">
        <v>5.142000000000009E-4</v>
      </c>
    </row>
    <row r="9" spans="1:8" ht="15.75" customHeight="1" x14ac:dyDescent="0.25">
      <c r="B9" s="19" t="s">
        <v>92</v>
      </c>
      <c r="C9" s="101">
        <v>0.1789375999999997</v>
      </c>
    </row>
    <row r="10" spans="1:8" ht="15.75" customHeight="1" x14ac:dyDescent="0.25">
      <c r="B10" s="19" t="s">
        <v>94</v>
      </c>
      <c r="C10" s="101">
        <v>6.9081200000000106E-2</v>
      </c>
    </row>
    <row r="11" spans="1:8" ht="15.75" customHeight="1" x14ac:dyDescent="0.25">
      <c r="B11" s="27" t="s">
        <v>60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6.0123603405278697E-2</v>
      </c>
      <c r="D14" s="55">
        <v>6.0123603405278697E-2</v>
      </c>
      <c r="E14" s="55">
        <v>6.0123603405278697E-2</v>
      </c>
      <c r="F14" s="55">
        <v>6.0123603405278697E-2</v>
      </c>
    </row>
    <row r="15" spans="1:8" ht="15.75" customHeight="1" x14ac:dyDescent="0.25">
      <c r="B15" s="19" t="s">
        <v>102</v>
      </c>
      <c r="C15" s="101">
        <v>0.64463796691699249</v>
      </c>
      <c r="D15" s="101">
        <v>0.64463796691699249</v>
      </c>
      <c r="E15" s="101">
        <v>0.64463796691699249</v>
      </c>
      <c r="F15" s="101">
        <v>0.64463796691699249</v>
      </c>
    </row>
    <row r="16" spans="1:8" ht="15.75" customHeight="1" x14ac:dyDescent="0.25">
      <c r="B16" s="19" t="s">
        <v>2</v>
      </c>
      <c r="C16" s="101">
        <v>1.1737965988328471E-2</v>
      </c>
      <c r="D16" s="101">
        <v>1.1737965988328471E-2</v>
      </c>
      <c r="E16" s="101">
        <v>1.1737965988328471E-2</v>
      </c>
      <c r="F16" s="101">
        <v>1.1737965988328471E-2</v>
      </c>
    </row>
    <row r="17" spans="1:8" ht="15.75" customHeight="1" x14ac:dyDescent="0.25">
      <c r="B17" s="19" t="s">
        <v>90</v>
      </c>
      <c r="C17" s="101">
        <v>4.1077226371291783E-4</v>
      </c>
      <c r="D17" s="101">
        <v>4.1077226371291783E-4</v>
      </c>
      <c r="E17" s="101">
        <v>4.1077226371291783E-4</v>
      </c>
      <c r="F17" s="101">
        <v>4.1077226371291783E-4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1.566186659983906E-2</v>
      </c>
      <c r="D19" s="101">
        <v>1.566186659983906E-2</v>
      </c>
      <c r="E19" s="101">
        <v>1.566186659983906E-2</v>
      </c>
      <c r="F19" s="101">
        <v>1.566186659983906E-2</v>
      </c>
    </row>
    <row r="20" spans="1:8" ht="15.75" customHeight="1" x14ac:dyDescent="0.25">
      <c r="B20" s="19" t="s">
        <v>79</v>
      </c>
      <c r="C20" s="101">
        <v>9.7501729496966699E-3</v>
      </c>
      <c r="D20" s="101">
        <v>9.7501729496966699E-3</v>
      </c>
      <c r="E20" s="101">
        <v>9.7501729496966699E-3</v>
      </c>
      <c r="F20" s="101">
        <v>9.7501729496966699E-3</v>
      </c>
    </row>
    <row r="21" spans="1:8" ht="15.75" customHeight="1" x14ac:dyDescent="0.25">
      <c r="B21" s="19" t="s">
        <v>88</v>
      </c>
      <c r="C21" s="101">
        <v>0.16638346834571979</v>
      </c>
      <c r="D21" s="101">
        <v>0.16638346834571979</v>
      </c>
      <c r="E21" s="101">
        <v>0.16638346834571979</v>
      </c>
      <c r="F21" s="101">
        <v>0.16638346834571979</v>
      </c>
    </row>
    <row r="22" spans="1:8" ht="15.75" customHeight="1" x14ac:dyDescent="0.25">
      <c r="B22" s="19" t="s">
        <v>99</v>
      </c>
      <c r="C22" s="101">
        <v>9.1294183530432171E-2</v>
      </c>
      <c r="D22" s="101">
        <v>9.1294183530432171E-2</v>
      </c>
      <c r="E22" s="101">
        <v>9.1294183530432171E-2</v>
      </c>
      <c r="F22" s="101">
        <v>9.1294183530432171E-2</v>
      </c>
    </row>
    <row r="23" spans="1:8" ht="15.75" customHeight="1" x14ac:dyDescent="0.25">
      <c r="B23" s="27" t="s">
        <v>60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2.9403015000000001E-2</v>
      </c>
    </row>
    <row r="27" spans="1:8" ht="15.75" customHeight="1" x14ac:dyDescent="0.25">
      <c r="B27" s="19" t="s">
        <v>89</v>
      </c>
      <c r="C27" s="101">
        <v>9.4778499999999995E-3</v>
      </c>
    </row>
    <row r="28" spans="1:8" ht="15.75" customHeight="1" x14ac:dyDescent="0.25">
      <c r="B28" s="19" t="s">
        <v>103</v>
      </c>
      <c r="C28" s="101">
        <v>0.26792401599999999</v>
      </c>
    </row>
    <row r="29" spans="1:8" ht="15.75" customHeight="1" x14ac:dyDescent="0.25">
      <c r="B29" s="19" t="s">
        <v>86</v>
      </c>
      <c r="C29" s="101">
        <v>0.15314538599999999</v>
      </c>
    </row>
    <row r="30" spans="1:8" ht="15.75" customHeight="1" x14ac:dyDescent="0.25">
      <c r="B30" s="19" t="s">
        <v>4</v>
      </c>
      <c r="C30" s="101">
        <v>8.2032367999999994E-2</v>
      </c>
    </row>
    <row r="31" spans="1:8" ht="15.75" customHeight="1" x14ac:dyDescent="0.25">
      <c r="B31" s="19" t="s">
        <v>80</v>
      </c>
      <c r="C31" s="101">
        <v>7.4517409999999996E-3</v>
      </c>
    </row>
    <row r="32" spans="1:8" ht="15.75" customHeight="1" x14ac:dyDescent="0.25">
      <c r="B32" s="19" t="s">
        <v>85</v>
      </c>
      <c r="C32" s="101">
        <v>1.1600134E-2</v>
      </c>
    </row>
    <row r="33" spans="2:3" ht="15.75" customHeight="1" x14ac:dyDescent="0.25">
      <c r="B33" s="19" t="s">
        <v>100</v>
      </c>
      <c r="C33" s="101">
        <v>0.249526525</v>
      </c>
    </row>
    <row r="34" spans="2:3" ht="15.75" customHeight="1" x14ac:dyDescent="0.25">
      <c r="B34" s="19" t="s">
        <v>87</v>
      </c>
      <c r="C34" s="101">
        <v>0.18943896499999999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eAeQXn/qZMJ+cisftX18UIk7W4CjB6QLkf6Qa1crb/r6z9ElyJMJ1fYwu+mfh3zPaPbT+JdT9lZqO0ba9bPtmw==" saltValue="i12MHkazo1ixTIbFUKCJ3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0.42180623856288357</v>
      </c>
      <c r="D2" s="52">
        <f>IFERROR(1-_xlfn.NORM.DIST(_xlfn.NORM.INV(SUM(D4:D5), 0, 1) + 1, 0, 1, TRUE), "")</f>
        <v>0.42180623856288357</v>
      </c>
      <c r="E2" s="52">
        <f>IFERROR(1-_xlfn.NORM.DIST(_xlfn.NORM.INV(SUM(E4:E5), 0, 1) + 1, 0, 1, TRUE), "")</f>
        <v>0.42890962659178988</v>
      </c>
      <c r="F2" s="52">
        <f>IFERROR(1-_xlfn.NORM.DIST(_xlfn.NORM.INV(SUM(F4:F5), 0, 1) + 1, 0, 1, TRUE), "")</f>
        <v>0.37923916161931714</v>
      </c>
      <c r="G2" s="52">
        <f>IFERROR(1-_xlfn.NORM.DIST(_xlfn.NORM.INV(SUM(G4:G5), 0, 1) + 1, 0, 1, TRUE), "")</f>
        <v>0.39092597722275935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0.36712696143711643</v>
      </c>
      <c r="D3" s="52">
        <f>IFERROR(_xlfn.NORM.DIST(_xlfn.NORM.INV(SUM(D4:D5), 0, 1) + 1, 0, 1, TRUE) - SUM(D4:D5), "")</f>
        <v>0.36712696143711643</v>
      </c>
      <c r="E3" s="52">
        <f>IFERROR(_xlfn.NORM.DIST(_xlfn.NORM.INV(SUM(E4:E5), 0, 1) + 1, 0, 1, TRUE) - SUM(E4:E5), "")</f>
        <v>0.36522427340821012</v>
      </c>
      <c r="F3" s="52">
        <f>IFERROR(_xlfn.NORM.DIST(_xlfn.NORM.INV(SUM(F4:F5), 0, 1) + 1, 0, 1, TRUE) - SUM(F4:F5), "")</f>
        <v>0.37645553838068285</v>
      </c>
      <c r="G3" s="52">
        <f>IFERROR(_xlfn.NORM.DIST(_xlfn.NORM.INV(SUM(G4:G5), 0, 1) + 1, 0, 1, TRUE) - SUM(G4:G5), "")</f>
        <v>0.37426282277724066</v>
      </c>
    </row>
    <row r="4" spans="1:15" ht="15.75" customHeight="1" x14ac:dyDescent="0.25">
      <c r="B4" s="5" t="s">
        <v>110</v>
      </c>
      <c r="C4" s="45">
        <v>0.1209505</v>
      </c>
      <c r="D4" s="53">
        <v>0.1209505</v>
      </c>
      <c r="E4" s="53">
        <v>0.1149128</v>
      </c>
      <c r="F4" s="53">
        <v>0.1187933</v>
      </c>
      <c r="G4" s="53">
        <v>0.14242050000000001</v>
      </c>
    </row>
    <row r="5" spans="1:15" ht="15.75" customHeight="1" x14ac:dyDescent="0.25">
      <c r="B5" s="5" t="s">
        <v>106</v>
      </c>
      <c r="C5" s="45">
        <v>9.0116299999999996E-2</v>
      </c>
      <c r="D5" s="53">
        <v>9.0116299999999996E-2</v>
      </c>
      <c r="E5" s="53">
        <v>9.0953300000000001E-2</v>
      </c>
      <c r="F5" s="53">
        <v>0.12551200000000001</v>
      </c>
      <c r="G5" s="53">
        <v>9.2390699999999992E-2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0.4829443176119903</v>
      </c>
      <c r="D8" s="52">
        <f>IFERROR(1-_xlfn.NORM.DIST(_xlfn.NORM.INV(SUM(D10:D11), 0, 1) + 1, 0, 1, TRUE), "")</f>
        <v>0.4829443176119903</v>
      </c>
      <c r="E8" s="52">
        <f>IFERROR(1-_xlfn.NORM.DIST(_xlfn.NORM.INV(SUM(E10:E11), 0, 1) + 1, 0, 1, TRUE), "")</f>
        <v>0.59698980997872075</v>
      </c>
      <c r="F8" s="52">
        <f>IFERROR(1-_xlfn.NORM.DIST(_xlfn.NORM.INV(SUM(F10:F11), 0, 1) + 1, 0, 1, TRUE), "")</f>
        <v>0.68020858093685532</v>
      </c>
      <c r="G8" s="52">
        <f>IFERROR(1-_xlfn.NORM.DIST(_xlfn.NORM.INV(SUM(G10:G11), 0, 1) + 1, 0, 1, TRUE), "")</f>
        <v>0.5872286834367908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0.3478312823880097</v>
      </c>
      <c r="D9" s="52">
        <f>IFERROR(_xlfn.NORM.DIST(_xlfn.NORM.INV(SUM(D10:D11), 0, 1) + 1, 0, 1, TRUE) - SUM(D10:D11), "")</f>
        <v>0.3478312823880097</v>
      </c>
      <c r="E9" s="52">
        <f>IFERROR(_xlfn.NORM.DIST(_xlfn.NORM.INV(SUM(E10:E11), 0, 1) + 1, 0, 1, TRUE) - SUM(E10:E11), "")</f>
        <v>0.29654779002127923</v>
      </c>
      <c r="F9" s="52">
        <f>IFERROR(_xlfn.NORM.DIST(_xlfn.NORM.INV(SUM(F10:F11), 0, 1) + 1, 0, 1, TRUE) - SUM(F10:F11), "")</f>
        <v>0.24877761906314469</v>
      </c>
      <c r="G9" s="52">
        <f>IFERROR(_xlfn.NORM.DIST(_xlfn.NORM.INV(SUM(G10:G11), 0, 1) + 1, 0, 1, TRUE) - SUM(G10:G11), "")</f>
        <v>0.30161881656320921</v>
      </c>
    </row>
    <row r="10" spans="1:15" ht="15.75" customHeight="1" x14ac:dyDescent="0.25">
      <c r="B10" s="5" t="s">
        <v>107</v>
      </c>
      <c r="C10" s="45">
        <v>7.8381999999999993E-2</v>
      </c>
      <c r="D10" s="53">
        <v>7.8381999999999993E-2</v>
      </c>
      <c r="E10" s="53">
        <v>5.3425599999999997E-2</v>
      </c>
      <c r="F10" s="53">
        <v>3.8551099999999998E-2</v>
      </c>
      <c r="G10" s="53">
        <v>6.2201800000000002E-2</v>
      </c>
    </row>
    <row r="11" spans="1:15" ht="15.75" customHeight="1" x14ac:dyDescent="0.25">
      <c r="B11" s="5" t="s">
        <v>119</v>
      </c>
      <c r="C11" s="45">
        <v>9.084239999999999E-2</v>
      </c>
      <c r="D11" s="53">
        <v>9.084239999999999E-2</v>
      </c>
      <c r="E11" s="53">
        <v>5.3036800000000002E-2</v>
      </c>
      <c r="F11" s="53">
        <v>3.2462699999999997E-2</v>
      </c>
      <c r="G11" s="53">
        <v>4.8950699999999993E-2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0.36986040149999999</v>
      </c>
      <c r="D14" s="54">
        <v>0.397561844474</v>
      </c>
      <c r="E14" s="54">
        <v>0.397561844474</v>
      </c>
      <c r="F14" s="54">
        <v>0.34443006445199997</v>
      </c>
      <c r="G14" s="54">
        <v>0.34443006445199997</v>
      </c>
      <c r="H14" s="45">
        <v>0.40400000000000008</v>
      </c>
      <c r="I14" s="55">
        <v>0.40400000000000008</v>
      </c>
      <c r="J14" s="55">
        <v>0.40400000000000008</v>
      </c>
      <c r="K14" s="55">
        <v>0.40400000000000008</v>
      </c>
      <c r="L14" s="45">
        <v>0.36699999999999999</v>
      </c>
      <c r="M14" s="55">
        <v>0.36699999999999999</v>
      </c>
      <c r="N14" s="55">
        <v>0.36699999999999999</v>
      </c>
      <c r="O14" s="55">
        <v>0.36699999999999999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0.20560391775224393</v>
      </c>
      <c r="D15" s="52">
        <f t="shared" si="0"/>
        <v>0.22100303909571864</v>
      </c>
      <c r="E15" s="52">
        <f t="shared" si="0"/>
        <v>0.22100303909571864</v>
      </c>
      <c r="F15" s="52">
        <f t="shared" si="0"/>
        <v>0.19146729510860891</v>
      </c>
      <c r="G15" s="52">
        <f t="shared" si="0"/>
        <v>0.19146729510860891</v>
      </c>
      <c r="H15" s="52">
        <f t="shared" si="0"/>
        <v>0.22458198399999998</v>
      </c>
      <c r="I15" s="52">
        <f t="shared" si="0"/>
        <v>0.22458198399999998</v>
      </c>
      <c r="J15" s="52">
        <f t="shared" si="0"/>
        <v>0.22458198399999998</v>
      </c>
      <c r="K15" s="52">
        <f t="shared" si="0"/>
        <v>0.22458198399999998</v>
      </c>
      <c r="L15" s="52">
        <f t="shared" si="0"/>
        <v>0.20401383199999992</v>
      </c>
      <c r="M15" s="52">
        <f t="shared" si="0"/>
        <v>0.20401383199999992</v>
      </c>
      <c r="N15" s="52">
        <f t="shared" si="0"/>
        <v>0.20401383199999992</v>
      </c>
      <c r="O15" s="52">
        <f t="shared" si="0"/>
        <v>0.20401383199999992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7FRDFWdtslkU792ktqSGcLWKknIYh2MfgkrQLvzaf6J/k4JtgO4I2sYs4pnVQzSQei0+u+YkoFx7kwXohpwqGg==" saltValue="keYmXZMY5kc+yx/RLWRe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0.62008740000000007</v>
      </c>
      <c r="D2" s="53">
        <v>0.26531189999999999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8.8325500000000001E-2</v>
      </c>
      <c r="D3" s="53">
        <v>0.1554044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0.23018359999999999</v>
      </c>
      <c r="D4" s="53">
        <v>0.45311059999999997</v>
      </c>
      <c r="E4" s="53">
        <v>0.75188350000000004</v>
      </c>
      <c r="F4" s="53">
        <v>0.35143940000000001</v>
      </c>
      <c r="G4" s="53">
        <v>0</v>
      </c>
    </row>
    <row r="5" spans="1:7" x14ac:dyDescent="0.25">
      <c r="B5" s="3" t="s">
        <v>125</v>
      </c>
      <c r="C5" s="52">
        <v>6.1403399999999997E-2</v>
      </c>
      <c r="D5" s="52">
        <v>0.12617310000000001</v>
      </c>
      <c r="E5" s="52">
        <f>1-SUM(E2:E4)</f>
        <v>0.24811649999999996</v>
      </c>
      <c r="F5" s="52">
        <f>1-SUM(F2:F4)</f>
        <v>0.64856059999999993</v>
      </c>
      <c r="G5" s="52">
        <f>1-SUM(G2:G4)</f>
        <v>1</v>
      </c>
    </row>
  </sheetData>
  <sheetProtection algorithmName="SHA-512" hashValue="U2IK/3yM+UVzSQb8Y9e8sXoufxbvUSxCJcw/BP4bx3/jrDp+jhCQ/cJa7EMW2Xznh/1yHK6uaEJOKDU6XTbk3g==" saltValue="D6ec26wKbPKfo4V2poJ7l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H+o9roUHSO9cMhoWRZAZMyRpKxeN+cDURnNeC258fiddE5+URUwaAgRFpGqosBEx8tiAgDJnXsiY6Tlvl4/Xw==" saltValue="zKwb/K+JKTv9oA7fizp0T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vPaa9DzTXWFzZwOmpuRlnyPdGytW+lHca8+KFD8LGLOuaHNhRiuwUFArhnKG62yum/Y84eCH0s3ukeXGedFOVw==" saltValue="0/bEX2cPmA5ZmLgFTOakR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z3NgwlkhyCl7aVoNcGM/k3aRaAhTsAqnk4dynR7g8yXkyql8UEXIuhFbh4VFwPfuHbGCNpID6vKEleEQy1DlVw==" saltValue="I0mV02hcJaBGWFGuBQHyV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RgdRu5C9bAmrCW5Jr4L4Ljl5jqQF5lF+J4Vg7DhgB0QySvUHy7IO6KkBKCMRP7pKfcNhCcaxsv4qp3BWdOwFyg==" saltValue="n+Ts2PlMtT/7skigwWNt7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50.04836698295685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39.701244624562811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289.27755605473601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0.82846436751195696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5.2149899999999999E-2</v>
      </c>
      <c r="C10" s="98">
        <v>0.95</v>
      </c>
      <c r="D10" s="56">
        <v>12.833544068358719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12.833544068358719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12.833544068358719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12.833544068358719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5.2149899999999999E-2</v>
      </c>
      <c r="C14" s="98">
        <v>0.95</v>
      </c>
      <c r="D14" s="56">
        <v>12.833544068358719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12.833544068358719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0.54030986825407035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0.7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0.26531189999999999</v>
      </c>
      <c r="C18" s="98">
        <v>0.95</v>
      </c>
      <c r="D18" s="56">
        <v>6.7065442721728772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0.26531189999999999</v>
      </c>
      <c r="C19" s="98">
        <v>0.95</v>
      </c>
      <c r="D19" s="56">
        <v>6.7065442721728772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10.934248210384361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22.05293698426788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4.1676905525779402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0.51984672980000002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5.2149899999999999E-2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18.396567802509001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0.22873869999999999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0.223</v>
      </c>
      <c r="C29" s="98">
        <v>0.95</v>
      </c>
      <c r="D29" s="56">
        <v>95.432494803225381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0.78911240795034354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0.99</v>
      </c>
      <c r="C32" s="98">
        <v>0.95</v>
      </c>
      <c r="D32" s="56">
        <v>1.141754871233807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6.2779399999999999E-2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0.7931416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3.7489377776772859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yQi2ybirFuIOF+SEEkA6/uDwF5ZeJGgKEU3FMuhKSw7guzhrmYHi+IaLWpXnxhP0ncQjlq+cwQ1EFOV9ZBdhhg==" saltValue="RRzqQpKATzvJJc9i7mBB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ganetIz20a2AevTcKbpprp14wFxSgVRvuElGcs44x76y/qjwLFKvFmhlvon5lVy3ylQeiRzWDKwWMJOIxUX4yA==" saltValue="yIjsN/5oo2gL+8/IH5GgQ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m7UxQDr907862yU0lVga8OMqLulcVr9bauEHU3uwcnWR/e4SAFlUKvUY5bQYPb6ebdV66o05YPAsb+c+Ituq7g==" saltValue="E11KiYnrrL12ru7oJA0gL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0.20379319999999998</v>
      </c>
      <c r="C3" s="21">
        <f>frac_mam_1_5months * 2.6</f>
        <v>0.20379319999999998</v>
      </c>
      <c r="D3" s="21">
        <f>frac_mam_6_11months * 2.6</f>
        <v>0.13890655999999998</v>
      </c>
      <c r="E3" s="21">
        <f>frac_mam_12_23months * 2.6</f>
        <v>0.10023285999999999</v>
      </c>
      <c r="F3" s="21">
        <f>frac_mam_24_59months * 2.6</f>
        <v>0.16172468000000001</v>
      </c>
    </row>
    <row r="4" spans="1:6" ht="15.75" customHeight="1" x14ac:dyDescent="0.25">
      <c r="A4" s="3" t="s">
        <v>207</v>
      </c>
      <c r="B4" s="21">
        <f>frac_sam_1month * 2.6</f>
        <v>0.23619023999999997</v>
      </c>
      <c r="C4" s="21">
        <f>frac_sam_1_5months * 2.6</f>
        <v>0.23619023999999997</v>
      </c>
      <c r="D4" s="21">
        <f>frac_sam_6_11months * 2.6</f>
        <v>0.13789568000000002</v>
      </c>
      <c r="E4" s="21">
        <f>frac_sam_12_23months * 2.6</f>
        <v>8.4403019999999995E-2</v>
      </c>
      <c r="F4" s="21">
        <f>frac_sam_24_59months * 2.6</f>
        <v>0.12727181999999998</v>
      </c>
    </row>
  </sheetData>
  <sheetProtection algorithmName="SHA-512" hashValue="ewlYtO3b8/NKbp3nA9ANAfrzPNuwC9XHTJpeNCnMCkMrHJGihCt1daa2pA8IlQFzAb6yxrKHmoemoKIogG3iNQ==" saltValue="cAlqnAchkjhTj2RVp6eKI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0.01</v>
      </c>
      <c r="E2" s="60">
        <f>food_insecure</f>
        <v>0.01</v>
      </c>
      <c r="F2" s="60">
        <f>food_insecure</f>
        <v>0.01</v>
      </c>
      <c r="G2" s="60">
        <f>food_insecure</f>
        <v>0.01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0.01</v>
      </c>
      <c r="I15" s="60">
        <f>food_insecure</f>
        <v>0.01</v>
      </c>
      <c r="J15" s="60">
        <f>food_insecure</f>
        <v>0.01</v>
      </c>
      <c r="K15" s="60">
        <f>food_insecure</f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0.252</v>
      </c>
      <c r="M24" s="60">
        <f>famplan_unmet_need</f>
        <v>0.252</v>
      </c>
      <c r="N24" s="60">
        <f>famplan_unmet_need</f>
        <v>0.252</v>
      </c>
      <c r="O24" s="60">
        <f>famplan_unmet_need</f>
        <v>0.252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0.18197150065612802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7.7987785995483436E-2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0.10982632736206059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0.63021438598632795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1iu2c6bAXIDwiyVF4NOeq67+/V3+RLrk01Ko4cqZut7qF33PmvlrqIbpED5pGcps3a9PKuiBmyvqrPGXiev+jA==" saltValue="xRzOlM+Tioi4zfll5D/mB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BcqepSD+sUCWPQjVrNasFr6Ty1+sIxXZGiofMNiEPvF48ueNJureF51vIInAtd42cCnjVOOpFCuCLUtog5VdVw==" saltValue="bjrqU9b3yY66csXxLInGw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XoYJvoctZtBgS2TnhpRy0GBYp7pEfqzE9jlFoQgBtajidKcEw62+UWx2Q4KCqt79TAq2y5uYy+0UHs9eVDdng==" saltValue="qPr1UkMXeAmJwc9CGemEn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jYmjy1cRcMYSyXWulfQcm9xBuu1UUb+bFnNOWZrgOSAu6w/b8X5Y0QuXdxCucmJWQgbpZy6I7VRHbSkHoGr2ig==" saltValue="QH3D8Bfh3DMVuKOrXG0Bj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g37FFutLiiXmnViWD0jEZwXa3/tYsSUPZxFCW6UYiPH+OB+IO+zRkyuUPmZ7VO6VuABNnqNNGRqX61D6FLOXmg==" saltValue="eC6vT48E823W/9gazBxAw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y7cOcYJMFy7DzPFjnZowitJ2Ggg764RYx/13ocWOF2kIYYemrshiZo5UsooUgRYp2/bnPLMHhyebRCQ8NddTTg==" saltValue="rpo4GvWXArA0NheehFkha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fqvymqgX0dkbaz7LRTxy9oBhgivx8ZbDk09bnp081gGxiiBeSIxD4XJjAev67PWKqOC+fLgHE1Ux9VOhueaDg==" saltValue="H2jqPK14tFqDZhZfzG7EJ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5/kg+J0fyFKOvP+q3GH/Mq6zI0OMSUk9+xT9IkTt0NBoPgGKVtUCUIH5URERGlLvmI3dnCM2JQ15PHc7GSqRQ==" saltValue="wqtQnD1w3IgIRKxisBql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eSY5gz6BJ4Ct6mmVxQ0lnLeX6W1GXBOvA8iX2Ch+eVW5l7PR8ZzdwWhzRSkpM7IjmgC89jMct0YPo1KfCelB7A==" saltValue="Xjb8BDDl0d1cs4sNxNhP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9DdNtKMm83FvWOQfCKMW4VZWR1bYvd5SFGTirNMoDmq2IenCIsNXfZshUT+q12LgGAASQ95/C4I52U5OMxPUw==" saltValue="SfO2z4S/LieVM1TIXdQZ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pz12s8pIHsEULXEkWdWPvQPydtik6S/rRiBqsApIS73QLCVvqTeBGw/NnqmtWo9RyMjUsKyBmJ+CHRY7i2QAWg==" saltValue="uZBVROZh06v9x9IZiUsa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mCP4p4ks/BKwcBRJHG9z+5kUSoalEaOxTb+fYDg49rzVf83EO4dX7phJ4OT2mhnNmYdAuAFdtXvRDZTcfFuMg==" saltValue="rdAUu3m1+/EDWCh39UNd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e6N3TUIt7zUAWD276iQNSlMJPvAV1TujlKCib064cdkXHoA0FN98xSwVbDlNZmvgwySJFTqeXsZJYO6Li153RQ==" saltValue="rkfNGrr8YEeC/x61F/6QS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0.10477722737380568</v>
      </c>
      <c r="G18" s="90">
        <f>MIN(MAX(1-0.89/(1-frac_sam_12_23months+(frac_sam_12_23months*0.89)),0),1)</f>
        <v>0.10681051233807659</v>
      </c>
      <c r="H18" s="90">
        <f>MIN(MAX(1-0.89/(1-frac_sam_24_59months+(frac_sam_24_59months*0.89)),0),1)</f>
        <v>0.10518178240636422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0.10473871415114289</v>
      </c>
      <c r="G20" s="90">
        <f>MIN(MAX(1-0.89/(1-frac_mam_12_23months+(frac_mam_12_23months*0.89)),0),1)</f>
        <v>0.10620977439972468</v>
      </c>
      <c r="H20" s="90">
        <f>MIN(MAX(1-0.89/(1-frac_mam_24_59months+(frac_mam_24_59months*0.89)),0),1)</f>
        <v>0.10386849077987714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9.474657054913016E-3</v>
      </c>
      <c r="G73" s="90">
        <f>MIN(MAX(1-0.99/(1-frac_sam_12_23months+(frac_sam_12_23months*0.99)),0),1)</f>
        <v>9.6785149072589061E-3</v>
      </c>
      <c r="H73" s="90">
        <f>MIN(MAX(1-0.99/(1-frac_sam_24_59months+(frac_sam_24_59months*0.99)),0),1)</f>
        <v>9.5151507328897766E-3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9.4708038337729672E-3</v>
      </c>
      <c r="G75" s="90">
        <f>MIN(MAX(1-0.99/(1-frac_mam_12_23months+(frac_mam_12_23months*0.99)),0),1)</f>
        <v>9.6181969207131957E-3</v>
      </c>
      <c r="H75" s="90">
        <f>MIN(MAX(1-0.99/(1-frac_mam_24_59months+(frac_mam_24_59months*0.99)),0),1)</f>
        <v>9.3838189042672049E-3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0.19142313409568112</v>
      </c>
      <c r="G128" s="90">
        <f>MIN(MAX(1-0.8/(1-frac_sam_12_23months+(frac_sam_12_23months*0.8)),0),1)</f>
        <v>0.19477202516425995</v>
      </c>
      <c r="H128" s="90">
        <f>MIN(MAX(1-0.8/(1-frac_sam_24_59months+(frac_sam_24_59months*0.8)),0),1)</f>
        <v>0.19209045242187339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0.19135958007626441</v>
      </c>
      <c r="G130" s="90">
        <f>MIN(MAX(1-0.8/(1-frac_mam_12_23months+(frac_mam_12_23months*0.8)),0),1)</f>
        <v>0.19378389647427385</v>
      </c>
      <c r="H130" s="90">
        <f>MIN(MAX(1-0.8/(1-frac_mam_24_59months+(frac_mam_24_59months*0.8)),0),1)</f>
        <v>0.18992234231038441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7UPc94QFVbcQGQfj0vI1ltFKhUhbj6GvvxWlfNHzWoSbb2bFeOmXRchaXm6g/9hAkC8gYFG9Yxg7AKUwLcbiQg==" saltValue="ViA4O9TB8dzYBqT9Ss24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J211bImgeq/ucrQxeEta7PHwcarW2RGOgnuUNWJyT4a4dDdhci2+1FA3DjJ7JzjAKroxpqcr33BY2I0BrCf8g==" saltValue="Cp/7xl1I5FwcFTTYvPNSm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2024-08-06T07:56:11Z</dcterms:modified>
</cp:coreProperties>
</file>