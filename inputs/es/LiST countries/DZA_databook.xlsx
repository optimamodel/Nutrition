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0787E157-1FA1-4499-94D1-6EC6ADE1CCD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6" i="2"/>
  <c r="A35" i="2"/>
  <c r="A23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I5" i="2" s="1"/>
  <c r="H4" i="2"/>
  <c r="G4" i="2"/>
  <c r="I4" i="2" s="1"/>
  <c r="H3" i="2"/>
  <c r="G3" i="2"/>
  <c r="I3" i="2" s="1"/>
  <c r="H2" i="2"/>
  <c r="G2" i="2"/>
  <c r="A2" i="2"/>
  <c r="A40" i="2" s="1"/>
  <c r="C33" i="1"/>
  <c r="C20" i="1"/>
  <c r="A24" i="2" l="1"/>
  <c r="A28" i="2"/>
  <c r="A27" i="2"/>
  <c r="I2" i="2"/>
  <c r="I6" i="2"/>
  <c r="I10" i="2"/>
  <c r="A15" i="2"/>
  <c r="A31" i="2"/>
  <c r="I40" i="2"/>
  <c r="A16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<sst xmlns="http://schemas.openxmlformats.org/spreadsheetml/2006/main" count="2101" uniqueCount="341">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</sst>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4534012.28125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0.68451698300000008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2.9899999999999999E-2</v>
      </c>
    </row>
    <row r="24" spans="1:3" ht="15" customHeight="1" x14ac:dyDescent="0.25">
      <c r="B24" s="15" t="s">
        <v>46</v>
      </c>
      <c r="C24" s="45">
        <v>0.41</v>
      </c>
    </row>
    <row r="25" spans="1:3" ht="15" customHeight="1" x14ac:dyDescent="0.25">
      <c r="B25" s="15" t="s">
        <v>47</v>
      </c>
      <c r="C25" s="45">
        <v>0.46339999999999998</v>
      </c>
    </row>
    <row r="26" spans="1:3" ht="15" customHeight="1" x14ac:dyDescent="0.25">
      <c r="B26" s="15" t="s">
        <v>48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0.31611757185067002</v>
      </c>
    </row>
    <row r="30" spans="1:3" ht="14.25" customHeight="1" x14ac:dyDescent="0.25">
      <c r="B30" s="25" t="s">
        <v>63</v>
      </c>
      <c r="C30" s="99">
        <v>5.6193137427978712E-2</v>
      </c>
    </row>
    <row r="31" spans="1:3" ht="14.25" customHeight="1" x14ac:dyDescent="0.25">
      <c r="B31" s="25" t="s">
        <v>10</v>
      </c>
      <c r="C31" s="99">
        <v>7.8032026225336698E-2</v>
      </c>
    </row>
    <row r="32" spans="1:3" ht="14.25" customHeight="1" x14ac:dyDescent="0.25">
      <c r="B32" s="25" t="s">
        <v>11</v>
      </c>
      <c r="C32" s="99">
        <v>0.54965726449601493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15.6492</v>
      </c>
    </row>
    <row r="38" spans="1:5" ht="15" customHeight="1" x14ac:dyDescent="0.25">
      <c r="B38" s="11" t="s">
        <v>35</v>
      </c>
      <c r="C38" s="43">
        <v>19.16029</v>
      </c>
      <c r="D38" s="12"/>
      <c r="E38" s="13"/>
    </row>
    <row r="39" spans="1:5" ht="15" customHeight="1" x14ac:dyDescent="0.25">
      <c r="B39" s="11" t="s">
        <v>61</v>
      </c>
      <c r="C39" s="43">
        <v>22.335290000000001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7.5297000000000003E-3</v>
      </c>
      <c r="D45" s="12"/>
    </row>
    <row r="46" spans="1:5" ht="15.75" customHeight="1" x14ac:dyDescent="0.25">
      <c r="B46" s="11" t="s">
        <v>51</v>
      </c>
      <c r="C46" s="45">
        <v>8.0905199999999997E-2</v>
      </c>
      <c r="D46" s="12"/>
    </row>
    <row r="47" spans="1:5" ht="15.75" customHeight="1" x14ac:dyDescent="0.25">
      <c r="B47" s="11" t="s">
        <v>59</v>
      </c>
      <c r="C47" s="45">
        <v>7.3840299999999998E-2</v>
      </c>
      <c r="D47" s="12"/>
      <c r="E47" s="13"/>
    </row>
    <row r="48" spans="1:5" ht="15" customHeight="1" x14ac:dyDescent="0.25">
      <c r="B48" s="11" t="s">
        <v>58</v>
      </c>
      <c r="C48" s="46">
        <v>0.83772480000000005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0.57310400000000006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qZwl/PYCtiYTvVDKkTLFi8osL+oCe++46AmrpmXQMzLgf85aH9PKFguisaIFFt+R58XzvVe4Ef/S6FgS9nbLQA==" saltValue="NKt4Gm234wDrHI3hQJxz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869364</v>
      </c>
      <c r="C2" s="49">
        <v>2169735</v>
      </c>
      <c r="D2" s="49">
        <v>2897102</v>
      </c>
      <c r="E2" s="49">
        <v>3466148.5</v>
      </c>
      <c r="F2" s="49">
        <v>2760545.5</v>
      </c>
      <c r="G2" s="17">
        <f t="shared" ref="G2:G13" si="0">C2+D2+E2+F2</f>
        <v>11293531</v>
      </c>
      <c r="H2" s="17">
        <f t="shared" ref="H2:H13" si="1">(B2 + stillbirth*B2/(1000-stillbirth))/(1-abortion)</f>
        <v>997710.15234955668</v>
      </c>
      <c r="I2" s="17">
        <f t="shared" ref="I2:I13" si="2">G2-H2</f>
        <v>10295820.847650444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845541</v>
      </c>
      <c r="C3" s="50">
        <v>2273014.5</v>
      </c>
      <c r="D3" s="50">
        <v>2893984.5</v>
      </c>
      <c r="E3" s="50">
        <v>3422460</v>
      </c>
      <c r="F3" s="50">
        <v>2843727</v>
      </c>
      <c r="G3" s="17">
        <f t="shared" si="0"/>
        <v>11433186</v>
      </c>
      <c r="H3" s="17">
        <f t="shared" si="1"/>
        <v>970370.10956031817</v>
      </c>
      <c r="I3" s="17">
        <f t="shared" si="2"/>
        <v>10462815.890439682</v>
      </c>
    </row>
    <row r="4" spans="1:9" ht="15.75" customHeight="1" x14ac:dyDescent="0.25">
      <c r="A4" s="5">
        <f t="shared" si="3"/>
        <v>2026</v>
      </c>
      <c r="B4" s="49">
        <v>823688</v>
      </c>
      <c r="C4" s="50">
        <v>2377528</v>
      </c>
      <c r="D4" s="50">
        <v>2918105</v>
      </c>
      <c r="E4" s="50">
        <v>3366256.5</v>
      </c>
      <c r="F4" s="50">
        <v>2922190.5</v>
      </c>
      <c r="G4" s="17">
        <f t="shared" si="0"/>
        <v>11584080</v>
      </c>
      <c r="H4" s="17">
        <f t="shared" si="1"/>
        <v>945290.90227856417</v>
      </c>
      <c r="I4" s="17">
        <f t="shared" si="2"/>
        <v>10638789.097721435</v>
      </c>
    </row>
    <row r="5" spans="1:9" ht="15.75" customHeight="1" x14ac:dyDescent="0.25">
      <c r="A5" s="5">
        <f t="shared" si="3"/>
        <v>2027</v>
      </c>
      <c r="B5" s="49">
        <v>806611</v>
      </c>
      <c r="C5" s="50">
        <v>2476903.5</v>
      </c>
      <c r="D5" s="50">
        <v>2970297.5</v>
      </c>
      <c r="E5" s="50">
        <v>3301160.5</v>
      </c>
      <c r="F5" s="50">
        <v>2992482.5</v>
      </c>
      <c r="G5" s="17">
        <f t="shared" si="0"/>
        <v>11740844</v>
      </c>
      <c r="H5" s="17">
        <f t="shared" si="1"/>
        <v>925692.78656216303</v>
      </c>
      <c r="I5" s="17">
        <f t="shared" si="2"/>
        <v>10815151.213437837</v>
      </c>
    </row>
    <row r="6" spans="1:9" ht="15.75" customHeight="1" x14ac:dyDescent="0.25">
      <c r="A6" s="5">
        <f t="shared" si="3"/>
        <v>2028</v>
      </c>
      <c r="B6" s="49">
        <v>790186</v>
      </c>
      <c r="C6" s="50">
        <v>2566530</v>
      </c>
      <c r="D6" s="50">
        <v>3056007.5</v>
      </c>
      <c r="E6" s="50">
        <v>3224863.5</v>
      </c>
      <c r="F6" s="50">
        <v>3050402</v>
      </c>
      <c r="G6" s="17">
        <f t="shared" si="0"/>
        <v>11897803</v>
      </c>
      <c r="H6" s="17">
        <f t="shared" si="1"/>
        <v>906842.92706448259</v>
      </c>
      <c r="I6" s="17">
        <f t="shared" si="2"/>
        <v>10990960.072935518</v>
      </c>
    </row>
    <row r="7" spans="1:9" ht="15.75" customHeight="1" x14ac:dyDescent="0.25">
      <c r="A7" s="5">
        <f t="shared" si="3"/>
        <v>2029</v>
      </c>
      <c r="B7" s="49">
        <v>778830</v>
      </c>
      <c r="C7" s="50">
        <v>2648773</v>
      </c>
      <c r="D7" s="50">
        <v>3170228</v>
      </c>
      <c r="E7" s="50">
        <v>3142986.5</v>
      </c>
      <c r="F7" s="50">
        <v>3093793</v>
      </c>
      <c r="G7" s="17">
        <f t="shared" si="0"/>
        <v>12055780.5</v>
      </c>
      <c r="H7" s="17">
        <f t="shared" si="1"/>
        <v>893810.4153776844</v>
      </c>
      <c r="I7" s="17">
        <f t="shared" si="2"/>
        <v>11161970.084622316</v>
      </c>
    </row>
    <row r="8" spans="1:9" ht="15.75" customHeight="1" x14ac:dyDescent="0.25">
      <c r="A8" s="5">
        <f t="shared" si="3"/>
        <v>2030</v>
      </c>
      <c r="B8" s="49">
        <v>771542</v>
      </c>
      <c r="C8" s="50">
        <v>2722091</v>
      </c>
      <c r="D8" s="50">
        <v>3300266</v>
      </c>
      <c r="E8" s="50">
        <v>3067197</v>
      </c>
      <c r="F8" s="50">
        <v>3121576.5</v>
      </c>
      <c r="G8" s="17">
        <f t="shared" si="0"/>
        <v>12211130.5</v>
      </c>
      <c r="H8" s="17">
        <f t="shared" si="1"/>
        <v>885446.47163222951</v>
      </c>
      <c r="I8" s="17">
        <f t="shared" si="2"/>
        <v>11325684.028367771</v>
      </c>
    </row>
    <row r="9" spans="1:9" ht="15.75" customHeight="1" x14ac:dyDescent="0.25">
      <c r="A9" s="5">
        <f t="shared" si="3"/>
        <v>2031</v>
      </c>
      <c r="B9" s="49">
        <v>767388</v>
      </c>
      <c r="C9" s="50">
        <v>2784081.5</v>
      </c>
      <c r="D9" s="50">
        <v>3442811.5</v>
      </c>
      <c r="E9" s="50">
        <v>2999051</v>
      </c>
      <c r="F9" s="50">
        <v>3133901</v>
      </c>
      <c r="G9" s="17">
        <f t="shared" si="0"/>
        <v>12359845</v>
      </c>
      <c r="H9" s="17">
        <f t="shared" si="1"/>
        <v>880679.20731847826</v>
      </c>
      <c r="I9" s="17">
        <f t="shared" si="2"/>
        <v>11479165.792681523</v>
      </c>
    </row>
    <row r="10" spans="1:9" ht="15.75" customHeight="1" x14ac:dyDescent="0.25">
      <c r="A10" s="5">
        <f t="shared" si="3"/>
        <v>2032</v>
      </c>
      <c r="B10" s="49">
        <v>766430</v>
      </c>
      <c r="C10" s="50">
        <v>2828096</v>
      </c>
      <c r="D10" s="50">
        <v>3598635.5</v>
      </c>
      <c r="E10" s="50">
        <v>2938821</v>
      </c>
      <c r="F10" s="50">
        <v>3132591</v>
      </c>
      <c r="G10" s="17">
        <f t="shared" si="0"/>
        <v>12498143.5</v>
      </c>
      <c r="H10" s="17">
        <f t="shared" si="1"/>
        <v>879579.77563514328</v>
      </c>
      <c r="I10" s="17">
        <f t="shared" si="2"/>
        <v>11618563.724364856</v>
      </c>
    </row>
    <row r="11" spans="1:9" ht="15.75" customHeight="1" x14ac:dyDescent="0.25">
      <c r="A11" s="5">
        <f t="shared" si="3"/>
        <v>2033</v>
      </c>
      <c r="B11" s="49">
        <v>769274</v>
      </c>
      <c r="C11" s="50">
        <v>2854095</v>
      </c>
      <c r="D11" s="50">
        <v>3758671.5000000009</v>
      </c>
      <c r="E11" s="50">
        <v>2892317</v>
      </c>
      <c r="F11" s="50">
        <v>3120091</v>
      </c>
      <c r="G11" s="17">
        <f t="shared" si="0"/>
        <v>12625174.5</v>
      </c>
      <c r="H11" s="17">
        <f t="shared" si="1"/>
        <v>882843.64171802939</v>
      </c>
      <c r="I11" s="17">
        <f t="shared" si="2"/>
        <v>11742330.85828197</v>
      </c>
    </row>
    <row r="12" spans="1:9" ht="15.75" customHeight="1" x14ac:dyDescent="0.25">
      <c r="A12" s="5">
        <f t="shared" si="3"/>
        <v>2034</v>
      </c>
      <c r="B12" s="49">
        <v>776763</v>
      </c>
      <c r="C12" s="50">
        <v>2862530.5</v>
      </c>
      <c r="D12" s="50">
        <v>3915228.5</v>
      </c>
      <c r="E12" s="50">
        <v>2865685.5</v>
      </c>
      <c r="F12" s="50">
        <v>3097262</v>
      </c>
      <c r="G12" s="17">
        <f t="shared" si="0"/>
        <v>12740706.5</v>
      </c>
      <c r="H12" s="17">
        <f t="shared" si="1"/>
        <v>891438.25954318175</v>
      </c>
      <c r="I12" s="17">
        <f t="shared" si="2"/>
        <v>11849268.240456818</v>
      </c>
    </row>
    <row r="13" spans="1:9" ht="15.75" customHeight="1" x14ac:dyDescent="0.25">
      <c r="A13" s="5">
        <f t="shared" si="3"/>
        <v>2035</v>
      </c>
      <c r="B13" s="49">
        <v>782355</v>
      </c>
      <c r="C13" s="50">
        <v>2849468</v>
      </c>
      <c r="D13" s="50">
        <v>4068852.5000000009</v>
      </c>
      <c r="E13" s="50">
        <v>2863007</v>
      </c>
      <c r="F13" s="50">
        <v>3064336.5</v>
      </c>
      <c r="G13" s="17">
        <f t="shared" si="0"/>
        <v>12845664</v>
      </c>
      <c r="H13" s="17">
        <f t="shared" si="1"/>
        <v>897855.81901417288</v>
      </c>
      <c r="I13" s="17">
        <f t="shared" si="2"/>
        <v>11947808.180985827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wVo6ZGN66cBpAOlL6XzipRTIEE9MeAuNFZzKaNMX0Lqp8LOTmpeMXtgn06W2ZUV4hQ8OCH3OuoYoUYXHOIPOw==" saltValue="FKAEa/DEYEiJHsGsCQcL7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5.0001989999601919E-3</v>
      </c>
    </row>
    <row r="4" spans="1:8" ht="15.75" customHeight="1" x14ac:dyDescent="0.25">
      <c r="B4" s="19" t="s">
        <v>97</v>
      </c>
      <c r="C4" s="101">
        <v>4.3378791324241689E-2</v>
      </c>
    </row>
    <row r="5" spans="1:8" ht="15.75" customHeight="1" x14ac:dyDescent="0.25">
      <c r="B5" s="19" t="s">
        <v>95</v>
      </c>
      <c r="C5" s="101">
        <v>4.3428391314321607E-2</v>
      </c>
    </row>
    <row r="6" spans="1:8" ht="15.75" customHeight="1" x14ac:dyDescent="0.25">
      <c r="B6" s="19" t="s">
        <v>91</v>
      </c>
      <c r="C6" s="101">
        <v>0.20442915911416809</v>
      </c>
    </row>
    <row r="7" spans="1:8" ht="15.75" customHeight="1" x14ac:dyDescent="0.25">
      <c r="B7" s="19" t="s">
        <v>96</v>
      </c>
      <c r="C7" s="101">
        <v>0.44831191033761802</v>
      </c>
    </row>
    <row r="8" spans="1:8" ht="15.75" customHeight="1" x14ac:dyDescent="0.25">
      <c r="B8" s="19" t="s">
        <v>98</v>
      </c>
      <c r="C8" s="101">
        <v>6.1679987664002426E-4</v>
      </c>
    </row>
    <row r="9" spans="1:8" ht="15.75" customHeight="1" x14ac:dyDescent="0.25">
      <c r="B9" s="19" t="s">
        <v>92</v>
      </c>
      <c r="C9" s="101">
        <v>0.16549056690188679</v>
      </c>
    </row>
    <row r="10" spans="1:8" ht="15.75" customHeight="1" x14ac:dyDescent="0.25">
      <c r="B10" s="19" t="s">
        <v>94</v>
      </c>
      <c r="C10" s="101">
        <v>8.9344182131163408E-2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102</v>
      </c>
      <c r="C15" s="101">
        <v>0.30976529888450999</v>
      </c>
      <c r="D15" s="101">
        <v>0.30976529888450999</v>
      </c>
      <c r="E15" s="101">
        <v>0.30976529888450999</v>
      </c>
      <c r="F15" s="101">
        <v>0.30976529888450999</v>
      </c>
    </row>
    <row r="16" spans="1:8" ht="15.75" customHeight="1" x14ac:dyDescent="0.25">
      <c r="B16" s="19" t="s">
        <v>2</v>
      </c>
      <c r="C16" s="101">
        <v>1.6170295772139381E-2</v>
      </c>
      <c r="D16" s="101">
        <v>1.6170295772139381E-2</v>
      </c>
      <c r="E16" s="101">
        <v>1.6170295772139381E-2</v>
      </c>
      <c r="F16" s="101">
        <v>1.6170295772139381E-2</v>
      </c>
    </row>
    <row r="17" spans="1:8" ht="15.75" customHeight="1" x14ac:dyDescent="0.25">
      <c r="B17" s="19" t="s">
        <v>90</v>
      </c>
      <c r="C17" s="101">
        <v>1.4909933056514699E-2</v>
      </c>
      <c r="D17" s="101">
        <v>1.4909933056514699E-2</v>
      </c>
      <c r="E17" s="101">
        <v>1.4909933056514699E-2</v>
      </c>
      <c r="F17" s="101">
        <v>1.4909933056514699E-2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4.5015377709708093E-2</v>
      </c>
      <c r="D19" s="101">
        <v>4.5015377709708093E-2</v>
      </c>
      <c r="E19" s="101">
        <v>4.5015377709708093E-2</v>
      </c>
      <c r="F19" s="101">
        <v>4.5015377709708093E-2</v>
      </c>
    </row>
    <row r="20" spans="1:8" ht="15.75" customHeight="1" x14ac:dyDescent="0.25">
      <c r="B20" s="19" t="s">
        <v>79</v>
      </c>
      <c r="C20" s="101">
        <v>2.1004483575327339E-2</v>
      </c>
      <c r="D20" s="101">
        <v>2.1004483575327339E-2</v>
      </c>
      <c r="E20" s="101">
        <v>2.1004483575327339E-2</v>
      </c>
      <c r="F20" s="101">
        <v>2.1004483575327339E-2</v>
      </c>
    </row>
    <row r="21" spans="1:8" ht="15.75" customHeight="1" x14ac:dyDescent="0.25">
      <c r="B21" s="19" t="s">
        <v>88</v>
      </c>
      <c r="C21" s="101">
        <v>0.32989175281618099</v>
      </c>
      <c r="D21" s="101">
        <v>0.32989175281618099</v>
      </c>
      <c r="E21" s="101">
        <v>0.32989175281618099</v>
      </c>
      <c r="F21" s="101">
        <v>0.32989175281618099</v>
      </c>
    </row>
    <row r="22" spans="1:8" ht="15.75" customHeight="1" x14ac:dyDescent="0.25">
      <c r="B22" s="19" t="s">
        <v>99</v>
      </c>
      <c r="C22" s="101">
        <v>0.1930181055306941</v>
      </c>
      <c r="D22" s="101">
        <v>0.1930181055306941</v>
      </c>
      <c r="E22" s="101">
        <v>0.1930181055306941</v>
      </c>
      <c r="F22" s="101">
        <v>0.1930181055306941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4.6172718000000001E-2</v>
      </c>
    </row>
    <row r="27" spans="1:8" ht="15.75" customHeight="1" x14ac:dyDescent="0.25">
      <c r="B27" s="19" t="s">
        <v>89</v>
      </c>
      <c r="C27" s="101">
        <v>2.7233671000000001E-2</v>
      </c>
    </row>
    <row r="28" spans="1:8" ht="15.75" customHeight="1" x14ac:dyDescent="0.25">
      <c r="B28" s="19" t="s">
        <v>103</v>
      </c>
      <c r="C28" s="101">
        <v>0.19299803300000001</v>
      </c>
    </row>
    <row r="29" spans="1:8" ht="15.75" customHeight="1" x14ac:dyDescent="0.25">
      <c r="B29" s="19" t="s">
        <v>86</v>
      </c>
      <c r="C29" s="101">
        <v>0.151217407</v>
      </c>
    </row>
    <row r="30" spans="1:8" ht="15.75" customHeight="1" x14ac:dyDescent="0.25">
      <c r="B30" s="19" t="s">
        <v>4</v>
      </c>
      <c r="C30" s="101">
        <v>5.0257797E-2</v>
      </c>
    </row>
    <row r="31" spans="1:8" ht="15.75" customHeight="1" x14ac:dyDescent="0.25">
      <c r="B31" s="19" t="s">
        <v>80</v>
      </c>
      <c r="C31" s="101">
        <v>3.0332997E-2</v>
      </c>
    </row>
    <row r="32" spans="1:8" ht="15.75" customHeight="1" x14ac:dyDescent="0.25">
      <c r="B32" s="19" t="s">
        <v>85</v>
      </c>
      <c r="C32" s="101">
        <v>8.4368242999999996E-2</v>
      </c>
    </row>
    <row r="33" spans="2:3" ht="15.75" customHeight="1" x14ac:dyDescent="0.25">
      <c r="B33" s="19" t="s">
        <v>100</v>
      </c>
      <c r="C33" s="101">
        <v>0.169902637</v>
      </c>
    </row>
    <row r="34" spans="2:3" ht="15.75" customHeight="1" x14ac:dyDescent="0.25">
      <c r="B34" s="19" t="s">
        <v>87</v>
      </c>
      <c r="C34" s="101">
        <v>0.247516497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d7tRGag6vJND6WHRdMT8GJ8ijKQ7I7sD2U/O0Vo8Wz5PUfdHjF9OTDJX+VR73QR3dy5xEcQaKnyst71clGOFxw==" saltValue="MtoIbFTEBKl4FLBWM3Z/Q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110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106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107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119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U5W8YhtnwpFz0tHVhNuGHUPtobQAiYC+oUTFDeXLqfsWvP7DVuTb+eVnFiuno3EwRK8byTt4QOWzqzrYk0ktg==" saltValue="gOd+5q/1cjy+6SPRf3PU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125</v>
      </c>
      <c r="C5" s="52">
        <v>9.0072299999999994E-2</v>
      </c>
      <c r="D5" s="52">
        <v>0.2155967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i3w2BHlbk9wDjDgzUJ1H1bLLYZc8qxSdFwXNyxdPaNWrmiQ9pdfNDn80uzaFbChjNYJAXAFmIuY7ctJUm2dIxg==" saltValue="Dj7ZfZu0pPb96FzjR1S1F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+zkbMdzaQGIAtG7iFf40dhb2X8yIc9uXXSfHSkgo86qTzHAgetMxqKnQex68escraFYdMApgd5DQKa+h3igiw==" saltValue="47eSOP+5FzSKGipmDFim9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fzNJan0LpXvzdBi2pZExxLhMF3xQlnxk//qceP3Um76Idf1xVgHoXGH+y/VB25jow+xBPMhs9wqoPqQl63Eymg==" saltValue="xcpaFfQ0g+jXwXGsFbIKr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rL31plTK/lMQWlFeghke4pMCNJENLPGXwaRASrQmH5ClRIfqX3uOmZVBJp+e6Yqov1EFZd6y4O+4SW5B+p/9Mg==" saltValue="AQCdSO77VmHjO17QeEesQ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NHpH5MaiTWxPxBNWYahXkP7OP62EdycbuiAvWvi6hGSxGC6tRoggQV3oqzEIRQb09PHLqzsFJHNTlSRZiIwTAw==" saltValue="zgzrFjoVuEPpR+cNAhjKA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56.580620140373682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39.847657223635643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391.6881570886265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1.4605051036841139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12.97995666743156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12.97995666743156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12.97995666743156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12.97995666743156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12.97995666743156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12.97995666743156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0.68672246732690645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0.25397140000000001</v>
      </c>
      <c r="C18" s="98">
        <v>0.95</v>
      </c>
      <c r="D18" s="56">
        <v>9.0366520404178896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0.25397140000000001</v>
      </c>
      <c r="C19" s="98">
        <v>0.95</v>
      </c>
      <c r="D19" s="56">
        <v>9.0366520404178896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18.09265788699528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22.382365332181759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4.259198426998462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0.91598738953471892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18.540655838323278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0.27308949999999999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0.39997139999999998</v>
      </c>
      <c r="C29" s="98">
        <v>0.95</v>
      </c>
      <c r="D29" s="56">
        <v>110.3413816734874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0.92241108658405979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1.4711834954966929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0.84804100000000004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0.1809837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2.0029000000000002E-3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0.71388839999999998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3.7098806669089082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xABHel3bOM2YDvh19wtGJUXov0KdNGg2zhA0v3zlRVMhzrqq3fPXFqOVMtwO1Mr/+D8THAmW6e0VIvKClWAY5w==" saltValue="tBJ7/zu3py3jM2KrQSyr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rJhN/lVerc20I1OviRUwXzY1GIyykAp6AabJZ9xjLP0G3u9NvahkN/eATPJ6aHstvPEoTRtYTwP6UEPau6k3yA==" saltValue="S9qAC0zu2lJkYkkpgSFh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NzP3sAneLl3nOJsBtxHD6sZsjSIfb4OrUEKpymDUV5wY/UIbxJ5mxEoulF94t5iGiXPiK5LSmn0ttFv4OLOeMw==" saltValue="UkNLDmExBMK0ZjET/pbZ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207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sheetProtection algorithmName="SHA-512" hashValue="6Rnuwa1qFyqb1QJaJelV09rhm8tYEYXaf/7kCAfvtW83pRYcwVpGU4cYxndJLMoyyhhGIXtoKE+3qgwcM1CZIg==" saltValue="AoFVoJ2qHEOH/iYh8tUMm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YjIejuFNmS8A4CZoqceYvGVzgHbmubBQ5QMXvy8W60MasKHwJKyRhGaFJ3bQ0R7v+SR8oTq89lD0azhkJ7PRA==" saltValue="/iTonboR3nitN16H4BXL5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bmvJrqYB4a+2G4LbwJBRqW/ys33w21dDGLr1X41Rg8XYvjsmRJXKJ8YyTWGTDYKBJAiQivdkgb2NOmO4yRotTA==" saltValue="5/AeaARN9n1iFLBj7t5BN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U2+VNw1Fh+RBmc3suH9WJyA0BIJ183KwRq1cnVrpIF+QUgwVlkNSRlQSEqBU6bczbVq6hjUXzNPADWT9kZ9ew==" saltValue="zy2CU8EJXyZ75ZdpLdKQ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9BVm1y2eXVQBHARPiSENFWBQm8Xff1Mv2cOd4E9iph0PJtN4yYPsLfFHm27nkINlgWrBi9CCwXSmJhy/IlqAw==" saltValue="KEuutJovzCDrxwHxY15iT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kOxU9hQePqgwfFisUQruuvnvFoVzS1wPhYOpIJWpxhXfEemYsDmnDT6dlwc2wKM5oz/XvdYvdJtS2RVAPdbWWw==" saltValue="e+pMMuawQij2Wbgy5gHHj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QukRfioac81yoNuXY8xGEKY1J9RKDwYkLUuMBPZNu5I3qVnb90Q1WVl2kyc1GTWuPFz4OMDeFyAe288nqYPAUg==" saltValue="Q1vwG1g4NmVWqBuonUao2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vWMShlBojqLwh0WL9/aey5Q0Op8gs/GVcUpUUb+ZqfcZb+pS6w7S36ne8znqGyxyZQRdS9dV/LQSx8et9Cq4A==" saltValue="NGM/3cEFXsW/e2A0RAPlA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JLo7v/8PL3Y4tPlSRgWAwTn9uxZR0YQGIbbft1bM8ELCk75+1SSZx7MzbICihNvdmumrbyv+8dU4GKUeOcJaw==" saltValue="puYczTvBrG+qL5p3sGbH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hhgwTMnmVVLkpiG4he8QRjWEz3SJiOij5a4C1bi5KeTIWuDI90hdDPn1S9OsrzuBRSICmqBUE0XMx/ONjGgkA==" saltValue="DHzZbmsbwaBUcdDK+tBp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GPtpSxT/VoKH7XfQrA5dq7uRPbHkAtc3uRenV7OqSBNRZPusWMUlVrln2U6xdcy5MdLLHiltP0k1H66/HWgug==" saltValue="uj5cYYYiiBgLrfz25uIZ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gWNx4A0NDd2ZFowj5juYQ9TIBIsvu12sERhdPv2nH37GXjRA8LggB8+KP7Q5EMK3M5j5oR6nY184WPQE2BKtAg==" saltValue="9XtC7ShEKPcUmcL3S8Lk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0l9o70YKowV7D16SI6HeGf0OMFkK4DQswoUcPZ3Uks2pRbC5Ueylcc8nZpZWiywl5+aCY+hTBpqGmIHykdKxiw==" saltValue="Wq4fMnLziQjj5HLgfYVJ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pbnc0Do9XJmMKZhpqQypUn3Elo4N66TDAuJayZMby9157zzlSfOLdj/vraBvDLkjfJTD+VHr7orTZapiVoTmg==" saltValue="qW1uKnpODIkPBdgR+vCI/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0.10765353034070746</v>
      </c>
      <c r="G18" s="90">
        <f>MIN(MAX(1-0.89/(1-frac_sam_12_23months+(frac_sam_12_23months*0.89)),0),1)</f>
        <v>0.10862877869186749</v>
      </c>
      <c r="H18" s="90">
        <f>MIN(MAX(1-0.89/(1-frac_sam_24_59months+(frac_sam_24_59months*0.89)),0),1)</f>
        <v>0.10944498206783926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0.10728668805237962</v>
      </c>
      <c r="G20" s="90">
        <f>MIN(MAX(1-0.89/(1-frac_mam_12_23months+(frac_mam_12_23months*0.89)),0),1)</f>
        <v>0.10911737942484812</v>
      </c>
      <c r="H20" s="90">
        <f>MIN(MAX(1-0.89/(1-frac_mam_24_59months+(frac_mam_24_59months*0.89)),0),1)</f>
        <v>0.10894210934047222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9.7632839130195048E-3</v>
      </c>
      <c r="G73" s="90">
        <f>MIN(MAX(1-0.99/(1-frac_sam_12_23months+(frac_sam_12_23months*0.99)),0),1)</f>
        <v>9.8615311154034435E-3</v>
      </c>
      <c r="H73" s="90">
        <f>MIN(MAX(1-0.99/(1-frac_sam_24_59months+(frac_sam_24_59months*0.99)),0),1)</f>
        <v>9.9439063919044557E-3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9.7263784859130675E-3</v>
      </c>
      <c r="G75" s="90">
        <f>MIN(MAX(1-0.99/(1-frac_mam_12_23months+(frac_mam_12_23months*0.99)),0),1)</f>
        <v>9.9108266285111712E-3</v>
      </c>
      <c r="H75" s="90">
        <f>MIN(MAX(1-0.99/(1-frac_mam_24_59months+(frac_mam_24_59months*0.99)),0),1)</f>
        <v>9.8931377663590281E-3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0.19615682578407367</v>
      </c>
      <c r="G128" s="90">
        <f>MIN(MAX(1-0.8/(1-frac_sam_12_23months+(frac_sam_12_23months*0.8)),0),1)</f>
        <v>0.19775615605824859</v>
      </c>
      <c r="H128" s="90">
        <f>MIN(MAX(1-0.8/(1-frac_sam_24_59months+(frac_sam_24_59months*0.8)),0),1)</f>
        <v>0.19909245962970479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0.19555448930772246</v>
      </c>
      <c r="G130" s="90">
        <f>MIN(MAX(1-0.8/(1-frac_mam_12_23months+(frac_mam_12_23months*0.8)),0),1)</f>
        <v>0.19855634351269624</v>
      </c>
      <c r="H130" s="90">
        <f>MIN(MAX(1-0.8/(1-frac_mam_24_59months+(frac_mam_24_59months*0.8)),0),1)</f>
        <v>0.19826938429293472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yOSP7X65ENVLZDOLMF/qMynpnlAKud0OS/mL642dLX6FOQkOaNEnxcgAJok35NBgaK3Wy3MkCVdUUGrUi87Ig==" saltValue="CJWP76CYJFSKjBLmcHxw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zBg3q0O7yTZ4idSBAaZ0KZBg4iDalDtB7Y3Q+KSKF8NWgFxreXj/w7v9begmrIk4H6Uv6wJaRzv0t69Ld6oAug==" saltValue="M73vEsshzyzHZvpJeFFMP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2024-08-06T07:31:14Z</dcterms:modified>
</cp:coreProperties>
</file>