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D89824A4-269D-45F3-AE79-BDA36AA110FF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<sst xmlns="http://schemas.openxmlformats.org/spreadsheetml/2006/main" count="2102" uniqueCount="341">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</sst>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4534012.28125</v>
      </c>
    </row>
    <row r="8" spans="1:3" ht="15" customHeight="1" x14ac:dyDescent="0.25">
      <c r="B8" s="5" t="s">
        <v>44</v>
      </c>
      <c r="C8" s="44">
        <v>1.4999999999999999E-2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0.68451698300000008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0.22800000000000001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2.9899999999999999E-2</v>
      </c>
    </row>
    <row r="24" spans="1:3" ht="15" customHeight="1" x14ac:dyDescent="0.25">
      <c r="B24" s="15" t="s">
        <v>46</v>
      </c>
      <c r="C24" s="45">
        <v>0.41</v>
      </c>
    </row>
    <row r="25" spans="1:3" ht="15" customHeight="1" x14ac:dyDescent="0.25">
      <c r="B25" s="15" t="s">
        <v>47</v>
      </c>
      <c r="C25" s="45">
        <v>0.46339999999999998</v>
      </c>
    </row>
    <row r="26" spans="1:3" ht="15" customHeight="1" x14ac:dyDescent="0.25">
      <c r="B26" s="15" t="s">
        <v>48</v>
      </c>
      <c r="C26" s="45">
        <v>9.6699999999999994E-2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0.31611757185067002</v>
      </c>
    </row>
    <row r="30" spans="1:3" ht="14.25" customHeight="1" x14ac:dyDescent="0.25">
      <c r="B30" s="25" t="s">
        <v>63</v>
      </c>
      <c r="C30" s="99">
        <v>5.6193137427978712E-2</v>
      </c>
    </row>
    <row r="31" spans="1:3" ht="14.25" customHeight="1" x14ac:dyDescent="0.25">
      <c r="B31" s="25" t="s">
        <v>10</v>
      </c>
      <c r="C31" s="99">
        <v>7.8032026225336698E-2</v>
      </c>
    </row>
    <row r="32" spans="1:3" ht="14.25" customHeight="1" x14ac:dyDescent="0.25">
      <c r="B32" s="25" t="s">
        <v>11</v>
      </c>
      <c r="C32" s="99">
        <v>0.54965726449601493</v>
      </c>
    </row>
    <row r="33" spans="1:5" ht="13" customHeight="1" x14ac:dyDescent="0.25">
      <c r="B33" s="27" t="s">
        <v>60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15.6492</v>
      </c>
    </row>
    <row r="38" spans="1:5" ht="15" customHeight="1" x14ac:dyDescent="0.25">
      <c r="B38" s="11" t="s">
        <v>35</v>
      </c>
      <c r="C38" s="43">
        <v>19.16029</v>
      </c>
      <c r="D38" s="12"/>
      <c r="E38" s="13"/>
    </row>
    <row r="39" spans="1:5" ht="15" customHeight="1" x14ac:dyDescent="0.25">
      <c r="B39" s="11" t="s">
        <v>61</v>
      </c>
      <c r="C39" s="43">
        <v>22.335290000000001</v>
      </c>
      <c r="D39" s="12"/>
      <c r="E39" s="12"/>
    </row>
    <row r="40" spans="1:5" ht="15" customHeight="1" x14ac:dyDescent="0.25">
      <c r="B40" s="11" t="s">
        <v>36</v>
      </c>
      <c r="C40" s="100">
        <v>0.78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9.8190000000000008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7.5297000000000003E-3</v>
      </c>
      <c r="D45" s="12"/>
    </row>
    <row r="46" spans="1:5" ht="15.75" customHeight="1" x14ac:dyDescent="0.25">
      <c r="B46" s="11" t="s">
        <v>51</v>
      </c>
      <c r="C46" s="45">
        <v>8.0905199999999997E-2</v>
      </c>
      <c r="D46" s="12"/>
    </row>
    <row r="47" spans="1:5" ht="15.75" customHeight="1" x14ac:dyDescent="0.25">
      <c r="B47" s="11" t="s">
        <v>59</v>
      </c>
      <c r="C47" s="45">
        <v>7.3840299999999998E-2</v>
      </c>
      <c r="D47" s="12"/>
      <c r="E47" s="13"/>
    </row>
    <row r="48" spans="1:5" ht="15" customHeight="1" x14ac:dyDescent="0.25">
      <c r="B48" s="11" t="s">
        <v>58</v>
      </c>
      <c r="C48" s="46">
        <v>0.83772480000000005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2.9</v>
      </c>
      <c r="D51" s="12"/>
    </row>
    <row r="52" spans="1:4" ht="15" customHeight="1" x14ac:dyDescent="0.25">
      <c r="B52" s="11" t="s">
        <v>13</v>
      </c>
      <c r="C52" s="100">
        <v>2.9</v>
      </c>
    </row>
    <row r="53" spans="1:4" ht="15.75" customHeight="1" x14ac:dyDescent="0.25">
      <c r="B53" s="11" t="s">
        <v>16</v>
      </c>
      <c r="C53" s="100">
        <v>2.9</v>
      </c>
    </row>
    <row r="54" spans="1:4" ht="15.75" customHeight="1" x14ac:dyDescent="0.25">
      <c r="B54" s="11" t="s">
        <v>14</v>
      </c>
      <c r="C54" s="100">
        <v>2.9</v>
      </c>
    </row>
    <row r="55" spans="1:4" ht="15.75" customHeight="1" x14ac:dyDescent="0.25">
      <c r="B55" s="11" t="s">
        <v>15</v>
      </c>
      <c r="C55" s="100">
        <v>2.9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2.0689655172413789E-2</v>
      </c>
    </row>
    <row r="59" spans="1:4" ht="15.75" customHeight="1" x14ac:dyDescent="0.25">
      <c r="B59" s="11" t="s">
        <v>40</v>
      </c>
      <c r="C59" s="45">
        <v>0.57310400000000006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7.2524920000000007E-2</v>
      </c>
    </row>
    <row r="63" spans="1:4" ht="15.75" customHeight="1" x14ac:dyDescent="0.3">
      <c r="A63" s="4"/>
    </row>
  </sheetData>
  <sheetProtection algorithmName="SHA-512" hashValue="KI7BcxsEotocxAyL9RyQje3d3+ZnzhoMZWuXZakiCO4ydnNbWwMnwYS9JOjGSt/pxP0Rsub5aQOV4OUkLArgIQ==" saltValue="nJgPg1WMi9hMjiQUQEFP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869364</v>
      </c>
      <c r="C2" s="49">
        <v>2169735</v>
      </c>
      <c r="D2" s="49">
        <v>2897102</v>
      </c>
      <c r="E2" s="49">
        <v>3466148.5</v>
      </c>
      <c r="F2" s="49">
        <v>2760545.5</v>
      </c>
      <c r="G2" s="17">
        <f t="shared" ref="G2:G13" si="0">C2+D2+E2+F2</f>
        <v>11293531</v>
      </c>
      <c r="H2" s="17">
        <f t="shared" ref="H2:H13" si="1">(B2 + stillbirth*B2/(1000-stillbirth))/(1-abortion)</f>
        <v>997710.15234955668</v>
      </c>
      <c r="I2" s="17">
        <f t="shared" ref="I2:I13" si="2">G2-H2</f>
        <v>10295820.847650444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845541</v>
      </c>
      <c r="C3" s="50">
        <v>2273014.5</v>
      </c>
      <c r="D3" s="50">
        <v>2893984.5</v>
      </c>
      <c r="E3" s="50">
        <v>3422460</v>
      </c>
      <c r="F3" s="50">
        <v>2843727</v>
      </c>
      <c r="G3" s="17">
        <f t="shared" si="0"/>
        <v>11433186</v>
      </c>
      <c r="H3" s="17">
        <f t="shared" si="1"/>
        <v>970370.10956031817</v>
      </c>
      <c r="I3" s="17">
        <f t="shared" si="2"/>
        <v>10462815.890439682</v>
      </c>
    </row>
    <row r="4" spans="1:9" ht="15.75" customHeight="1" x14ac:dyDescent="0.25">
      <c r="A4" s="5">
        <f t="shared" si="3"/>
        <v>2026</v>
      </c>
      <c r="B4" s="49">
        <v>823688</v>
      </c>
      <c r="C4" s="50">
        <v>2377528</v>
      </c>
      <c r="D4" s="50">
        <v>2918105</v>
      </c>
      <c r="E4" s="50">
        <v>3366256.5</v>
      </c>
      <c r="F4" s="50">
        <v>2922190.5</v>
      </c>
      <c r="G4" s="17">
        <f t="shared" si="0"/>
        <v>11584080</v>
      </c>
      <c r="H4" s="17">
        <f t="shared" si="1"/>
        <v>945290.90227856417</v>
      </c>
      <c r="I4" s="17">
        <f t="shared" si="2"/>
        <v>10638789.097721435</v>
      </c>
    </row>
    <row r="5" spans="1:9" ht="15.75" customHeight="1" x14ac:dyDescent="0.25">
      <c r="A5" s="5">
        <f t="shared" si="3"/>
        <v>2027</v>
      </c>
      <c r="B5" s="49">
        <v>806611</v>
      </c>
      <c r="C5" s="50">
        <v>2476903.5</v>
      </c>
      <c r="D5" s="50">
        <v>2970297.5</v>
      </c>
      <c r="E5" s="50">
        <v>3301160.5</v>
      </c>
      <c r="F5" s="50">
        <v>2992482.5</v>
      </c>
      <c r="G5" s="17">
        <f t="shared" si="0"/>
        <v>11740844</v>
      </c>
      <c r="H5" s="17">
        <f t="shared" si="1"/>
        <v>925692.78656216303</v>
      </c>
      <c r="I5" s="17">
        <f t="shared" si="2"/>
        <v>10815151.213437837</v>
      </c>
    </row>
    <row r="6" spans="1:9" ht="15.75" customHeight="1" x14ac:dyDescent="0.25">
      <c r="A6" s="5">
        <f t="shared" si="3"/>
        <v>2028</v>
      </c>
      <c r="B6" s="49">
        <v>790186</v>
      </c>
      <c r="C6" s="50">
        <v>2566530</v>
      </c>
      <c r="D6" s="50">
        <v>3056007.5</v>
      </c>
      <c r="E6" s="50">
        <v>3224863.5</v>
      </c>
      <c r="F6" s="50">
        <v>3050402</v>
      </c>
      <c r="G6" s="17">
        <f t="shared" si="0"/>
        <v>11897803</v>
      </c>
      <c r="H6" s="17">
        <f t="shared" si="1"/>
        <v>906842.92706448259</v>
      </c>
      <c r="I6" s="17">
        <f t="shared" si="2"/>
        <v>10990960.072935518</v>
      </c>
    </row>
    <row r="7" spans="1:9" ht="15.75" customHeight="1" x14ac:dyDescent="0.25">
      <c r="A7" s="5">
        <f t="shared" si="3"/>
        <v>2029</v>
      </c>
      <c r="B7" s="49">
        <v>778830</v>
      </c>
      <c r="C7" s="50">
        <v>2648773</v>
      </c>
      <c r="D7" s="50">
        <v>3170228</v>
      </c>
      <c r="E7" s="50">
        <v>3142986.5</v>
      </c>
      <c r="F7" s="50">
        <v>3093793</v>
      </c>
      <c r="G7" s="17">
        <f t="shared" si="0"/>
        <v>12055780.5</v>
      </c>
      <c r="H7" s="17">
        <f t="shared" si="1"/>
        <v>893810.4153776844</v>
      </c>
      <c r="I7" s="17">
        <f t="shared" si="2"/>
        <v>11161970.084622316</v>
      </c>
    </row>
    <row r="8" spans="1:9" ht="15.75" customHeight="1" x14ac:dyDescent="0.25">
      <c r="A8" s="5">
        <f t="shared" si="3"/>
        <v>2030</v>
      </c>
      <c r="B8" s="49">
        <v>771542</v>
      </c>
      <c r="C8" s="50">
        <v>2722091</v>
      </c>
      <c r="D8" s="50">
        <v>3300266</v>
      </c>
      <c r="E8" s="50">
        <v>3067197</v>
      </c>
      <c r="F8" s="50">
        <v>3121576.5</v>
      </c>
      <c r="G8" s="17">
        <f t="shared" si="0"/>
        <v>12211130.5</v>
      </c>
      <c r="H8" s="17">
        <f t="shared" si="1"/>
        <v>885446.47163222951</v>
      </c>
      <c r="I8" s="17">
        <f t="shared" si="2"/>
        <v>11325684.028367771</v>
      </c>
    </row>
    <row r="9" spans="1:9" ht="15.75" customHeight="1" x14ac:dyDescent="0.25">
      <c r="A9" s="5">
        <f t="shared" si="3"/>
        <v>2031</v>
      </c>
      <c r="B9" s="49">
        <v>767388</v>
      </c>
      <c r="C9" s="50">
        <v>2784081.5</v>
      </c>
      <c r="D9" s="50">
        <v>3442811.5</v>
      </c>
      <c r="E9" s="50">
        <v>2999051</v>
      </c>
      <c r="F9" s="50">
        <v>3133901</v>
      </c>
      <c r="G9" s="17">
        <f t="shared" si="0"/>
        <v>12359845</v>
      </c>
      <c r="H9" s="17">
        <f t="shared" si="1"/>
        <v>880679.20731847826</v>
      </c>
      <c r="I9" s="17">
        <f t="shared" si="2"/>
        <v>11479165.792681523</v>
      </c>
    </row>
    <row r="10" spans="1:9" ht="15.75" customHeight="1" x14ac:dyDescent="0.25">
      <c r="A10" s="5">
        <f t="shared" si="3"/>
        <v>2032</v>
      </c>
      <c r="B10" s="49">
        <v>766430</v>
      </c>
      <c r="C10" s="50">
        <v>2828096</v>
      </c>
      <c r="D10" s="50">
        <v>3598635.5</v>
      </c>
      <c r="E10" s="50">
        <v>2938821</v>
      </c>
      <c r="F10" s="50">
        <v>3132591</v>
      </c>
      <c r="G10" s="17">
        <f t="shared" si="0"/>
        <v>12498143.5</v>
      </c>
      <c r="H10" s="17">
        <f t="shared" si="1"/>
        <v>879579.77563514328</v>
      </c>
      <c r="I10" s="17">
        <f t="shared" si="2"/>
        <v>11618563.724364856</v>
      </c>
    </row>
    <row r="11" spans="1:9" ht="15.75" customHeight="1" x14ac:dyDescent="0.25">
      <c r="A11" s="5">
        <f t="shared" si="3"/>
        <v>2033</v>
      </c>
      <c r="B11" s="49">
        <v>769274</v>
      </c>
      <c r="C11" s="50">
        <v>2854095</v>
      </c>
      <c r="D11" s="50">
        <v>3758671.5000000009</v>
      </c>
      <c r="E11" s="50">
        <v>2892317</v>
      </c>
      <c r="F11" s="50">
        <v>3120091</v>
      </c>
      <c r="G11" s="17">
        <f t="shared" si="0"/>
        <v>12625174.5</v>
      </c>
      <c r="H11" s="17">
        <f t="shared" si="1"/>
        <v>882843.64171802939</v>
      </c>
      <c r="I11" s="17">
        <f t="shared" si="2"/>
        <v>11742330.85828197</v>
      </c>
    </row>
    <row r="12" spans="1:9" ht="15.75" customHeight="1" x14ac:dyDescent="0.25">
      <c r="A12" s="5">
        <f t="shared" si="3"/>
        <v>2034</v>
      </c>
      <c r="B12" s="49">
        <v>776763</v>
      </c>
      <c r="C12" s="50">
        <v>2862530.5</v>
      </c>
      <c r="D12" s="50">
        <v>3915228.5</v>
      </c>
      <c r="E12" s="50">
        <v>2865685.5</v>
      </c>
      <c r="F12" s="50">
        <v>3097262</v>
      </c>
      <c r="G12" s="17">
        <f t="shared" si="0"/>
        <v>12740706.5</v>
      </c>
      <c r="H12" s="17">
        <f t="shared" si="1"/>
        <v>891438.25954318175</v>
      </c>
      <c r="I12" s="17">
        <f t="shared" si="2"/>
        <v>11849268.240456818</v>
      </c>
    </row>
    <row r="13" spans="1:9" ht="15.75" customHeight="1" x14ac:dyDescent="0.25">
      <c r="A13" s="5">
        <f t="shared" si="3"/>
        <v>2035</v>
      </c>
      <c r="B13" s="49">
        <v>782355</v>
      </c>
      <c r="C13" s="50">
        <v>2849468</v>
      </c>
      <c r="D13" s="50">
        <v>4068852.5000000009</v>
      </c>
      <c r="E13" s="50">
        <v>2863007</v>
      </c>
      <c r="F13" s="50">
        <v>3064336.5</v>
      </c>
      <c r="G13" s="17">
        <f t="shared" si="0"/>
        <v>12845664</v>
      </c>
      <c r="H13" s="17">
        <f t="shared" si="1"/>
        <v>897855.81901417288</v>
      </c>
      <c r="I13" s="17">
        <f t="shared" si="2"/>
        <v>11947808.180985827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ZyfQ3lZZrm6eXkUntKwjpIMjNlZl4O6RGbst784melhNHcOCAJCOM4FFMPvD1VLBfrECriR1zGDsR/ElM/iNKQ==" saltValue="0NrvpNA0NvfjqDZXIJtGy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5.0001989999601919E-3</v>
      </c>
    </row>
    <row r="4" spans="1:8" ht="15.75" customHeight="1" x14ac:dyDescent="0.25">
      <c r="B4" s="19" t="s">
        <v>97</v>
      </c>
      <c r="C4" s="101">
        <v>4.3378791324241689E-2</v>
      </c>
    </row>
    <row r="5" spans="1:8" ht="15.75" customHeight="1" x14ac:dyDescent="0.25">
      <c r="B5" s="19" t="s">
        <v>95</v>
      </c>
      <c r="C5" s="101">
        <v>4.3428391314321607E-2</v>
      </c>
    </row>
    <row r="6" spans="1:8" ht="15.75" customHeight="1" x14ac:dyDescent="0.25">
      <c r="B6" s="19" t="s">
        <v>91</v>
      </c>
      <c r="C6" s="101">
        <v>0.20442915911416809</v>
      </c>
    </row>
    <row r="7" spans="1:8" ht="15.75" customHeight="1" x14ac:dyDescent="0.25">
      <c r="B7" s="19" t="s">
        <v>96</v>
      </c>
      <c r="C7" s="101">
        <v>0.44831191033761802</v>
      </c>
    </row>
    <row r="8" spans="1:8" ht="15.75" customHeight="1" x14ac:dyDescent="0.25">
      <c r="B8" s="19" t="s">
        <v>98</v>
      </c>
      <c r="C8" s="101">
        <v>6.1679987664002426E-4</v>
      </c>
    </row>
    <row r="9" spans="1:8" ht="15.75" customHeight="1" x14ac:dyDescent="0.25">
      <c r="B9" s="19" t="s">
        <v>92</v>
      </c>
      <c r="C9" s="101">
        <v>0.16549056690188679</v>
      </c>
    </row>
    <row r="10" spans="1:8" ht="15.75" customHeight="1" x14ac:dyDescent="0.25">
      <c r="B10" s="19" t="s">
        <v>94</v>
      </c>
      <c r="C10" s="101">
        <v>8.9344182131163408E-2</v>
      </c>
    </row>
    <row r="11" spans="1:8" ht="15.75" customHeight="1" x14ac:dyDescent="0.25">
      <c r="B11" s="27" t="s">
        <v>60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7.022475265492524E-2</v>
      </c>
      <c r="D14" s="55">
        <v>7.022475265492524E-2</v>
      </c>
      <c r="E14" s="55">
        <v>7.022475265492524E-2</v>
      </c>
      <c r="F14" s="55">
        <v>7.022475265492524E-2</v>
      </c>
    </row>
    <row r="15" spans="1:8" ht="15.75" customHeight="1" x14ac:dyDescent="0.25">
      <c r="B15" s="19" t="s">
        <v>102</v>
      </c>
      <c r="C15" s="101">
        <v>0.30976529888450999</v>
      </c>
      <c r="D15" s="101">
        <v>0.30976529888450999</v>
      </c>
      <c r="E15" s="101">
        <v>0.30976529888450999</v>
      </c>
      <c r="F15" s="101">
        <v>0.30976529888450999</v>
      </c>
    </row>
    <row r="16" spans="1:8" ht="15.75" customHeight="1" x14ac:dyDescent="0.25">
      <c r="B16" s="19" t="s">
        <v>2</v>
      </c>
      <c r="C16" s="101">
        <v>1.6170295772139381E-2</v>
      </c>
      <c r="D16" s="101">
        <v>1.6170295772139381E-2</v>
      </c>
      <c r="E16" s="101">
        <v>1.6170295772139381E-2</v>
      </c>
      <c r="F16" s="101">
        <v>1.6170295772139381E-2</v>
      </c>
    </row>
    <row r="17" spans="1:8" ht="15.75" customHeight="1" x14ac:dyDescent="0.25">
      <c r="B17" s="19" t="s">
        <v>90</v>
      </c>
      <c r="C17" s="101">
        <v>1.4909933056514699E-2</v>
      </c>
      <c r="D17" s="101">
        <v>1.4909933056514699E-2</v>
      </c>
      <c r="E17" s="101">
        <v>1.4909933056514699E-2</v>
      </c>
      <c r="F17" s="101">
        <v>1.4909933056514699E-2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4.5015377709708093E-2</v>
      </c>
      <c r="D19" s="101">
        <v>4.5015377709708093E-2</v>
      </c>
      <c r="E19" s="101">
        <v>4.5015377709708093E-2</v>
      </c>
      <c r="F19" s="101">
        <v>4.5015377709708093E-2</v>
      </c>
    </row>
    <row r="20" spans="1:8" ht="15.75" customHeight="1" x14ac:dyDescent="0.25">
      <c r="B20" s="19" t="s">
        <v>79</v>
      </c>
      <c r="C20" s="101">
        <v>2.1004483575327339E-2</v>
      </c>
      <c r="D20" s="101">
        <v>2.1004483575327339E-2</v>
      </c>
      <c r="E20" s="101">
        <v>2.1004483575327339E-2</v>
      </c>
      <c r="F20" s="101">
        <v>2.1004483575327339E-2</v>
      </c>
    </row>
    <row r="21" spans="1:8" ht="15.75" customHeight="1" x14ac:dyDescent="0.25">
      <c r="B21" s="19" t="s">
        <v>88</v>
      </c>
      <c r="C21" s="101">
        <v>0.32989175281618099</v>
      </c>
      <c r="D21" s="101">
        <v>0.32989175281618099</v>
      </c>
      <c r="E21" s="101">
        <v>0.32989175281618099</v>
      </c>
      <c r="F21" s="101">
        <v>0.32989175281618099</v>
      </c>
    </row>
    <row r="22" spans="1:8" ht="15.75" customHeight="1" x14ac:dyDescent="0.25">
      <c r="B22" s="19" t="s">
        <v>99</v>
      </c>
      <c r="C22" s="101">
        <v>0.1930181055306941</v>
      </c>
      <c r="D22" s="101">
        <v>0.1930181055306941</v>
      </c>
      <c r="E22" s="101">
        <v>0.1930181055306941</v>
      </c>
      <c r="F22" s="101">
        <v>0.1930181055306941</v>
      </c>
    </row>
    <row r="23" spans="1:8" ht="15.75" customHeight="1" x14ac:dyDescent="0.25">
      <c r="B23" s="27" t="s">
        <v>60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4.6172718000000001E-2</v>
      </c>
    </row>
    <row r="27" spans="1:8" ht="15.75" customHeight="1" x14ac:dyDescent="0.25">
      <c r="B27" s="19" t="s">
        <v>89</v>
      </c>
      <c r="C27" s="101">
        <v>2.7233671000000001E-2</v>
      </c>
    </row>
    <row r="28" spans="1:8" ht="15.75" customHeight="1" x14ac:dyDescent="0.25">
      <c r="B28" s="19" t="s">
        <v>103</v>
      </c>
      <c r="C28" s="101">
        <v>0.19299803300000001</v>
      </c>
    </row>
    <row r="29" spans="1:8" ht="15.75" customHeight="1" x14ac:dyDescent="0.25">
      <c r="B29" s="19" t="s">
        <v>86</v>
      </c>
      <c r="C29" s="101">
        <v>0.151217407</v>
      </c>
    </row>
    <row r="30" spans="1:8" ht="15.75" customHeight="1" x14ac:dyDescent="0.25">
      <c r="B30" s="19" t="s">
        <v>4</v>
      </c>
      <c r="C30" s="101">
        <v>5.0257797E-2</v>
      </c>
    </row>
    <row r="31" spans="1:8" ht="15.75" customHeight="1" x14ac:dyDescent="0.25">
      <c r="B31" s="19" t="s">
        <v>80</v>
      </c>
      <c r="C31" s="101">
        <v>3.0332997E-2</v>
      </c>
    </row>
    <row r="32" spans="1:8" ht="15.75" customHeight="1" x14ac:dyDescent="0.25">
      <c r="B32" s="19" t="s">
        <v>85</v>
      </c>
      <c r="C32" s="101">
        <v>8.4368242999999996E-2</v>
      </c>
    </row>
    <row r="33" spans="2:3" ht="15.75" customHeight="1" x14ac:dyDescent="0.25">
      <c r="B33" s="19" t="s">
        <v>100</v>
      </c>
      <c r="C33" s="101">
        <v>0.169902637</v>
      </c>
    </row>
    <row r="34" spans="2:3" ht="15.75" customHeight="1" x14ac:dyDescent="0.25">
      <c r="B34" s="19" t="s">
        <v>87</v>
      </c>
      <c r="C34" s="101">
        <v>0.247516497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asBwz4b2BnowD/lpMoZY8L3dqHoVI9+/bDRXEGZo8bjBwpNHZ0g9PTUFxk1aNXYnFtFGjpP1kgBgy5e/y2PozQ==" saltValue="9KQf1ot5PeDzMKB/BUdla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0.61918496408693291</v>
      </c>
      <c r="D2" s="52">
        <f>IFERROR(1-_xlfn.NORM.DIST(_xlfn.NORM.INV(SUM(D4:D5), 0, 1) + 1, 0, 1, TRUE), "")</f>
        <v>0.61918496408693291</v>
      </c>
      <c r="E2" s="52">
        <f>IFERROR(1-_xlfn.NORM.DIST(_xlfn.NORM.INV(SUM(E4:E5), 0, 1) + 1, 0, 1, TRUE), "")</f>
        <v>0.68153802984619016</v>
      </c>
      <c r="F2" s="52">
        <f>IFERROR(1-_xlfn.NORM.DIST(_xlfn.NORM.INV(SUM(F4:F5), 0, 1) + 1, 0, 1, TRUE), "")</f>
        <v>0.60842463489257459</v>
      </c>
      <c r="G2" s="52">
        <f>IFERROR(1-_xlfn.NORM.DIST(_xlfn.NORM.INV(SUM(G4:G5), 0, 1) + 1, 0, 1, TRUE), "")</f>
        <v>0.60691762186329989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0.28458583591306713</v>
      </c>
      <c r="D3" s="52">
        <f>IFERROR(_xlfn.NORM.DIST(_xlfn.NORM.INV(SUM(D4:D5), 0, 1) + 1, 0, 1, TRUE) - SUM(D4:D5), "")</f>
        <v>0.28458583591306713</v>
      </c>
      <c r="E3" s="52">
        <f>IFERROR(_xlfn.NORM.DIST(_xlfn.NORM.INV(SUM(E4:E5), 0, 1) + 1, 0, 1, TRUE) - SUM(E4:E5), "")</f>
        <v>0.24795207015380982</v>
      </c>
      <c r="F3" s="52">
        <f>IFERROR(_xlfn.NORM.DIST(_xlfn.NORM.INV(SUM(F4:F5), 0, 1) + 1, 0, 1, TRUE) - SUM(F4:F5), "")</f>
        <v>0.29045886510742547</v>
      </c>
      <c r="G3" s="52">
        <f>IFERROR(_xlfn.NORM.DIST(_xlfn.NORM.INV(SUM(G4:G5), 0, 1) + 1, 0, 1, TRUE) - SUM(G4:G5), "")</f>
        <v>0.29127037813670004</v>
      </c>
    </row>
    <row r="4" spans="1:15" ht="15.75" customHeight="1" x14ac:dyDescent="0.25">
      <c r="B4" s="5" t="s">
        <v>110</v>
      </c>
      <c r="C4" s="45">
        <v>5.4518200000000003E-2</v>
      </c>
      <c r="D4" s="53">
        <v>5.4518200000000003E-2</v>
      </c>
      <c r="E4" s="53">
        <v>4.9874099999999998E-2</v>
      </c>
      <c r="F4" s="53">
        <v>6.2763600000000003E-2</v>
      </c>
      <c r="G4" s="53">
        <v>6.7714499999999997E-2</v>
      </c>
    </row>
    <row r="5" spans="1:15" ht="15.75" customHeight="1" x14ac:dyDescent="0.25">
      <c r="B5" s="5" t="s">
        <v>106</v>
      </c>
      <c r="C5" s="45">
        <v>4.1710999999999998E-2</v>
      </c>
      <c r="D5" s="53">
        <v>4.1710999999999998E-2</v>
      </c>
      <c r="E5" s="53">
        <v>2.0635799999999999E-2</v>
      </c>
      <c r="F5" s="53">
        <v>3.8352900000000002E-2</v>
      </c>
      <c r="G5" s="53">
        <v>3.4097500000000003E-2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0.65703967577082956</v>
      </c>
      <c r="D8" s="52">
        <f>IFERROR(1-_xlfn.NORM.DIST(_xlfn.NORM.INV(SUM(D10:D11), 0, 1) + 1, 0, 1, TRUE), "")</f>
        <v>0.65703967577082956</v>
      </c>
      <c r="E8" s="52">
        <f>IFERROR(1-_xlfn.NORM.DIST(_xlfn.NORM.INV(SUM(E10:E11), 0, 1) + 1, 0, 1, TRUE), "")</f>
        <v>0.73569867693893731</v>
      </c>
      <c r="F8" s="52">
        <f>IFERROR(1-_xlfn.NORM.DIST(_xlfn.NORM.INV(SUM(F10:F11), 0, 1) + 1, 0, 1, TRUE), "")</f>
        <v>0.84026586290830652</v>
      </c>
      <c r="G8" s="52">
        <f>IFERROR(1-_xlfn.NORM.DIST(_xlfn.NORM.INV(SUM(G10:G11), 0, 1) + 1, 0, 1, TRUE), "")</f>
        <v>0.87141162635659608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0.26286002422917043</v>
      </c>
      <c r="D9" s="52">
        <f>IFERROR(_xlfn.NORM.DIST(_xlfn.NORM.INV(SUM(D10:D11), 0, 1) + 1, 0, 1, TRUE) - SUM(D10:D11), "")</f>
        <v>0.26286002422917043</v>
      </c>
      <c r="E9" s="52">
        <f>IFERROR(_xlfn.NORM.DIST(_xlfn.NORM.INV(SUM(E10:E11), 0, 1) + 1, 0, 1, TRUE) - SUM(E10:E11), "")</f>
        <v>0.21276542306106264</v>
      </c>
      <c r="F9" s="52">
        <f>IFERROR(_xlfn.NORM.DIST(_xlfn.NORM.INV(SUM(F10:F11), 0, 1) + 1, 0, 1, TRUE) - SUM(F10:F11), "")</f>
        <v>0.13674273709169349</v>
      </c>
      <c r="G9" s="52">
        <f>IFERROR(_xlfn.NORM.DIST(_xlfn.NORM.INV(SUM(G10:G11), 0, 1) + 1, 0, 1, TRUE) - SUM(G10:G11), "")</f>
        <v>0.11212967364340393</v>
      </c>
    </row>
    <row r="10" spans="1:15" ht="15.75" customHeight="1" x14ac:dyDescent="0.25">
      <c r="B10" s="5" t="s">
        <v>107</v>
      </c>
      <c r="C10" s="45">
        <v>3.4247699999999999E-2</v>
      </c>
      <c r="D10" s="53">
        <v>3.4247699999999999E-2</v>
      </c>
      <c r="E10" s="53">
        <v>2.76309E-2</v>
      </c>
      <c r="F10" s="53">
        <v>9.0066E-3</v>
      </c>
      <c r="G10" s="53">
        <v>1.0793000000000001E-2</v>
      </c>
    </row>
    <row r="11" spans="1:15" ht="15.75" customHeight="1" x14ac:dyDescent="0.25">
      <c r="B11" s="5" t="s">
        <v>119</v>
      </c>
      <c r="C11" s="45">
        <v>4.58526E-2</v>
      </c>
      <c r="D11" s="53">
        <v>4.58526E-2</v>
      </c>
      <c r="E11" s="53">
        <v>2.3904999999999999E-2</v>
      </c>
      <c r="F11" s="53">
        <v>1.39848E-2</v>
      </c>
      <c r="G11" s="53">
        <v>5.6657000000000001E-3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0.28899526175000001</v>
      </c>
      <c r="D14" s="54">
        <v>0.28268390162099999</v>
      </c>
      <c r="E14" s="54">
        <v>0.28268390162099999</v>
      </c>
      <c r="F14" s="54">
        <v>0.22708991540500001</v>
      </c>
      <c r="G14" s="54">
        <v>0.22708991540500001</v>
      </c>
      <c r="H14" s="45">
        <v>0.38900000000000001</v>
      </c>
      <c r="I14" s="55">
        <v>0.38900000000000001</v>
      </c>
      <c r="J14" s="55">
        <v>0.38900000000000001</v>
      </c>
      <c r="K14" s="55">
        <v>0.38900000000000001</v>
      </c>
      <c r="L14" s="45">
        <v>0.35499999999999998</v>
      </c>
      <c r="M14" s="55">
        <v>0.35499999999999998</v>
      </c>
      <c r="N14" s="55">
        <v>0.35499999999999998</v>
      </c>
      <c r="O14" s="55">
        <v>0.35499999999999998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0.16562434048997202</v>
      </c>
      <c r="D15" s="52">
        <f t="shared" si="0"/>
        <v>0.16200727475460158</v>
      </c>
      <c r="E15" s="52">
        <f t="shared" si="0"/>
        <v>0.16200727475460158</v>
      </c>
      <c r="F15" s="52">
        <f t="shared" si="0"/>
        <v>0.13014613887826715</v>
      </c>
      <c r="G15" s="52">
        <f t="shared" si="0"/>
        <v>0.13014613887826715</v>
      </c>
      <c r="H15" s="52">
        <f t="shared" si="0"/>
        <v>0.22293745600000003</v>
      </c>
      <c r="I15" s="52">
        <f t="shared" si="0"/>
        <v>0.22293745600000003</v>
      </c>
      <c r="J15" s="52">
        <f t="shared" si="0"/>
        <v>0.22293745600000003</v>
      </c>
      <c r="K15" s="52">
        <f t="shared" si="0"/>
        <v>0.22293745600000003</v>
      </c>
      <c r="L15" s="52">
        <f t="shared" si="0"/>
        <v>0.20345192000000001</v>
      </c>
      <c r="M15" s="52">
        <f t="shared" si="0"/>
        <v>0.20345192000000001</v>
      </c>
      <c r="N15" s="52">
        <f t="shared" si="0"/>
        <v>0.20345192000000001</v>
      </c>
      <c r="O15" s="52">
        <f t="shared" si="0"/>
        <v>0.20345192000000001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EGR0F+VN9X15SKPLecHJM7geUZD0rr7cUdbLMNeKZso/qeCrfXy5fC/qxq7kKaQgTu0+5A8edVlj/N67wgRiSQ==" saltValue="i3IQ/wDYW3bUGCc+x0vt4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0.48628440000000001</v>
      </c>
      <c r="D2" s="53">
        <v>0.25397140000000001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0.26631909999999998</v>
      </c>
      <c r="D3" s="53">
        <v>0.19622300000000001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0.15732409999999999</v>
      </c>
      <c r="D4" s="53">
        <v>0.33420899999999998</v>
      </c>
      <c r="E4" s="53">
        <v>0.58247979999999999</v>
      </c>
      <c r="F4" s="53">
        <v>0.367145</v>
      </c>
      <c r="G4" s="53">
        <v>0</v>
      </c>
    </row>
    <row r="5" spans="1:7" x14ac:dyDescent="0.25">
      <c r="B5" s="3" t="s">
        <v>125</v>
      </c>
      <c r="C5" s="52">
        <v>9.0072299999999994E-2</v>
      </c>
      <c r="D5" s="52">
        <v>0.2155967</v>
      </c>
      <c r="E5" s="52">
        <f>1-SUM(E2:E4)</f>
        <v>0.41752020000000001</v>
      </c>
      <c r="F5" s="52">
        <f>1-SUM(F2:F4)</f>
        <v>0.63285499999999995</v>
      </c>
      <c r="G5" s="52">
        <f>1-SUM(G2:G4)</f>
        <v>1</v>
      </c>
    </row>
  </sheetData>
  <sheetProtection algorithmName="SHA-512" hashValue="SrsVwdJuJBLd160MMFlLuThwl8yefTwckBH/jyeDJbPMHkZCIEFDTSwSl5miwK3Es6R4NQxEyApmdFgdFDbtpg==" saltValue="AxDp3JIqkueW/WGgbN66d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EIZuSCGI8I1PJYJ8Vk+yOqE2lnVs7K+sA+ViSud/ZtXQxye+FG9ddcHf7zV45bUutnIilPhEu8rqhX+caeRuZA==" saltValue="KhGDe7ne4PCYXYhiY/u7k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Z17POeD7EBVF4B49NJDA7um+LGOtlo3Te6k7nU5FgWs6DVhJ+DP3Yp5tUwpXZCTE6zyWchKOJZEwnaTscLeH/g==" saltValue="+yIQU2V8jrcQMM2pTImJn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GFudvEtR6zcy7oqsNHxfVQUV2Wcdyjyuz7+l3cqrhmOwKcVUkq9knxBljJMpSKrQ+NORgCcQicw+sS6qWYxNFA==" saltValue="WbLLpV/GpU5SYMIjCFBFN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D9qlF22FimDz+Ss6DzH9978Q/A0FlHrZZ6xWU8krfRosF1b+Yn1ceXvF2PAAeVfHKGfbo/qQpBm6rmEVY9LlYA==" saltValue="CHVYf2Ypb5BA3SpznucI6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56.580620140373682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0.55745125851713095</v>
      </c>
      <c r="C3" s="98">
        <v>0.95</v>
      </c>
      <c r="D3" s="56">
        <v>39.847657223635643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391.6881570886265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1.4605051036841139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12.97995666743156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12.97995666743156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12.97995666743156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12.97995666743156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12.97995666743156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12.97995666743156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0.97</v>
      </c>
      <c r="C16" s="98">
        <v>0.95</v>
      </c>
      <c r="D16" s="56">
        <v>0.68672246732690645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0.29896054327563998</v>
      </c>
      <c r="C18" s="98">
        <v>0.95</v>
      </c>
      <c r="D18" s="56">
        <v>9.0366520404178896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0.85826290000000005</v>
      </c>
      <c r="C19" s="98">
        <v>0.95</v>
      </c>
      <c r="D19" s="56">
        <v>9.0366520404178896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0.71388839999999998</v>
      </c>
      <c r="C21" s="98">
        <v>0.95</v>
      </c>
      <c r="D21" s="56">
        <v>18.09265788699528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22.382365332181759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4.259198426998462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0.96118479089084408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18.540655838323278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0.80504848593920597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110.3413816734874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0.92241108658405979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1.4711834954966929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0.39997139999999998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0.27308949999999999</v>
      </c>
      <c r="C38" s="98">
        <v>0.95</v>
      </c>
      <c r="D38" s="56">
        <v>3.7098806669089082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92fgKzrgRJhyAbA/gRSCrMWn1NeSUhCK0x689QIY/QA1NN4lH7a0iqPuR1av5oyC6I0sGiNxvq0kuGd0Zkgbsg==" saltValue="uQCwRh3Va0dEgiZrW6Lo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QlRsZpcopLPE9V+872xusY8dBr05kFK1f2FwAoD4rPU2lctINhgc6dLDXsgYIJuRGxW3OwGep09FuIKC1Cq4jg==" saltValue="ahTvvHjtbrgZCrt0U9YP1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D1vU5h6vvnbvLSX2O7OfpfzshHWc0/TIomnSyhlNqo/iwSigD1eY7shRmZlZphgSxLjjisDku+La0tlPPMT1tQ==" saltValue="F+pHEGO5cyzvVQFO+nNHs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2.9</v>
      </c>
      <c r="C2" s="21">
        <f>'Entradas de población-año base'!C52</f>
        <v>2.9</v>
      </c>
      <c r="D2" s="21">
        <f>'Entradas de población-año base'!C53</f>
        <v>2.9</v>
      </c>
      <c r="E2" s="21">
        <f>'Entradas de población-año base'!C54</f>
        <v>2.9</v>
      </c>
      <c r="F2" s="21">
        <f>'Entradas de población-año base'!C55</f>
        <v>2.9</v>
      </c>
    </row>
    <row r="3" spans="1:6" ht="15.75" customHeight="1" x14ac:dyDescent="0.25">
      <c r="A3" s="3" t="s">
        <v>6</v>
      </c>
      <c r="B3" s="21">
        <f>frac_mam_1month * 2.6</f>
        <v>8.9044020000000002E-2</v>
      </c>
      <c r="C3" s="21">
        <f>frac_mam_1_5months * 2.6</f>
        <v>8.9044020000000002E-2</v>
      </c>
      <c r="D3" s="21">
        <f>frac_mam_6_11months * 2.6</f>
        <v>7.1840340000000003E-2</v>
      </c>
      <c r="E3" s="21">
        <f>frac_mam_12_23months * 2.6</f>
        <v>2.3417159999999999E-2</v>
      </c>
      <c r="F3" s="21">
        <f>frac_mam_24_59months * 2.6</f>
        <v>2.8061800000000001E-2</v>
      </c>
    </row>
    <row r="4" spans="1:6" ht="15.75" customHeight="1" x14ac:dyDescent="0.25">
      <c r="A4" s="3" t="s">
        <v>207</v>
      </c>
      <c r="B4" s="21">
        <f>frac_sam_1month * 2.6</f>
        <v>0.11921676</v>
      </c>
      <c r="C4" s="21">
        <f>frac_sam_1_5months * 2.6</f>
        <v>0.11921676</v>
      </c>
      <c r="D4" s="21">
        <f>frac_sam_6_11months * 2.6</f>
        <v>6.2153E-2</v>
      </c>
      <c r="E4" s="21">
        <f>frac_sam_12_23months * 2.6</f>
        <v>3.6360480000000001E-2</v>
      </c>
      <c r="F4" s="21">
        <f>frac_sam_24_59months * 2.6</f>
        <v>1.473082E-2</v>
      </c>
    </row>
  </sheetData>
  <sheetProtection algorithmName="SHA-512" hashValue="NnyGmS8WyOb9DungluTVchs9kHD8Luu5sV/u9AkikCYp7cCVA6g5sd0QRSyF+hNKyuIlfbXyNBd8cJeQRUsa6A==" saltValue="HuhtgjjGSh6nXuTxsO8rU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1.4999999999999999E-2</v>
      </c>
      <c r="E2" s="60">
        <f>food_insecure</f>
        <v>1.4999999999999999E-2</v>
      </c>
      <c r="F2" s="60">
        <f>food_insecure</f>
        <v>1.4999999999999999E-2</v>
      </c>
      <c r="G2" s="60">
        <f>food_insecure</f>
        <v>1.4999999999999999E-2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1.4999999999999999E-2</v>
      </c>
      <c r="I15" s="60">
        <f>food_insecure</f>
        <v>1.4999999999999999E-2</v>
      </c>
      <c r="J15" s="60">
        <f>food_insecure</f>
        <v>1.4999999999999999E-2</v>
      </c>
      <c r="K15" s="60">
        <f>food_insecure</f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0.22800000000000001</v>
      </c>
      <c r="M24" s="60">
        <f>famplan_unmet_need</f>
        <v>0.22800000000000001</v>
      </c>
      <c r="N24" s="60">
        <f>famplan_unmet_need</f>
        <v>0.22800000000000001</v>
      </c>
      <c r="O24" s="60">
        <f>famplan_unmet_need</f>
        <v>0.22800000000000001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0.15558044983354993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6.6677335642949975E-2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9.3225231523499971E-2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0.68451698300000008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j16HuBtPehF0kkNun0FjUkv1kBJ+mgv4dJjoXlJhBnETPGZi+cdrpriHS9APYpGF+AY3omKI99Cnk2sGAIZquA==" saltValue="bZbwRYJIRNHTzmb9hby3/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mpn0yBJIxqtbKlwLLv5eRFSI+0wFAEGMKwPZCsExgO3CzaL8pEjDIkHuCPaDDHq+VtzFPtaxy4i7E2y4eOvOHw==" saltValue="R5k9JnYFZi8xqsfI+zKju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FZpKaPwmYJuAjxXBY+lceWIB1bSgt1ENvDfR9cUcat5NBgfXADSLSxgXOWWtWg6hfpKP+IO3lLZx64FxYGzuKA==" saltValue="m1ciMMcb44MU4YIJQh3tY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M0eV3R9LCxl6aJsJjiko6LRfYsiNVSVJZyj6u3V2TpM0FVRE9pcP02VDVoHq+/QvXzxWSh2izE6AFKuTkRxTmA==" saltValue="SWNABvrsiX2P/3pkIWtED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RSkHkkr2hBqMiY/5qveegfVZj5alRFnZoUkYVWzjSLEFbYz2RLMYg8yzK1zDskDv+f+8GZkvk2TKgzoztz1sZQ==" saltValue="E9W3KERMs34REh4W0gFqX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pewdxTtZUJlx8/ZxnqtCxXrLeBjs5wMxv7dDbKzl5vNqr9z9CnzP2I2u/bYgKeOYm+Odpa+OKRJiS3fzZJdReQ==" saltValue="2q5u3qnhPU53xzNzxw5qj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94uD/MEaxYLk0MVqGhRx8utomQCLo0rIJZ9KudWW1fLpUkm4byw/c42p2Q0bDz6FcJk/lrCcjMvdQitVqbELCg==" saltValue="KDXcClYf6R26q4UO6R+kH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HtyYcfZ9r1G5B+K8aqWtWu1gdryl/jeIw3r3D7p4qepb67rcmSFw+/Cunls3EHGDYBgZC5muN4XJRVbplcXjxg==" saltValue="QQBcygbXS4spfaDWN/E9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HsUYJAmBBs42ANKMIvDbvCZCT/e8Z6mJ6yEn6Lu0r8wvCxt5/BBdDA0d/byihXCg8Ae+0CRU4+6REKmAjSjQIA==" saltValue="iFPpG9BgH1uQVcv72JaT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nXRvmcNfXlDw1JeeMF1Zuc8Aw75OtQFQA0qnGogBwq5tP3mVVGdNpoaCy7zTENtlURguuxTP80W5+Mnin9YJEA==" saltValue="Tu8uuZWu9W9S6sS7ZvdY9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HTtyfGtqPS57Z3mBIredEMAZuxni/A1HY6m7Dl837yvr698baAlxwd6qI9rolKjMRYIU3dEwVu1IDsSVS+/7hg==" saltValue="JhHbyOmxO7S3vAeOgTVLJ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mQUQr0v5m9CzVoT+grXyjF0XVrhiOw9Q+CVp8YP5c4QTHP72T0tdvvBsEewRq9Q/iRqmyqPna8A5uWj8x9JSg==" saltValue="qBS7C+sBm0Tad8jomz/D+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A0LqrR42Y8gxk2heQeG88bBZMJDDEEj/+GQPCaiwW/17y+5bDLgS6szsyx701B9c4NYx0U2whsfsecju5v43mQ==" saltValue="q1o388AhD9sLmuw20faF7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bngAdFCADbZXb0naRGtkEBVQQTj0hgepcN4fzL660nxJnBbUHKK3XL0P5B5px0dlnFZJvLVQ+9IPyy7ARD3uHg==" saltValue="g5xXFreHCMXadfVWGFC65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XM5rYh7cigGlFN5SnAIaqjRNjNt0Oi6xjFQbvSMEvrFhHaH80Kjr1eO1dsultV1NLRDXPM/gI596sn3sTSG9Fw==" saltValue="d21njzWHTgP8WkgTJKOpZ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2024-05-16T23:28:33Z</dcterms:modified>
</cp:coreProperties>
</file>