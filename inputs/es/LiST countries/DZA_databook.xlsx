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2854CB13-337C-428A-8F0C-D9927126BF6E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5" i="2" l="1"/>
  <c r="A26" i="2"/>
  <c r="I9" i="2"/>
  <c r="I13" i="2"/>
  <c r="A31" i="2"/>
  <c r="I2" i="2"/>
  <c r="I6" i="2"/>
  <c r="A19" i="2"/>
  <c r="A35" i="2"/>
  <c r="A40" i="2"/>
  <c r="A22" i="2"/>
  <c r="A36" i="2"/>
  <c r="A34" i="2"/>
  <c r="I3" i="2"/>
  <c r="I7" i="2"/>
  <c r="I11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<sst xmlns="http://schemas.openxmlformats.org/spreadsheetml/2006/main" count="2159" uniqueCount="372">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</sst>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4632995.5</v>
      </c>
    </row>
    <row r="8" spans="1:3" ht="15" customHeight="1" x14ac:dyDescent="0.25">
      <c r="B8" s="5" t="s">
        <v>63</v>
      </c>
      <c r="C8" s="44">
        <v>1.4999999999999999E-2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0.68451698300000008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0.22800000000000001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2.9899999999999999E-2</v>
      </c>
    </row>
    <row r="24" spans="1:3" ht="15" customHeight="1" x14ac:dyDescent="0.25">
      <c r="B24" s="15" t="s">
        <v>65</v>
      </c>
      <c r="C24" s="45">
        <v>0.41</v>
      </c>
    </row>
    <row r="25" spans="1:3" ht="15" customHeight="1" x14ac:dyDescent="0.25">
      <c r="B25" s="15" t="s">
        <v>66</v>
      </c>
      <c r="C25" s="45">
        <v>0.46339999999999998</v>
      </c>
    </row>
    <row r="26" spans="1:3" ht="15" customHeight="1" x14ac:dyDescent="0.25">
      <c r="B26" s="15" t="s">
        <v>67</v>
      </c>
      <c r="C26" s="45">
        <v>9.6699999999999994E-2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0.31611757185067002</v>
      </c>
    </row>
    <row r="30" spans="1:3" ht="14.25" customHeight="1" x14ac:dyDescent="0.25">
      <c r="B30" s="25" t="s">
        <v>82</v>
      </c>
      <c r="C30" s="99">
        <v>5.6193137427978712E-2</v>
      </c>
    </row>
    <row r="31" spans="1:3" ht="14.25" customHeight="1" x14ac:dyDescent="0.25">
      <c r="B31" s="25" t="s">
        <v>29</v>
      </c>
      <c r="C31" s="99">
        <v>7.8032026225336698E-2</v>
      </c>
    </row>
    <row r="32" spans="1:3" ht="14.25" customHeight="1" x14ac:dyDescent="0.25">
      <c r="B32" s="25" t="s">
        <v>30</v>
      </c>
      <c r="C32" s="99">
        <v>0.54965726449601493</v>
      </c>
    </row>
    <row r="33" spans="1:5" ht="13.25" customHeight="1" x14ac:dyDescent="0.25">
      <c r="B33" s="27" t="s">
        <v>79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15.6492</v>
      </c>
    </row>
    <row r="38" spans="1:5" ht="15" customHeight="1" x14ac:dyDescent="0.25">
      <c r="B38" s="11" t="s">
        <v>54</v>
      </c>
      <c r="C38" s="43">
        <v>19.16029</v>
      </c>
      <c r="D38" s="12"/>
      <c r="E38" s="13"/>
    </row>
    <row r="39" spans="1:5" ht="15" customHeight="1" x14ac:dyDescent="0.25">
      <c r="B39" s="11" t="s">
        <v>80</v>
      </c>
      <c r="C39" s="43">
        <v>22.335290000000001</v>
      </c>
      <c r="D39" s="12"/>
      <c r="E39" s="12"/>
    </row>
    <row r="40" spans="1:5" ht="15" customHeight="1" x14ac:dyDescent="0.25">
      <c r="B40" s="11" t="s">
        <v>55</v>
      </c>
      <c r="C40" s="100">
        <v>0.78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9.8190000000000008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7.5297000000000003E-3</v>
      </c>
      <c r="D45" s="12"/>
    </row>
    <row r="46" spans="1:5" ht="15.75" customHeight="1" x14ac:dyDescent="0.25">
      <c r="B46" s="11" t="s">
        <v>70</v>
      </c>
      <c r="C46" s="45">
        <v>8.0905199999999997E-2</v>
      </c>
      <c r="D46" s="12"/>
    </row>
    <row r="47" spans="1:5" ht="15.75" customHeight="1" x14ac:dyDescent="0.25">
      <c r="B47" s="11" t="s">
        <v>78</v>
      </c>
      <c r="C47" s="45">
        <v>7.3840299999999998E-2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2.9</v>
      </c>
      <c r="D51" s="12"/>
    </row>
    <row r="52" spans="1:4" ht="15" customHeight="1" x14ac:dyDescent="0.25">
      <c r="B52" s="11" t="s">
        <v>32</v>
      </c>
      <c r="C52" s="100">
        <v>2.9</v>
      </c>
    </row>
    <row r="53" spans="1:4" ht="15.75" customHeight="1" x14ac:dyDescent="0.25">
      <c r="B53" s="11" t="s">
        <v>35</v>
      </c>
      <c r="C53" s="100">
        <v>2.9</v>
      </c>
    </row>
    <row r="54" spans="1:4" ht="15.75" customHeight="1" x14ac:dyDescent="0.25">
      <c r="B54" s="11" t="s">
        <v>33</v>
      </c>
      <c r="C54" s="100">
        <v>2.9</v>
      </c>
    </row>
    <row r="55" spans="1:4" ht="15.75" customHeight="1" x14ac:dyDescent="0.25">
      <c r="B55" s="11" t="s">
        <v>34</v>
      </c>
      <c r="C55" s="100">
        <v>2.9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2.0689655172413789E-2</v>
      </c>
    </row>
    <row r="59" spans="1:4" ht="15.75" customHeight="1" x14ac:dyDescent="0.25">
      <c r="B59" s="11" t="s">
        <v>59</v>
      </c>
      <c r="C59" s="45">
        <v>0.57310400000000006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7.2524920000000007E-2</v>
      </c>
    </row>
    <row r="63" spans="1:4" ht="15.75" customHeight="1" x14ac:dyDescent="0.3">
      <c r="A63" s="4"/>
    </row>
  </sheetData>
  <sheetProtection algorithmName="SHA-512" hashValue="ymZVgOiO3vIPKvbzpw8jBYp9WzC7Tu6VS75eW6ia0xusQ+PcQhAh36VBMBsgDqe+tMf90aidEJADVsB4ouHMCg==" saltValue="AAOQtjiyUFraOMm4xmt6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881823</v>
      </c>
      <c r="C2" s="49">
        <v>1788486</v>
      </c>
      <c r="D2" s="49">
        <v>2903103</v>
      </c>
      <c r="E2" s="49">
        <v>3496855</v>
      </c>
      <c r="F2" s="49">
        <v>3176006.5</v>
      </c>
      <c r="G2" s="17">
        <f t="shared" ref="G2:G13" si="0">C2+D2+E2+F2</f>
        <v>11364450.5</v>
      </c>
      <c r="H2" s="17">
        <f t="shared" ref="H2:H13" si="1">(B2 + stillbirth*B2/(1000-stillbirth))/(1-abortion)</f>
        <v>1012008.5023940986</v>
      </c>
      <c r="I2" s="17">
        <f t="shared" ref="I2:I13" si="2">G2-H2</f>
        <v>10352441.997605901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855432</v>
      </c>
      <c r="C3" s="50">
        <v>1880737.5</v>
      </c>
      <c r="D3" s="50">
        <v>2896263</v>
      </c>
      <c r="E3" s="50">
        <v>3447368.0000000005</v>
      </c>
      <c r="F3" s="50">
        <v>3265149</v>
      </c>
      <c r="G3" s="17">
        <f t="shared" si="0"/>
        <v>11489517.5</v>
      </c>
      <c r="H3" s="17">
        <f t="shared" si="1"/>
        <v>981721.34001946938</v>
      </c>
      <c r="I3" s="17">
        <f t="shared" si="2"/>
        <v>10507796.15998053</v>
      </c>
    </row>
    <row r="4" spans="1:9" ht="15.75" customHeight="1" x14ac:dyDescent="0.25">
      <c r="A4" s="5">
        <f t="shared" si="3"/>
        <v>2026</v>
      </c>
      <c r="B4" s="49">
        <v>832197</v>
      </c>
      <c r="C4" s="50">
        <v>1968716.5</v>
      </c>
      <c r="D4" s="50">
        <v>2916550</v>
      </c>
      <c r="E4" s="50">
        <v>3388261.4999999995</v>
      </c>
      <c r="F4" s="50">
        <v>3345870</v>
      </c>
      <c r="G4" s="17">
        <f t="shared" si="0"/>
        <v>11619398</v>
      </c>
      <c r="H4" s="17">
        <f t="shared" si="1"/>
        <v>955056.10498576425</v>
      </c>
      <c r="I4" s="17">
        <f t="shared" si="2"/>
        <v>10664341.895014236</v>
      </c>
    </row>
    <row r="5" spans="1:9" ht="15.75" customHeight="1" x14ac:dyDescent="0.25">
      <c r="A5" s="5">
        <f t="shared" si="3"/>
        <v>2027</v>
      </c>
      <c r="B5" s="49">
        <v>811548</v>
      </c>
      <c r="C5" s="50">
        <v>2055652.5000000002</v>
      </c>
      <c r="D5" s="50">
        <v>2965857.5</v>
      </c>
      <c r="E5" s="50">
        <v>3320935.5</v>
      </c>
      <c r="F5" s="50">
        <v>3414471.9999999995</v>
      </c>
      <c r="G5" s="17">
        <f t="shared" si="0"/>
        <v>11756917.5</v>
      </c>
      <c r="H5" s="17">
        <f t="shared" si="1"/>
        <v>931358.64691772149</v>
      </c>
      <c r="I5" s="17">
        <f t="shared" si="2"/>
        <v>10825558.853082279</v>
      </c>
    </row>
    <row r="6" spans="1:9" ht="15.75" customHeight="1" x14ac:dyDescent="0.25">
      <c r="A6" s="5">
        <f t="shared" si="3"/>
        <v>2028</v>
      </c>
      <c r="B6" s="49">
        <v>794567</v>
      </c>
      <c r="C6" s="50">
        <v>2137849</v>
      </c>
      <c r="D6" s="50">
        <v>3053031</v>
      </c>
      <c r="E6" s="50">
        <v>3240166</v>
      </c>
      <c r="F6" s="50">
        <v>3467769.5</v>
      </c>
      <c r="G6" s="17">
        <f t="shared" si="0"/>
        <v>11898815.5</v>
      </c>
      <c r="H6" s="17">
        <f t="shared" si="1"/>
        <v>911870.70389610121</v>
      </c>
      <c r="I6" s="17">
        <f t="shared" si="2"/>
        <v>10986944.796103898</v>
      </c>
    </row>
    <row r="7" spans="1:9" ht="15.75" customHeight="1" x14ac:dyDescent="0.25">
      <c r="A7" s="5">
        <f t="shared" si="3"/>
        <v>2029</v>
      </c>
      <c r="B7" s="49">
        <v>781454</v>
      </c>
      <c r="C7" s="50">
        <v>2215097</v>
      </c>
      <c r="D7" s="50">
        <v>3169618.9999999995</v>
      </c>
      <c r="E7" s="50">
        <v>3152711.0000000005</v>
      </c>
      <c r="F7" s="50">
        <v>3503781.5</v>
      </c>
      <c r="G7" s="17">
        <f t="shared" si="0"/>
        <v>12041208.5</v>
      </c>
      <c r="H7" s="17">
        <f t="shared" si="1"/>
        <v>896821.80236836406</v>
      </c>
      <c r="I7" s="17">
        <f t="shared" si="2"/>
        <v>11144386.697631637</v>
      </c>
    </row>
    <row r="8" spans="1:9" ht="15.75" customHeight="1" x14ac:dyDescent="0.25">
      <c r="A8" s="5">
        <f t="shared" si="3"/>
        <v>2030</v>
      </c>
      <c r="B8" s="49">
        <v>771716</v>
      </c>
      <c r="C8" s="50">
        <v>2289872</v>
      </c>
      <c r="D8" s="50">
        <v>3297386.9999999995</v>
      </c>
      <c r="E8" s="50">
        <v>3073944</v>
      </c>
      <c r="F8" s="50">
        <v>3522340</v>
      </c>
      <c r="G8" s="17">
        <f t="shared" si="0"/>
        <v>12183543</v>
      </c>
      <c r="H8" s="17">
        <f t="shared" si="1"/>
        <v>885646.15964152012</v>
      </c>
      <c r="I8" s="17">
        <f t="shared" si="2"/>
        <v>11297896.840358481</v>
      </c>
    </row>
    <row r="9" spans="1:9" ht="15.75" customHeight="1" x14ac:dyDescent="0.25">
      <c r="A9" s="5">
        <f t="shared" si="3"/>
        <v>2031</v>
      </c>
      <c r="B9" s="49">
        <v>764881</v>
      </c>
      <c r="C9" s="50">
        <v>2355492.5</v>
      </c>
      <c r="D9" s="50">
        <v>3435498</v>
      </c>
      <c r="E9" s="50">
        <v>3004677.5</v>
      </c>
      <c r="F9" s="50">
        <v>3524365</v>
      </c>
      <c r="G9" s="17">
        <f t="shared" si="0"/>
        <v>12320033</v>
      </c>
      <c r="H9" s="17">
        <f t="shared" si="1"/>
        <v>877802.09329956293</v>
      </c>
      <c r="I9" s="17">
        <f t="shared" si="2"/>
        <v>11442230.906700438</v>
      </c>
    </row>
    <row r="10" spans="1:9" ht="15.75" customHeight="1" x14ac:dyDescent="0.25">
      <c r="A10" s="5">
        <f t="shared" si="3"/>
        <v>2032</v>
      </c>
      <c r="B10" s="49">
        <v>761645</v>
      </c>
      <c r="C10" s="50">
        <v>2405038</v>
      </c>
      <c r="D10" s="50">
        <v>3593161.5</v>
      </c>
      <c r="E10" s="50">
        <v>2942028.5000000005</v>
      </c>
      <c r="F10" s="50">
        <v>3512143</v>
      </c>
      <c r="G10" s="17">
        <f t="shared" si="0"/>
        <v>12452371</v>
      </c>
      <c r="H10" s="17">
        <f t="shared" si="1"/>
        <v>874088.35537965468</v>
      </c>
      <c r="I10" s="17">
        <f t="shared" si="2"/>
        <v>11578282.644620346</v>
      </c>
    </row>
    <row r="11" spans="1:9" ht="15.75" customHeight="1" x14ac:dyDescent="0.25">
      <c r="A11" s="5">
        <f t="shared" si="3"/>
        <v>2033</v>
      </c>
      <c r="B11" s="49">
        <v>762903</v>
      </c>
      <c r="C11" s="50">
        <v>2434536.5</v>
      </c>
      <c r="D11" s="50">
        <v>3762397.5</v>
      </c>
      <c r="E11" s="50">
        <v>2890836.5</v>
      </c>
      <c r="F11" s="50">
        <v>3487440.4999999995</v>
      </c>
      <c r="G11" s="17">
        <f t="shared" si="0"/>
        <v>12575211</v>
      </c>
      <c r="H11" s="17">
        <f t="shared" si="1"/>
        <v>875532.07673418021</v>
      </c>
      <c r="I11" s="17">
        <f t="shared" si="2"/>
        <v>11699678.92326582</v>
      </c>
    </row>
    <row r="12" spans="1:9" ht="15.75" customHeight="1" x14ac:dyDescent="0.25">
      <c r="A12" s="5">
        <f t="shared" si="3"/>
        <v>2034</v>
      </c>
      <c r="B12" s="49">
        <v>768066</v>
      </c>
      <c r="C12" s="50">
        <v>2442917.5</v>
      </c>
      <c r="D12" s="50">
        <v>3931813</v>
      </c>
      <c r="E12" s="50">
        <v>2859976.4999999995</v>
      </c>
      <c r="F12" s="50">
        <v>3450396.5</v>
      </c>
      <c r="G12" s="17">
        <f t="shared" si="0"/>
        <v>12685103.5</v>
      </c>
      <c r="H12" s="17">
        <f t="shared" si="1"/>
        <v>881457.30197536887</v>
      </c>
      <c r="I12" s="17">
        <f t="shared" si="2"/>
        <v>11803646.198024631</v>
      </c>
    </row>
    <row r="13" spans="1:9" ht="15.75" customHeight="1" x14ac:dyDescent="0.25">
      <c r="A13" s="5">
        <f t="shared" si="3"/>
        <v>2035</v>
      </c>
      <c r="B13" s="49">
        <v>774693</v>
      </c>
      <c r="C13" s="50">
        <v>2430334</v>
      </c>
      <c r="D13" s="50">
        <v>4099318.5000000005</v>
      </c>
      <c r="E13" s="50">
        <v>2854082.0000000005</v>
      </c>
      <c r="F13" s="50">
        <v>3402393</v>
      </c>
      <c r="G13" s="17">
        <f t="shared" si="0"/>
        <v>12786127.5</v>
      </c>
      <c r="H13" s="17">
        <f t="shared" si="1"/>
        <v>889062.66081196733</v>
      </c>
      <c r="I13" s="17">
        <f t="shared" si="2"/>
        <v>11897064.839188032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CffaX1NLcVMPHL5GEni+24hcjqJTlTbkx7lveLyIOg92kjYlKQKdVAIKRId1M1buSISpAHoAGoW2pfJ2Qp3ahg==" saltValue="zSJXqjri4F94dngxxdT+c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5.0001989999601919E-3</v>
      </c>
    </row>
    <row r="4" spans="1:8" ht="15.75" customHeight="1" x14ac:dyDescent="0.25">
      <c r="B4" s="19" t="s">
        <v>116</v>
      </c>
      <c r="C4" s="101">
        <v>4.3378791324241689E-2</v>
      </c>
    </row>
    <row r="5" spans="1:8" ht="15.75" customHeight="1" x14ac:dyDescent="0.25">
      <c r="B5" s="19" t="s">
        <v>114</v>
      </c>
      <c r="C5" s="101">
        <v>4.3428391314321607E-2</v>
      </c>
    </row>
    <row r="6" spans="1:8" ht="15.75" customHeight="1" x14ac:dyDescent="0.25">
      <c r="B6" s="19" t="s">
        <v>110</v>
      </c>
      <c r="C6" s="101">
        <v>0.20442915911416809</v>
      </c>
    </row>
    <row r="7" spans="1:8" ht="15.75" customHeight="1" x14ac:dyDescent="0.25">
      <c r="B7" s="19" t="s">
        <v>115</v>
      </c>
      <c r="C7" s="101">
        <v>0.44831191033761802</v>
      </c>
    </row>
    <row r="8" spans="1:8" ht="15.75" customHeight="1" x14ac:dyDescent="0.25">
      <c r="B8" s="19" t="s">
        <v>117</v>
      </c>
      <c r="C8" s="101">
        <v>6.1679987664002426E-4</v>
      </c>
    </row>
    <row r="9" spans="1:8" ht="15.75" customHeight="1" x14ac:dyDescent="0.25">
      <c r="B9" s="19" t="s">
        <v>111</v>
      </c>
      <c r="C9" s="101">
        <v>0.16549056690188679</v>
      </c>
    </row>
    <row r="10" spans="1:8" ht="15.75" customHeight="1" x14ac:dyDescent="0.25">
      <c r="B10" s="19" t="s">
        <v>113</v>
      </c>
      <c r="C10" s="101">
        <v>8.9344182131163408E-2</v>
      </c>
    </row>
    <row r="11" spans="1:8" ht="15.75" customHeight="1" x14ac:dyDescent="0.25">
      <c r="B11" s="27" t="s">
        <v>79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7.022475265492524E-2</v>
      </c>
      <c r="D14" s="55">
        <v>7.022475265492524E-2</v>
      </c>
      <c r="E14" s="55">
        <v>7.022475265492524E-2</v>
      </c>
      <c r="F14" s="55">
        <v>7.022475265492524E-2</v>
      </c>
    </row>
    <row r="15" spans="1:8" ht="15.75" customHeight="1" x14ac:dyDescent="0.25">
      <c r="B15" s="19" t="s">
        <v>121</v>
      </c>
      <c r="C15" s="101">
        <v>0.30976529888450999</v>
      </c>
      <c r="D15" s="101">
        <v>0.30976529888450999</v>
      </c>
      <c r="E15" s="101">
        <v>0.30976529888450999</v>
      </c>
      <c r="F15" s="101">
        <v>0.30976529888450999</v>
      </c>
    </row>
    <row r="16" spans="1:8" ht="15.75" customHeight="1" x14ac:dyDescent="0.25">
      <c r="B16" s="19" t="s">
        <v>2</v>
      </c>
      <c r="C16" s="101">
        <v>1.6170295772139381E-2</v>
      </c>
      <c r="D16" s="101">
        <v>1.6170295772139381E-2</v>
      </c>
      <c r="E16" s="101">
        <v>1.6170295772139381E-2</v>
      </c>
      <c r="F16" s="101">
        <v>1.6170295772139381E-2</v>
      </c>
    </row>
    <row r="17" spans="1:8" ht="15.75" customHeight="1" x14ac:dyDescent="0.25">
      <c r="B17" s="19" t="s">
        <v>109</v>
      </c>
      <c r="C17" s="101">
        <v>1.4909933056514699E-2</v>
      </c>
      <c r="D17" s="101">
        <v>1.4909933056514699E-2</v>
      </c>
      <c r="E17" s="101">
        <v>1.4909933056514699E-2</v>
      </c>
      <c r="F17" s="101">
        <v>1.4909933056514699E-2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4.5015377709708093E-2</v>
      </c>
      <c r="D19" s="101">
        <v>4.5015377709708093E-2</v>
      </c>
      <c r="E19" s="101">
        <v>4.5015377709708093E-2</v>
      </c>
      <c r="F19" s="101">
        <v>4.5015377709708093E-2</v>
      </c>
    </row>
    <row r="20" spans="1:8" ht="15.75" customHeight="1" x14ac:dyDescent="0.25">
      <c r="B20" s="19" t="s">
        <v>98</v>
      </c>
      <c r="C20" s="101">
        <v>2.1004483575327339E-2</v>
      </c>
      <c r="D20" s="101">
        <v>2.1004483575327339E-2</v>
      </c>
      <c r="E20" s="101">
        <v>2.1004483575327339E-2</v>
      </c>
      <c r="F20" s="101">
        <v>2.1004483575327339E-2</v>
      </c>
    </row>
    <row r="21" spans="1:8" ht="15.75" customHeight="1" x14ac:dyDescent="0.25">
      <c r="B21" s="19" t="s">
        <v>107</v>
      </c>
      <c r="C21" s="101">
        <v>0.32989175281618099</v>
      </c>
      <c r="D21" s="101">
        <v>0.32989175281618099</v>
      </c>
      <c r="E21" s="101">
        <v>0.32989175281618099</v>
      </c>
      <c r="F21" s="101">
        <v>0.32989175281618099</v>
      </c>
    </row>
    <row r="22" spans="1:8" ht="15.75" customHeight="1" x14ac:dyDescent="0.25">
      <c r="B22" s="19" t="s">
        <v>118</v>
      </c>
      <c r="C22" s="101">
        <v>0.1930181055306941</v>
      </c>
      <c r="D22" s="101">
        <v>0.1930181055306941</v>
      </c>
      <c r="E22" s="101">
        <v>0.1930181055306941</v>
      </c>
      <c r="F22" s="101">
        <v>0.1930181055306941</v>
      </c>
    </row>
    <row r="23" spans="1:8" ht="15.75" customHeight="1" x14ac:dyDescent="0.25">
      <c r="B23" s="27" t="s">
        <v>79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4.6172718000000001E-2</v>
      </c>
    </row>
    <row r="27" spans="1:8" ht="15.75" customHeight="1" x14ac:dyDescent="0.25">
      <c r="B27" s="19" t="s">
        <v>108</v>
      </c>
      <c r="C27" s="101">
        <v>2.7233671000000001E-2</v>
      </c>
    </row>
    <row r="28" spans="1:8" ht="15.75" customHeight="1" x14ac:dyDescent="0.25">
      <c r="B28" s="19" t="s">
        <v>122</v>
      </c>
      <c r="C28" s="101">
        <v>0.19299803300000001</v>
      </c>
    </row>
    <row r="29" spans="1:8" ht="15.75" customHeight="1" x14ac:dyDescent="0.25">
      <c r="B29" s="19" t="s">
        <v>105</v>
      </c>
      <c r="C29" s="101">
        <v>0.151217407</v>
      </c>
    </row>
    <row r="30" spans="1:8" ht="15.75" customHeight="1" x14ac:dyDescent="0.25">
      <c r="B30" s="19" t="s">
        <v>4</v>
      </c>
      <c r="C30" s="101">
        <v>5.0257797E-2</v>
      </c>
    </row>
    <row r="31" spans="1:8" ht="15.75" customHeight="1" x14ac:dyDescent="0.25">
      <c r="B31" s="19" t="s">
        <v>99</v>
      </c>
      <c r="C31" s="101">
        <v>3.0332997E-2</v>
      </c>
    </row>
    <row r="32" spans="1:8" ht="15.75" customHeight="1" x14ac:dyDescent="0.25">
      <c r="B32" s="19" t="s">
        <v>104</v>
      </c>
      <c r="C32" s="101">
        <v>8.4368242999999996E-2</v>
      </c>
    </row>
    <row r="33" spans="2:3" ht="15.75" customHeight="1" x14ac:dyDescent="0.25">
      <c r="B33" s="19" t="s">
        <v>119</v>
      </c>
      <c r="C33" s="101">
        <v>0.169902637</v>
      </c>
    </row>
    <row r="34" spans="2:3" ht="15.75" customHeight="1" x14ac:dyDescent="0.25">
      <c r="B34" s="19" t="s">
        <v>106</v>
      </c>
      <c r="C34" s="101">
        <v>0.247516497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4xEpaeAOV7vb4zc1dQ2BmPYEju+br1LA0hZ5wuH/XyPOGRUxZ1E16O9szmZox+aH9F4J4viBx6j5IZLS5czeqQ==" saltValue="pfDx8Ya9AM0Qob9vkMi5K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0.61918496408693291</v>
      </c>
      <c r="D2" s="52">
        <f>IFERROR(1-_xlfn.NORM.DIST(_xlfn.NORM.INV(SUM(D4:D5), 0, 1) + 1, 0, 1, TRUE), "")</f>
        <v>0.61918496408693291</v>
      </c>
      <c r="E2" s="52">
        <f>IFERROR(1-_xlfn.NORM.DIST(_xlfn.NORM.INV(SUM(E4:E5), 0, 1) + 1, 0, 1, TRUE), "")</f>
        <v>0.68153802984619016</v>
      </c>
      <c r="F2" s="52">
        <f>IFERROR(1-_xlfn.NORM.DIST(_xlfn.NORM.INV(SUM(F4:F5), 0, 1) + 1, 0, 1, TRUE), "")</f>
        <v>0.60842463489257459</v>
      </c>
      <c r="G2" s="52">
        <f>IFERROR(1-_xlfn.NORM.DIST(_xlfn.NORM.INV(SUM(G4:G5), 0, 1) + 1, 0, 1, TRUE), "")</f>
        <v>0.60691762186329989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0.28458583591306713</v>
      </c>
      <c r="D3" s="52">
        <f>IFERROR(_xlfn.NORM.DIST(_xlfn.NORM.INV(SUM(D4:D5), 0, 1) + 1, 0, 1, TRUE) - SUM(D4:D5), "")</f>
        <v>0.28458583591306713</v>
      </c>
      <c r="E3" s="52">
        <f>IFERROR(_xlfn.NORM.DIST(_xlfn.NORM.INV(SUM(E4:E5), 0, 1) + 1, 0, 1, TRUE) - SUM(E4:E5), "")</f>
        <v>0.24795207015380982</v>
      </c>
      <c r="F3" s="52">
        <f>IFERROR(_xlfn.NORM.DIST(_xlfn.NORM.INV(SUM(F4:F5), 0, 1) + 1, 0, 1, TRUE) - SUM(F4:F5), "")</f>
        <v>0.29045886510742547</v>
      </c>
      <c r="G3" s="52">
        <f>IFERROR(_xlfn.NORM.DIST(_xlfn.NORM.INV(SUM(G4:G5), 0, 1) + 1, 0, 1, TRUE) - SUM(G4:G5), "")</f>
        <v>0.29127037813670004</v>
      </c>
    </row>
    <row r="4" spans="1:15" ht="15.75" customHeight="1" x14ac:dyDescent="0.25">
      <c r="B4" s="5" t="s">
        <v>129</v>
      </c>
      <c r="C4" s="45">
        <v>5.4518200000000003E-2</v>
      </c>
      <c r="D4" s="53">
        <v>5.4518200000000003E-2</v>
      </c>
      <c r="E4" s="53">
        <v>4.9874099999999998E-2</v>
      </c>
      <c r="F4" s="53">
        <v>6.2763600000000003E-2</v>
      </c>
      <c r="G4" s="53">
        <v>6.7714499999999997E-2</v>
      </c>
    </row>
    <row r="5" spans="1:15" ht="15.75" customHeight="1" x14ac:dyDescent="0.25">
      <c r="B5" s="5" t="s">
        <v>125</v>
      </c>
      <c r="C5" s="45">
        <v>4.1710999999999998E-2</v>
      </c>
      <c r="D5" s="53">
        <v>4.1710999999999998E-2</v>
      </c>
      <c r="E5" s="53">
        <v>2.0635799999999999E-2</v>
      </c>
      <c r="F5" s="53">
        <v>3.8352900000000002E-2</v>
      </c>
      <c r="G5" s="53">
        <v>3.4097500000000003E-2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0.65703967577082956</v>
      </c>
      <c r="D8" s="52">
        <f>IFERROR(1-_xlfn.NORM.DIST(_xlfn.NORM.INV(SUM(D10:D11), 0, 1) + 1, 0, 1, TRUE), "")</f>
        <v>0.65703967577082956</v>
      </c>
      <c r="E8" s="52">
        <f>IFERROR(1-_xlfn.NORM.DIST(_xlfn.NORM.INV(SUM(E10:E11), 0, 1) + 1, 0, 1, TRUE), "")</f>
        <v>0.73569867693893731</v>
      </c>
      <c r="F8" s="52">
        <f>IFERROR(1-_xlfn.NORM.DIST(_xlfn.NORM.INV(SUM(F10:F11), 0, 1) + 1, 0, 1, TRUE), "")</f>
        <v>0.84026586290830652</v>
      </c>
      <c r="G8" s="52">
        <f>IFERROR(1-_xlfn.NORM.DIST(_xlfn.NORM.INV(SUM(G10:G11), 0, 1) + 1, 0, 1, TRUE), "")</f>
        <v>0.87141162635659608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0.26286002422917043</v>
      </c>
      <c r="D9" s="52">
        <f>IFERROR(_xlfn.NORM.DIST(_xlfn.NORM.INV(SUM(D10:D11), 0, 1) + 1, 0, 1, TRUE) - SUM(D10:D11), "")</f>
        <v>0.26286002422917043</v>
      </c>
      <c r="E9" s="52">
        <f>IFERROR(_xlfn.NORM.DIST(_xlfn.NORM.INV(SUM(E10:E11), 0, 1) + 1, 0, 1, TRUE) - SUM(E10:E11), "")</f>
        <v>0.21276542306106264</v>
      </c>
      <c r="F9" s="52">
        <f>IFERROR(_xlfn.NORM.DIST(_xlfn.NORM.INV(SUM(F10:F11), 0, 1) + 1, 0, 1, TRUE) - SUM(F10:F11), "")</f>
        <v>0.13674273709169349</v>
      </c>
      <c r="G9" s="52">
        <f>IFERROR(_xlfn.NORM.DIST(_xlfn.NORM.INV(SUM(G10:G11), 0, 1) + 1, 0, 1, TRUE) - SUM(G10:G11), "")</f>
        <v>0.11212967364340393</v>
      </c>
    </row>
    <row r="10" spans="1:15" ht="15.75" customHeight="1" x14ac:dyDescent="0.25">
      <c r="B10" s="5" t="s">
        <v>126</v>
      </c>
      <c r="C10" s="45">
        <v>3.4247699999999999E-2</v>
      </c>
      <c r="D10" s="53">
        <v>3.4247699999999999E-2</v>
      </c>
      <c r="E10" s="53">
        <v>2.76309E-2</v>
      </c>
      <c r="F10" s="53">
        <v>9.0066E-3</v>
      </c>
      <c r="G10" s="53">
        <v>1.0793000000000001E-2</v>
      </c>
    </row>
    <row r="11" spans="1:15" ht="15.75" customHeight="1" x14ac:dyDescent="0.25">
      <c r="B11" s="5" t="s">
        <v>138</v>
      </c>
      <c r="C11" s="45">
        <v>4.58526E-2</v>
      </c>
      <c r="D11" s="53">
        <v>4.58526E-2</v>
      </c>
      <c r="E11" s="53">
        <v>2.3904999999999999E-2</v>
      </c>
      <c r="F11" s="53">
        <v>1.39848E-2</v>
      </c>
      <c r="G11" s="53">
        <v>5.6657000000000001E-3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0.28899526175000001</v>
      </c>
      <c r="D14" s="54">
        <v>0.28268390162099999</v>
      </c>
      <c r="E14" s="54">
        <v>0.28268390162099999</v>
      </c>
      <c r="F14" s="54">
        <v>0.22708991540500001</v>
      </c>
      <c r="G14" s="54">
        <v>0.22708991540500001</v>
      </c>
      <c r="H14" s="45">
        <v>0.38900000000000001</v>
      </c>
      <c r="I14" s="55">
        <v>0.38900000000000001</v>
      </c>
      <c r="J14" s="55">
        <v>0.38900000000000001</v>
      </c>
      <c r="K14" s="55">
        <v>0.38900000000000001</v>
      </c>
      <c r="L14" s="45">
        <v>0.35499999999999998</v>
      </c>
      <c r="M14" s="55">
        <v>0.35499999999999998</v>
      </c>
      <c r="N14" s="55">
        <v>0.35499999999999998</v>
      </c>
      <c r="O14" s="55">
        <v>0.35499999999999998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0.16562434048997202</v>
      </c>
      <c r="D15" s="52">
        <f t="shared" si="0"/>
        <v>0.16200727475460158</v>
      </c>
      <c r="E15" s="52">
        <f t="shared" si="0"/>
        <v>0.16200727475460158</v>
      </c>
      <c r="F15" s="52">
        <f t="shared" si="0"/>
        <v>0.13014613887826715</v>
      </c>
      <c r="G15" s="52">
        <f t="shared" si="0"/>
        <v>0.13014613887826715</v>
      </c>
      <c r="H15" s="52">
        <f t="shared" si="0"/>
        <v>0.22293745600000003</v>
      </c>
      <c r="I15" s="52">
        <f t="shared" si="0"/>
        <v>0.22293745600000003</v>
      </c>
      <c r="J15" s="52">
        <f t="shared" si="0"/>
        <v>0.22293745600000003</v>
      </c>
      <c r="K15" s="52">
        <f t="shared" si="0"/>
        <v>0.22293745600000003</v>
      </c>
      <c r="L15" s="52">
        <f t="shared" si="0"/>
        <v>0.20345192000000001</v>
      </c>
      <c r="M15" s="52">
        <f t="shared" si="0"/>
        <v>0.20345192000000001</v>
      </c>
      <c r="N15" s="52">
        <f t="shared" si="0"/>
        <v>0.20345192000000001</v>
      </c>
      <c r="O15" s="52">
        <f t="shared" si="0"/>
        <v>0.20345192000000001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DF/eN815Ps7/GhihnhiK/6T/T5nPjbNznWj2BrbNH8lTajv+c/MHbnLCUE23shOMPF0OHKfdYGgCJ4WDtYXvCg==" saltValue="n6/NeDUgv51CQ7qnqgHq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0.48628440000000001</v>
      </c>
      <c r="D2" s="53">
        <v>0.25397140000000001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0.26631909999999998</v>
      </c>
      <c r="D3" s="53">
        <v>0.19622300000000001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0.15732409999999999</v>
      </c>
      <c r="D4" s="53">
        <v>0.33420899999999998</v>
      </c>
      <c r="E4" s="53">
        <v>0.58247979999999999</v>
      </c>
      <c r="F4" s="53">
        <v>0.367145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9.0072400000000052E-2</v>
      </c>
      <c r="D5" s="52">
        <f t="shared" si="0"/>
        <v>0.21559660000000003</v>
      </c>
      <c r="E5" s="52">
        <f>1-SUM(E2:E4)</f>
        <v>0.41752020000000001</v>
      </c>
      <c r="F5" s="52">
        <f>1-SUM(F2:F4)</f>
        <v>0.63285499999999995</v>
      </c>
      <c r="G5" s="52">
        <f>1-SUM(G2:G4)</f>
        <v>1</v>
      </c>
    </row>
  </sheetData>
  <sheetProtection algorithmName="SHA-512" hashValue="WIwBfgeiWq2yfENqTVR8IPU1H77XRqwGbDpZt5AAlCq/XkbYC6JhWVSOkaKOVpMdXAoDYLqmwL5VDTSiw+MQWw==" saltValue="nl6YI4P4TAWiHeouTHB72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I/3Pj5YBXlEsygVooXu92MhvmprnHBu1C/Irdb/ftXB38DN11YzMP5RTGe11AgWTsq27BkNjDwdILL4zYCdGNg==" saltValue="b++SA7ktOt1PjwRtm1ogF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4342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0.35038000000000002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0.18049999999999999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1.5064160944352943E-2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97717.044450000001</v>
      </c>
      <c r="C22" s="109">
        <v>97553.420639999997</v>
      </c>
      <c r="D22" s="109">
        <v>97389.974860000002</v>
      </c>
      <c r="E22" s="109">
        <v>97144.307820000002</v>
      </c>
      <c r="F22" s="109">
        <v>96805.3891</v>
      </c>
      <c r="G22" s="109">
        <v>96441.235690000001</v>
      </c>
      <c r="H22" s="109">
        <v>95999.837249999997</v>
      </c>
      <c r="I22" s="109">
        <v>95427.389970000004</v>
      </c>
      <c r="J22" s="109">
        <v>94651.594500000007</v>
      </c>
      <c r="K22" s="109">
        <v>93544.66128</v>
      </c>
      <c r="L22" s="109">
        <v>91886.019469999999</v>
      </c>
      <c r="M22" s="109">
        <v>89439.137149999995</v>
      </c>
      <c r="N22" s="109">
        <v>85459.144130000001</v>
      </c>
      <c r="O22" s="109">
        <v>79760.902249999999</v>
      </c>
    </row>
  </sheetData>
  <sheetProtection algorithmName="SHA-512" hashValue="JvXx7ezviixWpVjHc/U89BO+/pJaVycauSlKN6vHEQ+QNgwyd9/267B4GUi5hdNDOwdw4I+qFsHQVWC0J9400Q==" saltValue="+I3c9QLJwkiEBAPGNI8G1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+j7Z3U80YTNdPdXUdUjpUpmp1JsrUFr+6QWw2PSk8j1jYxqlT+VcNR/tYUvqXjn76gOAwaNo4y3H2DigK4jJ0g==" saltValue="5moMswsM5+j1CEYDSSoub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xqMVMjWWjyWzrPyhvmyt7hhZB+vJvLcxteuBwp1dLFy6T/ed0YpM/iewcFRg793jiOfSuWqetsLTnOSAJVRMJA==" saltValue="yDkD1simlE1JfUhdIj5Cq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7.4289688625382997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0.4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12.97995666743156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12.97995666743156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12.97995666743156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12.97995666743156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12.97995666743156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12.97995666743156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7.992352075384429E-2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0.25397140000000001</v>
      </c>
      <c r="C18" s="98">
        <v>0.95</v>
      </c>
      <c r="D18" s="56">
        <v>7.4289688625382997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0.25397140000000001</v>
      </c>
      <c r="C19" s="98">
        <v>0.95</v>
      </c>
      <c r="D19" s="56">
        <v>9.0366520404178896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7.4289688625382997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4.259198426998462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0.91598738953471903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2.9567118730808599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17.846880984952122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0.27308949999999999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0.39997139999999998</v>
      </c>
      <c r="C29" s="98">
        <v>0.95</v>
      </c>
      <c r="D29" s="56">
        <v>110.3413816734874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173.50469037871034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0.53033228587019021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0.84804100000000004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0.1809837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2.0029000000000002E-3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0.71388839999999998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2.6612563971340846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7vEDQlVz1f1s9MZpYNU39b1Z8OoX3H+Z3zHEUD4SL1P2lq9tmxA3eKh6GInQSG20Jdcg1zL4dJtG3sVGVNYsTQ==" saltValue="wXEDE7TiExpCAxyEcFd25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L2JGpDXUftAoObulyprHg9Pb48EBiK6SgPJHyAfoep8GQyGdK992jKOgcf0HoAzWun1ezvsts1pk8y8jTzURbA==" saltValue="CL8VVhhTPKtuE9rMhXN3x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2WncmRBVAgWCynJPvGmKasbEsXtRDPbgbeyElO/vVfiNOJJVLXdbAq5b9AshIIrIMGuVf2QIymGYFo6/L2XDBQ==" saltValue="+gi4psxCAu2ReibpCqppj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2.9</v>
      </c>
      <c r="C2" s="21">
        <f>'Entradas de población-año base'!C52</f>
        <v>2.9</v>
      </c>
      <c r="D2" s="21">
        <f>'Entradas de población-año base'!C53</f>
        <v>2.9</v>
      </c>
      <c r="E2" s="21">
        <f>'Entradas de población-año base'!C54</f>
        <v>2.9</v>
      </c>
      <c r="F2" s="21">
        <f>'Entradas de población-año base'!C55</f>
        <v>2.9</v>
      </c>
    </row>
    <row r="3" spans="1:6" ht="15.75" customHeight="1" x14ac:dyDescent="0.25">
      <c r="A3" s="3" t="s">
        <v>6</v>
      </c>
      <c r="B3" s="21">
        <f>frac_mam_1month * 2.6</f>
        <v>8.9044020000000002E-2</v>
      </c>
      <c r="C3" s="21">
        <f>frac_mam_1_5months * 2.6</f>
        <v>8.9044020000000002E-2</v>
      </c>
      <c r="D3" s="21">
        <f>frac_mam_6_11months * 2.6</f>
        <v>7.1840340000000003E-2</v>
      </c>
      <c r="E3" s="21">
        <f>frac_mam_12_23months * 2.6</f>
        <v>2.3417159999999999E-2</v>
      </c>
      <c r="F3" s="21">
        <f>frac_mam_24_59months * 2.6</f>
        <v>2.8061800000000001E-2</v>
      </c>
    </row>
    <row r="4" spans="1:6" ht="15.75" customHeight="1" x14ac:dyDescent="0.25">
      <c r="A4" s="3" t="s">
        <v>236</v>
      </c>
      <c r="B4" s="21">
        <f>frac_sam_1month * 2.6</f>
        <v>0.11921676</v>
      </c>
      <c r="C4" s="21">
        <f>frac_sam_1_5months * 2.6</f>
        <v>0.11921676</v>
      </c>
      <c r="D4" s="21">
        <f>frac_sam_6_11months * 2.6</f>
        <v>6.2153E-2</v>
      </c>
      <c r="E4" s="21">
        <f>frac_sam_12_23months * 2.6</f>
        <v>3.6360480000000001E-2</v>
      </c>
      <c r="F4" s="21">
        <f>frac_sam_24_59months * 2.6</f>
        <v>1.473082E-2</v>
      </c>
    </row>
  </sheetData>
  <sheetProtection algorithmName="SHA-512" hashValue="67Yye3KDO9SkrsqrOgPdg8ychm0Ju8NcLL9VHgUpwGe+yyRYWdJeja9tGb4gKu8MI7KTercxdccaZiJA3YdbFg==" saltValue="8a64SWsNwifVWnKfO/WeN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1.4999999999999999E-2</v>
      </c>
      <c r="F2" s="60">
        <f>food_insecure</f>
        <v>1.4999999999999999E-2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1.4999999999999999E-2</v>
      </c>
      <c r="I15" s="60">
        <f t="shared" si="0"/>
        <v>1.4999999999999999E-2</v>
      </c>
      <c r="J15" s="60">
        <f t="shared" si="0"/>
        <v>1.4999999999999999E-2</v>
      </c>
      <c r="K15" s="60">
        <f t="shared" si="0"/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1.4999999999999999E-2</v>
      </c>
      <c r="I16" s="60">
        <f t="shared" si="0"/>
        <v>1.4999999999999999E-2</v>
      </c>
      <c r="J16" s="60">
        <f t="shared" si="0"/>
        <v>1.4999999999999999E-2</v>
      </c>
      <c r="K16" s="60">
        <f t="shared" si="0"/>
        <v>1.4999999999999999E-2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0.22800000000000001</v>
      </c>
      <c r="M24" s="60">
        <f>famplan_unmet_need</f>
        <v>0.22800000000000001</v>
      </c>
      <c r="N24" s="60">
        <f>famplan_unmet_need</f>
        <v>0.22800000000000001</v>
      </c>
      <c r="O24" s="60">
        <f>famplan_unmet_need</f>
        <v>0.22800000000000001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0.15558044983354993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6.6677335642949975E-2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9.3225231523499971E-2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0.68451698300000008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TFqOXc7Ha3K3+SiO/nuen/f3GAOZRKuCnhH57s05Qv7uuaP0RpCQQlUXpFru3KeHi0lK86ZhHH2OjJocCN5Tw==" saltValue="7sjS/Sep1ItsDHOX20aO8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4KRZq24y7LD4msruAubaRIBYbTVikRKoRX50UIzeOQsXSPcvIDqzo6Y7nZNz8WXIL6hPQhUALqProuIn5i1pIw==" saltValue="l+jwhOo3PXzo4RO5khufj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J7Fbh0Wbh06g5kyoZtPPjmcehFyuhfzB6q3/PwUz+JFbO0ittWPi0HR/Yezpguo769qIFawDqgxcNxxQ3AN/Pg==" saltValue="7+1qb/HCW3DMLNuG2vkmU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53NAytV5Ge528Wv0F1k98ID1gsDkQVU7boUjaleIdxLOEUEFxc2z0U38x/84thhQTx8ynmBu+EsdNL2Z7JShAw==" saltValue="nvkBPXx5mpYxt86nXQFa3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AAs0me2PedfoaU7REn8anF3XBLe4AgwJK9bsKv7eu6LPZYowRxdrYwxzpIhpr03o1MYntILjfATRrsnyUlh7Sg==" saltValue="5hWOJJuToymC6Q4sz5zp3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tQlSTbQ/6ebEyZWxCxaE1/wC9cVSUjWa521Y2y/JIqCs0Cwz7ZcYgaXItKEgyIjtpF6Gw0XoR/8CFGAad050UA==" saltValue="XVJEe3gqu/nwDAUMWwxJh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74yDpuQ6phVIV8WuFLemVM8b+90uFxEKHMLKQQeUFM+9azh+H5Fh79XXlX/sBIGfdqJzuvxBkvmDH/aY/q8tFQ==" saltValue="UqsX2tcLD1AAbm10e6hNr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iEXyCbbL2qUvdrkM5CNzb1k6o8CHsmdfhcAceMK2OxgPnmHrmPp6/KVbqUTMSsZKDfuO9A4mXknI0CgJB27+Vw==" saltValue="ilAMOn72JUBd4tt/OhL0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oqpbrga9sVFD4Ya+1cGO2G943ppXnmkXsnwN5htvgHgbQIgTGbU7VXF4XZEHimkB6NVNjM8ccajBSEnCcGRhGQ==" saltValue="Fo3VpsuTPNdGCH4BzRi0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kI0iowoui5yUJdYiMqMGaSm9bjZ4zAENXeqZcFep1sfUpono/scDCJ3Jb6stdaSQ+vZtHcHKI8T6YXlWAfWi+g==" saltValue="AZRncRFHNay/GbCplYvB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9J7Jaicev1CtWQhtNGt1fl0pTeBf986SNxWs93rYuwTn0ihJoYvCtvcOJmNzPqy/W1axHgyS0uZoN9kBIc7Xfw==" saltValue="kLWCzfw1+hfzyrQ8vD8X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GubtSFyxcLNq9GlZcFj4rMBp+faUCZXgRvNI6m9JrvxYp4iqHAhE4qEN9LyBr/Zz+XQxMhjkwaOhqc1zP4+tEA==" saltValue="J7d60JvuIpQfmQHRcufK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E1IZjL9r/FjZGaKm64XxNZjI+ETRGj/Qt/FiQGyEd/wKIDiwUT3Zk/+7lzecjG4+KNEMVUVl6V1ze+NV9lwGw==" saltValue="pgNRcek87t1ivHB/l48xx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IaUh10QzddbDYFy+uzCPB2BOwdgEGIx4imRp5OVnnKsa/itd0raYbvCN6EceACpEsln+TPZSbPu5hoVRcvr56Q==" saltValue="nVbtblogMCAtq75+RJmd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GXPFHWkLLXdK+dEE6vBOc26IjsJekuxmuoZhJX0ve7Eok3unAQ9SGEAzQBhLvx82JyexY+af4eN4QtSYxqaqLQ==" saltValue="59G2RzzSMloPoGBUXeLlJ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2025-07-04T01:06:23Z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