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4052050-943A-4AD0-B1A6-E88F0086A74D}" xr6:coauthVersionLast="47" xr6:coauthVersionMax="47" xr10:uidLastSave="{00000000-0000-0000-0000-000000000000}"/>
  <bookViews>
    <workbookView xWindow="20" yWindow="38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9" i="2"/>
  <c r="A20" i="2"/>
  <c r="H13" i="2"/>
  <c r="G13" i="2"/>
  <c r="I13" i="2" s="1"/>
  <c r="H12" i="2"/>
  <c r="G12" i="2"/>
  <c r="H11" i="2"/>
  <c r="G11" i="2"/>
  <c r="I11" i="2" s="1"/>
  <c r="H10" i="2"/>
  <c r="G10" i="2"/>
  <c r="I10" i="2" s="1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21" i="2" l="1"/>
  <c r="A31" i="2"/>
  <c r="A23" i="2"/>
  <c r="A32" i="2"/>
  <c r="A39" i="2"/>
  <c r="A15" i="2"/>
  <c r="A24" i="2"/>
  <c r="A33" i="2"/>
  <c r="A3" i="2"/>
  <c r="A16" i="2"/>
  <c r="A25" i="2"/>
  <c r="A34" i="2"/>
  <c r="A17" i="2"/>
  <c r="A26" i="2"/>
  <c r="A35" i="2"/>
  <c r="A18" i="2"/>
  <c r="A27" i="2"/>
  <c r="A36" i="2"/>
  <c r="I4" i="2"/>
  <c r="I8" i="2"/>
  <c r="I12" i="2"/>
  <c r="A19" i="2"/>
  <c r="A28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<sst xmlns="http://schemas.openxmlformats.org/spreadsheetml/2006/main" count="2101" uniqueCount="341">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</sst>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5629296.4375</v>
      </c>
    </row>
    <row r="8" spans="1:3" ht="15" customHeight="1" x14ac:dyDescent="0.25">
      <c r="B8" s="5" t="s">
        <v>44</v>
      </c>
      <c r="C8" s="44">
        <v>0.629</v>
      </c>
    </row>
    <row r="9" spans="1:3" ht="15" customHeight="1" x14ac:dyDescent="0.25">
      <c r="B9" s="5" t="s">
        <v>43</v>
      </c>
      <c r="C9" s="45">
        <v>0.96</v>
      </c>
    </row>
    <row r="10" spans="1:3" ht="15" customHeight="1" x14ac:dyDescent="0.25">
      <c r="B10" s="5" t="s">
        <v>56</v>
      </c>
      <c r="C10" s="45">
        <v>0.190472507476807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0.496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0.1333</v>
      </c>
    </row>
    <row r="24" spans="1:3" ht="15" customHeight="1" x14ac:dyDescent="0.25">
      <c r="B24" s="15" t="s">
        <v>46</v>
      </c>
      <c r="C24" s="45">
        <v>0.43609999999999999</v>
      </c>
    </row>
    <row r="25" spans="1:3" ht="15" customHeight="1" x14ac:dyDescent="0.25">
      <c r="B25" s="15" t="s">
        <v>47</v>
      </c>
      <c r="C25" s="45">
        <v>0.33139999999999997</v>
      </c>
    </row>
    <row r="26" spans="1:3" ht="15" customHeight="1" x14ac:dyDescent="0.25">
      <c r="B26" s="15" t="s">
        <v>48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0.36436667713324611</v>
      </c>
    </row>
    <row r="30" spans="1:3" ht="14.25" customHeight="1" x14ac:dyDescent="0.25">
      <c r="B30" s="25" t="s">
        <v>63</v>
      </c>
      <c r="C30" s="99">
        <v>3.1826740703756698E-2</v>
      </c>
    </row>
    <row r="31" spans="1:3" ht="14.25" customHeight="1" x14ac:dyDescent="0.25">
      <c r="B31" s="25" t="s">
        <v>10</v>
      </c>
      <c r="C31" s="99">
        <v>8.8013370344364308E-2</v>
      </c>
    </row>
    <row r="32" spans="1:3" ht="14.25" customHeight="1" x14ac:dyDescent="0.25">
      <c r="B32" s="25" t="s">
        <v>11</v>
      </c>
      <c r="C32" s="99">
        <v>0.51579321181863302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27.510059999999999</v>
      </c>
    </row>
    <row r="38" spans="1:5" ht="15" customHeight="1" x14ac:dyDescent="0.25">
      <c r="B38" s="11" t="s">
        <v>35</v>
      </c>
      <c r="C38" s="43">
        <v>50.996070000000003</v>
      </c>
      <c r="D38" s="12"/>
      <c r="E38" s="13"/>
    </row>
    <row r="39" spans="1:5" ht="15" customHeight="1" x14ac:dyDescent="0.25">
      <c r="B39" s="11" t="s">
        <v>61</v>
      </c>
      <c r="C39" s="43">
        <v>69.558430000000001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5.9898E-3</v>
      </c>
      <c r="D45" s="12"/>
    </row>
    <row r="46" spans="1:5" ht="15.75" customHeight="1" x14ac:dyDescent="0.25">
      <c r="B46" s="11" t="s">
        <v>51</v>
      </c>
      <c r="C46" s="45">
        <v>6.4360000000000001E-2</v>
      </c>
      <c r="D46" s="12"/>
    </row>
    <row r="47" spans="1:5" ht="15.75" customHeight="1" x14ac:dyDescent="0.25">
      <c r="B47" s="11" t="s">
        <v>59</v>
      </c>
      <c r="C47" s="45">
        <v>7.5305200000000003E-2</v>
      </c>
      <c r="D47" s="12"/>
      <c r="E47" s="13"/>
    </row>
    <row r="48" spans="1:5" ht="15" customHeight="1" x14ac:dyDescent="0.25">
      <c r="B48" s="11" t="s">
        <v>58</v>
      </c>
      <c r="C48" s="46">
        <v>0.85434500000000002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0.44236700000000001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0.138186529999999</v>
      </c>
    </row>
    <row r="63" spans="1:4" ht="15.75" customHeight="1" x14ac:dyDescent="0.3">
      <c r="A63" s="4"/>
    </row>
  </sheetData>
  <sheetProtection algorithmName="SHA-512" hashValue="2whHuLpqqghH7276NV1axsWmqdBCbqydVgfsSqCYqS8jHSD7WktYr6CxeV2pO0xBRWWyENf3VxrzUKuiMtzv9Q==" saltValue="yAc958PpExaa2KtqIEAk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1225914</v>
      </c>
      <c r="C2" s="49">
        <v>2322259</v>
      </c>
      <c r="D2" s="49">
        <v>3039030.5</v>
      </c>
      <c r="E2" s="49">
        <v>2118146</v>
      </c>
      <c r="F2" s="49">
        <v>1258287</v>
      </c>
      <c r="G2" s="17">
        <f t="shared" ref="G2:G13" si="0">C2+D2+E2+F2</f>
        <v>8737722.5</v>
      </c>
      <c r="H2" s="17">
        <f t="shared" ref="H2:H13" si="1">(B2 + stillbirth*B2/(1000-stillbirth))/(1-abortion)</f>
        <v>1417667.3212126575</v>
      </c>
      <c r="I2" s="17">
        <f t="shared" ref="I2:I13" si="2">G2-H2</f>
        <v>7320055.1787873423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1243736</v>
      </c>
      <c r="C3" s="50">
        <v>2397977</v>
      </c>
      <c r="D3" s="50">
        <v>3132908.5</v>
      </c>
      <c r="E3" s="50">
        <v>2192660.5</v>
      </c>
      <c r="F3" s="50">
        <v>1296196</v>
      </c>
      <c r="G3" s="17">
        <f t="shared" si="0"/>
        <v>9019742</v>
      </c>
      <c r="H3" s="17">
        <f t="shared" si="1"/>
        <v>1438276.9781695502</v>
      </c>
      <c r="I3" s="17">
        <f t="shared" si="2"/>
        <v>7581465.0218304498</v>
      </c>
    </row>
    <row r="4" spans="1:9" ht="15.75" customHeight="1" x14ac:dyDescent="0.25">
      <c r="A4" s="5">
        <f t="shared" si="3"/>
        <v>2026</v>
      </c>
      <c r="B4" s="49">
        <v>1261704</v>
      </c>
      <c r="C4" s="50">
        <v>2475521</v>
      </c>
      <c r="D4" s="50">
        <v>3226452</v>
      </c>
      <c r="E4" s="50">
        <v>2268279</v>
      </c>
      <c r="F4" s="50">
        <v>1337344</v>
      </c>
      <c r="G4" s="17">
        <f t="shared" si="0"/>
        <v>9307596</v>
      </c>
      <c r="H4" s="17">
        <f t="shared" si="1"/>
        <v>1459055.471952596</v>
      </c>
      <c r="I4" s="17">
        <f t="shared" si="2"/>
        <v>7848540.5280474043</v>
      </c>
    </row>
    <row r="5" spans="1:9" ht="15.75" customHeight="1" x14ac:dyDescent="0.25">
      <c r="A5" s="5">
        <f t="shared" si="3"/>
        <v>2027</v>
      </c>
      <c r="B5" s="49">
        <v>1278457</v>
      </c>
      <c r="C5" s="50">
        <v>2554116.5</v>
      </c>
      <c r="D5" s="50">
        <v>3318327.5</v>
      </c>
      <c r="E5" s="50">
        <v>2347049.5</v>
      </c>
      <c r="F5" s="50">
        <v>1382867.5</v>
      </c>
      <c r="G5" s="17">
        <f t="shared" si="0"/>
        <v>9602361</v>
      </c>
      <c r="H5" s="17">
        <f t="shared" si="1"/>
        <v>1478428.9195453927</v>
      </c>
      <c r="I5" s="17">
        <f t="shared" si="2"/>
        <v>8123932.0804546075</v>
      </c>
    </row>
    <row r="6" spans="1:9" ht="15.75" customHeight="1" x14ac:dyDescent="0.25">
      <c r="A6" s="5">
        <f t="shared" si="3"/>
        <v>2028</v>
      </c>
      <c r="B6" s="49">
        <v>1293840</v>
      </c>
      <c r="C6" s="50">
        <v>2624607</v>
      </c>
      <c r="D6" s="50">
        <v>3413217</v>
      </c>
      <c r="E6" s="50">
        <v>2429473.5</v>
      </c>
      <c r="F6" s="50">
        <v>1433320.5</v>
      </c>
      <c r="G6" s="17">
        <f t="shared" si="0"/>
        <v>9900618</v>
      </c>
      <c r="H6" s="17">
        <f t="shared" si="1"/>
        <v>1496218.0763722293</v>
      </c>
      <c r="I6" s="17">
        <f t="shared" si="2"/>
        <v>8404399.9236277714</v>
      </c>
    </row>
    <row r="7" spans="1:9" ht="15.75" customHeight="1" x14ac:dyDescent="0.25">
      <c r="A7" s="5">
        <f t="shared" si="3"/>
        <v>2029</v>
      </c>
      <c r="B7" s="49">
        <v>1309302</v>
      </c>
      <c r="C7" s="50">
        <v>2683877.5</v>
      </c>
      <c r="D7" s="50">
        <v>3515524.5</v>
      </c>
      <c r="E7" s="50">
        <v>2514148.5</v>
      </c>
      <c r="F7" s="50">
        <v>1487634</v>
      </c>
      <c r="G7" s="17">
        <f t="shared" si="0"/>
        <v>10201184.5</v>
      </c>
      <c r="H7" s="17">
        <f t="shared" si="1"/>
        <v>1514098.590111847</v>
      </c>
      <c r="I7" s="17">
        <f t="shared" si="2"/>
        <v>8687085.909888152</v>
      </c>
    </row>
    <row r="8" spans="1:9" ht="15.75" customHeight="1" x14ac:dyDescent="0.25">
      <c r="A8" s="5">
        <f t="shared" si="3"/>
        <v>2030</v>
      </c>
      <c r="B8" s="49">
        <v>1320193</v>
      </c>
      <c r="C8" s="50">
        <v>2738813.5</v>
      </c>
      <c r="D8" s="50">
        <v>3623506</v>
      </c>
      <c r="E8" s="50">
        <v>2601118</v>
      </c>
      <c r="F8" s="50">
        <v>1544549</v>
      </c>
      <c r="G8" s="17">
        <f t="shared" si="0"/>
        <v>10507986.5</v>
      </c>
      <c r="H8" s="17">
        <f t="shared" si="1"/>
        <v>1526693.1234929222</v>
      </c>
      <c r="I8" s="17">
        <f t="shared" si="2"/>
        <v>8981293.3765070774</v>
      </c>
    </row>
    <row r="9" spans="1:9" ht="15.75" customHeight="1" x14ac:dyDescent="0.25">
      <c r="A9" s="5">
        <f t="shared" si="3"/>
        <v>2031</v>
      </c>
      <c r="B9" s="49">
        <v>1339208</v>
      </c>
      <c r="C9" s="50">
        <v>2793389.5</v>
      </c>
      <c r="D9" s="50">
        <v>3734680.5</v>
      </c>
      <c r="E9" s="50">
        <v>2690391</v>
      </c>
      <c r="F9" s="50">
        <v>1604167</v>
      </c>
      <c r="G9" s="17">
        <f t="shared" si="0"/>
        <v>10822628</v>
      </c>
      <c r="H9" s="17">
        <f t="shared" si="1"/>
        <v>1548682.3854744791</v>
      </c>
      <c r="I9" s="17">
        <f t="shared" si="2"/>
        <v>9273945.6145255212</v>
      </c>
    </row>
    <row r="10" spans="1:9" ht="15.75" customHeight="1" x14ac:dyDescent="0.25">
      <c r="A10" s="5">
        <f t="shared" si="3"/>
        <v>2032</v>
      </c>
      <c r="B10" s="49">
        <v>1350772</v>
      </c>
      <c r="C10" s="50">
        <v>2849738</v>
      </c>
      <c r="D10" s="50">
        <v>3847141</v>
      </c>
      <c r="E10" s="50">
        <v>2781535.5</v>
      </c>
      <c r="F10" s="50">
        <v>1666493</v>
      </c>
      <c r="G10" s="17">
        <f t="shared" si="0"/>
        <v>11144907.5</v>
      </c>
      <c r="H10" s="17">
        <f t="shared" si="1"/>
        <v>1562055.1872391242</v>
      </c>
      <c r="I10" s="17">
        <f t="shared" si="2"/>
        <v>9582852.3127608765</v>
      </c>
    </row>
    <row r="11" spans="1:9" ht="15.75" customHeight="1" x14ac:dyDescent="0.25">
      <c r="A11" s="5">
        <f t="shared" si="3"/>
        <v>2033</v>
      </c>
      <c r="B11" s="49">
        <v>1360398</v>
      </c>
      <c r="C11" s="50">
        <v>2907001</v>
      </c>
      <c r="D11" s="50">
        <v>3959883.5</v>
      </c>
      <c r="E11" s="50">
        <v>2874741</v>
      </c>
      <c r="F11" s="50">
        <v>1730207</v>
      </c>
      <c r="G11" s="17">
        <f t="shared" si="0"/>
        <v>11471832.5</v>
      </c>
      <c r="H11" s="17">
        <f t="shared" si="1"/>
        <v>1573186.8535990752</v>
      </c>
      <c r="I11" s="17">
        <f t="shared" si="2"/>
        <v>9898645.6464009248</v>
      </c>
    </row>
    <row r="12" spans="1:9" ht="15.75" customHeight="1" x14ac:dyDescent="0.25">
      <c r="A12" s="5">
        <f t="shared" si="3"/>
        <v>2034</v>
      </c>
      <c r="B12" s="49">
        <v>1376559</v>
      </c>
      <c r="C12" s="50">
        <v>2969515.5</v>
      </c>
      <c r="D12" s="50">
        <v>4069280.5</v>
      </c>
      <c r="E12" s="50">
        <v>2968750.5</v>
      </c>
      <c r="F12" s="50">
        <v>1794737</v>
      </c>
      <c r="G12" s="17">
        <f t="shared" si="0"/>
        <v>11802283.5</v>
      </c>
      <c r="H12" s="17">
        <f t="shared" si="1"/>
        <v>1591875.7025543186</v>
      </c>
      <c r="I12" s="17">
        <f t="shared" si="2"/>
        <v>10210407.797445681</v>
      </c>
    </row>
    <row r="13" spans="1:9" ht="15.75" customHeight="1" x14ac:dyDescent="0.25">
      <c r="A13" s="5">
        <f t="shared" si="3"/>
        <v>2035</v>
      </c>
      <c r="B13" s="49">
        <v>1384513</v>
      </c>
      <c r="C13" s="50">
        <v>3036975.5</v>
      </c>
      <c r="D13" s="50">
        <v>4176687</v>
      </c>
      <c r="E13" s="50">
        <v>3062435</v>
      </c>
      <c r="F13" s="50">
        <v>1860103.5</v>
      </c>
      <c r="G13" s="17">
        <f t="shared" si="0"/>
        <v>12136201</v>
      </c>
      <c r="H13" s="17">
        <f t="shared" si="1"/>
        <v>1601073.8403298275</v>
      </c>
      <c r="I13" s="17">
        <f t="shared" si="2"/>
        <v>10535127.159670172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wsHL5mK/Vh7K+InhJtsnk12YT5CISvsuokzs/+vuOmk3rhxJ6x7vF+AWK/PfEcmDeMQAIGmYHG9OhgR4vjZtg==" saltValue="30QLRcS7+B4BLh2gd+jN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1.349399999999999E-2</v>
      </c>
    </row>
    <row r="4" spans="1:8" ht="15.75" customHeight="1" x14ac:dyDescent="0.25">
      <c r="B4" s="19" t="s">
        <v>97</v>
      </c>
      <c r="C4" s="101">
        <v>7.2576899999999916E-2</v>
      </c>
    </row>
    <row r="5" spans="1:8" ht="15.75" customHeight="1" x14ac:dyDescent="0.25">
      <c r="B5" s="19" t="s">
        <v>95</v>
      </c>
      <c r="C5" s="101">
        <v>4.2096300000000107E-2</v>
      </c>
    </row>
    <row r="6" spans="1:8" ht="15.75" customHeight="1" x14ac:dyDescent="0.25">
      <c r="B6" s="19" t="s">
        <v>91</v>
      </c>
      <c r="C6" s="101">
        <v>0.2173944999999998</v>
      </c>
    </row>
    <row r="7" spans="1:8" ht="15.75" customHeight="1" x14ac:dyDescent="0.25">
      <c r="B7" s="19" t="s">
        <v>96</v>
      </c>
      <c r="C7" s="101">
        <v>0.48265060000000032</v>
      </c>
    </row>
    <row r="8" spans="1:8" ht="15.75" customHeight="1" x14ac:dyDescent="0.25">
      <c r="B8" s="19" t="s">
        <v>98</v>
      </c>
      <c r="C8" s="101">
        <v>2.6702999999999879E-3</v>
      </c>
    </row>
    <row r="9" spans="1:8" ht="15.75" customHeight="1" x14ac:dyDescent="0.25">
      <c r="B9" s="19" t="s">
        <v>92</v>
      </c>
      <c r="C9" s="101">
        <v>6.2363899999999937E-2</v>
      </c>
    </row>
    <row r="10" spans="1:8" ht="15.75" customHeight="1" x14ac:dyDescent="0.25">
      <c r="B10" s="19" t="s">
        <v>94</v>
      </c>
      <c r="C10" s="101">
        <v>0.1067535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102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2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90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3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101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79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88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99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6.1259088000000003E-2</v>
      </c>
    </row>
    <row r="27" spans="1:8" ht="15.75" customHeight="1" x14ac:dyDescent="0.25">
      <c r="B27" s="19" t="s">
        <v>89</v>
      </c>
      <c r="C27" s="101">
        <v>1.4566589999999999E-3</v>
      </c>
    </row>
    <row r="28" spans="1:8" ht="15.75" customHeight="1" x14ac:dyDescent="0.25">
      <c r="B28" s="19" t="s">
        <v>103</v>
      </c>
      <c r="C28" s="101">
        <v>0.11299475</v>
      </c>
    </row>
    <row r="29" spans="1:8" ht="15.75" customHeight="1" x14ac:dyDescent="0.25">
      <c r="B29" s="19" t="s">
        <v>86</v>
      </c>
      <c r="C29" s="101">
        <v>9.3433585999999999E-2</v>
      </c>
    </row>
    <row r="30" spans="1:8" ht="15.75" customHeight="1" x14ac:dyDescent="0.25">
      <c r="B30" s="19" t="s">
        <v>4</v>
      </c>
      <c r="C30" s="101">
        <v>0.110914363</v>
      </c>
    </row>
    <row r="31" spans="1:8" ht="15.75" customHeight="1" x14ac:dyDescent="0.25">
      <c r="B31" s="19" t="s">
        <v>80</v>
      </c>
      <c r="C31" s="101">
        <v>3.1485054999999998E-2</v>
      </c>
    </row>
    <row r="32" spans="1:8" ht="15.75" customHeight="1" x14ac:dyDescent="0.25">
      <c r="B32" s="19" t="s">
        <v>85</v>
      </c>
      <c r="C32" s="101">
        <v>8.0639849999999992E-3</v>
      </c>
    </row>
    <row r="33" spans="2:3" ht="15.75" customHeight="1" x14ac:dyDescent="0.25">
      <c r="B33" s="19" t="s">
        <v>100</v>
      </c>
      <c r="C33" s="101">
        <v>2.7219621999999999E-2</v>
      </c>
    </row>
    <row r="34" spans="2:3" ht="15.75" customHeight="1" x14ac:dyDescent="0.25">
      <c r="B34" s="19" t="s">
        <v>87</v>
      </c>
      <c r="C34" s="101">
        <v>0.553172891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9gEbznNMjqtNqSovA4SudugaffWOT0y+bgDLpAi+aHwzPr7NwqAMqxk/njW8hQXwoL5v6VKTxXzEAKUyM/Dd6g==" saltValue="xUlo2j47QSfk5UA5HEG2+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110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106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107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119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8/uF9o/HKgxd8YNgnnfG/N2saftjN9kvsuP1Rk14KDMakbMNpCkubGdcPtLNQnwqFSqWvrpQhqPZfCv67GpbA==" saltValue="nmhDJmrcc61nKA9+uzOU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125</v>
      </c>
      <c r="C5" s="52">
        <v>3.3646799999999998E-2</v>
      </c>
      <c r="D5" s="52">
        <v>2.8571099999999999E-2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7v9zsrfR8wFGxb0uIbw8lXC8xQgIjbpjNg4n8YT4ENkj0dxgyqfrhDOo6zAmAxUEOrqwOGqNgMl8pLXUtShgkg==" saltValue="egn6R5SWyHa6Fo9k4gc9r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7Piz/KwUK/HWtEzk76+KxjCKCDVIYTLAQEoPXP3z85PS8JFxP5t0JKLHsNBtOYlMiWa4FuUQEv77XHNBictTA==" saltValue="1dEF/fqRuaiTHVFf6be10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xN2c4Pr4M/B27iinS9fljBVpzRA8ppQUziRaxCdBDrb748ByJZFAa9sW0VZZEGcmZ6xrXuSsRr+kb81zs0IzRA==" saltValue="NUcn3X9zOuJFQth8BcOVO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Kb1qO9XtG8W4z8NmZELEcl12O99qPcPvMIIxlJ6rppt4B6T17BmsTSZjvqRTYzpr+me9z6x6RQzIeI7KfkMkNg==" saltValue="Gq6MqtoMur8a0TjC5G0ET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D2lQkJH46jNYetqsMAqDOyVpS7si2RmuaxIb//fkNa5VyfJg9kKUZyebIWchZiCooDnOmaA1yTWVWiXAqqflTw==" saltValue="63tUOA4mVis0xLwu2WFl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18.381496702065061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0.16124310269652389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0.40394964285693302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0.25866250000000002</v>
      </c>
      <c r="C10" s="98">
        <v>0.95</v>
      </c>
      <c r="D10" s="56">
        <v>14.142094420718051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14.142094420718051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14.142094420718051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14.142094420718051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0.25866250000000002</v>
      </c>
      <c r="C14" s="98">
        <v>0.95</v>
      </c>
      <c r="D14" s="56">
        <v>14.142094420718051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14.142094420718051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0.5108009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8.60866666666667E-2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0.63300000000000001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0.52076729999999993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24.08118649042526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0.64237399999999989</v>
      </c>
      <c r="C23" s="98">
        <v>0.95</v>
      </c>
      <c r="D23" s="56">
        <v>4.6291754106690286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0.49878249740505998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0.25866250000000002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0.45933040000000003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0.28039049999999999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0.83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0.1222698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0.45039050000000003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7.9009999999999996E-4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0.41662450000000001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0.30897170000000002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cbh5xBoRwtlCftNnbo43hfOcjnMvKlghFzOi5EedLPaVIY8+sT/VGPCI1sa8nVvr8JT02zo3Y68LD+eTgQzp0g==" saltValue="46R8RSRkHTK3ZfgrESPh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3WMQTucyLTu7E9RLd0RKlUk8paZ0kxyDpHvJxiozr/KYmJ8iboXwkt2+az2xtSWrYzpy/Eu91vJD3+h8AsILw==" saltValue="oVlUyGaEUuTL71I8sP2X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nmWyAhjvOI/gcxtwc7fUsfuMKvAV1y4wepAzHIciMEpBA2aOEqA865ds1ITx76fgSCPU2al6t30ELLxturfzng==" saltValue="3Vi4KOIEAVt88AVHCNrEG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207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sheetProtection algorithmName="SHA-512" hashValue="fmFaSsL51DHVGsj+XWe4BzBP0Yj4tlppLiUNol/PoJW+pK++K3Is0QU25THkmcbyrnXs6DvN8oHjvV73GoYjmw==" saltValue="okupwP3cSftGuWHTLEBa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0.629</v>
      </c>
      <c r="E2" s="60">
        <f>food_insecure</f>
        <v>0.629</v>
      </c>
      <c r="F2" s="60">
        <f>food_insecure</f>
        <v>0.629</v>
      </c>
      <c r="G2" s="60">
        <f>food_insecure</f>
        <v>0.629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0.629</v>
      </c>
      <c r="F5" s="60">
        <f>food_insecure</f>
        <v>0.629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0.629</v>
      </c>
      <c r="F8" s="60">
        <f>food_insecure</f>
        <v>0.629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0.629</v>
      </c>
      <c r="F9" s="60">
        <f>food_insecure</f>
        <v>0.629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0.629</v>
      </c>
      <c r="I15" s="60">
        <f>food_insecure</f>
        <v>0.629</v>
      </c>
      <c r="J15" s="60">
        <f>food_insecure</f>
        <v>0.629</v>
      </c>
      <c r="K15" s="60">
        <f>food_insecure</f>
        <v>0.629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0.496</v>
      </c>
      <c r="M24" s="60">
        <f>famplan_unmet_need</f>
        <v>0.496</v>
      </c>
      <c r="N24" s="60">
        <f>famplan_unmet_need</f>
        <v>0.496</v>
      </c>
      <c r="O24" s="60">
        <f>famplan_unmet_need</f>
        <v>0.496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0.50359895782375308</v>
      </c>
      <c r="M25" s="60">
        <f>(1-food_insecure)*(0.49)+food_insecure*(0.7)</f>
        <v>0.62209000000000003</v>
      </c>
      <c r="N25" s="60">
        <f>(1-food_insecure)*(0.49)+food_insecure*(0.7)</f>
        <v>0.62209000000000003</v>
      </c>
      <c r="O25" s="60">
        <f>(1-food_insecure)*(0.49)+food_insecure*(0.7)</f>
        <v>0.62209000000000003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0.21582812478160848</v>
      </c>
      <c r="M26" s="60">
        <f>(1-food_insecure)*(0.21)+food_insecure*(0.3)</f>
        <v>0.26661000000000001</v>
      </c>
      <c r="N26" s="60">
        <f>(1-food_insecure)*(0.21)+food_insecure*(0.3)</f>
        <v>0.26661000000000001</v>
      </c>
      <c r="O26" s="60">
        <f>(1-food_insecure)*(0.21)+food_insecure*(0.3)</f>
        <v>0.26661000000000001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9.0100409917831373E-2</v>
      </c>
      <c r="M27" s="60">
        <f>(1-food_insecure)*(0.3)</f>
        <v>0.1113</v>
      </c>
      <c r="N27" s="60">
        <f>(1-food_insecure)*(0.3)</f>
        <v>0.1113</v>
      </c>
      <c r="O27" s="60">
        <f>(1-food_insecure)*(0.3)</f>
        <v>0.1113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0.190472507476807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W84gHtFmCvyTZL59kmEWMWEunet84sYYE0CBGn5M+Ry2kVP2GejLRWsIVvGcduAdljtxchvHSISBNDbzNvhkQ==" saltValue="5SDZf2jANvlKV0nT9+Fh9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OMOpjxzyBJOsUdrEjeR41P1EM+dJOwpSR/WFHkNuqxJ8CRWaekc+TJMad6HX6l2JVmc33rIcIa3d7PsTlhMaUw==" saltValue="vxJeWxC9dC2JUBck630O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zmUxHGyKAD/48Kqducon66M9RlyWCvlTW8gqzqTcOby/8iGAi2349NM5+361wLl2A2a3PH+avr0wuYX0Krl4g==" saltValue="UfVY2v3CdCSgmGkNe4xxx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TqMmrSWvVB8vFUJpiyGu6I1rJ8GeI3AXnJXjI60PfWGNdvLTZP85krUOTQakaMtV2u7Xkyu3LryaQFVmGv80Q==" saltValue="mIjnGFs/LcFSOjm9+G2nC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9QDOhUsTs8pBaOmW/Jj5mTkZiykSykKD3vJVj2ynEiAslKm2bDqL76TJHjI/cttoYNJYVNjT2lKCapXPJDhhg==" saltValue="w3Y7ac6oAL8h0Rd3WJztD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78ImT7K7ksM6EoVLVI9TgVibDtunNXGHPOIwCs3LQBWo+l5gL7T0UY5ydWlLo6uzVeC90owc8wmRFet87rtfUg==" saltValue="YSoqNm6yBcOHGJxJ2nkVV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Uc+xdSZBfWZNkejEJpi57+3Uqi3PNYC19UrwkPLPTO9RjyHAR8/4q2hLsJMfL8kG1gewrh/fWC+RoZLuO8INw==" saltValue="LlVOaGi9frz7vCXgnHGDJ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NUZmAeJOUrvFWsmLiONj6DzLA4PzoNdCY1YhDWhr2TULsemg5AtrDq1ApUGdM90r1iP9acLn2Ak0f0R7l8irg==" saltValue="R0zKP6wVnSXRZQf0tvcp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6mzhnU0OfaEbFJN5lbdKN8iXsJJgvLvbMR4m4yfeprms2ueuPJF2A/qSVaQ3dK25k8JKANCBW0T2twhYtLF8w==" saltValue="znjKyLU4d2kgs+gbW2bb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jvNfU4VfIs+JaUaXwjd7Kk/tUmPUfleBYz8zvkkVj9HqVUB6Ssk48sg97OEL69SRB70yoZOAkihnjcgTAcGtQ==" saltValue="i1bYe3fPGK9lyZp9TrGD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zIP7IeNi8Zd3ieAtxfTBPfHk+OVSDce+O1vsRTwK8iaIYQEhO7OWq3rdO5W9B5HrD+57Z/OYrOmgGfGzeM8Zng==" saltValue="qOwJ0wKC0XTZITHbKeUq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Gu2k+tbGRBQ8ftRUI7ovR+yXsh8gsXtgIHbWlIF4q1l7XARJEByKTRddPGRT7MTo0MFFfdfpmfyb9YLGh3TvQ==" saltValue="GG4uxNyPT8PaHgq+4iLM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EakVxC8XRAp84fgegEtwESbNcJMJ5pAKzlJuMFb2zK2X52PeNT7FyWVjlwGZrBcllL3X7cVHxY/YvyYA5imyg==" saltValue="k/RM5E/as3ZnWvCCDYtm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0.10702886446821525</v>
      </c>
      <c r="G18" s="90">
        <f>MIN(MAX(1-0.89/(1-frac_sam_12_23months+(frac_sam_12_23months*0.89)),0),1)</f>
        <v>0.10636719049832166</v>
      </c>
      <c r="H18" s="90">
        <f>MIN(MAX(1-0.89/(1-frac_sam_24_59months+(frac_sam_24_59months*0.89)),0),1)</f>
        <v>0.10868315958680508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0.10291816326795888</v>
      </c>
      <c r="G20" s="90">
        <f>MIN(MAX(1-0.89/(1-frac_mam_12_23months+(frac_mam_12_23months*0.89)),0),1)</f>
        <v>0.10507840373916821</v>
      </c>
      <c r="H20" s="90">
        <f>MIN(MAX(1-0.89/(1-frac_mam_24_59months+(frac_mam_24_59months*0.89)),0),1)</f>
        <v>0.10778832145197437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9.7004571651819749E-3</v>
      </c>
      <c r="G73" s="90">
        <f>MIN(MAX(1-0.99/(1-frac_sam_12_23months+(frac_sam_12_23months*0.99)),0),1)</f>
        <v>9.6339953875053119E-3</v>
      </c>
      <c r="H73" s="90">
        <f>MIN(MAX(1-0.99/(1-frac_sam_24_59months+(frac_sam_24_59months*0.99)),0),1)</f>
        <v>9.8670152388167232E-3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9.2890023826058821E-3</v>
      </c>
      <c r="G75" s="90">
        <f>MIN(MAX(1-0.99/(1-frac_mam_12_23months+(frac_mam_12_23months*0.99)),0),1)</f>
        <v>9.5047999437415376E-3</v>
      </c>
      <c r="H75" s="90">
        <f>MIN(MAX(1-0.99/(1-frac_mam_24_59months+(frac_mam_24_59months*0.99)),0),1)</f>
        <v>9.7768512329791113E-3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0.19513091225894696</v>
      </c>
      <c r="G128" s="90">
        <f>MIN(MAX(1-0.8/(1-frac_sam_12_23months+(frac_sam_12_23months*0.8)),0),1)</f>
        <v>0.19404292950484903</v>
      </c>
      <c r="H128" s="90">
        <f>MIN(MAX(1-0.8/(1-frac_sam_24_59months+(frac_sam_24_59months*0.8)),0),1)</f>
        <v>0.19784525191569591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0.18835016262216131</v>
      </c>
      <c r="G130" s="90">
        <f>MIN(MAX(1-0.8/(1-frac_mam_12_23months+(frac_mam_12_23months*0.8)),0),1)</f>
        <v>0.19191997551194284</v>
      </c>
      <c r="H130" s="90">
        <f>MIN(MAX(1-0.8/(1-frac_mam_24_59months+(frac_mam_24_59months*0.8)),0),1)</f>
        <v>0.19637804369806888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SMtcL21EQcdsye8mqx0rsxxauhokoSKLfkN+zPMY+oLTt5Zeqye0rgHKVqCLw6t/aDXBCzgVbOTJZxitfwB9w==" saltValue="2n6z1ztk9L7YN0BI0FSV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U9odhOSgnbUnClTUVKzHQ61PzJ5ok75XTPNa+29heLLoSWxKNU21KaOSt+4O2/cw47MX250Mh1PJHs8Yt0BSg==" saltValue="9cCfSf2+mucENcKw3EEkR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2024-08-06T08:01:58Z</dcterms:modified>
</cp:coreProperties>
</file>