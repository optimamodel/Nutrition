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0240B14B-A68E-411B-8EE7-3E050F7BE9F8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I40" i="2"/>
  <c r="H40" i="2"/>
  <c r="G40" i="2"/>
  <c r="H39" i="2"/>
  <c r="I39" i="2" s="1"/>
  <c r="G39" i="2"/>
  <c r="H38" i="2"/>
  <c r="I38" i="2" s="1"/>
  <c r="G38" i="2"/>
  <c r="A35" i="2"/>
  <c r="A32" i="2"/>
  <c r="A31" i="2"/>
  <c r="A26" i="2"/>
  <c r="A23" i="2"/>
  <c r="A21" i="2"/>
  <c r="A17" i="2"/>
  <c r="H13" i="2"/>
  <c r="I13" i="2" s="1"/>
  <c r="G13" i="2"/>
  <c r="I12" i="2"/>
  <c r="H12" i="2"/>
  <c r="G12" i="2"/>
  <c r="H11" i="2"/>
  <c r="I11" i="2" s="1"/>
  <c r="G11" i="2"/>
  <c r="H10" i="2"/>
  <c r="I10" i="2" s="1"/>
  <c r="G10" i="2"/>
  <c r="H9" i="2"/>
  <c r="I9" i="2" s="1"/>
  <c r="G9" i="2"/>
  <c r="H8" i="2"/>
  <c r="I8" i="2" s="1"/>
  <c r="G8" i="2"/>
  <c r="H7" i="2"/>
  <c r="I7" i="2" s="1"/>
  <c r="G7" i="2"/>
  <c r="I6" i="2"/>
  <c r="H6" i="2"/>
  <c r="G6" i="2"/>
  <c r="H5" i="2"/>
  <c r="I5" i="2" s="1"/>
  <c r="G5" i="2"/>
  <c r="H4" i="2"/>
  <c r="I4" i="2" s="1"/>
  <c r="G4" i="2"/>
  <c r="H3" i="2"/>
  <c r="I3" i="2" s="1"/>
  <c r="G3" i="2"/>
  <c r="H2" i="2"/>
  <c r="I2" i="2" s="1"/>
  <c r="G2" i="2"/>
  <c r="A2" i="2"/>
  <c r="A40" i="2" s="1"/>
  <c r="C33" i="1"/>
  <c r="C20" i="1"/>
  <c r="A15" i="2" l="1"/>
  <c r="A24" i="2"/>
  <c r="A33" i="2"/>
  <c r="A39" i="2"/>
  <c r="A16" i="2"/>
  <c r="A25" i="2"/>
  <c r="A34" i="2"/>
  <c r="A27" i="2"/>
  <c r="A3" i="2"/>
  <c r="A19" i="2"/>
  <c r="A28" i="2"/>
  <c r="A37" i="2"/>
  <c r="A18" i="2"/>
  <c r="A36" i="2"/>
  <c r="A20" i="2"/>
  <c r="A29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<sst xmlns="http://schemas.openxmlformats.org/spreadsheetml/2006/main" count="2101" uniqueCount="341">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</sst>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1065094.578125</v>
      </c>
    </row>
    <row r="8" spans="1:3" ht="15" customHeight="1" x14ac:dyDescent="0.25">
      <c r="B8" s="5" t="s">
        <v>44</v>
      </c>
      <c r="C8" s="44">
        <v>0.16500000000000001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0.48369369506835902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0.24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0.14680000000000001</v>
      </c>
    </row>
    <row r="24" spans="1:3" ht="15" customHeight="1" x14ac:dyDescent="0.25">
      <c r="B24" s="15" t="s">
        <v>46</v>
      </c>
      <c r="C24" s="45">
        <v>0.50009999999999999</v>
      </c>
    </row>
    <row r="25" spans="1:3" ht="15" customHeight="1" x14ac:dyDescent="0.25">
      <c r="B25" s="15" t="s">
        <v>47</v>
      </c>
      <c r="C25" s="45">
        <v>0.28989999999999999</v>
      </c>
    </row>
    <row r="26" spans="1:3" ht="15" customHeight="1" x14ac:dyDescent="0.25">
      <c r="B26" s="15" t="s">
        <v>48</v>
      </c>
      <c r="C26" s="45">
        <v>6.3199999999999992E-2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0.113828003000999</v>
      </c>
    </row>
    <row r="30" spans="1:3" ht="14.25" customHeight="1" x14ac:dyDescent="0.25">
      <c r="B30" s="25" t="s">
        <v>63</v>
      </c>
      <c r="C30" s="99">
        <v>0.86686825779453802</v>
      </c>
    </row>
    <row r="31" spans="1:3" ht="14.25" customHeight="1" x14ac:dyDescent="0.25">
      <c r="B31" s="25" t="s">
        <v>10</v>
      </c>
      <c r="C31" s="99">
        <v>1.7877388634686599E-2</v>
      </c>
    </row>
    <row r="32" spans="1:3" ht="14.25" customHeight="1" x14ac:dyDescent="0.25">
      <c r="B32" s="25" t="s">
        <v>11</v>
      </c>
      <c r="C32" s="99">
        <v>1.42635056977604E-3</v>
      </c>
    </row>
    <row r="33" spans="1:5" ht="13" customHeight="1" x14ac:dyDescent="0.25">
      <c r="B33" s="27" t="s">
        <v>60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9.5039800000000003</v>
      </c>
    </row>
    <row r="38" spans="1:5" ht="15" customHeight="1" x14ac:dyDescent="0.25">
      <c r="B38" s="11" t="s">
        <v>35</v>
      </c>
      <c r="C38" s="43">
        <v>14.23409</v>
      </c>
      <c r="D38" s="12"/>
      <c r="E38" s="13"/>
    </row>
    <row r="39" spans="1:5" ht="15" customHeight="1" x14ac:dyDescent="0.25">
      <c r="B39" s="11" t="s">
        <v>61</v>
      </c>
      <c r="C39" s="43">
        <v>16.555910000000001</v>
      </c>
      <c r="D39" s="12"/>
      <c r="E39" s="12"/>
    </row>
    <row r="40" spans="1:5" ht="15" customHeight="1" x14ac:dyDescent="0.25">
      <c r="B40" s="11" t="s">
        <v>36</v>
      </c>
      <c r="C40" s="100">
        <v>0.72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8.2260899999999992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7.1935000000000002E-3</v>
      </c>
      <c r="D45" s="12"/>
    </row>
    <row r="46" spans="1:5" ht="15.75" customHeight="1" x14ac:dyDescent="0.25">
      <c r="B46" s="11" t="s">
        <v>51</v>
      </c>
      <c r="C46" s="45">
        <v>7.7293600000000004E-2</v>
      </c>
      <c r="D46" s="12"/>
    </row>
    <row r="47" spans="1:5" ht="15.75" customHeight="1" x14ac:dyDescent="0.25">
      <c r="B47" s="11" t="s">
        <v>59</v>
      </c>
      <c r="C47" s="45">
        <v>7.4160000000000004E-2</v>
      </c>
      <c r="D47" s="12"/>
      <c r="E47" s="13"/>
    </row>
    <row r="48" spans="1:5" ht="15" customHeight="1" x14ac:dyDescent="0.25">
      <c r="B48" s="11" t="s">
        <v>58</v>
      </c>
      <c r="C48" s="46">
        <v>0.84135289999999996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0.62768099999999993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0.108972099999999</v>
      </c>
    </row>
    <row r="63" spans="1:4" ht="15.75" customHeight="1" x14ac:dyDescent="0.3">
      <c r="A63" s="4"/>
    </row>
  </sheetData>
  <sheetProtection algorithmName="SHA-512" hashValue="J75uQAUd2CiDi/orVVdVRsEDZNrRHY7tJ0L3nrmomb+6IhtfmrH+FimTYDSxvuuQctKP4f2gX4VDRrgUtMjqBQ==" saltValue="mPHQoMyPLEnKzL0aj7iR/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217184</v>
      </c>
      <c r="C2" s="49">
        <v>618856.50000000012</v>
      </c>
      <c r="D2" s="49">
        <v>1008097.5</v>
      </c>
      <c r="E2" s="49">
        <v>825340</v>
      </c>
      <c r="F2" s="49">
        <v>562616</v>
      </c>
      <c r="G2" s="17">
        <f t="shared" ref="G2:G13" si="0">C2+D2+E2+F2</f>
        <v>3014910</v>
      </c>
      <c r="H2" s="17">
        <f t="shared" ref="H2:H13" si="1">(B2 + stillbirth*B2/(1000-stillbirth))/(1-abortion)</f>
        <v>248847.03813190648</v>
      </c>
      <c r="I2" s="17">
        <f t="shared" ref="I2:I13" si="2">G2-H2</f>
        <v>2766062.9618680933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216965</v>
      </c>
      <c r="C3" s="50">
        <v>615624</v>
      </c>
      <c r="D3" s="50">
        <v>1016725.5</v>
      </c>
      <c r="E3" s="50">
        <v>843590</v>
      </c>
      <c r="F3" s="50">
        <v>580687</v>
      </c>
      <c r="G3" s="17">
        <f t="shared" si="0"/>
        <v>3056626.5</v>
      </c>
      <c r="H3" s="17">
        <f t="shared" si="1"/>
        <v>248596.11034095095</v>
      </c>
      <c r="I3" s="17">
        <f t="shared" si="2"/>
        <v>2808030.389659049</v>
      </c>
    </row>
    <row r="4" spans="1:9" ht="15.75" customHeight="1" x14ac:dyDescent="0.25">
      <c r="A4" s="5">
        <f t="shared" si="3"/>
        <v>2026</v>
      </c>
      <c r="B4" s="49">
        <v>216964</v>
      </c>
      <c r="C4" s="50">
        <v>612278.5</v>
      </c>
      <c r="D4" s="50">
        <v>1023552.5</v>
      </c>
      <c r="E4" s="50">
        <v>861838.5</v>
      </c>
      <c r="F4" s="50">
        <v>597547.5</v>
      </c>
      <c r="G4" s="17">
        <f t="shared" si="0"/>
        <v>3095217</v>
      </c>
      <c r="H4" s="17">
        <f t="shared" si="1"/>
        <v>248594.96455195115</v>
      </c>
      <c r="I4" s="17">
        <f t="shared" si="2"/>
        <v>2846622.0354480487</v>
      </c>
    </row>
    <row r="5" spans="1:9" ht="15.75" customHeight="1" x14ac:dyDescent="0.25">
      <c r="A5" s="5">
        <f t="shared" si="3"/>
        <v>2027</v>
      </c>
      <c r="B5" s="49">
        <v>216158</v>
      </c>
      <c r="C5" s="50">
        <v>609103.99999999988</v>
      </c>
      <c r="D5" s="50">
        <v>1028359</v>
      </c>
      <c r="E5" s="50">
        <v>880163.5</v>
      </c>
      <c r="F5" s="50">
        <v>613690.5</v>
      </c>
      <c r="G5" s="17">
        <f t="shared" si="0"/>
        <v>3131317</v>
      </c>
      <c r="H5" s="17">
        <f t="shared" si="1"/>
        <v>247671.45861811482</v>
      </c>
      <c r="I5" s="17">
        <f t="shared" si="2"/>
        <v>2883645.5413818853</v>
      </c>
    </row>
    <row r="6" spans="1:9" ht="15.75" customHeight="1" x14ac:dyDescent="0.25">
      <c r="A6" s="5">
        <f t="shared" si="3"/>
        <v>2028</v>
      </c>
      <c r="B6" s="49">
        <v>215913</v>
      </c>
      <c r="C6" s="50">
        <v>606371.5</v>
      </c>
      <c r="D6" s="50">
        <v>1030792</v>
      </c>
      <c r="E6" s="50">
        <v>898873.5</v>
      </c>
      <c r="F6" s="50">
        <v>629201.5</v>
      </c>
      <c r="G6" s="17">
        <f t="shared" si="0"/>
        <v>3165238.5</v>
      </c>
      <c r="H6" s="17">
        <f t="shared" si="1"/>
        <v>247390.74031316454</v>
      </c>
      <c r="I6" s="17">
        <f t="shared" si="2"/>
        <v>2917847.7596868356</v>
      </c>
    </row>
    <row r="7" spans="1:9" ht="15.75" customHeight="1" x14ac:dyDescent="0.25">
      <c r="A7" s="5">
        <f t="shared" si="3"/>
        <v>2029</v>
      </c>
      <c r="B7" s="49">
        <v>215104</v>
      </c>
      <c r="C7" s="50">
        <v>604360</v>
      </c>
      <c r="D7" s="50">
        <v>1030517.5</v>
      </c>
      <c r="E7" s="50">
        <v>918089</v>
      </c>
      <c r="F7" s="50">
        <v>644001.5</v>
      </c>
      <c r="G7" s="17">
        <f t="shared" si="0"/>
        <v>3196968</v>
      </c>
      <c r="H7" s="17">
        <f t="shared" si="1"/>
        <v>246463.79701232878</v>
      </c>
      <c r="I7" s="17">
        <f t="shared" si="2"/>
        <v>2950504.2029876714</v>
      </c>
    </row>
    <row r="8" spans="1:9" ht="15.75" customHeight="1" x14ac:dyDescent="0.25">
      <c r="A8" s="5">
        <f t="shared" si="3"/>
        <v>2030</v>
      </c>
      <c r="B8" s="49">
        <v>214795</v>
      </c>
      <c r="C8" s="50">
        <v>603372.99999999988</v>
      </c>
      <c r="D8" s="50">
        <v>1028100.5</v>
      </c>
      <c r="E8" s="50">
        <v>936964.5</v>
      </c>
      <c r="F8" s="50">
        <v>658391.5</v>
      </c>
      <c r="G8" s="17">
        <f t="shared" si="0"/>
        <v>3226829.5</v>
      </c>
      <c r="H8" s="17">
        <f t="shared" si="1"/>
        <v>246109.7482113915</v>
      </c>
      <c r="I8" s="17">
        <f t="shared" si="2"/>
        <v>2980719.7517886087</v>
      </c>
    </row>
    <row r="9" spans="1:9" ht="15.75" customHeight="1" x14ac:dyDescent="0.25">
      <c r="A9" s="5">
        <f t="shared" si="3"/>
        <v>2031</v>
      </c>
      <c r="B9" s="49">
        <v>213113</v>
      </c>
      <c r="C9" s="50">
        <v>603548</v>
      </c>
      <c r="D9" s="50">
        <v>1024482</v>
      </c>
      <c r="E9" s="50">
        <v>954492.5</v>
      </c>
      <c r="F9" s="50">
        <v>672778</v>
      </c>
      <c r="G9" s="17">
        <f t="shared" si="0"/>
        <v>3255300.5</v>
      </c>
      <c r="H9" s="17">
        <f t="shared" si="1"/>
        <v>244182.53111373298</v>
      </c>
      <c r="I9" s="17">
        <f t="shared" si="2"/>
        <v>3011117.9688862669</v>
      </c>
    </row>
    <row r="10" spans="1:9" ht="15.75" customHeight="1" x14ac:dyDescent="0.25">
      <c r="A10" s="5">
        <f t="shared" si="3"/>
        <v>2032</v>
      </c>
      <c r="B10" s="49">
        <v>212134</v>
      </c>
      <c r="C10" s="50">
        <v>604822.5</v>
      </c>
      <c r="D10" s="50">
        <v>1020245.5</v>
      </c>
      <c r="E10" s="50">
        <v>970043.5</v>
      </c>
      <c r="F10" s="50">
        <v>687439</v>
      </c>
      <c r="G10" s="17">
        <f t="shared" si="0"/>
        <v>3282550.5</v>
      </c>
      <c r="H10" s="17">
        <f t="shared" si="1"/>
        <v>243060.80368293179</v>
      </c>
      <c r="I10" s="17">
        <f t="shared" si="2"/>
        <v>3039489.6963170683</v>
      </c>
    </row>
    <row r="11" spans="1:9" ht="15.75" customHeight="1" x14ac:dyDescent="0.25">
      <c r="A11" s="5">
        <f t="shared" si="3"/>
        <v>2033</v>
      </c>
      <c r="B11" s="49">
        <v>210819</v>
      </c>
      <c r="C11" s="50">
        <v>607020</v>
      </c>
      <c r="D11" s="50">
        <v>1015854.5</v>
      </c>
      <c r="E11" s="50">
        <v>983210</v>
      </c>
      <c r="F11" s="50">
        <v>702601</v>
      </c>
      <c r="G11" s="17">
        <f t="shared" si="0"/>
        <v>3308685.5</v>
      </c>
      <c r="H11" s="17">
        <f t="shared" si="1"/>
        <v>241554.09114819873</v>
      </c>
      <c r="I11" s="17">
        <f t="shared" si="2"/>
        <v>3067131.4088518014</v>
      </c>
    </row>
    <row r="12" spans="1:9" ht="15.75" customHeight="1" x14ac:dyDescent="0.25">
      <c r="A12" s="5">
        <f t="shared" si="3"/>
        <v>2034</v>
      </c>
      <c r="B12" s="49">
        <v>208915</v>
      </c>
      <c r="C12" s="50">
        <v>609816</v>
      </c>
      <c r="D12" s="50">
        <v>1011656</v>
      </c>
      <c r="E12" s="50">
        <v>994073.5</v>
      </c>
      <c r="F12" s="50">
        <v>718539</v>
      </c>
      <c r="G12" s="17">
        <f t="shared" si="0"/>
        <v>3334084.5</v>
      </c>
      <c r="H12" s="17">
        <f t="shared" si="1"/>
        <v>239372.50889258529</v>
      </c>
      <c r="I12" s="17">
        <f t="shared" si="2"/>
        <v>3094711.9911074145</v>
      </c>
    </row>
    <row r="13" spans="1:9" ht="15.75" customHeight="1" x14ac:dyDescent="0.25">
      <c r="A13" s="5">
        <f t="shared" si="3"/>
        <v>2035</v>
      </c>
      <c r="B13" s="49">
        <v>208357</v>
      </c>
      <c r="C13" s="50">
        <v>612797</v>
      </c>
      <c r="D13" s="50">
        <v>1007957.5</v>
      </c>
      <c r="E13" s="50">
        <v>1003012</v>
      </c>
      <c r="F13" s="50">
        <v>735159</v>
      </c>
      <c r="G13" s="17">
        <f t="shared" si="0"/>
        <v>3358925.5</v>
      </c>
      <c r="H13" s="17">
        <f t="shared" si="1"/>
        <v>238733.15863069857</v>
      </c>
      <c r="I13" s="17">
        <f t="shared" si="2"/>
        <v>3120192.3413693015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rWCk1qVGXvXvkXTI4Q6LN3y2hJyP5JSYpFx7Y5/eTbgWK6RDEhu0ELtjKm5Pg7m9tuXGuULX05aCUp5DVFxJg==" saltValue="BUk8qlDWFtdmZLXtYOXHa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7.7452100000000051E-2</v>
      </c>
    </row>
    <row r="5" spans="1:8" ht="15.75" customHeight="1" x14ac:dyDescent="0.25">
      <c r="B5" s="19" t="s">
        <v>95</v>
      </c>
      <c r="C5" s="101">
        <v>2.7733600000000049E-2</v>
      </c>
    </row>
    <row r="6" spans="1:8" ht="15.75" customHeight="1" x14ac:dyDescent="0.25">
      <c r="B6" s="19" t="s">
        <v>91</v>
      </c>
      <c r="C6" s="101">
        <v>0.16728139999999991</v>
      </c>
    </row>
    <row r="7" spans="1:8" ht="15.75" customHeight="1" x14ac:dyDescent="0.25">
      <c r="B7" s="19" t="s">
        <v>96</v>
      </c>
      <c r="C7" s="101">
        <v>0.43133549999999909</v>
      </c>
    </row>
    <row r="8" spans="1:8" ht="15.75" customHeight="1" x14ac:dyDescent="0.25">
      <c r="B8" s="19" t="s">
        <v>98</v>
      </c>
      <c r="C8" s="101">
        <v>9.3167000000000041E-3</v>
      </c>
    </row>
    <row r="9" spans="1:8" ht="15.75" customHeight="1" x14ac:dyDescent="0.25">
      <c r="B9" s="19" t="s">
        <v>92</v>
      </c>
      <c r="C9" s="101">
        <v>0.2029222000000008</v>
      </c>
    </row>
    <row r="10" spans="1:8" ht="15.75" customHeight="1" x14ac:dyDescent="0.25">
      <c r="B10" s="19" t="s">
        <v>94</v>
      </c>
      <c r="C10" s="101">
        <v>8.3958499999999908E-2</v>
      </c>
    </row>
    <row r="11" spans="1:8" ht="15.75" customHeight="1" x14ac:dyDescent="0.25">
      <c r="B11" s="27" t="s">
        <v>60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0.32066211308131543</v>
      </c>
      <c r="D14" s="55">
        <v>0.32066211308131543</v>
      </c>
      <c r="E14" s="55">
        <v>0.32066211308131543</v>
      </c>
      <c r="F14" s="55">
        <v>0.32066211308131543</v>
      </c>
    </row>
    <row r="15" spans="1:8" ht="15.75" customHeight="1" x14ac:dyDescent="0.25">
      <c r="B15" s="19" t="s">
        <v>102</v>
      </c>
      <c r="C15" s="101">
        <v>0.40880962009481991</v>
      </c>
      <c r="D15" s="101">
        <v>0.40880962009481991</v>
      </c>
      <c r="E15" s="101">
        <v>0.40880962009481991</v>
      </c>
      <c r="F15" s="101">
        <v>0.40880962009481991</v>
      </c>
    </row>
    <row r="16" spans="1:8" ht="15.75" customHeight="1" x14ac:dyDescent="0.25">
      <c r="B16" s="19" t="s">
        <v>2</v>
      </c>
      <c r="C16" s="101">
        <v>1.389605921598821E-2</v>
      </c>
      <c r="D16" s="101">
        <v>1.389605921598821E-2</v>
      </c>
      <c r="E16" s="101">
        <v>1.389605921598821E-2</v>
      </c>
      <c r="F16" s="101">
        <v>1.389605921598821E-2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2.2400301830658709E-2</v>
      </c>
      <c r="D19" s="101">
        <v>2.2400301830658709E-2</v>
      </c>
      <c r="E19" s="101">
        <v>2.2400301830658709E-2</v>
      </c>
      <c r="F19" s="101">
        <v>2.2400301830658709E-2</v>
      </c>
    </row>
    <row r="20" spans="1:8" ht="15.75" customHeight="1" x14ac:dyDescent="0.25">
      <c r="B20" s="19" t="s">
        <v>79</v>
      </c>
      <c r="C20" s="101">
        <v>1.215411425305395E-2</v>
      </c>
      <c r="D20" s="101">
        <v>1.215411425305395E-2</v>
      </c>
      <c r="E20" s="101">
        <v>1.215411425305395E-2</v>
      </c>
      <c r="F20" s="101">
        <v>1.215411425305395E-2</v>
      </c>
    </row>
    <row r="21" spans="1:8" ht="15.75" customHeight="1" x14ac:dyDescent="0.25">
      <c r="B21" s="19" t="s">
        <v>88</v>
      </c>
      <c r="C21" s="101">
        <v>0.11903384826955</v>
      </c>
      <c r="D21" s="101">
        <v>0.11903384826955</v>
      </c>
      <c r="E21" s="101">
        <v>0.11903384826955</v>
      </c>
      <c r="F21" s="101">
        <v>0.11903384826955</v>
      </c>
    </row>
    <row r="22" spans="1:8" ht="15.75" customHeight="1" x14ac:dyDescent="0.25">
      <c r="B22" s="19" t="s">
        <v>99</v>
      </c>
      <c r="C22" s="101">
        <v>0.1030439432546139</v>
      </c>
      <c r="D22" s="101">
        <v>0.1030439432546139</v>
      </c>
      <c r="E22" s="101">
        <v>0.1030439432546139</v>
      </c>
      <c r="F22" s="101">
        <v>0.1030439432546139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2.3295386000000001E-2</v>
      </c>
    </row>
    <row r="27" spans="1:8" ht="15.75" customHeight="1" x14ac:dyDescent="0.25">
      <c r="B27" s="19" t="s">
        <v>89</v>
      </c>
      <c r="C27" s="101">
        <v>9.7438085999999993E-2</v>
      </c>
    </row>
    <row r="28" spans="1:8" ht="15.75" customHeight="1" x14ac:dyDescent="0.25">
      <c r="B28" s="19" t="s">
        <v>103</v>
      </c>
      <c r="C28" s="101">
        <v>0.31612977399999997</v>
      </c>
    </row>
    <row r="29" spans="1:8" ht="15.75" customHeight="1" x14ac:dyDescent="0.25">
      <c r="B29" s="19" t="s">
        <v>86</v>
      </c>
      <c r="C29" s="101">
        <v>0.192412257</v>
      </c>
    </row>
    <row r="30" spans="1:8" ht="15.75" customHeight="1" x14ac:dyDescent="0.25">
      <c r="B30" s="19" t="s">
        <v>4</v>
      </c>
      <c r="C30" s="101">
        <v>0.10694290400000001</v>
      </c>
    </row>
    <row r="31" spans="1:8" ht="15.75" customHeight="1" x14ac:dyDescent="0.25">
      <c r="B31" s="19" t="s">
        <v>80</v>
      </c>
      <c r="C31" s="101">
        <v>2.3714310999999998E-2</v>
      </c>
    </row>
    <row r="32" spans="1:8" ht="15.75" customHeight="1" x14ac:dyDescent="0.25">
      <c r="B32" s="19" t="s">
        <v>85</v>
      </c>
      <c r="C32" s="101">
        <v>2.6508690000000001E-3</v>
      </c>
    </row>
    <row r="33" spans="2:3" ht="15.75" customHeight="1" x14ac:dyDescent="0.25">
      <c r="B33" s="19" t="s">
        <v>100</v>
      </c>
      <c r="C33" s="101">
        <v>0.189281701</v>
      </c>
    </row>
    <row r="34" spans="2:3" ht="15.75" customHeight="1" x14ac:dyDescent="0.25">
      <c r="B34" s="19" t="s">
        <v>87</v>
      </c>
      <c r="C34" s="101">
        <v>4.813471099999999E-2</v>
      </c>
    </row>
    <row r="35" spans="2:3" ht="15.75" customHeight="1" x14ac:dyDescent="0.25">
      <c r="B35" s="27" t="s">
        <v>60</v>
      </c>
      <c r="C35" s="48">
        <f>SUM(C26:C34)</f>
        <v>0.99999999899999992</v>
      </c>
    </row>
  </sheetData>
  <sheetProtection algorithmName="SHA-512" hashValue="/BFQr8kCfdJ3QUSQ2zd1ofDFq5JdRe6yr4o12Z8qD3XPoQwBOufsoabV3EAkm17UloMxeJuaivKW5/A5Mm70IQ==" saltValue="fHHBOANqI7O5Eno0Ett7W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0.63510746440877086</v>
      </c>
      <c r="D2" s="52">
        <f>IFERROR(1-_xlfn.NORM.DIST(_xlfn.NORM.INV(SUM(D4:D5), 0, 1) + 1, 0, 1, TRUE), "")</f>
        <v>0.63510746440877086</v>
      </c>
      <c r="E2" s="52">
        <f>IFERROR(1-_xlfn.NORM.DIST(_xlfn.NORM.INV(SUM(E4:E5), 0, 1) + 1, 0, 1, TRUE), "")</f>
        <v>0.59147396426392407</v>
      </c>
      <c r="F2" s="52">
        <f>IFERROR(1-_xlfn.NORM.DIST(_xlfn.NORM.INV(SUM(F4:F5), 0, 1) + 1, 0, 1, TRUE), "")</f>
        <v>0.46485871553857572</v>
      </c>
      <c r="G2" s="52">
        <f>IFERROR(1-_xlfn.NORM.DIST(_xlfn.NORM.INV(SUM(G4:G5), 0, 1) + 1, 0, 1, TRUE), "")</f>
        <v>0.41426804604924083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0.27564633559122909</v>
      </c>
      <c r="D3" s="52">
        <f>IFERROR(_xlfn.NORM.DIST(_xlfn.NORM.INV(SUM(D4:D5), 0, 1) + 1, 0, 1, TRUE) - SUM(D4:D5), "")</f>
        <v>0.27564633559122909</v>
      </c>
      <c r="E3" s="52">
        <f>IFERROR(_xlfn.NORM.DIST(_xlfn.NORM.INV(SUM(E4:E5), 0, 1) + 1, 0, 1, TRUE) - SUM(E4:E5), "")</f>
        <v>0.2994278357360759</v>
      </c>
      <c r="F3" s="52">
        <f>IFERROR(_xlfn.NORM.DIST(_xlfn.NORM.INV(SUM(F4:F5), 0, 1) + 1, 0, 1, TRUE) - SUM(F4:F5), "")</f>
        <v>0.35420418446142432</v>
      </c>
      <c r="G3" s="52">
        <f>IFERROR(_xlfn.NORM.DIST(_xlfn.NORM.INV(SUM(G4:G5), 0, 1) + 1, 0, 1, TRUE) - SUM(G4:G5), "")</f>
        <v>0.36904185395075917</v>
      </c>
    </row>
    <row r="4" spans="1:15" ht="15.75" customHeight="1" x14ac:dyDescent="0.25">
      <c r="B4" s="5" t="s">
        <v>110</v>
      </c>
      <c r="C4" s="45">
        <v>7.2389800000000004E-2</v>
      </c>
      <c r="D4" s="53">
        <v>7.2389800000000004E-2</v>
      </c>
      <c r="E4" s="53">
        <v>8.9044200000000004E-2</v>
      </c>
      <c r="F4" s="53">
        <v>0.14756929999999999</v>
      </c>
      <c r="G4" s="53">
        <v>0.16535710000000001</v>
      </c>
    </row>
    <row r="5" spans="1:15" ht="15.75" customHeight="1" x14ac:dyDescent="0.25">
      <c r="B5" s="5" t="s">
        <v>106</v>
      </c>
      <c r="C5" s="45">
        <v>1.6856400000000001E-2</v>
      </c>
      <c r="D5" s="53">
        <v>1.6856400000000001E-2</v>
      </c>
      <c r="E5" s="53">
        <v>2.0053999999999999E-2</v>
      </c>
      <c r="F5" s="53">
        <v>3.3367800000000003E-2</v>
      </c>
      <c r="G5" s="53">
        <v>5.1332999999999997E-2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0.81830302949581957</v>
      </c>
      <c r="D8" s="52">
        <f>IFERROR(1-_xlfn.NORM.DIST(_xlfn.NORM.INV(SUM(D10:D11), 0, 1) + 1, 0, 1, TRUE), "")</f>
        <v>0.81830302949581957</v>
      </c>
      <c r="E8" s="52">
        <f>IFERROR(1-_xlfn.NORM.DIST(_xlfn.NORM.INV(SUM(E10:E11), 0, 1) + 1, 0, 1, TRUE), "")</f>
        <v>0.84828482406908745</v>
      </c>
      <c r="F8" s="52">
        <f>IFERROR(1-_xlfn.NORM.DIST(_xlfn.NORM.INV(SUM(F10:F11), 0, 1) + 1, 0, 1, TRUE), "")</f>
        <v>0.83033086748500462</v>
      </c>
      <c r="G8" s="52">
        <f>IFERROR(1-_xlfn.NORM.DIST(_xlfn.NORM.INV(SUM(G10:G11), 0, 1) + 1, 0, 1, TRUE), "")</f>
        <v>0.87951930789818533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0.1535605705041804</v>
      </c>
      <c r="D9" s="52">
        <f>IFERROR(_xlfn.NORM.DIST(_xlfn.NORM.INV(SUM(D10:D11), 0, 1) + 1, 0, 1, TRUE) - SUM(D10:D11), "")</f>
        <v>0.1535605705041804</v>
      </c>
      <c r="E9" s="52">
        <f>IFERROR(_xlfn.NORM.DIST(_xlfn.NORM.INV(SUM(E10:E11), 0, 1) + 1, 0, 1, TRUE) - SUM(E10:E11), "")</f>
        <v>0.13049137593091248</v>
      </c>
      <c r="F9" s="52">
        <f>IFERROR(_xlfn.NORM.DIST(_xlfn.NORM.INV(SUM(F10:F11), 0, 1) + 1, 0, 1, TRUE) - SUM(F10:F11), "")</f>
        <v>0.14440553251499541</v>
      </c>
      <c r="G9" s="52">
        <f>IFERROR(_xlfn.NORM.DIST(_xlfn.NORM.INV(SUM(G10:G11), 0, 1) + 1, 0, 1, TRUE) - SUM(G10:G11), "")</f>
        <v>0.10557499210181473</v>
      </c>
    </row>
    <row r="10" spans="1:15" ht="15.75" customHeight="1" x14ac:dyDescent="0.25">
      <c r="B10" s="5" t="s">
        <v>107</v>
      </c>
      <c r="C10" s="45">
        <v>2.02408E-2</v>
      </c>
      <c r="D10" s="53">
        <v>2.02408E-2</v>
      </c>
      <c r="E10" s="53">
        <v>1.9192799999999999E-2</v>
      </c>
      <c r="F10" s="53">
        <v>1.6846099999999999E-2</v>
      </c>
      <c r="G10" s="53">
        <v>1.1436699999999999E-2</v>
      </c>
    </row>
    <row r="11" spans="1:15" ht="15.75" customHeight="1" x14ac:dyDescent="0.25">
      <c r="B11" s="5" t="s">
        <v>119</v>
      </c>
      <c r="C11" s="45">
        <v>7.8956000000000009E-3</v>
      </c>
      <c r="D11" s="53">
        <v>7.8956000000000009E-3</v>
      </c>
      <c r="E11" s="53">
        <v>2.0309999999999998E-3</v>
      </c>
      <c r="F11" s="53">
        <v>8.4174999999999996E-3</v>
      </c>
      <c r="G11" s="53">
        <v>3.4689999999999999E-3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0.64111971849999994</v>
      </c>
      <c r="D14" s="54">
        <v>0.61129918249399995</v>
      </c>
      <c r="E14" s="54">
        <v>0.61129918249399995</v>
      </c>
      <c r="F14" s="54">
        <v>0.28696047060300001</v>
      </c>
      <c r="G14" s="54">
        <v>0.28696047060300001</v>
      </c>
      <c r="H14" s="45">
        <v>0.21299999999999999</v>
      </c>
      <c r="I14" s="55">
        <v>0.21299999999999999</v>
      </c>
      <c r="J14" s="55">
        <v>0.21299999999999999</v>
      </c>
      <c r="K14" s="55">
        <v>0.21299999999999999</v>
      </c>
      <c r="L14" s="45">
        <v>0.17599999999999999</v>
      </c>
      <c r="M14" s="55">
        <v>0.17599999999999999</v>
      </c>
      <c r="N14" s="55">
        <v>0.17599999999999999</v>
      </c>
      <c r="O14" s="55">
        <v>0.17599999999999999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0.40241866602779841</v>
      </c>
      <c r="D15" s="52">
        <f t="shared" si="0"/>
        <v>0.38370088216701637</v>
      </c>
      <c r="E15" s="52">
        <f t="shared" si="0"/>
        <v>0.38370088216701637</v>
      </c>
      <c r="F15" s="52">
        <f t="shared" si="0"/>
        <v>0.18011963514856164</v>
      </c>
      <c r="G15" s="52">
        <f t="shared" si="0"/>
        <v>0.18011963514856164</v>
      </c>
      <c r="H15" s="52">
        <f t="shared" si="0"/>
        <v>0.13369605299999998</v>
      </c>
      <c r="I15" s="52">
        <f t="shared" si="0"/>
        <v>0.13369605299999998</v>
      </c>
      <c r="J15" s="52">
        <f t="shared" si="0"/>
        <v>0.13369605299999998</v>
      </c>
      <c r="K15" s="52">
        <f t="shared" si="0"/>
        <v>0.13369605299999998</v>
      </c>
      <c r="L15" s="52">
        <f t="shared" si="0"/>
        <v>0.11047185599999998</v>
      </c>
      <c r="M15" s="52">
        <f t="shared" si="0"/>
        <v>0.11047185599999998</v>
      </c>
      <c r="N15" s="52">
        <f t="shared" si="0"/>
        <v>0.11047185599999998</v>
      </c>
      <c r="O15" s="52">
        <f t="shared" si="0"/>
        <v>0.11047185599999998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1bI8+KUAtdAvSOA5BhGb+3wGUZmGVXAl/5MNjD4p0lOwSlcGa7/H48g9UzccM2F4rlCLtCxlh3Fg4Px05b52QA==" saltValue="sZt3imP7IqHoYF7UHPpe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0.44225300000000001</v>
      </c>
      <c r="D2" s="53">
        <v>0.26074360000000002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7.7970999999999999E-2</v>
      </c>
      <c r="D3" s="53">
        <v>0.1322419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0.4561074</v>
      </c>
      <c r="D4" s="53">
        <v>0.48804560000000002</v>
      </c>
      <c r="E4" s="53">
        <v>0.72140609999999994</v>
      </c>
      <c r="F4" s="53">
        <v>0.51482410000000001</v>
      </c>
      <c r="G4" s="53">
        <v>0</v>
      </c>
    </row>
    <row r="5" spans="1:7" x14ac:dyDescent="0.25">
      <c r="B5" s="3" t="s">
        <v>125</v>
      </c>
      <c r="C5" s="52">
        <v>2.3668600000000001E-2</v>
      </c>
      <c r="D5" s="52">
        <v>0.1189689</v>
      </c>
      <c r="E5" s="52">
        <f>1-SUM(E2:E4)</f>
        <v>0.27859390000000006</v>
      </c>
      <c r="F5" s="52">
        <f>1-SUM(F2:F4)</f>
        <v>0.48517589999999999</v>
      </c>
      <c r="G5" s="52">
        <f>1-SUM(G2:G4)</f>
        <v>1</v>
      </c>
    </row>
  </sheetData>
  <sheetProtection algorithmName="SHA-512" hashValue="uTqZK+wMy3yly+HWKs+UpBNZnKHlUrQzjkGs7cNZwgMfa8m+md1UgYvINHK0lp6PYt74sO/V5xnbQUODzhoJ0Q==" saltValue="hhoh4etxYojKhH+jxpwgj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vlwte9ilmC9cEclToHy7VgYtWd3Br4R4SA1DJ8JbaZyvYCkEr4ug4nPJj2OaTHP6p6x6TanuQUf9dV2lXMDC7g==" saltValue="SSFKTMVUY1HHMePQLHWCX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qqLYcCyxta3vUJfI04IomBcWWl7ZrMylFL9ZuenKXq+dVVzI/S0uxy8t55Gj7QmhkU0aHGhyGLs5tDdrUOFPDA==" saltValue="mCGQ2UZApoG/mITOr8v1K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sreb0qkAay/c5eHGzIn39mz+1nnJ+pVpMhR0OcV31mUpipE/furluhAOmZJ723ttwi2KAR0zyMVrSEL5Ak9n2w==" saltValue="lMzFLmejXRd/VfGl8b7QG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Xhsh1oeMsTNXArbaWISBLVPGz+ryAbBe2TyGblGy9SPw99ykT8zQKzmW2XFTRh1CfUsFlVmCWNgNsKwYxxv+JQ==" saltValue="n71M0UDK00jafaYAOxooV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46.657462083638059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42.717327128317891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236.1160204529337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1.0318710934702491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0.37362450000000003</v>
      </c>
      <c r="C10" s="98">
        <v>0.95</v>
      </c>
      <c r="D10" s="56">
        <v>13.73503902833848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13.73503902833848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13.73503902833848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13.73503902833848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0.37362450000000003</v>
      </c>
      <c r="C14" s="98">
        <v>0.95</v>
      </c>
      <c r="D14" s="56">
        <v>13.73503902833848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13.73503902833848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0.47428176618855961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0.23271111111111101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0.26074360000000002</v>
      </c>
      <c r="C18" s="98">
        <v>0.95</v>
      </c>
      <c r="D18" s="56">
        <v>5.4969809474092566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0.26074360000000002</v>
      </c>
      <c r="C19" s="98">
        <v>0.95</v>
      </c>
      <c r="D19" s="56">
        <v>5.4969809474092566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8.8005415971440346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23.544341700323429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4.5831213765060994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0.658036540114042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0.37362450000000003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19.732801874256189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0.52924979999999999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0.57343129999999998</v>
      </c>
      <c r="C29" s="98">
        <v>0.95</v>
      </c>
      <c r="D29" s="56">
        <v>87.693263589511574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0.2992427386952129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0.4</v>
      </c>
      <c r="C32" s="98">
        <v>0.95</v>
      </c>
      <c r="D32" s="56">
        <v>0.98736889208471235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0.84963560000000005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0.2250375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4.1947599999999988E-2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0.91775859999999998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0.306954</v>
      </c>
      <c r="C38" s="98">
        <v>0.95</v>
      </c>
      <c r="D38" s="56">
        <v>6.3501454073226729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NsUgktuJlFLH6MBOvbkwcRmtcR+AXVXLISs0YY1I9I4NtAscouTbqAmiviN1/oQVqlm+S/vjkIH7SXbTCKUcUw==" saltValue="scksB+VNoCJ9lY11lxbZ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zmVf0+k53MtuadGfRf7ki/1yD5Hh1qVDnDZ8ZgwuyCPD2ISdzML5ZnWZBwfGeHG6K7NuZUHWKrjuiJhabyj61Q==" saltValue="KQ7GGMkxNF+1asg2f81Bx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G3plfRgtOQnksX8nUeFF/yFYMGIMQuBA+m1S6DNuaDmF0R96G97llTRUp+w/VBExkfrpUmMJtmbHI4dE5ykq6A==" saltValue="/pU8GfNs8OuEpAFcb3VGf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5.2626079999999999E-2</v>
      </c>
      <c r="C3" s="21">
        <f>frac_mam_1_5months * 2.6</f>
        <v>5.2626079999999999E-2</v>
      </c>
      <c r="D3" s="21">
        <f>frac_mam_6_11months * 2.6</f>
        <v>4.9901279999999999E-2</v>
      </c>
      <c r="E3" s="21">
        <f>frac_mam_12_23months * 2.6</f>
        <v>4.3799860000000003E-2</v>
      </c>
      <c r="F3" s="21">
        <f>frac_mam_24_59months * 2.6</f>
        <v>2.9735419999999999E-2</v>
      </c>
    </row>
    <row r="4" spans="1:6" ht="15.75" customHeight="1" x14ac:dyDescent="0.25">
      <c r="A4" s="3" t="s">
        <v>207</v>
      </c>
      <c r="B4" s="21">
        <f>frac_sam_1month * 2.6</f>
        <v>2.0528560000000005E-2</v>
      </c>
      <c r="C4" s="21">
        <f>frac_sam_1_5months * 2.6</f>
        <v>2.0528560000000005E-2</v>
      </c>
      <c r="D4" s="21">
        <f>frac_sam_6_11months * 2.6</f>
        <v>5.2805999999999999E-3</v>
      </c>
      <c r="E4" s="21">
        <f>frac_sam_12_23months * 2.6</f>
        <v>2.1885499999999999E-2</v>
      </c>
      <c r="F4" s="21">
        <f>frac_sam_24_59months * 2.6</f>
        <v>9.0194000000000003E-3</v>
      </c>
    </row>
  </sheetData>
  <sheetProtection algorithmName="SHA-512" hashValue="wV/pFNY4rc7dlPa89YWQB2KbDP3y3IATzEei8FPsknSWAt/YPMAoYKXUdhYdszOObOWR0dXRjksWSF2w1ZBQZg==" saltValue="kJJ3RenmM7tqbaH7L9R0e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0.16500000000000001</v>
      </c>
      <c r="E2" s="60">
        <f>food_insecure</f>
        <v>0.16500000000000001</v>
      </c>
      <c r="F2" s="60">
        <f>food_insecure</f>
        <v>0.16500000000000001</v>
      </c>
      <c r="G2" s="60">
        <f>food_insecure</f>
        <v>0.16500000000000001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0.16500000000000001</v>
      </c>
      <c r="F5" s="60">
        <f>food_insecure</f>
        <v>0.16500000000000001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0.16500000000000001</v>
      </c>
      <c r="F8" s="60">
        <f>food_insecure</f>
        <v>0.16500000000000001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0.16500000000000001</v>
      </c>
      <c r="F9" s="60">
        <f>food_insecure</f>
        <v>0.16500000000000001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0.16500000000000001</v>
      </c>
      <c r="I15" s="60">
        <f>food_insecure</f>
        <v>0.16500000000000001</v>
      </c>
      <c r="J15" s="60">
        <f>food_insecure</f>
        <v>0.16500000000000001</v>
      </c>
      <c r="K15" s="60">
        <f>food_insecure</f>
        <v>0.16500000000000001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</v>
      </c>
      <c r="M24" s="60">
        <f>famplan_unmet_need</f>
        <v>0.24</v>
      </c>
      <c r="N24" s="60">
        <f>famplan_unmet_need</f>
        <v>0.24</v>
      </c>
      <c r="O24" s="60">
        <f>famplan_unmet_need</f>
        <v>0.24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0.2708801028823854</v>
      </c>
      <c r="M25" s="60">
        <f>(1-food_insecure)*(0.49)+food_insecure*(0.7)</f>
        <v>0.52464999999999995</v>
      </c>
      <c r="N25" s="60">
        <f>(1-food_insecure)*(0.49)+food_insecure*(0.7)</f>
        <v>0.52464999999999995</v>
      </c>
      <c r="O25" s="60">
        <f>(1-food_insecure)*(0.49)+food_insecure*(0.7)</f>
        <v>0.52464999999999995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0.11609147266387945</v>
      </c>
      <c r="M26" s="60">
        <f>(1-food_insecure)*(0.21)+food_insecure*(0.3)</f>
        <v>0.22484999999999999</v>
      </c>
      <c r="N26" s="60">
        <f>(1-food_insecure)*(0.21)+food_insecure*(0.3)</f>
        <v>0.22484999999999999</v>
      </c>
      <c r="O26" s="60">
        <f>(1-food_insecure)*(0.21)+food_insecure*(0.3)</f>
        <v>0.22484999999999999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0.12933472938537607</v>
      </c>
      <c r="M27" s="60">
        <f>(1-food_insecure)*(0.3)</f>
        <v>0.2505</v>
      </c>
      <c r="N27" s="60">
        <f>(1-food_insecure)*(0.3)</f>
        <v>0.2505</v>
      </c>
      <c r="O27" s="60">
        <f>(1-food_insecure)*(0.3)</f>
        <v>0.2505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0.48369369506835896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7APY3b/ndnTkQoU1VEFCwhzFCtwAC4aCFBkgqq5WH1GFtSQDYpE49zCKsYq1fejwQ1KTAqNNU2SuLoX9Nzj9yQ==" saltValue="23oWkAArrh/c+iHeKWOY5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4Wert+tVi68KW82M2cLgV140amxPRsr+7OPPUSHgHvggT830//oCvt4iHQdW7+gX+xWmq9oo3RMUNFb1uSR1IQ==" saltValue="kap3NfgxFMSYDN80r6cHb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F8pHY26GTgo+0vkhIEX5848Uyc8gZnuGWfjJgCenlusbNyMMD/1a3y7Jgm0wv/PTlniBr90QmGDl216xGdWng==" saltValue="aRUDvM+sGkoeGSk2tuSn/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D7dgRReMrbVUGGkfuTruw+2LPJdFeve2RHzCh5axZJ00KD/StWX2C70I+NABMT595X3i5902w5Wv81x7yw/Ffw==" saltValue="+92DKKGZlie629P4hQWuX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ojvs+VxInqUDp7vTA9KWKnhTCWV+T1qQ/2ZKQW3aJEXIG4zzZRzIBUbPFRcN2rrPbbMYFRnSXYJokkTSyjyfwQ==" saltValue="LGCV8v6MRNvVRBvM4r8me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iguIlOfW58ml93JAdI/eGHKBgk/DcdCaQyEeRexhwRrMvVdFj2+p1peuZHQM/52uOkgeNT1NqwDLn3Bhf4hfw==" saltValue="/+bxtso5AihSbf0VP2R1e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5mdUulwFMenYTm4lAymvodi2QojwwKrAuN3xaFG4oEmDH0b6xa6NYeUANr8dic1b8NIIYkCeOTYm67t2onI+sA==" saltValue="ogqKnzZnsb881YmlEepjf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Lis/+XlYZYVKiwGglwxsF9Hqy5DOxlNEO3JhMS+p/4mvcEkyALdjcjfGlFsWV0q5hEQyqSc0m1VSRvjiDNx7A==" saltValue="KVjcM/uOhJbPkadMdaaA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TMaOVLePgu3CT5zED9YSfEBYeYnLOQNH7ccnv6viu7qjYkUmeEyODrkG3asv7Qxxv0PDWFXA5j3FLOjh77M2Q==" saltValue="zLMd7YLbztMvZLZvedv2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j/4enuLzwJaE64GnIqq00lb7HdxOj8vdMFwrum14WtvHUdaQOdK+sNThomxfuJ1JqRA25AM91fvU6JVCXybsbw==" saltValue="f/lrb0bK0LtVOcm4xBRL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zrcBDiRD9F3kQSCIUAKMsVWFMxEiZQ+SvVr/Us/FSpNG1gqlyQi85K2K5MXEsgDxiA2hX9K+86XDXDa+kMZ1A==" saltValue="cTk15zbvKwMKUrBhc7Px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eQyGKodhHbISZ99pd9K0l6psBlsuaKsygbHh0Fxdt+k+04zTVIY/nmo60dNa81hvdXsvzUBcO5P9xtcinRutw==" saltValue="NB+CmUHaMZeC1E+InPTK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EGsuFc239Gh55S33385NVAMQlqmFg+qimxaEby96OmpxKZ2G/mNUwXZEIl0BBg4f6UUIORQplSeoTb2xwRgzfA==" saltValue="sIhBFlo4r6IwWAlV2fyIB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0.10980112066836845</v>
      </c>
      <c r="G18" s="90">
        <f>MIN(MAX(1-0.89/(1-frac_sam_12_23months+(frac_sam_12_23months*0.89)),0),1)</f>
        <v>0.1091751630128126</v>
      </c>
      <c r="H18" s="90">
        <f>MIN(MAX(1-0.89/(1-frac_sam_24_59months+(frac_sam_24_59months*0.89)),0),1)</f>
        <v>0.10966025525680345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0.10811704958000967</v>
      </c>
      <c r="G20" s="90">
        <f>MIN(MAX(1-0.89/(1-frac_mam_12_23months+(frac_mam_12_23months*0.89)),0),1)</f>
        <v>0.10834770499003354</v>
      </c>
      <c r="H20" s="90">
        <f>MIN(MAX(1-0.89/(1-frac_mam_24_59months+(frac_mam_24_59months*0.89)),0),1)</f>
        <v>0.10887893673092819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9.9798926916205843E-3</v>
      </c>
      <c r="G73" s="90">
        <f>MIN(MAX(1-0.99/(1-frac_sam_12_23months+(frac_sam_12_23months*0.99)),0),1)</f>
        <v>9.9166597348331331E-3</v>
      </c>
      <c r="H73" s="90">
        <f>MIN(MAX(1-0.99/(1-frac_sam_24_59months+(frac_sam_24_59months*0.99)),0),1)</f>
        <v>9.9656557085966435E-3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9.8099548050057939E-3</v>
      </c>
      <c r="G75" s="90">
        <f>MIN(MAX(1-0.99/(1-frac_mam_12_23months+(frac_mam_12_23months*0.99)),0),1)</f>
        <v>9.8331955099487667E-3</v>
      </c>
      <c r="H75" s="90">
        <f>MIN(MAX(1-0.99/(1-frac_mam_24_59months+(frac_mam_24_59months*0.99)),0),1)</f>
        <v>9.886763719506364E-3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0.19967490794760823</v>
      </c>
      <c r="G128" s="90">
        <f>MIN(MAX(1-0.8/(1-frac_sam_12_23months+(frac_sam_12_23months*0.8)),0),1)</f>
        <v>0.19865092883869995</v>
      </c>
      <c r="H128" s="90">
        <f>MIN(MAX(1-0.8/(1-frac_sam_24_59months+(frac_sam_24_59months*0.8)),0),1)</f>
        <v>0.19944457464588927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0.19691731894380482</v>
      </c>
      <c r="G130" s="90">
        <f>MIN(MAX(1-0.8/(1-frac_mam_12_23months+(frac_mam_12_23months*0.8)),0),1)</f>
        <v>0.1972955119848897</v>
      </c>
      <c r="H130" s="90">
        <f>MIN(MAX(1-0.8/(1-frac_mam_24_59months+(frac_mam_24_59months*0.8)),0),1)</f>
        <v>0.19816593286487916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NnBIjcxKmyR7Jr3KeQwPQE5WTuWF+vBUMGrBnsTuG0UsjWno8bCuuUxHuc0GxmFSrntRtDFajwiLtJJIMsDfQg==" saltValue="n8e9Y8musF/tyzQ/Ro1q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Xt5r3R6a3ekzPDOIsyvGr66aWAbMcXsJ3X5DNSpgihgkm7Rdinr6dRI9Jr4dHWWKpp4zuQ13iE/Qwl8L0oahdQ==" saltValue="IsjeLmR3wYoFFzeubluzE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2024-08-06T07:42:24Z</dcterms:modified>
</cp:coreProperties>
</file>