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D455C2CD-D2B7-47CB-9686-340A87D45214}" xr6:coauthVersionLast="47" xr6:coauthVersionMax="47" xr10:uidLastSave="{00000000-0000-0000-0000-000000000000}"/>
  <bookViews>
    <workbookView xWindow="-110" yWindow="-110" windowWidth="19420" windowHeight="10420" tabRatio="961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<sst xmlns="http://schemas.openxmlformats.org/spreadsheetml/2006/main" count="2159" uniqueCount="372">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</sst>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1147833.5</v>
      </c>
    </row>
    <row r="8" spans="1:3" ht="15" customHeight="1" x14ac:dyDescent="0.25">
      <c r="B8" s="5" t="s">
        <v>63</v>
      </c>
      <c r="C8" s="44">
        <v>0.16500000000000001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0.48369369506835902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0.14680000000000001</v>
      </c>
    </row>
    <row r="24" spans="1:3" ht="15" customHeight="1" x14ac:dyDescent="0.25">
      <c r="B24" s="15" t="s">
        <v>65</v>
      </c>
      <c r="C24" s="45">
        <v>0.50009999999999999</v>
      </c>
    </row>
    <row r="25" spans="1:3" ht="15" customHeight="1" x14ac:dyDescent="0.25">
      <c r="B25" s="15" t="s">
        <v>66</v>
      </c>
      <c r="C25" s="45">
        <v>0.28989999999999999</v>
      </c>
    </row>
    <row r="26" spans="1:3" ht="15" customHeight="1" x14ac:dyDescent="0.25">
      <c r="B26" s="15" t="s">
        <v>67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0.113828003000999</v>
      </c>
    </row>
    <row r="30" spans="1:3" ht="14.25" customHeight="1" x14ac:dyDescent="0.25">
      <c r="B30" s="25" t="s">
        <v>82</v>
      </c>
      <c r="C30" s="99">
        <v>0.86686825779453802</v>
      </c>
    </row>
    <row r="31" spans="1:3" ht="14.25" customHeight="1" x14ac:dyDescent="0.25">
      <c r="B31" s="25" t="s">
        <v>29</v>
      </c>
      <c r="C31" s="99">
        <v>1.7877388634686599E-2</v>
      </c>
    </row>
    <row r="32" spans="1:3" ht="14.25" customHeight="1" x14ac:dyDescent="0.25">
      <c r="B32" s="25" t="s">
        <v>30</v>
      </c>
      <c r="C32" s="99">
        <v>1.42635056977604E-3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9.5039800000000003</v>
      </c>
    </row>
    <row r="38" spans="1:5" ht="15" customHeight="1" x14ac:dyDescent="0.25">
      <c r="B38" s="11" t="s">
        <v>54</v>
      </c>
      <c r="C38" s="43">
        <v>14.23409</v>
      </c>
      <c r="D38" s="12"/>
      <c r="E38" s="13"/>
    </row>
    <row r="39" spans="1:5" ht="15" customHeight="1" x14ac:dyDescent="0.25">
      <c r="B39" s="11" t="s">
        <v>80</v>
      </c>
      <c r="C39" s="43">
        <v>16.555910000000001</v>
      </c>
      <c r="D39" s="12"/>
      <c r="E39" s="12"/>
    </row>
    <row r="40" spans="1:5" ht="15" customHeight="1" x14ac:dyDescent="0.25">
      <c r="B40" s="11" t="s">
        <v>55</v>
      </c>
      <c r="C40" s="100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7.1935000000000002E-3</v>
      </c>
      <c r="D45" s="12"/>
    </row>
    <row r="46" spans="1:5" ht="15.75" customHeight="1" x14ac:dyDescent="0.25">
      <c r="B46" s="11" t="s">
        <v>70</v>
      </c>
      <c r="C46" s="45">
        <v>7.7293600000000004E-2</v>
      </c>
      <c r="D46" s="12"/>
    </row>
    <row r="47" spans="1:5" ht="15.75" customHeight="1" x14ac:dyDescent="0.25">
      <c r="B47" s="11" t="s">
        <v>78</v>
      </c>
      <c r="C47" s="45">
        <v>7.4160000000000004E-2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0.62768099999999993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oOd5WRN9i1xdpM0m6112+1kA06FQ8VfsUrXrWO5LAHIg5WIWLe3MfGBHH72QyfxHy0KvoPi7/uWBwdM0HPieRQ==" saltValue="kVJgovBr7m5WGbjDUdyk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234369</v>
      </c>
      <c r="C2" s="49">
        <v>518689.49999999994</v>
      </c>
      <c r="D2" s="49">
        <v>1003145</v>
      </c>
      <c r="E2" s="49">
        <v>818781.99999999988</v>
      </c>
      <c r="F2" s="49">
        <v>619956.5</v>
      </c>
      <c r="G2" s="17">
        <f t="shared" ref="G2:G13" si="0">C2+D2+E2+F2</f>
        <v>2960573</v>
      </c>
      <c r="H2" s="17">
        <f t="shared" ref="H2:H13" si="1">(B2 + stillbirth*B2/(1000-stillbirth))/(1-abortion)</f>
        <v>268537.42209341755</v>
      </c>
      <c r="I2" s="17">
        <f t="shared" ref="I2:I13" si="2">G2-H2</f>
        <v>2692035.5779065825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234594</v>
      </c>
      <c r="C3" s="50">
        <v>518692.5</v>
      </c>
      <c r="D3" s="50">
        <v>1011557</v>
      </c>
      <c r="E3" s="50">
        <v>838171.5</v>
      </c>
      <c r="F3" s="50">
        <v>639763.5</v>
      </c>
      <c r="G3" s="17">
        <f t="shared" si="0"/>
        <v>3008184.5</v>
      </c>
      <c r="H3" s="17">
        <f t="shared" si="1"/>
        <v>268795.22461837187</v>
      </c>
      <c r="I3" s="17">
        <f t="shared" si="2"/>
        <v>2739389.275381628</v>
      </c>
    </row>
    <row r="4" spans="1:9" ht="15.75" customHeight="1" x14ac:dyDescent="0.25">
      <c r="A4" s="5">
        <f t="shared" si="3"/>
        <v>2026</v>
      </c>
      <c r="B4" s="49">
        <v>234199</v>
      </c>
      <c r="C4" s="50">
        <v>519025.49999999994</v>
      </c>
      <c r="D4" s="50">
        <v>1017980</v>
      </c>
      <c r="E4" s="50">
        <v>857451</v>
      </c>
      <c r="F4" s="50">
        <v>658539.5</v>
      </c>
      <c r="G4" s="17">
        <f t="shared" si="0"/>
        <v>3052996</v>
      </c>
      <c r="H4" s="17">
        <f t="shared" si="1"/>
        <v>268342.63796345203</v>
      </c>
      <c r="I4" s="17">
        <f t="shared" si="2"/>
        <v>2784653.3620365481</v>
      </c>
    </row>
    <row r="5" spans="1:9" ht="15.75" customHeight="1" x14ac:dyDescent="0.25">
      <c r="A5" s="5">
        <f t="shared" si="3"/>
        <v>2027</v>
      </c>
      <c r="B5" s="49">
        <v>233847</v>
      </c>
      <c r="C5" s="50">
        <v>519692.5</v>
      </c>
      <c r="D5" s="50">
        <v>1023029</v>
      </c>
      <c r="E5" s="50">
        <v>876030.50000000012</v>
      </c>
      <c r="F5" s="50">
        <v>676920.5</v>
      </c>
      <c r="G5" s="17">
        <f t="shared" si="0"/>
        <v>3095672.5</v>
      </c>
      <c r="H5" s="17">
        <f t="shared" si="1"/>
        <v>267939.32023552351</v>
      </c>
      <c r="I5" s="17">
        <f t="shared" si="2"/>
        <v>2827733.1797644766</v>
      </c>
    </row>
    <row r="6" spans="1:9" ht="15.75" customHeight="1" x14ac:dyDescent="0.25">
      <c r="A6" s="5">
        <f t="shared" si="3"/>
        <v>2028</v>
      </c>
      <c r="B6" s="49">
        <v>233565</v>
      </c>
      <c r="C6" s="50">
        <v>520307.5</v>
      </c>
      <c r="D6" s="50">
        <v>1027096.5000000001</v>
      </c>
      <c r="E6" s="50">
        <v>894123.49999999988</v>
      </c>
      <c r="F6" s="50">
        <v>694897.99999999988</v>
      </c>
      <c r="G6" s="17">
        <f t="shared" si="0"/>
        <v>3136425.5</v>
      </c>
      <c r="H6" s="17">
        <f t="shared" si="1"/>
        <v>267616.20773758076</v>
      </c>
      <c r="I6" s="17">
        <f t="shared" si="2"/>
        <v>2868809.2922624191</v>
      </c>
    </row>
    <row r="7" spans="1:9" ht="15.75" customHeight="1" x14ac:dyDescent="0.25">
      <c r="A7" s="5">
        <f t="shared" si="3"/>
        <v>2029</v>
      </c>
      <c r="B7" s="49">
        <v>232875</v>
      </c>
      <c r="C7" s="50">
        <v>520881</v>
      </c>
      <c r="D7" s="50">
        <v>1029816</v>
      </c>
      <c r="E7" s="50">
        <v>912420</v>
      </c>
      <c r="F7" s="50">
        <v>712219.5</v>
      </c>
      <c r="G7" s="17">
        <f t="shared" si="0"/>
        <v>3175336.5</v>
      </c>
      <c r="H7" s="17">
        <f t="shared" si="1"/>
        <v>266825.61332772084</v>
      </c>
      <c r="I7" s="17">
        <f t="shared" si="2"/>
        <v>2908510.8866722793</v>
      </c>
    </row>
    <row r="8" spans="1:9" ht="15.75" customHeight="1" x14ac:dyDescent="0.25">
      <c r="A8" s="5">
        <f t="shared" si="3"/>
        <v>2030</v>
      </c>
      <c r="B8" s="49">
        <v>231857</v>
      </c>
      <c r="C8" s="50">
        <v>522011.49999999994</v>
      </c>
      <c r="D8" s="50">
        <v>1030648.0000000001</v>
      </c>
      <c r="E8" s="50">
        <v>930936.5</v>
      </c>
      <c r="F8" s="50">
        <v>729278</v>
      </c>
      <c r="G8" s="17">
        <f t="shared" si="0"/>
        <v>3212874</v>
      </c>
      <c r="H8" s="17">
        <f t="shared" si="1"/>
        <v>265659.20012592751</v>
      </c>
      <c r="I8" s="17">
        <f t="shared" si="2"/>
        <v>2947214.7998740724</v>
      </c>
    </row>
    <row r="9" spans="1:9" ht="15.75" customHeight="1" x14ac:dyDescent="0.25">
      <c r="A9" s="5">
        <f t="shared" si="3"/>
        <v>2031</v>
      </c>
      <c r="B9" s="49">
        <v>230996</v>
      </c>
      <c r="C9" s="50">
        <v>524020.99999999994</v>
      </c>
      <c r="D9" s="50">
        <v>1030231.5000000001</v>
      </c>
      <c r="E9" s="50">
        <v>948634.5</v>
      </c>
      <c r="F9" s="50">
        <v>746586.5</v>
      </c>
      <c r="G9" s="17">
        <f t="shared" si="0"/>
        <v>3249473.5</v>
      </c>
      <c r="H9" s="17">
        <f t="shared" si="1"/>
        <v>264672.67579710233</v>
      </c>
      <c r="I9" s="17">
        <f t="shared" si="2"/>
        <v>2984800.8242028975</v>
      </c>
    </row>
    <row r="10" spans="1:9" ht="15.75" customHeight="1" x14ac:dyDescent="0.25">
      <c r="A10" s="5">
        <f t="shared" si="3"/>
        <v>2032</v>
      </c>
      <c r="B10" s="49">
        <v>230170</v>
      </c>
      <c r="C10" s="50">
        <v>526617.5</v>
      </c>
      <c r="D10" s="50">
        <v>1029855.5000000001</v>
      </c>
      <c r="E10" s="50">
        <v>964349.5</v>
      </c>
      <c r="F10" s="50">
        <v>764381.5</v>
      </c>
      <c r="G10" s="17">
        <f t="shared" si="0"/>
        <v>3285204</v>
      </c>
      <c r="H10" s="17">
        <f t="shared" si="1"/>
        <v>263726.25408327003</v>
      </c>
      <c r="I10" s="17">
        <f t="shared" si="2"/>
        <v>3021477.7459167298</v>
      </c>
    </row>
    <row r="11" spans="1:9" ht="15.75" customHeight="1" x14ac:dyDescent="0.25">
      <c r="A11" s="5">
        <f t="shared" si="3"/>
        <v>2033</v>
      </c>
      <c r="B11" s="49">
        <v>229201</v>
      </c>
      <c r="C11" s="50">
        <v>530160</v>
      </c>
      <c r="D11" s="50">
        <v>1029989.5000000001</v>
      </c>
      <c r="E11" s="50">
        <v>977556.5</v>
      </c>
      <c r="F11" s="50">
        <v>782789</v>
      </c>
      <c r="G11" s="17">
        <f t="shared" si="0"/>
        <v>3320495</v>
      </c>
      <c r="H11" s="17">
        <f t="shared" si="1"/>
        <v>262615.98454246676</v>
      </c>
      <c r="I11" s="17">
        <f t="shared" si="2"/>
        <v>3057879.0154575333</v>
      </c>
    </row>
    <row r="12" spans="1:9" ht="15.75" customHeight="1" x14ac:dyDescent="0.25">
      <c r="A12" s="5">
        <f t="shared" si="3"/>
        <v>2034</v>
      </c>
      <c r="B12" s="49">
        <v>228139</v>
      </c>
      <c r="C12" s="50">
        <v>534632.5</v>
      </c>
      <c r="D12" s="50">
        <v>1030644</v>
      </c>
      <c r="E12" s="50">
        <v>988429.5</v>
      </c>
      <c r="F12" s="50">
        <v>801767</v>
      </c>
      <c r="G12" s="17">
        <f t="shared" si="0"/>
        <v>3355473</v>
      </c>
      <c r="H12" s="17">
        <f t="shared" si="1"/>
        <v>261399.15662468236</v>
      </c>
      <c r="I12" s="17">
        <f t="shared" si="2"/>
        <v>3094073.8433753178</v>
      </c>
    </row>
    <row r="13" spans="1:9" ht="15.75" customHeight="1" x14ac:dyDescent="0.25">
      <c r="A13" s="5">
        <f t="shared" si="3"/>
        <v>2035</v>
      </c>
      <c r="B13" s="49">
        <v>227503</v>
      </c>
      <c r="C13" s="50">
        <v>539166</v>
      </c>
      <c r="D13" s="50">
        <v>1032095</v>
      </c>
      <c r="E13" s="50">
        <v>997204.99999999988</v>
      </c>
      <c r="F13" s="50">
        <v>821178.5</v>
      </c>
      <c r="G13" s="17">
        <f t="shared" si="0"/>
        <v>3389644.5</v>
      </c>
      <c r="H13" s="17">
        <f t="shared" si="1"/>
        <v>260670.4348208115</v>
      </c>
      <c r="I13" s="17">
        <f t="shared" si="2"/>
        <v>3128974.0651791887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sRsywvnwNFzZEpIyT82flnZZ6wMFls+zECqPEfhjiiaYFU4ND0cTIbvvLkB19uQEveYqASpg86GnLYRUe8NPA==" saltValue="lUtzbi3qElr2xV49YQs6K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7.7452100000000051E-2</v>
      </c>
    </row>
    <row r="5" spans="1:8" ht="15.75" customHeight="1" x14ac:dyDescent="0.25">
      <c r="B5" s="19" t="s">
        <v>114</v>
      </c>
      <c r="C5" s="101">
        <v>2.7733600000000049E-2</v>
      </c>
    </row>
    <row r="6" spans="1:8" ht="15.75" customHeight="1" x14ac:dyDescent="0.25">
      <c r="B6" s="19" t="s">
        <v>110</v>
      </c>
      <c r="C6" s="101">
        <v>0.16728139999999991</v>
      </c>
    </row>
    <row r="7" spans="1:8" ht="15.75" customHeight="1" x14ac:dyDescent="0.25">
      <c r="B7" s="19" t="s">
        <v>115</v>
      </c>
      <c r="C7" s="101">
        <v>0.43133549999999909</v>
      </c>
    </row>
    <row r="8" spans="1:8" ht="15.75" customHeight="1" x14ac:dyDescent="0.25">
      <c r="B8" s="19" t="s">
        <v>117</v>
      </c>
      <c r="C8" s="101">
        <v>9.3167000000000041E-3</v>
      </c>
    </row>
    <row r="9" spans="1:8" ht="15.75" customHeight="1" x14ac:dyDescent="0.25">
      <c r="B9" s="19" t="s">
        <v>111</v>
      </c>
      <c r="C9" s="101">
        <v>0.2029222000000008</v>
      </c>
    </row>
    <row r="10" spans="1:8" ht="15.75" customHeight="1" x14ac:dyDescent="0.25">
      <c r="B10" s="19" t="s">
        <v>113</v>
      </c>
      <c r="C10" s="101">
        <v>8.3958499999999908E-2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121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2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98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107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118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2.3295386000000001E-2</v>
      </c>
    </row>
    <row r="27" spans="1:8" ht="15.75" customHeight="1" x14ac:dyDescent="0.25">
      <c r="B27" s="19" t="s">
        <v>108</v>
      </c>
      <c r="C27" s="101">
        <v>9.7438085999999993E-2</v>
      </c>
    </row>
    <row r="28" spans="1:8" ht="15.75" customHeight="1" x14ac:dyDescent="0.25">
      <c r="B28" s="19" t="s">
        <v>122</v>
      </c>
      <c r="C28" s="101">
        <v>0.31612977399999997</v>
      </c>
    </row>
    <row r="29" spans="1:8" ht="15.75" customHeight="1" x14ac:dyDescent="0.25">
      <c r="B29" s="19" t="s">
        <v>105</v>
      </c>
      <c r="C29" s="101">
        <v>0.192412257</v>
      </c>
    </row>
    <row r="30" spans="1:8" ht="15.75" customHeight="1" x14ac:dyDescent="0.25">
      <c r="B30" s="19" t="s">
        <v>4</v>
      </c>
      <c r="C30" s="101">
        <v>0.10694290400000001</v>
      </c>
    </row>
    <row r="31" spans="1:8" ht="15.75" customHeight="1" x14ac:dyDescent="0.25">
      <c r="B31" s="19" t="s">
        <v>99</v>
      </c>
      <c r="C31" s="101">
        <v>2.3714310999999998E-2</v>
      </c>
    </row>
    <row r="32" spans="1:8" ht="15.75" customHeight="1" x14ac:dyDescent="0.25">
      <c r="B32" s="19" t="s">
        <v>104</v>
      </c>
      <c r="C32" s="101">
        <v>2.6508690000000001E-3</v>
      </c>
    </row>
    <row r="33" spans="2:3" ht="15.75" customHeight="1" x14ac:dyDescent="0.25">
      <c r="B33" s="19" t="s">
        <v>119</v>
      </c>
      <c r="C33" s="101">
        <v>0.189281701</v>
      </c>
    </row>
    <row r="34" spans="2:3" ht="15.75" customHeight="1" x14ac:dyDescent="0.25">
      <c r="B34" s="19" t="s">
        <v>106</v>
      </c>
      <c r="C34" s="101">
        <v>4.813471099999999E-2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b9ijRbMvCQmSiuUYUc1/K1LeC8CuIT4KcYxbskNgUQmkPEThlodjRvdSxDJgJzcmub9jZEhq2ZNSIuszMEuonA==" saltValue="Soy1WdA33NlPEy+ZIq7SJ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129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125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126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138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6pXYNoW80s2y3QEBlHrJYXB+Z2Ji3RQ5KxIxvarPyDzdgNJkmaP2AeFARUYEOWAPtpxev5NaALmLS4tuQdB8A==" saltValue="fDzspRJm9pfE1GhB4Ei0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2.3668599999999929E-2</v>
      </c>
      <c r="D5" s="52">
        <f t="shared" si="0"/>
        <v>0.11896890000000004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PKS0gKCoucRRYpE6o9rou9sAwJQbqSCYWkr4OyU0hLYDnexSoNkB06XUK2TKZGElk8pq8XxrpAWEvqz2Q+PYlg==" saltValue="ZekX7SXNqDPgpDlG+KzB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YA9snMrQPkL/dQHG5qk/LZGuG76ZgxvT0xnf2fvzJtMWCwRCLcMnWoviQyRzWQ4waDCoVrOXPnA74hrbmu5Jw==" saltValue="c7A+TqZIuZEGUxmMkG1XT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3040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0.57194999999999996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0.51329999999999998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2.2120174917966671E-2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98338.093609999996</v>
      </c>
      <c r="C22" s="109">
        <v>98152.464099999997</v>
      </c>
      <c r="D22" s="109">
        <v>97906.269419999997</v>
      </c>
      <c r="E22" s="109">
        <v>97532.453399999999</v>
      </c>
      <c r="F22" s="109">
        <v>97013.722020000001</v>
      </c>
      <c r="G22" s="109">
        <v>96424.570540000001</v>
      </c>
      <c r="H22" s="109">
        <v>95700.401589999994</v>
      </c>
      <c r="I22" s="109">
        <v>94711.500220000002</v>
      </c>
      <c r="J22" s="109">
        <v>93216.127739999996</v>
      </c>
      <c r="K22" s="109">
        <v>90893.292709999994</v>
      </c>
      <c r="L22" s="109">
        <v>87338.992859999998</v>
      </c>
      <c r="M22" s="109">
        <v>82054.692039999994</v>
      </c>
      <c r="N22" s="109">
        <v>74596.261029999994</v>
      </c>
      <c r="O22" s="109">
        <v>64682.934430000001</v>
      </c>
    </row>
  </sheetData>
  <sheetProtection algorithmName="SHA-512" hashValue="3qMoWTLEYsYhrrKtKaYgC7C0nt7KuL927/sDTNfJGkeYXEqcmyyg8pEIkZ7H46E4t/cyY9W+eQH7kcIYwmMd0w==" saltValue="Tqg56wbTvjBsFHC0rQSr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g2WU03qvVVGcceJfBcep9QQYHga8vMBOUTAQhEeU6ANnq4QSKRfRfU0CdoLxN5l93w+u71CqPbggnka8d3rQg==" saltValue="oaeGPSWVZPRrLP3PcAZp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tWqbj3DgKco4mNj1EBxerIeyENtKuVxfOfy+rEo5lE+uZnjhekIt4uFyyp+WEHm+Mzd48YaaLUpLkOa5fyAO2w==" saltValue="miVxCzM0b7prKK2C9wtvG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0.37362450000000003</v>
      </c>
      <c r="C10" s="98">
        <v>0.95</v>
      </c>
      <c r="D10" s="56">
        <v>13.73503902833848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13.73503902833848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13.73503902833848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13.73503902833848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0.37362450000000003</v>
      </c>
      <c r="C14" s="98">
        <v>0.95</v>
      </c>
      <c r="D14" s="56">
        <v>13.73503902833848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13.73503902833848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0.23271111111111101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0.26074360000000002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0.26074360000000002</v>
      </c>
      <c r="C19" s="98">
        <v>0.95</v>
      </c>
      <c r="D19" s="56">
        <v>5.4969809474092566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4.5831213765060994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0.658036540114042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0.37362450000000003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0.52924979999999999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0.57343129999999998</v>
      </c>
      <c r="C29" s="98">
        <v>0.95</v>
      </c>
      <c r="D29" s="56">
        <v>87.693263589511574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0.84963560000000005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0.2250375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4.1947599999999988E-2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0.91775859999999998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0.306954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ZyvY3k8jWWEDMVz/Gi1KEAaz35omjvdOccW2Y62QDfiRacZ9XNICX7KXyIwT1noNVtZ1FJWS1yB6NdoXBPSIhA==" saltValue="drv1sfgieOOGOUdnJ/JT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BNbiG+MKp/20Gg3o0WEUfUq+k+9Txj4tOiMfgrZC1N2N7la/q2flRtA55+YVsDIAcIQUDf3MZUazhOX+oD6oQ==" saltValue="xFs3SmgTZKht/No+yqXA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BHg4MwH+T2uhkd2+Ond7b4NmgJ3mZ1x59lWdk2qTG0EYWNaVqLt8yiCB9rFPyO+iUPrUGy3cbgQj5rvTLKtVA==" saltValue="IOW2ayfQ/RivjlCAGgDO4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236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sheetProtection algorithmName="SHA-512" hashValue="5Ti7hsT3WUviJdqPw0FEYClHtXN4MjUIcRRjDGoC/VfUG+Mg4PU/xvZ1jtQKvl2L9Q0Dy3Szm00DvYG8GApb4g==" saltValue="XudUsqc1tgBX4jlWL6RB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0.16500000000000001</v>
      </c>
      <c r="F2" s="60">
        <f>food_insecure</f>
        <v>0.16500000000000001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0.16500000000000001</v>
      </c>
      <c r="I15" s="60">
        <f t="shared" si="0"/>
        <v>0.16500000000000001</v>
      </c>
      <c r="J15" s="60">
        <f t="shared" si="0"/>
        <v>0.16500000000000001</v>
      </c>
      <c r="K15" s="60">
        <f t="shared" si="0"/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0.16500000000000001</v>
      </c>
      <c r="I16" s="60">
        <f t="shared" si="0"/>
        <v>0.16500000000000001</v>
      </c>
      <c r="J16" s="60">
        <f t="shared" si="0"/>
        <v>0.16500000000000001</v>
      </c>
      <c r="K16" s="60">
        <f t="shared" si="0"/>
        <v>0.16500000000000001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XQw6s7WC9TsVss/dfEIcp03lxKRTnpl5VSzSSRpm8DYqyMH9ztM9fw/IINVv+hIth7864JlON2by6vueRTfWg==" saltValue="t2490ooIdaOvN3a33HaP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iPH7nWLhYvg3436Iq0g2a5uu2oh4kVLRSxF9/TmBSSYc215NL4lgXx0QW+8RvczAXPgLnwI0a4v5dVrEWex8A==" saltValue="cA+JuaUL/Xi5CEYPIald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pZqDiW+ViMtLRWK/HUmF1241KCnxtVXPG5YIwDEtecXwNxWCBN5ts3zvcFUYf5YidmW9tRxfQuaCsw3haZEqQ==" saltValue="YCapzlwxAVxAspzzXvqL+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Yy7Ro6DAEakKgM9I2CDZWKUm4WUXzn2TiFjp+A+woLBLpizfPSii6be9JuOuGNXyDsTfO93aEIge8nzW7+ZKw==" saltValue="+SevROtSImyZCId3ZVu5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qPnXX6CFmX0UXXayIR2bHwP2t7khD9Tp+gwBK1+tC+x/xsTyMhtdaGXm2V3/A+ALA8iBk9RgopBuUmgd30bAow==" saltValue="ySfD3I+yZgPTUzZlDU02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8i+aH/4z9NqOzEk2q+GiXalfu+dByl1cIiiabl0he3FI2E2P04utJk3CxB8zPnDOJSsGh1iEdxZmgx/e9m0LJA==" saltValue="t76u2Yp7vXj8s7hZex25L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zXKDuDOu6jSfZ40c863oiAtxhBgEDjIfwQo5VulaCwMVNkqUCIV+E5Z/Qs/oczT7D4FR9netzvlAsXlY0ORhw==" saltValue="8JxxX3pZTQxMmgi58LYSk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tVrU2JnY1U50+tR19fH9Pw32JQXwZ52N5/dnOmdWhaHdyePcBKVhGsZvBDkkAdtCXuZ6HaBQqHn8tjDyK2edw==" saltValue="EFnaMmf1qoeUidAPzowC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Yn71n63T4t9Ouo49rFrBhUJXQn8IbPHzv+yBb7wn11yf10WjN/9yHZn2b/VT5N1tJkGuxcZhaBYLCr8K/dgTQ==" saltValue="/hIqICTdRfI/+WTKdjjR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bqBzDvAMz9W09jDzgYMhgAl6LF9qpRI06n9aySkIExvvWK4q4Vuxic1/yXFM8wOPbl1xTzKaQry87k4YdiW/g==" saltValue="maikZUOAzM17V8vpgUsq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MQzHJd7t1t42heFiewIawL10awegM4GKIId8ue7J0IQECjMimK7z1/fWQUhN6s/7HRuTSfVKas9+2ZCrO6GIA==" saltValue="MkNudN3hoMaQ4aF9ne+J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XsvO3i1+WayVogWjvHEnvlPF0yQIej6cS6etbFgJKHLTz4QeJwjZo8FBcJeiyzcc56JSTNtKJIg7Za6boM4RQ==" saltValue="8aSTpj8yh+Ae4C26UtOO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ZXtA+OrRZjSiKIlcn8kuS9bY06gC1hYNSHFluRmlVCMwbaSw/5c+0eH1sTW+qE6jtD0+fOnUXt8d0fKfBgkfw==" saltValue="g95K6cFKnWIkuQgWvKg9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3rB5/lQlbBHhzmT5cdRsIN3AZqmbwuOiZ9vwZFXlzH5pRpScWD2MBRi37IHHXVTDBxswBcswoBCiP7VaLb7Pw==" saltValue="rw6eVM21Mtbau0gdrF5o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4iGKIHnmFGT5de9FPzmeUVUF/iW2KRiTZcanjs4ISqQ3lTOqYhd3tMGjsB4GadWl8VHarGiGdDPRQngp+iigYQ==" saltValue="R6lPJkMAhC1PEIFIOOcVI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