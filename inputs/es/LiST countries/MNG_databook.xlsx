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9C54A05-BC8D-4C8B-85D6-32771451496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" i="2" l="1"/>
  <c r="I7" i="2"/>
  <c r="I11" i="2"/>
  <c r="A31" i="2"/>
  <c r="A23" i="2"/>
  <c r="A37" i="2"/>
  <c r="A26" i="2"/>
  <c r="I39" i="2"/>
  <c r="A34" i="2"/>
  <c r="A40" i="2"/>
  <c r="I2" i="2"/>
  <c r="I6" i="2"/>
  <c r="A19" i="2"/>
  <c r="A35" i="2"/>
  <c r="A36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<sst xmlns="http://schemas.openxmlformats.org/spreadsheetml/2006/main" count="2169" uniqueCount="373">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</sst>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329239.5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7.1399999999999991E-2</v>
      </c>
    </row>
    <row r="24" spans="1:3" ht="15" customHeight="1" x14ac:dyDescent="0.25">
      <c r="B24" s="15" t="s">
        <v>65</v>
      </c>
      <c r="C24" s="45">
        <v>0.52029999999999998</v>
      </c>
    </row>
    <row r="25" spans="1:3" ht="15" customHeight="1" x14ac:dyDescent="0.25">
      <c r="B25" s="15" t="s">
        <v>66</v>
      </c>
      <c r="C25" s="45">
        <v>0.36659999999999998</v>
      </c>
    </row>
    <row r="26" spans="1:3" ht="15" customHeight="1" x14ac:dyDescent="0.25">
      <c r="B26" s="15" t="s">
        <v>67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7">
        <v>2.97816918362898E-2</v>
      </c>
    </row>
    <row r="31" spans="1:3" ht="14.25" customHeight="1" x14ac:dyDescent="0.25">
      <c r="B31" s="25" t="s">
        <v>29</v>
      </c>
      <c r="C31" s="97">
        <v>2.5306962187057899E-2</v>
      </c>
    </row>
    <row r="32" spans="1:3" ht="14.25" customHeight="1" x14ac:dyDescent="0.25">
      <c r="B32" s="25" t="s">
        <v>30</v>
      </c>
      <c r="C32" s="97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7.5434400000000004</v>
      </c>
    </row>
    <row r="38" spans="1:5" ht="15" customHeight="1" x14ac:dyDescent="0.25">
      <c r="B38" s="11" t="s">
        <v>54</v>
      </c>
      <c r="C38" s="43">
        <v>12.68064</v>
      </c>
      <c r="D38" s="12"/>
      <c r="E38" s="13"/>
    </row>
    <row r="39" spans="1:5" ht="15" customHeight="1" x14ac:dyDescent="0.25">
      <c r="B39" s="11" t="s">
        <v>80</v>
      </c>
      <c r="C39" s="43">
        <v>14.734360000000001</v>
      </c>
      <c r="D39" s="12"/>
      <c r="E39" s="12"/>
    </row>
    <row r="40" spans="1:5" ht="15" customHeight="1" x14ac:dyDescent="0.25">
      <c r="B40" s="11" t="s">
        <v>55</v>
      </c>
      <c r="C40" s="98">
        <v>0.39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5.1263999999999997E-3</v>
      </c>
      <c r="D45" s="12"/>
    </row>
    <row r="46" spans="1:5" ht="15.75" customHeight="1" x14ac:dyDescent="0.25">
      <c r="B46" s="11" t="s">
        <v>70</v>
      </c>
      <c r="C46" s="45">
        <v>5.5082600000000002E-2</v>
      </c>
      <c r="D46" s="12"/>
    </row>
    <row r="47" spans="1:5" ht="15.75" customHeight="1" x14ac:dyDescent="0.25">
      <c r="B47" s="11" t="s">
        <v>78</v>
      </c>
      <c r="C47" s="45">
        <v>7.6126699999999992E-2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0.58909100000000003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dIQjZ3JWP3DEERGOKgJ+cD5YNi+jLvu2afV14qGlFad611aUw17x0H6+4Rh+N3RCW64OjPBiPgxaG4CGnif/8w==" saltValue="x0lzYQB6/6Rdqkv7epz4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63101</v>
      </c>
      <c r="C2" s="49">
        <v>131190.5</v>
      </c>
      <c r="D2" s="49">
        <v>218441.50000000003</v>
      </c>
      <c r="E2" s="49">
        <v>270666.5</v>
      </c>
      <c r="F2" s="49">
        <v>222128</v>
      </c>
      <c r="G2" s="17">
        <f t="shared" ref="G2:G13" si="0">C2+D2+E2+F2</f>
        <v>842426.5</v>
      </c>
      <c r="H2" s="17">
        <f t="shared" ref="H2:H13" si="1">(B2 + stillbirth*B2/(1000-stillbirth))/(1-abortion)</f>
        <v>72021.86139078041</v>
      </c>
      <c r="I2" s="17">
        <f t="shared" ref="I2:I13" si="2">G2-H2</f>
        <v>770404.63860921958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61431</v>
      </c>
      <c r="C3" s="50">
        <v>143643</v>
      </c>
      <c r="D3" s="50">
        <v>217936.50000000003</v>
      </c>
      <c r="E3" s="50">
        <v>266456.5</v>
      </c>
      <c r="F3" s="50">
        <v>226984</v>
      </c>
      <c r="G3" s="17">
        <f t="shared" si="0"/>
        <v>855020</v>
      </c>
      <c r="H3" s="17">
        <f t="shared" si="1"/>
        <v>70115.766265146856</v>
      </c>
      <c r="I3" s="17">
        <f t="shared" si="2"/>
        <v>784904.2337348531</v>
      </c>
    </row>
    <row r="4" spans="1:9" ht="15.75" customHeight="1" x14ac:dyDescent="0.25">
      <c r="A4" s="5">
        <f t="shared" si="3"/>
        <v>2026</v>
      </c>
      <c r="B4" s="49">
        <v>60067</v>
      </c>
      <c r="C4" s="50">
        <v>154901.5</v>
      </c>
      <c r="D4" s="50">
        <v>219719.49999999997</v>
      </c>
      <c r="E4" s="50">
        <v>260541</v>
      </c>
      <c r="F4" s="50">
        <v>232782.5</v>
      </c>
      <c r="G4" s="17">
        <f t="shared" si="0"/>
        <v>867944.5</v>
      </c>
      <c r="H4" s="17">
        <f t="shared" si="1"/>
        <v>68558.931683491654</v>
      </c>
      <c r="I4" s="17">
        <f t="shared" si="2"/>
        <v>799385.56831650832</v>
      </c>
    </row>
    <row r="5" spans="1:9" ht="15.75" customHeight="1" x14ac:dyDescent="0.25">
      <c r="A5" s="5">
        <f t="shared" si="3"/>
        <v>2027</v>
      </c>
      <c r="B5" s="49">
        <v>59151</v>
      </c>
      <c r="C5" s="50">
        <v>164751.5</v>
      </c>
      <c r="D5" s="50">
        <v>224119</v>
      </c>
      <c r="E5" s="50">
        <v>253256</v>
      </c>
      <c r="F5" s="50">
        <v>239303</v>
      </c>
      <c r="G5" s="17">
        <f t="shared" si="0"/>
        <v>881429.5</v>
      </c>
      <c r="H5" s="17">
        <f t="shared" si="1"/>
        <v>67513.432800210023</v>
      </c>
      <c r="I5" s="17">
        <f t="shared" si="2"/>
        <v>813916.06719978992</v>
      </c>
    </row>
    <row r="6" spans="1:9" ht="15.75" customHeight="1" x14ac:dyDescent="0.25">
      <c r="A6" s="5">
        <f t="shared" si="3"/>
        <v>2028</v>
      </c>
      <c r="B6" s="49">
        <v>58601</v>
      </c>
      <c r="C6" s="50">
        <v>175038.5</v>
      </c>
      <c r="D6" s="50">
        <v>231576.5</v>
      </c>
      <c r="E6" s="50">
        <v>245083.5</v>
      </c>
      <c r="F6" s="50">
        <v>245976</v>
      </c>
      <c r="G6" s="17">
        <f t="shared" si="0"/>
        <v>897674.5</v>
      </c>
      <c r="H6" s="17">
        <f t="shared" si="1"/>
        <v>66885.676920510348</v>
      </c>
      <c r="I6" s="17">
        <f t="shared" si="2"/>
        <v>830788.82307948964</v>
      </c>
    </row>
    <row r="7" spans="1:9" ht="15.75" customHeight="1" x14ac:dyDescent="0.25">
      <c r="A7" s="5">
        <f t="shared" si="3"/>
        <v>2029</v>
      </c>
      <c r="B7" s="49">
        <v>58468</v>
      </c>
      <c r="C7" s="50">
        <v>184246.5</v>
      </c>
      <c r="D7" s="50">
        <v>242517</v>
      </c>
      <c r="E7" s="50">
        <v>236533.5</v>
      </c>
      <c r="F7" s="50">
        <v>252154.99999999997</v>
      </c>
      <c r="G7" s="17">
        <f t="shared" si="0"/>
        <v>915452</v>
      </c>
      <c r="H7" s="17">
        <f t="shared" si="1"/>
        <v>66733.874135055696</v>
      </c>
      <c r="I7" s="17">
        <f t="shared" si="2"/>
        <v>848718.1258649443</v>
      </c>
    </row>
    <row r="8" spans="1:9" ht="15.75" customHeight="1" x14ac:dyDescent="0.25">
      <c r="A8" s="5">
        <f t="shared" si="3"/>
        <v>2030</v>
      </c>
      <c r="B8" s="49">
        <v>58755</v>
      </c>
      <c r="C8" s="50">
        <v>190924</v>
      </c>
      <c r="D8" s="50">
        <v>257035.5</v>
      </c>
      <c r="E8" s="50">
        <v>228180</v>
      </c>
      <c r="F8" s="50">
        <v>257207</v>
      </c>
      <c r="G8" s="17">
        <f t="shared" si="0"/>
        <v>933346.5</v>
      </c>
      <c r="H8" s="17">
        <f t="shared" si="1"/>
        <v>67061.44856682625</v>
      </c>
      <c r="I8" s="17">
        <f t="shared" si="2"/>
        <v>866285.05143317371</v>
      </c>
    </row>
    <row r="9" spans="1:9" ht="15.75" customHeight="1" x14ac:dyDescent="0.25">
      <c r="A9" s="5">
        <f t="shared" si="3"/>
        <v>2031</v>
      </c>
      <c r="B9" s="49">
        <v>59418</v>
      </c>
      <c r="C9" s="50">
        <v>196326</v>
      </c>
      <c r="D9" s="50">
        <v>272794</v>
      </c>
      <c r="E9" s="50">
        <v>220590</v>
      </c>
      <c r="F9" s="50">
        <v>260577</v>
      </c>
      <c r="G9" s="17">
        <f t="shared" si="0"/>
        <v>950287</v>
      </c>
      <c r="H9" s="17">
        <f t="shared" si="1"/>
        <v>67818.179745446032</v>
      </c>
      <c r="I9" s="17">
        <f t="shared" si="2"/>
        <v>882468.82025455392</v>
      </c>
    </row>
    <row r="10" spans="1:9" ht="15.75" customHeight="1" x14ac:dyDescent="0.25">
      <c r="A10" s="5">
        <f t="shared" si="3"/>
        <v>2032</v>
      </c>
      <c r="B10" s="49">
        <v>60373</v>
      </c>
      <c r="C10" s="50">
        <v>199348.5</v>
      </c>
      <c r="D10" s="50">
        <v>289556.5</v>
      </c>
      <c r="E10" s="50">
        <v>214277.5</v>
      </c>
      <c r="F10" s="50">
        <v>262012</v>
      </c>
      <c r="G10" s="17">
        <f t="shared" si="0"/>
        <v>965194.5</v>
      </c>
      <c r="H10" s="17">
        <f t="shared" si="1"/>
        <v>68908.192227470019</v>
      </c>
      <c r="I10" s="17">
        <f t="shared" si="2"/>
        <v>896286.30777253001</v>
      </c>
    </row>
    <row r="11" spans="1:9" ht="15.75" customHeight="1" x14ac:dyDescent="0.25">
      <c r="A11" s="5">
        <f t="shared" si="3"/>
        <v>2033</v>
      </c>
      <c r="B11" s="49">
        <v>61628</v>
      </c>
      <c r="C11" s="50">
        <v>197957</v>
      </c>
      <c r="D11" s="50">
        <v>308940</v>
      </c>
      <c r="E11" s="50">
        <v>209647.49999999997</v>
      </c>
      <c r="F11" s="50">
        <v>261522.49999999997</v>
      </c>
      <c r="G11" s="17">
        <f t="shared" si="0"/>
        <v>978067</v>
      </c>
      <c r="H11" s="17">
        <f t="shared" si="1"/>
        <v>70340.617007512003</v>
      </c>
      <c r="I11" s="17">
        <f t="shared" si="2"/>
        <v>907726.38299248798</v>
      </c>
    </row>
    <row r="12" spans="1:9" ht="15.75" customHeight="1" x14ac:dyDescent="0.25">
      <c r="A12" s="5">
        <f t="shared" si="3"/>
        <v>2034</v>
      </c>
      <c r="B12" s="49">
        <v>63087</v>
      </c>
      <c r="C12" s="50">
        <v>194167</v>
      </c>
      <c r="D12" s="50">
        <v>329207.99999999994</v>
      </c>
      <c r="E12" s="50">
        <v>206954</v>
      </c>
      <c r="F12" s="50">
        <v>259155.50000000003</v>
      </c>
      <c r="G12" s="17">
        <f t="shared" si="0"/>
        <v>989484.5</v>
      </c>
      <c r="H12" s="17">
        <f t="shared" si="1"/>
        <v>72005.882150206235</v>
      </c>
      <c r="I12" s="17">
        <f t="shared" si="2"/>
        <v>917478.61784979375</v>
      </c>
    </row>
    <row r="13" spans="1:9" ht="15.75" customHeight="1" x14ac:dyDescent="0.25">
      <c r="A13" s="5">
        <f t="shared" si="3"/>
        <v>2035</v>
      </c>
      <c r="B13" s="49">
        <v>64516.999999999993</v>
      </c>
      <c r="C13" s="50">
        <v>189350</v>
      </c>
      <c r="D13" s="50">
        <v>348415</v>
      </c>
      <c r="E13" s="50">
        <v>206357.50000000003</v>
      </c>
      <c r="F13" s="50">
        <v>254977</v>
      </c>
      <c r="G13" s="17">
        <f t="shared" si="0"/>
        <v>999099.5</v>
      </c>
      <c r="H13" s="17">
        <f t="shared" si="1"/>
        <v>73638.047437425383</v>
      </c>
      <c r="I13" s="17">
        <f t="shared" si="2"/>
        <v>925461.45256257465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+TdnwAo/J4dfM5mdVj6yp2oq7qGImy5sPz5+wHaidJmVuocfiCbJnExHAY/PMaIJY4BAT1aw/fNMQSp/Vywkg==" saltValue="0oMfqhdm7g3qDOIAfFWG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1.6324242095127591E-3</v>
      </c>
    </row>
    <row r="4" spans="1:8" ht="15.75" customHeight="1" x14ac:dyDescent="0.25">
      <c r="B4" s="19" t="s">
        <v>116</v>
      </c>
      <c r="C4" s="99">
        <v>5.2081731825269262E-2</v>
      </c>
    </row>
    <row r="5" spans="1:8" ht="15.75" customHeight="1" x14ac:dyDescent="0.25">
      <c r="B5" s="19" t="s">
        <v>114</v>
      </c>
      <c r="C5" s="99">
        <v>2.9863691848466541E-2</v>
      </c>
    </row>
    <row r="6" spans="1:8" ht="15.75" customHeight="1" x14ac:dyDescent="0.25">
      <c r="B6" s="19" t="s">
        <v>110</v>
      </c>
      <c r="C6" s="99">
        <v>0.1698753019698051</v>
      </c>
    </row>
    <row r="7" spans="1:8" ht="15.75" customHeight="1" x14ac:dyDescent="0.25">
      <c r="B7" s="19" t="s">
        <v>115</v>
      </c>
      <c r="C7" s="99">
        <v>0.43394349674221139</v>
      </c>
    </row>
    <row r="8" spans="1:8" ht="15.75" customHeight="1" x14ac:dyDescent="0.25">
      <c r="B8" s="19" t="s">
        <v>117</v>
      </c>
      <c r="C8" s="99">
        <v>2.0875893861734139E-3</v>
      </c>
    </row>
    <row r="9" spans="1:8" ht="15.75" customHeight="1" x14ac:dyDescent="0.25">
      <c r="B9" s="19" t="s">
        <v>111</v>
      </c>
      <c r="C9" s="99">
        <v>0.22483110229985301</v>
      </c>
    </row>
    <row r="10" spans="1:8" ht="15.75" customHeight="1" x14ac:dyDescent="0.25">
      <c r="B10" s="19" t="s">
        <v>113</v>
      </c>
      <c r="C10" s="99">
        <v>8.5684661718708532E-2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121</v>
      </c>
      <c r="C15" s="99">
        <v>0.21836907904839739</v>
      </c>
      <c r="D15" s="99">
        <v>0.21836907904839739</v>
      </c>
      <c r="E15" s="99">
        <v>0.21836907904839739</v>
      </c>
      <c r="F15" s="99">
        <v>0.21836907904839739</v>
      </c>
    </row>
    <row r="16" spans="1:8" ht="15.75" customHeight="1" x14ac:dyDescent="0.25">
      <c r="B16" s="19" t="s">
        <v>2</v>
      </c>
      <c r="C16" s="99">
        <v>1.308218753544084E-2</v>
      </c>
      <c r="D16" s="99">
        <v>1.308218753544084E-2</v>
      </c>
      <c r="E16" s="99">
        <v>1.308218753544084E-2</v>
      </c>
      <c r="F16" s="99">
        <v>1.308218753544084E-2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2.0020932136408709E-2</v>
      </c>
      <c r="D19" s="99">
        <v>2.0020932136408709E-2</v>
      </c>
      <c r="E19" s="99">
        <v>2.0020932136408709E-2</v>
      </c>
      <c r="F19" s="99">
        <v>2.0020932136408709E-2</v>
      </c>
    </row>
    <row r="20" spans="1:8" ht="15.75" customHeight="1" x14ac:dyDescent="0.25">
      <c r="B20" s="19" t="s">
        <v>98</v>
      </c>
      <c r="C20" s="99">
        <v>2.5184264166931238E-3</v>
      </c>
      <c r="D20" s="99">
        <v>2.5184264166931238E-3</v>
      </c>
      <c r="E20" s="99">
        <v>2.5184264166931238E-3</v>
      </c>
      <c r="F20" s="99">
        <v>2.5184264166931238E-3</v>
      </c>
    </row>
    <row r="21" spans="1:8" ht="15.75" customHeight="1" x14ac:dyDescent="0.25">
      <c r="B21" s="19" t="s">
        <v>107</v>
      </c>
      <c r="C21" s="99">
        <v>0.53474700150377652</v>
      </c>
      <c r="D21" s="99">
        <v>0.53474700150377652</v>
      </c>
      <c r="E21" s="99">
        <v>0.53474700150377652</v>
      </c>
      <c r="F21" s="99">
        <v>0.53474700150377652</v>
      </c>
    </row>
    <row r="22" spans="1:8" ht="15.75" customHeight="1" x14ac:dyDescent="0.25">
      <c r="B22" s="19" t="s">
        <v>118</v>
      </c>
      <c r="C22" s="99">
        <v>0.144901036144576</v>
      </c>
      <c r="D22" s="99">
        <v>0.144901036144576</v>
      </c>
      <c r="E22" s="99">
        <v>0.144901036144576</v>
      </c>
      <c r="F22" s="99">
        <v>0.144901036144576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4.767842600000001E-2</v>
      </c>
    </row>
    <row r="27" spans="1:8" ht="15.75" customHeight="1" x14ac:dyDescent="0.25">
      <c r="B27" s="19" t="s">
        <v>108</v>
      </c>
      <c r="C27" s="99">
        <v>1.8794775E-2</v>
      </c>
    </row>
    <row r="28" spans="1:8" ht="15.75" customHeight="1" x14ac:dyDescent="0.25">
      <c r="B28" s="19" t="s">
        <v>122</v>
      </c>
      <c r="C28" s="99">
        <v>0.23166139099999999</v>
      </c>
    </row>
    <row r="29" spans="1:8" ht="15.75" customHeight="1" x14ac:dyDescent="0.25">
      <c r="B29" s="19" t="s">
        <v>105</v>
      </c>
      <c r="C29" s="99">
        <v>0.138538992</v>
      </c>
    </row>
    <row r="30" spans="1:8" ht="15.75" customHeight="1" x14ac:dyDescent="0.25">
      <c r="B30" s="19" t="s">
        <v>4</v>
      </c>
      <c r="C30" s="99">
        <v>5.0761070999999998E-2</v>
      </c>
    </row>
    <row r="31" spans="1:8" ht="15.75" customHeight="1" x14ac:dyDescent="0.25">
      <c r="B31" s="19" t="s">
        <v>99</v>
      </c>
      <c r="C31" s="99">
        <v>7.0366394999999998E-2</v>
      </c>
    </row>
    <row r="32" spans="1:8" ht="15.75" customHeight="1" x14ac:dyDescent="0.25">
      <c r="B32" s="19" t="s">
        <v>104</v>
      </c>
      <c r="C32" s="99">
        <v>0.147583886</v>
      </c>
    </row>
    <row r="33" spans="2:3" ht="15.75" customHeight="1" x14ac:dyDescent="0.25">
      <c r="B33" s="19" t="s">
        <v>119</v>
      </c>
      <c r="C33" s="99">
        <v>0.122079576</v>
      </c>
    </row>
    <row r="34" spans="2:3" ht="15.75" customHeight="1" x14ac:dyDescent="0.25">
      <c r="B34" s="19" t="s">
        <v>106</v>
      </c>
      <c r="C34" s="99">
        <v>0.17253548899999999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CUsfE03qy5FN3v4mByPJ7q1o21jLFtoHHKSgQ7Lw19dfD1ctCmaoqrFAU5+u8nmmi7EScB5zhfDHfSte4FATCg==" saltValue="gV7Jjn7Rsr+70bqOc0CF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129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125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126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138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veVf+WK/CEZhXTpiP9EngSGOvrXQ3OhVZfJASlCFy9ZX9f9hmWDZJ+Mx+EebTnWPaoFdR0GCuFuRU/lAkfemA==" saltValue="xTV8gMtbM8K3aQmvLsgg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4.5253300000000052E-2</v>
      </c>
      <c r="D5" s="52">
        <f t="shared" si="0"/>
        <v>3.6834300000000098E-2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p6J9luW+Nc2g/qlze+Pxc+hqExmZFecbyCf5CX39AuHb7Ex8ebrhfAtrS3WPAFM8Mo23snFXP3oaqe+m2H5Y3A==" saltValue="6eifIWadHlDuTzzHRXR3o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xJC2xJlvqX1R3um6NEpVM+8mkhP8u6fl3fWMpqLsZr8E4iWZcsGVeAKhRsjF5mRewZ1LRYcZ/7+nlHmaaOkew==" saltValue="xIB0UKgnCunR8oRO/ojz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5045.5047003166601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0.34449000000000002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0.57206999999999997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1.1708946001099065E-2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98392.397899999996</v>
      </c>
      <c r="C22" s="107">
        <v>98233.055999999997</v>
      </c>
      <c r="D22" s="107">
        <v>98055.585099999997</v>
      </c>
      <c r="E22" s="107">
        <v>97700.522469999996</v>
      </c>
      <c r="F22" s="107">
        <v>97035.898960000006</v>
      </c>
      <c r="G22" s="107">
        <v>96109.919080000007</v>
      </c>
      <c r="H22" s="107">
        <v>94824.342780000006</v>
      </c>
      <c r="I22" s="107">
        <v>93032.773459999997</v>
      </c>
      <c r="J22" s="107">
        <v>90416.350390000007</v>
      </c>
      <c r="K22" s="107">
        <v>86624.561730000001</v>
      </c>
      <c r="L22" s="107">
        <v>81234.933820000006</v>
      </c>
      <c r="M22" s="107">
        <v>74271.76758</v>
      </c>
      <c r="N22" s="107">
        <v>64994.240319999997</v>
      </c>
      <c r="O22" s="107">
        <v>53251.527750000001</v>
      </c>
    </row>
  </sheetData>
  <sheetProtection algorithmName="SHA-512" hashValue="Q0Ud7Qg03QnCmQjr5UcbHSYhpxJf0mF0UZflYWnxxax4v9HfaY+255972iYjHfP8kcKUIvpg9e2t73pAXxsAGg==" saltValue="CKZFdN6mvtCcYxhAyIywg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btnJnvoLBeABOfPxSrtPq3zKmuZYYamqeQqUZRaxfOSLSXMexDbz7DPilhmf2na3OblLe1u0F52Xn3rINgpvA==" saltValue="sJdxnpHNRlu2ADbKEC2E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sTrlm8+gL0aO8gGTvvBuOTVz3L1IYW7cjq0oeSVDNiDkweBNlFVWFr0icaTWci1UC1bD0WEawlMfeyNLesmrA==" saltValue="vrrVYDtWCFxRhRnhnY/ow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2.5694477871811041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0.2596929</v>
      </c>
      <c r="C10" s="96">
        <v>0.95</v>
      </c>
      <c r="D10" s="56">
        <v>12.948103926557099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12.948103926557099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12.948103926557099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12.948103926557099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0.2596929</v>
      </c>
      <c r="C14" s="96">
        <v>0.95</v>
      </c>
      <c r="D14" s="56">
        <v>12.948103926557099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12.948103926557099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3.6306666666666702E-2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0.47777259999999999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0.47777259999999999</v>
      </c>
      <c r="C19" s="96">
        <v>0.95</v>
      </c>
      <c r="D19" s="56">
        <v>8.5297262743193443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4.2392904639519244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0.70357650989134002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0.2596929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0.58242249999999995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0.39210790000000001</v>
      </c>
      <c r="C29" s="96">
        <v>0.95</v>
      </c>
      <c r="D29" s="56">
        <v>107.0978840973747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0.83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0.86376940000000002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0.50568460000000004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8.8149700000000011E-2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0.36798940000000002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0.16494010000000001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h1CLRYtNwJaicVCUbhXNX5Ac7ZPI7n2gHrwMwV38//6MngvyGPu2LHn3Uw3cqhD4/ZqVl2BPpBGDH8kSFRMbwA==" saltValue="UUpKepb591AXMXPRIViu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mhF8SZqI4CGYPqpGkWOI1EhTnHvgILqVRdIc4i25dURTH54P3NSsnqIURlPlE5dDISRIsdQAVJ65DWBPbIrZA==" saltValue="CPueZMsJAfL4a/pSe1sJO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YzPDrx1EDjRedlYJ+bZ0yhOqTJIBtlvy43lV2fkrHOIRxZcoEHHfvHbzqlIfoZV/G0o/Kvclbl/mIKu++R/lQ==" saltValue="lhEUA3ICYpc4FLvTYtqK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236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sU9Y4SgJLhDPYYaHZgO3Yj93AcS81gh0TX2qEGZEPGCA34hJW2LtEtDCNOmB1hi+5QSiDMUrUDWXg7R5H0Ezxw==" saltValue="I+5J+Wh2bcSwyXm/O+Qh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9.1487792024159992E-2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3.9209053724640001E-2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5.5216163851199998E-2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XoTIPrTjDtZ6jJzRNEn1EuPve02jZGGmOQITqnbld76Jm1hp55ipmetf9pXTBBJh/othIXjv3byy6px2c55XQ==" saltValue="XTDRt5kUcs1smJh8a87c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CTKrtt7M6mwKtAdNyFz7hUJRSJ3VwgUWqMVy7mZoe8hdyPuB96F9qMVWMAgzBjBGgB1fzXAKPFpoeQ1918PRdw==" saltValue="Skb+DEUi4D5OneWwIsOR2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5jl0cW59wLdLhbVEIq/bLwx/6hyJgCeYkppLioKx6kUap60xXx1rXY0UuYvuL3fp+VYWODgo5VDnD3HHOSTxw==" saltValue="tDCkVlfVstWlOXmOCQgGS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AOv8Xkhzh3YTYukhU75xfezpu3VVbPB840NbVFXv5iRwOwKGYE1XCyQeTnDpu09qKgAUQv4RykG0NWFgwJ+gg==" saltValue="J8iGEXkZg9Hf3reZO6LRc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CFtAWzT0WEH9r7HFhZ7GQ/mS5G9whq2u6U655JdEBfgoNlwNvjsE4Zyc4VjkMsXJShlQH2tmYfMSNZV62tN9CA==" saltValue="rSYlenPI1K1RWrK1g85N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eoPGyHm4XWFD4AgjTMRGhacxQirvMWI1zsann2v/9lCER5esgmf7GhmaHzMW69xILzWT84knqufUGODEVWPMA==" saltValue="VL4b0peZnibRyneyZWmd6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lUxUtsFIyZX5BjrBjbcE2o1e/Lt4jRDcpwMxdUYjivSuDBIFKHiIxHihQf0ToRGVNF0dOjAUafc39Z/xZejCQ==" saltValue="FGcRyEzrC6T3tnP4NIgeu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i4dYweyn/++W74qB77wFM077l/I718b/Ucf2c4R203B3nwn95/rsKDR97RFucAsNZ+864jOHAcI8zXQnQLOHQ==" saltValue="cWeqPto5gM41bO/OkBER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DKYCbbw9sHpB42ZMDP61VKgkJ99foDmZJ29aLMM8r6BX0Ndf5cfi/i/lDILxHi4YlMj0UT5hN5H22JZPhpKHg==" saltValue="hzGvrl5CH6//rd5qmDnT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1YAt6qvuXr+bfCT/N0Nrm9j+Iv0StWd/2Fc3x9qGK1fALENw8c1dbyiInVbWt9kQpIGJg2hnI/1q5/TWWnK+g==" saltValue="wDYBVPMPOSvX4eUsBMO+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7O3m691dxerSSC/qnE25cNsXJ8hYQRaNHNJaJEfs0iEAgUmJe7yKDnYo0loMtIcruenK1TfAHa1L+i4HOC4pw==" saltValue="eP+45nGXKNQesH1H4hcv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GqMx7URL56rOH1NY7G5MLWrsn3Toi0u68gZ/M9Yna9KKmq6n+CQigSVy9MASSusX+TEuKWE2AyYz/3hi+DhiQ==" saltValue="qPNaXlC8+EzRkcNy8HvS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CSBGBKuaTxGX/iJNGNG1g5fUmVX5iN6O8HJXTdOMhDYwFWpl2BSAmngK0PbiFACBlU20VFH7qB8uErpoZlkbg==" saltValue="6vQ7oka6/SdZOCOHu/50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OIx4ZVMmNIhnvDaxXgRcW4PerJa5nwo1VoeWu8cHRPkcC/vrqFE7owTzgpOBRupJ3OGvXHG/NvpbTiJ1vt/Ag==" saltValue="qplm5gcO0jPSwQoDT2aN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Pv2lyS5PBo09ZrnSymBG0uTCU2KceH9NEzm6WwcbLD90UWuNL/1rIFCCC5aWFK7+n/VCgdW4OMC7WLVHNPdGFg==" saltValue="X9wm1i/bvjeX17dzSfKbS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