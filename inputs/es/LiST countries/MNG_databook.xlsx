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5BA2EE42-3B51-4B32-B356-CD16A56556B5}" xr6:coauthVersionLast="47" xr6:coauthVersionMax="47" xr10:uidLastSave="{00000000-0000-0000-0000-000000000000}"/>
  <bookViews>
    <workbookView xWindow="-110" yWindow="-110" windowWidth="19420" windowHeight="10420" tabRatio="961" firstSheet="5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4" i="2"/>
  <c r="A26" i="2"/>
  <c r="A31" i="2"/>
  <c r="A36" i="2"/>
  <c r="I4" i="2"/>
  <c r="I8" i="2"/>
  <c r="I12" i="2"/>
  <c r="A25" i="2"/>
  <c r="A34" i="2"/>
  <c r="A40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<sst xmlns="http://schemas.openxmlformats.org/spreadsheetml/2006/main" count="2159" uniqueCount="372">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</sst>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329239.5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0.81408699039999999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0.317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7.1399999999999991E-2</v>
      </c>
    </row>
    <row r="24" spans="1:3" ht="15" customHeight="1" x14ac:dyDescent="0.25">
      <c r="B24" s="15" t="s">
        <v>65</v>
      </c>
      <c r="C24" s="45">
        <v>0.52029999999999998</v>
      </c>
    </row>
    <row r="25" spans="1:3" ht="15" customHeight="1" x14ac:dyDescent="0.25">
      <c r="B25" s="15" t="s">
        <v>66</v>
      </c>
      <c r="C25" s="45">
        <v>0.36659999999999998</v>
      </c>
    </row>
    <row r="26" spans="1:3" ht="15" customHeight="1" x14ac:dyDescent="0.25">
      <c r="B26" s="15" t="s">
        <v>67</v>
      </c>
      <c r="C26" s="45">
        <v>4.1700000000000001E-2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0.57290349526853401</v>
      </c>
    </row>
    <row r="30" spans="1:3" ht="14.25" customHeight="1" x14ac:dyDescent="0.25">
      <c r="B30" s="25" t="s">
        <v>82</v>
      </c>
      <c r="C30" s="99">
        <v>2.97816918362898E-2</v>
      </c>
    </row>
    <row r="31" spans="1:3" ht="14.25" customHeight="1" x14ac:dyDescent="0.25">
      <c r="B31" s="25" t="s">
        <v>29</v>
      </c>
      <c r="C31" s="99">
        <v>2.5306962187057899E-2</v>
      </c>
    </row>
    <row r="32" spans="1:3" ht="14.25" customHeight="1" x14ac:dyDescent="0.25">
      <c r="B32" s="25" t="s">
        <v>30</v>
      </c>
      <c r="C32" s="99">
        <v>0.37200785070811798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7.5434400000000004</v>
      </c>
    </row>
    <row r="38" spans="1:5" ht="15" customHeight="1" x14ac:dyDescent="0.25">
      <c r="B38" s="11" t="s">
        <v>54</v>
      </c>
      <c r="C38" s="43">
        <v>12.68064</v>
      </c>
      <c r="D38" s="12"/>
      <c r="E38" s="13"/>
    </row>
    <row r="39" spans="1:5" ht="15" customHeight="1" x14ac:dyDescent="0.25">
      <c r="B39" s="11" t="s">
        <v>80</v>
      </c>
      <c r="C39" s="43">
        <v>14.734360000000001</v>
      </c>
      <c r="D39" s="12"/>
      <c r="E39" s="12"/>
    </row>
    <row r="40" spans="1:5" ht="15" customHeight="1" x14ac:dyDescent="0.25">
      <c r="B40" s="11" t="s">
        <v>55</v>
      </c>
      <c r="C40" s="100">
        <v>0.39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4.3900499999999996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5.1263999999999997E-3</v>
      </c>
      <c r="D45" s="12"/>
    </row>
    <row r="46" spans="1:5" ht="15.75" customHeight="1" x14ac:dyDescent="0.25">
      <c r="B46" s="11" t="s">
        <v>70</v>
      </c>
      <c r="C46" s="45">
        <v>5.5082600000000002E-2</v>
      </c>
      <c r="D46" s="12"/>
    </row>
    <row r="47" spans="1:5" ht="15.75" customHeight="1" x14ac:dyDescent="0.25">
      <c r="B47" s="11" t="s">
        <v>78</v>
      </c>
      <c r="C47" s="45">
        <v>7.6126699999999992E-2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2.2000000000000002</v>
      </c>
      <c r="D51" s="12"/>
    </row>
    <row r="52" spans="1:4" ht="15" customHeight="1" x14ac:dyDescent="0.25">
      <c r="B52" s="11" t="s">
        <v>32</v>
      </c>
      <c r="C52" s="100">
        <v>2.2000000000000002</v>
      </c>
    </row>
    <row r="53" spans="1:4" ht="15.75" customHeight="1" x14ac:dyDescent="0.25">
      <c r="B53" s="11" t="s">
        <v>35</v>
      </c>
      <c r="C53" s="100">
        <v>2.2000000000000002</v>
      </c>
    </row>
    <row r="54" spans="1:4" ht="15.75" customHeight="1" x14ac:dyDescent="0.25">
      <c r="B54" s="11" t="s">
        <v>33</v>
      </c>
      <c r="C54" s="100">
        <v>2.2000000000000002</v>
      </c>
    </row>
    <row r="55" spans="1:4" ht="15.75" customHeight="1" x14ac:dyDescent="0.25">
      <c r="B55" s="11" t="s">
        <v>34</v>
      </c>
      <c r="C55" s="100">
        <v>2.2000000000000002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2.1363636363636359E-2</v>
      </c>
    </row>
    <row r="59" spans="1:4" ht="15.75" customHeight="1" x14ac:dyDescent="0.25">
      <c r="B59" s="11" t="s">
        <v>59</v>
      </c>
      <c r="C59" s="45">
        <v>0.58909100000000003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5.3733958999999998E-2</v>
      </c>
    </row>
    <row r="63" spans="1:4" ht="15.75" customHeight="1" x14ac:dyDescent="0.3">
      <c r="A63" s="4"/>
    </row>
  </sheetData>
  <sheetProtection algorithmName="SHA-512" hashValue="yXVWcMAY+vjj5ahPlEYdPCRclm1KPYdz+48mqTgiTUKjz8V9gREB5/xCAPtpcr0rTUJ7PNyt7CRMcqsG5C4YnA==" saltValue="ysOMjEP7Pdiz01w1LkFb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63101</v>
      </c>
      <c r="C2" s="49">
        <v>131190.5</v>
      </c>
      <c r="D2" s="49">
        <v>218441.50000000003</v>
      </c>
      <c r="E2" s="49">
        <v>270666.5</v>
      </c>
      <c r="F2" s="49">
        <v>222128</v>
      </c>
      <c r="G2" s="17">
        <f t="shared" ref="G2:G13" si="0">C2+D2+E2+F2</f>
        <v>842426.5</v>
      </c>
      <c r="H2" s="17">
        <f t="shared" ref="H2:H13" si="1">(B2 + stillbirth*B2/(1000-stillbirth))/(1-abortion)</f>
        <v>72021.86139078041</v>
      </c>
      <c r="I2" s="17">
        <f t="shared" ref="I2:I13" si="2">G2-H2</f>
        <v>770404.63860921958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61431</v>
      </c>
      <c r="C3" s="50">
        <v>143643</v>
      </c>
      <c r="D3" s="50">
        <v>217936.50000000003</v>
      </c>
      <c r="E3" s="50">
        <v>266456.5</v>
      </c>
      <c r="F3" s="50">
        <v>226984</v>
      </c>
      <c r="G3" s="17">
        <f t="shared" si="0"/>
        <v>855020</v>
      </c>
      <c r="H3" s="17">
        <f t="shared" si="1"/>
        <v>70115.766265146856</v>
      </c>
      <c r="I3" s="17">
        <f t="shared" si="2"/>
        <v>784904.2337348531</v>
      </c>
    </row>
    <row r="4" spans="1:9" ht="15.75" customHeight="1" x14ac:dyDescent="0.25">
      <c r="A4" s="5">
        <f t="shared" si="3"/>
        <v>2026</v>
      </c>
      <c r="B4" s="49">
        <v>60067</v>
      </c>
      <c r="C4" s="50">
        <v>154901.5</v>
      </c>
      <c r="D4" s="50">
        <v>219719.49999999997</v>
      </c>
      <c r="E4" s="50">
        <v>260541</v>
      </c>
      <c r="F4" s="50">
        <v>232782.5</v>
      </c>
      <c r="G4" s="17">
        <f t="shared" si="0"/>
        <v>867944.5</v>
      </c>
      <c r="H4" s="17">
        <f t="shared" si="1"/>
        <v>68558.931683491654</v>
      </c>
      <c r="I4" s="17">
        <f t="shared" si="2"/>
        <v>799385.56831650832</v>
      </c>
    </row>
    <row r="5" spans="1:9" ht="15.75" customHeight="1" x14ac:dyDescent="0.25">
      <c r="A5" s="5">
        <f t="shared" si="3"/>
        <v>2027</v>
      </c>
      <c r="B5" s="49">
        <v>59151</v>
      </c>
      <c r="C5" s="50">
        <v>164751.5</v>
      </c>
      <c r="D5" s="50">
        <v>224119</v>
      </c>
      <c r="E5" s="50">
        <v>253256</v>
      </c>
      <c r="F5" s="50">
        <v>239303</v>
      </c>
      <c r="G5" s="17">
        <f t="shared" si="0"/>
        <v>881429.5</v>
      </c>
      <c r="H5" s="17">
        <f t="shared" si="1"/>
        <v>67513.432800210023</v>
      </c>
      <c r="I5" s="17">
        <f t="shared" si="2"/>
        <v>813916.06719978992</v>
      </c>
    </row>
    <row r="6" spans="1:9" ht="15.75" customHeight="1" x14ac:dyDescent="0.25">
      <c r="A6" s="5">
        <f t="shared" si="3"/>
        <v>2028</v>
      </c>
      <c r="B6" s="49">
        <v>58601</v>
      </c>
      <c r="C6" s="50">
        <v>175038.5</v>
      </c>
      <c r="D6" s="50">
        <v>231576.5</v>
      </c>
      <c r="E6" s="50">
        <v>245083.5</v>
      </c>
      <c r="F6" s="50">
        <v>245976</v>
      </c>
      <c r="G6" s="17">
        <f t="shared" si="0"/>
        <v>897674.5</v>
      </c>
      <c r="H6" s="17">
        <f t="shared" si="1"/>
        <v>66885.676920510348</v>
      </c>
      <c r="I6" s="17">
        <f t="shared" si="2"/>
        <v>830788.82307948964</v>
      </c>
    </row>
    <row r="7" spans="1:9" ht="15.75" customHeight="1" x14ac:dyDescent="0.25">
      <c r="A7" s="5">
        <f t="shared" si="3"/>
        <v>2029</v>
      </c>
      <c r="B7" s="49">
        <v>58468</v>
      </c>
      <c r="C7" s="50">
        <v>184246.5</v>
      </c>
      <c r="D7" s="50">
        <v>242517</v>
      </c>
      <c r="E7" s="50">
        <v>236533.5</v>
      </c>
      <c r="F7" s="50">
        <v>252154.99999999997</v>
      </c>
      <c r="G7" s="17">
        <f t="shared" si="0"/>
        <v>915452</v>
      </c>
      <c r="H7" s="17">
        <f t="shared" si="1"/>
        <v>66733.874135055696</v>
      </c>
      <c r="I7" s="17">
        <f t="shared" si="2"/>
        <v>848718.1258649443</v>
      </c>
    </row>
    <row r="8" spans="1:9" ht="15.75" customHeight="1" x14ac:dyDescent="0.25">
      <c r="A8" s="5">
        <f t="shared" si="3"/>
        <v>2030</v>
      </c>
      <c r="B8" s="49">
        <v>58755</v>
      </c>
      <c r="C8" s="50">
        <v>190924</v>
      </c>
      <c r="D8" s="50">
        <v>257035.5</v>
      </c>
      <c r="E8" s="50">
        <v>228180</v>
      </c>
      <c r="F8" s="50">
        <v>257207</v>
      </c>
      <c r="G8" s="17">
        <f t="shared" si="0"/>
        <v>933346.5</v>
      </c>
      <c r="H8" s="17">
        <f t="shared" si="1"/>
        <v>67061.44856682625</v>
      </c>
      <c r="I8" s="17">
        <f t="shared" si="2"/>
        <v>866285.05143317371</v>
      </c>
    </row>
    <row r="9" spans="1:9" ht="15.75" customHeight="1" x14ac:dyDescent="0.25">
      <c r="A9" s="5">
        <f t="shared" si="3"/>
        <v>2031</v>
      </c>
      <c r="B9" s="49">
        <v>59418</v>
      </c>
      <c r="C9" s="50">
        <v>196326</v>
      </c>
      <c r="D9" s="50">
        <v>272794</v>
      </c>
      <c r="E9" s="50">
        <v>220590</v>
      </c>
      <c r="F9" s="50">
        <v>260577</v>
      </c>
      <c r="G9" s="17">
        <f t="shared" si="0"/>
        <v>950287</v>
      </c>
      <c r="H9" s="17">
        <f t="shared" si="1"/>
        <v>67818.179745446032</v>
      </c>
      <c r="I9" s="17">
        <f t="shared" si="2"/>
        <v>882468.82025455392</v>
      </c>
    </row>
    <row r="10" spans="1:9" ht="15.75" customHeight="1" x14ac:dyDescent="0.25">
      <c r="A10" s="5">
        <f t="shared" si="3"/>
        <v>2032</v>
      </c>
      <c r="B10" s="49">
        <v>60373</v>
      </c>
      <c r="C10" s="50">
        <v>199348.5</v>
      </c>
      <c r="D10" s="50">
        <v>289556.5</v>
      </c>
      <c r="E10" s="50">
        <v>214277.5</v>
      </c>
      <c r="F10" s="50">
        <v>262012</v>
      </c>
      <c r="G10" s="17">
        <f t="shared" si="0"/>
        <v>965194.5</v>
      </c>
      <c r="H10" s="17">
        <f t="shared" si="1"/>
        <v>68908.192227470019</v>
      </c>
      <c r="I10" s="17">
        <f t="shared" si="2"/>
        <v>896286.30777253001</v>
      </c>
    </row>
    <row r="11" spans="1:9" ht="15.75" customHeight="1" x14ac:dyDescent="0.25">
      <c r="A11" s="5">
        <f t="shared" si="3"/>
        <v>2033</v>
      </c>
      <c r="B11" s="49">
        <v>61628</v>
      </c>
      <c r="C11" s="50">
        <v>197957</v>
      </c>
      <c r="D11" s="50">
        <v>308940</v>
      </c>
      <c r="E11" s="50">
        <v>209647.49999999997</v>
      </c>
      <c r="F11" s="50">
        <v>261522.49999999997</v>
      </c>
      <c r="G11" s="17">
        <f t="shared" si="0"/>
        <v>978067</v>
      </c>
      <c r="H11" s="17">
        <f t="shared" si="1"/>
        <v>70340.617007512003</v>
      </c>
      <c r="I11" s="17">
        <f t="shared" si="2"/>
        <v>907726.38299248798</v>
      </c>
    </row>
    <row r="12" spans="1:9" ht="15.75" customHeight="1" x14ac:dyDescent="0.25">
      <c r="A12" s="5">
        <f t="shared" si="3"/>
        <v>2034</v>
      </c>
      <c r="B12" s="49">
        <v>63087</v>
      </c>
      <c r="C12" s="50">
        <v>194167</v>
      </c>
      <c r="D12" s="50">
        <v>329207.99999999994</v>
      </c>
      <c r="E12" s="50">
        <v>206954</v>
      </c>
      <c r="F12" s="50">
        <v>259155.50000000003</v>
      </c>
      <c r="G12" s="17">
        <f t="shared" si="0"/>
        <v>989484.5</v>
      </c>
      <c r="H12" s="17">
        <f t="shared" si="1"/>
        <v>72005.882150206235</v>
      </c>
      <c r="I12" s="17">
        <f t="shared" si="2"/>
        <v>917478.61784979375</v>
      </c>
    </row>
    <row r="13" spans="1:9" ht="15.75" customHeight="1" x14ac:dyDescent="0.25">
      <c r="A13" s="5">
        <f t="shared" si="3"/>
        <v>2035</v>
      </c>
      <c r="B13" s="49">
        <v>64516.999999999993</v>
      </c>
      <c r="C13" s="50">
        <v>189350</v>
      </c>
      <c r="D13" s="50">
        <v>348415</v>
      </c>
      <c r="E13" s="50">
        <v>206357.50000000003</v>
      </c>
      <c r="F13" s="50">
        <v>254977</v>
      </c>
      <c r="G13" s="17">
        <f t="shared" si="0"/>
        <v>999099.5</v>
      </c>
      <c r="H13" s="17">
        <f t="shared" si="1"/>
        <v>73638.047437425383</v>
      </c>
      <c r="I13" s="17">
        <f t="shared" si="2"/>
        <v>925461.45256257465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4jWxHbhM0Q7Z7WKVrEkqtlwFuUXeVCxSXrRVlE6+8PYviwDDSpowGP2DcH+6bQBS7VKTqCx4H4drMlEWotlhQ==" saltValue="kEKU/rqPd5Co2P0oTZ81i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1.6324242095127591E-3</v>
      </c>
    </row>
    <row r="4" spans="1:8" ht="15.75" customHeight="1" x14ac:dyDescent="0.25">
      <c r="B4" s="19" t="s">
        <v>116</v>
      </c>
      <c r="C4" s="101">
        <v>5.2081731825269262E-2</v>
      </c>
    </row>
    <row r="5" spans="1:8" ht="15.75" customHeight="1" x14ac:dyDescent="0.25">
      <c r="B5" s="19" t="s">
        <v>114</v>
      </c>
      <c r="C5" s="101">
        <v>2.9863691848466541E-2</v>
      </c>
    </row>
    <row r="6" spans="1:8" ht="15.75" customHeight="1" x14ac:dyDescent="0.25">
      <c r="B6" s="19" t="s">
        <v>110</v>
      </c>
      <c r="C6" s="101">
        <v>0.1698753019698051</v>
      </c>
    </row>
    <row r="7" spans="1:8" ht="15.75" customHeight="1" x14ac:dyDescent="0.25">
      <c r="B7" s="19" t="s">
        <v>115</v>
      </c>
      <c r="C7" s="101">
        <v>0.43394349674221139</v>
      </c>
    </row>
    <row r="8" spans="1:8" ht="15.75" customHeight="1" x14ac:dyDescent="0.25">
      <c r="B8" s="19" t="s">
        <v>117</v>
      </c>
      <c r="C8" s="101">
        <v>2.0875893861734139E-3</v>
      </c>
    </row>
    <row r="9" spans="1:8" ht="15.75" customHeight="1" x14ac:dyDescent="0.25">
      <c r="B9" s="19" t="s">
        <v>111</v>
      </c>
      <c r="C9" s="101">
        <v>0.22483110229985301</v>
      </c>
    </row>
    <row r="10" spans="1:8" ht="15.75" customHeight="1" x14ac:dyDescent="0.25">
      <c r="B10" s="19" t="s">
        <v>113</v>
      </c>
      <c r="C10" s="101">
        <v>8.5684661718708532E-2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6.6361337214707369E-2</v>
      </c>
      <c r="D14" s="55">
        <v>6.6361337214707369E-2</v>
      </c>
      <c r="E14" s="55">
        <v>6.6361337214707369E-2</v>
      </c>
      <c r="F14" s="55">
        <v>6.6361337214707369E-2</v>
      </c>
    </row>
    <row r="15" spans="1:8" ht="15.75" customHeight="1" x14ac:dyDescent="0.25">
      <c r="B15" s="19" t="s">
        <v>121</v>
      </c>
      <c r="C15" s="101">
        <v>0.21836907904839739</v>
      </c>
      <c r="D15" s="101">
        <v>0.21836907904839739</v>
      </c>
      <c r="E15" s="101">
        <v>0.21836907904839739</v>
      </c>
      <c r="F15" s="101">
        <v>0.21836907904839739</v>
      </c>
    </row>
    <row r="16" spans="1:8" ht="15.75" customHeight="1" x14ac:dyDescent="0.25">
      <c r="B16" s="19" t="s">
        <v>2</v>
      </c>
      <c r="C16" s="101">
        <v>1.308218753544084E-2</v>
      </c>
      <c r="D16" s="101">
        <v>1.308218753544084E-2</v>
      </c>
      <c r="E16" s="101">
        <v>1.308218753544084E-2</v>
      </c>
      <c r="F16" s="101">
        <v>1.308218753544084E-2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2.0020932136408709E-2</v>
      </c>
      <c r="D19" s="101">
        <v>2.0020932136408709E-2</v>
      </c>
      <c r="E19" s="101">
        <v>2.0020932136408709E-2</v>
      </c>
      <c r="F19" s="101">
        <v>2.0020932136408709E-2</v>
      </c>
    </row>
    <row r="20" spans="1:8" ht="15.75" customHeight="1" x14ac:dyDescent="0.25">
      <c r="B20" s="19" t="s">
        <v>98</v>
      </c>
      <c r="C20" s="101">
        <v>2.5184264166931238E-3</v>
      </c>
      <c r="D20" s="101">
        <v>2.5184264166931238E-3</v>
      </c>
      <c r="E20" s="101">
        <v>2.5184264166931238E-3</v>
      </c>
      <c r="F20" s="101">
        <v>2.5184264166931238E-3</v>
      </c>
    </row>
    <row r="21" spans="1:8" ht="15.75" customHeight="1" x14ac:dyDescent="0.25">
      <c r="B21" s="19" t="s">
        <v>107</v>
      </c>
      <c r="C21" s="101">
        <v>0.53474700150377652</v>
      </c>
      <c r="D21" s="101">
        <v>0.53474700150377652</v>
      </c>
      <c r="E21" s="101">
        <v>0.53474700150377652</v>
      </c>
      <c r="F21" s="101">
        <v>0.53474700150377652</v>
      </c>
    </row>
    <row r="22" spans="1:8" ht="15.75" customHeight="1" x14ac:dyDescent="0.25">
      <c r="B22" s="19" t="s">
        <v>118</v>
      </c>
      <c r="C22" s="101">
        <v>0.144901036144576</v>
      </c>
      <c r="D22" s="101">
        <v>0.144901036144576</v>
      </c>
      <c r="E22" s="101">
        <v>0.144901036144576</v>
      </c>
      <c r="F22" s="101">
        <v>0.144901036144576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4.767842600000001E-2</v>
      </c>
    </row>
    <row r="27" spans="1:8" ht="15.75" customHeight="1" x14ac:dyDescent="0.25">
      <c r="B27" s="19" t="s">
        <v>108</v>
      </c>
      <c r="C27" s="101">
        <v>1.8794775E-2</v>
      </c>
    </row>
    <row r="28" spans="1:8" ht="15.75" customHeight="1" x14ac:dyDescent="0.25">
      <c r="B28" s="19" t="s">
        <v>122</v>
      </c>
      <c r="C28" s="101">
        <v>0.23166139099999999</v>
      </c>
    </row>
    <row r="29" spans="1:8" ht="15.75" customHeight="1" x14ac:dyDescent="0.25">
      <c r="B29" s="19" t="s">
        <v>105</v>
      </c>
      <c r="C29" s="101">
        <v>0.138538992</v>
      </c>
    </row>
    <row r="30" spans="1:8" ht="15.75" customHeight="1" x14ac:dyDescent="0.25">
      <c r="B30" s="19" t="s">
        <v>4</v>
      </c>
      <c r="C30" s="101">
        <v>5.0761070999999998E-2</v>
      </c>
    </row>
    <row r="31" spans="1:8" ht="15.75" customHeight="1" x14ac:dyDescent="0.25">
      <c r="B31" s="19" t="s">
        <v>99</v>
      </c>
      <c r="C31" s="101">
        <v>7.0366394999999998E-2</v>
      </c>
    </row>
    <row r="32" spans="1:8" ht="15.75" customHeight="1" x14ac:dyDescent="0.25">
      <c r="B32" s="19" t="s">
        <v>104</v>
      </c>
      <c r="C32" s="101">
        <v>0.147583886</v>
      </c>
    </row>
    <row r="33" spans="2:3" ht="15.75" customHeight="1" x14ac:dyDescent="0.25">
      <c r="B33" s="19" t="s">
        <v>119</v>
      </c>
      <c r="C33" s="101">
        <v>0.122079576</v>
      </c>
    </row>
    <row r="34" spans="2:3" ht="15.75" customHeight="1" x14ac:dyDescent="0.25">
      <c r="B34" s="19" t="s">
        <v>106</v>
      </c>
      <c r="C34" s="101">
        <v>0.17253548899999999</v>
      </c>
    </row>
    <row r="35" spans="2:3" ht="15.75" customHeight="1" x14ac:dyDescent="0.25">
      <c r="B35" s="27" t="s">
        <v>79</v>
      </c>
      <c r="C35" s="48">
        <f>SUM(C26:C34)</f>
        <v>1.0000000009999999</v>
      </c>
    </row>
  </sheetData>
  <sheetProtection algorithmName="SHA-512" hashValue="AcIhWGr1P0ieVWyccis4J1WVgkMptyPFI6ptE4TO84MrWpyuTDcVKTcOAbzvQ37gOnpW1eTXDFr4INixEgza8Q==" saltValue="9uDocRPWqlWQOcuBOKxJi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0.82677451285693104</v>
      </c>
      <c r="D2" s="52">
        <f>IFERROR(1-_xlfn.NORM.DIST(_xlfn.NORM.INV(SUM(D4:D5), 0, 1) + 1, 0, 1, TRUE), "")</f>
        <v>0.82677451285693104</v>
      </c>
      <c r="E2" s="52">
        <f>IFERROR(1-_xlfn.NORM.DIST(_xlfn.NORM.INV(SUM(E4:E5), 0, 1) + 1, 0, 1, TRUE), "")</f>
        <v>0.73580179304021121</v>
      </c>
      <c r="F2" s="52">
        <f>IFERROR(1-_xlfn.NORM.DIST(_xlfn.NORM.INV(SUM(F4:F5), 0, 1) + 1, 0, 1, TRUE), "")</f>
        <v>0.59718903209489982</v>
      </c>
      <c r="G2" s="52">
        <f>IFERROR(1-_xlfn.NORM.DIST(_xlfn.NORM.INV(SUM(G4:G5), 0, 1) + 1, 0, 1, TRUE), "")</f>
        <v>0.59272414470640378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0.14712638714306897</v>
      </c>
      <c r="D3" s="52">
        <f>IFERROR(_xlfn.NORM.DIST(_xlfn.NORM.INV(SUM(D4:D5), 0, 1) + 1, 0, 1, TRUE) - SUM(D4:D5), "")</f>
        <v>0.14712638714306897</v>
      </c>
      <c r="E3" s="52">
        <f>IFERROR(_xlfn.NORM.DIST(_xlfn.NORM.INV(SUM(E4:E5), 0, 1) + 1, 0, 1, TRUE) - SUM(E4:E5), "")</f>
        <v>0.21269560695978879</v>
      </c>
      <c r="F3" s="52">
        <f>IFERROR(_xlfn.NORM.DIST(_xlfn.NORM.INV(SUM(F4:F5), 0, 1) + 1, 0, 1, TRUE) - SUM(F4:F5), "")</f>
        <v>0.29644306790510022</v>
      </c>
      <c r="G3" s="52">
        <f>IFERROR(_xlfn.NORM.DIST(_xlfn.NORM.INV(SUM(G4:G5), 0, 1) + 1, 0, 1, TRUE) - SUM(G4:G5), "")</f>
        <v>0.2987783552935962</v>
      </c>
    </row>
    <row r="4" spans="1:15" ht="15.75" customHeight="1" x14ac:dyDescent="0.25">
      <c r="B4" s="5" t="s">
        <v>129</v>
      </c>
      <c r="C4" s="45">
        <v>1.71889E-2</v>
      </c>
      <c r="D4" s="53">
        <v>1.71889E-2</v>
      </c>
      <c r="E4" s="53">
        <v>4.38225E-2</v>
      </c>
      <c r="F4" s="53">
        <v>6.8661399999999997E-2</v>
      </c>
      <c r="G4" s="53">
        <v>8.4373799999999999E-2</v>
      </c>
    </row>
    <row r="5" spans="1:15" ht="15.75" customHeight="1" x14ac:dyDescent="0.25">
      <c r="B5" s="5" t="s">
        <v>125</v>
      </c>
      <c r="C5" s="45">
        <v>8.9102000000000001E-3</v>
      </c>
      <c r="D5" s="53">
        <v>8.9102000000000001E-3</v>
      </c>
      <c r="E5" s="53">
        <v>7.6800999999999996E-3</v>
      </c>
      <c r="F5" s="53">
        <v>3.7706499999999997E-2</v>
      </c>
      <c r="G5" s="53">
        <v>2.4123700000000001E-2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0.7944296436409517</v>
      </c>
      <c r="D8" s="52">
        <f>IFERROR(1-_xlfn.NORM.DIST(_xlfn.NORM.INV(SUM(D10:D11), 0, 1) + 1, 0, 1, TRUE), "")</f>
        <v>0.7944296436409517</v>
      </c>
      <c r="E8" s="52">
        <f>IFERROR(1-_xlfn.NORM.DIST(_xlfn.NORM.INV(SUM(E10:E11), 0, 1) + 1, 0, 1, TRUE), "")</f>
        <v>0.90879959268577404</v>
      </c>
      <c r="F8" s="52">
        <f>IFERROR(1-_xlfn.NORM.DIST(_xlfn.NORM.INV(SUM(F10:F11), 0, 1) + 1, 0, 1, TRUE), "")</f>
        <v>0.9308992772175364</v>
      </c>
      <c r="G8" s="52">
        <f>IFERROR(1-_xlfn.NORM.DIST(_xlfn.NORM.INV(SUM(G10:G11), 0, 1) + 1, 0, 1, TRUE), "")</f>
        <v>0.93706495298543968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0.17133435635904826</v>
      </c>
      <c r="D9" s="52">
        <f>IFERROR(_xlfn.NORM.DIST(_xlfn.NORM.INV(SUM(D10:D11), 0, 1) + 1, 0, 1, TRUE) - SUM(D10:D11), "")</f>
        <v>0.17133435635904826</v>
      </c>
      <c r="E9" s="52">
        <f>IFERROR(_xlfn.NORM.DIST(_xlfn.NORM.INV(SUM(E10:E11), 0, 1) + 1, 0, 1, TRUE) - SUM(E10:E11), "")</f>
        <v>8.1386807314225956E-2</v>
      </c>
      <c r="F9" s="52">
        <f>IFERROR(_xlfn.NORM.DIST(_xlfn.NORM.INV(SUM(F10:F11), 0, 1) + 1, 0, 1, TRUE) - SUM(F10:F11), "")</f>
        <v>6.2577922782463602E-2</v>
      </c>
      <c r="G9" s="52">
        <f>IFERROR(_xlfn.NORM.DIST(_xlfn.NORM.INV(SUM(G10:G11), 0, 1) + 1, 0, 1, TRUE) - SUM(G10:G11), "")</f>
        <v>5.7241547014560343E-2</v>
      </c>
    </row>
    <row r="10" spans="1:15" ht="15.75" customHeight="1" x14ac:dyDescent="0.25">
      <c r="B10" s="5" t="s">
        <v>126</v>
      </c>
      <c r="C10" s="45">
        <v>2.67201E-2</v>
      </c>
      <c r="D10" s="53">
        <v>2.67201E-2</v>
      </c>
      <c r="E10" s="53">
        <v>2.8765000000000002E-3</v>
      </c>
      <c r="F10" s="53">
        <v>2.5831999999999999E-3</v>
      </c>
      <c r="G10" s="53">
        <v>3.8270000000000001E-3</v>
      </c>
    </row>
    <row r="11" spans="1:15" ht="15.75" customHeight="1" x14ac:dyDescent="0.25">
      <c r="B11" s="5" t="s">
        <v>138</v>
      </c>
      <c r="C11" s="45">
        <v>7.5158999999999998E-3</v>
      </c>
      <c r="D11" s="53">
        <v>7.5158999999999998E-3</v>
      </c>
      <c r="E11" s="53">
        <v>6.9371000000000007E-3</v>
      </c>
      <c r="F11" s="53">
        <v>3.9395999999999997E-3</v>
      </c>
      <c r="G11" s="53">
        <v>1.8665000000000001E-3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0.36972114524999999</v>
      </c>
      <c r="D14" s="54">
        <v>0.35988932596000001</v>
      </c>
      <c r="E14" s="54">
        <v>0.35988932596000001</v>
      </c>
      <c r="F14" s="54">
        <v>0.26732186760100002</v>
      </c>
      <c r="G14" s="54">
        <v>0.26732186760100002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0.189</v>
      </c>
      <c r="M14" s="55">
        <v>0.189</v>
      </c>
      <c r="N14" s="55">
        <v>0.189</v>
      </c>
      <c r="O14" s="55">
        <v>0.189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0.21779939917646776</v>
      </c>
      <c r="D15" s="52">
        <f t="shared" si="0"/>
        <v>0.21200756291910239</v>
      </c>
      <c r="E15" s="52">
        <f t="shared" si="0"/>
        <v>0.21200756291910239</v>
      </c>
      <c r="F15" s="52">
        <f t="shared" si="0"/>
        <v>0.15747690630694072</v>
      </c>
      <c r="G15" s="52">
        <f t="shared" si="0"/>
        <v>0.15747690630694072</v>
      </c>
      <c r="H15" s="52">
        <f t="shared" si="0"/>
        <v>0.17849457300000002</v>
      </c>
      <c r="I15" s="52">
        <f t="shared" si="0"/>
        <v>0.17849457300000002</v>
      </c>
      <c r="J15" s="52">
        <f t="shared" si="0"/>
        <v>0.17849457300000002</v>
      </c>
      <c r="K15" s="52">
        <f t="shared" si="0"/>
        <v>0.17849457300000002</v>
      </c>
      <c r="L15" s="52">
        <f t="shared" si="0"/>
        <v>0.11133819900000001</v>
      </c>
      <c r="M15" s="52">
        <f t="shared" si="0"/>
        <v>0.11133819900000001</v>
      </c>
      <c r="N15" s="52">
        <f t="shared" si="0"/>
        <v>0.11133819900000001</v>
      </c>
      <c r="O15" s="52">
        <f t="shared" si="0"/>
        <v>0.11133819900000001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0MwWy79yfvwpABVHfbeeU0MQXbuMRYkztgNdQcvRzWlDAdJtXiA9kSN3xUpo12wMNvWGKIbNfRyR81xCNXVVvA==" saltValue="xFQ8IVi4tHBR9YhsMtKG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0.69710499999999997</v>
      </c>
      <c r="D2" s="53">
        <v>0.47777259999999999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3.7555499999999999E-2</v>
      </c>
      <c r="D3" s="53">
        <v>0.12155680000000001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0.22008620000000001</v>
      </c>
      <c r="D4" s="53">
        <v>0.36383629999999989</v>
      </c>
      <c r="E4" s="53">
        <v>0.89573269999999994</v>
      </c>
      <c r="F4" s="53">
        <v>0.63862679999999994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4.5253300000000052E-2</v>
      </c>
      <c r="D5" s="52">
        <f t="shared" si="0"/>
        <v>3.6834300000000098E-2</v>
      </c>
      <c r="E5" s="52">
        <f>1-SUM(E2:E4)</f>
        <v>0.10426730000000006</v>
      </c>
      <c r="F5" s="52">
        <f>1-SUM(F2:F4)</f>
        <v>0.36137320000000006</v>
      </c>
      <c r="G5" s="52">
        <f>1-SUM(G2:G4)</f>
        <v>1</v>
      </c>
    </row>
  </sheetData>
  <sheetProtection algorithmName="SHA-512" hashValue="tB7OqLao2BTQRnsqZbPQOX5Js4fKT6YLpXjqUiVXgQ2Y2dcsBjY2FrUmqqlBLh42zzR2yK0zeo5EZR6VVBa3SQ==" saltValue="n/nMMVhjQdEwCBlkbp9Jl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QDorBWLR9tt1e/wI/wBd35piJ8agv7seO/pswKuFnvITjuFtKgSghHnYrXwOP+8fIVkWG2TFSi797omS+hZUw==" saltValue="kp36eWXdF5hKMTG+2wmdw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5045.5047003166601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0.34449000000000002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0.57206999999999997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1.1708946001099065E-2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98392.397899999996</v>
      </c>
      <c r="C22" s="109">
        <v>98233.055999999997</v>
      </c>
      <c r="D22" s="109">
        <v>98055.585099999997</v>
      </c>
      <c r="E22" s="109">
        <v>97700.522469999996</v>
      </c>
      <c r="F22" s="109">
        <v>97035.898960000006</v>
      </c>
      <c r="G22" s="109">
        <v>96109.919080000007</v>
      </c>
      <c r="H22" s="109">
        <v>94824.342780000006</v>
      </c>
      <c r="I22" s="109">
        <v>93032.773459999997</v>
      </c>
      <c r="J22" s="109">
        <v>90416.350390000007</v>
      </c>
      <c r="K22" s="109">
        <v>86624.561730000001</v>
      </c>
      <c r="L22" s="109">
        <v>81234.933820000006</v>
      </c>
      <c r="M22" s="109">
        <v>74271.76758</v>
      </c>
      <c r="N22" s="109">
        <v>64994.240319999997</v>
      </c>
      <c r="O22" s="109">
        <v>53251.527750000001</v>
      </c>
    </row>
  </sheetData>
  <sheetProtection algorithmName="SHA-512" hashValue="OV40Baqw6ipEbMcyngShepTUWOZmyFmR7Pfs/WBa0p9FEsxwpYwKDPuJtC3MfbkJMTTZ16z1ttrjp2MLonm/AQ==" saltValue="kO2kt/BQh3iHo7YS9UbNc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7H1Ds54ND86u39hnBElxrsyIz92L6y3Nfa5ViH2J2/IwylAi7SczS/tE/462HC+4pPZYE3JQy5DLKHXmWrt3dw==" saltValue="jbvcjsPTH6sZrPqqOGApF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QzHYxIBJwlnz+tdpusMtNaMfVJJHr7JkYWU+M1woJ1I0PoFozj9JdpHfrg1Zj4S0J0xW5B6xBkr7qurf3hkRmw==" saltValue="iIf36URV3bniBwPCABIaq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2.5694477871811041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0.2596929</v>
      </c>
      <c r="C10" s="98">
        <v>0.95</v>
      </c>
      <c r="D10" s="56">
        <v>12.948103926557099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12.948103926557099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12.948103926557099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12.948103926557099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0.2596929</v>
      </c>
      <c r="C14" s="98">
        <v>0.95</v>
      </c>
      <c r="D14" s="56">
        <v>12.948103926557099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12.948103926557099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3.6306666666666702E-2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0.47777259999999999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0.47777259999999999</v>
      </c>
      <c r="C19" s="98">
        <v>0.95</v>
      </c>
      <c r="D19" s="56">
        <v>8.5297262743193443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4.2392904639519244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0.70357650989134002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0.2596929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0.58242249999999995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0.39210790000000001</v>
      </c>
      <c r="C29" s="98">
        <v>0.95</v>
      </c>
      <c r="D29" s="56">
        <v>107.0978840973747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0.83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0.86376940000000002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0.50568460000000004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8.8149700000000011E-2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0.36798940000000002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0.16494010000000001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GA8vgA1kKXSbkywmfJsbPHm4whOH2a6xo2CvrxW+3i1JG9h7jlsTYqs5eFjfYsbvyn+ucF4EWhbRRzPhX120KQ==" saltValue="kCBRueqD0XKgxkE4UbQO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GpChLue2vQbNjPLHlnE3vumRKlLa9S+dW1NAZgDpmmBiOXmYM4ratc0Sv2xcBBZbps6Fw2qqbfOnbpNiFAhuw==" saltValue="Witiubg55MSwAu/14aQA/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KulYPf7faony4ZaKWyUx1TEhaplRjV1hfNVCmv2Cy16nSxvwX09hWhMu7oWrRP0peZnt9jQe+xVOWkcx/m5ZA==" saltValue="k6fTcYudh5Q2eurA7FEpy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6.9472260000000008E-2</v>
      </c>
      <c r="C3" s="21">
        <f>frac_mam_1_5months * 2.6</f>
        <v>6.9472260000000008E-2</v>
      </c>
      <c r="D3" s="21">
        <f>frac_mam_6_11months * 2.6</f>
        <v>7.478900000000001E-3</v>
      </c>
      <c r="E3" s="21">
        <f>frac_mam_12_23months * 2.6</f>
        <v>6.7163199999999996E-3</v>
      </c>
      <c r="F3" s="21">
        <f>frac_mam_24_59months * 2.6</f>
        <v>9.9502000000000011E-3</v>
      </c>
    </row>
    <row r="4" spans="1:6" ht="15.75" customHeight="1" x14ac:dyDescent="0.25">
      <c r="A4" s="3" t="s">
        <v>236</v>
      </c>
      <c r="B4" s="21">
        <f>frac_sam_1month * 2.6</f>
        <v>1.9541340000000001E-2</v>
      </c>
      <c r="C4" s="21">
        <f>frac_sam_1_5months * 2.6</f>
        <v>1.9541340000000001E-2</v>
      </c>
      <c r="D4" s="21">
        <f>frac_sam_6_11months * 2.6</f>
        <v>1.8036460000000004E-2</v>
      </c>
      <c r="E4" s="21">
        <f>frac_sam_12_23months * 2.6</f>
        <v>1.0242959999999999E-2</v>
      </c>
      <c r="F4" s="21">
        <f>frac_sam_24_59months * 2.6</f>
        <v>4.8529000000000003E-3</v>
      </c>
    </row>
  </sheetData>
  <sheetProtection algorithmName="SHA-512" hashValue="n2t09fKk4HBt5SNu3lJrXh3rKe9YkQiMGNS4d5JM83fPQ0d2wSutaGEj57Jdyz6gFv2k53RueTd3ulipoZBVCQ==" saltValue="stEmOgb8RbYESCgkVFvB+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0.317</v>
      </c>
      <c r="M24" s="60">
        <f>famplan_unmet_need</f>
        <v>0.317</v>
      </c>
      <c r="N24" s="60">
        <f>famplan_unmet_need</f>
        <v>0.317</v>
      </c>
      <c r="O24" s="60">
        <f>famplan_unmet_need</f>
        <v>0.317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9.1487792024159992E-2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3.9209053724640001E-2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5.5216163851199998E-2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+aMsieLCJNUwPwkpqJlXXAQGDjSABXm5fbCQ2DnE0cFnHAdk/FG6GHY/Gqr1o+qeft8cjWWgGPxebkNXw7awCQ==" saltValue="byEZHLkpQwrnl0r12NcEI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Wt6IOssLwr2ibbhHoIyV3ms4DC6CQQBX4Z3zu5TKK8xpEKbFohyDb5DBP+f5SmlDEofAobvuGMWxz78+av3WbQ==" saltValue="nLbQ5haMIqPiQRnXNt0l/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65Eon1oTY4DZHr8fnHurp+WJSrFbXdnXNxZ/J87u1d+DLTvTPBxaZfCx5Iw1iq8lR9rZYIjPxLfSVGosmRfng==" saltValue="cNZLJnGNLDrOnlOyVhnrC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MhnsbIbDEeG+YXCrKvGue59CMEvwanmEjgMYfuFNOGl4Zm+iM7Jkg9lsHvqo59mFOExE1CfCME9eHMn+aAfkA==" saltValue="WB2amUooayWKt2kziIAKs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bAsINlWm0c6/CQzhjmVW6wSRk31YYFJsgRnGNDDjuXrAOAd7jyrHXexrGWjOEmZU0VYM9oKboi2aKRJqE3mzYw==" saltValue="3AwjE3iOlWop3W1LaJ1vQ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lSD0cskOjYwFWiuxUK+ukXNGkEUJQwxYsZ+M+kMRrDQrlXi5vMoCYWxz//kgkmQNd/wTY9sZQv9/LJ50iw+X3w==" saltValue="KoabJ/i+5nZG6fTdGaIDM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RA9/GtVXltHTW1k8IHV8J9IXiGkWZeukw2qBPaIMgbzXon64V1lxBB06hb8KXtZsJ3EEtSLhxyrzhpOR64SkcQ==" saltValue="dCQrBSJhVFQLsTZgHcc7P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MvOln8CDg14iBDlzzqMxQxm/fzpESLNYZt3woKfmEc2u3qKkD1kZo76iiKRs506SznZI+bD8SXZQxaCe4IUS7g==" saltValue="3c+aYjKyfpdGfKJ7XTXN3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e53im2WDyTnWt8hs+qHZVYgKd2j+ws9Lqx7ozRK/0He1rImtGMyriZbG91ztEJP7QMDrA3CA74585iGmN2Nl1w==" saltValue="sHlOR61su9OnqxdyBLUh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+qB82E34vXHqqQy0sgLQqJNpgyHGaOpBU/I0Pm+OqA5g43YYZDf/lhJm6jdn9CreKPbaQxBFrALCvYmHeiYAkw==" saltValue="YocbrJKR6ge3HauhjOLX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IDhQMaBOpaptdgEIVXPmjghx9/lCUBScU4bR35wjvo9puxiR2f6jCOA3PG1a/zYl+I9CwZXWBbL6evp2lwSGg==" saltValue="50sWl2CVmkQlk6JCOWq9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zOEPrqR9pRmSc36iZReXI1u0JnRY8Nd0QBHBqhMIn/sWMN7SjrxFGcvVNPHlvD98P1uuQOsCyXImc2DZn6MKQ==" saltValue="ZJhKH9Z8abp8vHaLIOGH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qVKHmUIkZqEWzcroXLIF1jgkQkNTXihKylUmXIwgMX+708Qfj/fo23b1Uuo9APpNzUCBcbN0nxEtgCFTmOYHg==" saltValue="2FUtEJcAiv1+tGIv4jSLr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3uia5weBofw7h3s9EGkCm63JMefmII4jFhTZh3/HmjQfiZFTDvCSTFzKPon7v8gPyyBFnKvzJbYscNrqkWblg==" saltValue="+ZecIpYPWCZbrjdLmvIR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lcfM8gcUV9AjwXZL/nb+7AcyQBj2tY6paxyF5JQ/BsvS5d/hvfD4fDC0i2DG77Jm5ZlA1MrvrUP6ZbssgfdwGA==" saltValue="BN3yLWUhXUVITifMvNBRq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