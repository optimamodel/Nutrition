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E27FF75-56E4-4EE9-8D70-82A4139C79D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<sst xmlns="http://schemas.openxmlformats.org/spreadsheetml/2006/main" count="2102" uniqueCount="341">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</sst>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3482182.625</v>
      </c>
    </row>
    <row r="8" spans="1:3" ht="15" customHeight="1" x14ac:dyDescent="0.25">
      <c r="B8" s="5" t="s">
        <v>44</v>
      </c>
      <c r="C8" s="44">
        <v>0.38400000000000001</v>
      </c>
    </row>
    <row r="9" spans="1:3" ht="15" customHeight="1" x14ac:dyDescent="0.25">
      <c r="B9" s="5" t="s">
        <v>43</v>
      </c>
      <c r="C9" s="45">
        <v>0.86</v>
      </c>
    </row>
    <row r="10" spans="1:3" ht="15" customHeight="1" x14ac:dyDescent="0.25">
      <c r="B10" s="5" t="s">
        <v>56</v>
      </c>
      <c r="C10" s="45">
        <v>0.12396960258483899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0.1394</v>
      </c>
    </row>
    <row r="24" spans="1:3" ht="15" customHeight="1" x14ac:dyDescent="0.25">
      <c r="B24" s="15" t="s">
        <v>46</v>
      </c>
      <c r="C24" s="45">
        <v>0.44390000000000002</v>
      </c>
    </row>
    <row r="25" spans="1:3" ht="15" customHeight="1" x14ac:dyDescent="0.25">
      <c r="B25" s="15" t="s">
        <v>47</v>
      </c>
      <c r="C25" s="45">
        <v>0.33229999999999998</v>
      </c>
    </row>
    <row r="26" spans="1:3" ht="15" customHeight="1" x14ac:dyDescent="0.25">
      <c r="B26" s="15" t="s">
        <v>48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0.15293756430852301</v>
      </c>
    </row>
    <row r="30" spans="1:3" ht="14.25" customHeight="1" x14ac:dyDescent="0.25">
      <c r="B30" s="25" t="s">
        <v>63</v>
      </c>
      <c r="C30" s="99">
        <v>9.4746756690583189E-2</v>
      </c>
    </row>
    <row r="31" spans="1:3" ht="14.25" customHeight="1" x14ac:dyDescent="0.25">
      <c r="B31" s="25" t="s">
        <v>10</v>
      </c>
      <c r="C31" s="99">
        <v>0.160927169095259</v>
      </c>
    </row>
    <row r="32" spans="1:3" ht="14.25" customHeight="1" x14ac:dyDescent="0.25">
      <c r="B32" s="25" t="s">
        <v>11</v>
      </c>
      <c r="C32" s="99">
        <v>0.59138850990563396</v>
      </c>
    </row>
    <row r="33" spans="1:5" ht="13" customHeight="1" x14ac:dyDescent="0.25">
      <c r="B33" s="27" t="s">
        <v>60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32.347020000000001</v>
      </c>
    </row>
    <row r="38" spans="1:5" ht="15" customHeight="1" x14ac:dyDescent="0.25">
      <c r="B38" s="11" t="s">
        <v>35</v>
      </c>
      <c r="C38" s="43">
        <v>66.049419999999998</v>
      </c>
      <c r="D38" s="12"/>
      <c r="E38" s="13"/>
    </row>
    <row r="39" spans="1:5" ht="15" customHeight="1" x14ac:dyDescent="0.25">
      <c r="B39" s="11" t="s">
        <v>61</v>
      </c>
      <c r="C39" s="43">
        <v>107.06547999999999</v>
      </c>
      <c r="D39" s="12"/>
      <c r="E39" s="12"/>
    </row>
    <row r="40" spans="1:5" ht="15" customHeight="1" x14ac:dyDescent="0.25">
      <c r="B40" s="11" t="s">
        <v>36</v>
      </c>
      <c r="C40" s="100">
        <v>10.63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7.9279999999999993E-3</v>
      </c>
      <c r="D45" s="12"/>
    </row>
    <row r="46" spans="1:5" ht="15.75" customHeight="1" x14ac:dyDescent="0.25">
      <c r="B46" s="11" t="s">
        <v>51</v>
      </c>
      <c r="C46" s="45">
        <v>8.5185700000000003E-2</v>
      </c>
      <c r="D46" s="12"/>
    </row>
    <row r="47" spans="1:5" ht="15.75" customHeight="1" x14ac:dyDescent="0.25">
      <c r="B47" s="11" t="s">
        <v>59</v>
      </c>
      <c r="C47" s="45">
        <v>7.3461200000000004E-2</v>
      </c>
      <c r="D47" s="12"/>
      <c r="E47" s="13"/>
    </row>
    <row r="48" spans="1:5" ht="15" customHeight="1" x14ac:dyDescent="0.25">
      <c r="B48" s="11" t="s">
        <v>58</v>
      </c>
      <c r="C48" s="46">
        <v>0.83342510000000003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0.43513099999999999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IiSbRL0GRTEn9WTuQKuGKHaJTVp/fgMNdECjwAvqi3taOucjiRdya4Ed0hlwWG2Zq5j7QlQp/SgvGXELYB4U4A==" saltValue="fTXoZc3+cJSXALwhZqdO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794344</v>
      </c>
      <c r="C2" s="49">
        <v>1248775.5</v>
      </c>
      <c r="D2" s="49">
        <v>1507659</v>
      </c>
      <c r="E2" s="49">
        <v>1005520</v>
      </c>
      <c r="F2" s="49">
        <v>595335</v>
      </c>
      <c r="G2" s="17">
        <f t="shared" ref="G2:G13" si="0">C2+D2+E2+F2</f>
        <v>4357289.5</v>
      </c>
      <c r="H2" s="17">
        <f t="shared" ref="H2:H13" si="1">(B2 + stillbirth*B2/(1000-stillbirth))/(1-abortion)</f>
        <v>926073.3158533019</v>
      </c>
      <c r="I2" s="17">
        <f t="shared" ref="I2:I13" si="2">G2-H2</f>
        <v>3431216.1841466981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808202</v>
      </c>
      <c r="C3" s="50">
        <v>1292760</v>
      </c>
      <c r="D3" s="50">
        <v>1563546.5</v>
      </c>
      <c r="E3" s="50">
        <v>1038670</v>
      </c>
      <c r="F3" s="50">
        <v>612062.99999999988</v>
      </c>
      <c r="G3" s="17">
        <f t="shared" si="0"/>
        <v>4507039.5</v>
      </c>
      <c r="H3" s="17">
        <f t="shared" si="1"/>
        <v>942229.44469810359</v>
      </c>
      <c r="I3" s="17">
        <f t="shared" si="2"/>
        <v>3564810.0553018963</v>
      </c>
    </row>
    <row r="4" spans="1:9" ht="15.75" customHeight="1" x14ac:dyDescent="0.25">
      <c r="A4" s="5">
        <f t="shared" si="3"/>
        <v>2026</v>
      </c>
      <c r="B4" s="49">
        <v>821405</v>
      </c>
      <c r="C4" s="50">
        <v>1336974</v>
      </c>
      <c r="D4" s="50">
        <v>1620184.5</v>
      </c>
      <c r="E4" s="50">
        <v>1077588.5</v>
      </c>
      <c r="F4" s="50">
        <v>628111.5</v>
      </c>
      <c r="G4" s="17">
        <f t="shared" si="0"/>
        <v>4662858.5</v>
      </c>
      <c r="H4" s="17">
        <f t="shared" si="1"/>
        <v>957621.95221274591</v>
      </c>
      <c r="I4" s="17">
        <f t="shared" si="2"/>
        <v>3705236.5477872542</v>
      </c>
    </row>
    <row r="5" spans="1:9" ht="15.75" customHeight="1" x14ac:dyDescent="0.25">
      <c r="A5" s="5">
        <f t="shared" si="3"/>
        <v>2027</v>
      </c>
      <c r="B5" s="49">
        <v>837331</v>
      </c>
      <c r="C5" s="50">
        <v>1381822.5</v>
      </c>
      <c r="D5" s="50">
        <v>1677391</v>
      </c>
      <c r="E5" s="50">
        <v>1118945.5</v>
      </c>
      <c r="F5" s="50">
        <v>643147</v>
      </c>
      <c r="G5" s="17">
        <f t="shared" si="0"/>
        <v>4821306</v>
      </c>
      <c r="H5" s="17">
        <f t="shared" si="1"/>
        <v>976189.02595948498</v>
      </c>
      <c r="I5" s="17">
        <f t="shared" si="2"/>
        <v>3845116.9740405148</v>
      </c>
    </row>
    <row r="6" spans="1:9" ht="15.75" customHeight="1" x14ac:dyDescent="0.25">
      <c r="A6" s="5">
        <f t="shared" si="3"/>
        <v>2028</v>
      </c>
      <c r="B6" s="49">
        <v>850444</v>
      </c>
      <c r="C6" s="50">
        <v>1427303.5</v>
      </c>
      <c r="D6" s="50">
        <v>1737004.5</v>
      </c>
      <c r="E6" s="50">
        <v>1159709.5</v>
      </c>
      <c r="F6" s="50">
        <v>660210.5</v>
      </c>
      <c r="G6" s="17">
        <f t="shared" si="0"/>
        <v>4984228</v>
      </c>
      <c r="H6" s="17">
        <f t="shared" si="1"/>
        <v>991476.60840586142</v>
      </c>
      <c r="I6" s="17">
        <f t="shared" si="2"/>
        <v>3992751.3915941385</v>
      </c>
    </row>
    <row r="7" spans="1:9" ht="15.75" customHeight="1" x14ac:dyDescent="0.25">
      <c r="A7" s="5">
        <f t="shared" si="3"/>
        <v>2029</v>
      </c>
      <c r="B7" s="49">
        <v>863892</v>
      </c>
      <c r="C7" s="50">
        <v>1473279.5</v>
      </c>
      <c r="D7" s="50">
        <v>1798851</v>
      </c>
      <c r="E7" s="50">
        <v>1200619</v>
      </c>
      <c r="F7" s="50">
        <v>680407.5</v>
      </c>
      <c r="G7" s="17">
        <f t="shared" si="0"/>
        <v>5153157</v>
      </c>
      <c r="H7" s="17">
        <f t="shared" si="1"/>
        <v>1007154.745273006</v>
      </c>
      <c r="I7" s="17">
        <f t="shared" si="2"/>
        <v>4146002.2547269939</v>
      </c>
    </row>
    <row r="8" spans="1:9" ht="15.75" customHeight="1" x14ac:dyDescent="0.25">
      <c r="A8" s="5">
        <f t="shared" si="3"/>
        <v>2030</v>
      </c>
      <c r="B8" s="49">
        <v>881686</v>
      </c>
      <c r="C8" s="50">
        <v>1516808.5</v>
      </c>
      <c r="D8" s="50">
        <v>1864021</v>
      </c>
      <c r="E8" s="50">
        <v>1242039</v>
      </c>
      <c r="F8" s="50">
        <v>702932.5</v>
      </c>
      <c r="G8" s="17">
        <f t="shared" si="0"/>
        <v>5325801</v>
      </c>
      <c r="H8" s="17">
        <f t="shared" si="1"/>
        <v>1027899.5971033134</v>
      </c>
      <c r="I8" s="17">
        <f t="shared" si="2"/>
        <v>4297901.4028966865</v>
      </c>
    </row>
    <row r="9" spans="1:9" ht="15.75" customHeight="1" x14ac:dyDescent="0.25">
      <c r="A9" s="5">
        <f t="shared" si="3"/>
        <v>2031</v>
      </c>
      <c r="B9" s="49">
        <v>894317</v>
      </c>
      <c r="C9" s="50">
        <v>1557852</v>
      </c>
      <c r="D9" s="50">
        <v>1931846.5</v>
      </c>
      <c r="E9" s="50">
        <v>1285385</v>
      </c>
      <c r="F9" s="50">
        <v>729177.5</v>
      </c>
      <c r="G9" s="17">
        <f t="shared" si="0"/>
        <v>5504261</v>
      </c>
      <c r="H9" s="17">
        <f t="shared" si="1"/>
        <v>1042625.24751742</v>
      </c>
      <c r="I9" s="17">
        <f t="shared" si="2"/>
        <v>4461635.75248258</v>
      </c>
    </row>
    <row r="10" spans="1:9" ht="15.75" customHeight="1" x14ac:dyDescent="0.25">
      <c r="A10" s="5">
        <f t="shared" si="3"/>
        <v>2032</v>
      </c>
      <c r="B10" s="49">
        <v>907435</v>
      </c>
      <c r="C10" s="50">
        <v>1598210</v>
      </c>
      <c r="D10" s="50">
        <v>2002739</v>
      </c>
      <c r="E10" s="50">
        <v>1328376.5</v>
      </c>
      <c r="F10" s="50">
        <v>758071</v>
      </c>
      <c r="G10" s="17">
        <f t="shared" si="0"/>
        <v>5687396.5</v>
      </c>
      <c r="H10" s="17">
        <f t="shared" si="1"/>
        <v>1057918.6591342555</v>
      </c>
      <c r="I10" s="17">
        <f t="shared" si="2"/>
        <v>4629477.8408657443</v>
      </c>
    </row>
    <row r="11" spans="1:9" ht="15.75" customHeight="1" x14ac:dyDescent="0.25">
      <c r="A11" s="5">
        <f t="shared" si="3"/>
        <v>2033</v>
      </c>
      <c r="B11" s="49">
        <v>920197</v>
      </c>
      <c r="C11" s="50">
        <v>1639934.5</v>
      </c>
      <c r="D11" s="50">
        <v>2076356</v>
      </c>
      <c r="E11" s="50">
        <v>1369938.5</v>
      </c>
      <c r="F11" s="50">
        <v>786500.5</v>
      </c>
      <c r="G11" s="17">
        <f t="shared" si="0"/>
        <v>5872729.5</v>
      </c>
      <c r="H11" s="17">
        <f t="shared" si="1"/>
        <v>1072797.0338143939</v>
      </c>
      <c r="I11" s="17">
        <f t="shared" si="2"/>
        <v>4799932.4661856061</v>
      </c>
    </row>
    <row r="12" spans="1:9" ht="15.75" customHeight="1" x14ac:dyDescent="0.25">
      <c r="A12" s="5">
        <f t="shared" si="3"/>
        <v>2034</v>
      </c>
      <c r="B12" s="49">
        <v>935159</v>
      </c>
      <c r="C12" s="50">
        <v>1683151.5</v>
      </c>
      <c r="D12" s="50">
        <v>2150008.5</v>
      </c>
      <c r="E12" s="50">
        <v>1416595</v>
      </c>
      <c r="F12" s="50">
        <v>815356.99999999988</v>
      </c>
      <c r="G12" s="17">
        <f t="shared" si="0"/>
        <v>6065112</v>
      </c>
      <c r="H12" s="17">
        <f t="shared" si="1"/>
        <v>1090240.2434965933</v>
      </c>
      <c r="I12" s="17">
        <f t="shared" si="2"/>
        <v>4974871.7565034069</v>
      </c>
    </row>
    <row r="13" spans="1:9" ht="15.75" customHeight="1" x14ac:dyDescent="0.25">
      <c r="A13" s="5">
        <f t="shared" si="3"/>
        <v>2035</v>
      </c>
      <c r="B13" s="49">
        <v>950900</v>
      </c>
      <c r="C13" s="50">
        <v>1726445.5</v>
      </c>
      <c r="D13" s="50">
        <v>2222171</v>
      </c>
      <c r="E13" s="50">
        <v>1469917</v>
      </c>
      <c r="F13" s="50">
        <v>844913</v>
      </c>
      <c r="G13" s="17">
        <f t="shared" si="0"/>
        <v>6263446.5</v>
      </c>
      <c r="H13" s="17">
        <f t="shared" si="1"/>
        <v>1108591.6379363409</v>
      </c>
      <c r="I13" s="17">
        <f t="shared" si="2"/>
        <v>5154854.8620636594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i/uKfEWuNQRB6UDbKL/iGvP/gmQClkV/bxnpI0k14IPFAeMmSmyq3V4xmwn74bt4Bf2Kbgk0FPdjDu83NHnyA==" saltValue="45WnHqKkuUetORZtNokg4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3.6768002519763941E-2</v>
      </c>
    </row>
    <row r="4" spans="1:8" ht="15.75" customHeight="1" x14ac:dyDescent="0.25">
      <c r="B4" s="19" t="s">
        <v>97</v>
      </c>
      <c r="C4" s="101">
        <v>8.0138679066978954E-2</v>
      </c>
    </row>
    <row r="5" spans="1:8" ht="15.75" customHeight="1" x14ac:dyDescent="0.25">
      <c r="B5" s="19" t="s">
        <v>95</v>
      </c>
      <c r="C5" s="101">
        <v>0.1338084305034315</v>
      </c>
    </row>
    <row r="6" spans="1:8" ht="15.75" customHeight="1" x14ac:dyDescent="0.25">
      <c r="B6" s="19" t="s">
        <v>91</v>
      </c>
      <c r="C6" s="101">
        <v>0.25636246900447218</v>
      </c>
    </row>
    <row r="7" spans="1:8" ht="15.75" customHeight="1" x14ac:dyDescent="0.25">
      <c r="B7" s="19" t="s">
        <v>96</v>
      </c>
      <c r="C7" s="101">
        <v>0.32692926681212559</v>
      </c>
    </row>
    <row r="8" spans="1:8" ht="15.75" customHeight="1" x14ac:dyDescent="0.25">
      <c r="B8" s="19" t="s">
        <v>98</v>
      </c>
      <c r="C8" s="101">
        <v>2.187063857666155E-2</v>
      </c>
    </row>
    <row r="9" spans="1:8" ht="15.75" customHeight="1" x14ac:dyDescent="0.25">
      <c r="B9" s="19" t="s">
        <v>92</v>
      </c>
      <c r="C9" s="101">
        <v>3.8326145942798762E-2</v>
      </c>
    </row>
    <row r="10" spans="1:8" ht="15.75" customHeight="1" x14ac:dyDescent="0.25">
      <c r="B10" s="19" t="s">
        <v>94</v>
      </c>
      <c r="C10" s="101">
        <v>0.1057963675737677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102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2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90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3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101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79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88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99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8.8804052000000008E-2</v>
      </c>
    </row>
    <row r="27" spans="1:8" ht="15.75" customHeight="1" x14ac:dyDescent="0.25">
      <c r="B27" s="19" t="s">
        <v>89</v>
      </c>
      <c r="C27" s="101">
        <v>8.6505729999999999E-3</v>
      </c>
    </row>
    <row r="28" spans="1:8" ht="15.75" customHeight="1" x14ac:dyDescent="0.25">
      <c r="B28" s="19" t="s">
        <v>103</v>
      </c>
      <c r="C28" s="101">
        <v>0.15426393499999999</v>
      </c>
    </row>
    <row r="29" spans="1:8" ht="15.75" customHeight="1" x14ac:dyDescent="0.25">
      <c r="B29" s="19" t="s">
        <v>86</v>
      </c>
      <c r="C29" s="101">
        <v>0.16852035100000001</v>
      </c>
    </row>
    <row r="30" spans="1:8" ht="15.75" customHeight="1" x14ac:dyDescent="0.25">
      <c r="B30" s="19" t="s">
        <v>4</v>
      </c>
      <c r="C30" s="101">
        <v>0.106889969</v>
      </c>
    </row>
    <row r="31" spans="1:8" ht="15.75" customHeight="1" x14ac:dyDescent="0.25">
      <c r="B31" s="19" t="s">
        <v>80</v>
      </c>
      <c r="C31" s="101">
        <v>0.10946104600000001</v>
      </c>
    </row>
    <row r="32" spans="1:8" ht="15.75" customHeight="1" x14ac:dyDescent="0.25">
      <c r="B32" s="19" t="s">
        <v>85</v>
      </c>
      <c r="C32" s="101">
        <v>1.8636323E-2</v>
      </c>
    </row>
    <row r="33" spans="2:3" ht="15.75" customHeight="1" x14ac:dyDescent="0.25">
      <c r="B33" s="19" t="s">
        <v>100</v>
      </c>
      <c r="C33" s="101">
        <v>8.3221009999999998E-2</v>
      </c>
    </row>
    <row r="34" spans="2:3" ht="15.75" customHeight="1" x14ac:dyDescent="0.25">
      <c r="B34" s="19" t="s">
        <v>87</v>
      </c>
      <c r="C34" s="101">
        <v>0.26155274000000001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+sUUD2oBO+JOBwA7JX8wNBZUh2zawORfvtfa0h7WRfv8qz5AuKe73nDOHF780VPbNEkdHF9oXjWICCxD+8eyRg==" saltValue="cqnSi6w+68HRq5P0AbnSr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110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106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107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119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s54x4leQt7ZrCyBy2INnCytkR43/EwFecR0FugU+IkAutke7/XdmLlu+NYmYZZqUa3qPn9l64tCjwcapQcmBw==" saltValue="waRezLdtRouKaRyLU5Go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125</v>
      </c>
      <c r="C5" s="52">
        <v>1.2442399999999999E-2</v>
      </c>
      <c r="D5" s="52">
        <v>1.25463E-2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yOSGUAW9V4NUwiL2T39O7G/tVriyPb3EKUpIg1MoqRtXH1WlQvGR5dvP6H2LMtohqCVhmXtfwP3CgvwIlzavwg==" saltValue="tRWEss6HAqplOg8HJKmIo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44YadAgCy76jNbvawbXP+JHk0Dk9yS0XdURKqBcjwwUcgmpHBPtpCkdJ3nqmLqXAOLfEIfITPytv+t4haD2zA==" saltValue="JIkdY+f07xbdQtvEINL7Y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Gf991B6oK1/mHEFyv/tHEiRipcYkF7eZLsZFRKGBs9vDLInhatxLskTsUkF+e/UCuKx0p1b3fTZbf7d9M1O/xw==" saltValue="9kvmxWuEM0YSURl+nLGbA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GGWbgzO+NTLQeo+dWvzV/gT2DGTqpnftwGC5iIQIC+txP7bUHV9i3xTskaR31WyKddzDMOiif7i9vlKyj2W8IA==" saltValue="xmIKfmh0HDPWgrYn/Al0L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MqY4PaF7QEcrYvPwY9RtzYn61p9UKaKpUcgcXFX1aOFhA+ZmWjNVfm19WsHgsMBaL5fWxPWkqdeNk2tBS+MmmQ==" saltValue="UC4H3WESsCfQoo7ytHJgt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35.834023182075242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0.136995590606</v>
      </c>
      <c r="C3" s="98">
        <v>0.95</v>
      </c>
      <c r="D3" s="56">
        <v>47.385692178916713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66.429565189928027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0.15354973642230621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0.1104295</v>
      </c>
      <c r="C10" s="98">
        <v>0.95</v>
      </c>
      <c r="D10" s="56">
        <v>15.0449415094118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0.1104295</v>
      </c>
      <c r="C11" s="98">
        <v>0.95</v>
      </c>
      <c r="D11" s="56">
        <v>15.0449415094118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0.1104295</v>
      </c>
      <c r="C12" s="98">
        <v>0.95</v>
      </c>
      <c r="D12" s="56">
        <v>15.0449415094118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0.1104295</v>
      </c>
      <c r="C13" s="98">
        <v>0.95</v>
      </c>
      <c r="D13" s="56">
        <v>15.0449415094118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0.1104295</v>
      </c>
      <c r="C14" s="98">
        <v>0.95</v>
      </c>
      <c r="D14" s="56">
        <v>15.0449415094118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0.1104295</v>
      </c>
      <c r="C15" s="98">
        <v>0.95</v>
      </c>
      <c r="D15" s="56">
        <v>15.0449415094118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0.75</v>
      </c>
      <c r="C16" s="98">
        <v>0.95</v>
      </c>
      <c r="D16" s="56">
        <v>0.24753065261816909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3.4269463770299997E-2</v>
      </c>
      <c r="C18" s="98">
        <v>0.95</v>
      </c>
      <c r="D18" s="56">
        <v>1.6361723633111671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0.12922069999999999</v>
      </c>
      <c r="C19" s="98">
        <v>0.95</v>
      </c>
      <c r="D19" s="56">
        <v>1.6361723633111671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0.16786129999999999</v>
      </c>
      <c r="C21" s="98">
        <v>0.95</v>
      </c>
      <c r="D21" s="56">
        <v>1.3660250985983859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25.638805136545979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4.9287239443093789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0.25968269754360002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0.1104295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21.80411146065811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0.20364259377329999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62.990389674195526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0.91</v>
      </c>
      <c r="C31" s="98">
        <v>0.95</v>
      </c>
      <c r="D31" s="56">
        <v>2.9247513411599648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0.46793811090654153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0.23353189999999999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0.17447260000000001</v>
      </c>
      <c r="C38" s="98">
        <v>0.95</v>
      </c>
      <c r="D38" s="56">
        <v>8.1134342608599326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/bh2277XfWj2GIIlu+qxOXvvXeZGmS0YQSqVudIReAcWbpV93qrws2lizbhR1/fZnfwGdUAYgFp2ZJVYwEUmJg==" saltValue="lXIocjWeisfWnZhsiQ00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eE8h36Y6SnudeC3ML9zMnK6VSBugInezJLrZsntVaQdLDvcMhiwU2Dy9sVSkBYGod1kIDP34PF3hmHLl+824g==" saltValue="HCCp4OMpZxM9r6Cajice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J+LQBLMy8Lbgp7vnfvWN1PkBlXwER2WUzW0OFqTpsir8rr7etn9Dlwv/M29F53X07x2pz+EQwppiypWlUuw7g==" saltValue="OFMcS1qSy74Zsb2Ww8zEH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207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sheetProtection algorithmName="SHA-512" hashValue="dO6gvJRdTwA4JR7Fek1epthAFSo1K4sBPpwCCncRdL1sPDiUYM+sa54pWUpu99NIuI5sLxhQGrvCTGvNvYQKpQ==" saltValue="QNNEQ0loGsBcHj8Nf7RA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0.38400000000000001</v>
      </c>
      <c r="E2" s="60">
        <f>food_insecure</f>
        <v>0.38400000000000001</v>
      </c>
      <c r="F2" s="60">
        <f>food_insecure</f>
        <v>0.38400000000000001</v>
      </c>
      <c r="G2" s="60">
        <f>food_insecure</f>
        <v>0.38400000000000001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0.38400000000000001</v>
      </c>
      <c r="F5" s="60">
        <f>food_insecure</f>
        <v>0.38400000000000001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0.38400000000000001</v>
      </c>
      <c r="F8" s="60">
        <f>food_insecure</f>
        <v>0.38400000000000001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0.38400000000000001</v>
      </c>
      <c r="F9" s="60">
        <f>food_insecure</f>
        <v>0.38400000000000001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0.38400000000000001</v>
      </c>
      <c r="I15" s="60">
        <f>food_insecure</f>
        <v>0.38400000000000001</v>
      </c>
      <c r="J15" s="60">
        <f>food_insecure</f>
        <v>0.38400000000000001</v>
      </c>
      <c r="K15" s="60">
        <f>food_insecure</f>
        <v>0.38400000000000001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0.49989798598098745</v>
      </c>
      <c r="M25" s="60">
        <f>(1-food_insecure)*(0.49)+food_insecure*(0.7)</f>
        <v>0.57064000000000004</v>
      </c>
      <c r="N25" s="60">
        <f>(1-food_insecure)*(0.49)+food_insecure*(0.7)</f>
        <v>0.57064000000000004</v>
      </c>
      <c r="O25" s="60">
        <f>(1-food_insecure)*(0.49)+food_insecure*(0.7)</f>
        <v>0.57064000000000004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0.21424199399185179</v>
      </c>
      <c r="M26" s="60">
        <f>(1-food_insecure)*(0.21)+food_insecure*(0.3)</f>
        <v>0.24456</v>
      </c>
      <c r="N26" s="60">
        <f>(1-food_insecure)*(0.21)+food_insecure*(0.3)</f>
        <v>0.24456</v>
      </c>
      <c r="O26" s="60">
        <f>(1-food_insecure)*(0.21)+food_insecure*(0.3)</f>
        <v>0.24456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0.16189041744232174</v>
      </c>
      <c r="M27" s="60">
        <f>(1-food_insecure)*(0.3)</f>
        <v>0.18479999999999999</v>
      </c>
      <c r="N27" s="60">
        <f>(1-food_insecure)*(0.3)</f>
        <v>0.18479999999999999</v>
      </c>
      <c r="O27" s="60">
        <f>(1-food_insecure)*(0.3)</f>
        <v>0.18479999999999999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0.12396960258483899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0.86</v>
      </c>
      <c r="D34" s="60">
        <f t="shared" si="3"/>
        <v>0.86</v>
      </c>
      <c r="E34" s="60">
        <f t="shared" si="3"/>
        <v>0.86</v>
      </c>
      <c r="F34" s="60">
        <f t="shared" si="3"/>
        <v>0.86</v>
      </c>
      <c r="G34" s="60">
        <f t="shared" si="3"/>
        <v>0.86</v>
      </c>
      <c r="H34" s="60">
        <f t="shared" si="3"/>
        <v>0.86</v>
      </c>
      <c r="I34" s="60">
        <f t="shared" si="3"/>
        <v>0.86</v>
      </c>
      <c r="J34" s="60">
        <f t="shared" si="3"/>
        <v>0.86</v>
      </c>
      <c r="K34" s="60">
        <f t="shared" si="3"/>
        <v>0.86</v>
      </c>
      <c r="L34" s="60">
        <f t="shared" si="3"/>
        <v>0.86</v>
      </c>
      <c r="M34" s="60">
        <f t="shared" si="3"/>
        <v>0.86</v>
      </c>
      <c r="N34" s="60">
        <f t="shared" si="3"/>
        <v>0.86</v>
      </c>
      <c r="O34" s="60">
        <f t="shared" si="3"/>
        <v>0.86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B3dtAMJxI1QvjA0BW68VO8MAuySKQ9wCO26EvcfONp3Y388be8C0WGFVrr9fmr0x/Qzna9xOMUWPDb3AMr5gQ==" saltValue="kd9pNwdaFV1GN+63syVG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HotQPZTQ9j5cm+PJdNM8AIWKTWwvu5UMoJ5CtDJjYqphqikdqqGNN2MzSecSFgED0bdcnTUDK4vImwWtcMe8BQ==" saltValue="onXUWNtZiA0dVYRXKD8h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Pmeg1196fwEqr04XI97FSlQe7iKqfj9pwCrgGp6xL1HC1iPZVoL8o/eYs0BXE4xCVb4Ohl1sM6cQd3kKTORlg==" saltValue="uvqQ9+69d5mCu2ZvBpY0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UxJLQl52Mb5E4SFDwG/Sen14lFiY/pPe5njfXeiYoLieE6CEqjCt/OQsDGMMCTipduuXxqIXH8OxbEXOHADdA==" saltValue="3UNdV5ZQG91iUOx7/aN/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bU7ddrS7zZTzjUuMc6fzezXb21RkJSjiBYwDE+oz7KAd6ylSfWBZnt+4Ih7D9tNpq3pssCQ071xomBIAZFobQ==" saltValue="jVuQcYFhEtbFFNjtq9ZKs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7mfBI0ZFlW8hTPrzsTJMEC0Z/wUhA8fVE5YMGwgNF/S9hrQDn+sBNqIkiArxg1YCxNjWRvxd1zMc6DESg/F7Sg==" saltValue="znj/xVkb8Qq5BGIFiPj8Y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STgspdlxVrCwcgLnF44l7uKMkz57AysKygm9Dkx3MWh4QN36lResKur7qvMIiCSfxF1ADcWr8zf5UPSjnHNfwQ==" saltValue="mQ8MHx8ivk/kLukvA1qW8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vB4QvFSadDoQgK0P29hBvJ3HwI6rL2VC7tJey+zIpiqXDs6ey0LC7OnbkuOAuEye10DpmkRxXn7gkepBVFkKA==" saltValue="8XWp0TQYwEkIxuFi0IUu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Hng6K37itZriFsE/Sjy1AjYhiWuJjmSYcEBUw2N5IPp2i9iurE3VIc8XFtusji0zaJvZkqK3DhKjV4K9TK0uQ==" saltValue="WRoqCxD57krBZ3o9rdQQ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DLu5Orwr+8jsX/vwsUXb7SxhdTdBx5pL9cSR/oXHOmVxVKFDNVXbvcwAqnZzMisJ3+jBt7QYRS7NocON02MSA==" saltValue="13vvP50c1c2cw7o4nUpE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sIk4L5hs0/XGVBVcDFKcXnLaFOmNexVJJtCJkk4p2ZD7W/wVkfp2fJTk1UEsI0gXeE4dGUNsXpsAn1uEpDgKg==" saltValue="G1O/grX5EmXxpAYHsZ9w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ikSYjEV1HjQI+JaVsOmPICacTqA11sfVxUwSjC8l0JfcjUgHbW4WBtOav8NdIVkJwE/SCTkuXP9GfWSHgwByw==" saltValue="ogK62kOKZO4N2f9qyhrC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npR6FAPGi+ZrWvDag8bmR1F5gPpNxx60oOVaXuUxnhp9SDUPB7yreNykVy82aZY/PhSYa4iA9QD/tLBhvPGKg==" saltValue="G3wk9D80qH4eoH0r0N0v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9jzaDb/DNyYOOL6UwXDksyik0nzuIcNhfu7W69devQ6hSmB6Z/DEd3dltgDbGZlxv429qRrgttEJQF5HLNxlQ==" saltValue="14KHDGIaFk/utFX1JwNb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7PaQe87rkimDaWeHk7nGCq0HDdCjaG2J36qwZ/U1EmFzOGiodq0NpRsm8J5+1tWJTKKL41hov8I8E+vVZ+6+Og==" saltValue="rFVSvG4bjYNrhhE9msETA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2024-05-17T00:01:29Z</dcterms:modified>
</cp:coreProperties>
</file>