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33C5BEC-2D4B-4F89-B4FA-1F8DFD36A9EA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3" i="2" l="1"/>
  <c r="A26" i="2"/>
  <c r="I3" i="2"/>
  <c r="I7" i="2"/>
  <c r="I11" i="2"/>
  <c r="A37" i="2"/>
  <c r="I4" i="2"/>
  <c r="I8" i="2"/>
  <c r="I12" i="2"/>
  <c r="A25" i="2"/>
  <c r="A31" i="2"/>
  <c r="A34" i="2"/>
  <c r="A40" i="2"/>
  <c r="I2" i="2"/>
  <c r="I6" i="2"/>
  <c r="A19" i="2"/>
  <c r="A35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<sst xmlns="http://schemas.openxmlformats.org/spreadsheetml/2006/main" count="2159" uniqueCount="372">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</sst>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3688334</v>
      </c>
    </row>
    <row r="8" spans="1:3" ht="15" customHeight="1" x14ac:dyDescent="0.25">
      <c r="B8" s="5" t="s">
        <v>63</v>
      </c>
      <c r="C8" s="44">
        <v>0.67900000000000005</v>
      </c>
    </row>
    <row r="9" spans="1:3" ht="15" customHeight="1" x14ac:dyDescent="0.25">
      <c r="B9" s="5" t="s">
        <v>62</v>
      </c>
      <c r="C9" s="45">
        <v>0.86</v>
      </c>
    </row>
    <row r="10" spans="1:3" ht="15" customHeight="1" x14ac:dyDescent="0.25">
      <c r="B10" s="5" t="s">
        <v>75</v>
      </c>
      <c r="C10" s="45">
        <v>0.11976970000000001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0.82499999999999996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0.1394</v>
      </c>
    </row>
    <row r="24" spans="1:3" ht="15" customHeight="1" x14ac:dyDescent="0.25">
      <c r="B24" s="15" t="s">
        <v>65</v>
      </c>
      <c r="C24" s="45">
        <v>0.44390000000000002</v>
      </c>
    </row>
    <row r="25" spans="1:3" ht="15" customHeight="1" x14ac:dyDescent="0.25">
      <c r="B25" s="15" t="s">
        <v>66</v>
      </c>
      <c r="C25" s="45">
        <v>0.33229999999999998</v>
      </c>
    </row>
    <row r="26" spans="1:3" ht="15" customHeight="1" x14ac:dyDescent="0.25">
      <c r="B26" s="15" t="s">
        <v>67</v>
      </c>
      <c r="C26" s="45">
        <v>8.4399999999999989E-2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0.15293756430852301</v>
      </c>
    </row>
    <row r="30" spans="1:3" ht="14.25" customHeight="1" x14ac:dyDescent="0.25">
      <c r="B30" s="25" t="s">
        <v>82</v>
      </c>
      <c r="C30" s="99">
        <v>9.4746756690583189E-2</v>
      </c>
    </row>
    <row r="31" spans="1:3" ht="14.25" customHeight="1" x14ac:dyDescent="0.25">
      <c r="B31" s="25" t="s">
        <v>29</v>
      </c>
      <c r="C31" s="99">
        <v>0.160927169095259</v>
      </c>
    </row>
    <row r="32" spans="1:3" ht="14.25" customHeight="1" x14ac:dyDescent="0.25">
      <c r="B32" s="25" t="s">
        <v>30</v>
      </c>
      <c r="C32" s="99">
        <v>0.59138850990563396</v>
      </c>
    </row>
    <row r="33" spans="1:5" ht="13.25" customHeight="1" x14ac:dyDescent="0.25">
      <c r="B33" s="27" t="s">
        <v>79</v>
      </c>
      <c r="C33" s="48">
        <f>SUM(C29:C32)</f>
        <v>0.99999999999999911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32.347020000000001</v>
      </c>
    </row>
    <row r="38" spans="1:5" ht="15" customHeight="1" x14ac:dyDescent="0.25">
      <c r="B38" s="11" t="s">
        <v>54</v>
      </c>
      <c r="C38" s="43">
        <v>66.049419999999998</v>
      </c>
      <c r="D38" s="12"/>
      <c r="E38" s="13"/>
    </row>
    <row r="39" spans="1:5" ht="15" customHeight="1" x14ac:dyDescent="0.25">
      <c r="B39" s="11" t="s">
        <v>80</v>
      </c>
      <c r="C39" s="43">
        <v>107.06547999999999</v>
      </c>
      <c r="D39" s="12"/>
      <c r="E39" s="12"/>
    </row>
    <row r="40" spans="1:5" ht="15" customHeight="1" x14ac:dyDescent="0.25">
      <c r="B40" s="11" t="s">
        <v>55</v>
      </c>
      <c r="C40" s="100">
        <v>10.63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25.27843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7.9279999999999993E-3</v>
      </c>
      <c r="D45" s="12"/>
    </row>
    <row r="46" spans="1:5" ht="15.75" customHeight="1" x14ac:dyDescent="0.25">
      <c r="B46" s="11" t="s">
        <v>70</v>
      </c>
      <c r="C46" s="45">
        <v>8.5185700000000003E-2</v>
      </c>
      <c r="D46" s="12"/>
    </row>
    <row r="47" spans="1:5" ht="15.75" customHeight="1" x14ac:dyDescent="0.25">
      <c r="B47" s="11" t="s">
        <v>78</v>
      </c>
      <c r="C47" s="45">
        <v>7.3461200000000004E-2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5.4080000000000004</v>
      </c>
      <c r="D51" s="12"/>
    </row>
    <row r="52" spans="1:4" ht="15" customHeight="1" x14ac:dyDescent="0.25">
      <c r="B52" s="11" t="s">
        <v>32</v>
      </c>
      <c r="C52" s="100">
        <v>5.4080000000000004</v>
      </c>
    </row>
    <row r="53" spans="1:4" ht="15.75" customHeight="1" x14ac:dyDescent="0.25">
      <c r="B53" s="11" t="s">
        <v>35</v>
      </c>
      <c r="C53" s="100">
        <v>9.23</v>
      </c>
    </row>
    <row r="54" spans="1:4" ht="15.75" customHeight="1" x14ac:dyDescent="0.25">
      <c r="B54" s="11" t="s">
        <v>33</v>
      </c>
      <c r="C54" s="100">
        <v>8.6839999999999993</v>
      </c>
    </row>
    <row r="55" spans="1:4" ht="15.75" customHeight="1" x14ac:dyDescent="0.25">
      <c r="B55" s="11" t="s">
        <v>34</v>
      </c>
      <c r="C55" s="100">
        <v>4.3766666666666669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0.43513099999999999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lhxsvJ75Az0l9IGM5ca40mP8ynKzYr0vGjPZ/t3F/0pj7efdSBVW3s2Lu3sidb3fSRMxEXgu1+ldY4fY+J7USQ==" saltValue="XR4DJ/3vNKx7388p2Ico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878222</v>
      </c>
      <c r="C2" s="49">
        <v>1091728.5</v>
      </c>
      <c r="D2" s="49">
        <v>1690706.9999999998</v>
      </c>
      <c r="E2" s="49">
        <v>1124774.5</v>
      </c>
      <c r="F2" s="49">
        <v>736490</v>
      </c>
      <c r="G2" s="17">
        <f t="shared" ref="G2:G13" si="0">C2+D2+E2+F2</f>
        <v>4643700</v>
      </c>
      <c r="H2" s="17">
        <f t="shared" ref="H2:H13" si="1">(B2 + stillbirth*B2/(1000-stillbirth))/(1-abortion)</f>
        <v>1023861.1478091589</v>
      </c>
      <c r="I2" s="17">
        <f t="shared" ref="I2:I13" si="2">G2-H2</f>
        <v>3619838.852190841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907325</v>
      </c>
      <c r="C3" s="50">
        <v>1120017</v>
      </c>
      <c r="D3" s="50">
        <v>1746558.5</v>
      </c>
      <c r="E3" s="50">
        <v>1177105.5000000002</v>
      </c>
      <c r="F3" s="50">
        <v>762201</v>
      </c>
      <c r="G3" s="17">
        <f t="shared" si="0"/>
        <v>4805882</v>
      </c>
      <c r="H3" s="17">
        <f t="shared" si="1"/>
        <v>1057790.4173841523</v>
      </c>
      <c r="I3" s="17">
        <f t="shared" si="2"/>
        <v>3748091.5826158477</v>
      </c>
    </row>
    <row r="4" spans="1:9" ht="15.75" customHeight="1" x14ac:dyDescent="0.25">
      <c r="A4" s="5">
        <f t="shared" si="3"/>
        <v>2026</v>
      </c>
      <c r="B4" s="49">
        <v>909765</v>
      </c>
      <c r="C4" s="50">
        <v>1145637.5</v>
      </c>
      <c r="D4" s="50">
        <v>1772691</v>
      </c>
      <c r="E4" s="50">
        <v>1219563</v>
      </c>
      <c r="F4" s="50">
        <v>780226.5</v>
      </c>
      <c r="G4" s="17">
        <f t="shared" si="0"/>
        <v>4918118</v>
      </c>
      <c r="H4" s="17">
        <f t="shared" si="1"/>
        <v>1060635.0525682566</v>
      </c>
      <c r="I4" s="17">
        <f t="shared" si="2"/>
        <v>3857482.9474317431</v>
      </c>
    </row>
    <row r="5" spans="1:9" ht="15.75" customHeight="1" x14ac:dyDescent="0.25">
      <c r="A5" s="5">
        <f t="shared" si="3"/>
        <v>2027</v>
      </c>
      <c r="B5" s="49">
        <v>914247</v>
      </c>
      <c r="C5" s="50">
        <v>1177365.5</v>
      </c>
      <c r="D5" s="50">
        <v>1805574</v>
      </c>
      <c r="E5" s="50">
        <v>1270107.5</v>
      </c>
      <c r="F5" s="50">
        <v>803090.5</v>
      </c>
      <c r="G5" s="17">
        <f t="shared" si="0"/>
        <v>5056137.5</v>
      </c>
      <c r="H5" s="17">
        <f t="shared" si="1"/>
        <v>1065860.3209679103</v>
      </c>
      <c r="I5" s="17">
        <f t="shared" si="2"/>
        <v>3990277.1790320897</v>
      </c>
    </row>
    <row r="6" spans="1:9" ht="15.75" customHeight="1" x14ac:dyDescent="0.25">
      <c r="A6" s="5">
        <f t="shared" si="3"/>
        <v>2028</v>
      </c>
      <c r="B6" s="49">
        <v>922811</v>
      </c>
      <c r="C6" s="50">
        <v>1213799</v>
      </c>
      <c r="D6" s="50">
        <v>1847263</v>
      </c>
      <c r="E6" s="50">
        <v>1325416.0000000002</v>
      </c>
      <c r="F6" s="50">
        <v>832073.5</v>
      </c>
      <c r="G6" s="17">
        <f t="shared" si="0"/>
        <v>5218551.5</v>
      </c>
      <c r="H6" s="17">
        <f t="shared" si="1"/>
        <v>1075844.5241304792</v>
      </c>
      <c r="I6" s="17">
        <f t="shared" si="2"/>
        <v>4142706.9758695206</v>
      </c>
    </row>
    <row r="7" spans="1:9" ht="15.75" customHeight="1" x14ac:dyDescent="0.25">
      <c r="A7" s="5">
        <f t="shared" si="3"/>
        <v>2029</v>
      </c>
      <c r="B7" s="49">
        <v>935384</v>
      </c>
      <c r="C7" s="50">
        <v>1252049</v>
      </c>
      <c r="D7" s="50">
        <v>1889547.5000000002</v>
      </c>
      <c r="E7" s="50">
        <v>1380229</v>
      </c>
      <c r="F7" s="50">
        <v>864586</v>
      </c>
      <c r="G7" s="17">
        <f t="shared" si="0"/>
        <v>5386411.5</v>
      </c>
      <c r="H7" s="17">
        <f t="shared" si="1"/>
        <v>1090502.5561672589</v>
      </c>
      <c r="I7" s="17">
        <f t="shared" si="2"/>
        <v>4295908.9438327411</v>
      </c>
    </row>
    <row r="8" spans="1:9" ht="15.75" customHeight="1" x14ac:dyDescent="0.25">
      <c r="A8" s="5">
        <f t="shared" si="3"/>
        <v>2030</v>
      </c>
      <c r="B8" s="49">
        <v>945060</v>
      </c>
      <c r="C8" s="50">
        <v>1290869.5</v>
      </c>
      <c r="D8" s="50">
        <v>1933829.5</v>
      </c>
      <c r="E8" s="50">
        <v>1433947.9999999998</v>
      </c>
      <c r="F8" s="50">
        <v>899774.5</v>
      </c>
      <c r="G8" s="17">
        <f t="shared" si="0"/>
        <v>5558421.5</v>
      </c>
      <c r="H8" s="17">
        <f t="shared" si="1"/>
        <v>1101783.1668399605</v>
      </c>
      <c r="I8" s="17">
        <f t="shared" si="2"/>
        <v>4456638.333160039</v>
      </c>
    </row>
    <row r="9" spans="1:9" ht="15.75" customHeight="1" x14ac:dyDescent="0.25">
      <c r="A9" s="5">
        <f t="shared" si="3"/>
        <v>2031</v>
      </c>
      <c r="B9" s="49">
        <v>957376</v>
      </c>
      <c r="C9" s="50">
        <v>1328374</v>
      </c>
      <c r="D9" s="50">
        <v>1981713.0000000002</v>
      </c>
      <c r="E9" s="50">
        <v>1487379</v>
      </c>
      <c r="F9" s="50">
        <v>938839.5</v>
      </c>
      <c r="G9" s="17">
        <f t="shared" si="0"/>
        <v>5736305.5</v>
      </c>
      <c r="H9" s="17">
        <f t="shared" si="1"/>
        <v>1116141.5795151354</v>
      </c>
      <c r="I9" s="17">
        <f t="shared" si="2"/>
        <v>4620163.9204848651</v>
      </c>
    </row>
    <row r="10" spans="1:9" ht="15.75" customHeight="1" x14ac:dyDescent="0.25">
      <c r="A10" s="5">
        <f t="shared" si="3"/>
        <v>2032</v>
      </c>
      <c r="B10" s="49">
        <v>964929</v>
      </c>
      <c r="C10" s="50">
        <v>1364159.5</v>
      </c>
      <c r="D10" s="50">
        <v>2035302</v>
      </c>
      <c r="E10" s="50">
        <v>1537493</v>
      </c>
      <c r="F10" s="50">
        <v>983509.5</v>
      </c>
      <c r="G10" s="17">
        <f t="shared" si="0"/>
        <v>5920464</v>
      </c>
      <c r="H10" s="17">
        <f t="shared" si="1"/>
        <v>1124947.1244108481</v>
      </c>
      <c r="I10" s="17">
        <f t="shared" si="2"/>
        <v>4795516.8755891519</v>
      </c>
    </row>
    <row r="11" spans="1:9" ht="15.75" customHeight="1" x14ac:dyDescent="0.25">
      <c r="A11" s="5">
        <f t="shared" si="3"/>
        <v>2033</v>
      </c>
      <c r="B11" s="49">
        <v>974881</v>
      </c>
      <c r="C11" s="50">
        <v>1399808.5</v>
      </c>
      <c r="D11" s="50">
        <v>2093637.4999999998</v>
      </c>
      <c r="E11" s="50">
        <v>1582289</v>
      </c>
      <c r="F11" s="50">
        <v>1029758.4999999999</v>
      </c>
      <c r="G11" s="17">
        <f t="shared" si="0"/>
        <v>6105493.5</v>
      </c>
      <c r="H11" s="17">
        <f t="shared" si="1"/>
        <v>1136549.5052928994</v>
      </c>
      <c r="I11" s="17">
        <f t="shared" si="2"/>
        <v>4968943.9947071001</v>
      </c>
    </row>
    <row r="12" spans="1:9" ht="15.75" customHeight="1" x14ac:dyDescent="0.25">
      <c r="A12" s="5">
        <f t="shared" si="3"/>
        <v>2034</v>
      </c>
      <c r="B12" s="49">
        <v>984264</v>
      </c>
      <c r="C12" s="50">
        <v>1436714.5</v>
      </c>
      <c r="D12" s="50">
        <v>2153666</v>
      </c>
      <c r="E12" s="50">
        <v>1627353</v>
      </c>
      <c r="F12" s="50">
        <v>1073130.9999999998</v>
      </c>
      <c r="G12" s="17">
        <f t="shared" si="0"/>
        <v>6290864.5</v>
      </c>
      <c r="H12" s="17">
        <f t="shared" si="1"/>
        <v>1147488.5265766901</v>
      </c>
      <c r="I12" s="17">
        <f t="shared" si="2"/>
        <v>5143375.9734233096</v>
      </c>
    </row>
    <row r="13" spans="1:9" ht="15.75" customHeight="1" x14ac:dyDescent="0.25">
      <c r="A13" s="5">
        <f t="shared" si="3"/>
        <v>2035</v>
      </c>
      <c r="B13" s="49">
        <v>993785</v>
      </c>
      <c r="C13" s="50">
        <v>1474684.5</v>
      </c>
      <c r="D13" s="50">
        <v>2214750</v>
      </c>
      <c r="E13" s="50">
        <v>1674509</v>
      </c>
      <c r="F13" s="50">
        <v>1117838.5</v>
      </c>
      <c r="G13" s="17">
        <f t="shared" si="0"/>
        <v>6481782</v>
      </c>
      <c r="H13" s="17">
        <f t="shared" si="1"/>
        <v>1158588.4329651557</v>
      </c>
      <c r="I13" s="17">
        <f t="shared" si="2"/>
        <v>5323193.5670348443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2l/YlO24Hp5rmrN7/9YN4yBh0SZ/3PtztoE3DwdtigzYhG4Ubq+viot1Romr+vDKI2Q6zkcTe2pL0Xv/lyNTg==" saltValue="uGzOuZAsLnQgSeOejwLGO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3.6768002519763941E-2</v>
      </c>
    </row>
    <row r="4" spans="1:8" ht="15.75" customHeight="1" x14ac:dyDescent="0.25">
      <c r="B4" s="19" t="s">
        <v>116</v>
      </c>
      <c r="C4" s="101">
        <v>8.0138679066978954E-2</v>
      </c>
    </row>
    <row r="5" spans="1:8" ht="15.75" customHeight="1" x14ac:dyDescent="0.25">
      <c r="B5" s="19" t="s">
        <v>114</v>
      </c>
      <c r="C5" s="101">
        <v>0.1338084305034315</v>
      </c>
    </row>
    <row r="6" spans="1:8" ht="15.75" customHeight="1" x14ac:dyDescent="0.25">
      <c r="B6" s="19" t="s">
        <v>110</v>
      </c>
      <c r="C6" s="101">
        <v>0.25636246900447218</v>
      </c>
    </row>
    <row r="7" spans="1:8" ht="15.75" customHeight="1" x14ac:dyDescent="0.25">
      <c r="B7" s="19" t="s">
        <v>115</v>
      </c>
      <c r="C7" s="101">
        <v>0.32692926681212559</v>
      </c>
    </row>
    <row r="8" spans="1:8" ht="15.75" customHeight="1" x14ac:dyDescent="0.25">
      <c r="B8" s="19" t="s">
        <v>117</v>
      </c>
      <c r="C8" s="101">
        <v>2.187063857666155E-2</v>
      </c>
    </row>
    <row r="9" spans="1:8" ht="15.75" customHeight="1" x14ac:dyDescent="0.25">
      <c r="B9" s="19" t="s">
        <v>111</v>
      </c>
      <c r="C9" s="101">
        <v>3.8326145942798762E-2</v>
      </c>
    </row>
    <row r="10" spans="1:8" ht="15.75" customHeight="1" x14ac:dyDescent="0.25">
      <c r="B10" s="19" t="s">
        <v>113</v>
      </c>
      <c r="C10" s="101">
        <v>0.1057963675737677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0.2096150945805863</v>
      </c>
      <c r="D14" s="55">
        <v>0.2096150945805863</v>
      </c>
      <c r="E14" s="55">
        <v>0.2096150945805863</v>
      </c>
      <c r="F14" s="55">
        <v>0.2096150945805863</v>
      </c>
    </row>
    <row r="15" spans="1:8" ht="15.75" customHeight="1" x14ac:dyDescent="0.25">
      <c r="B15" s="19" t="s">
        <v>121</v>
      </c>
      <c r="C15" s="101">
        <v>0.30290180191756771</v>
      </c>
      <c r="D15" s="101">
        <v>0.30290180191756771</v>
      </c>
      <c r="E15" s="101">
        <v>0.30290180191756771</v>
      </c>
      <c r="F15" s="101">
        <v>0.30290180191756771</v>
      </c>
    </row>
    <row r="16" spans="1:8" ht="15.75" customHeight="1" x14ac:dyDescent="0.25">
      <c r="B16" s="19" t="s">
        <v>2</v>
      </c>
      <c r="C16" s="101">
        <v>4.9506530600581952E-2</v>
      </c>
      <c r="D16" s="101">
        <v>4.9506530600581952E-2</v>
      </c>
      <c r="E16" s="101">
        <v>4.9506530600581952E-2</v>
      </c>
      <c r="F16" s="101">
        <v>4.9506530600581952E-2</v>
      </c>
    </row>
    <row r="17" spans="1:8" ht="15.75" customHeight="1" x14ac:dyDescent="0.25">
      <c r="B17" s="19" t="s">
        <v>109</v>
      </c>
      <c r="C17" s="101">
        <v>4.5077340701437582E-2</v>
      </c>
      <c r="D17" s="101">
        <v>4.5077340701437582E-2</v>
      </c>
      <c r="E17" s="101">
        <v>4.5077340701437582E-2</v>
      </c>
      <c r="F17" s="101">
        <v>4.5077340701437582E-2</v>
      </c>
    </row>
    <row r="18" spans="1:8" ht="15.75" customHeight="1" x14ac:dyDescent="0.25">
      <c r="B18" s="19" t="s">
        <v>3</v>
      </c>
      <c r="C18" s="101">
        <v>0.17951082498897569</v>
      </c>
      <c r="D18" s="101">
        <v>0.17951082498897569</v>
      </c>
      <c r="E18" s="101">
        <v>0.17951082498897569</v>
      </c>
      <c r="F18" s="101">
        <v>0.17951082498897569</v>
      </c>
    </row>
    <row r="19" spans="1:8" ht="15.75" customHeight="1" x14ac:dyDescent="0.25">
      <c r="B19" s="19" t="s">
        <v>120</v>
      </c>
      <c r="C19" s="101">
        <v>1.5499080026813061E-2</v>
      </c>
      <c r="D19" s="101">
        <v>1.5499080026813061E-2</v>
      </c>
      <c r="E19" s="101">
        <v>1.5499080026813061E-2</v>
      </c>
      <c r="F19" s="101">
        <v>1.5499080026813061E-2</v>
      </c>
    </row>
    <row r="20" spans="1:8" ht="15.75" customHeight="1" x14ac:dyDescent="0.25">
      <c r="B20" s="19" t="s">
        <v>98</v>
      </c>
      <c r="C20" s="101">
        <v>9.5918804033508307E-3</v>
      </c>
      <c r="D20" s="101">
        <v>9.5918804033508307E-3</v>
      </c>
      <c r="E20" s="101">
        <v>9.5918804033508307E-3</v>
      </c>
      <c r="F20" s="101">
        <v>9.5918804033508307E-3</v>
      </c>
    </row>
    <row r="21" spans="1:8" ht="15.75" customHeight="1" x14ac:dyDescent="0.25">
      <c r="B21" s="19" t="s">
        <v>107</v>
      </c>
      <c r="C21" s="101">
        <v>3.2982815508519593E-2</v>
      </c>
      <c r="D21" s="101">
        <v>3.2982815508519593E-2</v>
      </c>
      <c r="E21" s="101">
        <v>3.2982815508519593E-2</v>
      </c>
      <c r="F21" s="101">
        <v>3.2982815508519593E-2</v>
      </c>
    </row>
    <row r="22" spans="1:8" ht="15.75" customHeight="1" x14ac:dyDescent="0.25">
      <c r="B22" s="19" t="s">
        <v>118</v>
      </c>
      <c r="C22" s="101">
        <v>0.15531463127216741</v>
      </c>
      <c r="D22" s="101">
        <v>0.15531463127216741</v>
      </c>
      <c r="E22" s="101">
        <v>0.15531463127216741</v>
      </c>
      <c r="F22" s="101">
        <v>0.15531463127216741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8.8804052000000008E-2</v>
      </c>
    </row>
    <row r="27" spans="1:8" ht="15.75" customHeight="1" x14ac:dyDescent="0.25">
      <c r="B27" s="19" t="s">
        <v>108</v>
      </c>
      <c r="C27" s="101">
        <v>8.6505729999999999E-3</v>
      </c>
    </row>
    <row r="28" spans="1:8" ht="15.75" customHeight="1" x14ac:dyDescent="0.25">
      <c r="B28" s="19" t="s">
        <v>122</v>
      </c>
      <c r="C28" s="101">
        <v>0.15426393499999999</v>
      </c>
    </row>
    <row r="29" spans="1:8" ht="15.75" customHeight="1" x14ac:dyDescent="0.25">
      <c r="B29" s="19" t="s">
        <v>105</v>
      </c>
      <c r="C29" s="101">
        <v>0.16852035100000001</v>
      </c>
    </row>
    <row r="30" spans="1:8" ht="15.75" customHeight="1" x14ac:dyDescent="0.25">
      <c r="B30" s="19" t="s">
        <v>4</v>
      </c>
      <c r="C30" s="101">
        <v>0.106889969</v>
      </c>
    </row>
    <row r="31" spans="1:8" ht="15.75" customHeight="1" x14ac:dyDescent="0.25">
      <c r="B31" s="19" t="s">
        <v>99</v>
      </c>
      <c r="C31" s="101">
        <v>0.10946104600000001</v>
      </c>
    </row>
    <row r="32" spans="1:8" ht="15.75" customHeight="1" x14ac:dyDescent="0.25">
      <c r="B32" s="19" t="s">
        <v>104</v>
      </c>
      <c r="C32" s="101">
        <v>1.8636323E-2</v>
      </c>
    </row>
    <row r="33" spans="2:3" ht="15.75" customHeight="1" x14ac:dyDescent="0.25">
      <c r="B33" s="19" t="s">
        <v>119</v>
      </c>
      <c r="C33" s="101">
        <v>8.3221009999999998E-2</v>
      </c>
    </row>
    <row r="34" spans="2:3" ht="15.75" customHeight="1" x14ac:dyDescent="0.25">
      <c r="B34" s="19" t="s">
        <v>106</v>
      </c>
      <c r="C34" s="101">
        <v>0.26155274000000001</v>
      </c>
    </row>
    <row r="35" spans="2:3" ht="15.75" customHeight="1" x14ac:dyDescent="0.25">
      <c r="B35" s="27" t="s">
        <v>79</v>
      </c>
      <c r="C35" s="48">
        <f>SUM(C26:C34)</f>
        <v>0.99999999900000014</v>
      </c>
    </row>
  </sheetData>
  <sheetProtection algorithmName="SHA-512" hashValue="cotXMyruD9oMAxgsoUAC+SuY7JHcaYJzaK4ng/BTbEz4T4QzLacDP0me4vaTQUuvayGGxaEu0UsoFnEgiq9ggg==" saltValue="bU+ZuFoMBukfO1P2Suf4C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0.57527704833162918</v>
      </c>
      <c r="D2" s="52">
        <f>IFERROR(1-_xlfn.NORM.DIST(_xlfn.NORM.INV(SUM(D4:D5), 0, 1) + 1, 0, 1, TRUE), "")</f>
        <v>0.57527704833162918</v>
      </c>
      <c r="E2" s="52">
        <f>IFERROR(1-_xlfn.NORM.DIST(_xlfn.NORM.INV(SUM(E4:E5), 0, 1) + 1, 0, 1, TRUE), "")</f>
        <v>0.38657966597483828</v>
      </c>
      <c r="F2" s="52">
        <f>IFERROR(1-_xlfn.NORM.DIST(_xlfn.NORM.INV(SUM(F4:F5), 0, 1) + 1, 0, 1, TRUE), "")</f>
        <v>0.19527089196556247</v>
      </c>
      <c r="G2" s="52">
        <f>IFERROR(1-_xlfn.NORM.DIST(_xlfn.NORM.INV(SUM(G4:G5), 0, 1) + 1, 0, 1, TRUE), "")</f>
        <v>0.21072496537900354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0.30766545166837078</v>
      </c>
      <c r="D3" s="52">
        <f>IFERROR(_xlfn.NORM.DIST(_xlfn.NORM.INV(SUM(D4:D5), 0, 1) + 1, 0, 1, TRUE) - SUM(D4:D5), "")</f>
        <v>0.30766545166837078</v>
      </c>
      <c r="E3" s="52">
        <f>IFERROR(_xlfn.NORM.DIST(_xlfn.NORM.INV(SUM(E4:E5), 0, 1) + 1, 0, 1, TRUE) - SUM(E4:E5), "")</f>
        <v>0.37511213402516169</v>
      </c>
      <c r="F3" s="52">
        <f>IFERROR(_xlfn.NORM.DIST(_xlfn.NORM.INV(SUM(F4:F5), 0, 1) + 1, 0, 1, TRUE) - SUM(F4:F5), "")</f>
        <v>0.36093820803443755</v>
      </c>
      <c r="G3" s="52">
        <f>IFERROR(_xlfn.NORM.DIST(_xlfn.NORM.INV(SUM(G4:G5), 0, 1) + 1, 0, 1, TRUE) - SUM(G4:G5), "")</f>
        <v>0.36700583462099645</v>
      </c>
    </row>
    <row r="4" spans="1:15" ht="15.75" customHeight="1" x14ac:dyDescent="0.25">
      <c r="B4" s="5" t="s">
        <v>129</v>
      </c>
      <c r="C4" s="45">
        <v>6.8478600000000001E-2</v>
      </c>
      <c r="D4" s="53">
        <v>6.8478600000000001E-2</v>
      </c>
      <c r="E4" s="53">
        <v>0.13440060000000001</v>
      </c>
      <c r="F4" s="53">
        <v>0.21662210000000001</v>
      </c>
      <c r="G4" s="53">
        <v>0.21005599999999999</v>
      </c>
    </row>
    <row r="5" spans="1:15" ht="15.75" customHeight="1" x14ac:dyDescent="0.25">
      <c r="B5" s="5" t="s">
        <v>125</v>
      </c>
      <c r="C5" s="45">
        <v>4.8578900000000001E-2</v>
      </c>
      <c r="D5" s="53">
        <v>4.8578900000000001E-2</v>
      </c>
      <c r="E5" s="53">
        <v>0.1039076</v>
      </c>
      <c r="F5" s="53">
        <v>0.2271688</v>
      </c>
      <c r="G5" s="53">
        <v>0.21221319999999999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0.50361624753888468</v>
      </c>
      <c r="D8" s="52">
        <f>IFERROR(1-_xlfn.NORM.DIST(_xlfn.NORM.INV(SUM(D10:D11), 0, 1) + 1, 0, 1, TRUE), "")</f>
        <v>0.50361624753888468</v>
      </c>
      <c r="E8" s="52">
        <f>IFERROR(1-_xlfn.NORM.DIST(_xlfn.NORM.INV(SUM(E10:E11), 0, 1) + 1, 0, 1, TRUE), "")</f>
        <v>0.42929325636114668</v>
      </c>
      <c r="F8" s="52">
        <f>IFERROR(1-_xlfn.NORM.DIST(_xlfn.NORM.INV(SUM(F10:F11), 0, 1) + 1, 0, 1, TRUE), "")</f>
        <v>0.45047069846182375</v>
      </c>
      <c r="G8" s="52">
        <f>IFERROR(1-_xlfn.NORM.DIST(_xlfn.NORM.INV(SUM(G10:G11), 0, 1) + 1, 0, 1, TRUE), "")</f>
        <v>0.58276678308832131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0.33991195246111533</v>
      </c>
      <c r="D9" s="52">
        <f>IFERROR(_xlfn.NORM.DIST(_xlfn.NORM.INV(SUM(D10:D11), 0, 1) + 1, 0, 1, TRUE) - SUM(D10:D11), "")</f>
        <v>0.33991195246111533</v>
      </c>
      <c r="E9" s="52">
        <f>IFERROR(_xlfn.NORM.DIST(_xlfn.NORM.INV(SUM(E10:E11), 0, 1) + 1, 0, 1, TRUE) - SUM(E10:E11), "")</f>
        <v>0.36511884363885333</v>
      </c>
      <c r="F9" s="52">
        <f>IFERROR(_xlfn.NORM.DIST(_xlfn.NORM.INV(SUM(F10:F11), 0, 1) + 1, 0, 1, TRUE) - SUM(F10:F11), "")</f>
        <v>0.35888590153817623</v>
      </c>
      <c r="G9" s="52">
        <f>IFERROR(_xlfn.NORM.DIST(_xlfn.NORM.INV(SUM(G10:G11), 0, 1) + 1, 0, 1, TRUE) - SUM(G10:G11), "")</f>
        <v>0.30389731691167871</v>
      </c>
    </row>
    <row r="10" spans="1:15" ht="15.75" customHeight="1" x14ac:dyDescent="0.25">
      <c r="B10" s="5" t="s">
        <v>126</v>
      </c>
      <c r="C10" s="45">
        <v>9.5934500000000006E-2</v>
      </c>
      <c r="D10" s="53">
        <v>9.5934500000000006E-2</v>
      </c>
      <c r="E10" s="53">
        <v>0.128469</v>
      </c>
      <c r="F10" s="53">
        <v>0.12639329999999999</v>
      </c>
      <c r="G10" s="53">
        <v>8.0671499999999993E-2</v>
      </c>
    </row>
    <row r="11" spans="1:15" ht="15.75" customHeight="1" x14ac:dyDescent="0.25">
      <c r="B11" s="5" t="s">
        <v>138</v>
      </c>
      <c r="C11" s="45">
        <v>6.0537300000000002E-2</v>
      </c>
      <c r="D11" s="53">
        <v>6.0537300000000002E-2</v>
      </c>
      <c r="E11" s="53">
        <v>7.7118900000000004E-2</v>
      </c>
      <c r="F11" s="53">
        <v>6.4250100000000004E-2</v>
      </c>
      <c r="G11" s="53">
        <v>3.2664400000000003E-2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0.73521598700000002</v>
      </c>
      <c r="D14" s="54">
        <v>0.72018264867199999</v>
      </c>
      <c r="E14" s="54">
        <v>0.72018264867199999</v>
      </c>
      <c r="F14" s="54">
        <v>0.82913690597400003</v>
      </c>
      <c r="G14" s="54">
        <v>0.82913690597400003</v>
      </c>
      <c r="H14" s="45">
        <v>0.52100000000000002</v>
      </c>
      <c r="I14" s="55">
        <v>0.52100000000000002</v>
      </c>
      <c r="J14" s="55">
        <v>0.52100000000000002</v>
      </c>
      <c r="K14" s="55">
        <v>0.52100000000000002</v>
      </c>
      <c r="L14" s="45">
        <v>0.47099999999999992</v>
      </c>
      <c r="M14" s="55">
        <v>0.47099999999999992</v>
      </c>
      <c r="N14" s="55">
        <v>0.47099999999999992</v>
      </c>
      <c r="O14" s="55">
        <v>0.47099999999999992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0.31991526763929701</v>
      </c>
      <c r="D15" s="52">
        <f t="shared" si="0"/>
        <v>0.313373796099296</v>
      </c>
      <c r="E15" s="52">
        <f t="shared" si="0"/>
        <v>0.313373796099296</v>
      </c>
      <c r="F15" s="52">
        <f t="shared" si="0"/>
        <v>0.3607831710333726</v>
      </c>
      <c r="G15" s="52">
        <f t="shared" si="0"/>
        <v>0.3607831710333726</v>
      </c>
      <c r="H15" s="52">
        <f t="shared" si="0"/>
        <v>0.22670325099999999</v>
      </c>
      <c r="I15" s="52">
        <f t="shared" si="0"/>
        <v>0.22670325099999999</v>
      </c>
      <c r="J15" s="52">
        <f t="shared" si="0"/>
        <v>0.22670325099999999</v>
      </c>
      <c r="K15" s="52">
        <f t="shared" si="0"/>
        <v>0.22670325099999999</v>
      </c>
      <c r="L15" s="52">
        <f t="shared" si="0"/>
        <v>0.20494670099999995</v>
      </c>
      <c r="M15" s="52">
        <f t="shared" si="0"/>
        <v>0.20494670099999995</v>
      </c>
      <c r="N15" s="52">
        <f t="shared" si="0"/>
        <v>0.20494670099999995</v>
      </c>
      <c r="O15" s="52">
        <f t="shared" si="0"/>
        <v>0.20494670099999995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3Oxna5IrkijhMLYXeWyN+MDyg08ScCoFVr4AcUpRc8eITBjDRPhcxpGiEcMVSEEpMJbmTmF8t5znTrvnFw1Rg==" saltValue="WfJMEIWEjGGlRkjjIgIG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0.22203829999999999</v>
      </c>
      <c r="D2" s="53">
        <v>0.16409360000000001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0.5179011</v>
      </c>
      <c r="D3" s="53">
        <v>0.40324939999999998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0.24761810000000001</v>
      </c>
      <c r="D4" s="53">
        <v>0.4201106</v>
      </c>
      <c r="E4" s="53">
        <v>0.96840000000000004</v>
      </c>
      <c r="F4" s="53">
        <v>0.72719300000000009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1.2442499999999912E-2</v>
      </c>
      <c r="D5" s="52">
        <f t="shared" si="0"/>
        <v>1.2546400000000069E-2</v>
      </c>
      <c r="E5" s="52">
        <f>1-SUM(E2:E4)</f>
        <v>3.1599999999999961E-2</v>
      </c>
      <c r="F5" s="52">
        <f>1-SUM(F2:F4)</f>
        <v>0.27280699999999991</v>
      </c>
      <c r="G5" s="52">
        <f>1-SUM(G2:G4)</f>
        <v>1</v>
      </c>
    </row>
  </sheetData>
  <sheetProtection algorithmName="SHA-512" hashValue="7lfpYPOqUt47NJryOjoEK35lgKrkyAWccAWZC5h0U8iClS2utlp3WpeFNHCPEg//zmwzkBBFtXY8HtCBYrDUVA==" saltValue="UT688TGg9dRSnS79xooc+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hRCUeHijR5QMPxU+V0WRIYCDAPCCI94hKg9qLbte4pI2PW/aDDTKPqlBQETun0+HEA6bQrnFAbudDVb73TIOw==" saltValue="9c0jniMO66NNvAruM7YWd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716.80438113458399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0.42011999999999999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0.48591000000000001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2.125413157488756E-2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88505.869200000001</v>
      </c>
      <c r="C22" s="109">
        <v>87162.076719999997</v>
      </c>
      <c r="D22" s="109">
        <v>86236.432509999999</v>
      </c>
      <c r="E22" s="109">
        <v>85581.110960000005</v>
      </c>
      <c r="F22" s="109">
        <v>84708.148530000006</v>
      </c>
      <c r="G22" s="109">
        <v>83616.629799999995</v>
      </c>
      <c r="H22" s="109">
        <v>82211.269050000003</v>
      </c>
      <c r="I22" s="109">
        <v>80347.487500000003</v>
      </c>
      <c r="J22" s="109">
        <v>77800.511880000005</v>
      </c>
      <c r="K22" s="109">
        <v>74536.829140000002</v>
      </c>
      <c r="L22" s="109">
        <v>70063.977740000002</v>
      </c>
      <c r="M22" s="109">
        <v>64300.852700000003</v>
      </c>
      <c r="N22" s="109">
        <v>56534.872080000001</v>
      </c>
      <c r="O22" s="109">
        <v>47041.988980000002</v>
      </c>
    </row>
  </sheetData>
  <sheetProtection algorithmName="SHA-512" hashValue="bZcYNdrs6rmNzau2AYOAnOV88JOSu5Tk/AAZ+jOeVf4sda/XVYl/6bIFXHWQPosTVB+ujFX7NycaQqSqdsoM7Q==" saltValue="EAaSaVtSkZknEPNyb3in+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5i32nSPrS4wZ8O5B9t1ODw+HPzLXE8QeCYP7aptqxKXbDTanbJ0lZdzoA2h6hO1RgfOdaN+a0D5aTodWm/CZZg==" saltValue="utTqxnO+zkyyMHVBFpiLu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JGwvrzc9uKSx28Bmq3A+lqs01E81Qzjll6Ll9XbWZE2yp9D68hbof67t1+l+AfPErmFEjTs3nmy1X5UrK82rmQ==" saltValue="jshGo11P8aMsCDMV4Wu6t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18.025735670419653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18.025735670419653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4.1560552700311737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0.11773527677142136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0.2139553248340432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0.5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0.23003335421429147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0.1104295</v>
      </c>
      <c r="C10" s="98">
        <v>0.95</v>
      </c>
      <c r="D10" s="56">
        <v>15.0449415094118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15.0449415094118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15.0449415094118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15.0449415094118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0.1104295</v>
      </c>
      <c r="C14" s="98">
        <v>0.95</v>
      </c>
      <c r="D14" s="56">
        <v>15.0449415094118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15.0449415094118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0.5599459</v>
      </c>
      <c r="C16" s="98">
        <v>0.95</v>
      </c>
      <c r="D16" s="56">
        <v>3.414323026371219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0.35500000000000004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0.19400000000000001</v>
      </c>
      <c r="C18" s="98">
        <v>0.95</v>
      </c>
      <c r="D18" s="56">
        <v>4.1560552700311737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0.16409360000000001</v>
      </c>
      <c r="C19" s="98">
        <v>0.95</v>
      </c>
      <c r="D19" s="56">
        <v>4.1559126023027169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4.4974875726682955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4.1560552700311737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0.65777940000000001</v>
      </c>
      <c r="C23" s="98">
        <v>0.95</v>
      </c>
      <c r="D23" s="56">
        <v>4.9287239443093789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0.19459071543420001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0.1104295</v>
      </c>
      <c r="C26" s="98">
        <v>0.95</v>
      </c>
      <c r="D26" s="56">
        <v>2.448893756845564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13.457928721749347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0.17447260000000001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0.23353189999999999</v>
      </c>
      <c r="C29" s="98">
        <v>0.95</v>
      </c>
      <c r="D29" s="56">
        <v>58.241642049834397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15.705885921307608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0.18290000000000001</v>
      </c>
      <c r="C31" s="98">
        <v>0.95</v>
      </c>
      <c r="D31" s="56">
        <v>153.821139101862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0.91</v>
      </c>
      <c r="C32" s="98">
        <v>0.95</v>
      </c>
      <c r="D32" s="56">
        <v>0.24724408121998481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0.26200469999999998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0.13487759999999999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7.6780000000000001E-4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0.16786129999999999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5.0000000000000001E-3</v>
      </c>
      <c r="C38" s="98">
        <v>0.95</v>
      </c>
      <c r="D38" s="56">
        <v>4.0706758054007581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3.4125000000000001</v>
      </c>
      <c r="E39" s="56" t="s">
        <v>212</v>
      </c>
      <c r="F39" s="98">
        <v>1</v>
      </c>
      <c r="G39" s="98">
        <v>1</v>
      </c>
    </row>
  </sheetData>
  <sheetProtection algorithmName="SHA-512" hashValue="oCU3Oa/rziOIuMWJO1Ar68O6kfC27SohrQFRs53I7oNPIIBZgqcpCXm59qGsJnhjfjBe0UF6YAt/Dai9xoOK9Q==" saltValue="N5wv0sxVcDBsPhCgScDR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kV6m+aqEZOgfoLE2ReuKduF118KkeNjZ8rOClgWWjZatGxRAlc3RVjh8Pnb+lYBtL8gIrB1OSbYRBG+NMXB1vg==" saltValue="i3p5uYzn97FGX90W46Wa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aOHDCrbYfiiueLBmSZmR/w3WQSKoNmAwN8Ffrw5FSP/lnncNsX9XsdCbpuiIdCVH9/x5wFdf2WPvGOXMrhWUlQ==" saltValue="U2ORw4sx4AknLkuLC4uS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5.4080000000000004</v>
      </c>
      <c r="C2" s="21">
        <f>'Entradas de población-año base'!C52</f>
        <v>5.4080000000000004</v>
      </c>
      <c r="D2" s="21">
        <f>'Entradas de población-año base'!C53</f>
        <v>9.23</v>
      </c>
      <c r="E2" s="21">
        <f>'Entradas de población-año base'!C54</f>
        <v>8.6839999999999993</v>
      </c>
      <c r="F2" s="21">
        <f>'Entradas de población-año base'!C55</f>
        <v>4.3766666666666669</v>
      </c>
    </row>
    <row r="3" spans="1:6" ht="15.75" customHeight="1" x14ac:dyDescent="0.25">
      <c r="A3" s="3" t="s">
        <v>6</v>
      </c>
      <c r="B3" s="21">
        <f>frac_mam_1month * 2.6</f>
        <v>0.24942970000000003</v>
      </c>
      <c r="C3" s="21">
        <f>frac_mam_1_5months * 2.6</f>
        <v>0.24942970000000003</v>
      </c>
      <c r="D3" s="21">
        <f>frac_mam_6_11months * 2.6</f>
        <v>0.33401940000000002</v>
      </c>
      <c r="E3" s="21">
        <f>frac_mam_12_23months * 2.6</f>
        <v>0.32862258</v>
      </c>
      <c r="F3" s="21">
        <f>frac_mam_24_59months * 2.6</f>
        <v>0.20974589999999999</v>
      </c>
    </row>
    <row r="4" spans="1:6" ht="15.75" customHeight="1" x14ac:dyDescent="0.25">
      <c r="A4" s="3" t="s">
        <v>236</v>
      </c>
      <c r="B4" s="21">
        <f>frac_sam_1month * 2.6</f>
        <v>0.15739698000000002</v>
      </c>
      <c r="C4" s="21">
        <f>frac_sam_1_5months * 2.6</f>
        <v>0.15739698000000002</v>
      </c>
      <c r="D4" s="21">
        <f>frac_sam_6_11months * 2.6</f>
        <v>0.20050914000000003</v>
      </c>
      <c r="E4" s="21">
        <f>frac_sam_12_23months * 2.6</f>
        <v>0.16705026000000001</v>
      </c>
      <c r="F4" s="21">
        <f>frac_sam_24_59months * 2.6</f>
        <v>8.4927440000000007E-2</v>
      </c>
    </row>
  </sheetData>
  <sheetProtection algorithmName="SHA-512" hashValue="p5c0qv5f8Ox54mwwdMJJIRzt4LpavlDXJ7jpHdcx7O6yCZI1GULsGr27eCTURhIX7VeFVR2R/eEkMqtMxu2yRg==" saltValue="NZKDp2oewlnKXYcyhGFd5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0.67900000000000005</v>
      </c>
      <c r="F2" s="60">
        <f>food_insecure</f>
        <v>0.67900000000000005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0.67900000000000005</v>
      </c>
      <c r="F5" s="60">
        <f>food_insecure</f>
        <v>0.67900000000000005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0.11799272727272729</v>
      </c>
      <c r="D7" s="60">
        <f>diarrhoea_1_5mo*frac_diarrhea_severe</f>
        <v>0.11799272727272729</v>
      </c>
      <c r="E7" s="60">
        <f>diarrhoea_6_11mo*frac_diarrhea_severe</f>
        <v>0.20138181818181822</v>
      </c>
      <c r="F7" s="60">
        <f>diarrhoea_12_23mo*frac_diarrhea_severe</f>
        <v>0.18946909090909092</v>
      </c>
      <c r="G7" s="60">
        <f>diarrhoea_24_59mo*frac_diarrhea_severe</f>
        <v>9.5490909090909099E-2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0.67900000000000005</v>
      </c>
      <c r="F8" s="60">
        <f>food_insecure</f>
        <v>0.67900000000000005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0.67900000000000005</v>
      </c>
      <c r="F9" s="60">
        <f>food_insecure</f>
        <v>0.67900000000000005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0.11799272727272729</v>
      </c>
      <c r="D12" s="60">
        <f>diarrhoea_1_5mo*frac_diarrhea_severe</f>
        <v>0.11799272727272729</v>
      </c>
      <c r="E12" s="60">
        <f>diarrhoea_6_11mo*frac_diarrhea_severe</f>
        <v>0.20138181818181822</v>
      </c>
      <c r="F12" s="60">
        <f>diarrhoea_12_23mo*frac_diarrhea_severe</f>
        <v>0.18946909090909092</v>
      </c>
      <c r="G12" s="60">
        <f>diarrhoea_24_59mo*frac_diarrhea_severe</f>
        <v>9.5490909090909099E-2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0.67900000000000005</v>
      </c>
      <c r="I15" s="60">
        <f t="shared" si="0"/>
        <v>0.67900000000000005</v>
      </c>
      <c r="J15" s="60">
        <f t="shared" si="0"/>
        <v>0.67900000000000005</v>
      </c>
      <c r="K15" s="60">
        <f t="shared" si="0"/>
        <v>0.67900000000000005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0.67900000000000005</v>
      </c>
      <c r="I16" s="60">
        <f t="shared" si="0"/>
        <v>0.67900000000000005</v>
      </c>
      <c r="J16" s="60">
        <f t="shared" si="0"/>
        <v>0.67900000000000005</v>
      </c>
      <c r="K16" s="60">
        <f t="shared" si="0"/>
        <v>0.67900000000000005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0.86</v>
      </c>
      <c r="I19" s="60">
        <f>frac_malaria_risk</f>
        <v>0.86</v>
      </c>
      <c r="J19" s="60">
        <f>frac_malaria_risk</f>
        <v>0.86</v>
      </c>
      <c r="K19" s="60">
        <f>frac_malaria_risk</f>
        <v>0.86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0.82499999999999996</v>
      </c>
      <c r="M24" s="60">
        <f>famplan_unmet_need</f>
        <v>0.82499999999999996</v>
      </c>
      <c r="N24" s="60">
        <f>famplan_unmet_need</f>
        <v>0.82499999999999996</v>
      </c>
      <c r="O24" s="60">
        <f>famplan_unmet_need</f>
        <v>0.82499999999999996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0.55682488547699993</v>
      </c>
      <c r="M25" s="60">
        <f>(1-food_insecure)*(0.49)+food_insecure*(0.7)</f>
        <v>0.63258999999999999</v>
      </c>
      <c r="N25" s="60">
        <f>(1-food_insecure)*(0.49)+food_insecure*(0.7)</f>
        <v>0.63258999999999999</v>
      </c>
      <c r="O25" s="60">
        <f>(1-food_insecure)*(0.49)+food_insecure*(0.7)</f>
        <v>0.63258999999999999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0.23863923663300002</v>
      </c>
      <c r="M26" s="60">
        <f>(1-food_insecure)*(0.21)+food_insecure*(0.3)</f>
        <v>0.27111000000000002</v>
      </c>
      <c r="N26" s="60">
        <f>(1-food_insecure)*(0.21)+food_insecure*(0.3)</f>
        <v>0.27111000000000002</v>
      </c>
      <c r="O26" s="60">
        <f>(1-food_insecure)*(0.21)+food_insecure*(0.3)</f>
        <v>0.27111000000000002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8.4766177889999988E-2</v>
      </c>
      <c r="M27" s="60">
        <f>(1-food_insecure)*(0.3)</f>
        <v>9.6299999999999983E-2</v>
      </c>
      <c r="N27" s="60">
        <f>(1-food_insecure)*(0.3)</f>
        <v>9.6299999999999983E-2</v>
      </c>
      <c r="O27" s="60">
        <f>(1-food_insecure)*(0.3)</f>
        <v>9.6299999999999983E-2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0.11976970000000001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0.86</v>
      </c>
      <c r="D34" s="60">
        <f t="shared" si="4"/>
        <v>0.86</v>
      </c>
      <c r="E34" s="60">
        <f t="shared" si="4"/>
        <v>0.86</v>
      </c>
      <c r="F34" s="60">
        <f t="shared" si="4"/>
        <v>0.86</v>
      </c>
      <c r="G34" s="60">
        <f t="shared" si="4"/>
        <v>0.86</v>
      </c>
      <c r="H34" s="60">
        <f t="shared" si="4"/>
        <v>0.86</v>
      </c>
      <c r="I34" s="60">
        <f t="shared" si="4"/>
        <v>0.86</v>
      </c>
      <c r="J34" s="60">
        <f t="shared" si="4"/>
        <v>0.86</v>
      </c>
      <c r="K34" s="60">
        <f t="shared" si="4"/>
        <v>0.86</v>
      </c>
      <c r="L34" s="60">
        <f t="shared" si="4"/>
        <v>0.86</v>
      </c>
      <c r="M34" s="60">
        <f t="shared" si="4"/>
        <v>0.86</v>
      </c>
      <c r="N34" s="60">
        <f t="shared" si="4"/>
        <v>0.86</v>
      </c>
      <c r="O34" s="60">
        <f t="shared" si="4"/>
        <v>0.86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ciAQ7moaNmLvMe4Tod8KdH9HZlGkuAKnkeAULLwOVO7c26uwAo0OGqXbUZSp2ykAWMFdM3ztI3bTKwBE6jXtA==" saltValue="mbDvEORkVOedrhzHhbZy0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qVNnYbVbvC/e07Xx4/D7ljlmuANk2cYOHsr0r0o7rKkA4yMJYy/sis/PK1Zk/hN4KCkK+D658mWXSFiNY2ODqg==" saltValue="pV47pYJzkoirBilwyvw9L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3wUsFPhWzVGaQbdy9duaSSCeX6/rRUPojaw8mExJo/jrYjl0VBQV5wBBnl7PZgIvA27ig2ZPgIURLILuzzncg==" saltValue="rlxSGclUqIKwb6aMdsX7n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ouJAIxwargAiLcNBDIUzwtHFY72kSycZkXoGjnPIZubABILd1ITQ2SricjitXObuonVcoW0/dZMuKYWT3bcYg==" saltValue="W1K74s2xwUqzS5Lhqw6pj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mhbymKTGKEq/oc9njL9R15lmyrgCmDnUb9kRfF2KpkhvR29VgLnlCOfMn3j+Fq9qv8UurNpgkc2s/IGYBxp9og==" saltValue="HAKdK7QlMqKMp+54TR2Me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2H4qIFbgFC0YeGCPjBbRNN5nfxrGpT+zfCCNWVP/75iIYEG9gET7dCh2S10TQRFFGzr7x1XOQfClhXPot8dGAQ==" saltValue="/zvbtVuIoccxjalNcqV1E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BthqWxgPsYHM8387ym2KY/Y1oNawAVH3d6hE7LqKI/z0YLEi1K2gfm4osHygCspzIVfdGIJlzNEURgW1ZAEew==" saltValue="1y5Qvw/fAPsbNZDjbimFQ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u+7D4rI9MVJnLyCu5cxIiIiTXrHFavu0pk/DoXIWsxe6rX5upgNxx+XlU7Q/g18lVoxTpB3goNdJfiU/yrJwHQ==" saltValue="Orld4FlYFq10Jd9hb3Xm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8Sw5MlC3qpT9Fv6+NsuYUflkl32QQ5f0CQSsFwwzE9u3lBaxS35laMZhrByxcTEj8TjhOPHDbNmbLz++p8aKkA==" saltValue="v9oW+iPHG2uorLhT3DuH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1XL09hQ5/vOjTlV3QQEdh/scfNxDG1GAjgLISOfZ5BDALdC8Nj6aPYAUvPk6c2nPFlS+AT3PL1DhXIC5FvBVOA==" saltValue="O6cYMltc7a3B00Uvc7Tc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QxjEg4yUDQ0iu08IOOdlAYWSIPUE8iZoqo1NxQ+s+UZCgxg8VZMwhkTOE0Guc9XRSQKvnsasNyrfWNjJK0Ucw==" saltValue="ktDPwu3u0qLk3pUGSfCj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06vxWJhLZ7RJV4qFQVhwkDBSeI1NzcXKf40Od8QOY6xOu3yzqIFxIP1WuBkgKBBjJiPMnkLzC+JI+iJClvy9Pg==" saltValue="PuRxhgl26a+pCripcp93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/Ww9Q/b9Krqg2pZE5Q66SKBKs/Na6P47QJsLeMyR3mHLyi3TQ3gb71yQlIEnY+U5Np+fB+NgOPVXH6tCSmfMg==" saltValue="8W2efzzcqUQkhXhTzTU7S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eAW5eLx2EDzy8Axukto9D/uBYh0XJU+FV50xbdwVkSSFHHhj05E6zpst5MjAaOF7xmi62qWirKg7zgBik3c0eA==" saltValue="IINLhZZkmXyicXYdvhYj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jXcldn8i+n+JvQSD1znWO+eAhbysRgs9VzEtBaSo5Z9pHITtsTCIAKWMB2eVgzsKvv2/4X3+7A9+AwHLG50rHQ==" saltValue="JiWhXvdJhbATzm9DpuVHw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