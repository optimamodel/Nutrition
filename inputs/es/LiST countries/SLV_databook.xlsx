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1136F90-8A44-4B1A-9427-ADB4D1FE9AF8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7" i="2" l="1"/>
  <c r="A19" i="2"/>
  <c r="A27" i="2"/>
  <c r="A15" i="2"/>
  <c r="A31" i="2"/>
  <c r="A23" i="2"/>
  <c r="A24" i="2"/>
  <c r="A16" i="2"/>
  <c r="A32" i="2"/>
  <c r="A33" i="2"/>
  <c r="A35" i="2"/>
  <c r="I5" i="2"/>
  <c r="I9" i="2"/>
  <c r="I13" i="2"/>
  <c r="A25" i="2"/>
  <c r="I39" i="2"/>
  <c r="A3" i="2"/>
  <c r="A18" i="2"/>
  <c r="A26" i="2"/>
  <c r="A34" i="2"/>
  <c r="A39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<sst xmlns="http://schemas.openxmlformats.org/spreadsheetml/2006/main" count="2101" uniqueCount="341">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</sst>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488493.625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0.61118221282958995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0.1696</v>
      </c>
    </row>
    <row r="24" spans="1:3" ht="15" customHeight="1" x14ac:dyDescent="0.25">
      <c r="B24" s="15" t="s">
        <v>46</v>
      </c>
      <c r="C24" s="45">
        <v>0.5242</v>
      </c>
    </row>
    <row r="25" spans="1:3" ht="15" customHeight="1" x14ac:dyDescent="0.25">
      <c r="B25" s="15" t="s">
        <v>47</v>
      </c>
      <c r="C25" s="45">
        <v>0.2732</v>
      </c>
    </row>
    <row r="26" spans="1:3" ht="15" customHeight="1" x14ac:dyDescent="0.25">
      <c r="B26" s="15" t="s">
        <v>48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0.25506849999999998</v>
      </c>
    </row>
    <row r="30" spans="1:3" ht="14.25" customHeight="1" x14ac:dyDescent="0.25">
      <c r="B30" s="25" t="s">
        <v>63</v>
      </c>
      <c r="C30" s="99">
        <v>0.13864399999999999</v>
      </c>
    </row>
    <row r="31" spans="1:3" ht="14.25" customHeight="1" x14ac:dyDescent="0.25">
      <c r="B31" s="25" t="s">
        <v>10</v>
      </c>
      <c r="C31" s="99">
        <v>0.123641</v>
      </c>
    </row>
    <row r="32" spans="1:3" ht="14.25" customHeight="1" x14ac:dyDescent="0.25">
      <c r="B32" s="25" t="s">
        <v>11</v>
      </c>
      <c r="C32" s="99">
        <v>0.48264649999999998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6.0968</v>
      </c>
    </row>
    <row r="38" spans="1:5" ht="15" customHeight="1" x14ac:dyDescent="0.25">
      <c r="B38" s="11" t="s">
        <v>35</v>
      </c>
      <c r="C38" s="43">
        <v>10.693809999999999</v>
      </c>
      <c r="D38" s="12"/>
      <c r="E38" s="13"/>
    </row>
    <row r="39" spans="1:5" ht="15" customHeight="1" x14ac:dyDescent="0.25">
      <c r="B39" s="11" t="s">
        <v>61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6.8047999999999997E-3</v>
      </c>
      <c r="D45" s="12"/>
    </row>
    <row r="46" spans="1:5" ht="15.75" customHeight="1" x14ac:dyDescent="0.25">
      <c r="B46" s="11" t="s">
        <v>51</v>
      </c>
      <c r="C46" s="45">
        <v>7.3117000000000001E-2</v>
      </c>
      <c r="D46" s="12"/>
    </row>
    <row r="47" spans="1:5" ht="15.75" customHeight="1" x14ac:dyDescent="0.25">
      <c r="B47" s="11" t="s">
        <v>59</v>
      </c>
      <c r="C47" s="45">
        <v>7.4529800000000007E-2</v>
      </c>
      <c r="D47" s="12"/>
      <c r="E47" s="13"/>
    </row>
    <row r="48" spans="1:5" ht="15" customHeight="1" x14ac:dyDescent="0.25">
      <c r="B48" s="11" t="s">
        <v>58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0.564581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0.10295944</v>
      </c>
    </row>
    <row r="63" spans="1:4" ht="15.75" customHeight="1" x14ac:dyDescent="0.3">
      <c r="A63" s="4"/>
    </row>
  </sheetData>
  <sheetProtection algorithmName="SHA-512" hashValue="+8OcGG0vs/KUsoMPU6X7U8JNiZWjWnJSB4p2Pr6CSxUeh//UMvmC2MLbitrLSDcteCHBm9tqi0syMkx3SiYD3g==" saltValue="AB2U+1g+kRn72zADUHFb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57BhyGE1oiaPjR+vcsTHo5tvUWaUJvjvw5o4PQhecT8p+HG86eLfz9an719ExrTaENyN/FEdWCknWDwo+kQZQ==" saltValue="w11XEFzAdFbOdK9yhaqH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6.0063494121611181E-2</v>
      </c>
    </row>
    <row r="5" spans="1:8" ht="15.75" customHeight="1" x14ac:dyDescent="0.25">
      <c r="B5" s="19" t="s">
        <v>95</v>
      </c>
      <c r="C5" s="101">
        <v>2.2386320070241359E-2</v>
      </c>
    </row>
    <row r="6" spans="1:8" ht="15.75" customHeight="1" x14ac:dyDescent="0.25">
      <c r="B6" s="19" t="s">
        <v>91</v>
      </c>
      <c r="C6" s="101">
        <v>0.1570764170522494</v>
      </c>
    </row>
    <row r="7" spans="1:8" ht="15.75" customHeight="1" x14ac:dyDescent="0.25">
      <c r="B7" s="19" t="s">
        <v>96</v>
      </c>
      <c r="C7" s="101">
        <v>0.4339066453125362</v>
      </c>
    </row>
    <row r="8" spans="1:8" ht="15.75" customHeight="1" x14ac:dyDescent="0.25">
      <c r="B8" s="19" t="s">
        <v>98</v>
      </c>
      <c r="C8" s="101">
        <v>1.388748822441363E-2</v>
      </c>
    </row>
    <row r="9" spans="1:8" ht="15.75" customHeight="1" x14ac:dyDescent="0.25">
      <c r="B9" s="19" t="s">
        <v>92</v>
      </c>
      <c r="C9" s="101">
        <v>0.23970991838528249</v>
      </c>
    </row>
    <row r="10" spans="1:8" ht="15.75" customHeight="1" x14ac:dyDescent="0.25">
      <c r="B10" s="19" t="s">
        <v>94</v>
      </c>
      <c r="C10" s="101">
        <v>7.2969716833665876E-2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102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2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79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99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60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5.3793739E-2</v>
      </c>
    </row>
    <row r="27" spans="1:8" ht="15.75" customHeight="1" x14ac:dyDescent="0.25">
      <c r="B27" s="19" t="s">
        <v>89</v>
      </c>
      <c r="C27" s="101">
        <v>1.9276288999999999E-2</v>
      </c>
    </row>
    <row r="28" spans="1:8" ht="15.75" customHeight="1" x14ac:dyDescent="0.25">
      <c r="B28" s="19" t="s">
        <v>103</v>
      </c>
      <c r="C28" s="101">
        <v>0.179864307</v>
      </c>
    </row>
    <row r="29" spans="1:8" ht="15.75" customHeight="1" x14ac:dyDescent="0.25">
      <c r="B29" s="19" t="s">
        <v>86</v>
      </c>
      <c r="C29" s="101">
        <v>0.23533279200000001</v>
      </c>
    </row>
    <row r="30" spans="1:8" ht="15.75" customHeight="1" x14ac:dyDescent="0.25">
      <c r="B30" s="19" t="s">
        <v>4</v>
      </c>
      <c r="C30" s="101">
        <v>6.8817955E-2</v>
      </c>
    </row>
    <row r="31" spans="1:8" ht="15.75" customHeight="1" x14ac:dyDescent="0.25">
      <c r="B31" s="19" t="s">
        <v>80</v>
      </c>
      <c r="C31" s="101">
        <v>4.4797729000000001E-2</v>
      </c>
    </row>
    <row r="32" spans="1:8" ht="15.75" customHeight="1" x14ac:dyDescent="0.25">
      <c r="B32" s="19" t="s">
        <v>85</v>
      </c>
      <c r="C32" s="101">
        <v>1.9724179000000001E-2</v>
      </c>
    </row>
    <row r="33" spans="2:3" ht="15.75" customHeight="1" x14ac:dyDescent="0.25">
      <c r="B33" s="19" t="s">
        <v>100</v>
      </c>
      <c r="C33" s="101">
        <v>0.148522658</v>
      </c>
    </row>
    <row r="34" spans="2:3" ht="15.75" customHeight="1" x14ac:dyDescent="0.25">
      <c r="B34" s="19" t="s">
        <v>87</v>
      </c>
      <c r="C34" s="101">
        <v>0.229870352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Hob2l5TYqAZ7xbdOnHmwkG7w8GD37WdLNb6ecRFxxENz0HeZ3SZX8c3TC9zqMy5AwJLgqCwJO9J4NVGVf+P2Ww==" saltValue="aGh0IY9pWzEp3giypCNq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110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106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107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119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NvB19hrS7J4gSu69Uvy+K2a1PwQXzHXb58V2JTqZZVjyMIJEiYt3qZ7dWep05TyQ5Ya6zpyVwiaIjx1j2joyg==" saltValue="Q4raMasbz9I+JZZflgH9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125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XinIFlR+Vx16FrpbZeGq3zEZBpeA7puDV34q7ZbS/MgmNLSHlN/KdsjhSI7eJAI4KoXzd+KLyRzHSiePCFX9Bw==" saltValue="aLZofdvbDrh+KaK1G+/3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jx10ELp6oHvuT9A+vydHMDdnSyFLy3B4xPG/gHsG5xlkAYUuzTeNMFkxHEP7PDEGWQtuo7TR+Ll9Xv7re4uLw==" saltValue="qaJcgYbdwuhMW+Lbn3n28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LFC13CNV9kBiek1Vslnr8jlIe69hdo9dEjiJDd5NRfGU7YS1Ovfrr5dHDWKeqe/NSzcoWkFnvjThyIGPcBGyw==" saltValue="7PZM6UrAUU87YFIJl8UO6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EfB7QFyB90LykPW1sn2jE4EyiLQjdWRIKUwL4F7t38s3Nmwshdb5FgRL8MpV9jJGQ0m59I6I3nU8QY8p5Ycgw==" saltValue="F5TzmpPv5rNmcZFDmjIZ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5He+EsmKELnRXZ+9ngoYd72BLrvzXMG8UUamX0YqIhbnYLfhvnI3BmXCqs/Xem293WgeZS35f8GA60iK9+LZQ==" saltValue="ka5SuGobT2QYs9raDodM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58.536923175170507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39.891505403581561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422.35845794346858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0.67522681652432304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13.02380484737747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13.02380484737747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13.02380484737747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13.02380484737747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13.02380484737747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13.02380484737747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0.73057064727282073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0.30020833333333302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0.43595139999999999</v>
      </c>
      <c r="C18" s="98">
        <v>0.95</v>
      </c>
      <c r="D18" s="56">
        <v>9.7344812256272366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0.43595139999999999</v>
      </c>
      <c r="C19" s="98">
        <v>0.95</v>
      </c>
      <c r="D19" s="56">
        <v>9.7344812256272366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6.5464220867330107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22.48102373706007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4.2866035394646582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0.69745919383433996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18.590824811122559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0.69842299999999991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0.72850910000000002</v>
      </c>
      <c r="C29" s="98">
        <v>0.95</v>
      </c>
      <c r="D29" s="56">
        <v>114.80634956846561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1.9300000000000001E-2</v>
      </c>
      <c r="C31" s="98">
        <v>0.95</v>
      </c>
      <c r="D31" s="56">
        <v>0.40904222984605382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0.81</v>
      </c>
      <c r="C32" s="98">
        <v>0.95</v>
      </c>
      <c r="D32" s="56">
        <v>1.5698421778540761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0.90699580000000002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0.41810140000000001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4.23329E-2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0.92794939999999992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0.32745109999999999</v>
      </c>
      <c r="C38" s="98">
        <v>0.95</v>
      </c>
      <c r="D38" s="56">
        <v>5.0704877347930708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mK8xN8axc4R2tv9zewkKDi72NDDVSu34N5sch/MABiQA1fsfW8FhpWNs3CVYztJL+tFcazfQ6ovsq41S3868nA==" saltValue="txsqWV0iLyOq7RywEHp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uFCX+2XMOxkiCDZ+hZrpRm1EzWq71g3P3HfhBvQcy/LxFNzThaogjX8jCHM09nqoNhhDGsGLsEL2le6cptbFw==" saltValue="ZDvW6FKfY2/bm49weLGq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HuP+5X6GZbQC08g6Ag4X9phvQsDcb/cL15xY2GA83OQTXhV8pQif4SD6Hz5z7noOiLnovblcHbIwIxlPBfVHGw==" saltValue="JPm/fgUAhAlXbb+aAnSL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207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q5Cg1l/6+oRyIhSepUld2N45IeiAPV3wEC1aeRd9Vv25tLHpSwD55sVFDdvJUw+8dBHs92ZymZRTWmn12p4pjQ==" saltValue="mbL29mkRsbKl8gpAXuI0K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pl99kTq/J6zq7X3F5lQUfdpiRghNHckvtw/2cNexawbzDN9rcQpdXyF9LUqRBDzZJjVpgu7ANNoetaraNGR3w==" saltValue="XJkKoPKAjIiSC5oK+Nwo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VhXkMPItJl22c1fudeIAXcAqg7Kn4c6b9iGnRbvXjH9vhzMMoWTgbHuUfrhOjzN0p/5RHuHQiymjF/JT0kCjQ==" saltValue="8rMFBHvf8ycvZvWebTYm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sp3HVIwxhnwbdjA2EHpU7Kvuq9MpedqfuGQoTEvJWdovxUXAj8MG7KgBssk50qjPGtb0HUoopHMTu7g47MeWw==" saltValue="im9UuibrusPY8s1sLo4Im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rSL18+gIsvNLkAptfs58VfLUVNOm2fJikRjkOt/IRPYfvbb+fP1P/GSSt7i2Qf1G+7jq3ux1t042kqV9kJ3ww==" saltValue="tNO6xx+CzobhCjKL+yft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cT8d3LmxsvIWQIJPfXcK1B5sG7APUK2AlRoM5uSOBHmTh8MBY0KDfsHuFFxFYBuqS/efLEPNJl7egKI8qaK9w==" saltValue="x5VtQ1jXQ1I+jJRWlnuk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7xY+NsiXHRwu9Z9ZFAu5DmKcKYkATDogbmJi//03pwxZ48EPB17QeZbGY2D8eP7PSfqCza66/MHR9XcKBMsvQ==" saltValue="zF3qoVebA5YQVsBEvmsG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0TVT7z/FcCOwbUXMOc4NmO7Qm65cf5MRgJiGMRDl+pwxtkkClCKb1EDc2PNd17SB5tKmnn3nVRHDDouPyg+7g==" saltValue="5SeAHNnoxTNkbvKy3DpdP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EMiztu3Sh0mtPYmQoJzD19OpjQcnEl+bsvZvLo6GO75J7eoj/WlI6EB4XRZXMlwJtCK3T16R7Shx90SDCj8fA==" saltValue="RvgQO+ONM3F/e7pgD/39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pnEtU+23ARLw7OpXmJ6atekCFaIuvAj/8tGBppLN8srmfz59gZRrKpweEZiyuWK3rSFGUOtVC7UxTa8wRGgBg==" saltValue="pPJKES+7e73Ty+NUeRrK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zBwhE1WIljHRb8VvqUQtwt+jK1nj7zwn1Hi3SDMBC1gEwllP/CW5aYbMkr1zUUXUCgASbbBog1kcWd8IRmHvg==" saltValue="I13V+LH6dM+Q1QzI+1Bk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UQ7LAe3RjLD1mWTydY5P94VntzrbBm+8lMgZqnD7gXL6QFq7LG0zL06dddj9bEdNWPzvHYpni3RSBPtcqCRYQ==" saltValue="m+X8+bC+hiKvp+eySJ8p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H3NN2r6Gltwm6RMtoS09C8qmvId2+/C9u9gIxq9HnoOBt+w2G6gKhtRtua0iUY5tP36W7o3xUlToN9pum+ezg==" saltValue="i99zDeUYB09k/1XkQd/a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Z3DCtMo1id6waZIi7KL4DplIzgo+o+LeYwZXYgrdRJXGTGDy6mjTRQGdZT6a+2YCgsubdTm8vzv1qIzIMtkLw==" saltValue="dCDXLLNCLMUs8/Crr7i5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0.10954060220162243</v>
      </c>
      <c r="G18" s="90">
        <f>MIN(MAX(1-0.89/(1-frac_sam_12_23months+(frac_sam_12_23months*0.89)),0),1)</f>
        <v>0.1097393530488282</v>
      </c>
      <c r="H18" s="90">
        <f>MIN(MAX(1-0.89/(1-frac_sam_24_59months+(frac_sam_24_59months*0.89)),0),1)</f>
        <v>0.10979644872657646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0.10819835824468149</v>
      </c>
      <c r="G20" s="90">
        <f>MIN(MAX(1-0.89/(1-frac_mam_12_23months+(frac_mam_12_23months*0.89)),0),1)</f>
        <v>0.10822733518866068</v>
      </c>
      <c r="H20" s="90">
        <f>MIN(MAX(1-0.89/(1-frac_mam_24_59months+(frac_mam_24_59months*0.89)),0),1)</f>
        <v>0.10869698451299314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9.9535658321910914E-3</v>
      </c>
      <c r="G73" s="90">
        <f>MIN(MAX(1-0.99/(1-frac_sam_12_23months+(frac_sam_12_23months*0.99)),0),1)</f>
        <v>9.973649458653866E-3</v>
      </c>
      <c r="H73" s="90">
        <f>MIN(MAX(1-0.99/(1-frac_sam_24_59months+(frac_sam_24_59months*0.99)),0),1)</f>
        <v>9.979420442212783E-3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9.8181461712714135E-3</v>
      </c>
      <c r="G75" s="90">
        <f>MIN(MAX(1-0.99/(1-frac_mam_12_23months+(frac_mam_12_23months*0.99)),0),1)</f>
        <v>9.8210657549715474E-3</v>
      </c>
      <c r="H75" s="90">
        <f>MIN(MAX(1-0.99/(1-frac_mam_24_59months+(frac_mam_24_59months*0.99)),0),1)</f>
        <v>9.8684095313634757E-3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0.19924887943388658</v>
      </c>
      <c r="G128" s="90">
        <f>MIN(MAX(1-0.8/(1-frac_sam_12_23months+(frac_sam_12_23months*0.8)),0),1)</f>
        <v>0.19957391718759721</v>
      </c>
      <c r="H128" s="90">
        <f>MIN(MAX(1-0.8/(1-frac_sam_24_59months+(frac_sam_24_59months*0.8)),0),1)</f>
        <v>0.19966726967069282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0.19705065464159011</v>
      </c>
      <c r="G130" s="90">
        <f>MIN(MAX(1-0.8/(1-frac_mam_12_23months+(frac_mam_12_23months*0.8)),0),1)</f>
        <v>0.19709816825775373</v>
      </c>
      <c r="H130" s="90">
        <f>MIN(MAX(1-0.8/(1-frac_mam_24_59months+(frac_mam_24_59months*0.8)),0),1)</f>
        <v>0.19786790079502914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AQ4h4oz/+MbXJL7f+gupATNyJ77qIBKJHZRuBdbF1bOkktKM1ToRv0Ubc6RPpFCm2C2p8CtqviO5mmrItgaJw==" saltValue="hXtXxmFRPJGaFp4u1rMu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fSNsl8ryLYYkhNCEAZxHP/tENQqGQvXxEcVm42CKR0hEwnDqd3d1X2l5Zk7gzWcVYXpI7ejTwri+DEH9AY0Wg==" saltValue="suKPid5p2AInPEXY9SCkd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2024-08-06T08:18:32Z</dcterms:modified>
</cp:coreProperties>
</file>