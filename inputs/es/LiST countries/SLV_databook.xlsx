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B3FDA085-CAB1-403D-B8CB-0830CA465F47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1" i="2"/>
  <c r="A26" i="2"/>
  <c r="A25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40" i="2" l="1"/>
  <c r="I13" i="2"/>
  <c r="A23" i="2"/>
  <c r="A24" i="2"/>
  <c r="I6" i="2"/>
  <c r="I12" i="2"/>
  <c r="A35" i="2"/>
  <c r="A36" i="2"/>
  <c r="A37" i="2"/>
  <c r="I7" i="2"/>
  <c r="I2" i="2"/>
  <c r="I8" i="2"/>
  <c r="A19" i="2"/>
  <c r="A22" i="2"/>
  <c r="I39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<sst xmlns="http://schemas.openxmlformats.org/spreadsheetml/2006/main" count="2169" uniqueCount="373">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</sst>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487742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0.61118221282958995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0.18099999999999999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0.1696</v>
      </c>
    </row>
    <row r="24" spans="1:3" ht="15" customHeight="1" x14ac:dyDescent="0.25">
      <c r="B24" s="15" t="s">
        <v>65</v>
      </c>
      <c r="C24" s="45">
        <v>0.5242</v>
      </c>
    </row>
    <row r="25" spans="1:3" ht="15" customHeight="1" x14ac:dyDescent="0.25">
      <c r="B25" s="15" t="s">
        <v>66</v>
      </c>
      <c r="C25" s="45">
        <v>0.2732</v>
      </c>
    </row>
    <row r="26" spans="1:3" ht="15" customHeight="1" x14ac:dyDescent="0.25">
      <c r="B26" s="15" t="s">
        <v>67</v>
      </c>
      <c r="C26" s="45">
        <v>3.3000000000000002E-2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0.25506849999999998</v>
      </c>
    </row>
    <row r="30" spans="1:3" ht="14.25" customHeight="1" x14ac:dyDescent="0.25">
      <c r="B30" s="25" t="s">
        <v>82</v>
      </c>
      <c r="C30" s="97">
        <v>0.13864399999999999</v>
      </c>
    </row>
    <row r="31" spans="1:3" ht="14.25" customHeight="1" x14ac:dyDescent="0.25">
      <c r="B31" s="25" t="s">
        <v>29</v>
      </c>
      <c r="C31" s="97">
        <v>0.123641</v>
      </c>
    </row>
    <row r="32" spans="1:3" ht="14.25" customHeight="1" x14ac:dyDescent="0.25">
      <c r="B32" s="25" t="s">
        <v>30</v>
      </c>
      <c r="C32" s="97">
        <v>0.48264649999999998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6.0968</v>
      </c>
    </row>
    <row r="38" spans="1:5" ht="15" customHeight="1" x14ac:dyDescent="0.25">
      <c r="B38" s="11" t="s">
        <v>54</v>
      </c>
      <c r="C38" s="43">
        <v>10.693809999999999</v>
      </c>
      <c r="D38" s="12"/>
      <c r="E38" s="13"/>
    </row>
    <row r="39" spans="1:5" ht="15" customHeight="1" x14ac:dyDescent="0.25">
      <c r="B39" s="11" t="s">
        <v>80</v>
      </c>
      <c r="C39" s="43">
        <v>12.426690000000001</v>
      </c>
      <c r="D39" s="12"/>
      <c r="E39" s="12"/>
    </row>
    <row r="40" spans="1:5" ht="15" customHeight="1" x14ac:dyDescent="0.25">
      <c r="B40" s="11" t="s">
        <v>55</v>
      </c>
      <c r="C40" s="98">
        <v>0.43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8.8528300000000009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6.8047999999999997E-3</v>
      </c>
      <c r="D45" s="12"/>
    </row>
    <row r="46" spans="1:5" ht="15.75" customHeight="1" x14ac:dyDescent="0.25">
      <c r="B46" s="11" t="s">
        <v>70</v>
      </c>
      <c r="C46" s="45">
        <v>7.3117000000000001E-2</v>
      </c>
      <c r="D46" s="12"/>
    </row>
    <row r="47" spans="1:5" ht="15.75" customHeight="1" x14ac:dyDescent="0.25">
      <c r="B47" s="11" t="s">
        <v>78</v>
      </c>
      <c r="C47" s="45">
        <v>7.4529800000000007E-2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0.564581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0.10295944</v>
      </c>
    </row>
    <row r="63" spans="1:4" ht="15.75" customHeight="1" x14ac:dyDescent="0.3">
      <c r="A63" s="4"/>
    </row>
  </sheetData>
  <sheetProtection algorithmName="SHA-512" hashValue="rdKHaXSqVv86VSfbvgsBjs+VdFr4L860wult4BUfIkGphLvgYNNZP6K3qFayp43yazMNq/lxAotBNQG/e8eTDA==" saltValue="WefvTk25TQP3MixH46QF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98858</v>
      </c>
      <c r="C2" s="49">
        <v>269962</v>
      </c>
      <c r="D2" s="49">
        <v>603935.5</v>
      </c>
      <c r="E2" s="49">
        <v>488045.50000000006</v>
      </c>
      <c r="F2" s="49">
        <v>411577.5</v>
      </c>
      <c r="G2" s="17">
        <f t="shared" ref="G2:G13" si="0">C2+D2+E2+F2</f>
        <v>1773520.5</v>
      </c>
      <c r="H2" s="17">
        <f t="shared" ref="H2:H13" si="1">(B2 + stillbirth*B2/(1000-stillbirth))/(1-abortion)</f>
        <v>113342.03412358668</v>
      </c>
      <c r="I2" s="17">
        <f t="shared" ref="I2:I13" si="2">G2-H2</f>
        <v>1660178.4658764133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97874</v>
      </c>
      <c r="C3" s="50">
        <v>268940.5</v>
      </c>
      <c r="D3" s="50">
        <v>593056.49999999988</v>
      </c>
      <c r="E3" s="50">
        <v>504276.5</v>
      </c>
      <c r="F3" s="50">
        <v>411981</v>
      </c>
      <c r="G3" s="17">
        <f t="shared" si="0"/>
        <v>1778254.5</v>
      </c>
      <c r="H3" s="17">
        <f t="shared" si="1"/>
        <v>112213.8648142985</v>
      </c>
      <c r="I3" s="17">
        <f t="shared" si="2"/>
        <v>1666040.6351857015</v>
      </c>
    </row>
    <row r="4" spans="1:9" ht="15.75" customHeight="1" x14ac:dyDescent="0.25">
      <c r="A4" s="5">
        <f t="shared" si="3"/>
        <v>2026</v>
      </c>
      <c r="B4" s="49">
        <v>96922</v>
      </c>
      <c r="C4" s="50">
        <v>268817.5</v>
      </c>
      <c r="D4" s="50">
        <v>580439.5</v>
      </c>
      <c r="E4" s="50">
        <v>520635.5</v>
      </c>
      <c r="F4" s="50">
        <v>412175.5</v>
      </c>
      <c r="G4" s="17">
        <f t="shared" si="0"/>
        <v>1782068</v>
      </c>
      <c r="H4" s="17">
        <f t="shared" si="1"/>
        <v>111122.38393783272</v>
      </c>
      <c r="I4" s="17">
        <f t="shared" si="2"/>
        <v>1670945.6160621673</v>
      </c>
    </row>
    <row r="5" spans="1:9" ht="15.75" customHeight="1" x14ac:dyDescent="0.25">
      <c r="A5" s="5">
        <f t="shared" si="3"/>
        <v>2027</v>
      </c>
      <c r="B5" s="49">
        <v>96073</v>
      </c>
      <c r="C5" s="50">
        <v>268104</v>
      </c>
      <c r="D5" s="50">
        <v>568098.99999999988</v>
      </c>
      <c r="E5" s="50">
        <v>536201.5</v>
      </c>
      <c r="F5" s="50">
        <v>412851.5</v>
      </c>
      <c r="G5" s="17">
        <f t="shared" si="0"/>
        <v>1785256</v>
      </c>
      <c r="H5" s="17">
        <f t="shared" si="1"/>
        <v>110148.99395451398</v>
      </c>
      <c r="I5" s="17">
        <f t="shared" si="2"/>
        <v>1675107.0060454861</v>
      </c>
    </row>
    <row r="6" spans="1:9" ht="15.75" customHeight="1" x14ac:dyDescent="0.25">
      <c r="A6" s="5">
        <f t="shared" si="3"/>
        <v>2028</v>
      </c>
      <c r="B6" s="49">
        <v>95219</v>
      </c>
      <c r="C6" s="50">
        <v>266995.5</v>
      </c>
      <c r="D6" s="50">
        <v>555755.5</v>
      </c>
      <c r="E6" s="50">
        <v>550496</v>
      </c>
      <c r="F6" s="50">
        <v>414476.5</v>
      </c>
      <c r="G6" s="17">
        <f t="shared" si="0"/>
        <v>1787723.5</v>
      </c>
      <c r="H6" s="17">
        <f t="shared" si="1"/>
        <v>109169.87140356674</v>
      </c>
      <c r="I6" s="17">
        <f t="shared" si="2"/>
        <v>1678553.6285964332</v>
      </c>
    </row>
    <row r="7" spans="1:9" ht="15.75" customHeight="1" x14ac:dyDescent="0.25">
      <c r="A7" s="5">
        <f t="shared" si="3"/>
        <v>2029</v>
      </c>
      <c r="B7" s="49">
        <v>94354</v>
      </c>
      <c r="C7" s="50">
        <v>266382</v>
      </c>
      <c r="D7" s="50">
        <v>542991.5</v>
      </c>
      <c r="E7" s="50">
        <v>563004</v>
      </c>
      <c r="F7" s="50">
        <v>417519.5</v>
      </c>
      <c r="G7" s="17">
        <f t="shared" si="0"/>
        <v>1789897</v>
      </c>
      <c r="H7" s="17">
        <f t="shared" si="1"/>
        <v>108178.13720383678</v>
      </c>
      <c r="I7" s="17">
        <f t="shared" si="2"/>
        <v>1681718.8627961632</v>
      </c>
    </row>
    <row r="8" spans="1:9" ht="15.75" customHeight="1" x14ac:dyDescent="0.25">
      <c r="A8" s="5">
        <f t="shared" si="3"/>
        <v>2030</v>
      </c>
      <c r="B8" s="49">
        <v>93334</v>
      </c>
      <c r="C8" s="50">
        <v>265354.5</v>
      </c>
      <c r="D8" s="50">
        <v>531150</v>
      </c>
      <c r="E8" s="50">
        <v>572703</v>
      </c>
      <c r="F8" s="50">
        <v>422440.5</v>
      </c>
      <c r="G8" s="17">
        <f t="shared" si="0"/>
        <v>1791648</v>
      </c>
      <c r="H8" s="17">
        <f t="shared" si="1"/>
        <v>107008.69340762345</v>
      </c>
      <c r="I8" s="17">
        <f t="shared" si="2"/>
        <v>1684639.3065923764</v>
      </c>
    </row>
    <row r="9" spans="1:9" ht="15.75" customHeight="1" x14ac:dyDescent="0.25">
      <c r="A9" s="5">
        <f t="shared" si="3"/>
        <v>2031</v>
      </c>
      <c r="B9" s="49">
        <v>92289</v>
      </c>
      <c r="C9" s="50">
        <v>262689.5</v>
      </c>
      <c r="D9" s="50">
        <v>521329.50000000006</v>
      </c>
      <c r="E9" s="50">
        <v>578640</v>
      </c>
      <c r="F9" s="50">
        <v>429515.5</v>
      </c>
      <c r="G9" s="17">
        <f t="shared" si="0"/>
        <v>1792174.5</v>
      </c>
      <c r="H9" s="17">
        <f t="shared" si="1"/>
        <v>105810.58677326763</v>
      </c>
      <c r="I9" s="17">
        <f t="shared" si="2"/>
        <v>1686363.9132267323</v>
      </c>
    </row>
    <row r="10" spans="1:9" ht="15.75" customHeight="1" x14ac:dyDescent="0.25">
      <c r="A10" s="5">
        <f t="shared" si="3"/>
        <v>2032</v>
      </c>
      <c r="B10" s="49">
        <v>91235</v>
      </c>
      <c r="C10" s="50">
        <v>258244.50000000003</v>
      </c>
      <c r="D10" s="50">
        <v>514225</v>
      </c>
      <c r="E10" s="50">
        <v>580036</v>
      </c>
      <c r="F10" s="50">
        <v>439191.00000000006</v>
      </c>
      <c r="G10" s="17">
        <f t="shared" si="0"/>
        <v>1791696.5</v>
      </c>
      <c r="H10" s="17">
        <f t="shared" si="1"/>
        <v>104602.1615171805</v>
      </c>
      <c r="I10" s="17">
        <f t="shared" si="2"/>
        <v>1687094.3384828195</v>
      </c>
    </row>
    <row r="11" spans="1:9" ht="15.75" customHeight="1" x14ac:dyDescent="0.25">
      <c r="A11" s="5">
        <f t="shared" si="3"/>
        <v>2033</v>
      </c>
      <c r="B11" s="49">
        <v>90070</v>
      </c>
      <c r="C11" s="50">
        <v>252727.5</v>
      </c>
      <c r="D11" s="50">
        <v>509759.5</v>
      </c>
      <c r="E11" s="50">
        <v>576649.5</v>
      </c>
      <c r="F11" s="50">
        <v>451783.5</v>
      </c>
      <c r="G11" s="17">
        <f t="shared" si="0"/>
        <v>1790920</v>
      </c>
      <c r="H11" s="17">
        <f t="shared" si="1"/>
        <v>103266.47325974077</v>
      </c>
      <c r="I11" s="17">
        <f t="shared" si="2"/>
        <v>1687653.5267402593</v>
      </c>
    </row>
    <row r="12" spans="1:9" ht="15.75" customHeight="1" x14ac:dyDescent="0.25">
      <c r="A12" s="5">
        <f t="shared" si="3"/>
        <v>2034</v>
      </c>
      <c r="B12" s="49">
        <v>88864</v>
      </c>
      <c r="C12" s="50">
        <v>246742.5</v>
      </c>
      <c r="D12" s="50">
        <v>507173</v>
      </c>
      <c r="E12" s="50">
        <v>569307.5</v>
      </c>
      <c r="F12" s="50">
        <v>466769</v>
      </c>
      <c r="G12" s="17">
        <f t="shared" si="0"/>
        <v>1789992</v>
      </c>
      <c r="H12" s="17">
        <f t="shared" si="1"/>
        <v>101883.77794774732</v>
      </c>
      <c r="I12" s="17">
        <f t="shared" si="2"/>
        <v>1688108.2220522526</v>
      </c>
    </row>
    <row r="13" spans="1:9" ht="15.75" customHeight="1" x14ac:dyDescent="0.25">
      <c r="A13" s="5">
        <f t="shared" si="3"/>
        <v>2035</v>
      </c>
      <c r="B13" s="49">
        <v>87549</v>
      </c>
      <c r="C13" s="50">
        <v>240962.5</v>
      </c>
      <c r="D13" s="50">
        <v>505519.5</v>
      </c>
      <c r="E13" s="50">
        <v>559065</v>
      </c>
      <c r="F13" s="50">
        <v>483098.50000000006</v>
      </c>
      <c r="G13" s="17">
        <f t="shared" si="0"/>
        <v>1788645.5</v>
      </c>
      <c r="H13" s="17">
        <f t="shared" si="1"/>
        <v>100376.11266145267</v>
      </c>
      <c r="I13" s="17">
        <f t="shared" si="2"/>
        <v>1688269.3873385473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00fy4MMmFuzNYyRwedjCauJTHW7rUs6SHY5Tw9BqIHH9CaunNlIfUkM00jgxarY9o5927x64ixrZGDBmKtkmg==" saltValue="eXrg9vj6j+pL65B/HYmhh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6.0063494121611181E-2</v>
      </c>
    </row>
    <row r="5" spans="1:8" ht="15.75" customHeight="1" x14ac:dyDescent="0.25">
      <c r="B5" s="19" t="s">
        <v>114</v>
      </c>
      <c r="C5" s="99">
        <v>2.2386320070241359E-2</v>
      </c>
    </row>
    <row r="6" spans="1:8" ht="15.75" customHeight="1" x14ac:dyDescent="0.25">
      <c r="B6" s="19" t="s">
        <v>110</v>
      </c>
      <c r="C6" s="99">
        <v>0.1570764170522494</v>
      </c>
    </row>
    <row r="7" spans="1:8" ht="15.75" customHeight="1" x14ac:dyDescent="0.25">
      <c r="B7" s="19" t="s">
        <v>115</v>
      </c>
      <c r="C7" s="99">
        <v>0.4339066453125362</v>
      </c>
    </row>
    <row r="8" spans="1:8" ht="15.75" customHeight="1" x14ac:dyDescent="0.25">
      <c r="B8" s="19" t="s">
        <v>117</v>
      </c>
      <c r="C8" s="99">
        <v>1.388748822441363E-2</v>
      </c>
    </row>
    <row r="9" spans="1:8" ht="15.75" customHeight="1" x14ac:dyDescent="0.25">
      <c r="B9" s="19" t="s">
        <v>111</v>
      </c>
      <c r="C9" s="99">
        <v>0.23970991838528249</v>
      </c>
    </row>
    <row r="10" spans="1:8" ht="15.75" customHeight="1" x14ac:dyDescent="0.25">
      <c r="B10" s="19" t="s">
        <v>113</v>
      </c>
      <c r="C10" s="99">
        <v>7.2969716833665876E-2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0.12782094524161741</v>
      </c>
      <c r="D14" s="55">
        <v>0.12782094524161741</v>
      </c>
      <c r="E14" s="55">
        <v>0.12782094524161741</v>
      </c>
      <c r="F14" s="55">
        <v>0.12782094524161741</v>
      </c>
    </row>
    <row r="15" spans="1:8" ht="15.75" customHeight="1" x14ac:dyDescent="0.25">
      <c r="B15" s="19" t="s">
        <v>121</v>
      </c>
      <c r="C15" s="99">
        <v>0.34560388448770779</v>
      </c>
      <c r="D15" s="99">
        <v>0.34560388448770779</v>
      </c>
      <c r="E15" s="99">
        <v>0.34560388448770779</v>
      </c>
      <c r="F15" s="99">
        <v>0.34560388448770779</v>
      </c>
    </row>
    <row r="16" spans="1:8" ht="15.75" customHeight="1" x14ac:dyDescent="0.25">
      <c r="B16" s="19" t="s">
        <v>2</v>
      </c>
      <c r="C16" s="99">
        <v>2.5968674262964481E-2</v>
      </c>
      <c r="D16" s="99">
        <v>2.5968674262964481E-2</v>
      </c>
      <c r="E16" s="99">
        <v>2.5968674262964481E-2</v>
      </c>
      <c r="F16" s="99">
        <v>2.5968674262964481E-2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2.8174465858020581E-2</v>
      </c>
      <c r="D19" s="99">
        <v>2.8174465858020581E-2</v>
      </c>
      <c r="E19" s="99">
        <v>2.8174465858020581E-2</v>
      </c>
      <c r="F19" s="99">
        <v>2.8174465858020581E-2</v>
      </c>
    </row>
    <row r="20" spans="1:8" ht="15.75" customHeight="1" x14ac:dyDescent="0.25">
      <c r="B20" s="19" t="s">
        <v>98</v>
      </c>
      <c r="C20" s="99">
        <v>9.5940826408684121E-2</v>
      </c>
      <c r="D20" s="99">
        <v>9.5940826408684121E-2</v>
      </c>
      <c r="E20" s="99">
        <v>9.5940826408684121E-2</v>
      </c>
      <c r="F20" s="99">
        <v>9.5940826408684121E-2</v>
      </c>
    </row>
    <row r="21" spans="1:8" ht="15.75" customHeight="1" x14ac:dyDescent="0.25">
      <c r="B21" s="19" t="s">
        <v>107</v>
      </c>
      <c r="C21" s="99">
        <v>0.28728678792431572</v>
      </c>
      <c r="D21" s="99">
        <v>0.28728678792431572</v>
      </c>
      <c r="E21" s="99">
        <v>0.28728678792431572</v>
      </c>
      <c r="F21" s="99">
        <v>0.28728678792431572</v>
      </c>
    </row>
    <row r="22" spans="1:8" ht="15.75" customHeight="1" x14ac:dyDescent="0.25">
      <c r="B22" s="19" t="s">
        <v>118</v>
      </c>
      <c r="C22" s="99">
        <v>8.9204415816689656E-2</v>
      </c>
      <c r="D22" s="99">
        <v>8.9204415816689656E-2</v>
      </c>
      <c r="E22" s="99">
        <v>8.9204415816689656E-2</v>
      </c>
      <c r="F22" s="99">
        <v>8.9204415816689656E-2</v>
      </c>
    </row>
    <row r="23" spans="1:8" ht="15.75" customHeight="1" x14ac:dyDescent="0.25">
      <c r="B23" s="27" t="s">
        <v>79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5.3793739E-2</v>
      </c>
    </row>
    <row r="27" spans="1:8" ht="15.75" customHeight="1" x14ac:dyDescent="0.25">
      <c r="B27" s="19" t="s">
        <v>108</v>
      </c>
      <c r="C27" s="99">
        <v>1.9276288999999999E-2</v>
      </c>
    </row>
    <row r="28" spans="1:8" ht="15.75" customHeight="1" x14ac:dyDescent="0.25">
      <c r="B28" s="19" t="s">
        <v>122</v>
      </c>
      <c r="C28" s="99">
        <v>0.179864307</v>
      </c>
    </row>
    <row r="29" spans="1:8" ht="15.75" customHeight="1" x14ac:dyDescent="0.25">
      <c r="B29" s="19" t="s">
        <v>105</v>
      </c>
      <c r="C29" s="99">
        <v>0.23533279200000001</v>
      </c>
    </row>
    <row r="30" spans="1:8" ht="15.75" customHeight="1" x14ac:dyDescent="0.25">
      <c r="B30" s="19" t="s">
        <v>4</v>
      </c>
      <c r="C30" s="99">
        <v>6.8817955E-2</v>
      </c>
    </row>
    <row r="31" spans="1:8" ht="15.75" customHeight="1" x14ac:dyDescent="0.25">
      <c r="B31" s="19" t="s">
        <v>99</v>
      </c>
      <c r="C31" s="99">
        <v>4.4797729000000001E-2</v>
      </c>
    </row>
    <row r="32" spans="1:8" ht="15.75" customHeight="1" x14ac:dyDescent="0.25">
      <c r="B32" s="19" t="s">
        <v>104</v>
      </c>
      <c r="C32" s="99">
        <v>1.9724179000000001E-2</v>
      </c>
    </row>
    <row r="33" spans="2:3" ht="15.75" customHeight="1" x14ac:dyDescent="0.25">
      <c r="B33" s="19" t="s">
        <v>119</v>
      </c>
      <c r="C33" s="99">
        <v>0.148522658</v>
      </c>
    </row>
    <row r="34" spans="2:3" ht="15.75" customHeight="1" x14ac:dyDescent="0.25">
      <c r="B34" s="19" t="s">
        <v>106</v>
      </c>
      <c r="C34" s="99">
        <v>0.229870352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X0+ypsvWbcnfTrSFiBJh11PDt2ROz0FZh27ZMRm4JHoaoW0GlLEUg9ROqmB88jPGlYBoKiTppCU0U/a0Q3S29A==" saltValue="1cIrK/B7gr0J2YK6GCow9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0.60826075484059894</v>
      </c>
      <c r="D2" s="52">
        <f>IFERROR(1-_xlfn.NORM.DIST(_xlfn.NORM.INV(SUM(D4:D5), 0, 1) + 1, 0, 1, TRUE), "")</f>
        <v>0.60826075484059894</v>
      </c>
      <c r="E2" s="52">
        <f>IFERROR(1-_xlfn.NORM.DIST(_xlfn.NORM.INV(SUM(E4:E5), 0, 1) + 1, 0, 1, TRUE), "")</f>
        <v>0.66064938667377682</v>
      </c>
      <c r="F2" s="52">
        <f>IFERROR(1-_xlfn.NORM.DIST(_xlfn.NORM.INV(SUM(F4:F5), 0, 1) + 1, 0, 1, TRUE), "")</f>
        <v>0.50696354384395903</v>
      </c>
      <c r="G2" s="52">
        <f>IFERROR(1-_xlfn.NORM.DIST(_xlfn.NORM.INV(SUM(G4:G5), 0, 1) + 1, 0, 1, TRUE), "")</f>
        <v>0.5225497464812574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0.29054724515940106</v>
      </c>
      <c r="D3" s="52">
        <f>IFERROR(_xlfn.NORM.DIST(_xlfn.NORM.INV(SUM(D4:D5), 0, 1) + 1, 0, 1, TRUE) - SUM(D4:D5), "")</f>
        <v>0.29054724515940106</v>
      </c>
      <c r="E3" s="52">
        <f>IFERROR(_xlfn.NORM.DIST(_xlfn.NORM.INV(SUM(E4:E5), 0, 1) + 1, 0, 1, TRUE) - SUM(E4:E5), "")</f>
        <v>0.26070431332622312</v>
      </c>
      <c r="F3" s="52">
        <f>IFERROR(_xlfn.NORM.DIST(_xlfn.NORM.INV(SUM(F4:F5), 0, 1) + 1, 0, 1, TRUE) - SUM(F4:F5), "")</f>
        <v>0.33856815615604102</v>
      </c>
      <c r="G3" s="52">
        <f>IFERROR(_xlfn.NORM.DIST(_xlfn.NORM.INV(SUM(G4:G5), 0, 1) + 1, 0, 1, TRUE) - SUM(G4:G5), "")</f>
        <v>0.33209265351874251</v>
      </c>
    </row>
    <row r="4" spans="1:15" ht="15.75" customHeight="1" x14ac:dyDescent="0.25">
      <c r="B4" s="5" t="s">
        <v>129</v>
      </c>
      <c r="C4" s="45">
        <v>5.9108500000000001E-2</v>
      </c>
      <c r="D4" s="53">
        <v>5.9108500000000001E-2</v>
      </c>
      <c r="E4" s="53">
        <v>6.2748399999999996E-2</v>
      </c>
      <c r="F4" s="53">
        <v>0.1231801</v>
      </c>
      <c r="G4" s="53">
        <v>0.1197159</v>
      </c>
    </row>
    <row r="5" spans="1:15" ht="15.75" customHeight="1" x14ac:dyDescent="0.25">
      <c r="B5" s="5" t="s">
        <v>125</v>
      </c>
      <c r="C5" s="45">
        <v>4.2083500000000003E-2</v>
      </c>
      <c r="D5" s="53">
        <v>4.2083500000000003E-2</v>
      </c>
      <c r="E5" s="53">
        <v>1.58979E-2</v>
      </c>
      <c r="F5" s="53">
        <v>3.1288200000000002E-2</v>
      </c>
      <c r="G5" s="53">
        <v>2.56417E-2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0.70899282567596544</v>
      </c>
      <c r="D8" s="52">
        <f>IFERROR(1-_xlfn.NORM.DIST(_xlfn.NORM.INV(SUM(D10:D11), 0, 1) + 1, 0, 1, TRUE), "")</f>
        <v>0.70899282567596544</v>
      </c>
      <c r="E8" s="52">
        <f>IFERROR(1-_xlfn.NORM.DIST(_xlfn.NORM.INV(SUM(E10:E11), 0, 1) + 1, 0, 1, TRUE), "")</f>
        <v>0.83997869295901217</v>
      </c>
      <c r="F8" s="52">
        <f>IFERROR(1-_xlfn.NORM.DIST(_xlfn.NORM.INV(SUM(F10:F11), 0, 1) + 1, 0, 1, TRUE), "")</f>
        <v>0.85056274921875852</v>
      </c>
      <c r="G8" s="52">
        <f>IFERROR(1-_xlfn.NORM.DIST(_xlfn.NORM.INV(SUM(G10:G11), 0, 1) + 1, 0, 1, TRUE), "")</f>
        <v>0.87706731255777304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0.23048977432403456</v>
      </c>
      <c r="D9" s="52">
        <f>IFERROR(_xlfn.NORM.DIST(_xlfn.NORM.INV(SUM(D10:D11), 0, 1) + 1, 0, 1, TRUE) - SUM(D10:D11), "")</f>
        <v>0.23048977432403456</v>
      </c>
      <c r="E9" s="52">
        <f>IFERROR(_xlfn.NORM.DIST(_xlfn.NORM.INV(SUM(E10:E11), 0, 1) + 1, 0, 1, TRUE) - SUM(E10:E11), "")</f>
        <v>0.13696550704098784</v>
      </c>
      <c r="F9" s="52">
        <f>IFERROR(_xlfn.NORM.DIST(_xlfn.NORM.INV(SUM(F10:F11), 0, 1) + 1, 0, 1, TRUE) - SUM(F10:F11), "")</f>
        <v>0.12870475078124149</v>
      </c>
      <c r="G9" s="52">
        <f>IFERROR(_xlfn.NORM.DIST(_xlfn.NORM.INV(SUM(G10:G11), 0, 1) + 1, 0, 1, TRUE) - SUM(G10:G11), "")</f>
        <v>0.10756378744222694</v>
      </c>
    </row>
    <row r="10" spans="1:15" ht="15.75" customHeight="1" x14ac:dyDescent="0.25">
      <c r="B10" s="5" t="s">
        <v>126</v>
      </c>
      <c r="C10" s="45">
        <v>4.39342E-2</v>
      </c>
      <c r="D10" s="53">
        <v>4.39342E-2</v>
      </c>
      <c r="E10" s="53">
        <v>1.8365699999999999E-2</v>
      </c>
      <c r="F10" s="53">
        <v>1.8070900000000001E-2</v>
      </c>
      <c r="G10" s="53">
        <v>1.32902E-2</v>
      </c>
    </row>
    <row r="11" spans="1:15" ht="15.75" customHeight="1" x14ac:dyDescent="0.25">
      <c r="B11" s="5" t="s">
        <v>138</v>
      </c>
      <c r="C11" s="45">
        <v>1.6583199999999999E-2</v>
      </c>
      <c r="D11" s="53">
        <v>1.6583199999999999E-2</v>
      </c>
      <c r="E11" s="53">
        <v>4.6901E-3</v>
      </c>
      <c r="F11" s="53">
        <v>2.6616000000000001E-3</v>
      </c>
      <c r="G11" s="53">
        <v>2.0787000000000002E-3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0.62117420374999999</v>
      </c>
      <c r="D14" s="54">
        <v>0.58930203002600001</v>
      </c>
      <c r="E14" s="54">
        <v>0.58930203002600001</v>
      </c>
      <c r="F14" s="54">
        <v>0.24906386424599999</v>
      </c>
      <c r="G14" s="54">
        <v>0.24906386424599999</v>
      </c>
      <c r="H14" s="45">
        <v>0.28999999999999998</v>
      </c>
      <c r="I14" s="55">
        <v>0.28999999999999998</v>
      </c>
      <c r="J14" s="55">
        <v>0.28999999999999998</v>
      </c>
      <c r="K14" s="55">
        <v>0.28999999999999998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0.35070315312737876</v>
      </c>
      <c r="D15" s="52">
        <f t="shared" si="0"/>
        <v>0.33270872941410912</v>
      </c>
      <c r="E15" s="52">
        <f t="shared" si="0"/>
        <v>0.33270872941410912</v>
      </c>
      <c r="F15" s="52">
        <f t="shared" si="0"/>
        <v>0.14061672553987092</v>
      </c>
      <c r="G15" s="52">
        <f t="shared" si="0"/>
        <v>0.14061672553987092</v>
      </c>
      <c r="H15" s="52">
        <f t="shared" si="0"/>
        <v>0.16372848999999998</v>
      </c>
      <c r="I15" s="52">
        <f t="shared" si="0"/>
        <v>0.16372848999999998</v>
      </c>
      <c r="J15" s="52">
        <f t="shared" si="0"/>
        <v>0.16372848999999998</v>
      </c>
      <c r="K15" s="52">
        <f t="shared" si="0"/>
        <v>0.16372848999999998</v>
      </c>
      <c r="L15" s="52">
        <f t="shared" si="0"/>
        <v>0.126466144</v>
      </c>
      <c r="M15" s="52">
        <f t="shared" si="0"/>
        <v>0.126466144</v>
      </c>
      <c r="N15" s="52">
        <f t="shared" si="0"/>
        <v>0.126466144</v>
      </c>
      <c r="O15" s="52">
        <f t="shared" si="0"/>
        <v>0.126466144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hRHFxvFJFOr/DVUaOeNudOvhXa8egXDY70afG8ZxWVFfslF3HqWhUOkJJFV5HaBddGbqwZ+1T8/MnncDXJy4Q==" saltValue="oJ7SzRkvPPGKOb77CUVc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0.67244680000000001</v>
      </c>
      <c r="D2" s="53">
        <v>0.43595139999999999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0.10238170000000001</v>
      </c>
      <c r="D3" s="53">
        <v>0.1227183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0.1800448</v>
      </c>
      <c r="D4" s="53">
        <v>0.38478410000000002</v>
      </c>
      <c r="E4" s="53">
        <v>0.86345870000000002</v>
      </c>
      <c r="F4" s="53">
        <v>0.66789280000000006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4.5126699999999964E-2</v>
      </c>
      <c r="D5" s="52">
        <f t="shared" si="0"/>
        <v>5.654619999999988E-2</v>
      </c>
      <c r="E5" s="52">
        <f>1-SUM(E2:E4)</f>
        <v>0.13654129999999998</v>
      </c>
      <c r="F5" s="52">
        <f>1-SUM(F2:F4)</f>
        <v>0.33210719999999994</v>
      </c>
      <c r="G5" s="52">
        <f>1-SUM(G2:G4)</f>
        <v>1</v>
      </c>
    </row>
  </sheetData>
  <sheetProtection algorithmName="SHA-512" hashValue="a91J77SHDCXptD/3txSfyl9itdnbJFNni3xRrQlSJ7GKTBpWNoTIAMr37sagnxRMpD3EI09ivLzKX+ryVS08Sg==" saltValue="f+Kd2ghezQk9NF4DS+imB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G8jcvG60ZFWI7eRqxeXCd+AxPhEIfDZVboIabhRtprl50RU2jLf1WanlWCLzy2cvywqMZ5EbXiUBKx/NElcCw==" saltValue="jf7Rnpwn6idXYLm88ai7E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5127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0.52293000000000001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0.50070000000000003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1.4783849910393516E-2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98676.861529999995</v>
      </c>
      <c r="C22" s="107">
        <v>98567.023329999996</v>
      </c>
      <c r="D22" s="107">
        <v>98359.311860000002</v>
      </c>
      <c r="E22" s="107">
        <v>97708.946790000002</v>
      </c>
      <c r="F22" s="107">
        <v>96929.74596</v>
      </c>
      <c r="G22" s="107">
        <v>96119.076090000002</v>
      </c>
      <c r="H22" s="107">
        <v>94867.496249999997</v>
      </c>
      <c r="I22" s="107">
        <v>93192.476330000005</v>
      </c>
      <c r="J22" s="107">
        <v>91435.740420000002</v>
      </c>
      <c r="K22" s="107">
        <v>89414.341130000001</v>
      </c>
      <c r="L22" s="107">
        <v>86748.167310000004</v>
      </c>
      <c r="M22" s="107">
        <v>83106.180689999994</v>
      </c>
      <c r="N22" s="107">
        <v>78358.569910000006</v>
      </c>
      <c r="O22" s="107">
        <v>71847.438460000005</v>
      </c>
    </row>
  </sheetData>
  <sheetProtection algorithmName="SHA-512" hashValue="Zu+79SBiMjIRJqvqsEobj6ckHVJbrG5YVp4wAq33uDmR5MWOt6jOZ7ArKzcmZ1G18Fs+FUwxMA049gUqKP9NOA==" saltValue="G4hp3yoxaNy583IGCoXuL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1Gk76BYvehA0aXt+7XuoopEMXkdmKZlIWVuXiMOd9eNWW/7eoNF3ltT7oeUAiGZGxBCPqxEfKcgbwBfibCo54Q==" saltValue="vlgRx1ftIUIEs0DyWAyuc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D5+Nd8Z5EIMsiu9csjVFMnKzhZ1mi5YhQGdZsTs4Pi1NnXEIt9QOWw4tw22Bh4O35Wv7QitH8sLQDk2Dl5C7PA==" saltValue="oVFSEjipbYoybc19cIlFp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13.02380484737747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13.02380484737747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13.02380484737747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13.02380484737747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13.02380484737747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13.02380484737747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0.30020833333333302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0.43595139999999999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0.43595139999999999</v>
      </c>
      <c r="C19" s="96">
        <v>0.95</v>
      </c>
      <c r="D19" s="56">
        <v>9.7344812256272366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4.2866035394646582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0.69745919383433996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0.69842299999999991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0.72850910000000002</v>
      </c>
      <c r="C29" s="96">
        <v>0.95</v>
      </c>
      <c r="D29" s="56">
        <v>114.80634956846561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1.9300000000000001E-2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0.90699580000000002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0.41810140000000001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4.23329E-2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0.92794939999999992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0.32745109999999999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OPCpUZwoxpRVggnYJP4Ks1y/IvtRv9jhF7Q180UY4bVSsil744EW2qS9DUfTqGCVK4VYwm9CWcnWlRTZ6eNwIg==" saltValue="nZjY8pwAPXEsq8/tUG66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5nEiS71XysUNN4oAAPRURFOf1q7KpQtZQDcelkBvz6BOR/PsvOuPvsGSlz3PRIPP3MZohII352RA4N4A0TVxCQ==" saltValue="y7g4Q7Vsfo5cDFj/JvYxd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sSMHHTaAHzrXj/NQE7S2gyPMbLAQKFWIl9fBuKHJ7qL6r/+ThJpOw1ShY/qps8JHq1ZdC27Xh6DzY8mwoKCsg==" saltValue="TL1dbHB7HUiM4rQD+9UUf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0.11422892</v>
      </c>
      <c r="C3" s="21">
        <f>frac_mam_1_5months * 2.6</f>
        <v>0.11422892</v>
      </c>
      <c r="D3" s="21">
        <f>frac_mam_6_11months * 2.6</f>
        <v>4.7750819999999999E-2</v>
      </c>
      <c r="E3" s="21">
        <f>frac_mam_12_23months * 2.6</f>
        <v>4.6984340000000006E-2</v>
      </c>
      <c r="F3" s="21">
        <f>frac_mam_24_59months * 2.6</f>
        <v>3.4554520000000005E-2</v>
      </c>
    </row>
    <row r="4" spans="1:6" ht="15.75" customHeight="1" x14ac:dyDescent="0.25">
      <c r="A4" s="3" t="s">
        <v>236</v>
      </c>
      <c r="B4" s="21">
        <f>frac_sam_1month * 2.6</f>
        <v>4.311632E-2</v>
      </c>
      <c r="C4" s="21">
        <f>frac_sam_1_5months * 2.6</f>
        <v>4.311632E-2</v>
      </c>
      <c r="D4" s="21">
        <f>frac_sam_6_11months * 2.6</f>
        <v>1.219426E-2</v>
      </c>
      <c r="E4" s="21">
        <f>frac_sam_12_23months * 2.6</f>
        <v>6.9201600000000007E-3</v>
      </c>
      <c r="F4" s="21">
        <f>frac_sam_24_59months * 2.6</f>
        <v>5.4046200000000006E-3</v>
      </c>
    </row>
  </sheetData>
  <sheetProtection algorithmName="SHA-512" hashValue="GZdS1KH7luMXJ3Q99ncL92TRQ8P5jm2nBbKjbpZirOqzXs2Yt7RxJNwoNf1ojC1k28uT7fKYZbQ3GLth3xbeKQ==" saltValue="IHVSGxgxGQXEBgdFxg4rT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0.18099999999999999</v>
      </c>
      <c r="M24" s="60">
        <f>famplan_unmet_need</f>
        <v>0.18099999999999999</v>
      </c>
      <c r="N24" s="60">
        <f>famplan_unmet_need</f>
        <v>0.18099999999999999</v>
      </c>
      <c r="O24" s="60">
        <f>famplan_unmet_need</f>
        <v>0.18099999999999999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0.19174549174308769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8.2176639318466152E-2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0.11489565610885616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0.61118221282958984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MfafU9mj4rmKFZKR5WS23VskeytOlIAOM5+1dSttBrwykeLeAudNxPeBP5Jl/YAgYn8ShQU+f+ozbmB3DMhgQ==" saltValue="ZJioUB4XSvyCn8eTIbK99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IS9YZ1Yo4FP497aqkCmPwZP0nwz/KGrchSf1ch1mWWuXRNxAwb7JdlmwSdE0iREGTrabv5EX96OtqyE51AAaew==" saltValue="RRd8w0yupqlw23pdh3mOH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69T7WW18IIN8AeHoFZODPNLf29CchywYV8cDo1bh+0RulYzYVsbEQmzm3/wCwGuNRzsw4SZmRc2xu3uV6S8Ig==" saltValue="iv3XAIi4paoLO5ogV+3hG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2GglQzfZOAuKjaE1bi8Yf73kwX4ySUnPRhR/WpF/519SGWoAG/a2Xt8IEYtWKKM+9+59pJatTbtD5I5qvJc2ew==" saltValue="IKi6JUpaP9jtLHEZSTI2C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x8CLDFUkEkVUf7lrq1MT9pUYtwKRpLQbcQHrjuKpM7WMTjO0/MaUM6Nlg+36jPc3IAPB7kKZRDoz2sZdBxeUCw==" saltValue="7K7wGfi/vGdwtsrzXC4gV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rauD04q29s1iN4K/gDot0fp9ghCAImds5lQBXtGWORqdzTmNH9+QBbmpc6/+WkF4kL18G+mJp/IfxHBYzppTPw==" saltValue="vizKfr7NLEW4ls45VuvJ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jwXO1Mo0KKZecYHBsOhcCr97RZkTp5HI6NU02rHj52zBmswhjHCPAKe2Q+x0czxXyj+f/13SW8YZdH1TdyRng==" saltValue="krkJBwuAQbUgQgKFMq8Bt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Kg3G+Jyh1YxTOuUBdOVhXKPomkOY8c4Ugy6z4yI6uEy6H/2NgGMaRyZyM6w4bcs+/XHRP65ETqA4BEQ8/DeRnA==" saltValue="0FIFz6dMA1yZKScBnlL9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Gd0exunl7AFDV8CmtK8Z0njLDWTqQNFRoawUuzi3xVtrwnSLSVNqs8cEd5Me2zGRRi6B3WAq2BXvTde7tMRlw==" saltValue="BkMzgvx3y6v9/kx3c7Z0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5ZkYVhuLzIaenoiV+5ocGd00X5sVuKLZIOQdtu1mjoWgKlRYEkDUCYoIURRhBFLA5NAD/gquoUTNL/OJ54yVLw==" saltValue="3i/Tsfo1BbXrydR2Rj67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0AznhSKihIbSK+IZAgbS1KN8ki9/rSgNsse2WhENcgnNlFl27W7ZvRSGv9ney/m6Fbg/7WabEXYaV9keW+0qGw==" saltValue="2o4FdET8tL35teWX/LSn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vHx1lYSJwpsOHp5OE5JlRz6ZSn0remP0DrE29yQ3jKstHfS1OCHRYe68TVPhsBayc1cEa03rFKkqkkiAihyXA==" saltValue="fmp7TMrT9LnQELwkOOWz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zY1GigCSgTUTVAAs1J2JsrNREMikwtg6Wb7yhgncEvs3ZK7L6AhVllTB+MmPJgLC+duOTNAaV4ZhNSfqQ6QEQ==" saltValue="jL6Re3YO5WzCrZoQkN9Zd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cVePcYKLj9ynRRQWvNOXMG2Y8djiU35GTqjg3KejWSpOS3jntLaCx1pzghh0quRteATORQ2kmS8ucHPUivjo9A==" saltValue="bllfMhqdA5PJtujyoats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Ec6kF45IplsnWxh6OdQuW774+d8tcwyFZC9GlIdIOnW0DXD1q0klxwwsJHp7PzPeKN0DQ5vG3d3hyUyP26lT/A==" saltValue="WzfmYAilteBhVnkmI0HxV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2026-04-29T03:41:20Z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