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628C11D-2871-418B-A700-197C5725BBD9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<sst xmlns="http://schemas.openxmlformats.org/spreadsheetml/2006/main" count="2102" uniqueCount="341">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</sst>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488493.625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0.61118221282958995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0.1696</v>
      </c>
    </row>
    <row r="24" spans="1:3" ht="15" customHeight="1" x14ac:dyDescent="0.25">
      <c r="B24" s="15" t="s">
        <v>46</v>
      </c>
      <c r="C24" s="45">
        <v>0.5242</v>
      </c>
    </row>
    <row r="25" spans="1:3" ht="15" customHeight="1" x14ac:dyDescent="0.25">
      <c r="B25" s="15" t="s">
        <v>47</v>
      </c>
      <c r="C25" s="45">
        <v>0.2732</v>
      </c>
    </row>
    <row r="26" spans="1:3" ht="15" customHeight="1" x14ac:dyDescent="0.25">
      <c r="B26" s="15" t="s">
        <v>48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0.25506849999999998</v>
      </c>
    </row>
    <row r="30" spans="1:3" ht="14.25" customHeight="1" x14ac:dyDescent="0.25">
      <c r="B30" s="25" t="s">
        <v>63</v>
      </c>
      <c r="C30" s="99">
        <v>0.13864399999999999</v>
      </c>
    </row>
    <row r="31" spans="1:3" ht="14.25" customHeight="1" x14ac:dyDescent="0.25">
      <c r="B31" s="25" t="s">
        <v>10</v>
      </c>
      <c r="C31" s="99">
        <v>0.123641</v>
      </c>
    </row>
    <row r="32" spans="1:3" ht="14.25" customHeight="1" x14ac:dyDescent="0.25">
      <c r="B32" s="25" t="s">
        <v>11</v>
      </c>
      <c r="C32" s="99">
        <v>0.48264649999999998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6.0968</v>
      </c>
    </row>
    <row r="38" spans="1:5" ht="15" customHeight="1" x14ac:dyDescent="0.25">
      <c r="B38" s="11" t="s">
        <v>35</v>
      </c>
      <c r="C38" s="43">
        <v>10.693809999999999</v>
      </c>
      <c r="D38" s="12"/>
      <c r="E38" s="13"/>
    </row>
    <row r="39" spans="1:5" ht="15" customHeight="1" x14ac:dyDescent="0.25">
      <c r="B39" s="11" t="s">
        <v>61</v>
      </c>
      <c r="C39" s="43">
        <v>12.426690000000001</v>
      </c>
      <c r="D39" s="12"/>
      <c r="E39" s="12"/>
    </row>
    <row r="40" spans="1:5" ht="15" customHeight="1" x14ac:dyDescent="0.25">
      <c r="B40" s="11" t="s">
        <v>36</v>
      </c>
      <c r="C40" s="100">
        <v>0.43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6.8047999999999997E-3</v>
      </c>
      <c r="D45" s="12"/>
    </row>
    <row r="46" spans="1:5" ht="15.75" customHeight="1" x14ac:dyDescent="0.25">
      <c r="B46" s="11" t="s">
        <v>51</v>
      </c>
      <c r="C46" s="45">
        <v>7.3117000000000001E-2</v>
      </c>
      <c r="D46" s="12"/>
    </row>
    <row r="47" spans="1:5" ht="15.75" customHeight="1" x14ac:dyDescent="0.25">
      <c r="B47" s="11" t="s">
        <v>59</v>
      </c>
      <c r="C47" s="45">
        <v>7.4529800000000007E-2</v>
      </c>
      <c r="D47" s="12"/>
      <c r="E47" s="13"/>
    </row>
    <row r="48" spans="1:5" ht="15" customHeight="1" x14ac:dyDescent="0.25">
      <c r="B48" s="11" t="s">
        <v>58</v>
      </c>
      <c r="C48" s="46">
        <v>0.84554839999999998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0.564581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0.10295944</v>
      </c>
    </row>
    <row r="63" spans="1:4" ht="15.75" customHeight="1" x14ac:dyDescent="0.3">
      <c r="A63" s="4"/>
    </row>
  </sheetData>
  <sheetProtection algorithmName="SHA-512" hashValue="BEALn1XHq/euwxXcpCMS27vvGhsuZYKBtXEO7DUAHJEB8vJSmaoNurGzglP2MCY32e/lAk3H3uBpD9I3IIWtkg==" saltValue="zObVGNG2UEsr+jMOnzAy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99127</v>
      </c>
      <c r="C2" s="49">
        <v>322716.5</v>
      </c>
      <c r="D2" s="49">
        <v>605811.5</v>
      </c>
      <c r="E2" s="49">
        <v>489735.5</v>
      </c>
      <c r="F2" s="49">
        <v>371314.5</v>
      </c>
      <c r="G2" s="17">
        <f t="shared" ref="G2:G13" si="0">C2+D2+E2+F2</f>
        <v>1789578</v>
      </c>
      <c r="H2" s="17">
        <f t="shared" ref="H2:H13" si="1">(B2 + stillbirth*B2/(1000-stillbirth))/(1-abortion)</f>
        <v>113650.44626199981</v>
      </c>
      <c r="I2" s="17">
        <f t="shared" ref="I2:I13" si="2">G2-H2</f>
        <v>1675927.5537380001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97997</v>
      </c>
      <c r="C3" s="50">
        <v>321442.00000000012</v>
      </c>
      <c r="D3" s="50">
        <v>594176.5</v>
      </c>
      <c r="E3" s="50">
        <v>505716.00000000012</v>
      </c>
      <c r="F3" s="50">
        <v>371364.5</v>
      </c>
      <c r="G3" s="17">
        <f t="shared" si="0"/>
        <v>1792699.0000000002</v>
      </c>
      <c r="H3" s="17">
        <f t="shared" si="1"/>
        <v>112354.88597795954</v>
      </c>
      <c r="I3" s="17">
        <f t="shared" si="2"/>
        <v>1680344.1140220407</v>
      </c>
    </row>
    <row r="4" spans="1:9" ht="15.75" customHeight="1" x14ac:dyDescent="0.25">
      <c r="A4" s="5">
        <f t="shared" si="3"/>
        <v>2026</v>
      </c>
      <c r="B4" s="49">
        <v>97406</v>
      </c>
      <c r="C4" s="50">
        <v>321267.00000000012</v>
      </c>
      <c r="D4" s="50">
        <v>580681.5</v>
      </c>
      <c r="E4" s="50">
        <v>521790.5</v>
      </c>
      <c r="F4" s="50">
        <v>370606.5</v>
      </c>
      <c r="G4" s="17">
        <f t="shared" si="0"/>
        <v>1794345.5</v>
      </c>
      <c r="H4" s="17">
        <f t="shared" si="1"/>
        <v>111677.29648427121</v>
      </c>
      <c r="I4" s="17">
        <f t="shared" si="2"/>
        <v>1682668.2035157287</v>
      </c>
    </row>
    <row r="5" spans="1:9" ht="15.75" customHeight="1" x14ac:dyDescent="0.25">
      <c r="A5" s="5">
        <f t="shared" si="3"/>
        <v>2027</v>
      </c>
      <c r="B5" s="49">
        <v>96505</v>
      </c>
      <c r="C5" s="50">
        <v>320638.49999999988</v>
      </c>
      <c r="D5" s="50">
        <v>567129.5</v>
      </c>
      <c r="E5" s="50">
        <v>536983.00000000012</v>
      </c>
      <c r="F5" s="50">
        <v>369746.5</v>
      </c>
      <c r="G5" s="17">
        <f t="shared" si="0"/>
        <v>1794497.5</v>
      </c>
      <c r="H5" s="17">
        <f t="shared" si="1"/>
        <v>110644.2877976161</v>
      </c>
      <c r="I5" s="17">
        <f t="shared" si="2"/>
        <v>1683853.2122023839</v>
      </c>
    </row>
    <row r="6" spans="1:9" ht="15.75" customHeight="1" x14ac:dyDescent="0.25">
      <c r="A6" s="5">
        <f t="shared" si="3"/>
        <v>2028</v>
      </c>
      <c r="B6" s="49">
        <v>95430</v>
      </c>
      <c r="C6" s="50">
        <v>319713.5</v>
      </c>
      <c r="D6" s="50">
        <v>553590</v>
      </c>
      <c r="E6" s="50">
        <v>550830</v>
      </c>
      <c r="F6" s="50">
        <v>369483</v>
      </c>
      <c r="G6" s="17">
        <f t="shared" si="0"/>
        <v>1793616.5</v>
      </c>
      <c r="H6" s="17">
        <f t="shared" si="1"/>
        <v>109411.78575748928</v>
      </c>
      <c r="I6" s="17">
        <f t="shared" si="2"/>
        <v>1684204.7142425107</v>
      </c>
    </row>
    <row r="7" spans="1:9" ht="15.75" customHeight="1" x14ac:dyDescent="0.25">
      <c r="A7" s="5">
        <f t="shared" si="3"/>
        <v>2029</v>
      </c>
      <c r="B7" s="49">
        <v>94555</v>
      </c>
      <c r="C7" s="50">
        <v>318898.49999999988</v>
      </c>
      <c r="D7" s="50">
        <v>539828.5</v>
      </c>
      <c r="E7" s="50">
        <v>562764.5</v>
      </c>
      <c r="F7" s="50">
        <v>370604</v>
      </c>
      <c r="G7" s="17">
        <f t="shared" si="0"/>
        <v>1792095.5</v>
      </c>
      <c r="H7" s="17">
        <f t="shared" si="1"/>
        <v>108408.58642250237</v>
      </c>
      <c r="I7" s="17">
        <f t="shared" si="2"/>
        <v>1683686.9135774977</v>
      </c>
    </row>
    <row r="8" spans="1:9" ht="15.75" customHeight="1" x14ac:dyDescent="0.25">
      <c r="A8" s="5">
        <f t="shared" si="3"/>
        <v>2030</v>
      </c>
      <c r="B8" s="49">
        <v>93781</v>
      </c>
      <c r="C8" s="50">
        <v>316838.5</v>
      </c>
      <c r="D8" s="50">
        <v>527118.5</v>
      </c>
      <c r="E8" s="50">
        <v>571766.5</v>
      </c>
      <c r="F8" s="50">
        <v>373578.5</v>
      </c>
      <c r="G8" s="17">
        <f t="shared" si="0"/>
        <v>1789302</v>
      </c>
      <c r="H8" s="17">
        <f t="shared" si="1"/>
        <v>107521.18495361105</v>
      </c>
      <c r="I8" s="17">
        <f t="shared" si="2"/>
        <v>1681780.8150463889</v>
      </c>
    </row>
    <row r="9" spans="1:9" ht="15.75" customHeight="1" x14ac:dyDescent="0.25">
      <c r="A9" s="5">
        <f t="shared" si="3"/>
        <v>2031</v>
      </c>
      <c r="B9" s="49">
        <v>92523</v>
      </c>
      <c r="C9" s="50">
        <v>312923</v>
      </c>
      <c r="D9" s="50">
        <v>516555</v>
      </c>
      <c r="E9" s="50">
        <v>576918</v>
      </c>
      <c r="F9" s="50">
        <v>378613</v>
      </c>
      <c r="G9" s="17">
        <f t="shared" si="0"/>
        <v>1785009</v>
      </c>
      <c r="H9" s="17">
        <f t="shared" si="1"/>
        <v>106078.87093828127</v>
      </c>
      <c r="I9" s="17">
        <f t="shared" si="2"/>
        <v>1678930.1290617187</v>
      </c>
    </row>
    <row r="10" spans="1:9" ht="15.75" customHeight="1" x14ac:dyDescent="0.25">
      <c r="A10" s="5">
        <f t="shared" si="3"/>
        <v>2032</v>
      </c>
      <c r="B10" s="49">
        <v>91632</v>
      </c>
      <c r="C10" s="50">
        <v>307794.99999999988</v>
      </c>
      <c r="D10" s="50">
        <v>508726</v>
      </c>
      <c r="E10" s="50">
        <v>577411</v>
      </c>
      <c r="F10" s="50">
        <v>386083.5</v>
      </c>
      <c r="G10" s="17">
        <f t="shared" si="0"/>
        <v>1780015.5</v>
      </c>
      <c r="H10" s="17">
        <f t="shared" si="1"/>
        <v>105057.32738688315</v>
      </c>
      <c r="I10" s="17">
        <f t="shared" si="2"/>
        <v>1674958.1726131169</v>
      </c>
    </row>
    <row r="11" spans="1:9" ht="15.75" customHeight="1" x14ac:dyDescent="0.25">
      <c r="A11" s="5">
        <f t="shared" si="3"/>
        <v>2033</v>
      </c>
      <c r="B11" s="49">
        <v>90479</v>
      </c>
      <c r="C11" s="50">
        <v>302299.00000000012</v>
      </c>
      <c r="D11" s="50">
        <v>503543.5</v>
      </c>
      <c r="E11" s="50">
        <v>572986</v>
      </c>
      <c r="F11" s="50">
        <v>396192.5</v>
      </c>
      <c r="G11" s="17">
        <f t="shared" si="0"/>
        <v>1775021</v>
      </c>
      <c r="H11" s="17">
        <f t="shared" si="1"/>
        <v>103735.3972917518</v>
      </c>
      <c r="I11" s="17">
        <f t="shared" si="2"/>
        <v>1671285.6027082482</v>
      </c>
    </row>
    <row r="12" spans="1:9" ht="15.75" customHeight="1" x14ac:dyDescent="0.25">
      <c r="A12" s="5">
        <f t="shared" si="3"/>
        <v>2034</v>
      </c>
      <c r="B12" s="49">
        <v>89354</v>
      </c>
      <c r="C12" s="50">
        <v>296622</v>
      </c>
      <c r="D12" s="50">
        <v>500409.5</v>
      </c>
      <c r="E12" s="50">
        <v>564514</v>
      </c>
      <c r="F12" s="50">
        <v>408829.5</v>
      </c>
      <c r="G12" s="17">
        <f t="shared" si="0"/>
        <v>1770375</v>
      </c>
      <c r="H12" s="17">
        <f t="shared" si="1"/>
        <v>102445.56957534002</v>
      </c>
      <c r="I12" s="17">
        <f t="shared" si="2"/>
        <v>1667929.43042466</v>
      </c>
    </row>
    <row r="13" spans="1:9" ht="15.75" customHeight="1" x14ac:dyDescent="0.25">
      <c r="A13" s="5">
        <f t="shared" si="3"/>
        <v>2035</v>
      </c>
      <c r="B13" s="49">
        <v>87718</v>
      </c>
      <c r="C13" s="50">
        <v>291005.5</v>
      </c>
      <c r="D13" s="50">
        <v>498501</v>
      </c>
      <c r="E13" s="50">
        <v>553055</v>
      </c>
      <c r="F13" s="50">
        <v>423315</v>
      </c>
      <c r="G13" s="17">
        <f t="shared" si="0"/>
        <v>1765876.5</v>
      </c>
      <c r="H13" s="17">
        <f t="shared" si="1"/>
        <v>100569.87344729589</v>
      </c>
      <c r="I13" s="17">
        <f t="shared" si="2"/>
        <v>1665306.626552704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oJ8ON6wCJ57vmoa34ix5uqdxS2qnV95O5BoFb+WlPa9mSdQ9NlQpMhznmcFeWFiql9hYOuA+RhBLjLZkL9jew==" saltValue="YZmVJ+Vr5WNq2rKoyjIH5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6.0063494121611181E-2</v>
      </c>
    </row>
    <row r="5" spans="1:8" ht="15.75" customHeight="1" x14ac:dyDescent="0.25">
      <c r="B5" s="19" t="s">
        <v>95</v>
      </c>
      <c r="C5" s="101">
        <v>2.2386320070241359E-2</v>
      </c>
    </row>
    <row r="6" spans="1:8" ht="15.75" customHeight="1" x14ac:dyDescent="0.25">
      <c r="B6" s="19" t="s">
        <v>91</v>
      </c>
      <c r="C6" s="101">
        <v>0.1570764170522494</v>
      </c>
    </row>
    <row r="7" spans="1:8" ht="15.75" customHeight="1" x14ac:dyDescent="0.25">
      <c r="B7" s="19" t="s">
        <v>96</v>
      </c>
      <c r="C7" s="101">
        <v>0.4339066453125362</v>
      </c>
    </row>
    <row r="8" spans="1:8" ht="15.75" customHeight="1" x14ac:dyDescent="0.25">
      <c r="B8" s="19" t="s">
        <v>98</v>
      </c>
      <c r="C8" s="101">
        <v>1.388748822441363E-2</v>
      </c>
    </row>
    <row r="9" spans="1:8" ht="15.75" customHeight="1" x14ac:dyDescent="0.25">
      <c r="B9" s="19" t="s">
        <v>92</v>
      </c>
      <c r="C9" s="101">
        <v>0.23970991838528249</v>
      </c>
    </row>
    <row r="10" spans="1:8" ht="15.75" customHeight="1" x14ac:dyDescent="0.25">
      <c r="B10" s="19" t="s">
        <v>94</v>
      </c>
      <c r="C10" s="101">
        <v>7.2969716833665876E-2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102</v>
      </c>
      <c r="C15" s="101">
        <v>0.34560388448770779</v>
      </c>
      <c r="D15" s="101">
        <v>0.34560388448770779</v>
      </c>
      <c r="E15" s="101">
        <v>0.34560388448770779</v>
      </c>
      <c r="F15" s="101">
        <v>0.34560388448770779</v>
      </c>
    </row>
    <row r="16" spans="1:8" ht="15.75" customHeight="1" x14ac:dyDescent="0.25">
      <c r="B16" s="19" t="s">
        <v>2</v>
      </c>
      <c r="C16" s="101">
        <v>2.5968674262964481E-2</v>
      </c>
      <c r="D16" s="101">
        <v>2.5968674262964481E-2</v>
      </c>
      <c r="E16" s="101">
        <v>2.5968674262964481E-2</v>
      </c>
      <c r="F16" s="101">
        <v>2.5968674262964481E-2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2.8174465858020581E-2</v>
      </c>
      <c r="D19" s="101">
        <v>2.8174465858020581E-2</v>
      </c>
      <c r="E19" s="101">
        <v>2.8174465858020581E-2</v>
      </c>
      <c r="F19" s="101">
        <v>2.8174465858020581E-2</v>
      </c>
    </row>
    <row r="20" spans="1:8" ht="15.75" customHeight="1" x14ac:dyDescent="0.25">
      <c r="B20" s="19" t="s">
        <v>79</v>
      </c>
      <c r="C20" s="101">
        <v>9.5940826408684121E-2</v>
      </c>
      <c r="D20" s="101">
        <v>9.5940826408684121E-2</v>
      </c>
      <c r="E20" s="101">
        <v>9.5940826408684121E-2</v>
      </c>
      <c r="F20" s="101">
        <v>9.5940826408684121E-2</v>
      </c>
    </row>
    <row r="21" spans="1:8" ht="15.75" customHeight="1" x14ac:dyDescent="0.25">
      <c r="B21" s="19" t="s">
        <v>88</v>
      </c>
      <c r="C21" s="101">
        <v>0.28728678792431572</v>
      </c>
      <c r="D21" s="101">
        <v>0.28728678792431572</v>
      </c>
      <c r="E21" s="101">
        <v>0.28728678792431572</v>
      </c>
      <c r="F21" s="101">
        <v>0.28728678792431572</v>
      </c>
    </row>
    <row r="22" spans="1:8" ht="15.75" customHeight="1" x14ac:dyDescent="0.25">
      <c r="B22" s="19" t="s">
        <v>99</v>
      </c>
      <c r="C22" s="101">
        <v>8.9204415816689656E-2</v>
      </c>
      <c r="D22" s="101">
        <v>8.9204415816689656E-2</v>
      </c>
      <c r="E22" s="101">
        <v>8.9204415816689656E-2</v>
      </c>
      <c r="F22" s="101">
        <v>8.9204415816689656E-2</v>
      </c>
    </row>
    <row r="23" spans="1:8" ht="15.75" customHeight="1" x14ac:dyDescent="0.25">
      <c r="B23" s="27" t="s">
        <v>60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5.3793739E-2</v>
      </c>
    </row>
    <row r="27" spans="1:8" ht="15.75" customHeight="1" x14ac:dyDescent="0.25">
      <c r="B27" s="19" t="s">
        <v>89</v>
      </c>
      <c r="C27" s="101">
        <v>1.9276288999999999E-2</v>
      </c>
    </row>
    <row r="28" spans="1:8" ht="15.75" customHeight="1" x14ac:dyDescent="0.25">
      <c r="B28" s="19" t="s">
        <v>103</v>
      </c>
      <c r="C28" s="101">
        <v>0.179864307</v>
      </c>
    </row>
    <row r="29" spans="1:8" ht="15.75" customHeight="1" x14ac:dyDescent="0.25">
      <c r="B29" s="19" t="s">
        <v>86</v>
      </c>
      <c r="C29" s="101">
        <v>0.23533279200000001</v>
      </c>
    </row>
    <row r="30" spans="1:8" ht="15.75" customHeight="1" x14ac:dyDescent="0.25">
      <c r="B30" s="19" t="s">
        <v>4</v>
      </c>
      <c r="C30" s="101">
        <v>6.8817955E-2</v>
      </c>
    </row>
    <row r="31" spans="1:8" ht="15.75" customHeight="1" x14ac:dyDescent="0.25">
      <c r="B31" s="19" t="s">
        <v>80</v>
      </c>
      <c r="C31" s="101">
        <v>4.4797729000000001E-2</v>
      </c>
    </row>
    <row r="32" spans="1:8" ht="15.75" customHeight="1" x14ac:dyDescent="0.25">
      <c r="B32" s="19" t="s">
        <v>85</v>
      </c>
      <c r="C32" s="101">
        <v>1.9724179000000001E-2</v>
      </c>
    </row>
    <row r="33" spans="2:3" ht="15.75" customHeight="1" x14ac:dyDescent="0.25">
      <c r="B33" s="19" t="s">
        <v>100</v>
      </c>
      <c r="C33" s="101">
        <v>0.148522658</v>
      </c>
    </row>
    <row r="34" spans="2:3" ht="15.75" customHeight="1" x14ac:dyDescent="0.25">
      <c r="B34" s="19" t="s">
        <v>87</v>
      </c>
      <c r="C34" s="101">
        <v>0.229870352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Cf3dAoD0XTdSnRBJE2V6WjWi6Cx7N8qAtp5fK8gFrrFBxpjK5QL8Bbh6xoRUb+jC4XySSYJW17IEmCiXcOP/TA==" saltValue="l7MVfLQT6Dp1RxMkUVBwj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110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106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107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119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VhOGz2Lk7bwmhaf2tyPxzmIyEy9UFINEjO6bZRIiy7Lmn7mtIHtHqhZb96RT/o6VK1WttKnOTNHCK+E2ugygw==" saltValue="NePqcMkQugAL3DJ72vnX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125</v>
      </c>
      <c r="C5" s="52">
        <v>4.5126799999999988E-2</v>
      </c>
      <c r="D5" s="52">
        <v>5.6546100000000002E-2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meywTeJ/cgre/3G9XOlrTbEQC9WSMHzpoweuecjlN3X2uK1nJgN686Y9tJi9vGH5wF9fB9/0TIUpXAd8AuJjcw==" saltValue="y/eanbJpZfTmn3pYuRmvE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1b24nhbPvZt3N+Zz/EjO+PXrNlnDvHngWYYr4ybFolLwSVSK0WmvFvsoeLNXS4Y6kVcb0n0uEpORGjnRWrCr+Q==" saltValue="Rn7/RBodX5UxqgBskLXUH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B9HbHRBLtRRqWL/gA7rSoMw+8fOFilghfox0IGkQPdA4DjkQxCgNH5R8xFQ6eLMpRmshVfaOmS4GfF0qSW5b2Q==" saltValue="+nclUYiTFTSKctq2b4JqD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7MQo6AePN0wCVlR2JTY9EXvDtKgKt0DcH1HK4bqASGZHseL5J3tPjC1K0AER2T6KinQ2WF6QHYFAKgtgIQ9fFA==" saltValue="MLOdsNBBf0o2QRIIbctDx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cUGfWqZSSx4P9qAqeSYpiFa0VVY8M+7PwDCr3zD236iJmzyKpnFz3/+YqZactBBGB2db5ia8mzv9UDEAP0+6TQ==" saltValue="H2vrFDz76V8SknPyt4Tx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58.536923175170507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0.2374895726098</v>
      </c>
      <c r="C3" s="98">
        <v>0.95</v>
      </c>
      <c r="D3" s="56">
        <v>39.891505403581561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422.35845794346858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0.67522681652432304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13.02380484737747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13.02380484737747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13.02380484737747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13.02380484737747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13.02380484737747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13.02380484737747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0.94</v>
      </c>
      <c r="C16" s="98">
        <v>0.95</v>
      </c>
      <c r="D16" s="56">
        <v>0.73057064727282073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0.30020833333333302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0.12282987151281</v>
      </c>
      <c r="C18" s="98">
        <v>0.95</v>
      </c>
      <c r="D18" s="56">
        <v>9.7344812256272366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0.87552779999999997</v>
      </c>
      <c r="C19" s="98">
        <v>0.95</v>
      </c>
      <c r="D19" s="56">
        <v>9.7344812256272366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0.92794939999999992</v>
      </c>
      <c r="C21" s="98">
        <v>0.95</v>
      </c>
      <c r="D21" s="56">
        <v>6.5464220867330107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22.48102373706007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4.2866035394646582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0.93076426836371995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18.590824811122559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0.72990326885090995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114.80634956846561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0.81</v>
      </c>
      <c r="C31" s="98">
        <v>0.95</v>
      </c>
      <c r="D31" s="56">
        <v>0.40904222984605382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1.5698421778540761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0.81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0.72850910000000002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0.69842299999999991</v>
      </c>
      <c r="C38" s="98">
        <v>0.95</v>
      </c>
      <c r="D38" s="56">
        <v>5.0704877347930708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CqtT/K9W+YkRm6zdlP8lwdBVN1sJCPsUD/DmWnH2z23P2ugr5ddV+MmcgGbx1seXhNhzpbyZpOo/tNEa1pPLrQ==" saltValue="hVp6X24gMoaToO5ZsJrz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RWWvTYi9Xew0sqHbThfZTRr+sMtRyFjDLTaxUcDGVwMZZJ3s+1l7bxeKE977G4EGwqQ1ioHKc5NTKePcKvIfA==" saltValue="gcUhOvinSqZ3Nkwj09Tj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WKnFPYswr9FownWyzTbPAVy0X685ZHfhOIHpH0UfVLYpHR2vsNP1U2UEDQwETjozrqP+fcGOvNrDPdDzNGu5A==" saltValue="EGrEKweXs6Ri2Hj3G4T/+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207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sheetProtection algorithmName="SHA-512" hashValue="BMG9T0hjPIxsQfF9eH+Rip3v/HDXn81En3GUH7+dYssT7/rcn3UmAktnzkYkjnmUYtaqtitOH7iSMTvaiaQUww==" saltValue="/KYktqpXN9WlV5TcU7iA3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tzIx3/EoiQwxVuBINxhibcb04Mx18vCqF0zMa6iUTV6vGMtCeUFbz+mnvM0xAth3uMHy6TIAjIaM9z6SlHXgA==" saltValue="YFZOsgn2+8hl7EsJaPmmE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Mgb+UxRcxJxf95LuZ7fcKSqfllR+qiDtJTx4UzEl0obY1cdEgvyBTp/t9Bs6+ZFSK1jmA7asE/ZdFT05tiplkg==" saltValue="1oCLj5s9dn80ZF7CaAek1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F2kA2aMbmDuEh2xsojf84PR03aCqOoKvbZIFNRpIWXhRcUQP0m9wXNU/ZGH3SJmuErOXsyO4rNIkV0GwVHHnw==" saltValue="qWSiXN4eFgfD0re4EMqL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9g0w99zriiVChBSwe4lRtnWHHz0Y+iz31ml2QBmKXnQ8TcEJkkxhoK41F7XGM9tVbkkGRAHlUhEyyRTqqKLzw==" saltValue="qNqiMjMXZ++XC33Rs092a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V7nhPWd5ah3Fuf7W/39XJAVknANtXARzsER2WbYK5hFq4wxBjoyHIKW67jebINE2vSUVwphxbNQ5iwpQg6RJGA==" saltValue="D03r7JcXbV3AO+vgNQKc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zIru/RkMN9EYd8wnSG6ocgzQlaIGeT85szkTpYdYNvQrukaNTtu+QoLqV9OlHWkaOE7BonE9U70FoePKaV3gw==" saltValue="5saivKHw/nAaGnw+2ams7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0bdCu1giP5gUEmo84wFxdMGW2qI55QdzyhMYK+9me1s1/AYPUCMieN1e0NcnqFCZvbJg+GeKd7mzThGD6z7hvQ==" saltValue="msHsz/JZuSYJ/drmwjKk8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BnZsdTnz24BQ6XvrKx+IkZq3sAbjtWcyB0PXdcuoENfA8mVT0RZ1a49NL74hjvNhtCVzOuqlXzseYsmstB48w==" saltValue="caQDAdsOshhJD1XHE9m1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UOGEHE6HPJxVMRcC84AmcxWg7tqgi9qAAPq21iqwEI+oGSsgle/3QNegYUzM7kd43JDBjSoidMTsfPb9T0/SA==" saltValue="G9W5k6trvSCw556JlJUV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/oHhzGDtSm1Wj6TlvcoRILRkU7pZGivwtWv3QCVNYa7zdh9NYQ/K5gdSkfqJVvze0gs+iNk58040s+52X+WNw==" saltValue="NHV11BoUqR/SicI2PpTy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I+WQoXh9vElKqxM5+0Uqn9snunAAe8TYwZU7I6eQhyL0Ity1buCUfooZr/HjsEfdqE3QgB2oWlosw3EH5J4Pzw==" saltValue="zdeCDB02b53LnUAoTdM8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Y9uLXtcmLUDlVJ44fmv40xy4ONiQ7LxyYre6YYFg+HbI+Mxz9UvHluZ4xz2ggBOyPHMhaxVAWrzI9rhuAJVVw==" saltValue="hK6iB+w1cFfr7pvUxesB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Ip7Bdw4LmWh35Eg+h2EHX8v3k1AXDkM3nU47F/uq1eRf2hqJXlYJo18YQuFda7bmAvS8r13Y04FmKd9lhXgCg==" saltValue="LZv32/rjyOguObEMlKWz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1jaPLcFCkx4d0MVW4Tl904e6Cunwm1uYLU3BxEBabQCXul8zTEeIjaYdNOsMmtf0UECaUx8B85qM/IlJqup9yg==" saltValue="nnbdAhIjj8ZgVRw9zV9j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vioxnzpdo/tYO3DSbVpyDPGjbxq6uabn0k8jYuY92zcDe9atdcBqsJbjKz199MSbzCZPbo8sckupmmQblWJAQ==" saltValue="1HFgSRpMWjMh37XblQWU6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2024-05-16T23:58:37Z</dcterms:modified>
</cp:coreProperties>
</file>