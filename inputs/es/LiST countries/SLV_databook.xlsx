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8_{02032984-62CD-4D6C-9CAD-F0E85EAEE502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59" i="27"/>
  <c r="G159" i="27"/>
  <c r="F159" i="27"/>
  <c r="E159" i="27"/>
  <c r="D159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G158" i="27" s="1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H13" i="2"/>
  <c r="G13" i="2"/>
  <c r="I13" i="2" s="1"/>
  <c r="H12" i="2"/>
  <c r="G12" i="2"/>
  <c r="H11" i="2"/>
  <c r="G11" i="2"/>
  <c r="H10" i="2"/>
  <c r="G10" i="2"/>
  <c r="H9" i="2"/>
  <c r="G9" i="2"/>
  <c r="I9" i="2" s="1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I38" i="2" l="1"/>
  <c r="A26" i="2"/>
  <c r="I39" i="2"/>
  <c r="A31" i="2"/>
  <c r="A34" i="2"/>
  <c r="A40" i="2"/>
  <c r="I2" i="2"/>
  <c r="I6" i="2"/>
  <c r="A19" i="2"/>
  <c r="A35" i="2"/>
  <c r="A22" i="2"/>
  <c r="A36" i="2"/>
  <c r="I3" i="2"/>
  <c r="I7" i="2"/>
  <c r="I11" i="2"/>
  <c r="A23" i="2"/>
  <c r="A37" i="2"/>
  <c r="A24" i="2"/>
  <c r="I4" i="2"/>
  <c r="I8" i="2"/>
  <c r="I12" i="2"/>
  <c r="A2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<sst xmlns="http://schemas.openxmlformats.org/spreadsheetml/2006/main" count="2169" uniqueCount="373">
  <si>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</si>
  <si>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</si>
  <si>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</si>
  <si>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</si>
  <si>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</si>
  <si>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</si>
  <si>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</si>
  <si>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</si>
  <si>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</si>
  <si>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</si>
  <si>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</si>
  <si>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</si>
  <si>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</si>
  <si>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</si>
  <si>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</si>
  <si>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</si>
  <si>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</si>
  <si>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</si>
  <si>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</si>
  <si>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</si>
  <si>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</si>
  <si>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</si>
  <si>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</si>
  <si>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</si>
  <si>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</si>
  <si>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</si>
  <si>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</si>
  <si>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</si>
  <si>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</si>
  <si>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</si>
  <si>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</si>
  <si>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</si>
  <si>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</si>
  <si>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</si>
  <si>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</si>
  <si>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</si>
  <si>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</si>
  <si>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</si>
  <si>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</si>
  <si>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</si>
  <si>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</si>
  <si>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</si>
  <si>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</si>
  <si>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</si>
  <si>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</si>
  <si>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</si>
  <si>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</si>
  <si>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</si>
  <si>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</si>
  <si>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</si>
  <si>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</si>
  <si>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</si>
  <si>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</si>
  <si>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</si>
  <si>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</si>
  <si>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</si>
  <si>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</si>
  <si>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</si>
  <si>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</si>
  <si>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</si>
  <si>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</si>
  <si>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</si>
  <si>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</si>
  <si>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</si>
  <si>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</si>
  <si>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</si>
  <si>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</si>
  <si>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</si>
  <si>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</si>
  <si>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</si>
  <si>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</si>
  <si>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</si>
  <si>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</si>
  <si>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</si>
  <si>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</si>
  <si>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</si>
  <si>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</si>
  <si>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</si>
  <si>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</si>
  <si>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</si>
  <si>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</si>
  <si>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</si>
  <si>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</si>
  <si>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</si>
  <si>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</si>
  <si>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</si>
  <si>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</si>
  <si>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</si>
  <si>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</si>
  <si>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</si>
  <si>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</si>
  <si>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</si>
  <si>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</si>
  <si>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</si>
  <si>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</si>
  <si>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</si>
  <si>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</si>
  <si>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</si>
  <si>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</si>
  <si>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</si>
  <si>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</si>
  <si>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</si>
  <si>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</si>
  <si>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</si>
  <si>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</si>
  <si>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</si>
  <si>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</si>
  <si>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</si>
  <si>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</si>
  <si>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</si>
  <si>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</si>
  <si>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</si>
  <si>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</si>
  <si>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</si>
  <si>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</si>
  <si>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</si>
  <si>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</si>
  <si>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</si>
  <si>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</si>
  <si>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</si>
  <si>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</si>
  <si>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</si>
  <si>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</si>
  <si>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</si>
  <si>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</si>
  <si>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</si>
  <si>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</si>
  <si>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</si>
  <si>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</si>
  <si>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</si>
  <si>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</si>
  <si>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</si>
  <si>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</si>
  <si>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</si>
  <si>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</si>
  <si>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</si>
  <si>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</si>
  <si>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</si>
  <si>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</si>
  <si>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</si>
  <si>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</si>
  <si>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</si>
  <si>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</si>
  <si>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</si>
  <si>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</si>
  <si>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</si>
  <si>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</si>
  <si>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</si>
  <si>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</si>
  <si>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</si>
  <si>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</si>
  <si>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</si>
  <si>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</si>
  <si>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</si>
  <si>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</si>
  <si>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</si>
  <si>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</si>
  <si>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</si>
  <si>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</si>
  <si>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</si>
  <si>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</si>
  <si>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</si>
  <si>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</si>
  <si>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</si>
  <si>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</si>
  <si>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</si>
  <si>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</si>
  <si>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</si>
  <si>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</si>
  <si>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</si>
  <si>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</si>
  <si>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</si>
  <si>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</si>
  <si>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</si>
  <si>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</si>
  <si>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</si>
  <si>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</si>
  <si>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</si>
  <si>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</si>
  <si>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</si>
  <si>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</si>
  <si>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</si>
  <si>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</si>
  <si>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</si>
  <si>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</si>
  <si>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</si>
  <si>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</si>
  <si>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</si>
  <si>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</si>
  <si>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</si>
  <si>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</si>
  <si>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</si>
  <si>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</si>
  <si>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</si>
  <si>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</si>
  <si>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</si>
  <si>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</si>
  <si>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</si>
  <si>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</si>
  <si>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</si>
  <si>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</si>
  <si>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</si>
  <si>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</si>
  <si>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</si>
  <si>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</si>
  <si>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</si>
  <si>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</si>
  <si>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</si>
  <si>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</si>
  <si>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</si>
  <si>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</si>
  <si>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</si>
  <si>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</si>
  <si>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</si>
  <si>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</si>
  <si>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</si>
  <si>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</si>
  <si>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</si>
  <si>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</si>
  <si>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</si>
  <si>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</si>
  <si>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</si>
  <si>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</si>
  <si>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</si>
  <si>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</si>
  <si>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</si>
  <si>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</si>
  <si>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</si>
  <si>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</si>
  <si>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</si>
  <si>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</si>
  <si>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</si>
  <si>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</si>
  <si>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</si>
  <si>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</si>
  <si>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</si>
  <si>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</si>
  <si>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</si>
  <si>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</si>
  <si>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</si>
  <si>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</si>
  <si>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</si>
  <si>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</si>
  <si>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</si>
  <si>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</si>
  <si>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</si>
  <si>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</si>
  <si>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</si>
  <si>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</si>
  <si>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</si>
  <si>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</si>
  <si>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</si>
  <si>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</si>
  <si>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</si>
  <si>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</si>
  <si>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</si>
  <si>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</si>
  <si>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</si>
  <si>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</si>
  <si>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</si>
  <si>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</si>
  <si>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</si>
  <si>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</si>
  <si>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</si>
  <si>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</si>
  <si>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</si>
  <si>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</si>
  <si>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</si>
  <si>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</si>
  <si>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</si>
  <si>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</si>
  <si>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</si>
  <si>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</si>
  <si>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</si>
  <si>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</si>
  <si>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</si>
  <si>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</si>
  <si>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</si>
  <si>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</si>
  <si>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</si>
  <si>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</si>
  <si>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</si>
  <si>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</si>
  <si>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</si>
  <si>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</si>
  <si>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</si>
  <si>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</si>
  <si>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</si>
  <si>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</si>
  <si>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</si>
  <si>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</si>
  <si>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</si>
  <si>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</si>
  <si>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</si>
  <si>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</si>
  <si>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</si>
  <si>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</si>
  <si>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</si>
  <si>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</si>
  <si>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</si>
  <si>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</si>
  <si>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</si>
  <si>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</si>
  <si>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</si>
  <si>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</si>
  <si>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</si>
  <si>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</si>
  <si>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</si>
  <si>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</si>
  <si>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</si>
  <si>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</si>
  <si>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</si>
  <si>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</si>
  <si>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</si>
  <si>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</si>
  <si>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</si>
  <si>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</si>
  <si>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</si>
  <si>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</si>
  <si>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</si>
  <si>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</si>
  <si>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</si>
  <si>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</si>
  <si>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</si>
  <si>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</si>
  <si>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</si>
  <si>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</si>
  <si>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</si>
  <si>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</si>
  <si>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</si>
  <si>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</si>
  <si>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</si>
  <si>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</si>
  <si>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</si>
  <si>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</si>
  <si>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</si>
  <si>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</si>
  <si>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</si>
  <si>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</si>
  <si>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</si>
  <si>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</si>
  <si>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</si>
  <si>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</si>
  <si>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</si>
  <si>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</si>
  <si>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</si>
  <si>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</si>
  <si>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</si>
  <si>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</si>
  <si>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</si>
  <si>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</si>
  <si>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</si>
  <si>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</si>
  <si>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</si>
  <si>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</si>
  <si>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</si>
  <si>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</si>
  <si>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</si>
  <si>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</si>
  <si>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</si>
  <si>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</si>
  <si>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</si>
  <si>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</si>
  <si>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</si>
  <si>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</si>
  <si>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</si>
  <si>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</si>
  <si>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</si>
  <si>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</si>
  <si>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</si>
  <si>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</si>
  <si>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</si>
  <si>
    <t>Todas las causas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</si>
</sst>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487742</v>
      </c>
    </row>
    <row r="8" spans="1:3" ht="15" customHeight="1" x14ac:dyDescent="0.25">
      <c r="B8" s="5" t="s">
        <v>63</v>
      </c>
      <c r="C8" s="44">
        <v>1.4999999999999999E-2</v>
      </c>
    </row>
    <row r="9" spans="1:3" ht="15" customHeight="1" x14ac:dyDescent="0.25">
      <c r="B9" s="5" t="s">
        <v>62</v>
      </c>
      <c r="C9" s="45">
        <v>0.01</v>
      </c>
    </row>
    <row r="10" spans="1:3" ht="15" customHeight="1" x14ac:dyDescent="0.25">
      <c r="B10" s="5" t="s">
        <v>75</v>
      </c>
      <c r="C10" s="45">
        <v>0.61118221282958995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0.18099999999999999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0.1696</v>
      </c>
    </row>
    <row r="24" spans="1:3" ht="15" customHeight="1" x14ac:dyDescent="0.25">
      <c r="B24" s="15" t="s">
        <v>65</v>
      </c>
      <c r="C24" s="45">
        <v>0.5242</v>
      </c>
    </row>
    <row r="25" spans="1:3" ht="15" customHeight="1" x14ac:dyDescent="0.25">
      <c r="B25" s="15" t="s">
        <v>66</v>
      </c>
      <c r="C25" s="45">
        <v>0.2732</v>
      </c>
    </row>
    <row r="26" spans="1:3" ht="15" customHeight="1" x14ac:dyDescent="0.25">
      <c r="B26" s="15" t="s">
        <v>67</v>
      </c>
      <c r="C26" s="45">
        <v>3.3000000000000002E-2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0.25506849999999998</v>
      </c>
    </row>
    <row r="30" spans="1:3" ht="14.25" customHeight="1" x14ac:dyDescent="0.25">
      <c r="B30" s="25" t="s">
        <v>82</v>
      </c>
      <c r="C30" s="97">
        <v>0.13864399999999999</v>
      </c>
    </row>
    <row r="31" spans="1:3" ht="14.25" customHeight="1" x14ac:dyDescent="0.25">
      <c r="B31" s="25" t="s">
        <v>29</v>
      </c>
      <c r="C31" s="97">
        <v>0.123641</v>
      </c>
    </row>
    <row r="32" spans="1:3" ht="14.25" customHeight="1" x14ac:dyDescent="0.25">
      <c r="B32" s="25" t="s">
        <v>30</v>
      </c>
      <c r="C32" s="97">
        <v>0.48264649999999998</v>
      </c>
    </row>
    <row r="33" spans="1:5" ht="13.25" customHeight="1" x14ac:dyDescent="0.25">
      <c r="B33" s="27" t="s">
        <v>79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6.0968</v>
      </c>
    </row>
    <row r="38" spans="1:5" ht="15" customHeight="1" x14ac:dyDescent="0.25">
      <c r="B38" s="11" t="s">
        <v>54</v>
      </c>
      <c r="C38" s="43">
        <v>10.693809999999999</v>
      </c>
      <c r="D38" s="12"/>
      <c r="E38" s="13"/>
    </row>
    <row r="39" spans="1:5" ht="15" customHeight="1" x14ac:dyDescent="0.25">
      <c r="B39" s="11" t="s">
        <v>80</v>
      </c>
      <c r="C39" s="43">
        <v>12.426690000000001</v>
      </c>
      <c r="D39" s="12"/>
      <c r="E39" s="12"/>
    </row>
    <row r="40" spans="1:5" ht="15" customHeight="1" x14ac:dyDescent="0.25">
      <c r="B40" s="11" t="s">
        <v>55</v>
      </c>
      <c r="C40" s="98">
        <v>0.43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8.8528300000000009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6.8047999999999997E-3</v>
      </c>
      <c r="D45" s="12"/>
    </row>
    <row r="46" spans="1:5" ht="15.75" customHeight="1" x14ac:dyDescent="0.25">
      <c r="B46" s="11" t="s">
        <v>70</v>
      </c>
      <c r="C46" s="45">
        <v>7.3117000000000001E-2</v>
      </c>
      <c r="D46" s="12"/>
    </row>
    <row r="47" spans="1:5" ht="15.75" customHeight="1" x14ac:dyDescent="0.25">
      <c r="B47" s="11" t="s">
        <v>78</v>
      </c>
      <c r="C47" s="45">
        <v>7.4529800000000007E-2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98">
        <v>3.2</v>
      </c>
      <c r="D51" s="12"/>
    </row>
    <row r="52" spans="1:4" ht="15" customHeight="1" x14ac:dyDescent="0.25">
      <c r="B52" s="11" t="s">
        <v>32</v>
      </c>
      <c r="C52" s="98">
        <v>3.2</v>
      </c>
    </row>
    <row r="53" spans="1:4" ht="15.75" customHeight="1" x14ac:dyDescent="0.25">
      <c r="B53" s="11" t="s">
        <v>35</v>
      </c>
      <c r="C53" s="98">
        <v>3.2</v>
      </c>
    </row>
    <row r="54" spans="1:4" ht="15.75" customHeight="1" x14ac:dyDescent="0.25">
      <c r="B54" s="11" t="s">
        <v>33</v>
      </c>
      <c r="C54" s="98">
        <v>3.2</v>
      </c>
    </row>
    <row r="55" spans="1:4" ht="15.75" customHeight="1" x14ac:dyDescent="0.25">
      <c r="B55" s="11" t="s">
        <v>34</v>
      </c>
      <c r="C55" s="98">
        <v>3.2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1.9375E-2</v>
      </c>
    </row>
    <row r="59" spans="1:4" ht="15.75" customHeight="1" x14ac:dyDescent="0.25">
      <c r="B59" s="11" t="s">
        <v>59</v>
      </c>
      <c r="C59" s="45">
        <v>0.564581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0.10295944</v>
      </c>
    </row>
    <row r="63" spans="1:4" ht="15.75" customHeight="1" x14ac:dyDescent="0.3">
      <c r="A63" s="4"/>
    </row>
  </sheetData>
  <sheetProtection algorithmName="SHA-512" hashValue="BCo7tuc0xmC8r5me6jqiOh3FoQQkQPPs4DvEcRUVVkC4kT/UtzMPOINzPWSVN8hXmNfVieNSa9sgnUVQpPOzJg==" saltValue="BR9SS/7znAeU+7wcQ9p94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98858</v>
      </c>
      <c r="C2" s="49">
        <v>269962</v>
      </c>
      <c r="D2" s="49">
        <v>603935.5</v>
      </c>
      <c r="E2" s="49">
        <v>488045.50000000006</v>
      </c>
      <c r="F2" s="49">
        <v>411577.5</v>
      </c>
      <c r="G2" s="17">
        <f t="shared" ref="G2:G13" si="0">C2+D2+E2+F2</f>
        <v>1773520.5</v>
      </c>
      <c r="H2" s="17">
        <f t="shared" ref="H2:H13" si="1">(B2 + stillbirth*B2/(1000-stillbirth))/(1-abortion)</f>
        <v>113342.03412358668</v>
      </c>
      <c r="I2" s="17">
        <f t="shared" ref="I2:I13" si="2">G2-H2</f>
        <v>1660178.4658764133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97874</v>
      </c>
      <c r="C3" s="50">
        <v>268940.5</v>
      </c>
      <c r="D3" s="50">
        <v>593056.49999999988</v>
      </c>
      <c r="E3" s="50">
        <v>504276.5</v>
      </c>
      <c r="F3" s="50">
        <v>411981</v>
      </c>
      <c r="G3" s="17">
        <f t="shared" si="0"/>
        <v>1778254.5</v>
      </c>
      <c r="H3" s="17">
        <f t="shared" si="1"/>
        <v>112213.8648142985</v>
      </c>
      <c r="I3" s="17">
        <f t="shared" si="2"/>
        <v>1666040.6351857015</v>
      </c>
    </row>
    <row r="4" spans="1:9" ht="15.75" customHeight="1" x14ac:dyDescent="0.25">
      <c r="A4" s="5">
        <f t="shared" si="3"/>
        <v>2026</v>
      </c>
      <c r="B4" s="49">
        <v>96922</v>
      </c>
      <c r="C4" s="50">
        <v>268817.5</v>
      </c>
      <c r="D4" s="50">
        <v>580439.5</v>
      </c>
      <c r="E4" s="50">
        <v>520635.5</v>
      </c>
      <c r="F4" s="50">
        <v>412175.5</v>
      </c>
      <c r="G4" s="17">
        <f t="shared" si="0"/>
        <v>1782068</v>
      </c>
      <c r="H4" s="17">
        <f t="shared" si="1"/>
        <v>111122.38393783272</v>
      </c>
      <c r="I4" s="17">
        <f t="shared" si="2"/>
        <v>1670945.6160621673</v>
      </c>
    </row>
    <row r="5" spans="1:9" ht="15.75" customHeight="1" x14ac:dyDescent="0.25">
      <c r="A5" s="5">
        <f t="shared" si="3"/>
        <v>2027</v>
      </c>
      <c r="B5" s="49">
        <v>96073</v>
      </c>
      <c r="C5" s="50">
        <v>268104</v>
      </c>
      <c r="D5" s="50">
        <v>568098.99999999988</v>
      </c>
      <c r="E5" s="50">
        <v>536201.5</v>
      </c>
      <c r="F5" s="50">
        <v>412851.5</v>
      </c>
      <c r="G5" s="17">
        <f t="shared" si="0"/>
        <v>1785256</v>
      </c>
      <c r="H5" s="17">
        <f t="shared" si="1"/>
        <v>110148.99395451398</v>
      </c>
      <c r="I5" s="17">
        <f t="shared" si="2"/>
        <v>1675107.0060454861</v>
      </c>
    </row>
    <row r="6" spans="1:9" ht="15.75" customHeight="1" x14ac:dyDescent="0.25">
      <c r="A6" s="5">
        <f t="shared" si="3"/>
        <v>2028</v>
      </c>
      <c r="B6" s="49">
        <v>95219</v>
      </c>
      <c r="C6" s="50">
        <v>266995.5</v>
      </c>
      <c r="D6" s="50">
        <v>555755.5</v>
      </c>
      <c r="E6" s="50">
        <v>550496</v>
      </c>
      <c r="F6" s="50">
        <v>414476.5</v>
      </c>
      <c r="G6" s="17">
        <f t="shared" si="0"/>
        <v>1787723.5</v>
      </c>
      <c r="H6" s="17">
        <f t="shared" si="1"/>
        <v>109169.87140356674</v>
      </c>
      <c r="I6" s="17">
        <f t="shared" si="2"/>
        <v>1678553.6285964332</v>
      </c>
    </row>
    <row r="7" spans="1:9" ht="15.75" customHeight="1" x14ac:dyDescent="0.25">
      <c r="A7" s="5">
        <f t="shared" si="3"/>
        <v>2029</v>
      </c>
      <c r="B7" s="49">
        <v>94354</v>
      </c>
      <c r="C7" s="50">
        <v>266382</v>
      </c>
      <c r="D7" s="50">
        <v>542991.5</v>
      </c>
      <c r="E7" s="50">
        <v>563004</v>
      </c>
      <c r="F7" s="50">
        <v>417519.5</v>
      </c>
      <c r="G7" s="17">
        <f t="shared" si="0"/>
        <v>1789897</v>
      </c>
      <c r="H7" s="17">
        <f t="shared" si="1"/>
        <v>108178.13720383678</v>
      </c>
      <c r="I7" s="17">
        <f t="shared" si="2"/>
        <v>1681718.8627961632</v>
      </c>
    </row>
    <row r="8" spans="1:9" ht="15.75" customHeight="1" x14ac:dyDescent="0.25">
      <c r="A8" s="5">
        <f t="shared" si="3"/>
        <v>2030</v>
      </c>
      <c r="B8" s="49">
        <v>93334</v>
      </c>
      <c r="C8" s="50">
        <v>265354.5</v>
      </c>
      <c r="D8" s="50">
        <v>531150</v>
      </c>
      <c r="E8" s="50">
        <v>572703</v>
      </c>
      <c r="F8" s="50">
        <v>422440.5</v>
      </c>
      <c r="G8" s="17">
        <f t="shared" si="0"/>
        <v>1791648</v>
      </c>
      <c r="H8" s="17">
        <f t="shared" si="1"/>
        <v>107008.69340762345</v>
      </c>
      <c r="I8" s="17">
        <f t="shared" si="2"/>
        <v>1684639.3065923764</v>
      </c>
    </row>
    <row r="9" spans="1:9" ht="15.75" customHeight="1" x14ac:dyDescent="0.25">
      <c r="A9" s="5">
        <f t="shared" si="3"/>
        <v>2031</v>
      </c>
      <c r="B9" s="49">
        <v>92289</v>
      </c>
      <c r="C9" s="50">
        <v>262689.5</v>
      </c>
      <c r="D9" s="50">
        <v>521329.50000000006</v>
      </c>
      <c r="E9" s="50">
        <v>578640</v>
      </c>
      <c r="F9" s="50">
        <v>429515.5</v>
      </c>
      <c r="G9" s="17">
        <f t="shared" si="0"/>
        <v>1792174.5</v>
      </c>
      <c r="H9" s="17">
        <f t="shared" si="1"/>
        <v>105810.58677326763</v>
      </c>
      <c r="I9" s="17">
        <f t="shared" si="2"/>
        <v>1686363.9132267323</v>
      </c>
    </row>
    <row r="10" spans="1:9" ht="15.75" customHeight="1" x14ac:dyDescent="0.25">
      <c r="A10" s="5">
        <f t="shared" si="3"/>
        <v>2032</v>
      </c>
      <c r="B10" s="49">
        <v>91235</v>
      </c>
      <c r="C10" s="50">
        <v>258244.50000000003</v>
      </c>
      <c r="D10" s="50">
        <v>514225</v>
      </c>
      <c r="E10" s="50">
        <v>580036</v>
      </c>
      <c r="F10" s="50">
        <v>439191.00000000006</v>
      </c>
      <c r="G10" s="17">
        <f t="shared" si="0"/>
        <v>1791696.5</v>
      </c>
      <c r="H10" s="17">
        <f t="shared" si="1"/>
        <v>104602.1615171805</v>
      </c>
      <c r="I10" s="17">
        <f t="shared" si="2"/>
        <v>1687094.3384828195</v>
      </c>
    </row>
    <row r="11" spans="1:9" ht="15.75" customHeight="1" x14ac:dyDescent="0.25">
      <c r="A11" s="5">
        <f t="shared" si="3"/>
        <v>2033</v>
      </c>
      <c r="B11" s="49">
        <v>90070</v>
      </c>
      <c r="C11" s="50">
        <v>252727.5</v>
      </c>
      <c r="D11" s="50">
        <v>509759.5</v>
      </c>
      <c r="E11" s="50">
        <v>576649.5</v>
      </c>
      <c r="F11" s="50">
        <v>451783.5</v>
      </c>
      <c r="G11" s="17">
        <f t="shared" si="0"/>
        <v>1790920</v>
      </c>
      <c r="H11" s="17">
        <f t="shared" si="1"/>
        <v>103266.47325974077</v>
      </c>
      <c r="I11" s="17">
        <f t="shared" si="2"/>
        <v>1687653.5267402593</v>
      </c>
    </row>
    <row r="12" spans="1:9" ht="15.75" customHeight="1" x14ac:dyDescent="0.25">
      <c r="A12" s="5">
        <f t="shared" si="3"/>
        <v>2034</v>
      </c>
      <c r="B12" s="49">
        <v>88864</v>
      </c>
      <c r="C12" s="50">
        <v>246742.5</v>
      </c>
      <c r="D12" s="50">
        <v>507173</v>
      </c>
      <c r="E12" s="50">
        <v>569307.5</v>
      </c>
      <c r="F12" s="50">
        <v>466769</v>
      </c>
      <c r="G12" s="17">
        <f t="shared" si="0"/>
        <v>1789992</v>
      </c>
      <c r="H12" s="17">
        <f t="shared" si="1"/>
        <v>101883.77794774732</v>
      </c>
      <c r="I12" s="17">
        <f t="shared" si="2"/>
        <v>1688108.2220522526</v>
      </c>
    </row>
    <row r="13" spans="1:9" ht="15.75" customHeight="1" x14ac:dyDescent="0.25">
      <c r="A13" s="5">
        <f t="shared" si="3"/>
        <v>2035</v>
      </c>
      <c r="B13" s="49">
        <v>87549</v>
      </c>
      <c r="C13" s="50">
        <v>240962.5</v>
      </c>
      <c r="D13" s="50">
        <v>505519.5</v>
      </c>
      <c r="E13" s="50">
        <v>559065</v>
      </c>
      <c r="F13" s="50">
        <v>483098.50000000006</v>
      </c>
      <c r="G13" s="17">
        <f t="shared" si="0"/>
        <v>1788645.5</v>
      </c>
      <c r="H13" s="17">
        <f t="shared" si="1"/>
        <v>100376.11266145267</v>
      </c>
      <c r="I13" s="17">
        <f t="shared" si="2"/>
        <v>1688269.3873385473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gEtPug27aURY1ikMvHTgk3j2Sgh+FN/O/FnpjaFNqFHLKh0dlQN2yWAeLFVoieEITerwdKRwxWGG8ylG7h/7/w==" saltValue="89j2ELTwOlEBLfTLwmRat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0</v>
      </c>
    </row>
    <row r="4" spans="1:8" ht="15.75" customHeight="1" x14ac:dyDescent="0.25">
      <c r="B4" s="19" t="s">
        <v>116</v>
      </c>
      <c r="C4" s="99">
        <v>6.0063494121611181E-2</v>
      </c>
    </row>
    <row r="5" spans="1:8" ht="15.75" customHeight="1" x14ac:dyDescent="0.25">
      <c r="B5" s="19" t="s">
        <v>114</v>
      </c>
      <c r="C5" s="99">
        <v>2.2386320070241359E-2</v>
      </c>
    </row>
    <row r="6" spans="1:8" ht="15.75" customHeight="1" x14ac:dyDescent="0.25">
      <c r="B6" s="19" t="s">
        <v>110</v>
      </c>
      <c r="C6" s="99">
        <v>0.1570764170522494</v>
      </c>
    </row>
    <row r="7" spans="1:8" ht="15.75" customHeight="1" x14ac:dyDescent="0.25">
      <c r="B7" s="19" t="s">
        <v>115</v>
      </c>
      <c r="C7" s="99">
        <v>0.4339066453125362</v>
      </c>
    </row>
    <row r="8" spans="1:8" ht="15.75" customHeight="1" x14ac:dyDescent="0.25">
      <c r="B8" s="19" t="s">
        <v>117</v>
      </c>
      <c r="C8" s="99">
        <v>1.388748822441363E-2</v>
      </c>
    </row>
    <row r="9" spans="1:8" ht="15.75" customHeight="1" x14ac:dyDescent="0.25">
      <c r="B9" s="19" t="s">
        <v>111</v>
      </c>
      <c r="C9" s="99">
        <v>0.23970991838528249</v>
      </c>
    </row>
    <row r="10" spans="1:8" ht="15.75" customHeight="1" x14ac:dyDescent="0.25">
      <c r="B10" s="19" t="s">
        <v>113</v>
      </c>
      <c r="C10" s="99">
        <v>7.2969716833665876E-2</v>
      </c>
    </row>
    <row r="11" spans="1:8" ht="15.75" customHeight="1" x14ac:dyDescent="0.25">
      <c r="B11" s="27" t="s">
        <v>79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0" t="s">
        <v>93</v>
      </c>
      <c r="D13" s="100" t="s">
        <v>96</v>
      </c>
      <c r="E13" s="100" t="s">
        <v>94</v>
      </c>
      <c r="F13" s="100" t="s">
        <v>95</v>
      </c>
      <c r="G13" s="19"/>
    </row>
    <row r="14" spans="1:8" ht="15.75" customHeight="1" x14ac:dyDescent="0.25">
      <c r="B14" s="19" t="s">
        <v>103</v>
      </c>
      <c r="C14" s="55">
        <v>0.12782094524161741</v>
      </c>
      <c r="D14" s="55">
        <v>0.12782094524161741</v>
      </c>
      <c r="E14" s="55">
        <v>0.12782094524161741</v>
      </c>
      <c r="F14" s="55">
        <v>0.12782094524161741</v>
      </c>
    </row>
    <row r="15" spans="1:8" ht="15.75" customHeight="1" x14ac:dyDescent="0.25">
      <c r="B15" s="19" t="s">
        <v>121</v>
      </c>
      <c r="C15" s="99">
        <v>0.34560388448770779</v>
      </c>
      <c r="D15" s="99">
        <v>0.34560388448770779</v>
      </c>
      <c r="E15" s="99">
        <v>0.34560388448770779</v>
      </c>
      <c r="F15" s="99">
        <v>0.34560388448770779</v>
      </c>
    </row>
    <row r="16" spans="1:8" ht="15.75" customHeight="1" x14ac:dyDescent="0.25">
      <c r="B16" s="19" t="s">
        <v>2</v>
      </c>
      <c r="C16" s="99">
        <v>2.5968674262964481E-2</v>
      </c>
      <c r="D16" s="99">
        <v>2.5968674262964481E-2</v>
      </c>
      <c r="E16" s="99">
        <v>2.5968674262964481E-2</v>
      </c>
      <c r="F16" s="99">
        <v>2.5968674262964481E-2</v>
      </c>
    </row>
    <row r="17" spans="1:8" ht="15.75" customHeight="1" x14ac:dyDescent="0.25">
      <c r="B17" s="19" t="s">
        <v>109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3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120</v>
      </c>
      <c r="C19" s="99">
        <v>2.8174465858020581E-2</v>
      </c>
      <c r="D19" s="99">
        <v>2.8174465858020581E-2</v>
      </c>
      <c r="E19" s="99">
        <v>2.8174465858020581E-2</v>
      </c>
      <c r="F19" s="99">
        <v>2.8174465858020581E-2</v>
      </c>
    </row>
    <row r="20" spans="1:8" ht="15.75" customHeight="1" x14ac:dyDescent="0.25">
      <c r="B20" s="19" t="s">
        <v>98</v>
      </c>
      <c r="C20" s="99">
        <v>9.5940826408684121E-2</v>
      </c>
      <c r="D20" s="99">
        <v>9.5940826408684121E-2</v>
      </c>
      <c r="E20" s="99">
        <v>9.5940826408684121E-2</v>
      </c>
      <c r="F20" s="99">
        <v>9.5940826408684121E-2</v>
      </c>
    </row>
    <row r="21" spans="1:8" ht="15.75" customHeight="1" x14ac:dyDescent="0.25">
      <c r="B21" s="19" t="s">
        <v>107</v>
      </c>
      <c r="C21" s="99">
        <v>0.28728678792431572</v>
      </c>
      <c r="D21" s="99">
        <v>0.28728678792431572</v>
      </c>
      <c r="E21" s="99">
        <v>0.28728678792431572</v>
      </c>
      <c r="F21" s="99">
        <v>0.28728678792431572</v>
      </c>
    </row>
    <row r="22" spans="1:8" ht="15.75" customHeight="1" x14ac:dyDescent="0.25">
      <c r="B22" s="19" t="s">
        <v>118</v>
      </c>
      <c r="C22" s="99">
        <v>8.9204415816689656E-2</v>
      </c>
      <c r="D22" s="99">
        <v>8.9204415816689656E-2</v>
      </c>
      <c r="E22" s="99">
        <v>8.9204415816689656E-2</v>
      </c>
      <c r="F22" s="99">
        <v>8.9204415816689656E-2</v>
      </c>
    </row>
    <row r="23" spans="1:8" ht="15.75" customHeight="1" x14ac:dyDescent="0.25">
      <c r="B23" s="27" t="s">
        <v>79</v>
      </c>
      <c r="C23" s="48">
        <f>SUM(C14:C22)</f>
        <v>0.99999999999999967</v>
      </c>
      <c r="D23" s="48">
        <f>SUM(D14:D22)</f>
        <v>0.99999999999999967</v>
      </c>
      <c r="E23" s="48">
        <f>SUM(E14:E22)</f>
        <v>0.99999999999999967</v>
      </c>
      <c r="F23" s="48">
        <f>SUM(F14:F22)</f>
        <v>0.99999999999999967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5.3793739E-2</v>
      </c>
    </row>
    <row r="27" spans="1:8" ht="15.75" customHeight="1" x14ac:dyDescent="0.25">
      <c r="B27" s="19" t="s">
        <v>108</v>
      </c>
      <c r="C27" s="99">
        <v>1.9276288999999999E-2</v>
      </c>
    </row>
    <row r="28" spans="1:8" ht="15.75" customHeight="1" x14ac:dyDescent="0.25">
      <c r="B28" s="19" t="s">
        <v>122</v>
      </c>
      <c r="C28" s="99">
        <v>0.179864307</v>
      </c>
    </row>
    <row r="29" spans="1:8" ht="15.75" customHeight="1" x14ac:dyDescent="0.25">
      <c r="B29" s="19" t="s">
        <v>105</v>
      </c>
      <c r="C29" s="99">
        <v>0.23533279200000001</v>
      </c>
    </row>
    <row r="30" spans="1:8" ht="15.75" customHeight="1" x14ac:dyDescent="0.25">
      <c r="B30" s="19" t="s">
        <v>4</v>
      </c>
      <c r="C30" s="99">
        <v>6.8817955E-2</v>
      </c>
    </row>
    <row r="31" spans="1:8" ht="15.75" customHeight="1" x14ac:dyDescent="0.25">
      <c r="B31" s="19" t="s">
        <v>99</v>
      </c>
      <c r="C31" s="99">
        <v>4.4797729000000001E-2</v>
      </c>
    </row>
    <row r="32" spans="1:8" ht="15.75" customHeight="1" x14ac:dyDescent="0.25">
      <c r="B32" s="19" t="s">
        <v>104</v>
      </c>
      <c r="C32" s="99">
        <v>1.9724179000000001E-2</v>
      </c>
    </row>
    <row r="33" spans="2:3" ht="15.75" customHeight="1" x14ac:dyDescent="0.25">
      <c r="B33" s="19" t="s">
        <v>119</v>
      </c>
      <c r="C33" s="99">
        <v>0.148522658</v>
      </c>
    </row>
    <row r="34" spans="2:3" ht="15.75" customHeight="1" x14ac:dyDescent="0.25">
      <c r="B34" s="19" t="s">
        <v>106</v>
      </c>
      <c r="C34" s="99">
        <v>0.229870352</v>
      </c>
    </row>
    <row r="35" spans="2:3" ht="15.75" customHeight="1" x14ac:dyDescent="0.25">
      <c r="B35" s="27" t="s">
        <v>79</v>
      </c>
      <c r="C35" s="48">
        <f>SUM(C26:C34)</f>
        <v>1</v>
      </c>
    </row>
  </sheetData>
  <sheetProtection algorithmName="SHA-512" hashValue="QAoYeKBsZhnMQkGZIeK5F3qhlElPay4eYE7VPy68T9J05Js0AanP3XWT/Jf0lz745dU9vsXLGKK0oDb6I9JlMQ==" saltValue="fe3cnxIWANVevi1HOS9mJ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0.60826075484059894</v>
      </c>
      <c r="D2" s="52">
        <f>IFERROR(1-_xlfn.NORM.DIST(_xlfn.NORM.INV(SUM(D4:D5), 0, 1) + 1, 0, 1, TRUE), "")</f>
        <v>0.60826075484059894</v>
      </c>
      <c r="E2" s="52">
        <f>IFERROR(1-_xlfn.NORM.DIST(_xlfn.NORM.INV(SUM(E4:E5), 0, 1) + 1, 0, 1, TRUE), "")</f>
        <v>0.66064938667377682</v>
      </c>
      <c r="F2" s="52">
        <f>IFERROR(1-_xlfn.NORM.DIST(_xlfn.NORM.INV(SUM(F4:F5), 0, 1) + 1, 0, 1, TRUE), "")</f>
        <v>0.50696354384395903</v>
      </c>
      <c r="G2" s="52">
        <f>IFERROR(1-_xlfn.NORM.DIST(_xlfn.NORM.INV(SUM(G4:G5), 0, 1) + 1, 0, 1, TRUE), "")</f>
        <v>0.5225497464812574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0.29054724515940106</v>
      </c>
      <c r="D3" s="52">
        <f>IFERROR(_xlfn.NORM.DIST(_xlfn.NORM.INV(SUM(D4:D5), 0, 1) + 1, 0, 1, TRUE) - SUM(D4:D5), "")</f>
        <v>0.29054724515940106</v>
      </c>
      <c r="E3" s="52">
        <f>IFERROR(_xlfn.NORM.DIST(_xlfn.NORM.INV(SUM(E4:E5), 0, 1) + 1, 0, 1, TRUE) - SUM(E4:E5), "")</f>
        <v>0.26070431332622312</v>
      </c>
      <c r="F3" s="52">
        <f>IFERROR(_xlfn.NORM.DIST(_xlfn.NORM.INV(SUM(F4:F5), 0, 1) + 1, 0, 1, TRUE) - SUM(F4:F5), "")</f>
        <v>0.33856815615604102</v>
      </c>
      <c r="G3" s="52">
        <f>IFERROR(_xlfn.NORM.DIST(_xlfn.NORM.INV(SUM(G4:G5), 0, 1) + 1, 0, 1, TRUE) - SUM(G4:G5), "")</f>
        <v>0.33209265351874251</v>
      </c>
    </row>
    <row r="4" spans="1:15" ht="15.75" customHeight="1" x14ac:dyDescent="0.25">
      <c r="B4" s="5" t="s">
        <v>129</v>
      </c>
      <c r="C4" s="45">
        <v>5.9108500000000001E-2</v>
      </c>
      <c r="D4" s="53">
        <v>5.9108500000000001E-2</v>
      </c>
      <c r="E4" s="53">
        <v>6.2748399999999996E-2</v>
      </c>
      <c r="F4" s="53">
        <v>0.1231801</v>
      </c>
      <c r="G4" s="53">
        <v>0.1197159</v>
      </c>
    </row>
    <row r="5" spans="1:15" ht="15.75" customHeight="1" x14ac:dyDescent="0.25">
      <c r="B5" s="5" t="s">
        <v>125</v>
      </c>
      <c r="C5" s="45">
        <v>4.2083500000000003E-2</v>
      </c>
      <c r="D5" s="53">
        <v>4.2083500000000003E-2</v>
      </c>
      <c r="E5" s="53">
        <v>1.58979E-2</v>
      </c>
      <c r="F5" s="53">
        <v>3.1288200000000002E-2</v>
      </c>
      <c r="G5" s="53">
        <v>2.56417E-2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0.70899282567596544</v>
      </c>
      <c r="D8" s="52">
        <f>IFERROR(1-_xlfn.NORM.DIST(_xlfn.NORM.INV(SUM(D10:D11), 0, 1) + 1, 0, 1, TRUE), "")</f>
        <v>0.70899282567596544</v>
      </c>
      <c r="E8" s="52">
        <f>IFERROR(1-_xlfn.NORM.DIST(_xlfn.NORM.INV(SUM(E10:E11), 0, 1) + 1, 0, 1, TRUE), "")</f>
        <v>0.83997869295901217</v>
      </c>
      <c r="F8" s="52">
        <f>IFERROR(1-_xlfn.NORM.DIST(_xlfn.NORM.INV(SUM(F10:F11), 0, 1) + 1, 0, 1, TRUE), "")</f>
        <v>0.85056274921875852</v>
      </c>
      <c r="G8" s="52">
        <f>IFERROR(1-_xlfn.NORM.DIST(_xlfn.NORM.INV(SUM(G10:G11), 0, 1) + 1, 0, 1, TRUE), "")</f>
        <v>0.87706731255777304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0.23048977432403456</v>
      </c>
      <c r="D9" s="52">
        <f>IFERROR(_xlfn.NORM.DIST(_xlfn.NORM.INV(SUM(D10:D11), 0, 1) + 1, 0, 1, TRUE) - SUM(D10:D11), "")</f>
        <v>0.23048977432403456</v>
      </c>
      <c r="E9" s="52">
        <f>IFERROR(_xlfn.NORM.DIST(_xlfn.NORM.INV(SUM(E10:E11), 0, 1) + 1, 0, 1, TRUE) - SUM(E10:E11), "")</f>
        <v>0.13696550704098784</v>
      </c>
      <c r="F9" s="52">
        <f>IFERROR(_xlfn.NORM.DIST(_xlfn.NORM.INV(SUM(F10:F11), 0, 1) + 1, 0, 1, TRUE) - SUM(F10:F11), "")</f>
        <v>0.12870475078124149</v>
      </c>
      <c r="G9" s="52">
        <f>IFERROR(_xlfn.NORM.DIST(_xlfn.NORM.INV(SUM(G10:G11), 0, 1) + 1, 0, 1, TRUE) - SUM(G10:G11), "")</f>
        <v>0.10756378744222694</v>
      </c>
    </row>
    <row r="10" spans="1:15" ht="15.75" customHeight="1" x14ac:dyDescent="0.25">
      <c r="B10" s="5" t="s">
        <v>126</v>
      </c>
      <c r="C10" s="45">
        <v>4.39342E-2</v>
      </c>
      <c r="D10" s="53">
        <v>4.39342E-2</v>
      </c>
      <c r="E10" s="53">
        <v>1.8365699999999999E-2</v>
      </c>
      <c r="F10" s="53">
        <v>1.8070900000000001E-2</v>
      </c>
      <c r="G10" s="53">
        <v>1.32902E-2</v>
      </c>
    </row>
    <row r="11" spans="1:15" ht="15.75" customHeight="1" x14ac:dyDescent="0.25">
      <c r="B11" s="5" t="s">
        <v>138</v>
      </c>
      <c r="C11" s="45">
        <v>1.6583199999999999E-2</v>
      </c>
      <c r="D11" s="53">
        <v>1.6583199999999999E-2</v>
      </c>
      <c r="E11" s="53">
        <v>4.6901E-3</v>
      </c>
      <c r="F11" s="53">
        <v>2.6616000000000001E-3</v>
      </c>
      <c r="G11" s="53">
        <v>2.0787000000000002E-3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0.62117420374999999</v>
      </c>
      <c r="D14" s="54">
        <v>0.58930203002600001</v>
      </c>
      <c r="E14" s="54">
        <v>0.58930203002600001</v>
      </c>
      <c r="F14" s="54">
        <v>0.24906386424599999</v>
      </c>
      <c r="G14" s="54">
        <v>0.24906386424599999</v>
      </c>
      <c r="H14" s="45">
        <v>0.28999999999999998</v>
      </c>
      <c r="I14" s="55">
        <v>0.28999999999999998</v>
      </c>
      <c r="J14" s="55">
        <v>0.28999999999999998</v>
      </c>
      <c r="K14" s="55">
        <v>0.28999999999999998</v>
      </c>
      <c r="L14" s="45">
        <v>0.224</v>
      </c>
      <c r="M14" s="55">
        <v>0.224</v>
      </c>
      <c r="N14" s="55">
        <v>0.224</v>
      </c>
      <c r="O14" s="55">
        <v>0.224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0.35070315312737876</v>
      </c>
      <c r="D15" s="52">
        <f t="shared" si="0"/>
        <v>0.33270872941410912</v>
      </c>
      <c r="E15" s="52">
        <f t="shared" si="0"/>
        <v>0.33270872941410912</v>
      </c>
      <c r="F15" s="52">
        <f t="shared" si="0"/>
        <v>0.14061672553987092</v>
      </c>
      <c r="G15" s="52">
        <f t="shared" si="0"/>
        <v>0.14061672553987092</v>
      </c>
      <c r="H15" s="52">
        <f t="shared" si="0"/>
        <v>0.16372848999999998</v>
      </c>
      <c r="I15" s="52">
        <f t="shared" si="0"/>
        <v>0.16372848999999998</v>
      </c>
      <c r="J15" s="52">
        <f t="shared" si="0"/>
        <v>0.16372848999999998</v>
      </c>
      <c r="K15" s="52">
        <f t="shared" si="0"/>
        <v>0.16372848999999998</v>
      </c>
      <c r="L15" s="52">
        <f t="shared" si="0"/>
        <v>0.126466144</v>
      </c>
      <c r="M15" s="52">
        <f t="shared" si="0"/>
        <v>0.126466144</v>
      </c>
      <c r="N15" s="52">
        <f t="shared" si="0"/>
        <v>0.126466144</v>
      </c>
      <c r="O15" s="52">
        <f t="shared" si="0"/>
        <v>0.126466144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VeR7plfROgzmrsqAvH/0kv0LqY5Z6VIMjz9xbVS06SKAqDchLryV2baoNebtbi6D/7Ge5gMk2yNlPoiVPHMseQ==" saltValue="ng98jsl+qNBVlSAuJ4/Q8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0.67244680000000001</v>
      </c>
      <c r="D2" s="53">
        <v>0.43595139999999999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0.10238170000000001</v>
      </c>
      <c r="D3" s="53">
        <v>0.1227183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0.1800448</v>
      </c>
      <c r="D4" s="53">
        <v>0.38478410000000002</v>
      </c>
      <c r="E4" s="53">
        <v>0.86345870000000002</v>
      </c>
      <c r="F4" s="53">
        <v>0.66789280000000006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4.5126699999999964E-2</v>
      </c>
      <c r="D5" s="52">
        <f t="shared" si="0"/>
        <v>5.654619999999988E-2</v>
      </c>
      <c r="E5" s="52">
        <f>1-SUM(E2:E4)</f>
        <v>0.13654129999999998</v>
      </c>
      <c r="F5" s="52">
        <f>1-SUM(F2:F4)</f>
        <v>0.33210719999999994</v>
      </c>
      <c r="G5" s="52">
        <f>1-SUM(G2:G4)</f>
        <v>1</v>
      </c>
    </row>
  </sheetData>
  <sheetProtection algorithmName="SHA-512" hashValue="tAn+ofjxSNyve0B7YISaCczYXoBfP/EHgEEKqS9v+E0a6SSpxnpuIzBJ+3YU64dbvCzWT01YC6xZj8wm3cj+IA==" saltValue="5Abrz1xYg0VfTy2fj/7Ys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Jlj3si/p7tUjcYT6kNI9hmgFKYQa8PR7316hN3DTC2hTtwTQ9Y0cNfEO3aPzfTaVKkoA0uXmg92SES00Cf+a5Q==" saltValue="Yop9a9UxEojhi9JaKCOKh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10</v>
      </c>
      <c r="B1" s="103" t="s">
        <v>11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160</v>
      </c>
      <c r="B2" s="107">
        <v>5127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159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170</v>
      </c>
      <c r="B4" s="108">
        <v>0.52293000000000001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161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162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165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164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166</v>
      </c>
      <c r="B9" s="108">
        <v>0.50070000000000003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163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171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172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173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174</v>
      </c>
      <c r="B14" s="110">
        <v>1.4783849910393516E-2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167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168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169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175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12</v>
      </c>
      <c r="B21" s="106" t="s">
        <v>13</v>
      </c>
      <c r="C21" s="106" t="s">
        <v>14</v>
      </c>
      <c r="D21" s="106" t="s">
        <v>15</v>
      </c>
      <c r="E21" s="106" t="s">
        <v>16</v>
      </c>
      <c r="F21" s="106" t="s">
        <v>17</v>
      </c>
      <c r="G21" s="106" t="s">
        <v>18</v>
      </c>
      <c r="H21" s="106" t="s">
        <v>19</v>
      </c>
      <c r="I21" s="106" t="s">
        <v>20</v>
      </c>
      <c r="J21" s="106" t="s">
        <v>21</v>
      </c>
      <c r="K21" s="106" t="s">
        <v>22</v>
      </c>
      <c r="L21" s="106" t="s">
        <v>23</v>
      </c>
      <c r="M21" s="106" t="s">
        <v>24</v>
      </c>
      <c r="N21" s="106" t="s">
        <v>25</v>
      </c>
      <c r="O21" s="106" t="s">
        <v>26</v>
      </c>
    </row>
    <row r="22" spans="1:15" x14ac:dyDescent="0.25">
      <c r="A22" s="106" t="s">
        <v>176</v>
      </c>
      <c r="B22" s="107">
        <v>98676.861529999995</v>
      </c>
      <c r="C22" s="107">
        <v>98567.023329999996</v>
      </c>
      <c r="D22" s="107">
        <v>98359.311860000002</v>
      </c>
      <c r="E22" s="107">
        <v>97708.946790000002</v>
      </c>
      <c r="F22" s="107">
        <v>96929.74596</v>
      </c>
      <c r="G22" s="107">
        <v>96119.076090000002</v>
      </c>
      <c r="H22" s="107">
        <v>94867.496249999997</v>
      </c>
      <c r="I22" s="107">
        <v>93192.476330000005</v>
      </c>
      <c r="J22" s="107">
        <v>91435.740420000002</v>
      </c>
      <c r="K22" s="107">
        <v>89414.341130000001</v>
      </c>
      <c r="L22" s="107">
        <v>86748.167310000004</v>
      </c>
      <c r="M22" s="107">
        <v>83106.180689999994</v>
      </c>
      <c r="N22" s="107">
        <v>78358.569910000006</v>
      </c>
      <c r="O22" s="107">
        <v>71847.438460000005</v>
      </c>
    </row>
  </sheetData>
  <sheetProtection algorithmName="SHA-512" hashValue="kZHoBKPPYXNSDZKsQ+Owy8pX3DYb6A3RRY2zmwo/hT6CtxVUd7T6IFNsmi0PnHWaKYjzdg0+IUwI0+aLa9SixA==" saltValue="t6tEly+cUOjFxhI/HtNfS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Y5Defzl2H3ygcVh4zfkN1nEi9ZcaKq1w9XeyUkS+V7hb+jMNBpr1jDUNRrIAsC5fsHKTb9OoRK364LfhnmAkmg==" saltValue="f1s7AqWrYrScb4YWzmV96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+CT3HEQjteiDncYnYZtRMFkr4QVef1vg9qPG8y2QKiDHgDlbuEbv4+5L9lgHg5aYOBy7rTzNp/HWqbIkBV8Jlw==" saltValue="k+s+hiPYMqmDvQFLmaDp4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6">
        <v>0.95</v>
      </c>
      <c r="D2" s="56">
        <v>19.75</v>
      </c>
      <c r="E2" s="56" t="s">
        <v>212</v>
      </c>
      <c r="F2" s="96">
        <v>1</v>
      </c>
      <c r="G2" s="96">
        <v>1</v>
      </c>
    </row>
    <row r="3" spans="1:7" ht="15.75" customHeight="1" x14ac:dyDescent="0.25">
      <c r="A3" s="5" t="s">
        <v>195</v>
      </c>
      <c r="B3" s="45">
        <v>0</v>
      </c>
      <c r="C3" s="96">
        <v>0.95</v>
      </c>
      <c r="D3" s="56">
        <v>19.75</v>
      </c>
      <c r="E3" s="56" t="s">
        <v>212</v>
      </c>
      <c r="F3" s="96">
        <v>1</v>
      </c>
      <c r="G3" s="96">
        <v>1</v>
      </c>
    </row>
    <row r="4" spans="1:7" ht="15.75" customHeight="1" x14ac:dyDescent="0.25">
      <c r="A4" s="5" t="s">
        <v>196</v>
      </c>
      <c r="B4" s="96">
        <v>0</v>
      </c>
      <c r="C4" s="96">
        <v>0.95</v>
      </c>
      <c r="D4" s="56">
        <v>21.195</v>
      </c>
      <c r="E4" s="56" t="s">
        <v>212</v>
      </c>
      <c r="F4" s="96">
        <v>1</v>
      </c>
      <c r="G4" s="96">
        <v>1</v>
      </c>
    </row>
    <row r="5" spans="1:7" ht="15.75" customHeight="1" x14ac:dyDescent="0.25">
      <c r="A5" s="5" t="s">
        <v>198</v>
      </c>
      <c r="B5" s="96">
        <v>0</v>
      </c>
      <c r="C5" s="96">
        <v>0.95</v>
      </c>
      <c r="D5" s="56">
        <v>0.48</v>
      </c>
      <c r="E5" s="56" t="s">
        <v>212</v>
      </c>
      <c r="F5" s="96">
        <v>1</v>
      </c>
      <c r="G5" s="96">
        <v>1</v>
      </c>
    </row>
    <row r="6" spans="1:7" ht="15.75" customHeight="1" x14ac:dyDescent="0.25">
      <c r="A6" s="5" t="s">
        <v>199</v>
      </c>
      <c r="B6" s="96">
        <v>0</v>
      </c>
      <c r="C6" s="96">
        <v>0.95</v>
      </c>
      <c r="D6" s="56">
        <v>99.99</v>
      </c>
      <c r="E6" s="56" t="s">
        <v>212</v>
      </c>
      <c r="F6" s="96">
        <v>1</v>
      </c>
      <c r="G6" s="96">
        <v>1</v>
      </c>
    </row>
    <row r="7" spans="1:7" ht="15.75" customHeight="1" x14ac:dyDescent="0.25">
      <c r="A7" s="5" t="s">
        <v>200</v>
      </c>
      <c r="B7" s="96">
        <v>0</v>
      </c>
      <c r="C7" s="96">
        <v>0.95</v>
      </c>
      <c r="D7" s="56">
        <v>0.19</v>
      </c>
      <c r="E7" s="56" t="s">
        <v>212</v>
      </c>
      <c r="F7" s="96">
        <v>1</v>
      </c>
      <c r="G7" s="96">
        <v>1</v>
      </c>
    </row>
    <row r="8" spans="1:7" ht="15.75" customHeight="1" x14ac:dyDescent="0.25">
      <c r="A8" s="5" t="s">
        <v>201</v>
      </c>
      <c r="B8" s="96">
        <v>0</v>
      </c>
      <c r="C8" s="96">
        <v>0.95</v>
      </c>
      <c r="D8" s="56">
        <v>0.79</v>
      </c>
      <c r="E8" s="56" t="s">
        <v>212</v>
      </c>
      <c r="F8" s="96">
        <v>1</v>
      </c>
      <c r="G8" s="96">
        <v>1</v>
      </c>
    </row>
    <row r="9" spans="1:7" ht="15.75" customHeight="1" x14ac:dyDescent="0.25">
      <c r="A9" s="5" t="s">
        <v>202</v>
      </c>
      <c r="B9" s="96">
        <v>0.5</v>
      </c>
      <c r="C9" s="96">
        <v>0.95</v>
      </c>
      <c r="D9" s="56">
        <v>0.32855565777368906</v>
      </c>
      <c r="E9" s="56" t="s">
        <v>212</v>
      </c>
      <c r="F9" s="96">
        <v>1</v>
      </c>
      <c r="G9" s="96">
        <v>1</v>
      </c>
    </row>
    <row r="10" spans="1:7" ht="15.75" customHeight="1" x14ac:dyDescent="0.25">
      <c r="A10" s="11" t="s">
        <v>203</v>
      </c>
      <c r="B10" s="45">
        <v>0</v>
      </c>
      <c r="C10" s="96">
        <v>0.95</v>
      </c>
      <c r="D10" s="56">
        <v>13.02380484737747</v>
      </c>
      <c r="E10" s="56" t="s">
        <v>212</v>
      </c>
      <c r="F10" s="96">
        <v>1</v>
      </c>
      <c r="G10" s="96">
        <v>1</v>
      </c>
    </row>
    <row r="11" spans="1:7" ht="15.75" customHeight="1" x14ac:dyDescent="0.25">
      <c r="A11" s="11" t="s">
        <v>204</v>
      </c>
      <c r="B11" s="96">
        <v>0</v>
      </c>
      <c r="C11" s="96">
        <v>0.95</v>
      </c>
      <c r="D11" s="56">
        <v>13.02380484737747</v>
      </c>
      <c r="E11" s="56" t="s">
        <v>212</v>
      </c>
      <c r="F11" s="96">
        <v>1</v>
      </c>
      <c r="G11" s="96">
        <v>1</v>
      </c>
    </row>
    <row r="12" spans="1:7" ht="15.75" customHeight="1" x14ac:dyDescent="0.25">
      <c r="A12" s="11" t="s">
        <v>205</v>
      </c>
      <c r="B12" s="96">
        <v>0</v>
      </c>
      <c r="C12" s="96">
        <v>0.95</v>
      </c>
      <c r="D12" s="56">
        <v>13.02380484737747</v>
      </c>
      <c r="E12" s="56" t="s">
        <v>212</v>
      </c>
      <c r="F12" s="96">
        <v>1</v>
      </c>
      <c r="G12" s="96">
        <v>1</v>
      </c>
    </row>
    <row r="13" spans="1:7" ht="15.75" customHeight="1" x14ac:dyDescent="0.25">
      <c r="A13" s="11" t="s">
        <v>206</v>
      </c>
      <c r="B13" s="96">
        <v>0</v>
      </c>
      <c r="C13" s="96">
        <v>0.95</v>
      </c>
      <c r="D13" s="56">
        <v>13.02380484737747</v>
      </c>
      <c r="E13" s="56" t="s">
        <v>212</v>
      </c>
      <c r="F13" s="96">
        <v>1</v>
      </c>
      <c r="G13" s="96">
        <v>1</v>
      </c>
    </row>
    <row r="14" spans="1:7" ht="15.75" customHeight="1" x14ac:dyDescent="0.25">
      <c r="A14" s="5" t="s">
        <v>207</v>
      </c>
      <c r="B14" s="45">
        <v>0</v>
      </c>
      <c r="C14" s="96">
        <v>0.95</v>
      </c>
      <c r="D14" s="56">
        <v>13.02380484737747</v>
      </c>
      <c r="E14" s="56" t="s">
        <v>212</v>
      </c>
      <c r="F14" s="96">
        <v>1</v>
      </c>
      <c r="G14" s="96">
        <v>1</v>
      </c>
    </row>
    <row r="15" spans="1:7" ht="15.75" customHeight="1" x14ac:dyDescent="0.25">
      <c r="A15" s="5" t="s">
        <v>208</v>
      </c>
      <c r="B15" s="96">
        <v>0</v>
      </c>
      <c r="C15" s="96">
        <v>0.95</v>
      </c>
      <c r="D15" s="56">
        <v>13.02380484737747</v>
      </c>
      <c r="E15" s="56" t="s">
        <v>212</v>
      </c>
      <c r="F15" s="96">
        <v>1</v>
      </c>
      <c r="G15" s="96">
        <v>1</v>
      </c>
    </row>
    <row r="16" spans="1:7" ht="15.75" customHeight="1" x14ac:dyDescent="0.25">
      <c r="A16" s="5" t="s">
        <v>209</v>
      </c>
      <c r="B16" s="45">
        <v>0</v>
      </c>
      <c r="C16" s="96">
        <v>0.95</v>
      </c>
      <c r="D16" s="56">
        <v>2.5</v>
      </c>
      <c r="E16" s="56" t="s">
        <v>212</v>
      </c>
      <c r="F16" s="96">
        <v>1</v>
      </c>
      <c r="G16" s="96">
        <v>1</v>
      </c>
    </row>
    <row r="17" spans="1:7" ht="15.75" customHeight="1" x14ac:dyDescent="0.25">
      <c r="A17" s="5" t="s">
        <v>210</v>
      </c>
      <c r="B17" s="96">
        <v>0.30020833333333302</v>
      </c>
      <c r="C17" s="96">
        <v>0.95</v>
      </c>
      <c r="D17" s="56">
        <v>0.14000000000000001</v>
      </c>
      <c r="E17" s="56" t="s">
        <v>212</v>
      </c>
      <c r="F17" s="96">
        <v>1</v>
      </c>
      <c r="G17" s="96">
        <v>1</v>
      </c>
    </row>
    <row r="18" spans="1:7" ht="15.9" customHeight="1" x14ac:dyDescent="0.25">
      <c r="A18" s="5" t="s">
        <v>180</v>
      </c>
      <c r="B18" s="96">
        <v>0.43595139999999999</v>
      </c>
      <c r="C18" s="96">
        <v>0.95</v>
      </c>
      <c r="D18" s="56">
        <v>21.195</v>
      </c>
      <c r="E18" s="56" t="s">
        <v>212</v>
      </c>
      <c r="F18" s="96">
        <v>1</v>
      </c>
      <c r="G18" s="96">
        <v>1</v>
      </c>
    </row>
    <row r="19" spans="1:7" ht="15.75" customHeight="1" x14ac:dyDescent="0.25">
      <c r="A19" s="5" t="s">
        <v>181</v>
      </c>
      <c r="B19" s="96">
        <v>0.43595139999999999</v>
      </c>
      <c r="C19" s="96">
        <v>0.95</v>
      </c>
      <c r="D19" s="56">
        <v>9.7344812256272366</v>
      </c>
      <c r="E19" s="56" t="s">
        <v>212</v>
      </c>
      <c r="F19" s="96">
        <v>1</v>
      </c>
      <c r="G19" s="96">
        <v>1</v>
      </c>
    </row>
    <row r="20" spans="1:7" ht="15.75" customHeight="1" x14ac:dyDescent="0.25">
      <c r="A20" s="5" t="s">
        <v>182</v>
      </c>
      <c r="B20" s="96">
        <v>0</v>
      </c>
      <c r="C20" s="96">
        <v>0.95</v>
      </c>
      <c r="D20" s="56">
        <v>99.99</v>
      </c>
      <c r="E20" s="56" t="s">
        <v>212</v>
      </c>
      <c r="F20" s="96">
        <v>1</v>
      </c>
      <c r="G20" s="96">
        <v>1</v>
      </c>
    </row>
    <row r="21" spans="1:7" ht="15.75" customHeight="1" x14ac:dyDescent="0.25">
      <c r="A21" s="5" t="s">
        <v>211</v>
      </c>
      <c r="B21" s="45">
        <v>0</v>
      </c>
      <c r="C21" s="96">
        <v>0.95</v>
      </c>
      <c r="D21" s="56">
        <v>7.48</v>
      </c>
      <c r="E21" s="56" t="s">
        <v>212</v>
      </c>
      <c r="F21" s="96">
        <v>1</v>
      </c>
      <c r="G21" s="96">
        <v>1</v>
      </c>
    </row>
    <row r="22" spans="1:7" ht="15.75" customHeight="1" x14ac:dyDescent="0.25">
      <c r="A22" s="5" t="s">
        <v>213</v>
      </c>
      <c r="B22" s="96">
        <v>0</v>
      </c>
      <c r="C22" s="96">
        <v>0.95</v>
      </c>
      <c r="D22" s="56">
        <v>21.195</v>
      </c>
      <c r="E22" s="56" t="s">
        <v>212</v>
      </c>
      <c r="F22" s="96">
        <v>1</v>
      </c>
      <c r="G22" s="96">
        <v>1</v>
      </c>
    </row>
    <row r="23" spans="1:7" ht="15.75" customHeight="1" x14ac:dyDescent="0.25">
      <c r="A23" s="5" t="s">
        <v>214</v>
      </c>
      <c r="B23" s="96">
        <v>0</v>
      </c>
      <c r="C23" s="96">
        <v>0.95</v>
      </c>
      <c r="D23" s="56">
        <v>4.2866035394646582</v>
      </c>
      <c r="E23" s="56" t="s">
        <v>212</v>
      </c>
      <c r="F23" s="96">
        <v>1</v>
      </c>
      <c r="G23" s="96">
        <v>1</v>
      </c>
    </row>
    <row r="24" spans="1:7" ht="15.75" customHeight="1" x14ac:dyDescent="0.25">
      <c r="A24" s="5" t="s">
        <v>217</v>
      </c>
      <c r="B24" s="45">
        <v>0.69745919383433996</v>
      </c>
      <c r="C24" s="96">
        <v>0.95</v>
      </c>
      <c r="D24" s="56">
        <v>99.99</v>
      </c>
      <c r="E24" s="56" t="s">
        <v>212</v>
      </c>
      <c r="F24" s="96">
        <v>1</v>
      </c>
      <c r="G24" s="96">
        <v>1</v>
      </c>
    </row>
    <row r="25" spans="1:7" ht="15.75" customHeight="1" x14ac:dyDescent="0.25">
      <c r="A25" s="5" t="s">
        <v>218</v>
      </c>
      <c r="B25" s="96">
        <v>0</v>
      </c>
      <c r="C25" s="96">
        <v>0.95</v>
      </c>
      <c r="D25" s="56">
        <v>99.99</v>
      </c>
      <c r="E25" s="56" t="s">
        <v>212</v>
      </c>
      <c r="F25" s="96">
        <v>1</v>
      </c>
      <c r="G25" s="96">
        <v>1</v>
      </c>
    </row>
    <row r="26" spans="1:7" ht="15.75" customHeight="1" x14ac:dyDescent="0.25">
      <c r="A26" s="5" t="s">
        <v>219</v>
      </c>
      <c r="B26" s="45">
        <v>0</v>
      </c>
      <c r="C26" s="96">
        <v>0.95</v>
      </c>
      <c r="D26" s="56">
        <v>4.4421306161984946</v>
      </c>
      <c r="E26" s="56" t="s">
        <v>212</v>
      </c>
      <c r="F26" s="96">
        <v>1</v>
      </c>
      <c r="G26" s="96">
        <v>1</v>
      </c>
    </row>
    <row r="27" spans="1:7" ht="15.75" customHeight="1" x14ac:dyDescent="0.25">
      <c r="A27" s="5" t="s">
        <v>220</v>
      </c>
      <c r="B27" s="45">
        <v>0</v>
      </c>
      <c r="C27" s="96">
        <v>0.95</v>
      </c>
      <c r="D27" s="56">
        <v>9.2958524157825622</v>
      </c>
      <c r="E27" s="56" t="s">
        <v>212</v>
      </c>
      <c r="F27" s="96">
        <v>1</v>
      </c>
      <c r="G27" s="96">
        <v>1</v>
      </c>
    </row>
    <row r="28" spans="1:7" ht="15.75" customHeight="1" x14ac:dyDescent="0.25">
      <c r="A28" s="5" t="s">
        <v>221</v>
      </c>
      <c r="B28" s="45">
        <v>0.69842299999999991</v>
      </c>
      <c r="C28" s="96">
        <v>0.95</v>
      </c>
      <c r="D28" s="56">
        <v>99.99</v>
      </c>
      <c r="E28" s="56" t="s">
        <v>212</v>
      </c>
      <c r="F28" s="96">
        <v>1</v>
      </c>
      <c r="G28" s="96">
        <v>1</v>
      </c>
    </row>
    <row r="29" spans="1:7" ht="15.75" customHeight="1" x14ac:dyDescent="0.25">
      <c r="A29" s="5" t="s">
        <v>222</v>
      </c>
      <c r="B29" s="45">
        <v>0.72850910000000002</v>
      </c>
      <c r="C29" s="96">
        <v>0.95</v>
      </c>
      <c r="D29" s="56">
        <v>114.80634956846561</v>
      </c>
      <c r="E29" s="56" t="s">
        <v>212</v>
      </c>
      <c r="F29" s="96">
        <v>1</v>
      </c>
      <c r="G29" s="96">
        <v>1</v>
      </c>
    </row>
    <row r="30" spans="1:7" ht="15.75" customHeight="1" x14ac:dyDescent="0.25">
      <c r="A30" s="5" t="s">
        <v>233</v>
      </c>
      <c r="B30" s="96">
        <v>0</v>
      </c>
      <c r="C30" s="96">
        <v>0.95</v>
      </c>
      <c r="D30" s="56">
        <v>53.05</v>
      </c>
      <c r="E30" s="56" t="s">
        <v>212</v>
      </c>
      <c r="F30" s="96">
        <v>1</v>
      </c>
      <c r="G30" s="96">
        <v>1</v>
      </c>
    </row>
    <row r="31" spans="1:7" ht="15.75" customHeight="1" x14ac:dyDescent="0.25">
      <c r="A31" s="5" t="s">
        <v>193</v>
      </c>
      <c r="B31" s="45">
        <v>1.9300000000000001E-2</v>
      </c>
      <c r="C31" s="96">
        <v>0.95</v>
      </c>
      <c r="D31" s="56">
        <v>123.05968780269725</v>
      </c>
      <c r="E31" s="56" t="s">
        <v>212</v>
      </c>
      <c r="F31" s="96">
        <v>1</v>
      </c>
      <c r="G31" s="96">
        <v>1</v>
      </c>
    </row>
    <row r="32" spans="1:7" ht="15.75" customHeight="1" x14ac:dyDescent="0.25">
      <c r="A32" s="5" t="s">
        <v>225</v>
      </c>
      <c r="B32" s="45">
        <v>0</v>
      </c>
      <c r="C32" s="96">
        <v>0.95</v>
      </c>
      <c r="D32" s="56">
        <v>1.5917274986535743</v>
      </c>
      <c r="E32" s="56" t="s">
        <v>212</v>
      </c>
      <c r="F32" s="96">
        <v>1</v>
      </c>
      <c r="G32" s="96">
        <v>1</v>
      </c>
    </row>
    <row r="33" spans="1:7" ht="15.75" customHeight="1" x14ac:dyDescent="0.25">
      <c r="A33" s="5" t="s">
        <v>226</v>
      </c>
      <c r="B33" s="45">
        <v>0.90699580000000002</v>
      </c>
      <c r="C33" s="96">
        <v>0.95</v>
      </c>
      <c r="D33" s="56">
        <v>99.99</v>
      </c>
      <c r="E33" s="56" t="s">
        <v>212</v>
      </c>
      <c r="F33" s="96">
        <v>1</v>
      </c>
      <c r="G33" s="96">
        <v>1</v>
      </c>
    </row>
    <row r="34" spans="1:7" ht="15.75" customHeight="1" x14ac:dyDescent="0.25">
      <c r="A34" s="5" t="s">
        <v>227</v>
      </c>
      <c r="B34" s="45">
        <v>0.41810140000000001</v>
      </c>
      <c r="C34" s="96">
        <v>0.95</v>
      </c>
      <c r="D34" s="56">
        <v>99.99</v>
      </c>
      <c r="E34" s="56" t="s">
        <v>212</v>
      </c>
      <c r="F34" s="96">
        <v>1</v>
      </c>
      <c r="G34" s="96">
        <v>1</v>
      </c>
    </row>
    <row r="35" spans="1:7" ht="15.75" customHeight="1" x14ac:dyDescent="0.25">
      <c r="A35" s="5" t="s">
        <v>228</v>
      </c>
      <c r="B35" s="96">
        <v>0</v>
      </c>
      <c r="C35" s="96">
        <v>0.95</v>
      </c>
      <c r="D35" s="56">
        <v>99.99</v>
      </c>
      <c r="E35" s="56" t="s">
        <v>212</v>
      </c>
      <c r="F35" s="96">
        <v>1</v>
      </c>
      <c r="G35" s="96">
        <v>1</v>
      </c>
    </row>
    <row r="36" spans="1:7" ht="15.75" customHeight="1" x14ac:dyDescent="0.25">
      <c r="A36" s="5" t="s">
        <v>229</v>
      </c>
      <c r="B36" s="45">
        <v>4.23329E-2</v>
      </c>
      <c r="C36" s="96">
        <v>0.95</v>
      </c>
      <c r="D36" s="56">
        <v>99.99</v>
      </c>
      <c r="E36" s="56" t="s">
        <v>212</v>
      </c>
      <c r="F36" s="96">
        <v>1</v>
      </c>
      <c r="G36" s="96">
        <v>1</v>
      </c>
    </row>
    <row r="37" spans="1:7" ht="15.75" customHeight="1" x14ac:dyDescent="0.25">
      <c r="A37" s="5" t="s">
        <v>230</v>
      </c>
      <c r="B37" s="45">
        <v>0.92794939999999992</v>
      </c>
      <c r="C37" s="96">
        <v>0.95</v>
      </c>
      <c r="D37" s="56">
        <v>99.99</v>
      </c>
      <c r="E37" s="56" t="s">
        <v>212</v>
      </c>
      <c r="F37" s="96">
        <v>1</v>
      </c>
      <c r="G37" s="96">
        <v>1</v>
      </c>
    </row>
    <row r="38" spans="1:7" ht="15.75" customHeight="1" x14ac:dyDescent="0.25">
      <c r="A38" s="5" t="s">
        <v>231</v>
      </c>
      <c r="B38" s="45">
        <v>0.32745109999999999</v>
      </c>
      <c r="C38" s="96">
        <v>0.95</v>
      </c>
      <c r="D38" s="56">
        <v>2.4500000000000002</v>
      </c>
      <c r="E38" s="56" t="s">
        <v>212</v>
      </c>
      <c r="F38" s="96">
        <v>1</v>
      </c>
      <c r="G38" s="96">
        <v>1</v>
      </c>
    </row>
    <row r="39" spans="1:7" ht="15.75" customHeight="1" x14ac:dyDescent="0.25">
      <c r="A39" s="5" t="s">
        <v>232</v>
      </c>
      <c r="B39" s="45">
        <v>0</v>
      </c>
      <c r="C39" s="96">
        <v>0.95</v>
      </c>
      <c r="D39" s="56">
        <v>3.43</v>
      </c>
      <c r="E39" s="56" t="s">
        <v>212</v>
      </c>
      <c r="F39" s="96">
        <v>1</v>
      </c>
      <c r="G39" s="96">
        <v>1</v>
      </c>
    </row>
  </sheetData>
  <sheetProtection algorithmName="SHA-512" hashValue="ez+Jz5R8vuoEBMeKFdMmXdeSiR+mWk5ntflIvtVV4oSrMNXk1SyavsZukF6V3yj6kpXRfB3PAtg6X4ZdbKs4Dw==" saltValue="eaAPIPO99sqoIMAxtAuF7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AFzg8a57Q17UHfO3vaIfIImH08Hh9476rnmIbmPK+GhWMcMF03pMsuaFhNKu2iJOVbpXx9Ld0uLl2W+Z7E6EPA==" saltValue="LIyApD9QhMPb0hD1zxUjo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OSah8fMjbzYYvlrOYEYQWUnNm22tU7KAcoT4VRigvqdfPbTKPcEdi5x2FbGFSb9fsKEtAhMIKB7UNo9xxwsZyQ==" saltValue="hK5i7TB1IvE01pTt8xp8N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3.2</v>
      </c>
      <c r="C2" s="21">
        <f>'Entradas de población-año base'!C52</f>
        <v>3.2</v>
      </c>
      <c r="D2" s="21">
        <f>'Entradas de población-año base'!C53</f>
        <v>3.2</v>
      </c>
      <c r="E2" s="21">
        <f>'Entradas de población-año base'!C54</f>
        <v>3.2</v>
      </c>
      <c r="F2" s="21">
        <f>'Entradas de población-año base'!C55</f>
        <v>3.2</v>
      </c>
    </row>
    <row r="3" spans="1:6" ht="15.75" customHeight="1" x14ac:dyDescent="0.25">
      <c r="A3" s="3" t="s">
        <v>6</v>
      </c>
      <c r="B3" s="21">
        <f>frac_mam_1month * 2.6</f>
        <v>0.11422892</v>
      </c>
      <c r="C3" s="21">
        <f>frac_mam_1_5months * 2.6</f>
        <v>0.11422892</v>
      </c>
      <c r="D3" s="21">
        <f>frac_mam_6_11months * 2.6</f>
        <v>4.7750819999999999E-2</v>
      </c>
      <c r="E3" s="21">
        <f>frac_mam_12_23months * 2.6</f>
        <v>4.6984340000000006E-2</v>
      </c>
      <c r="F3" s="21">
        <f>frac_mam_24_59months * 2.6</f>
        <v>3.4554520000000005E-2</v>
      </c>
    </row>
    <row r="4" spans="1:6" ht="15.75" customHeight="1" x14ac:dyDescent="0.25">
      <c r="A4" s="3" t="s">
        <v>236</v>
      </c>
      <c r="B4" s="21">
        <f>frac_sam_1month * 2.6</f>
        <v>4.311632E-2</v>
      </c>
      <c r="C4" s="21">
        <f>frac_sam_1_5months * 2.6</f>
        <v>4.311632E-2</v>
      </c>
      <c r="D4" s="21">
        <f>frac_sam_6_11months * 2.6</f>
        <v>1.219426E-2</v>
      </c>
      <c r="E4" s="21">
        <f>frac_sam_12_23months * 2.6</f>
        <v>6.9201600000000007E-3</v>
      </c>
      <c r="F4" s="21">
        <f>frac_sam_24_59months * 2.6</f>
        <v>5.4046200000000006E-3</v>
      </c>
    </row>
  </sheetData>
  <sheetProtection algorithmName="SHA-512" hashValue="i8IBOqguHBYwL6sPyg9pudtRGysd2xeq90nMsr/GNDo+uAOafT4lGBg3BOpbijEntBxnS0LVfY3CXp0d74GMfQ==" saltValue="D+FvJGiMXD76bTY0zO5KG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1.4999999999999999E-2</v>
      </c>
      <c r="F2" s="60">
        <f>food_insecure</f>
        <v>1.4999999999999999E-2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1.4999999999999999E-2</v>
      </c>
      <c r="F5" s="60">
        <f>food_insecure</f>
        <v>1.4999999999999999E-2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1.4999999999999999E-2</v>
      </c>
      <c r="F8" s="60">
        <f>food_insecure</f>
        <v>1.4999999999999999E-2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1.4999999999999999E-2</v>
      </c>
      <c r="F9" s="60">
        <f>food_insecure</f>
        <v>1.4999999999999999E-2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1.4999999999999999E-2</v>
      </c>
      <c r="I15" s="60">
        <f t="shared" si="0"/>
        <v>1.4999999999999999E-2</v>
      </c>
      <c r="J15" s="60">
        <f t="shared" si="0"/>
        <v>1.4999999999999999E-2</v>
      </c>
      <c r="K15" s="60">
        <f t="shared" si="0"/>
        <v>1.4999999999999999E-2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1.4999999999999999E-2</v>
      </c>
      <c r="I16" s="60">
        <f t="shared" si="0"/>
        <v>1.4999999999999999E-2</v>
      </c>
      <c r="J16" s="60">
        <f t="shared" si="0"/>
        <v>1.4999999999999999E-2</v>
      </c>
      <c r="K16" s="60">
        <f t="shared" si="0"/>
        <v>1.4999999999999999E-2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0.18099999999999999</v>
      </c>
      <c r="M24" s="60">
        <f>famplan_unmet_need</f>
        <v>0.18099999999999999</v>
      </c>
      <c r="N24" s="60">
        <f>famplan_unmet_need</f>
        <v>0.18099999999999999</v>
      </c>
      <c r="O24" s="60">
        <f>famplan_unmet_need</f>
        <v>0.18099999999999999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0.19174549174308769</v>
      </c>
      <c r="M25" s="60">
        <f>(1-food_insecure)*(0.49)+food_insecure*(0.7)</f>
        <v>0.49314999999999998</v>
      </c>
      <c r="N25" s="60">
        <f>(1-food_insecure)*(0.49)+food_insecure*(0.7)</f>
        <v>0.49314999999999998</v>
      </c>
      <c r="O25" s="60">
        <f>(1-food_insecure)*(0.49)+food_insecure*(0.7)</f>
        <v>0.49314999999999998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8.2176639318466152E-2</v>
      </c>
      <c r="M26" s="60">
        <f>(1-food_insecure)*(0.21)+food_insecure*(0.3)</f>
        <v>0.21134999999999998</v>
      </c>
      <c r="N26" s="60">
        <f>(1-food_insecure)*(0.21)+food_insecure*(0.3)</f>
        <v>0.21134999999999998</v>
      </c>
      <c r="O26" s="60">
        <f>(1-food_insecure)*(0.21)+food_insecure*(0.3)</f>
        <v>0.21134999999999998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0.11489565610885616</v>
      </c>
      <c r="M27" s="60">
        <f>(1-food_insecure)*(0.3)</f>
        <v>0.29549999999999998</v>
      </c>
      <c r="N27" s="60">
        <f>(1-food_insecure)*(0.3)</f>
        <v>0.29549999999999998</v>
      </c>
      <c r="O27" s="60">
        <f>(1-food_insecure)*(0.3)</f>
        <v>0.29549999999999998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0.61118221282958984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7cVWzgr5xa9CdxqEu07XlPemsWxNjnYTJPbmUhmjzmQndcprYcDq7kylQ0+jFXFUBBq9ahwBlQJLwxyqDS6Hg==" saltValue="uQCc0GaGJu8QkA29Y0wKZ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i0Myc1nFWdYKCb1BkZkW6+14kI6fP47yN+2kc1biVL2/z2+Om0jkME0DQf+Bp99nIRQ7gZuuQWg4GVvv4uJVCA==" saltValue="Xi+L8v7tMlvfznbNjbEqp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0w0N1i3VLTY0Q4EN5dy4ZCdmc41eh4249VX+GqdFZ+N9rbL8nV/SvtteA97O2pZNgd31DNCBRpA1k1/gMwwX+Q==" saltValue="e3kcENey9sQg0He+oAK0l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jcuceQrAclyDWQdrDSNB+WkvzV2t7SUoiaFduh96BM9futNhF9SlVcU0jqJAuTTFfti0X1AhnI1M3piyAlQPJw==" saltValue="UvSljBfSdsl+q0VVcLLZu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192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13" t="s">
        <v>194</v>
      </c>
      <c r="B2" s="114"/>
      <c r="C2" s="114"/>
      <c r="D2" s="114"/>
      <c r="E2" s="114"/>
      <c r="F2" s="114"/>
      <c r="G2" s="114"/>
      <c r="H2" s="114"/>
      <c r="I2" s="114" t="s">
        <v>5</v>
      </c>
      <c r="J2" s="114"/>
      <c r="K2" s="114"/>
      <c r="L2" s="114"/>
    </row>
    <row r="3" spans="1:12" x14ac:dyDescent="0.25">
      <c r="A3" s="113" t="s">
        <v>195</v>
      </c>
      <c r="B3" s="114"/>
      <c r="C3" s="114"/>
      <c r="D3" s="114"/>
      <c r="E3" s="114"/>
      <c r="F3" s="114"/>
      <c r="G3" s="114"/>
      <c r="H3" s="114" t="s">
        <v>5</v>
      </c>
      <c r="I3" s="114" t="s">
        <v>5</v>
      </c>
      <c r="J3" s="114"/>
      <c r="K3" s="114"/>
      <c r="L3" s="114"/>
    </row>
    <row r="4" spans="1:12" x14ac:dyDescent="0.25">
      <c r="A4" s="113" t="s">
        <v>196</v>
      </c>
      <c r="B4" s="114" t="s">
        <v>5</v>
      </c>
      <c r="C4" s="114"/>
      <c r="D4" s="114" t="s">
        <v>5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198</v>
      </c>
      <c r="B5" s="114"/>
      <c r="C5" s="114" t="s">
        <v>5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199</v>
      </c>
      <c r="B6" s="114"/>
      <c r="C6" s="114"/>
      <c r="D6" s="114"/>
      <c r="E6" s="114"/>
      <c r="F6" s="114"/>
      <c r="G6" s="114"/>
      <c r="H6" s="114"/>
      <c r="I6" s="114"/>
      <c r="J6" s="114" t="s">
        <v>5</v>
      </c>
      <c r="K6" s="114" t="s">
        <v>5</v>
      </c>
      <c r="L6" s="114"/>
    </row>
    <row r="7" spans="1:12" x14ac:dyDescent="0.25">
      <c r="A7" s="113" t="s">
        <v>200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/>
      <c r="J7" s="114"/>
      <c r="K7" s="114"/>
      <c r="L7" s="114"/>
    </row>
    <row r="8" spans="1:12" x14ac:dyDescent="0.25">
      <c r="A8" s="113" t="s">
        <v>201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/>
      <c r="J8" s="114"/>
      <c r="K8" s="114"/>
      <c r="L8" s="114"/>
    </row>
    <row r="9" spans="1:12" x14ac:dyDescent="0.25">
      <c r="A9" s="113" t="s">
        <v>202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/>
      <c r="J9" s="114"/>
      <c r="K9" s="114"/>
      <c r="L9" s="114"/>
    </row>
    <row r="10" spans="1:12" x14ac:dyDescent="0.25">
      <c r="A10" s="113" t="s">
        <v>203</v>
      </c>
      <c r="B10" s="114"/>
      <c r="C10" s="114" t="s">
        <v>5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204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205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206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207</v>
      </c>
      <c r="B14" s="114"/>
      <c r="C14" s="114" t="s">
        <v>5</v>
      </c>
      <c r="D14" s="114"/>
      <c r="E14" s="114"/>
      <c r="F14" s="114"/>
      <c r="G14" s="114"/>
      <c r="H14" s="114"/>
      <c r="I14" s="114" t="s">
        <v>5</v>
      </c>
      <c r="J14" s="114"/>
      <c r="K14" s="114"/>
      <c r="L14" s="114"/>
    </row>
    <row r="15" spans="1:12" x14ac:dyDescent="0.25">
      <c r="A15" s="115" t="s">
        <v>208</v>
      </c>
      <c r="B15" s="114"/>
      <c r="C15" s="114" t="s">
        <v>5</v>
      </c>
      <c r="D15" s="114"/>
      <c r="E15" s="114"/>
      <c r="F15" s="114"/>
      <c r="G15" s="114"/>
      <c r="H15" s="114"/>
      <c r="I15" s="114" t="s">
        <v>5</v>
      </c>
      <c r="J15" s="114"/>
      <c r="K15" s="114"/>
      <c r="L15" s="114"/>
    </row>
    <row r="16" spans="1:12" x14ac:dyDescent="0.25">
      <c r="A16" s="113" t="s">
        <v>209</v>
      </c>
      <c r="B16" s="114"/>
      <c r="C16" s="114" t="s">
        <v>5</v>
      </c>
      <c r="D16" s="114"/>
      <c r="E16" s="114"/>
      <c r="F16" s="114"/>
      <c r="G16" s="114"/>
      <c r="H16" s="114" t="s">
        <v>5</v>
      </c>
      <c r="I16" s="114" t="s">
        <v>5</v>
      </c>
      <c r="J16" s="114"/>
      <c r="K16" s="114"/>
      <c r="L16" s="114"/>
    </row>
    <row r="17" spans="1:12" x14ac:dyDescent="0.25">
      <c r="A17" s="113" t="s">
        <v>210</v>
      </c>
      <c r="B17" s="114"/>
      <c r="C17" s="114" t="s">
        <v>5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180</v>
      </c>
      <c r="B18" s="114" t="s">
        <v>5</v>
      </c>
      <c r="C18" s="114"/>
      <c r="D18" s="114"/>
      <c r="E18" s="114"/>
      <c r="F18" s="114" t="s">
        <v>5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181</v>
      </c>
      <c r="B19" s="114" t="s">
        <v>5</v>
      </c>
      <c r="C19" s="114"/>
      <c r="D19" s="114"/>
      <c r="E19" s="114"/>
      <c r="F19" s="114" t="s">
        <v>5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182</v>
      </c>
      <c r="B20" s="114" t="s">
        <v>5</v>
      </c>
      <c r="C20" s="114"/>
      <c r="D20" s="114"/>
      <c r="E20" s="114"/>
      <c r="F20" s="114" t="s">
        <v>5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211</v>
      </c>
      <c r="B21" s="114"/>
      <c r="C21" s="114"/>
      <c r="D21" s="114"/>
      <c r="E21" s="114"/>
      <c r="F21" s="114"/>
      <c r="G21" s="114"/>
      <c r="H21" s="114" t="s">
        <v>5</v>
      </c>
      <c r="I21" s="114" t="s">
        <v>5</v>
      </c>
      <c r="J21" s="114"/>
      <c r="K21" s="114"/>
      <c r="L21" s="114"/>
    </row>
    <row r="22" spans="1:12" x14ac:dyDescent="0.25">
      <c r="A22" s="113" t="s">
        <v>213</v>
      </c>
      <c r="B22" s="114" t="s">
        <v>5</v>
      </c>
      <c r="C22" s="114" t="s">
        <v>5</v>
      </c>
      <c r="D22" s="114" t="s">
        <v>5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214</v>
      </c>
      <c r="B23" s="114"/>
      <c r="C23" s="114" t="s">
        <v>5</v>
      </c>
      <c r="D23" s="114"/>
      <c r="E23" s="114"/>
      <c r="F23" s="114"/>
      <c r="G23" s="114"/>
      <c r="H23" s="114"/>
      <c r="I23" s="114" t="s">
        <v>5</v>
      </c>
      <c r="J23" s="114"/>
      <c r="K23" s="114"/>
      <c r="L23" s="114"/>
    </row>
    <row r="24" spans="1:12" x14ac:dyDescent="0.25">
      <c r="A24" s="113" t="s">
        <v>217</v>
      </c>
      <c r="B24" s="114"/>
      <c r="C24" s="114"/>
      <c r="D24" s="114"/>
      <c r="E24" s="114"/>
      <c r="F24" s="114"/>
      <c r="G24" s="114"/>
      <c r="H24" s="114" t="s">
        <v>5</v>
      </c>
      <c r="I24" s="114"/>
      <c r="J24" s="114"/>
      <c r="K24" s="114"/>
      <c r="L24" s="114"/>
    </row>
    <row r="25" spans="1:12" x14ac:dyDescent="0.25">
      <c r="A25" s="113" t="s">
        <v>218</v>
      </c>
      <c r="B25" s="114"/>
      <c r="C25" s="114"/>
      <c r="D25" s="114"/>
      <c r="E25" s="114"/>
      <c r="F25" s="114"/>
      <c r="G25" s="114"/>
      <c r="H25" s="114" t="s">
        <v>5</v>
      </c>
      <c r="I25" s="114"/>
      <c r="J25" s="114"/>
      <c r="K25" s="114"/>
      <c r="L25" s="114"/>
    </row>
    <row r="26" spans="1:12" x14ac:dyDescent="0.25">
      <c r="A26" s="113" t="s">
        <v>219</v>
      </c>
      <c r="B26" s="114"/>
      <c r="C26" s="114" t="s">
        <v>5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220</v>
      </c>
      <c r="B27" s="114"/>
      <c r="C27" s="114" t="s">
        <v>5</v>
      </c>
      <c r="D27" s="114"/>
      <c r="E27" s="114"/>
      <c r="F27" s="114"/>
      <c r="G27" s="114"/>
      <c r="H27" s="114"/>
      <c r="I27" s="114" t="s">
        <v>5</v>
      </c>
      <c r="J27" s="114"/>
      <c r="K27" s="114"/>
      <c r="L27" s="114" t="s">
        <v>5</v>
      </c>
    </row>
    <row r="28" spans="1:12" x14ac:dyDescent="0.25">
      <c r="A28" s="113" t="s">
        <v>221</v>
      </c>
      <c r="B28" s="114"/>
      <c r="C28" s="114"/>
      <c r="D28" s="114"/>
      <c r="E28" s="114"/>
      <c r="F28" s="114"/>
      <c r="G28" s="114"/>
      <c r="H28" s="114" t="s">
        <v>5</v>
      </c>
      <c r="I28" s="114"/>
      <c r="J28" s="114"/>
      <c r="K28" s="114"/>
      <c r="L28" s="114"/>
    </row>
    <row r="29" spans="1:12" x14ac:dyDescent="0.25">
      <c r="A29" s="113" t="s">
        <v>222</v>
      </c>
      <c r="B29" s="114" t="s">
        <v>5</v>
      </c>
      <c r="C29" s="114"/>
      <c r="D29" s="114" t="s">
        <v>5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233</v>
      </c>
      <c r="B30" s="114" t="s">
        <v>5</v>
      </c>
      <c r="C30" s="114" t="s">
        <v>5</v>
      </c>
      <c r="D30" s="114" t="s">
        <v>5</v>
      </c>
      <c r="E30" s="114"/>
      <c r="F30" s="114"/>
      <c r="G30" s="114"/>
      <c r="H30" s="114" t="s">
        <v>5</v>
      </c>
      <c r="I30" s="114"/>
      <c r="J30" s="114"/>
      <c r="K30" s="114"/>
      <c r="L30" s="114"/>
    </row>
    <row r="31" spans="1:12" x14ac:dyDescent="0.25">
      <c r="A31" s="113" t="s">
        <v>193</v>
      </c>
      <c r="B31" s="114"/>
      <c r="C31" s="114"/>
      <c r="D31" s="114"/>
      <c r="E31" s="114" t="s">
        <v>5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225</v>
      </c>
      <c r="B32" s="114"/>
      <c r="C32" s="114"/>
      <c r="D32" s="114"/>
      <c r="E32" s="114"/>
      <c r="F32" s="114"/>
      <c r="G32" s="114" t="s">
        <v>5</v>
      </c>
      <c r="H32" s="114" t="s">
        <v>5</v>
      </c>
      <c r="I32" s="114"/>
      <c r="J32" s="114"/>
      <c r="K32" s="114"/>
      <c r="L32" s="114"/>
    </row>
    <row r="33" spans="1:12" x14ac:dyDescent="0.25">
      <c r="A33" s="113" t="s">
        <v>226</v>
      </c>
      <c r="B33" s="114"/>
      <c r="C33" s="114"/>
      <c r="D33" s="114"/>
      <c r="E33" s="114"/>
      <c r="F33" s="114"/>
      <c r="G33" s="114" t="s">
        <v>5</v>
      </c>
      <c r="H33" s="114" t="s">
        <v>5</v>
      </c>
      <c r="I33" s="114"/>
      <c r="J33" s="114"/>
      <c r="K33" s="114"/>
      <c r="L33" s="114"/>
    </row>
    <row r="34" spans="1:12" x14ac:dyDescent="0.25">
      <c r="A34" s="113" t="s">
        <v>227</v>
      </c>
      <c r="B34" s="114"/>
      <c r="C34" s="114"/>
      <c r="D34" s="114"/>
      <c r="E34" s="114"/>
      <c r="F34" s="114"/>
      <c r="G34" s="114" t="s">
        <v>5</v>
      </c>
      <c r="H34" s="114" t="s">
        <v>5</v>
      </c>
      <c r="I34" s="114"/>
      <c r="J34" s="114"/>
      <c r="K34" s="114"/>
      <c r="L34" s="114"/>
    </row>
    <row r="35" spans="1:12" x14ac:dyDescent="0.25">
      <c r="A35" s="113" t="s">
        <v>228</v>
      </c>
      <c r="B35" s="114"/>
      <c r="C35" s="114"/>
      <c r="D35" s="114"/>
      <c r="E35" s="114"/>
      <c r="F35" s="114"/>
      <c r="G35" s="114" t="s">
        <v>5</v>
      </c>
      <c r="H35" s="114" t="s">
        <v>5</v>
      </c>
      <c r="I35" s="114"/>
      <c r="J35" s="114"/>
      <c r="K35" s="114"/>
      <c r="L35" s="114"/>
    </row>
    <row r="36" spans="1:12" x14ac:dyDescent="0.25">
      <c r="A36" s="113" t="s">
        <v>229</v>
      </c>
      <c r="B36" s="114"/>
      <c r="C36" s="114"/>
      <c r="D36" s="114"/>
      <c r="E36" s="114"/>
      <c r="F36" s="114"/>
      <c r="G36" s="114" t="s">
        <v>5</v>
      </c>
      <c r="H36" s="114" t="s">
        <v>5</v>
      </c>
      <c r="I36" s="114"/>
      <c r="J36" s="114"/>
      <c r="K36" s="114"/>
      <c r="L36" s="114"/>
    </row>
    <row r="37" spans="1:12" x14ac:dyDescent="0.25">
      <c r="A37" s="113" t="s">
        <v>230</v>
      </c>
      <c r="B37" s="114"/>
      <c r="C37" s="114"/>
      <c r="D37" s="114"/>
      <c r="E37" s="114"/>
      <c r="F37" s="114"/>
      <c r="G37" s="114" t="s">
        <v>5</v>
      </c>
      <c r="H37" s="114" t="s">
        <v>5</v>
      </c>
      <c r="I37" s="114"/>
      <c r="J37" s="114"/>
      <c r="K37" s="114"/>
      <c r="L37" s="114"/>
    </row>
    <row r="38" spans="1:12" x14ac:dyDescent="0.25">
      <c r="A38" s="113" t="s">
        <v>231</v>
      </c>
      <c r="B38" s="114"/>
      <c r="C38" s="114"/>
      <c r="D38" s="114"/>
      <c r="E38" s="114"/>
      <c r="F38" s="114"/>
      <c r="G38" s="114"/>
      <c r="H38" s="114" t="s">
        <v>5</v>
      </c>
      <c r="I38" s="114"/>
      <c r="J38" s="114"/>
      <c r="K38" s="114"/>
      <c r="L38" s="114"/>
    </row>
    <row r="39" spans="1:12" x14ac:dyDescent="0.25">
      <c r="A39" s="113" t="s">
        <v>232</v>
      </c>
      <c r="B39" s="114" t="s">
        <v>5</v>
      </c>
      <c r="C39" s="114"/>
      <c r="D39" s="114"/>
      <c r="E39" s="114"/>
      <c r="F39" s="114"/>
      <c r="G39" s="114" t="s">
        <v>5</v>
      </c>
      <c r="H39" s="114" t="s">
        <v>5</v>
      </c>
      <c r="I39" s="114"/>
      <c r="J39" s="114"/>
      <c r="K39" s="114"/>
      <c r="L39" s="114"/>
    </row>
  </sheetData>
  <sheetProtection algorithmName="SHA-512" hashValue="j/2cCS0U9pXS4kLbR0nEon3FQbnHdNaJsqQykPuM8SJJlboHx5UCYATmvYUmmXEHdpW9PP/er3de3Xb+cESLNQ==" saltValue="ii6C1d26X9bVMImmKyzQI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264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06" t="s">
        <v>97</v>
      </c>
      <c r="B2" s="114" t="s">
        <v>5</v>
      </c>
      <c r="C2" s="114" t="s">
        <v>5</v>
      </c>
      <c r="D2" s="114" t="s">
        <v>5</v>
      </c>
      <c r="E2" s="114" t="s">
        <v>5</v>
      </c>
      <c r="F2" s="114" t="s">
        <v>5</v>
      </c>
      <c r="G2" s="114" t="s">
        <v>5</v>
      </c>
      <c r="H2" s="114" t="s">
        <v>5</v>
      </c>
      <c r="I2" s="114"/>
      <c r="J2" s="114"/>
      <c r="K2" s="114"/>
      <c r="L2" s="114"/>
    </row>
    <row r="3" spans="1:12" x14ac:dyDescent="0.25">
      <c r="A3" s="106" t="s">
        <v>93</v>
      </c>
      <c r="B3" s="114" t="s">
        <v>5</v>
      </c>
      <c r="C3" s="114" t="s">
        <v>5</v>
      </c>
      <c r="D3" s="114" t="s">
        <v>5</v>
      </c>
      <c r="E3" s="114" t="s">
        <v>5</v>
      </c>
      <c r="F3" s="114" t="s">
        <v>5</v>
      </c>
      <c r="G3" s="114" t="s">
        <v>5</v>
      </c>
      <c r="H3" s="114" t="s">
        <v>5</v>
      </c>
      <c r="I3" s="114"/>
      <c r="J3" s="114"/>
      <c r="K3" s="114"/>
      <c r="L3" s="114"/>
    </row>
    <row r="4" spans="1:12" x14ac:dyDescent="0.25">
      <c r="A4" s="106" t="s">
        <v>96</v>
      </c>
      <c r="B4" s="114" t="s">
        <v>5</v>
      </c>
      <c r="C4" s="114" t="s">
        <v>5</v>
      </c>
      <c r="D4" s="114" t="s">
        <v>5</v>
      </c>
      <c r="E4" s="114" t="s">
        <v>5</v>
      </c>
      <c r="F4" s="114" t="s">
        <v>5</v>
      </c>
      <c r="G4" s="114" t="s">
        <v>5</v>
      </c>
      <c r="H4" s="114" t="s">
        <v>5</v>
      </c>
      <c r="I4" s="114"/>
      <c r="J4" s="114"/>
      <c r="K4" s="114"/>
      <c r="L4" s="114"/>
    </row>
    <row r="5" spans="1:12" x14ac:dyDescent="0.25">
      <c r="A5" s="106" t="s">
        <v>94</v>
      </c>
      <c r="B5" s="114" t="s">
        <v>5</v>
      </c>
      <c r="C5" s="114" t="s">
        <v>5</v>
      </c>
      <c r="D5" s="114" t="s">
        <v>5</v>
      </c>
      <c r="E5" s="114" t="s">
        <v>5</v>
      </c>
      <c r="F5" s="114" t="s">
        <v>5</v>
      </c>
      <c r="G5" s="114" t="s">
        <v>5</v>
      </c>
      <c r="H5" s="114" t="s">
        <v>5</v>
      </c>
      <c r="I5" s="114"/>
      <c r="J5" s="114"/>
      <c r="K5" s="114"/>
      <c r="L5" s="114"/>
    </row>
    <row r="6" spans="1:12" x14ac:dyDescent="0.25">
      <c r="A6" s="106" t="s">
        <v>95</v>
      </c>
      <c r="B6" s="114" t="s">
        <v>5</v>
      </c>
      <c r="C6" s="114" t="s">
        <v>5</v>
      </c>
      <c r="D6" s="114" t="s">
        <v>5</v>
      </c>
      <c r="E6" s="114" t="s">
        <v>5</v>
      </c>
      <c r="F6" s="114" t="s">
        <v>5</v>
      </c>
      <c r="G6" s="114" t="s">
        <v>5</v>
      </c>
      <c r="H6" s="114" t="s">
        <v>5</v>
      </c>
      <c r="I6" s="114"/>
      <c r="J6" s="114"/>
      <c r="K6" s="114"/>
      <c r="L6" s="114"/>
    </row>
    <row r="7" spans="1:12" x14ac:dyDescent="0.25">
      <c r="A7" s="106" t="s">
        <v>132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 t="s">
        <v>5</v>
      </c>
      <c r="J7" s="114"/>
      <c r="K7" s="114"/>
      <c r="L7" s="114" t="s">
        <v>5</v>
      </c>
    </row>
    <row r="8" spans="1:12" x14ac:dyDescent="0.25">
      <c r="A8" s="106" t="s">
        <v>133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 t="s">
        <v>5</v>
      </c>
      <c r="J8" s="114"/>
      <c r="K8" s="114"/>
      <c r="L8" s="114" t="s">
        <v>5</v>
      </c>
    </row>
    <row r="9" spans="1:12" x14ac:dyDescent="0.25">
      <c r="A9" s="106" t="s">
        <v>134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 t="s">
        <v>5</v>
      </c>
      <c r="J9" s="114"/>
      <c r="K9" s="114"/>
      <c r="L9" s="114" t="s">
        <v>5</v>
      </c>
    </row>
    <row r="10" spans="1:12" x14ac:dyDescent="0.25">
      <c r="A10" s="106" t="s">
        <v>135</v>
      </c>
      <c r="B10" s="114"/>
      <c r="C10" s="114" t="s">
        <v>5</v>
      </c>
      <c r="D10" s="114"/>
      <c r="E10" s="114"/>
      <c r="F10" s="114"/>
      <c r="G10" s="114"/>
      <c r="H10" s="114" t="s">
        <v>5</v>
      </c>
      <c r="I10" s="114" t="s">
        <v>5</v>
      </c>
      <c r="J10" s="114"/>
      <c r="K10" s="114"/>
      <c r="L10" s="114" t="s">
        <v>5</v>
      </c>
    </row>
    <row r="11" spans="1:12" x14ac:dyDescent="0.25">
      <c r="A11" s="106" t="s">
        <v>87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 t="s">
        <v>5</v>
      </c>
      <c r="K11" s="114" t="s">
        <v>5</v>
      </c>
      <c r="L11" s="114"/>
    </row>
    <row r="12" spans="1:12" x14ac:dyDescent="0.25">
      <c r="A12" s="106" t="s">
        <v>88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 t="s">
        <v>5</v>
      </c>
      <c r="L12" s="114"/>
    </row>
    <row r="13" spans="1:12" x14ac:dyDescent="0.25">
      <c r="A13" s="106" t="s">
        <v>89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 t="s">
        <v>5</v>
      </c>
      <c r="L13" s="114"/>
    </row>
    <row r="14" spans="1:12" x14ac:dyDescent="0.25">
      <c r="A14" s="106" t="s">
        <v>90</v>
      </c>
      <c r="B14" s="114"/>
      <c r="C14" s="114" t="s">
        <v>5</v>
      </c>
      <c r="D14" s="114"/>
      <c r="E14" s="114"/>
      <c r="F14" s="114"/>
      <c r="G14" s="114"/>
      <c r="H14" s="114"/>
      <c r="I14" s="114"/>
      <c r="J14" s="114"/>
      <c r="K14" s="114" t="s">
        <v>5</v>
      </c>
      <c r="L14" s="114"/>
    </row>
  </sheetData>
  <sheetProtection algorithmName="SHA-512" hashValue="ewNAlH8976Z6D/mEkUlhJe24Yo8B7q8pnYw2if0q787WQhVaUnQ8yH3KVPlLOWOm2ITJ0nosPx8OzP91gdormw==" saltValue="uv4H+p5AOpGP42dif3iup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6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6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6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6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6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6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6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6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6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gNM1iTfX5SFGu/HLNI94NbZd9jeDStWOTYdBW8SFCd9fh39wmVn1GmniqqFU89vMYJ6iNWnB8bjmMhgViJzWxA==" saltValue="3w3sU3eXEfduf1DzbakgBw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307</v>
      </c>
    </row>
    <row r="2" spans="1:7" ht="14.25" customHeight="1" x14ac:dyDescent="0.3">
      <c r="A2" s="120" t="s">
        <v>237</v>
      </c>
      <c r="B2" s="105"/>
      <c r="C2" s="103" t="s">
        <v>97</v>
      </c>
      <c r="D2" s="103" t="s">
        <v>93</v>
      </c>
      <c r="E2" s="103" t="s">
        <v>96</v>
      </c>
      <c r="F2" s="103" t="s">
        <v>94</v>
      </c>
      <c r="G2" s="103" t="s">
        <v>95</v>
      </c>
    </row>
    <row r="3" spans="1:7" ht="14.25" customHeight="1" x14ac:dyDescent="0.25">
      <c r="B3" s="115" t="s">
        <v>294</v>
      </c>
      <c r="C3" s="116" t="s">
        <v>8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280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277</v>
      </c>
    </row>
    <row r="6" spans="1:7" ht="14.25" customHeight="1" x14ac:dyDescent="0.25">
      <c r="B6" s="115" t="s">
        <v>222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213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196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233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232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301</v>
      </c>
    </row>
    <row r="13" spans="1:7" ht="14.25" customHeight="1" x14ac:dyDescent="0.3">
      <c r="A13" s="121"/>
      <c r="B13" s="115" t="s">
        <v>211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308</v>
      </c>
    </row>
    <row r="16" spans="1:7" ht="14.25" customHeight="1" x14ac:dyDescent="0.3">
      <c r="A16" s="120" t="s">
        <v>311</v>
      </c>
      <c r="B16" s="115" t="s">
        <v>288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285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124</v>
      </c>
      <c r="B18" s="115" t="s">
        <v>291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304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199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307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237</v>
      </c>
      <c r="B26" s="105"/>
      <c r="C26" s="103" t="s">
        <v>97</v>
      </c>
      <c r="D26" s="103" t="s">
        <v>93</v>
      </c>
      <c r="E26" s="103" t="s">
        <v>96</v>
      </c>
      <c r="F26" s="103" t="s">
        <v>94</v>
      </c>
      <c r="G26" s="103" t="s">
        <v>95</v>
      </c>
    </row>
    <row r="27" spans="1:7" x14ac:dyDescent="0.25">
      <c r="B27" s="115" t="s">
        <v>295</v>
      </c>
      <c r="C27" s="116" t="s">
        <v>8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281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278</v>
      </c>
    </row>
    <row r="30" spans="1:7" x14ac:dyDescent="0.25">
      <c r="B30" s="115" t="s">
        <v>309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299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27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314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312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302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297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308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311</v>
      </c>
      <c r="B40" s="115" t="s">
        <v>289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286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124</v>
      </c>
      <c r="B42" s="115" t="s">
        <v>292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305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283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276</v>
      </c>
    </row>
    <row r="49" spans="1:7" ht="13" x14ac:dyDescent="0.3">
      <c r="A49" s="118" t="s">
        <v>307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237</v>
      </c>
      <c r="B50" s="105"/>
      <c r="C50" s="103" t="s">
        <v>97</v>
      </c>
      <c r="D50" s="103" t="s">
        <v>93</v>
      </c>
      <c r="E50" s="103" t="s">
        <v>96</v>
      </c>
      <c r="F50" s="103" t="s">
        <v>94</v>
      </c>
      <c r="G50" s="103" t="s">
        <v>95</v>
      </c>
    </row>
    <row r="51" spans="1:7" x14ac:dyDescent="0.25">
      <c r="B51" s="115" t="s">
        <v>296</v>
      </c>
      <c r="C51" s="116" t="s">
        <v>8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282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279</v>
      </c>
    </row>
    <row r="54" spans="1:7" x14ac:dyDescent="0.25">
      <c r="B54" s="115" t="s">
        <v>310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300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28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315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313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298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308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311</v>
      </c>
      <c r="B64" s="115" t="s">
        <v>290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287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124</v>
      </c>
      <c r="B66" s="115" t="s">
        <v>293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306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284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0qZzYf/l7QGt2gCFu0AwhLWLH1Fw2e4M4xHuH1TKQxJKf0ttPmByA9KcQTXCcR38EpJEc2XTxXILnr5TNgx2EQ==" saltValue="blqEfVM4MU3lTdOjh9gZZ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192</v>
      </c>
      <c r="B1" s="103"/>
      <c r="C1" s="103" t="s">
        <v>71</v>
      </c>
      <c r="D1" s="103" t="s">
        <v>78</v>
      </c>
      <c r="E1" s="103" t="s">
        <v>70</v>
      </c>
      <c r="F1" s="105" t="s">
        <v>77</v>
      </c>
    </row>
    <row r="2" spans="1:6" ht="15.75" customHeight="1" x14ac:dyDescent="0.25">
      <c r="A2" s="115" t="s">
        <v>194</v>
      </c>
      <c r="B2" s="115" t="s">
        <v>317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316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195</v>
      </c>
      <c r="B4" s="115" t="s">
        <v>317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207</v>
      </c>
      <c r="B6" s="115" t="s">
        <v>317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316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208</v>
      </c>
      <c r="B8" s="115" t="s">
        <v>317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316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209</v>
      </c>
      <c r="B10" s="115" t="s">
        <v>317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316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214</v>
      </c>
      <c r="B12" s="115" t="s">
        <v>317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316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220</v>
      </c>
      <c r="B14" s="115" t="s">
        <v>317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316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192</v>
      </c>
      <c r="B18" s="103"/>
      <c r="C18" s="103" t="s">
        <v>71</v>
      </c>
      <c r="D18" s="103" t="s">
        <v>78</v>
      </c>
      <c r="E18" s="103" t="s">
        <v>70</v>
      </c>
      <c r="F18" s="105" t="s">
        <v>77</v>
      </c>
    </row>
    <row r="19" spans="1:6" ht="15.75" customHeight="1" x14ac:dyDescent="0.25">
      <c r="A19" s="115" t="s">
        <v>194</v>
      </c>
      <c r="B19" s="115" t="s">
        <v>317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316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195</v>
      </c>
      <c r="B21" s="115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207</v>
      </c>
      <c r="B23" s="115" t="s">
        <v>317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316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208</v>
      </c>
      <c r="B25" s="115" t="s">
        <v>317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316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209</v>
      </c>
      <c r="B27" s="115" t="s">
        <v>317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316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214</v>
      </c>
      <c r="B29" s="115" t="s">
        <v>317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316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220</v>
      </c>
      <c r="B31" s="115" t="s">
        <v>317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316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276</v>
      </c>
    </row>
    <row r="35" spans="1:6" ht="15.75" customHeight="1" x14ac:dyDescent="0.3">
      <c r="A35" s="105" t="s">
        <v>192</v>
      </c>
      <c r="B35" s="103"/>
      <c r="C35" s="103" t="s">
        <v>71</v>
      </c>
      <c r="D35" s="103" t="s">
        <v>78</v>
      </c>
      <c r="E35" s="103" t="s">
        <v>70</v>
      </c>
      <c r="F35" s="105" t="s">
        <v>77</v>
      </c>
    </row>
    <row r="36" spans="1:6" ht="15.75" customHeight="1" x14ac:dyDescent="0.25">
      <c r="A36" s="115" t="s">
        <v>194</v>
      </c>
      <c r="B36" s="115" t="s">
        <v>317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316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195</v>
      </c>
      <c r="B38" s="115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207</v>
      </c>
      <c r="B40" s="115" t="s">
        <v>317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316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208</v>
      </c>
      <c r="B42" s="115" t="s">
        <v>317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316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209</v>
      </c>
      <c r="B44" s="115" t="s">
        <v>317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316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214</v>
      </c>
      <c r="B46" s="115" t="s">
        <v>317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316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220</v>
      </c>
      <c r="B48" s="115" t="s">
        <v>317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316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zwDvOdTixIn7EJbzy7ng7ZEGIBsOaP1CqggeCh0Fr6BGwV1AN2+dI8QNoeHrMiwhYwiY+ScjYjY9UbJ56pYvGw==" saltValue="tPnnLr0Ej0px6gP1liKrv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74u1TrOUrLsnprh/Vtry0MCy6iYpjsjNVzifI+xdshKhHbmDH9mCvTUggdCGBVNUc0rNJGAp6613EaH7xSmuug==" saltValue="3u4YBN5iLvvoFDMkv1q2I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O7gh61kmnQjhcS3lqjaFgtwSY/0Eoo4QWqn7fhRQJBdpoyxT21KfFeraur8s76JVb3ho/1sxl9uyJyGyvdwnag==" saltValue="cVzpfHzbKGq+4+OZgtCxy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213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m4Wrc4r6r6X8SEPsFqoPIVh/vqPEwYZoU6N8G3kj7XW65+SdtAl9ZoSWjVUegZOKSmjyn36Fdz/unQeKBwv1lA==" saltValue="3Pe/K3XBG6EXmdhIHD8x6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hE1yHkHm4hIDL9YfcU4YqeiexKE6UzBEB1ROghD98vqOEGfrHO1R+PT3vN5Bpvb7HgXQuR5j8iICk3G665/96A==" saltValue="R/ISNUjd5sfQkrdZuF/U/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192</v>
      </c>
      <c r="B1" s="103" t="s">
        <v>371</v>
      </c>
      <c r="C1" s="120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113" t="s">
        <v>225</v>
      </c>
      <c r="B2" s="113" t="s">
        <v>103</v>
      </c>
      <c r="C2" s="113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222</v>
      </c>
      <c r="B5" s="113" t="s">
        <v>236</v>
      </c>
      <c r="C5" s="113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6</v>
      </c>
      <c r="C7" s="113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213</v>
      </c>
      <c r="B9" s="113" t="s">
        <v>236</v>
      </c>
      <c r="C9" s="113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6</v>
      </c>
      <c r="C11" s="113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233</v>
      </c>
      <c r="B13" s="113" t="s">
        <v>236</v>
      </c>
      <c r="C13" s="113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6</v>
      </c>
      <c r="C15" s="113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370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196</v>
      </c>
      <c r="B19" s="113" t="s">
        <v>236</v>
      </c>
      <c r="C19" s="113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6</v>
      </c>
      <c r="C21" s="113" t="s">
        <v>368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369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202</v>
      </c>
      <c r="B23" s="113" t="s">
        <v>111</v>
      </c>
      <c r="C23" s="113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200</v>
      </c>
      <c r="B25" s="113" t="s">
        <v>111</v>
      </c>
      <c r="C25" s="113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201</v>
      </c>
      <c r="B27" s="113" t="s">
        <v>111</v>
      </c>
      <c r="C27" s="113" t="s">
        <v>368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370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229</v>
      </c>
      <c r="B29" s="113" t="s">
        <v>103</v>
      </c>
      <c r="C29" s="113" t="s">
        <v>368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370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230</v>
      </c>
      <c r="B32" s="113" t="s">
        <v>103</v>
      </c>
      <c r="C32" s="113" t="s">
        <v>368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370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228</v>
      </c>
      <c r="B35" s="113" t="s">
        <v>103</v>
      </c>
      <c r="C35" s="113" t="s">
        <v>368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370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227</v>
      </c>
      <c r="B38" s="113" t="s">
        <v>103</v>
      </c>
      <c r="C38" s="113" t="s">
        <v>368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370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226</v>
      </c>
      <c r="B41" s="113" t="s">
        <v>103</v>
      </c>
      <c r="C41" s="113" t="s">
        <v>368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370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232</v>
      </c>
      <c r="B44" s="113" t="s">
        <v>103</v>
      </c>
      <c r="C44" s="113" t="s">
        <v>368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370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369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121</v>
      </c>
      <c r="C47" s="113" t="s">
        <v>368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370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369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221</v>
      </c>
      <c r="B50" s="113" t="s">
        <v>103</v>
      </c>
      <c r="C50" s="113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370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231</v>
      </c>
      <c r="B52" s="113" t="s">
        <v>103</v>
      </c>
      <c r="C52" s="113" t="s">
        <v>368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370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211</v>
      </c>
      <c r="B54" s="113" t="s">
        <v>115</v>
      </c>
      <c r="C54" s="113" t="s">
        <v>368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370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360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192</v>
      </c>
      <c r="B58" s="103" t="s">
        <v>371</v>
      </c>
      <c r="C58" s="120" t="s">
        <v>9</v>
      </c>
      <c r="D58" s="4" t="s">
        <v>97</v>
      </c>
      <c r="E58" s="4" t="s">
        <v>93</v>
      </c>
      <c r="F58" s="4" t="s">
        <v>96</v>
      </c>
      <c r="G58" s="4" t="s">
        <v>94</v>
      </c>
      <c r="H58" s="4" t="s">
        <v>95</v>
      </c>
    </row>
    <row r="59" spans="1:8" x14ac:dyDescent="0.25">
      <c r="A59" s="113" t="s">
        <v>225</v>
      </c>
      <c r="B59" s="113" t="s">
        <v>103</v>
      </c>
      <c r="C59" s="113" t="s">
        <v>368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370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369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222</v>
      </c>
      <c r="B62" s="113" t="s">
        <v>236</v>
      </c>
      <c r="C62" s="113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6</v>
      </c>
      <c r="C64" s="113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213</v>
      </c>
      <c r="B66" s="113" t="s">
        <v>236</v>
      </c>
      <c r="C66" s="113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6</v>
      </c>
      <c r="C68" s="113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369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233</v>
      </c>
      <c r="B70" s="113" t="s">
        <v>236</v>
      </c>
      <c r="C70" s="113" t="s">
        <v>368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369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6</v>
      </c>
      <c r="C72" s="113" t="s">
        <v>368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368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370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196</v>
      </c>
      <c r="B76" s="113" t="s">
        <v>236</v>
      </c>
      <c r="C76" s="113" t="s">
        <v>368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369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6</v>
      </c>
      <c r="C78" s="113" t="s">
        <v>368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369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202</v>
      </c>
      <c r="B80" s="113" t="s">
        <v>111</v>
      </c>
      <c r="C80" s="113" t="s">
        <v>368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370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200</v>
      </c>
      <c r="B82" s="113" t="s">
        <v>111</v>
      </c>
      <c r="C82" s="113" t="s">
        <v>368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370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201</v>
      </c>
      <c r="B84" s="113" t="s">
        <v>111</v>
      </c>
      <c r="C84" s="113" t="s">
        <v>368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370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229</v>
      </c>
      <c r="B86" s="113" t="s">
        <v>103</v>
      </c>
      <c r="C86" s="113" t="s">
        <v>368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370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369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230</v>
      </c>
      <c r="B89" s="113" t="s">
        <v>103</v>
      </c>
      <c r="C89" s="113" t="s">
        <v>368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370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369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228</v>
      </c>
      <c r="B92" s="113" t="s">
        <v>103</v>
      </c>
      <c r="C92" s="113" t="s">
        <v>368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370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369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227</v>
      </c>
      <c r="B95" s="113" t="s">
        <v>103</v>
      </c>
      <c r="C95" s="113" t="s">
        <v>368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370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369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226</v>
      </c>
      <c r="B98" s="113" t="s">
        <v>103</v>
      </c>
      <c r="C98" s="113" t="s">
        <v>368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370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369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232</v>
      </c>
      <c r="B101" s="113" t="s">
        <v>103</v>
      </c>
      <c r="C101" s="113" t="s">
        <v>368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370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369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121</v>
      </c>
      <c r="C104" s="113" t="s">
        <v>368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370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369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221</v>
      </c>
      <c r="B107" s="113" t="s">
        <v>103</v>
      </c>
      <c r="C107" s="113" t="s">
        <v>368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370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231</v>
      </c>
      <c r="B109" s="113" t="s">
        <v>103</v>
      </c>
      <c r="C109" s="113" t="s">
        <v>368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370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211</v>
      </c>
      <c r="B111" s="113" t="s">
        <v>115</v>
      </c>
      <c r="C111" s="113" t="s">
        <v>368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370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367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192</v>
      </c>
      <c r="B115" s="103" t="s">
        <v>371</v>
      </c>
      <c r="C115" s="120" t="s">
        <v>9</v>
      </c>
      <c r="D115" s="4" t="s">
        <v>97</v>
      </c>
      <c r="E115" s="4" t="s">
        <v>93</v>
      </c>
      <c r="F115" s="4" t="s">
        <v>96</v>
      </c>
      <c r="G115" s="4" t="s">
        <v>94</v>
      </c>
      <c r="H115" s="4" t="s">
        <v>95</v>
      </c>
    </row>
    <row r="116" spans="1:8" x14ac:dyDescent="0.25">
      <c r="A116" s="113" t="s">
        <v>225</v>
      </c>
      <c r="B116" s="113" t="s">
        <v>103</v>
      </c>
      <c r="C116" s="113" t="s">
        <v>368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370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369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222</v>
      </c>
      <c r="B119" s="113" t="s">
        <v>236</v>
      </c>
      <c r="C119" s="113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6</v>
      </c>
      <c r="C121" s="113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213</v>
      </c>
      <c r="B123" s="113" t="s">
        <v>236</v>
      </c>
      <c r="C123" s="113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369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6</v>
      </c>
      <c r="C125" s="113" t="s">
        <v>368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369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233</v>
      </c>
      <c r="B127" s="113" t="s">
        <v>236</v>
      </c>
      <c r="C127" s="113" t="s">
        <v>368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369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6</v>
      </c>
      <c r="C129" s="113" t="s">
        <v>368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369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368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370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196</v>
      </c>
      <c r="B133" s="113" t="s">
        <v>236</v>
      </c>
      <c r="C133" s="113" t="s">
        <v>368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369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6</v>
      </c>
      <c r="C135" s="113" t="s">
        <v>368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369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202</v>
      </c>
      <c r="B137" s="113" t="s">
        <v>111</v>
      </c>
      <c r="C137" s="113" t="s">
        <v>368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370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200</v>
      </c>
      <c r="B139" s="113" t="s">
        <v>111</v>
      </c>
      <c r="C139" s="113" t="s">
        <v>368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370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201</v>
      </c>
      <c r="B141" s="113" t="s">
        <v>111</v>
      </c>
      <c r="C141" s="113" t="s">
        <v>368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370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229</v>
      </c>
      <c r="B143" s="113" t="s">
        <v>103</v>
      </c>
      <c r="C143" s="113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370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230</v>
      </c>
      <c r="B146" s="113" t="s">
        <v>103</v>
      </c>
      <c r="C146" s="113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228</v>
      </c>
      <c r="B149" s="113" t="s">
        <v>103</v>
      </c>
      <c r="C149" s="113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227</v>
      </c>
      <c r="B152" s="113" t="s">
        <v>103</v>
      </c>
      <c r="C152" s="113" t="s">
        <v>368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370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369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226</v>
      </c>
      <c r="B155" s="113" t="s">
        <v>103</v>
      </c>
      <c r="C155" s="113" t="s">
        <v>368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232</v>
      </c>
      <c r="B158" s="113" t="s">
        <v>103</v>
      </c>
      <c r="C158" s="113" t="s">
        <v>368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370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369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121</v>
      </c>
      <c r="C161" s="113" t="s">
        <v>368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370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369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221</v>
      </c>
      <c r="B164" s="113" t="s">
        <v>103</v>
      </c>
      <c r="C164" s="113" t="s">
        <v>368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370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231</v>
      </c>
      <c r="B166" s="113" t="s">
        <v>103</v>
      </c>
      <c r="C166" s="113" t="s">
        <v>368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370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211</v>
      </c>
      <c r="B168" s="113" t="s">
        <v>115</v>
      </c>
      <c r="C168" s="113" t="s">
        <v>368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370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VJL2fIqkbfrMGO9y2xHrdKnZY1EflObjTLVTE+RkH5wDSRWNupPGaz3868APcpzoBZMMs6quqhp3pfsz9IkRLQ==" saltValue="B09uWwBYyyxHxJbIPy9R6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ZStzLhDN2JgAvYob5/C1rSAQ4HobbP6jfftxR/6sgt6od/PQytEvzsjLzNCDgygccXppimj4mvWTOFsUn5O90A==" saltValue="arA0yAX0q+dFbsz96cuifQ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2025-07-30T01:03:11Z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