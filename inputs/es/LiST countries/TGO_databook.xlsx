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DD330262-D7E6-4510-AD7E-0059F9F3AD9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H38" i="2"/>
  <c r="G38" i="2"/>
  <c r="I38" i="2" s="1"/>
  <c r="H13" i="2"/>
  <c r="I13" i="2" s="1"/>
  <c r="G13" i="2"/>
  <c r="H12" i="2"/>
  <c r="G12" i="2"/>
  <c r="H11" i="2"/>
  <c r="I11" i="2" s="1"/>
  <c r="G11" i="2"/>
  <c r="H10" i="2"/>
  <c r="G10" i="2"/>
  <c r="I10" i="2" s="1"/>
  <c r="H9" i="2"/>
  <c r="I9" i="2" s="1"/>
  <c r="G9" i="2"/>
  <c r="H8" i="2"/>
  <c r="G8" i="2"/>
  <c r="H7" i="2"/>
  <c r="I7" i="2" s="1"/>
  <c r="G7" i="2"/>
  <c r="H6" i="2"/>
  <c r="G6" i="2"/>
  <c r="I6" i="2" s="1"/>
  <c r="H5" i="2"/>
  <c r="I5" i="2" s="1"/>
  <c r="G5" i="2"/>
  <c r="H4" i="2"/>
  <c r="G4" i="2"/>
  <c r="H3" i="2"/>
  <c r="I3" i="2" s="1"/>
  <c r="G3" i="2"/>
  <c r="H2" i="2"/>
  <c r="G2" i="2"/>
  <c r="I2" i="2" s="1"/>
  <c r="A2" i="2"/>
  <c r="A40" i="2" s="1"/>
  <c r="C33" i="1"/>
  <c r="C20" i="1"/>
  <c r="A17" i="2" l="1"/>
  <c r="A23" i="2"/>
  <c r="I40" i="2"/>
  <c r="A25" i="2"/>
  <c r="I4" i="2"/>
  <c r="I8" i="2"/>
  <c r="I12" i="2"/>
  <c r="A31" i="2"/>
  <c r="A15" i="2"/>
  <c r="A33" i="2"/>
  <c r="A16" i="2"/>
  <c r="A24" i="2"/>
  <c r="A32" i="2"/>
  <c r="A26" i="2"/>
  <c r="A34" i="2"/>
  <c r="A3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19" i="2"/>
  <c r="A27" i="2"/>
  <c r="A35" i="2"/>
  <c r="A20" i="2"/>
  <c r="A28" i="2"/>
  <c r="A36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<sst xmlns="http://schemas.openxmlformats.org/spreadsheetml/2006/main" count="2101" uniqueCount="341">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</sst>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1323554.78125</v>
      </c>
    </row>
    <row r="8" spans="1:3" ht="15" customHeight="1" x14ac:dyDescent="0.25">
      <c r="B8" s="5" t="s">
        <v>44</v>
      </c>
      <c r="C8" s="44">
        <v>0.498</v>
      </c>
    </row>
    <row r="9" spans="1:3" ht="15" customHeight="1" x14ac:dyDescent="0.25">
      <c r="B9" s="5" t="s">
        <v>43</v>
      </c>
      <c r="C9" s="45">
        <v>1</v>
      </c>
    </row>
    <row r="10" spans="1:3" ht="15" customHeight="1" x14ac:dyDescent="0.25">
      <c r="B10" s="5" t="s">
        <v>56</v>
      </c>
      <c r="C10" s="45">
        <v>0.33364898681640598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0.67900000000000005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0.10150000000000001</v>
      </c>
    </row>
    <row r="24" spans="1:3" ht="15" customHeight="1" x14ac:dyDescent="0.25">
      <c r="B24" s="15" t="s">
        <v>46</v>
      </c>
      <c r="C24" s="45">
        <v>0.48739999999999989</v>
      </c>
    </row>
    <row r="25" spans="1:3" ht="15" customHeight="1" x14ac:dyDescent="0.25">
      <c r="B25" s="15" t="s">
        <v>47</v>
      </c>
      <c r="C25" s="45">
        <v>0.33069999999999999</v>
      </c>
    </row>
    <row r="26" spans="1:3" ht="15" customHeight="1" x14ac:dyDescent="0.25">
      <c r="B26" s="15" t="s">
        <v>48</v>
      </c>
      <c r="C26" s="45">
        <v>8.0400000000000013E-2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0.23555809089780999</v>
      </c>
    </row>
    <row r="30" spans="1:3" ht="14.25" customHeight="1" x14ac:dyDescent="0.25">
      <c r="B30" s="25" t="s">
        <v>63</v>
      </c>
      <c r="C30" s="99">
        <v>3.4184984059818603E-2</v>
      </c>
    </row>
    <row r="31" spans="1:3" ht="14.25" customHeight="1" x14ac:dyDescent="0.25">
      <c r="B31" s="25" t="s">
        <v>10</v>
      </c>
      <c r="C31" s="99">
        <v>6.8897621814072496E-2</v>
      </c>
    </row>
    <row r="32" spans="1:3" ht="14.25" customHeight="1" x14ac:dyDescent="0.25">
      <c r="B32" s="25" t="s">
        <v>11</v>
      </c>
      <c r="C32" s="99">
        <v>0.66135930322829906</v>
      </c>
    </row>
    <row r="33" spans="1:5" ht="13" customHeight="1" x14ac:dyDescent="0.25">
      <c r="B33" s="27" t="s">
        <v>60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24.042400000000001</v>
      </c>
    </row>
    <row r="38" spans="1:5" ht="15" customHeight="1" x14ac:dyDescent="0.25">
      <c r="B38" s="11" t="s">
        <v>35</v>
      </c>
      <c r="C38" s="43">
        <v>43.35671</v>
      </c>
      <c r="D38" s="12"/>
      <c r="E38" s="13"/>
    </row>
    <row r="39" spans="1:5" ht="15" customHeight="1" x14ac:dyDescent="0.25">
      <c r="B39" s="11" t="s">
        <v>61</v>
      </c>
      <c r="C39" s="43">
        <v>62.60445</v>
      </c>
      <c r="D39" s="12"/>
      <c r="E39" s="12"/>
    </row>
    <row r="40" spans="1:5" ht="15" customHeight="1" x14ac:dyDescent="0.25">
      <c r="B40" s="11" t="s">
        <v>36</v>
      </c>
      <c r="C40" s="100">
        <v>3.99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20.872589999999999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7.9379999999999989E-3</v>
      </c>
      <c r="D45" s="12"/>
    </row>
    <row r="46" spans="1:5" ht="15.75" customHeight="1" x14ac:dyDescent="0.25">
      <c r="B46" s="11" t="s">
        <v>51</v>
      </c>
      <c r="C46" s="45">
        <v>8.529260000000001E-2</v>
      </c>
      <c r="D46" s="12"/>
    </row>
    <row r="47" spans="1:5" ht="15.75" customHeight="1" x14ac:dyDescent="0.25">
      <c r="B47" s="11" t="s">
        <v>59</v>
      </c>
      <c r="C47" s="45">
        <v>7.3451799999999998E-2</v>
      </c>
      <c r="D47" s="12"/>
      <c r="E47" s="13"/>
    </row>
    <row r="48" spans="1:5" ht="15" customHeight="1" x14ac:dyDescent="0.25">
      <c r="B48" s="11" t="s">
        <v>58</v>
      </c>
      <c r="C48" s="46">
        <v>0.83331759999999999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0.42155599999999999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0.16087605999999999</v>
      </c>
    </row>
    <row r="63" spans="1:4" ht="15.75" customHeight="1" x14ac:dyDescent="0.3">
      <c r="A63" s="4"/>
    </row>
  </sheetData>
  <sheetProtection algorithmName="SHA-512" hashValue="qLYI1hvlSMDS8eDLp4+XdQlkyM5te/zauiqabyUcanriCrHI2tNs23GMrJW25OlagKaEtiRqaXrUBYGG3bMwqw==" saltValue="7z3trNS9OhVOJQfSPV7N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284629</v>
      </c>
      <c r="C2" s="49">
        <v>592092.50000000012</v>
      </c>
      <c r="D2" s="49">
        <v>768076.5</v>
      </c>
      <c r="E2" s="49">
        <v>577717.5</v>
      </c>
      <c r="F2" s="49">
        <v>380112</v>
      </c>
      <c r="G2" s="17">
        <f t="shared" ref="G2:G13" si="0">C2+D2+E2+F2</f>
        <v>2317998.5</v>
      </c>
      <c r="H2" s="17">
        <f t="shared" ref="H2:H13" si="1">(B2 + stillbirth*B2/(1000-stillbirth))/(1-abortion)</f>
        <v>330337.0349468058</v>
      </c>
      <c r="I2" s="17">
        <f t="shared" ref="I2:I13" si="2">G2-H2</f>
        <v>1987661.4650531942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288578</v>
      </c>
      <c r="C3" s="50">
        <v>609174</v>
      </c>
      <c r="D3" s="50">
        <v>788384.5</v>
      </c>
      <c r="E3" s="50">
        <v>590757.5</v>
      </c>
      <c r="F3" s="50">
        <v>390511</v>
      </c>
      <c r="G3" s="17">
        <f t="shared" si="0"/>
        <v>2378827</v>
      </c>
      <c r="H3" s="17">
        <f t="shared" si="1"/>
        <v>334920.19741796982</v>
      </c>
      <c r="I3" s="17">
        <f t="shared" si="2"/>
        <v>2043906.8025820302</v>
      </c>
    </row>
    <row r="4" spans="1:9" ht="15.75" customHeight="1" x14ac:dyDescent="0.25">
      <c r="A4" s="5">
        <f t="shared" si="3"/>
        <v>2026</v>
      </c>
      <c r="B4" s="49">
        <v>292230</v>
      </c>
      <c r="C4" s="50">
        <v>624479.5</v>
      </c>
      <c r="D4" s="50">
        <v>810139.00000000012</v>
      </c>
      <c r="E4" s="50">
        <v>603882</v>
      </c>
      <c r="F4" s="50">
        <v>400762</v>
      </c>
      <c r="G4" s="17">
        <f t="shared" si="0"/>
        <v>2439262.5</v>
      </c>
      <c r="H4" s="17">
        <f t="shared" si="1"/>
        <v>339158.66521860054</v>
      </c>
      <c r="I4" s="17">
        <f t="shared" si="2"/>
        <v>2100103.8347813995</v>
      </c>
    </row>
    <row r="5" spans="1:9" ht="15.75" customHeight="1" x14ac:dyDescent="0.25">
      <c r="A5" s="5">
        <f t="shared" si="3"/>
        <v>2027</v>
      </c>
      <c r="B5" s="49">
        <v>295652</v>
      </c>
      <c r="C5" s="50">
        <v>637618.5</v>
      </c>
      <c r="D5" s="50">
        <v>833777.5</v>
      </c>
      <c r="E5" s="50">
        <v>617127.5</v>
      </c>
      <c r="F5" s="50">
        <v>410950.5</v>
      </c>
      <c r="G5" s="17">
        <f t="shared" si="0"/>
        <v>2499474</v>
      </c>
      <c r="H5" s="17">
        <f t="shared" si="1"/>
        <v>343130.19775248843</v>
      </c>
      <c r="I5" s="17">
        <f t="shared" si="2"/>
        <v>2156343.8022475117</v>
      </c>
    </row>
    <row r="6" spans="1:9" ht="15.75" customHeight="1" x14ac:dyDescent="0.25">
      <c r="A6" s="5">
        <f t="shared" si="3"/>
        <v>2028</v>
      </c>
      <c r="B6" s="49">
        <v>299710</v>
      </c>
      <c r="C6" s="50">
        <v>649249.5</v>
      </c>
      <c r="D6" s="50">
        <v>858575.5</v>
      </c>
      <c r="E6" s="50">
        <v>631026.5</v>
      </c>
      <c r="F6" s="50">
        <v>421288</v>
      </c>
      <c r="G6" s="17">
        <f t="shared" si="0"/>
        <v>2560139.5</v>
      </c>
      <c r="H6" s="17">
        <f t="shared" si="1"/>
        <v>347839.86432832619</v>
      </c>
      <c r="I6" s="17">
        <f t="shared" si="2"/>
        <v>2212299.6356716738</v>
      </c>
    </row>
    <row r="7" spans="1:9" ht="15.75" customHeight="1" x14ac:dyDescent="0.25">
      <c r="A7" s="5">
        <f t="shared" si="3"/>
        <v>2029</v>
      </c>
      <c r="B7" s="49">
        <v>305305</v>
      </c>
      <c r="C7" s="50">
        <v>659837.5</v>
      </c>
      <c r="D7" s="50">
        <v>883674</v>
      </c>
      <c r="E7" s="50">
        <v>646179</v>
      </c>
      <c r="F7" s="50">
        <v>431796</v>
      </c>
      <c r="G7" s="17">
        <f t="shared" si="0"/>
        <v>2621486.5</v>
      </c>
      <c r="H7" s="17">
        <f t="shared" si="1"/>
        <v>354333.3548388764</v>
      </c>
      <c r="I7" s="17">
        <f t="shared" si="2"/>
        <v>2267153.1451611235</v>
      </c>
    </row>
    <row r="8" spans="1:9" ht="15.75" customHeight="1" x14ac:dyDescent="0.25">
      <c r="A8" s="5">
        <f t="shared" si="3"/>
        <v>2030</v>
      </c>
      <c r="B8" s="49">
        <v>309803</v>
      </c>
      <c r="C8" s="50">
        <v>669460.49999999988</v>
      </c>
      <c r="D8" s="50">
        <v>909383</v>
      </c>
      <c r="E8" s="50">
        <v>662411</v>
      </c>
      <c r="F8" s="50">
        <v>442427</v>
      </c>
      <c r="G8" s="17">
        <f t="shared" si="0"/>
        <v>2683681.5</v>
      </c>
      <c r="H8" s="17">
        <f t="shared" si="1"/>
        <v>359553.68018587452</v>
      </c>
      <c r="I8" s="17">
        <f t="shared" si="2"/>
        <v>2324127.8198141255</v>
      </c>
    </row>
    <row r="9" spans="1:9" ht="15.75" customHeight="1" x14ac:dyDescent="0.25">
      <c r="A9" s="5">
        <f t="shared" si="3"/>
        <v>2031</v>
      </c>
      <c r="B9" s="49">
        <v>312774</v>
      </c>
      <c r="C9" s="50">
        <v>679026</v>
      </c>
      <c r="D9" s="50">
        <v>934839</v>
      </c>
      <c r="E9" s="50">
        <v>679550.00000000012</v>
      </c>
      <c r="F9" s="50">
        <v>453193</v>
      </c>
      <c r="G9" s="17">
        <f t="shared" si="0"/>
        <v>2746608</v>
      </c>
      <c r="H9" s="17">
        <f t="shared" si="1"/>
        <v>363001.78747932304</v>
      </c>
      <c r="I9" s="17">
        <f t="shared" si="2"/>
        <v>2383606.2125206771</v>
      </c>
    </row>
    <row r="10" spans="1:9" ht="15.75" customHeight="1" x14ac:dyDescent="0.25">
      <c r="A10" s="5">
        <f t="shared" si="3"/>
        <v>2032</v>
      </c>
      <c r="B10" s="49">
        <v>317742</v>
      </c>
      <c r="C10" s="50">
        <v>689190</v>
      </c>
      <c r="D10" s="50">
        <v>958975</v>
      </c>
      <c r="E10" s="50">
        <v>697711</v>
      </c>
      <c r="F10" s="50">
        <v>464167.5</v>
      </c>
      <c r="G10" s="17">
        <f t="shared" si="0"/>
        <v>2810043.5</v>
      </c>
      <c r="H10" s="17">
        <f t="shared" si="1"/>
        <v>368767.58924096974</v>
      </c>
      <c r="I10" s="17">
        <f t="shared" si="2"/>
        <v>2441275.9107590304</v>
      </c>
    </row>
    <row r="11" spans="1:9" ht="15.75" customHeight="1" x14ac:dyDescent="0.25">
      <c r="A11" s="5">
        <f t="shared" si="3"/>
        <v>2033</v>
      </c>
      <c r="B11" s="49">
        <v>321744</v>
      </c>
      <c r="C11" s="50">
        <v>699728</v>
      </c>
      <c r="D11" s="50">
        <v>982140.5</v>
      </c>
      <c r="E11" s="50">
        <v>716761.5</v>
      </c>
      <c r="F11" s="50">
        <v>475324.5</v>
      </c>
      <c r="G11" s="17">
        <f t="shared" si="0"/>
        <v>2873954.5</v>
      </c>
      <c r="H11" s="17">
        <f t="shared" si="1"/>
        <v>373412.26288229617</v>
      </c>
      <c r="I11" s="17">
        <f t="shared" si="2"/>
        <v>2500542.237117704</v>
      </c>
    </row>
    <row r="12" spans="1:9" ht="15.75" customHeight="1" x14ac:dyDescent="0.25">
      <c r="A12" s="5">
        <f t="shared" si="3"/>
        <v>2034</v>
      </c>
      <c r="B12" s="49">
        <v>325570</v>
      </c>
      <c r="C12" s="50">
        <v>710202.5</v>
      </c>
      <c r="D12" s="50">
        <v>1005113.5</v>
      </c>
      <c r="E12" s="50">
        <v>736208.00000000012</v>
      </c>
      <c r="F12" s="50">
        <v>486599.5</v>
      </c>
      <c r="G12" s="17">
        <f t="shared" si="0"/>
        <v>2938123.5</v>
      </c>
      <c r="H12" s="17">
        <f t="shared" si="1"/>
        <v>377852.67301515857</v>
      </c>
      <c r="I12" s="17">
        <f t="shared" si="2"/>
        <v>2560270.8269848414</v>
      </c>
    </row>
    <row r="13" spans="1:9" ht="15.75" customHeight="1" x14ac:dyDescent="0.25">
      <c r="A13" s="5">
        <f t="shared" si="3"/>
        <v>2035</v>
      </c>
      <c r="B13" s="49">
        <v>330172</v>
      </c>
      <c r="C13" s="50">
        <v>720422</v>
      </c>
      <c r="D13" s="50">
        <v>1027745</v>
      </c>
      <c r="E13" s="50">
        <v>756369.5</v>
      </c>
      <c r="F13" s="50">
        <v>498114</v>
      </c>
      <c r="G13" s="17">
        <f t="shared" si="0"/>
        <v>3002650.5</v>
      </c>
      <c r="H13" s="17">
        <f t="shared" si="1"/>
        <v>383193.69952624908</v>
      </c>
      <c r="I13" s="17">
        <f t="shared" si="2"/>
        <v>2619456.800473751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qj0YlU6Z2nwKylXyUTDWGiU/QmBD9kKP/ZAPJ1MxGpjguajS0iwa+Iq/naBLRIzR7G8cOu07O7GYo1KutnRe4w==" saltValue="SxLmshOqXUN4wGjg2LZdg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1.657067544407495E-2</v>
      </c>
    </row>
    <row r="4" spans="1:8" ht="15.75" customHeight="1" x14ac:dyDescent="0.25">
      <c r="B4" s="19" t="s">
        <v>97</v>
      </c>
      <c r="C4" s="101">
        <v>7.4120555470898866E-2</v>
      </c>
    </row>
    <row r="5" spans="1:8" ht="15.75" customHeight="1" x14ac:dyDescent="0.25">
      <c r="B5" s="19" t="s">
        <v>95</v>
      </c>
      <c r="C5" s="101">
        <v>0.1088008429259477</v>
      </c>
    </row>
    <row r="6" spans="1:8" ht="15.75" customHeight="1" x14ac:dyDescent="0.25">
      <c r="B6" s="19" t="s">
        <v>91</v>
      </c>
      <c r="C6" s="101">
        <v>0.25677873974801529</v>
      </c>
    </row>
    <row r="7" spans="1:8" ht="15.75" customHeight="1" x14ac:dyDescent="0.25">
      <c r="B7" s="19" t="s">
        <v>96</v>
      </c>
      <c r="C7" s="101">
        <v>0.36988411970846008</v>
      </c>
    </row>
    <row r="8" spans="1:8" ht="15.75" customHeight="1" x14ac:dyDescent="0.25">
      <c r="B8" s="19" t="s">
        <v>98</v>
      </c>
      <c r="C8" s="101">
        <v>2.8233694090527761E-3</v>
      </c>
    </row>
    <row r="9" spans="1:8" ht="15.75" customHeight="1" x14ac:dyDescent="0.25">
      <c r="B9" s="19" t="s">
        <v>92</v>
      </c>
      <c r="C9" s="101">
        <v>5.5443065754671679E-2</v>
      </c>
    </row>
    <row r="10" spans="1:8" ht="15.75" customHeight="1" x14ac:dyDescent="0.25">
      <c r="B10" s="19" t="s">
        <v>94</v>
      </c>
      <c r="C10" s="101">
        <v>0.1155786315388786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0.15073770571059761</v>
      </c>
      <c r="D14" s="55">
        <v>0.15073770571059761</v>
      </c>
      <c r="E14" s="55">
        <v>0.15073770571059761</v>
      </c>
      <c r="F14" s="55">
        <v>0.15073770571059761</v>
      </c>
    </row>
    <row r="15" spans="1:8" ht="15.75" customHeight="1" x14ac:dyDescent="0.25">
      <c r="B15" s="19" t="s">
        <v>102</v>
      </c>
      <c r="C15" s="101">
        <v>0.2246449483302744</v>
      </c>
      <c r="D15" s="101">
        <v>0.2246449483302744</v>
      </c>
      <c r="E15" s="101">
        <v>0.2246449483302744</v>
      </c>
      <c r="F15" s="101">
        <v>0.2246449483302744</v>
      </c>
    </row>
    <row r="16" spans="1:8" ht="15.75" customHeight="1" x14ac:dyDescent="0.25">
      <c r="B16" s="19" t="s">
        <v>2</v>
      </c>
      <c r="C16" s="101">
        <v>2.822839752136674E-2</v>
      </c>
      <c r="D16" s="101">
        <v>2.822839752136674E-2</v>
      </c>
      <c r="E16" s="101">
        <v>2.822839752136674E-2</v>
      </c>
      <c r="F16" s="101">
        <v>2.822839752136674E-2</v>
      </c>
    </row>
    <row r="17" spans="1:8" ht="15.75" customHeight="1" x14ac:dyDescent="0.25">
      <c r="B17" s="19" t="s">
        <v>90</v>
      </c>
      <c r="C17" s="101">
        <v>2.7112007522432147E-4</v>
      </c>
      <c r="D17" s="101">
        <v>2.7112007522432147E-4</v>
      </c>
      <c r="E17" s="101">
        <v>2.7112007522432147E-4</v>
      </c>
      <c r="F17" s="101">
        <v>2.7112007522432147E-4</v>
      </c>
    </row>
    <row r="18" spans="1:8" ht="15.75" customHeight="1" x14ac:dyDescent="0.25">
      <c r="B18" s="19" t="s">
        <v>3</v>
      </c>
      <c r="C18" s="101">
        <v>0.27503508057082687</v>
      </c>
      <c r="D18" s="101">
        <v>0.27503508057082687</v>
      </c>
      <c r="E18" s="101">
        <v>0.27503508057082687</v>
      </c>
      <c r="F18" s="101">
        <v>0.27503508057082687</v>
      </c>
    </row>
    <row r="19" spans="1:8" ht="15.75" customHeight="1" x14ac:dyDescent="0.25">
      <c r="B19" s="19" t="s">
        <v>101</v>
      </c>
      <c r="C19" s="101">
        <v>2.040962263752499E-2</v>
      </c>
      <c r="D19" s="101">
        <v>2.040962263752499E-2</v>
      </c>
      <c r="E19" s="101">
        <v>2.040962263752499E-2</v>
      </c>
      <c r="F19" s="101">
        <v>2.040962263752499E-2</v>
      </c>
    </row>
    <row r="20" spans="1:8" ht="15.75" customHeight="1" x14ac:dyDescent="0.25">
      <c r="B20" s="19" t="s">
        <v>79</v>
      </c>
      <c r="C20" s="101">
        <v>5.8000995162372573E-2</v>
      </c>
      <c r="D20" s="101">
        <v>5.8000995162372573E-2</v>
      </c>
      <c r="E20" s="101">
        <v>5.8000995162372573E-2</v>
      </c>
      <c r="F20" s="101">
        <v>5.8000995162372573E-2</v>
      </c>
    </row>
    <row r="21" spans="1:8" ht="15.75" customHeight="1" x14ac:dyDescent="0.25">
      <c r="B21" s="19" t="s">
        <v>88</v>
      </c>
      <c r="C21" s="101">
        <v>9.9798367117911957E-2</v>
      </c>
      <c r="D21" s="101">
        <v>9.9798367117911957E-2</v>
      </c>
      <c r="E21" s="101">
        <v>9.9798367117911957E-2</v>
      </c>
      <c r="F21" s="101">
        <v>9.9798367117911957E-2</v>
      </c>
    </row>
    <row r="22" spans="1:8" ht="15.75" customHeight="1" x14ac:dyDescent="0.25">
      <c r="B22" s="19" t="s">
        <v>99</v>
      </c>
      <c r="C22" s="101">
        <v>0.14287376287390041</v>
      </c>
      <c r="D22" s="101">
        <v>0.14287376287390041</v>
      </c>
      <c r="E22" s="101">
        <v>0.14287376287390041</v>
      </c>
      <c r="F22" s="101">
        <v>0.14287376287390041</v>
      </c>
    </row>
    <row r="23" spans="1:8" ht="15.75" customHeight="1" x14ac:dyDescent="0.25">
      <c r="B23" s="27" t="s">
        <v>60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8.6770851999999982E-2</v>
      </c>
    </row>
    <row r="27" spans="1:8" ht="15.75" customHeight="1" x14ac:dyDescent="0.25">
      <c r="B27" s="19" t="s">
        <v>89</v>
      </c>
      <c r="C27" s="101">
        <v>8.6437730000000004E-3</v>
      </c>
    </row>
    <row r="28" spans="1:8" ht="15.75" customHeight="1" x14ac:dyDescent="0.25">
      <c r="B28" s="19" t="s">
        <v>103</v>
      </c>
      <c r="C28" s="101">
        <v>0.153215352</v>
      </c>
    </row>
    <row r="29" spans="1:8" ht="15.75" customHeight="1" x14ac:dyDescent="0.25">
      <c r="B29" s="19" t="s">
        <v>86</v>
      </c>
      <c r="C29" s="101">
        <v>0.165097191</v>
      </c>
    </row>
    <row r="30" spans="1:8" ht="15.75" customHeight="1" x14ac:dyDescent="0.25">
      <c r="B30" s="19" t="s">
        <v>4</v>
      </c>
      <c r="C30" s="101">
        <v>0.10312302</v>
      </c>
    </row>
    <row r="31" spans="1:8" ht="15.75" customHeight="1" x14ac:dyDescent="0.25">
      <c r="B31" s="19" t="s">
        <v>80</v>
      </c>
      <c r="C31" s="101">
        <v>0.106218667</v>
      </c>
    </row>
    <row r="32" spans="1:8" ht="15.75" customHeight="1" x14ac:dyDescent="0.25">
      <c r="B32" s="19" t="s">
        <v>85</v>
      </c>
      <c r="C32" s="101">
        <v>1.8201770999999999E-2</v>
      </c>
    </row>
    <row r="33" spans="2:3" ht="15.75" customHeight="1" x14ac:dyDescent="0.25">
      <c r="B33" s="19" t="s">
        <v>100</v>
      </c>
      <c r="C33" s="101">
        <v>8.2691194999999981E-2</v>
      </c>
    </row>
    <row r="34" spans="2:3" ht="15.75" customHeight="1" x14ac:dyDescent="0.25">
      <c r="B34" s="19" t="s">
        <v>87</v>
      </c>
      <c r="C34" s="101">
        <v>0.27603818000000002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HQJITVSlGkJ7WYklTbUE8pbh4l8ZIGvX49nPys8EkMWXbhHNRNnY9otoNYPyXFJEiVHrxpCpAv8iawx2zGptAw==" saltValue="5Vi9XiBGMuDSw2Ec37sCj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0.57919360397197361</v>
      </c>
      <c r="D2" s="52">
        <f>IFERROR(1-_xlfn.NORM.DIST(_xlfn.NORM.INV(SUM(D4:D5), 0, 1) + 1, 0, 1, TRUE), "")</f>
        <v>0.57919360397197361</v>
      </c>
      <c r="E2" s="52">
        <f>IFERROR(1-_xlfn.NORM.DIST(_xlfn.NORM.INV(SUM(E4:E5), 0, 1) + 1, 0, 1, TRUE), "")</f>
        <v>0.5463948001767307</v>
      </c>
      <c r="F2" s="52">
        <f>IFERROR(1-_xlfn.NORM.DIST(_xlfn.NORM.INV(SUM(F4:F5), 0, 1) + 1, 0, 1, TRUE), "")</f>
        <v>0.37279200832134851</v>
      </c>
      <c r="G2" s="52">
        <f>IFERROR(1-_xlfn.NORM.DIST(_xlfn.NORM.INV(SUM(G4:G5), 0, 1) + 1, 0, 1, TRUE), "")</f>
        <v>0.34714277559116313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0.30570389602802639</v>
      </c>
      <c r="D3" s="52">
        <f>IFERROR(_xlfn.NORM.DIST(_xlfn.NORM.INV(SUM(D4:D5), 0, 1) + 1, 0, 1, TRUE) - SUM(D4:D5), "")</f>
        <v>0.30570389602802639</v>
      </c>
      <c r="E3" s="52">
        <f>IFERROR(_xlfn.NORM.DIST(_xlfn.NORM.INV(SUM(E4:E5), 0, 1) + 1, 0, 1, TRUE) - SUM(E4:E5), "")</f>
        <v>0.32151349982326938</v>
      </c>
      <c r="F3" s="52">
        <f>IFERROR(_xlfn.NORM.DIST(_xlfn.NORM.INV(SUM(F4:F5), 0, 1) + 1, 0, 1, TRUE) - SUM(F4:F5), "")</f>
        <v>0.37753919167865146</v>
      </c>
      <c r="G3" s="52">
        <f>IFERROR(_xlfn.NORM.DIST(_xlfn.NORM.INV(SUM(G4:G5), 0, 1) + 1, 0, 1, TRUE) - SUM(G4:G5), "")</f>
        <v>0.38091652440883683</v>
      </c>
    </row>
    <row r="4" spans="1:15" ht="15.75" customHeight="1" x14ac:dyDescent="0.25">
      <c r="B4" s="5" t="s">
        <v>110</v>
      </c>
      <c r="C4" s="45">
        <v>8.1605000000000011E-2</v>
      </c>
      <c r="D4" s="53">
        <v>8.1605000000000011E-2</v>
      </c>
      <c r="E4" s="53">
        <v>0.1052949</v>
      </c>
      <c r="F4" s="53">
        <v>0.18231169999999999</v>
      </c>
      <c r="G4" s="53">
        <v>0.19312360000000001</v>
      </c>
    </row>
    <row r="5" spans="1:15" ht="15.75" customHeight="1" x14ac:dyDescent="0.25">
      <c r="B5" s="5" t="s">
        <v>106</v>
      </c>
      <c r="C5" s="45">
        <v>3.3497499999999999E-2</v>
      </c>
      <c r="D5" s="53">
        <v>3.3497499999999999E-2</v>
      </c>
      <c r="E5" s="53">
        <v>2.6796799999999999E-2</v>
      </c>
      <c r="F5" s="53">
        <v>6.7357100000000003E-2</v>
      </c>
      <c r="G5" s="53">
        <v>7.8817100000000001E-2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0.73361145467145561</v>
      </c>
      <c r="D8" s="52">
        <f>IFERROR(1-_xlfn.NORM.DIST(_xlfn.NORM.INV(SUM(D10:D11), 0, 1) + 1, 0, 1, TRUE), "")</f>
        <v>0.73361145467145561</v>
      </c>
      <c r="E8" s="52">
        <f>IFERROR(1-_xlfn.NORM.DIST(_xlfn.NORM.INV(SUM(E10:E11), 0, 1) + 1, 0, 1, TRUE), "")</f>
        <v>0.64267290186158221</v>
      </c>
      <c r="F8" s="52">
        <f>IFERROR(1-_xlfn.NORM.DIST(_xlfn.NORM.INV(SUM(F10:F11), 0, 1) + 1, 0, 1, TRUE), "")</f>
        <v>0.64945178546766857</v>
      </c>
      <c r="G8" s="52">
        <f>IFERROR(1-_xlfn.NORM.DIST(_xlfn.NORM.INV(SUM(G10:G11), 0, 1) + 1, 0, 1, TRUE), "")</f>
        <v>0.75907848725239124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0.21417634532854435</v>
      </c>
      <c r="D9" s="52">
        <f>IFERROR(_xlfn.NORM.DIST(_xlfn.NORM.INV(SUM(D10:D11), 0, 1) + 1, 0, 1, TRUE) - SUM(D10:D11), "")</f>
        <v>0.21417634532854435</v>
      </c>
      <c r="E9" s="52">
        <f>IFERROR(_xlfn.NORM.DIST(_xlfn.NORM.INV(SUM(E10:E11), 0, 1) + 1, 0, 1, TRUE) - SUM(E10:E11), "")</f>
        <v>0.27129679813841778</v>
      </c>
      <c r="F9" s="52">
        <f>IFERROR(_xlfn.NORM.DIST(_xlfn.NORM.INV(SUM(F10:F11), 0, 1) + 1, 0, 1, TRUE) - SUM(F10:F11), "")</f>
        <v>0.26734461453233144</v>
      </c>
      <c r="G9" s="52">
        <f>IFERROR(_xlfn.NORM.DIST(_xlfn.NORM.INV(SUM(G10:G11), 0, 1) + 1, 0, 1, TRUE) - SUM(G10:G11), "")</f>
        <v>0.1966694127476088</v>
      </c>
    </row>
    <row r="10" spans="1:15" ht="15.75" customHeight="1" x14ac:dyDescent="0.25">
      <c r="B10" s="5" t="s">
        <v>107</v>
      </c>
      <c r="C10" s="45">
        <v>2.8096699999999999E-2</v>
      </c>
      <c r="D10" s="53">
        <v>2.8096699999999999E-2</v>
      </c>
      <c r="E10" s="53">
        <v>6.3847899999999999E-2</v>
      </c>
      <c r="F10" s="53">
        <v>7.6616400000000001E-2</v>
      </c>
      <c r="G10" s="53">
        <v>3.5812400000000001E-2</v>
      </c>
    </row>
    <row r="11" spans="1:15" ht="15.75" customHeight="1" x14ac:dyDescent="0.25">
      <c r="B11" s="5" t="s">
        <v>119</v>
      </c>
      <c r="C11" s="45">
        <v>2.4115500000000002E-2</v>
      </c>
      <c r="D11" s="53">
        <v>2.4115500000000002E-2</v>
      </c>
      <c r="E11" s="53">
        <v>2.2182400000000001E-2</v>
      </c>
      <c r="F11" s="53">
        <v>6.5871999999999997E-3</v>
      </c>
      <c r="G11" s="53">
        <v>8.4396999999999996E-3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0.88048884075</v>
      </c>
      <c r="D14" s="54">
        <v>0.87291714786499996</v>
      </c>
      <c r="E14" s="54">
        <v>0.87291714786499996</v>
      </c>
      <c r="F14" s="54">
        <v>0.76156848676900002</v>
      </c>
      <c r="G14" s="54">
        <v>0.76156848676900002</v>
      </c>
      <c r="H14" s="45">
        <v>0.61399999999999999</v>
      </c>
      <c r="I14" s="55">
        <v>0.61399999999999999</v>
      </c>
      <c r="J14" s="55">
        <v>0.61399999999999999</v>
      </c>
      <c r="K14" s="55">
        <v>0.61399999999999999</v>
      </c>
      <c r="L14" s="45">
        <v>0.47699999999999998</v>
      </c>
      <c r="M14" s="55">
        <v>0.47699999999999998</v>
      </c>
      <c r="N14" s="55">
        <v>0.47699999999999998</v>
      </c>
      <c r="O14" s="55">
        <v>0.47699999999999998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0.37117535375120697</v>
      </c>
      <c r="D15" s="52">
        <f t="shared" si="0"/>
        <v>0.36798346118537789</v>
      </c>
      <c r="E15" s="52">
        <f t="shared" si="0"/>
        <v>0.36798346118537789</v>
      </c>
      <c r="F15" s="52">
        <f t="shared" si="0"/>
        <v>0.32104376500839255</v>
      </c>
      <c r="G15" s="52">
        <f t="shared" si="0"/>
        <v>0.32104376500839255</v>
      </c>
      <c r="H15" s="52">
        <f t="shared" si="0"/>
        <v>0.258835384</v>
      </c>
      <c r="I15" s="52">
        <f t="shared" si="0"/>
        <v>0.258835384</v>
      </c>
      <c r="J15" s="52">
        <f t="shared" si="0"/>
        <v>0.258835384</v>
      </c>
      <c r="K15" s="52">
        <f t="shared" si="0"/>
        <v>0.258835384</v>
      </c>
      <c r="L15" s="52">
        <f t="shared" si="0"/>
        <v>0.20108221199999998</v>
      </c>
      <c r="M15" s="52">
        <f t="shared" si="0"/>
        <v>0.20108221199999998</v>
      </c>
      <c r="N15" s="52">
        <f t="shared" si="0"/>
        <v>0.20108221199999998</v>
      </c>
      <c r="O15" s="52">
        <f t="shared" si="0"/>
        <v>0.20108221199999998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egoDkxSPd2lVW6TCDMiLIJn2ZKn4Dz8ZYP2XSnPSDKDPG6eh/8KeseND3U5vGYP8yH6et7fJ4yu2lMGUFBeCw==" saltValue="VlUorp4SMQX5Xqq+QFaB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0.85698930000000006</v>
      </c>
      <c r="D2" s="53">
        <v>0.61859039999999998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4.8051399999999987E-2</v>
      </c>
      <c r="D3" s="53">
        <v>0.16119710000000001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8.3939299999999994E-2</v>
      </c>
      <c r="D4" s="53">
        <v>0.21219060000000001</v>
      </c>
      <c r="E4" s="53">
        <v>0.97784219999999999</v>
      </c>
      <c r="F4" s="53">
        <v>0.79836010000000002</v>
      </c>
      <c r="G4" s="53">
        <v>0</v>
      </c>
    </row>
    <row r="5" spans="1:7" x14ac:dyDescent="0.25">
      <c r="B5" s="3" t="s">
        <v>125</v>
      </c>
      <c r="C5" s="52">
        <v>1.102E-2</v>
      </c>
      <c r="D5" s="52">
        <v>8.0219000000000002E-3</v>
      </c>
      <c r="E5" s="52">
        <f>1-SUM(E2:E4)</f>
        <v>2.2157800000000005E-2</v>
      </c>
      <c r="F5" s="52">
        <f>1-SUM(F2:F4)</f>
        <v>0.20163989999999998</v>
      </c>
      <c r="G5" s="52">
        <f>1-SUM(G2:G4)</f>
        <v>1</v>
      </c>
    </row>
  </sheetData>
  <sheetProtection algorithmName="SHA-512" hashValue="JHFcI7hrNJDzIqxB/3Lm2xwxmZab72k2JRGmU9pqD2mevupw61PywtV085DUcoFYSmbp+OCiAcZObLm8c6XLyQ==" saltValue="5SK0s3R2ikL99NExLBL5e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qMwSEAGMKDhaeaWTsb5TE/xqwbxP1PsNeu/iIAhEsgI2yiKTRntUA4q1hFTnrhp6TXkxp76wtIh8WsXyifTnQ==" saltValue="PBgK4jI7dmbcbpj6l3x/M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W+CBchkvus7aTgOMFNUDjYwCYCnbYikuhvKQHWFvLSfhT8yOpH8ArJ2Yr9VGpc4cRjImi71Ugglzaeeyp7cUDw==" saltValue="Qx5e45agCQgMoa4zsEu04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OQOv/3T2XM8aizhV+RebUDHIta+pcoIcF5iEd+SIyLpXi+SHj1yJz955r9wwNmBdQfaIwqaLLP3JyPZ85pWkaQ==" saltValue="QJUHyeo/ZBKWBBvAf26HQ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ZHkx7UH9e3JTRQFYQWcfOmRuFSMRKlunAvgP3dvsAb8sexdzKZNaNDHmeRy/ZOI7isCXHcIbcCqBe+qm6S8OUg==" saltValue="UlhY/IoE8XbDJadTRoE9e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65.60734264525216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19.75203299904819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7.2861200073283072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0.15522933646183931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0.32139211884942109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0.96417635654826328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0.5</v>
      </c>
      <c r="C9" s="98">
        <v>0.95</v>
      </c>
      <c r="D9" s="56">
        <v>0.5099421619077481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0.37144779999999999</v>
      </c>
      <c r="C10" s="98">
        <v>0.95</v>
      </c>
      <c r="D10" s="56">
        <v>14.170171901025009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14.170171901025009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14.170171901025009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14.170171901025009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0.37144779999999999</v>
      </c>
      <c r="C14" s="98">
        <v>0.95</v>
      </c>
      <c r="D14" s="56">
        <v>14.170171901025009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14.170171901025009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0.690859</v>
      </c>
      <c r="C16" s="98">
        <v>0.95</v>
      </c>
      <c r="D16" s="56">
        <v>2.503642449664842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0.107333333333333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0.58099999999999996</v>
      </c>
      <c r="C18" s="98">
        <v>0.95</v>
      </c>
      <c r="D18" s="56">
        <v>7.2861200073283072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0.61859039999999998</v>
      </c>
      <c r="C19" s="98">
        <v>0.95</v>
      </c>
      <c r="D19" s="56">
        <v>7.2861200073283072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7.4846345450640612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24.144360821115921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0.71000929999999995</v>
      </c>
      <c r="C23" s="98">
        <v>0.95</v>
      </c>
      <c r="D23" s="56">
        <v>4.6467238358608798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0.14178560559202999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0.37144779999999999</v>
      </c>
      <c r="C26" s="98">
        <v>0.95</v>
      </c>
      <c r="D26" s="56">
        <v>3.4665816434934871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4.505138165037935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0.13601840000000001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0.1860724</v>
      </c>
      <c r="C29" s="98">
        <v>0.95</v>
      </c>
      <c r="D29" s="56">
        <v>88.005851455993124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6.4000000000000001E-2</v>
      </c>
      <c r="C31" s="98">
        <v>0.95</v>
      </c>
      <c r="D31" s="56">
        <v>180.94215297303569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0.96</v>
      </c>
      <c r="C32" s="98">
        <v>0.95</v>
      </c>
      <c r="D32" s="56">
        <v>0.65266805708153031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0.17338329999999999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0.29872090000000001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4.0841000000000002E-3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0.30379200000000001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1E-3</v>
      </c>
      <c r="C38" s="98">
        <v>0.95</v>
      </c>
      <c r="D38" s="56">
        <v>2.4488574538288082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3.4277904548683669</v>
      </c>
      <c r="E39" s="56" t="s">
        <v>183</v>
      </c>
      <c r="F39" s="98">
        <v>1</v>
      </c>
      <c r="G39" s="98">
        <v>1</v>
      </c>
    </row>
  </sheetData>
  <sheetProtection algorithmName="SHA-512" hashValue="l6MZMincys/+lJU8ZiqGYOvvmnmcuYMFxaff7lXPZ2Ge84y+06lQj60lPEKx0jm0AzxqVFc31YnZXIVar0i1EA==" saltValue="hMB0YYSvDGofokOk9aGL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CT5ozdWeG785oxil1G6NSIO+/E2YY40toQNZlzcetv9peEX1G1O2kV3s/d+dV7BwzFF0yQmRY2lfp6Q0HuX3UQ==" saltValue="ZH/E29E8v67cRTiBVfT0j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MK1O0zt3vr94FSuyBHM46YrygFIE3d2rfnuChytCdDjadD/oJKdWTZpOEPg4zChedUjfKJCSY3ZbpKZC34s6uA==" saltValue="42lolCjwzW/XNxLXu2Vbr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7.3051420000000006E-2</v>
      </c>
      <c r="C3" s="21">
        <f>frac_mam_1_5months * 2.6</f>
        <v>7.3051420000000006E-2</v>
      </c>
      <c r="D3" s="21">
        <f>frac_mam_6_11months * 2.6</f>
        <v>0.16600454000000001</v>
      </c>
      <c r="E3" s="21">
        <f>frac_mam_12_23months * 2.6</f>
        <v>0.19920264000000001</v>
      </c>
      <c r="F3" s="21">
        <f>frac_mam_24_59months * 2.6</f>
        <v>9.3112240000000013E-2</v>
      </c>
    </row>
    <row r="4" spans="1:6" ht="15.75" customHeight="1" x14ac:dyDescent="0.25">
      <c r="A4" s="3" t="s">
        <v>207</v>
      </c>
      <c r="B4" s="21">
        <f>frac_sam_1month * 2.6</f>
        <v>6.27003E-2</v>
      </c>
      <c r="C4" s="21">
        <f>frac_sam_1_5months * 2.6</f>
        <v>6.27003E-2</v>
      </c>
      <c r="D4" s="21">
        <f>frac_sam_6_11months * 2.6</f>
        <v>5.7674240000000009E-2</v>
      </c>
      <c r="E4" s="21">
        <f>frac_sam_12_23months * 2.6</f>
        <v>1.7126719999999998E-2</v>
      </c>
      <c r="F4" s="21">
        <f>frac_sam_24_59months * 2.6</f>
        <v>2.1943219999999999E-2</v>
      </c>
    </row>
  </sheetData>
  <sheetProtection algorithmName="SHA-512" hashValue="c9WnLPBREdJoww0bWdY2Ldh0OLb3MYLr32pP4Gvxw1Kx9dJnVRyuhdrqqzEHaaeMJPhMYPIhDUmonR8Y/FoVsw==" saltValue="ATXapLgqGakJTqvyrYv5m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0.498</v>
      </c>
      <c r="E2" s="60">
        <f>food_insecure</f>
        <v>0.498</v>
      </c>
      <c r="F2" s="60">
        <f>food_insecure</f>
        <v>0.498</v>
      </c>
      <c r="G2" s="60">
        <f>food_insecure</f>
        <v>0.498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0.498</v>
      </c>
      <c r="F5" s="60">
        <f>food_insecure</f>
        <v>0.498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0.498</v>
      </c>
      <c r="F8" s="60">
        <f>food_insecure</f>
        <v>0.498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0.498</v>
      </c>
      <c r="F9" s="60">
        <f>food_insecure</f>
        <v>0.498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0.498</v>
      </c>
      <c r="I15" s="60">
        <f>food_insecure</f>
        <v>0.498</v>
      </c>
      <c r="J15" s="60">
        <f>food_insecure</f>
        <v>0.498</v>
      </c>
      <c r="K15" s="60">
        <f>food_insecure</f>
        <v>0.498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0.67900000000000005</v>
      </c>
      <c r="M24" s="60">
        <f>famplan_unmet_need</f>
        <v>0.67900000000000005</v>
      </c>
      <c r="N24" s="60">
        <f>famplan_unmet_need</f>
        <v>0.67900000000000005</v>
      </c>
      <c r="O24" s="60">
        <f>famplan_unmet_need</f>
        <v>0.67900000000000005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0.39619898541870135</v>
      </c>
      <c r="M25" s="60">
        <f>(1-food_insecure)*(0.49)+food_insecure*(0.7)</f>
        <v>0.59458</v>
      </c>
      <c r="N25" s="60">
        <f>(1-food_insecure)*(0.49)+food_insecure*(0.7)</f>
        <v>0.59458</v>
      </c>
      <c r="O25" s="60">
        <f>(1-food_insecure)*(0.49)+food_insecure*(0.7)</f>
        <v>0.59458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0.16979956517944345</v>
      </c>
      <c r="M26" s="60">
        <f>(1-food_insecure)*(0.21)+food_insecure*(0.3)</f>
        <v>0.25481999999999999</v>
      </c>
      <c r="N26" s="60">
        <f>(1-food_insecure)*(0.21)+food_insecure*(0.3)</f>
        <v>0.25481999999999999</v>
      </c>
      <c r="O26" s="60">
        <f>(1-food_insecure)*(0.21)+food_insecure*(0.3)</f>
        <v>0.25481999999999999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0.10035246258544925</v>
      </c>
      <c r="M27" s="60">
        <f>(1-food_insecure)*(0.3)</f>
        <v>0.15059999999999998</v>
      </c>
      <c r="N27" s="60">
        <f>(1-food_insecure)*(0.3)</f>
        <v>0.15059999999999998</v>
      </c>
      <c r="O27" s="60">
        <f>(1-food_insecure)*(0.3)</f>
        <v>0.15059999999999998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0.33364898681640598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kPvHAJAr1AH3LwXVNSgw+aZzZd0yufRnM0XXedlg6JR7KYlkh3P9wo65fRYoMmt0zoXZDuiySlotFeasrPu46A==" saltValue="eJu6N9+CgLUlT0jB5l+Zt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Rk5Uv3lLcccLsdB8Iy2lkyDABha57sfazSsFY2AaO/McH+26C2tPyqnOpr6MXhDOyaRMLmaH/InHEH9x6To6Nw==" saltValue="qNfH1TFznDT4ydk3Z+s69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YAfGGYqX9zEjOECL7Ik7RLaC23vmyzPsh3cN0ZcLrY9EkUbOGlKnDS1Zjp0QDtAOaccDOrvBlGEMqrHwKbO1Pw==" saltValue="TquSwrR3F1Dr0PdvPb25U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iTUS7DEm0u3PV9XvYAbpGYnEEhK16jNC1ZUVt6boA7DRr3VjNmIrS2nloLJsw+hheCVTUhLkPBSvuyb0+lD1WQ==" saltValue="iAktyQ6HXlXMt0nMHNjQE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uGOHA/vcZi7+0c6Sc2nkTvuy/ZOyFT5E1VUoAZpP+yV+dP26+AOOHAv88fq9GIIW5EC9VJYgG5MB46UXFsiyDg==" saltValue="NCIruyuc/CyNH/fur0CqC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ZS0uEUjnMni2BWXea/lc375jI1aHwKZgtAVgZDruF9EMifa8VRLdWOVfiNi9uZOQKF1D7XnOqsKK28MukWxYWQ==" saltValue="cheNJdgI952mfjQKq6tf2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ehKTTpl6GBhfsUH8TRXN2yOLrlGdvA635P3S0pAuAeWU2UVHCo9wamAvShCVWRKwYYFiCXFRC7pRjbPhQ47xw==" saltValue="KuODTtaxLqOPeCBqF0cVN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E+v8xF5soC7jwEmtYMMZ72c9prnQHNpMY37Wi/vdqGFAdrKVl0JkPg0IDuljpO9pD0P6tUxr2rFyG87px+MFg==" saltValue="hnE5WYGZLcsd8ycZHoOd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HvbqilqZHBxhfrZ9evoLGegP54qzbLDdLDO2U6tCmM8jtw5WPM9R3q9UFXOZ8V0PP7Vs1/dy8LnFc7fEyiksQ==" saltValue="frR+GL+9LUxdYflLSyMO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dmr/1uLGi/QTO8Vj7uCzAmTmSZqJ5EHih2O5DxKZOU3DsqGcfWWAHOvcdvWGSSqhVIeU6Tbl4CJwGCRXBtBOTA==" saltValue="Oo1dPYfrC5gwCc2XBLY/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nFh1LZFAoJj9Q7wXSZfYbisgoteDdDfY4xmfzvuNb2hM9GTOPoCF599ZEpLVONSo6bN8YvKIpx1YJPitKVLbpw==" saltValue="FaHHEqD7ngcHuNdUBSoS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uKEWFxPjChCdzp5zTMUE1aSAKaXk0lx1vknJ0JZEtzA/EbbVHKlZ05F3cGQeVmJ8RMZjNSnbclKUT1HOgvsHdQ==" saltValue="Gyru5wDttcSSy86WnWHC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U68pWG2gPTxgKk0eOQ4dK7dOZCvot9GQMrAdR0eldo266WIziHzy8WNv8r0KPEVnLkT4m7Qlgow8v4DNdkDCpg==" saltValue="X+Y6d8A4GGnKOOSjfT9IV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0.10782303109654945</v>
      </c>
      <c r="G18" s="90">
        <f>MIN(MAX(1-0.89/(1-frac_sam_12_23months+(frac_sam_12_23months*0.89)),0),1)</f>
        <v>0.10935464550129304</v>
      </c>
      <c r="H18" s="90">
        <f>MIN(MAX(1-0.89/(1-frac_sam_24_59months+(frac_sam_24_59months*0.89)),0),1)</f>
        <v>0.10917298559711974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0.10370507967119724</v>
      </c>
      <c r="G20" s="90">
        <f>MIN(MAX(1-0.89/(1-frac_mam_12_23months+(frac_mam_12_23months*0.89)),0),1)</f>
        <v>0.10243550233633214</v>
      </c>
      <c r="H20" s="90">
        <f>MIN(MAX(1-0.89/(1-frac_mam_24_59months+(frac_mam_24_59months*0.89)),0),1)</f>
        <v>0.10648009987215279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9.7803455153635532E-3</v>
      </c>
      <c r="G73" s="90">
        <f>MIN(MAX(1-0.99/(1-frac_sam_12_23months+(frac_sam_12_23months*0.99)),0),1)</f>
        <v>9.9347824239878202E-3</v>
      </c>
      <c r="H73" s="90">
        <f>MIN(MAX(1-0.99/(1-frac_sam_24_59months+(frac_sam_24_59months*0.99)),0),1)</f>
        <v>9.9164399177796847E-3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9.3675019532797332E-3</v>
      </c>
      <c r="G75" s="90">
        <f>MIN(MAX(1-0.99/(1-frac_mam_12_23months+(frac_mam_12_23months*0.99)),0),1)</f>
        <v>9.2409160572100024E-3</v>
      </c>
      <c r="H75" s="90">
        <f>MIN(MAX(1-0.99/(1-frac_mam_24_59months+(frac_mam_24_59months*0.99)),0),1)</f>
        <v>9.6453302242411887E-3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0.19643499994857172</v>
      </c>
      <c r="G128" s="90">
        <f>MIN(MAX(1-0.8/(1-frac_sam_12_23months+(frac_sam_12_23months*0.8)),0),1)</f>
        <v>0.19894465764977409</v>
      </c>
      <c r="H128" s="90">
        <f>MIN(MAX(1-0.8/(1-frac_sam_24_59months+(frac_sam_24_59months*0.8)),0),1)</f>
        <v>0.19864736483299616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0.1896521989263662</v>
      </c>
      <c r="G130" s="90">
        <f>MIN(MAX(1-0.8/(1-frac_mam_12_23months+(frac_mam_12_23months*0.8)),0),1)</f>
        <v>0.18755061051915589</v>
      </c>
      <c r="H130" s="90">
        <f>MIN(MAX(1-0.8/(1-frac_mam_24_59months+(frac_mam_24_59months*0.8)),0),1)</f>
        <v>0.19422867902897145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Y4sRDHwUkQ015D1HcijaaRG5acYLAmgLbkNlSWQDoJGU8wROToHt1I6Y9hLL0mzXyWD4yUW33J3yyFj5QB9ARg==" saltValue="diXTr9PWXRmrq8TF1pXA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J+OK33sFZpgcH+Hb/YxCc32AloznSVV7dtTNdAUGCvwjB8cxMqhOQmgXVc1vUeDNtjzxf75rIprnK56xKwOMYA==" saltValue="/MOHbLw7H9S0tyWHYMYjZ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2024-08-06T08:24:08Z</dcterms:modified>
</cp:coreProperties>
</file>