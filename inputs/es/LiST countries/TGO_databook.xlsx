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90D4327-881F-4E53-B263-95F130737F5D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39" i="2"/>
  <c r="A23" i="2"/>
  <c r="A26" i="2"/>
  <c r="I3" i="2"/>
  <c r="I7" i="2"/>
  <c r="I11" i="2"/>
  <c r="A31" i="2"/>
  <c r="I4" i="2"/>
  <c r="I8" i="2"/>
  <c r="I12" i="2"/>
  <c r="A25" i="2"/>
  <c r="A34" i="2"/>
  <c r="A40" i="2"/>
  <c r="I2" i="2"/>
  <c r="I6" i="2"/>
  <c r="A19" i="2"/>
  <c r="A35" i="2"/>
  <c r="A22" i="2"/>
  <c r="A36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<sst xmlns="http://schemas.openxmlformats.org/spreadsheetml/2006/main" count="2159" uniqueCount="372">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</sst>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1356700</v>
      </c>
    </row>
    <row r="8" spans="1:3" ht="15" customHeight="1" x14ac:dyDescent="0.25">
      <c r="B8" s="5" t="s">
        <v>63</v>
      </c>
      <c r="C8" s="44">
        <v>0.60399999999999998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0.33452150000000003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0.10150000000000001</v>
      </c>
    </row>
    <row r="24" spans="1:3" ht="15" customHeight="1" x14ac:dyDescent="0.25">
      <c r="B24" s="15" t="s">
        <v>65</v>
      </c>
      <c r="C24" s="45">
        <v>0.48739999999999989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0.23555809089780999</v>
      </c>
    </row>
    <row r="30" spans="1:3" ht="14.25" customHeight="1" x14ac:dyDescent="0.25">
      <c r="B30" s="25" t="s">
        <v>82</v>
      </c>
      <c r="C30" s="99">
        <v>3.4184984059818603E-2</v>
      </c>
    </row>
    <row r="31" spans="1:3" ht="14.25" customHeight="1" x14ac:dyDescent="0.25">
      <c r="B31" s="25" t="s">
        <v>29</v>
      </c>
      <c r="C31" s="99">
        <v>6.8897621814072496E-2</v>
      </c>
    </row>
    <row r="32" spans="1:3" ht="14.25" customHeight="1" x14ac:dyDescent="0.25">
      <c r="B32" s="25" t="s">
        <v>30</v>
      </c>
      <c r="C32" s="99">
        <v>0.66135930322829906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24.042400000000001</v>
      </c>
    </row>
    <row r="38" spans="1:5" ht="15" customHeight="1" x14ac:dyDescent="0.25">
      <c r="B38" s="11" t="s">
        <v>54</v>
      </c>
      <c r="C38" s="43">
        <v>43.35671</v>
      </c>
      <c r="D38" s="12"/>
      <c r="E38" s="13"/>
    </row>
    <row r="39" spans="1:5" ht="15" customHeight="1" x14ac:dyDescent="0.25">
      <c r="B39" s="11" t="s">
        <v>80</v>
      </c>
      <c r="C39" s="43">
        <v>62.60445</v>
      </c>
      <c r="D39" s="12"/>
      <c r="E39" s="12"/>
    </row>
    <row r="40" spans="1:5" ht="15" customHeight="1" x14ac:dyDescent="0.25">
      <c r="B40" s="11" t="s">
        <v>55</v>
      </c>
      <c r="C40" s="100">
        <v>3.99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78</v>
      </c>
      <c r="C47" s="45">
        <v>7.3451799999999998E-2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2.3660000000000001</v>
      </c>
      <c r="D51" s="12"/>
    </row>
    <row r="52" spans="1:4" ht="15" customHeight="1" x14ac:dyDescent="0.25">
      <c r="B52" s="11" t="s">
        <v>32</v>
      </c>
      <c r="C52" s="100">
        <v>2.3660000000000001</v>
      </c>
    </row>
    <row r="53" spans="1:4" ht="15.75" customHeight="1" x14ac:dyDescent="0.25">
      <c r="B53" s="11" t="s">
        <v>35</v>
      </c>
      <c r="C53" s="100">
        <v>5.8760000000000003</v>
      </c>
    </row>
    <row r="54" spans="1:4" ht="15.75" customHeight="1" x14ac:dyDescent="0.25">
      <c r="B54" s="11" t="s">
        <v>33</v>
      </c>
      <c r="C54" s="100">
        <v>5.72</v>
      </c>
    </row>
    <row r="55" spans="1:4" ht="15.75" customHeight="1" x14ac:dyDescent="0.25">
      <c r="B55" s="11" t="s">
        <v>34</v>
      </c>
      <c r="C55" s="100">
        <v>3.0680000000000001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0.42155599999999999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W5WXn855UEfTd4SD/YTXeD6XGLhcHNRNnf7Xb4Htw1qlUTa+HSIygLjqRMYYcLh24NRVH8dwwV48aNwMfTBptw==" saltValue="JLVe3oDU4YmMmP8vfjtw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zkAx6p4usHJ5PH7p1pQQIOis6XysC44zWZXCOQnBpmf8oCc7KGtJu67fge45pVhw/OTwG+5dEVKmV5xBdVlWA==" saltValue="iyO9+/lsyv4GqACergPM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1.657067544407495E-2</v>
      </c>
    </row>
    <row r="4" spans="1:8" ht="15.75" customHeight="1" x14ac:dyDescent="0.25">
      <c r="B4" s="19" t="s">
        <v>116</v>
      </c>
      <c r="C4" s="101">
        <v>7.4120555470898866E-2</v>
      </c>
    </row>
    <row r="5" spans="1:8" ht="15.75" customHeight="1" x14ac:dyDescent="0.25">
      <c r="B5" s="19" t="s">
        <v>114</v>
      </c>
      <c r="C5" s="101">
        <v>0.1088008429259477</v>
      </c>
    </row>
    <row r="6" spans="1:8" ht="15.75" customHeight="1" x14ac:dyDescent="0.25">
      <c r="B6" s="19" t="s">
        <v>110</v>
      </c>
      <c r="C6" s="101">
        <v>0.25677873974801529</v>
      </c>
    </row>
    <row r="7" spans="1:8" ht="15.75" customHeight="1" x14ac:dyDescent="0.25">
      <c r="B7" s="19" t="s">
        <v>115</v>
      </c>
      <c r="C7" s="101">
        <v>0.36988411970846008</v>
      </c>
    </row>
    <row r="8" spans="1:8" ht="15.75" customHeight="1" x14ac:dyDescent="0.25">
      <c r="B8" s="19" t="s">
        <v>117</v>
      </c>
      <c r="C8" s="101">
        <v>2.8233694090527761E-3</v>
      </c>
    </row>
    <row r="9" spans="1:8" ht="15.75" customHeight="1" x14ac:dyDescent="0.25">
      <c r="B9" s="19" t="s">
        <v>111</v>
      </c>
      <c r="C9" s="101">
        <v>5.5443065754671679E-2</v>
      </c>
    </row>
    <row r="10" spans="1:8" ht="15.75" customHeight="1" x14ac:dyDescent="0.25">
      <c r="B10" s="19" t="s">
        <v>113</v>
      </c>
      <c r="C10" s="101">
        <v>0.1155786315388786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121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2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109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3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120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98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107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118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8.6770851999999982E-2</v>
      </c>
    </row>
    <row r="27" spans="1:8" ht="15.75" customHeight="1" x14ac:dyDescent="0.25">
      <c r="B27" s="19" t="s">
        <v>108</v>
      </c>
      <c r="C27" s="101">
        <v>8.6437730000000004E-3</v>
      </c>
    </row>
    <row r="28" spans="1:8" ht="15.75" customHeight="1" x14ac:dyDescent="0.25">
      <c r="B28" s="19" t="s">
        <v>122</v>
      </c>
      <c r="C28" s="101">
        <v>0.153215352</v>
      </c>
    </row>
    <row r="29" spans="1:8" ht="15.75" customHeight="1" x14ac:dyDescent="0.25">
      <c r="B29" s="19" t="s">
        <v>105</v>
      </c>
      <c r="C29" s="101">
        <v>0.165097191</v>
      </c>
    </row>
    <row r="30" spans="1:8" ht="15.75" customHeight="1" x14ac:dyDescent="0.25">
      <c r="B30" s="19" t="s">
        <v>4</v>
      </c>
      <c r="C30" s="101">
        <v>0.10312302</v>
      </c>
    </row>
    <row r="31" spans="1:8" ht="15.75" customHeight="1" x14ac:dyDescent="0.25">
      <c r="B31" s="19" t="s">
        <v>99</v>
      </c>
      <c r="C31" s="101">
        <v>0.106218667</v>
      </c>
    </row>
    <row r="32" spans="1:8" ht="15.75" customHeight="1" x14ac:dyDescent="0.25">
      <c r="B32" s="19" t="s">
        <v>104</v>
      </c>
      <c r="C32" s="101">
        <v>1.8201770999999999E-2</v>
      </c>
    </row>
    <row r="33" spans="2:3" ht="15.75" customHeight="1" x14ac:dyDescent="0.25">
      <c r="B33" s="19" t="s">
        <v>119</v>
      </c>
      <c r="C33" s="101">
        <v>8.2691194999999981E-2</v>
      </c>
    </row>
    <row r="34" spans="2:3" ht="15.75" customHeight="1" x14ac:dyDescent="0.25">
      <c r="B34" s="19" t="s">
        <v>106</v>
      </c>
      <c r="C34" s="101">
        <v>0.27603818000000002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ZAuYqxbrL0v+lZvJ6f0Pa3ovtFfyYii/5/BO9StCDoBQVrp/1p+d3UZCZHFY+TOHQLv4SSCUD0CS6RdkqUF2jQ==" saltValue="UXNI2E/dKb3H3872WyTq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129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125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126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Gd8zbPiQrNS+qODjO71U5JaB/6BkERdVwqjwppzKBCvK9EyxLFG+sVr1K6GH248sDLz0U4DPC5eawJqXj2aWw==" saltValue="SaPKCiXH6UE23fw08iK8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OjwoYss+ZRn9nSpYCllaiYy0xYkE6vIwLvY2gx3j3QhMhC2TPwLahSJ/Qmj2uwAIUPFPc8k7pf1lTBvPecr4kQ==" saltValue="RUEAZQlaAHnWoBCHcuIq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dedjnSloR72Enc6/vS+v63R1Jvm+wX+9o7wjxXNiTio4z7h/PGKBqH0MwfLaHjJqBv+IzrqBDYVe45MIx+f0g==" saltValue="vGYenKIUB/L1hM+q4N1v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942.64990157953605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0.36761000000000005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0.57177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1.7520841453780484E-2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93257.122029999999</v>
      </c>
      <c r="C22" s="109">
        <v>92584.312149999998</v>
      </c>
      <c r="D22" s="109">
        <v>92057.16545</v>
      </c>
      <c r="E22" s="109">
        <v>91422.733919999999</v>
      </c>
      <c r="F22" s="109">
        <v>90580.78314</v>
      </c>
      <c r="G22" s="109">
        <v>89580.938460000005</v>
      </c>
      <c r="H22" s="109">
        <v>88268.341130000001</v>
      </c>
      <c r="I22" s="109">
        <v>86452.289130000005</v>
      </c>
      <c r="J22" s="109">
        <v>83870.802960000001</v>
      </c>
      <c r="K22" s="109">
        <v>80455.663520000002</v>
      </c>
      <c r="L22" s="109">
        <v>75831.760609999998</v>
      </c>
      <c r="M22" s="109">
        <v>69893.728610000006</v>
      </c>
      <c r="N22" s="109">
        <v>61930.883269999998</v>
      </c>
      <c r="O22" s="109">
        <v>52101.292840000002</v>
      </c>
    </row>
  </sheetData>
  <sheetProtection algorithmName="SHA-512" hashValue="RPEI92VLVrikJjlEPmPfX538UIJYdEIU3wvnfOZMSrvUoK6EexDiB44jVh9Qyf3StXAz9IG+oppyDcUy1+WI4g==" saltValue="VX71AE+pThv+40820pJi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H1cMg3fxYM/8FIDiGEONtb8px4A8wUs+LKzlPDq3d58/ic6FW09mCuex66RxPE0bkVt6VOLGoKCxgzQC3+/kw==" saltValue="BKX5R6d48HWwuwpAz1R5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VszOtxPZKx/zL0Lqqdmm1YfwfmIVMnBz/GC4jMXVmrDLW/F7v1l3u3OKLkLgYUynTveuzbGMYMftV51sg2Myg==" saltValue="SToDz7tkJ5zGC08jdHtW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9.2882626538987694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1.0608034800409418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0.32139211884942109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0.96417635654826328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5.6224350205198365E-2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0.37144779999999999</v>
      </c>
      <c r="C10" s="98">
        <v>0.95</v>
      </c>
      <c r="D10" s="56">
        <v>14.170171901025009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14.170171901025009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14.170171901025009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14.170171901025009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0.37144779999999999</v>
      </c>
      <c r="C14" s="98">
        <v>0.95</v>
      </c>
      <c r="D14" s="56">
        <v>14.170171901025009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14.170171901025009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0.690859</v>
      </c>
      <c r="C16" s="98">
        <v>0.95</v>
      </c>
      <c r="D16" s="56">
        <v>3.3847058823529408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0.107333333333333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0.58099999999999996</v>
      </c>
      <c r="C18" s="98">
        <v>0.95</v>
      </c>
      <c r="D18" s="56">
        <v>9.2882626538987694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0.61859039999999998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0.32610123119015044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9.2882626538987694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0.71000929999999995</v>
      </c>
      <c r="C23" s="98">
        <v>0.95</v>
      </c>
      <c r="D23" s="56">
        <v>4.6467238358608798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0.14178560559202999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0.37144779999999999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0.13601840000000001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0.1860724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6.4000000000000001E-2</v>
      </c>
      <c r="C31" s="98">
        <v>0.95</v>
      </c>
      <c r="D31" s="56">
        <v>84.685116279069774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</v>
      </c>
      <c r="C32" s="98">
        <v>0.95</v>
      </c>
      <c r="D32" s="56">
        <v>0.24738714090287278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0.17338333982328599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0.29872090000000001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4.0841000000000002E-3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0.30379200000000001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1E-3</v>
      </c>
      <c r="C38" s="98">
        <v>0.95</v>
      </c>
      <c r="D38" s="56">
        <v>7.9276333789329687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G9LwqvnFGt4rtDx5B6tKRc5X208LiQdxRgQOxyCSpw13at79VI/I9Rv63DTEWD+m+RHi0X571B8GXSrWFM0cVA==" saltValue="NpMsBSUTZ/BygFMAFxqQ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dARR4xB5WZ2LcGFDTcQuN/6Prqj5IBW23LGYH/i4SgSC64G+3ruo9rs+GqYaSl0pwMTTXc4blUFpbw21t7XQQ==" saltValue="QkfSua7zL7SotgyPGvgn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criJdBvltpROBdbmsihLjw07WslUdR5DxSM/rXkREtDRTCcZbPKHp66b8LZgAZC85xMcr0Fa53xXJiY7sAAWw==" saltValue="ha8o/Tv874i0ssxig0Jr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2.3660000000000001</v>
      </c>
      <c r="C2" s="21">
        <f>'Entradas de población-año base'!C52</f>
        <v>2.3660000000000001</v>
      </c>
      <c r="D2" s="21">
        <f>'Entradas de población-año base'!C53</f>
        <v>5.8760000000000003</v>
      </c>
      <c r="E2" s="21">
        <f>'Entradas de población-año base'!C54</f>
        <v>5.72</v>
      </c>
      <c r="F2" s="21">
        <f>'Entradas de población-año base'!C55</f>
        <v>3.0680000000000001</v>
      </c>
    </row>
    <row r="3" spans="1:6" ht="15.75" customHeight="1" x14ac:dyDescent="0.25">
      <c r="A3" s="3" t="s">
        <v>6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236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UTNFIAvcB4STSbJHPu6tNlpvAvNt5uMq/rf2Wg6/kcdcMRmmoYQDPs0hwhKNLs5hzTsH2tpjcWiMsmd6E58Iog==" saltValue="W5+LrmsuWYP0lk0UHZGX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z7VLKdUVIhIbtmh9nM0zDhLmgUBpI72iwTjBHVDQngl7em++gNq7NdDmzQSZ0Ss3Cad8uuBM7CmvTFOLhtJsA==" saltValue="OXm39O8eoKZ5NxccEYl/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bx258eM0i4LDJVHPDBuS4Tr5nru8LWrc9EQmSY8fxalctXpsf2bsUURYLqLqJvhPg21qyEgENbR5sDhKeGOxg==" saltValue="WkruqcubLC/e/LqSVw8b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WbVF3ZwRjL0oA7n+vovPeVW6BY6zpCqfYeGOGzVePoiX1Z2ly76nQ5YUhMFq316HtOAl0ftYor0ylIA9+skYg==" saltValue="7jD/JIrKwsjB/9Dr7tek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pYveAAMaXkGDmXC7vAPnbLYW8E9FKD1MaB07UmpuroC66d21m08iLzqkL9g/RZLTLC9dBOEClpgtr3oUz8raw==" saltValue="5LHmJPfW5ZZO0c7KsVZn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5MQ0/c8d84cfJryq/e2ka9N+9ZF3EXmddCp8I7C5s4jZBHsFUFay2SdE5rP3KukqDe/uBuFOKaMoMbV34wKmA==" saltValue="rH2lUsm4WOGIbH7zmBA/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HBqM1UEQzfnJ5c0VoXuK5EKX/nOCQN3P0lS1ErHTcOxdNNQaBwJ9XIc6FjY35LBBo7+ROsJSJoaJzTw+jdhhA==" saltValue="FVLDvlKfUB2JMxrBdWoo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UUF25EP5d7qD4rBmG6OuDoLtLCcG9P2UI+cp9WNQUThv5B3bIkRtUjrGULaR0KlLTPviHIn6LlAMKFT2aWbkg==" saltValue="StqLjM2vC/ogpfszbpkHZ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CpH4trZ5358rP5qHO71DezoD4pLSvMSXP30+eDZRkWXtSCrG3kjEHnn7VvF/BkO+B65CuN6+qCYDmWjtIz9iA==" saltValue="Wk9nwAUnwfAtqrJuIgi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LNnffEjhomNYL0o8oH6l4TC4F8yR8CvMSs1RAdjKOBb5jG5VFRJG0Oj6ZY7wd1pmTMUT839hxo+QyhZrFFvYw==" saltValue="eo575gFEUDC2pGPpwGj4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56jlN76T9PJ0eTbOCJSLSRtmnXarsJZL4fkdaq0f8jCzMJ7RORvJecyVwFKYet0me5WqRChYtAt8tOKfsFWTA==" saltValue="lz4D1ZZ7lVAUgWXXR8Q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yWlKRN0Ikq5cLZvp/PfzJHpFnOflFb7TIr2khyN8NihAYKg180OYLzRbAV3RQmDxzi+Li45DryTGQL784H/jw==" saltValue="tBAiQOFC7KK7zL2kvnw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pNKFfTLQNFTLrp/w2giTzSZE0J3AxA3wCB90JZux+skvFZISMxjSJzNxMBhrRdmEp9xEpkuRKcxhcYIfG+6ow==" saltValue="sxqL/Q/QfkEDOcpAKiwf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13GsOu4kY9ayd3UJ2bRrGWOoOyIQFqcnKJsrQehJrWglTOroS11otXGK2KDCTrROPRoQxNQoKYAv9q/rGdZSw==" saltValue="Hu38ANTfJNDsrX89abFe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YQtPDdaz8kKjnofR7K/2QFJTB5ipSUwxSRuCn3hDZDDhiUwHCzpOgDc4aqZkxu4q+tz86BWnTWpnxMxxRQgOg==" saltValue="xX0IfkmtdYzfC37kJBb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ZoB169ahNp1JVMYlKMlog3PZbV1B7Tfyy6YUsOz9JLsjpwel5FrZ9aAKIdrIaOHqyCNz2xH8EOBf9LDvth1bw==" saltValue="9D2U0jwPOgcySgLmAKax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