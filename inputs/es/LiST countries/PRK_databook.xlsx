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97D91F2-5043-4E22-8313-6CCE65DF8D0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29" i="2"/>
  <c r="A28" i="2"/>
  <c r="A23" i="2"/>
  <c r="A21" i="2"/>
  <c r="A20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A31" i="2" l="1"/>
  <c r="I40" i="2"/>
  <c r="A36" i="2"/>
  <c r="I2" i="2"/>
  <c r="I6" i="2"/>
  <c r="I10" i="2"/>
  <c r="A15" i="2"/>
  <c r="A37" i="2"/>
  <c r="A16" i="2"/>
  <c r="A24" i="2"/>
  <c r="A32" i="2"/>
  <c r="A17" i="2"/>
  <c r="A25" i="2"/>
  <c r="A33" i="2"/>
  <c r="A3" i="2"/>
  <c r="A18" i="2"/>
  <c r="A26" i="2"/>
  <c r="A34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<sst xmlns="http://schemas.openxmlformats.org/spreadsheetml/2006/main" count="2101" uniqueCount="341">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</sst>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36442523.5</v>
      </c>
    </row>
    <row r="8" spans="1:3" ht="15" customHeight="1" x14ac:dyDescent="0.25">
      <c r="B8" s="5" t="s">
        <v>44</v>
      </c>
      <c r="C8" s="44">
        <v>0.53500000000000003</v>
      </c>
    </row>
    <row r="9" spans="1:3" ht="15" customHeight="1" x14ac:dyDescent="0.25">
      <c r="B9" s="5" t="s">
        <v>43</v>
      </c>
      <c r="C9" s="45">
        <v>0.99</v>
      </c>
    </row>
    <row r="10" spans="1:3" ht="15" customHeight="1" x14ac:dyDescent="0.25">
      <c r="B10" s="5" t="s">
        <v>56</v>
      </c>
      <c r="C10" s="45">
        <v>0.90525772094726609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4.0000000000000002E-4</v>
      </c>
    </row>
    <row r="24" spans="1:3" ht="15" customHeight="1" x14ac:dyDescent="0.25">
      <c r="B24" s="15" t="s">
        <v>46</v>
      </c>
      <c r="C24" s="45">
        <v>0.62990000000000002</v>
      </c>
    </row>
    <row r="25" spans="1:3" ht="15" customHeight="1" x14ac:dyDescent="0.25">
      <c r="B25" s="15" t="s">
        <v>47</v>
      </c>
      <c r="C25" s="45">
        <v>0.36969999999999997</v>
      </c>
    </row>
    <row r="26" spans="1:3" ht="15" customHeight="1" x14ac:dyDescent="0.25">
      <c r="B26" s="15" t="s">
        <v>48</v>
      </c>
      <c r="C26" s="45">
        <v>0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0.19573648727283799</v>
      </c>
    </row>
    <row r="30" spans="1:3" ht="14.25" customHeight="1" x14ac:dyDescent="0.25">
      <c r="B30" s="25" t="s">
        <v>63</v>
      </c>
      <c r="C30" s="99">
        <v>6.6216535073416599E-2</v>
      </c>
    </row>
    <row r="31" spans="1:3" ht="14.25" customHeight="1" x14ac:dyDescent="0.25">
      <c r="B31" s="25" t="s">
        <v>10</v>
      </c>
      <c r="C31" s="99">
        <v>0.13435462918095001</v>
      </c>
    </row>
    <row r="32" spans="1:3" ht="14.25" customHeight="1" x14ac:dyDescent="0.25">
      <c r="B32" s="25" t="s">
        <v>11</v>
      </c>
      <c r="C32" s="99">
        <v>0.60369234847279496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34.921909999999997</v>
      </c>
    </row>
    <row r="38" spans="1:5" ht="15" customHeight="1" x14ac:dyDescent="0.25">
      <c r="B38" s="11" t="s">
        <v>35</v>
      </c>
      <c r="C38" s="43">
        <v>70.588530000000006</v>
      </c>
      <c r="D38" s="12"/>
      <c r="E38" s="13"/>
    </row>
    <row r="39" spans="1:5" ht="15" customHeight="1" x14ac:dyDescent="0.25">
      <c r="B39" s="11" t="s">
        <v>61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8.4424999999999986E-3</v>
      </c>
      <c r="D45" s="12"/>
    </row>
    <row r="46" spans="1:5" ht="15.75" customHeight="1" x14ac:dyDescent="0.25">
      <c r="B46" s="11" t="s">
        <v>51</v>
      </c>
      <c r="C46" s="45">
        <v>9.0714000000000003E-2</v>
      </c>
      <c r="D46" s="12"/>
    </row>
    <row r="47" spans="1:5" ht="15.75" customHeight="1" x14ac:dyDescent="0.25">
      <c r="B47" s="11" t="s">
        <v>59</v>
      </c>
      <c r="C47" s="45">
        <v>7.29717E-2</v>
      </c>
      <c r="D47" s="12"/>
      <c r="E47" s="13"/>
    </row>
    <row r="48" spans="1:5" ht="15" customHeight="1" x14ac:dyDescent="0.25">
      <c r="B48" s="11" t="s">
        <v>58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0.419354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i1g314IMY9Tbq9D7QJAyWckUKxaHw9aFxHoihy3R1TegYHlgxXeD8mZCBtM0pHX/6Atrfrw/pl2PxmB16LHcw==" saltValue="7ZOjCKogGBKq1VTr8Q9i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334005</v>
      </c>
      <c r="C2" s="49">
        <v>960183.5</v>
      </c>
      <c r="D2" s="49">
        <v>1814432.5</v>
      </c>
      <c r="E2" s="49">
        <v>1857251</v>
      </c>
      <c r="F2" s="49">
        <v>1471101.5</v>
      </c>
      <c r="G2" s="17">
        <f t="shared" ref="G2:G13" si="0">C2+D2+E2+F2</f>
        <v>6102968.5</v>
      </c>
      <c r="H2" s="17">
        <f t="shared" ref="H2:H13" si="1">(B2 + stillbirth*B2/(1000-stillbirth))/(1-abortion)</f>
        <v>388284.2152597832</v>
      </c>
      <c r="I2" s="17">
        <f t="shared" ref="I2:I13" si="2">G2-H2</f>
        <v>5714684.284740217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330197</v>
      </c>
      <c r="C3" s="50">
        <v>942021.50000000012</v>
      </c>
      <c r="D3" s="50">
        <v>1784204</v>
      </c>
      <c r="E3" s="50">
        <v>1873709.5</v>
      </c>
      <c r="F3" s="50">
        <v>1464164.5</v>
      </c>
      <c r="G3" s="17">
        <f t="shared" si="0"/>
        <v>6064099.5</v>
      </c>
      <c r="H3" s="17">
        <f t="shared" si="1"/>
        <v>383857.37646482728</v>
      </c>
      <c r="I3" s="17">
        <f t="shared" si="2"/>
        <v>5680242.123535173</v>
      </c>
    </row>
    <row r="4" spans="1:9" ht="15.75" customHeight="1" x14ac:dyDescent="0.25">
      <c r="A4" s="5">
        <f t="shared" si="3"/>
        <v>2026</v>
      </c>
      <c r="B4" s="49">
        <v>326245</v>
      </c>
      <c r="C4" s="50">
        <v>929883</v>
      </c>
      <c r="D4" s="50">
        <v>1752308</v>
      </c>
      <c r="E4" s="50">
        <v>1885281</v>
      </c>
      <c r="F4" s="50">
        <v>1470247.5</v>
      </c>
      <c r="G4" s="17">
        <f t="shared" si="0"/>
        <v>6037719.5</v>
      </c>
      <c r="H4" s="17">
        <f t="shared" si="1"/>
        <v>379263.13620283519</v>
      </c>
      <c r="I4" s="17">
        <f t="shared" si="2"/>
        <v>5658456.3637971645</v>
      </c>
    </row>
    <row r="5" spans="1:9" ht="15.75" customHeight="1" x14ac:dyDescent="0.25">
      <c r="A5" s="5">
        <f t="shared" si="3"/>
        <v>2027</v>
      </c>
      <c r="B5" s="49">
        <v>321344</v>
      </c>
      <c r="C5" s="50">
        <v>923605.5</v>
      </c>
      <c r="D5" s="50">
        <v>1721624</v>
      </c>
      <c r="E5" s="50">
        <v>1892161.5</v>
      </c>
      <c r="F5" s="50">
        <v>1488392</v>
      </c>
      <c r="G5" s="17">
        <f t="shared" si="0"/>
        <v>6025783</v>
      </c>
      <c r="H5" s="17">
        <f t="shared" si="1"/>
        <v>373565.67377266736</v>
      </c>
      <c r="I5" s="17">
        <f t="shared" si="2"/>
        <v>5652217.3262273325</v>
      </c>
    </row>
    <row r="6" spans="1:9" ht="15.75" customHeight="1" x14ac:dyDescent="0.25">
      <c r="A6" s="5">
        <f t="shared" si="3"/>
        <v>2028</v>
      </c>
      <c r="B6" s="49">
        <v>315938</v>
      </c>
      <c r="C6" s="50">
        <v>921588.00000000012</v>
      </c>
      <c r="D6" s="50">
        <v>1694178</v>
      </c>
      <c r="E6" s="50">
        <v>1894482.5</v>
      </c>
      <c r="F6" s="50">
        <v>1509646.5</v>
      </c>
      <c r="G6" s="17">
        <f t="shared" si="0"/>
        <v>6019895</v>
      </c>
      <c r="H6" s="17">
        <f t="shared" si="1"/>
        <v>367281.14369768533</v>
      </c>
      <c r="I6" s="17">
        <f t="shared" si="2"/>
        <v>5652613.8563023144</v>
      </c>
    </row>
    <row r="7" spans="1:9" ht="15.75" customHeight="1" x14ac:dyDescent="0.25">
      <c r="A7" s="5">
        <f t="shared" si="3"/>
        <v>2029</v>
      </c>
      <c r="B7" s="49">
        <v>308992</v>
      </c>
      <c r="C7" s="50">
        <v>923172.99999999988</v>
      </c>
      <c r="D7" s="50">
        <v>1668774</v>
      </c>
      <c r="E7" s="50">
        <v>1892851</v>
      </c>
      <c r="F7" s="50">
        <v>1529221</v>
      </c>
      <c r="G7" s="17">
        <f t="shared" si="0"/>
        <v>6014019</v>
      </c>
      <c r="H7" s="17">
        <f t="shared" si="1"/>
        <v>359206.34793356666</v>
      </c>
      <c r="I7" s="17">
        <f t="shared" si="2"/>
        <v>5654812.6520664338</v>
      </c>
    </row>
    <row r="8" spans="1:9" ht="15.75" customHeight="1" x14ac:dyDescent="0.25">
      <c r="A8" s="5">
        <f t="shared" si="3"/>
        <v>2030</v>
      </c>
      <c r="B8" s="49">
        <v>304323</v>
      </c>
      <c r="C8" s="50">
        <v>932727.5</v>
      </c>
      <c r="D8" s="50">
        <v>1640535</v>
      </c>
      <c r="E8" s="50">
        <v>1884661.5</v>
      </c>
      <c r="F8" s="50">
        <v>1546998.5</v>
      </c>
      <c r="G8" s="17">
        <f t="shared" si="0"/>
        <v>6004922.5</v>
      </c>
      <c r="H8" s="17">
        <f t="shared" si="1"/>
        <v>353778.58786695707</v>
      </c>
      <c r="I8" s="17">
        <f t="shared" si="2"/>
        <v>5651143.9121330427</v>
      </c>
    </row>
    <row r="9" spans="1:9" ht="15.75" customHeight="1" x14ac:dyDescent="0.25">
      <c r="A9" s="5">
        <f t="shared" si="3"/>
        <v>2031</v>
      </c>
      <c r="B9" s="49">
        <v>298942</v>
      </c>
      <c r="C9" s="50">
        <v>947997.5</v>
      </c>
      <c r="D9" s="50">
        <v>1610041.5</v>
      </c>
      <c r="E9" s="50">
        <v>1868861</v>
      </c>
      <c r="F9" s="50">
        <v>1564640.5</v>
      </c>
      <c r="G9" s="17">
        <f t="shared" si="0"/>
        <v>5991540.5</v>
      </c>
      <c r="H9" s="17">
        <f t="shared" si="1"/>
        <v>347523.12054666877</v>
      </c>
      <c r="I9" s="17">
        <f t="shared" si="2"/>
        <v>5644017.3794533312</v>
      </c>
    </row>
    <row r="10" spans="1:9" ht="15.75" customHeight="1" x14ac:dyDescent="0.25">
      <c r="A10" s="5">
        <f t="shared" si="3"/>
        <v>2032</v>
      </c>
      <c r="B10" s="49">
        <v>293078</v>
      </c>
      <c r="C10" s="50">
        <v>961617.50000000012</v>
      </c>
      <c r="D10" s="50">
        <v>1584743</v>
      </c>
      <c r="E10" s="50">
        <v>1846877</v>
      </c>
      <c r="F10" s="50">
        <v>1585067</v>
      </c>
      <c r="G10" s="17">
        <f t="shared" si="0"/>
        <v>5978304.5</v>
      </c>
      <c r="H10" s="17">
        <f t="shared" si="1"/>
        <v>340706.16080569668</v>
      </c>
      <c r="I10" s="17">
        <f t="shared" si="2"/>
        <v>5637598.3391943034</v>
      </c>
    </row>
    <row r="11" spans="1:9" ht="15.75" customHeight="1" x14ac:dyDescent="0.25">
      <c r="A11" s="5">
        <f t="shared" si="3"/>
        <v>2033</v>
      </c>
      <c r="B11" s="49">
        <v>287680</v>
      </c>
      <c r="C11" s="50">
        <v>972357</v>
      </c>
      <c r="D11" s="50">
        <v>1567343.5</v>
      </c>
      <c r="E11" s="50">
        <v>1819375.5</v>
      </c>
      <c r="F11" s="50">
        <v>1607991.5</v>
      </c>
      <c r="G11" s="17">
        <f t="shared" si="0"/>
        <v>5967067.5</v>
      </c>
      <c r="H11" s="17">
        <f t="shared" si="1"/>
        <v>334430.9308122166</v>
      </c>
      <c r="I11" s="17">
        <f t="shared" si="2"/>
        <v>5632636.5691877836</v>
      </c>
    </row>
    <row r="12" spans="1:9" ht="15.75" customHeight="1" x14ac:dyDescent="0.25">
      <c r="A12" s="5">
        <f t="shared" si="3"/>
        <v>2034</v>
      </c>
      <c r="B12" s="49">
        <v>283097</v>
      </c>
      <c r="C12" s="50">
        <v>979115.50000000012</v>
      </c>
      <c r="D12" s="50">
        <v>1556400.5</v>
      </c>
      <c r="E12" s="50">
        <v>1790281.5</v>
      </c>
      <c r="F12" s="50">
        <v>1630386.5</v>
      </c>
      <c r="G12" s="17">
        <f t="shared" si="0"/>
        <v>5956184</v>
      </c>
      <c r="H12" s="17">
        <f t="shared" si="1"/>
        <v>329103.14662175369</v>
      </c>
      <c r="I12" s="17">
        <f t="shared" si="2"/>
        <v>5627080.8533782465</v>
      </c>
    </row>
    <row r="13" spans="1:9" ht="15.75" customHeight="1" x14ac:dyDescent="0.25">
      <c r="A13" s="5">
        <f t="shared" si="3"/>
        <v>2035</v>
      </c>
      <c r="B13" s="49">
        <v>279272</v>
      </c>
      <c r="C13" s="50">
        <v>982045.00000000012</v>
      </c>
      <c r="D13" s="50">
        <v>1551437.5</v>
      </c>
      <c r="E13" s="50">
        <v>1760632.5</v>
      </c>
      <c r="F13" s="50">
        <v>1649161.5</v>
      </c>
      <c r="G13" s="17">
        <f t="shared" si="0"/>
        <v>5943276.5</v>
      </c>
      <c r="H13" s="17">
        <f t="shared" si="1"/>
        <v>324656.54515360598</v>
      </c>
      <c r="I13" s="17">
        <f t="shared" si="2"/>
        <v>5618619.9548463942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PfHrheO+mHeDBNV6MszZ9HIeMzpcXQX+KhtzSFnnw+iHlEo+bm1uThtw02OSHUdhy2vdpZ8etV1g8jsGpsK6A==" saltValue="rMwc6wG2ulqZfGU0lXG9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2.3730299999999999E-2</v>
      </c>
    </row>
    <row r="4" spans="1:8" ht="15.75" customHeight="1" x14ac:dyDescent="0.25">
      <c r="B4" s="19" t="s">
        <v>97</v>
      </c>
      <c r="C4" s="101">
        <v>0.15361009999999989</v>
      </c>
    </row>
    <row r="5" spans="1:8" ht="15.75" customHeight="1" x14ac:dyDescent="0.25">
      <c r="B5" s="19" t="s">
        <v>95</v>
      </c>
      <c r="C5" s="101">
        <v>0.18025830000000001</v>
      </c>
    </row>
    <row r="6" spans="1:8" ht="15.75" customHeight="1" x14ac:dyDescent="0.25">
      <c r="B6" s="19" t="s">
        <v>91</v>
      </c>
      <c r="C6" s="101">
        <v>0.28443859999999987</v>
      </c>
    </row>
    <row r="7" spans="1:8" ht="15.75" customHeight="1" x14ac:dyDescent="0.25">
      <c r="B7" s="19" t="s">
        <v>96</v>
      </c>
      <c r="C7" s="101">
        <v>0.18089420000000009</v>
      </c>
    </row>
    <row r="8" spans="1:8" ht="15.75" customHeight="1" x14ac:dyDescent="0.25">
      <c r="B8" s="19" t="s">
        <v>98</v>
      </c>
      <c r="C8" s="101">
        <v>7.6880999999999998E-3</v>
      </c>
    </row>
    <row r="9" spans="1:8" ht="15.75" customHeight="1" x14ac:dyDescent="0.25">
      <c r="B9" s="19" t="s">
        <v>92</v>
      </c>
      <c r="C9" s="101">
        <v>4.4153200000000038E-2</v>
      </c>
    </row>
    <row r="10" spans="1:8" ht="15.75" customHeight="1" x14ac:dyDescent="0.25">
      <c r="B10" s="19" t="s">
        <v>94</v>
      </c>
      <c r="C10" s="101">
        <v>0.12522720000000001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102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2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90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3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101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79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99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8.6847340999999995E-2</v>
      </c>
    </row>
    <row r="27" spans="1:8" ht="15.75" customHeight="1" x14ac:dyDescent="0.25">
      <c r="B27" s="19" t="s">
        <v>89</v>
      </c>
      <c r="C27" s="101">
        <v>8.4805239999999997E-3</v>
      </c>
    </row>
    <row r="28" spans="1:8" ht="15.75" customHeight="1" x14ac:dyDescent="0.25">
      <c r="B28" s="19" t="s">
        <v>103</v>
      </c>
      <c r="C28" s="101">
        <v>0.15529126400000001</v>
      </c>
    </row>
    <row r="29" spans="1:8" ht="15.75" customHeight="1" x14ac:dyDescent="0.25">
      <c r="B29" s="19" t="s">
        <v>86</v>
      </c>
      <c r="C29" s="101">
        <v>0.168382743</v>
      </c>
    </row>
    <row r="30" spans="1:8" ht="15.75" customHeight="1" x14ac:dyDescent="0.25">
      <c r="B30" s="19" t="s">
        <v>4</v>
      </c>
      <c r="C30" s="101">
        <v>0.105182391</v>
      </c>
    </row>
    <row r="31" spans="1:8" ht="15.75" customHeight="1" x14ac:dyDescent="0.25">
      <c r="B31" s="19" t="s">
        <v>80</v>
      </c>
      <c r="C31" s="101">
        <v>0.10869061100000001</v>
      </c>
    </row>
    <row r="32" spans="1:8" ht="15.75" customHeight="1" x14ac:dyDescent="0.25">
      <c r="B32" s="19" t="s">
        <v>85</v>
      </c>
      <c r="C32" s="101">
        <v>1.8206013E-2</v>
      </c>
    </row>
    <row r="33" spans="2:3" ht="15.75" customHeight="1" x14ac:dyDescent="0.25">
      <c r="B33" s="19" t="s">
        <v>100</v>
      </c>
      <c r="C33" s="101">
        <v>8.4055170999999984E-2</v>
      </c>
    </row>
    <row r="34" spans="2:3" ht="15.75" customHeight="1" x14ac:dyDescent="0.25">
      <c r="B34" s="19" t="s">
        <v>87</v>
      </c>
      <c r="C34" s="101">
        <v>0.26486394200000002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RkGpcmofg4+CUJ7LxXbbICKFZqHrFD6Kd+5+XaR7XOO9bW5wq/adPDRrkCjBK1pOFzmV1iqnpFpSlDxEUT//8A==" saltValue="0/3dJu12qlH6iL+MZj6t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110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106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107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119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0.55798007500000002</v>
      </c>
      <c r="D14" s="54">
        <v>0.52895796887199997</v>
      </c>
      <c r="E14" s="54">
        <v>0.52895796887199997</v>
      </c>
      <c r="F14" s="54">
        <v>0.31842903291500002</v>
      </c>
      <c r="G14" s="54">
        <v>0.31842903291500002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0.23399117637155001</v>
      </c>
      <c r="D15" s="52">
        <f t="shared" si="0"/>
        <v>0.22182064007834867</v>
      </c>
      <c r="E15" s="52">
        <f t="shared" si="0"/>
        <v>0.22182064007834867</v>
      </c>
      <c r="F15" s="52">
        <f t="shared" si="0"/>
        <v>0.13353448866903692</v>
      </c>
      <c r="G15" s="52">
        <f t="shared" si="0"/>
        <v>0.13353448866903692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GKqqy5BdonLx195ANmbj99MRSdnrn0JNGebpzBEBJtIeS9WM4MbZtLx1amTRr6XbX/XNYDi2Afjh2YrKmwiyw==" saltValue="IbH56b0aoCRt/1GMxVPe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125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ceSWS7vYorlqjhVKqeX6/aKfSvIXJkXx6QKjGWy0CdWQNpGYaZWa5mIVX4za/KUtGNft5ijtNUzK3DDRWu5cLQ==" saltValue="Pt43YUOoMxEoa/vN2sQW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6ZeragRPsz/My1X7vxrm4+bsbwEiua+K1/I8i0xjL96hh/mG4Tj1y/W1G9h3zGujZ+0PINqLOQJHtrY18UhAw==" saltValue="zCDi3hT8STNuJoDdA3fGf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6J8WON1P6ib+pv/6s90xx8zYn7RH1P6QGAOVyueIL78lz3Tm/HYByKS+f405FQjU6Bn0CLf26qcnYaqf/VzQNQ==" saltValue="bMmlO2c6KVlDxw2cJeug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2uVn4uoOBJVg0FXYeWpkCIAMfMZW7VJOQqAXsRHpbVNBHXqHGU84XqlXCYRlM0Z17XojMNGvmF50Y66ui6LTig==" saltValue="Oj7MioMhVldPBoeSVdUnO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Cno3vTDGT5cl5BgLU3+Wze20g/B4dWOfiE5lzUflA8X21rxWP4zhiO54/vCuNg3/JduwUVB52PUN+tsIRpaUGg==" saltValue="a+WsNi3EjRKxWHd8ti3j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39.888859002919943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54.752071881275683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130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3.805795445360411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0.30538290000000001</v>
      </c>
      <c r="C10" s="98">
        <v>0.95</v>
      </c>
      <c r="D10" s="56">
        <v>17.43582110877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17.43582110877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17.43582110877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17.43582110877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0.30538290000000001</v>
      </c>
      <c r="C14" s="98">
        <v>0.95</v>
      </c>
      <c r="D14" s="56">
        <v>17.43582110877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17.43582110877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0.51234469999999999</v>
      </c>
      <c r="C16" s="98">
        <v>0.95</v>
      </c>
      <c r="D16" s="56">
        <v>0.36188471973576708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0.143035555555556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0.34070879999999998</v>
      </c>
      <c r="C18" s="98">
        <v>0.95</v>
      </c>
      <c r="D18" s="56">
        <v>3.082565241453175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0.34070879999999998</v>
      </c>
      <c r="C19" s="98">
        <v>0.95</v>
      </c>
      <c r="D19" s="56">
        <v>3.082565241453175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33.744034081912098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29.75485142592801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0.5148045</v>
      </c>
      <c r="C23" s="98">
        <v>0.95</v>
      </c>
      <c r="D23" s="56">
        <v>5.7056441979252872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0.35049825564319997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0.30538290000000001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25.164486250613059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0.45741510000000002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0.31096489999999999</v>
      </c>
      <c r="C29" s="98">
        <v>0.95</v>
      </c>
      <c r="D29" s="56">
        <v>72.244943512455777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5.8200000000000002E-2</v>
      </c>
      <c r="C31" s="98">
        <v>0.95</v>
      </c>
      <c r="D31" s="56">
        <v>0.35349840139862337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0.56999999999999995</v>
      </c>
      <c r="C32" s="98">
        <v>0.95</v>
      </c>
      <c r="D32" s="56">
        <v>0.71154246388970954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0.31078830000000002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0.54565930000000007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8.4545999999999996E-3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0.12378939999999999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0.40255580000000002</v>
      </c>
      <c r="C38" s="98">
        <v>0.95</v>
      </c>
      <c r="D38" s="56">
        <v>8.1649856306609028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tS8cnLaA49kOWArXRjL5svVpa2/TXc5417WWdikwstg41uZSDYSlFaiDqpVcQ4kprNFy/2ziRmPWe5oQpHubMQ==" saltValue="RFAvCdKilQEwQMtul4DO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unPgTCjm/p4t5AwkxKqvqgN+ILAWUOZNqmHqNwTwkmTw14zQKeV6oq8QVv5u4Fk/kkguPyQQINH0dGjK25Urvw==" saltValue="cc3WDUD4eFMJciq20V4M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Vh0M/TRLlX2b8+/RkMd9YeC5sYomCYmWVxEXSBHejUe1dzO30JPV1v1ZrowcWd8sBKOyqi1xlcYiumU4SvG2sg==" saltValue="GN/ls6wkyb5U2xHkePed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207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kAU3GbuFpKBWVuAAerPklsAGCe5YVZl5GnQ/f35zMtbum9bHFeqIWTASyaJFWAPljcKsRe86i6kj64e7frtonA==" saltValue="P/m/thWnmLPSX1+0e16j7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5.7068011787414274E-2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2.4457719337463261E-2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1.3216547927856379E-2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0.90525772094726609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JhRfZI+vdR1bVDVLNitBVlv3Pn6P02kUdzD3h78EZGe12gq7oEEh1aymIDs0UhFiroJzkbDG9U+E4aqo+LVxg==" saltValue="+z1l0/xolbJn4GVYNh7O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iUONBT9H+ozuiFnYh+r3UIapNi3VA5arZuW4qAACijyhGWPKR3MeIwZTyoXeVwas7VTetPS/dqZ6dNIxtJPzJg==" saltValue="YMt5Pl/w6iFX/b4BDQb1/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rFa8gAB2Z8aw+Ejy/K9QZ0b5Howya1loIf15PVM+JK4CuAkNC15mHw5rmnX/IEl/ot6gOsRa7BC51s6e91Acg==" saltValue="GY/EXS+L2G0Px7xVQsHej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uHl4CU8hH85qHttnOk5sCi42Dc/i68/ihgtzMYXaxi6xxK4mojAqjbYVkiPx10L3aRRUpzrEH8YgFkAPUj+pA==" saltValue="mTzrmeo/cZVrf3an4R3r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S7UqViwKl00n6beYA9EPJf3+gOIyhxwz4MqV1fY9wSFhDZsEaVU8NUnhe69Loa6xeErZMbz5nOwWWD96DoVBQ==" saltValue="PR86wY6qG4Bot5jXbJ18/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A3SG1gjXgTn67LHdbiipj6wDYi4JQ/nxyaMVHD7JKl6ujgzbZBDz4ftOXgHUflNskggAOEGYazlkByZX6X8uw==" saltValue="OoE9DRE1RDHEhhZP91HQl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ndo1aGsuevKmfSG2CVHnijNupTIi45zXWNkzn8urfdWwu3PeMJ2WFZbL1gNIaOaPNhclNhIwFysvz9W9VCMyg==" saltValue="SYQ/802p2hTvll8tI1mSu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+qeO6iSsaArRnFx1iC7Qay4NuSCma57QdBYUa94TugsjhEnoX7VNDyAKjXYERD3da/ASeL476Aqd7lJwfXsoQ==" saltValue="Y1Wk7//L5FuKjhWNEEsr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4BtVTk1eoOUrDJ34ypknhh6qDocJB5a+Ubgjj18Hr3sNHEV0fnvBJFPnF+CeIq5l7w87mayPDKZ90jlqSgaKA==" saltValue="FzqeYQu+rXuWGMBqfDV2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qLWWAWofpnMOiLnVHNQ6cfESR8LvZ8ypaDF5GkIhmiWHgwKfjpftoEHgweWd6Y1Cy40XRDyTLUqkzj6ytey9w==" saltValue="HHouzk6q5COZea3QxV53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NtEdBJTtgmSpleX1FTWqCOBpj/hBw1QwoOaSCe2cUapYMC5GVeQEKAM39+nvnAti8qDJ95l19Ktj3Vl8MuODg==" saltValue="AZvKy3CX4ThajJUrsxGa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o4Z5K3KVUCRDLIdGDYYCtLIR677a7pee0ZVc+5GmUU6uEUFsBy0AsjucFnjYtNjQfE63nVKjP7X3Qa2GKxCWQ==" saltValue="BFyjUjRRyqGnRhb//mWo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fEvCygIx6unAlaK2OG9MaKwxntps2XWVQJmelT+GcSGT2VzTX+DyJbTJ+FOTGis0tqy+fhXkc6Y6dH2uaQI4Q==" saltValue="zlSigurJF+NgdJs9PDTl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0.10674295435124692</v>
      </c>
      <c r="G18" s="90">
        <f>MIN(MAX(1-0.89/(1-frac_sam_12_23months+(frac_sam_12_23months*0.89)),0),1)</f>
        <v>0.1068127999205325</v>
      </c>
      <c r="H18" s="90">
        <f>MIN(MAX(1-0.89/(1-frac_sam_24_59months+(frac_sam_24_59months*0.89)),0),1)</f>
        <v>0.10913050424518733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9.9852159921025807E-2</v>
      </c>
      <c r="G20" s="90">
        <f>MIN(MAX(1-0.89/(1-frac_mam_12_23months+(frac_mam_12_23months*0.89)),0),1)</f>
        <v>0.10224015079799287</v>
      </c>
      <c r="H20" s="90">
        <f>MIN(MAX(1-0.89/(1-frac_mam_24_59months+(frac_mam_24_59months*0.89)),0),1)</f>
        <v>0.10687404755580798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9.6717279650424537E-3</v>
      </c>
      <c r="G73" s="90">
        <f>MIN(MAX(1-0.99/(1-frac_sam_12_23months+(frac_sam_12_23months*0.99)),0),1)</f>
        <v>9.6787447363988477E-3</v>
      </c>
      <c r="H73" s="90">
        <f>MIN(MAX(1-0.99/(1-frac_sam_24_59months+(frac_sam_24_59months*0.99)),0),1)</f>
        <v>9.912151485376941E-3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8.9843417463882913E-3</v>
      </c>
      <c r="G75" s="90">
        <f>MIN(MAX(1-0.99/(1-frac_mam_12_23months+(frac_mam_12_23months*0.99)),0),1)</f>
        <v>9.2214670351454808E-3</v>
      </c>
      <c r="H75" s="90">
        <f>MIN(MAX(1-0.99/(1-frac_mam_24_59months+(frac_mam_24_59months*0.99)),0),1)</f>
        <v>9.6848985700818124E-3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0.19466095649071258</v>
      </c>
      <c r="G128" s="90">
        <f>MIN(MAX(1-0.8/(1-frac_sam_12_23months+(frac_sam_12_23months*0.8)),0),1)</f>
        <v>0.19477578582082689</v>
      </c>
      <c r="H128" s="90">
        <f>MIN(MAX(1-0.8/(1-frac_sam_24_59months+(frac_sam_24_59months*0.8)),0),1)</f>
        <v>0.1985778282709364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0.18325899833168391</v>
      </c>
      <c r="G130" s="90">
        <f>MIN(MAX(1-0.8/(1-frac_mam_12_23months+(frac_mam_12_23months*0.8)),0),1)</f>
        <v>0.18722679771767592</v>
      </c>
      <c r="H130" s="90">
        <f>MIN(MAX(1-0.8/(1-frac_mam_24_59months+(frac_mam_24_59months*0.8)),0),1)</f>
        <v>0.19487646758169086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5DEoPGOKtw6maSNPJC2x7jzrlns6H+79YyyRi+/r9eZL72t7TOL0kUESsIXKiWhGZZcDdG0L91+Vr5VI+Avlbw==" saltValue="Q2GWsgvcKwBATaF9qpth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mVYat/8TVnvmYL1wIpIHVWUiEX22k4eWBr+LBCPJCwO3FxzNRaVepAA9GyZA9jQmw29xJKQytMmewi08rsLzg==" saltValue="CsAS3g0erYmkWSFG1AU5C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2024-08-06T08:11:30Z</dcterms:modified>
</cp:coreProperties>
</file>