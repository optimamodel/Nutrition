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E8C922C-8FB6-461E-B0E8-F3A0194DFEC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<sst xmlns="http://schemas.openxmlformats.org/spreadsheetml/2006/main" count="2102" uniqueCount="341">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</sst>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12175198.5</v>
      </c>
    </row>
    <row r="8" spans="1:3" ht="15" customHeight="1" x14ac:dyDescent="0.25">
      <c r="B8" s="5" t="s">
        <v>44</v>
      </c>
      <c r="C8" s="44">
        <v>6.0999999999999999E-2</v>
      </c>
    </row>
    <row r="9" spans="1:3" ht="15" customHeight="1" x14ac:dyDescent="0.25">
      <c r="B9" s="5" t="s">
        <v>43</v>
      </c>
      <c r="C9" s="45">
        <v>1.24E-2</v>
      </c>
    </row>
    <row r="10" spans="1:3" ht="15" customHeight="1" x14ac:dyDescent="0.25">
      <c r="B10" s="5" t="s">
        <v>56</v>
      </c>
      <c r="C10" s="45">
        <v>0.71803596496582001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0.48499999999999999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0.11020000000000001</v>
      </c>
    </row>
    <row r="24" spans="1:3" ht="15" customHeight="1" x14ac:dyDescent="0.25">
      <c r="B24" s="15" t="s">
        <v>46</v>
      </c>
      <c r="C24" s="45">
        <v>0.46769999999999989</v>
      </c>
    </row>
    <row r="25" spans="1:3" ht="15" customHeight="1" x14ac:dyDescent="0.25">
      <c r="B25" s="15" t="s">
        <v>47</v>
      </c>
      <c r="C25" s="45">
        <v>0.34789999999999999</v>
      </c>
    </row>
    <row r="26" spans="1:3" ht="15" customHeight="1" x14ac:dyDescent="0.25">
      <c r="B26" s="15" t="s">
        <v>48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0.30815858460240297</v>
      </c>
    </row>
    <row r="30" spans="1:3" ht="14.25" customHeight="1" x14ac:dyDescent="0.25">
      <c r="B30" s="25" t="s">
        <v>63</v>
      </c>
      <c r="C30" s="99">
        <v>5.7025809794546099E-2</v>
      </c>
    </row>
    <row r="31" spans="1:3" ht="14.25" customHeight="1" x14ac:dyDescent="0.25">
      <c r="B31" s="25" t="s">
        <v>10</v>
      </c>
      <c r="C31" s="99">
        <v>6.6859128479990607E-2</v>
      </c>
    </row>
    <row r="32" spans="1:3" ht="14.25" customHeight="1" x14ac:dyDescent="0.25">
      <c r="B32" s="25" t="s">
        <v>11</v>
      </c>
      <c r="C32" s="99">
        <v>0.56795647712306097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12.276949999999999</v>
      </c>
    </row>
    <row r="38" spans="1:5" ht="15" customHeight="1" x14ac:dyDescent="0.25">
      <c r="B38" s="11" t="s">
        <v>35</v>
      </c>
      <c r="C38" s="43">
        <v>20.473140000000001</v>
      </c>
      <c r="D38" s="12"/>
      <c r="E38" s="13"/>
    </row>
    <row r="39" spans="1:5" ht="15" customHeight="1" x14ac:dyDescent="0.25">
      <c r="B39" s="11" t="s">
        <v>61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6.5569000000000001E-3</v>
      </c>
      <c r="D45" s="12"/>
    </row>
    <row r="46" spans="1:5" ht="15.75" customHeight="1" x14ac:dyDescent="0.25">
      <c r="B46" s="11" t="s">
        <v>51</v>
      </c>
      <c r="C46" s="45">
        <v>7.0453000000000002E-2</v>
      </c>
      <c r="D46" s="12"/>
    </row>
    <row r="47" spans="1:5" ht="15.75" customHeight="1" x14ac:dyDescent="0.25">
      <c r="B47" s="11" t="s">
        <v>59</v>
      </c>
      <c r="C47" s="45">
        <v>7.476569999999999E-2</v>
      </c>
      <c r="D47" s="12"/>
      <c r="E47" s="13"/>
    </row>
    <row r="48" spans="1:5" ht="15" customHeight="1" x14ac:dyDescent="0.25">
      <c r="B48" s="11" t="s">
        <v>58</v>
      </c>
      <c r="C48" s="46">
        <v>0.84822439999999999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0.52888299999999999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0.20147881000000001</v>
      </c>
    </row>
    <row r="63" spans="1:4" ht="15.75" customHeight="1" x14ac:dyDescent="0.3">
      <c r="A63" s="4"/>
    </row>
  </sheetData>
  <sheetProtection algorithmName="SHA-512" hashValue="uLLb6A8xtZWCvXU9Zc6jMYR0wTQ3mMEgoh6p3KiBP4IzDUhfXDAYWKcqTBnslGgyZMPRtL8RhSZ5e69TWIIV9A==" saltValue="WEL5z/nnqQgTuqOvm5pl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U0RYQrdrsSktgtbts2f0XVJaabJIMRyWsLFpjAStEnFJ6rVx7WXOsFRU2amBzS2MooyudO1fxgN+EM7X6mk1w==" saltValue="wGxs9gDuW9yMvqFdDNm83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2.2522621624356761E-3</v>
      </c>
    </row>
    <row r="4" spans="1:8" ht="15.75" customHeight="1" x14ac:dyDescent="0.25">
      <c r="B4" s="19" t="s">
        <v>97</v>
      </c>
      <c r="C4" s="101">
        <v>7.516927467198109E-2</v>
      </c>
    </row>
    <row r="5" spans="1:8" ht="15.75" customHeight="1" x14ac:dyDescent="0.25">
      <c r="B5" s="19" t="s">
        <v>95</v>
      </c>
      <c r="C5" s="101">
        <v>4.8031625672868491E-2</v>
      </c>
    </row>
    <row r="6" spans="1:8" ht="15.75" customHeight="1" x14ac:dyDescent="0.25">
      <c r="B6" s="19" t="s">
        <v>91</v>
      </c>
      <c r="C6" s="101">
        <v>0.17511153307831301</v>
      </c>
    </row>
    <row r="7" spans="1:8" ht="15.75" customHeight="1" x14ac:dyDescent="0.25">
      <c r="B7" s="19" t="s">
        <v>96</v>
      </c>
      <c r="C7" s="101">
        <v>0.4235197891461801</v>
      </c>
    </row>
    <row r="8" spans="1:8" ht="15.75" customHeight="1" x14ac:dyDescent="0.25">
      <c r="B8" s="19" t="s">
        <v>98</v>
      </c>
      <c r="C8" s="101">
        <v>6.3281746576205505E-4</v>
      </c>
    </row>
    <row r="9" spans="1:8" ht="15.75" customHeight="1" x14ac:dyDescent="0.25">
      <c r="B9" s="19" t="s">
        <v>92</v>
      </c>
      <c r="C9" s="101">
        <v>0.14254113413530231</v>
      </c>
    </row>
    <row r="10" spans="1:8" ht="15.75" customHeight="1" x14ac:dyDescent="0.25">
      <c r="B10" s="19" t="s">
        <v>94</v>
      </c>
      <c r="C10" s="101">
        <v>0.13274156366715731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102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2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90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3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101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79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88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99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4.4382244000000001E-2</v>
      </c>
    </row>
    <row r="27" spans="1:8" ht="15.75" customHeight="1" x14ac:dyDescent="0.25">
      <c r="B27" s="19" t="s">
        <v>89</v>
      </c>
      <c r="C27" s="101">
        <v>4.8625891999999997E-2</v>
      </c>
    </row>
    <row r="28" spans="1:8" ht="15.75" customHeight="1" x14ac:dyDescent="0.25">
      <c r="B28" s="19" t="s">
        <v>103</v>
      </c>
      <c r="C28" s="101">
        <v>0.16463160299999999</v>
      </c>
    </row>
    <row r="29" spans="1:8" ht="15.75" customHeight="1" x14ac:dyDescent="0.25">
      <c r="B29" s="19" t="s">
        <v>86</v>
      </c>
      <c r="C29" s="101">
        <v>0.203694557</v>
      </c>
    </row>
    <row r="30" spans="1:8" ht="15.75" customHeight="1" x14ac:dyDescent="0.25">
      <c r="B30" s="19" t="s">
        <v>4</v>
      </c>
      <c r="C30" s="101">
        <v>4.3418417000000001E-2</v>
      </c>
    </row>
    <row r="31" spans="1:8" ht="15.75" customHeight="1" x14ac:dyDescent="0.25">
      <c r="B31" s="19" t="s">
        <v>80</v>
      </c>
      <c r="C31" s="101">
        <v>9.7613213000000004E-2</v>
      </c>
    </row>
    <row r="32" spans="1:8" ht="15.75" customHeight="1" x14ac:dyDescent="0.25">
      <c r="B32" s="19" t="s">
        <v>85</v>
      </c>
      <c r="C32" s="101">
        <v>4.3273035999999987E-2</v>
      </c>
    </row>
    <row r="33" spans="2:3" ht="15.75" customHeight="1" x14ac:dyDescent="0.25">
      <c r="B33" s="19" t="s">
        <v>100</v>
      </c>
      <c r="C33" s="101">
        <v>0.24136084799999999</v>
      </c>
    </row>
    <row r="34" spans="2:3" ht="15.75" customHeight="1" x14ac:dyDescent="0.25">
      <c r="B34" s="19" t="s">
        <v>87</v>
      </c>
      <c r="C34" s="101">
        <v>0.11300019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rgowZ0GZYi7FCwDW1c5y7D9cdVuqT8lV2N52fQBIZSAcHEFve1juOnytoIpvTKJFXXh3PGnWaVdjxHnkvpptkA==" saltValue="IbHkz9OTCLcLTIY6an54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110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106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107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119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pE4+6H6s4yQ7wLEPFXZH09gkdkCkJ+eiwQ7jeAKMTOalHHIbItWqnui843vZvk2UoGC8VMHOfp7OyUNoNbPPg==" saltValue="V/05ug8YLeyVHUTgbaW0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125</v>
      </c>
      <c r="C5" s="52">
        <v>0.1052626</v>
      </c>
      <c r="D5" s="52">
        <v>0.23477899999999999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AcS3gQPwCE9WHx0rrjWJ3Ymp4rhGWRsuxGzAgPypEC0kuyiyDenavYGL5yUXPz6+FlVpXFjO4dY4OwDg2W0fRg==" saltValue="0YdNJ+lT1jzlFplsKfrV3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Z4T90HN0tlnwkYZ2Zw84SX1JAipZ1b/mEbGRBpSwFbMubiHPpSINXrL46N+zeaJ+a5dj8uE4RhSd3kKYaympg==" saltValue="OXxsn5cGu+Qh3yOd/KgN/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NF3clgK7yjh5yLMzU+Z3FifXQb0kVdqJCGVKfXkIuGWD+JPpnLErtJ9El26tcn8oon8TbmyaW5ASSlJ74/gfbA==" saltValue="lc/Q3hHqenDhsnr013OXm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qiZLn8yr9sBpTwoBqq/5tCrBTO25Gdk4rIi1ehxM9oI80mKQRQaEpb1+FfZ4RPCUwv7gNeOH2KQOmKIpwVILg==" saltValue="KEohRQbwoOfBlN/FnUzH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dkPNYE9iyR7xRA7FL2q8WtF1MugagZov5PSeLLL8hTr4wIQSZtZ+FfWygJ5pFbIFogrOqAaiY9JX0lBki+IBQ==" saltValue="hmy+XyF2/2fkQ6P3C3rO9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50.420209969169832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0.21241954591199999</v>
      </c>
      <c r="C3" s="98">
        <v>0.95</v>
      </c>
      <c r="D3" s="56">
        <v>39.709579037933892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295.10719290294543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0.41011202521756179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0.56078709999999998</v>
      </c>
      <c r="C10" s="98">
        <v>0.95</v>
      </c>
      <c r="D10" s="56">
        <v>12.8418784817298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0.56078709999999998</v>
      </c>
      <c r="C11" s="98">
        <v>0.95</v>
      </c>
      <c r="D11" s="56">
        <v>12.8418784817298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0.56078709999999998</v>
      </c>
      <c r="C12" s="98">
        <v>0.95</v>
      </c>
      <c r="D12" s="56">
        <v>12.8418784817298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0.56078709999999998</v>
      </c>
      <c r="C13" s="98">
        <v>0.95</v>
      </c>
      <c r="D13" s="56">
        <v>12.8418784817298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0.56078709999999998</v>
      </c>
      <c r="C14" s="98">
        <v>0.95</v>
      </c>
      <c r="D14" s="56">
        <v>12.8418784817298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0.56078709999999998</v>
      </c>
      <c r="C15" s="98">
        <v>0.95</v>
      </c>
      <c r="D15" s="56">
        <v>12.8418784817298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0.91</v>
      </c>
      <c r="C16" s="98">
        <v>0.95</v>
      </c>
      <c r="D16" s="56">
        <v>0.54864428162514955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0.35023333333333301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0.11230845742907999</v>
      </c>
      <c r="C18" s="98">
        <v>0.95</v>
      </c>
      <c r="D18" s="56">
        <v>6.8391836861488278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0.84757159999999998</v>
      </c>
      <c r="C19" s="98">
        <v>0.95</v>
      </c>
      <c r="D19" s="56">
        <v>6.8391836861488278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0.66452529999999999</v>
      </c>
      <c r="C21" s="98">
        <v>0.95</v>
      </c>
      <c r="D21" s="56">
        <v>3.9900848934620532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22.071689414352811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4.1728995609348631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0.85103646142895994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0.56078709999999998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18.40378878530877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0.66738089999988004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96.281170578850436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0.28999999999999998</v>
      </c>
      <c r="C31" s="98">
        <v>0.95</v>
      </c>
      <c r="D31" s="56">
        <v>3.165382982361816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1.1605072878943321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0.28999999999999998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0.47222769999999997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0.48636289999999999</v>
      </c>
      <c r="C38" s="98">
        <v>0.95</v>
      </c>
      <c r="D38" s="56">
        <v>2.5690343142936309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kATQdUHtZlcvM919FtY3yIh9bYwz0IjteyGBVoJByvsXPu/yqQOOh7E5g6V2uarpu481XMc4OSv2aKncJr9e7w==" saltValue="813caOZgMIA0irVmu9Z8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7iOrx67Wckp7YP8juouiL92mgi732+LFD829HElmsEfwWvznewE3B12U5Qvvl5cdwL5YU5jhTJ6NGvIsW8kgg==" saltValue="V+zBuyO7I2Ve/MXWAxPB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2oFEy4OqbVEXaV2N6NufyS1+mZSe4ckTKPQ2DjGgPN68fxRtJ4ed5oHP7whgTE+TWud/kenafS6sv/h4ia4Vw==" saltValue="UP266XUN/XM1ZsFzt2D+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207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0L7fBQLZUtLxEBllg6prrsx9Px9a3ry4kKx6Ka60IswrHRF88DCemGKG368DdgcHc4KVfXBQt1ZmIb3Nu4ofbw==" saltValue="1iOY9M8kvH/3tBmtYdPl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6.0999999999999999E-2</v>
      </c>
      <c r="E2" s="60">
        <f>food_insecure</f>
        <v>6.0999999999999999E-2</v>
      </c>
      <c r="F2" s="60">
        <f>food_insecure</f>
        <v>6.0999999999999999E-2</v>
      </c>
      <c r="G2" s="60">
        <f>food_insecure</f>
        <v>6.0999999999999999E-2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6.0999999999999999E-2</v>
      </c>
      <c r="F5" s="60">
        <f>food_insecure</f>
        <v>6.0999999999999999E-2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6.0999999999999999E-2</v>
      </c>
      <c r="F8" s="60">
        <f>food_insecure</f>
        <v>6.0999999999999999E-2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6.0999999999999999E-2</v>
      </c>
      <c r="F9" s="60">
        <f>food_insecure</f>
        <v>6.0999999999999999E-2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6.0999999999999999E-2</v>
      </c>
      <c r="I15" s="60">
        <f>food_insecure</f>
        <v>6.0999999999999999E-2</v>
      </c>
      <c r="J15" s="60">
        <f>food_insecure</f>
        <v>6.0999999999999999E-2</v>
      </c>
      <c r="K15" s="60">
        <f>food_insecure</f>
        <v>6.0999999999999999E-2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0.48499999999999999</v>
      </c>
      <c r="M24" s="60">
        <f>famplan_unmet_need</f>
        <v>0.48499999999999999</v>
      </c>
      <c r="N24" s="60">
        <f>famplan_unmet_need</f>
        <v>0.48499999999999999</v>
      </c>
      <c r="O24" s="60">
        <f>famplan_unmet_need</f>
        <v>0.48499999999999999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0.14177433645553605</v>
      </c>
      <c r="M25" s="60">
        <f>(1-food_insecure)*(0.49)+food_insecure*(0.7)</f>
        <v>0.50280999999999998</v>
      </c>
      <c r="N25" s="60">
        <f>(1-food_insecure)*(0.49)+food_insecure*(0.7)</f>
        <v>0.50280999999999998</v>
      </c>
      <c r="O25" s="60">
        <f>(1-food_insecure)*(0.49)+food_insecure*(0.7)</f>
        <v>0.50280999999999998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6.0760429909515454E-2</v>
      </c>
      <c r="M26" s="60">
        <f>(1-food_insecure)*(0.21)+food_insecure*(0.3)</f>
        <v>0.21549000000000001</v>
      </c>
      <c r="N26" s="60">
        <f>(1-food_insecure)*(0.21)+food_insecure*(0.3)</f>
        <v>0.21549000000000001</v>
      </c>
      <c r="O26" s="60">
        <f>(1-food_insecure)*(0.21)+food_insecure*(0.3)</f>
        <v>0.21549000000000001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7.94292686691285E-2</v>
      </c>
      <c r="M27" s="60">
        <f>(1-food_insecure)*(0.3)</f>
        <v>0.28170000000000001</v>
      </c>
      <c r="N27" s="60">
        <f>(1-food_insecure)*(0.3)</f>
        <v>0.28170000000000001</v>
      </c>
      <c r="O27" s="60">
        <f>(1-food_insecure)*(0.3)</f>
        <v>0.28170000000000001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0.71803596496582001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1.24E-2</v>
      </c>
      <c r="D34" s="60">
        <f t="shared" si="3"/>
        <v>1.24E-2</v>
      </c>
      <c r="E34" s="60">
        <f t="shared" si="3"/>
        <v>1.24E-2</v>
      </c>
      <c r="F34" s="60">
        <f t="shared" si="3"/>
        <v>1.24E-2</v>
      </c>
      <c r="G34" s="60">
        <f t="shared" si="3"/>
        <v>1.24E-2</v>
      </c>
      <c r="H34" s="60">
        <f t="shared" si="3"/>
        <v>1.24E-2</v>
      </c>
      <c r="I34" s="60">
        <f t="shared" si="3"/>
        <v>1.24E-2</v>
      </c>
      <c r="J34" s="60">
        <f t="shared" si="3"/>
        <v>1.24E-2</v>
      </c>
      <c r="K34" s="60">
        <f t="shared" si="3"/>
        <v>1.24E-2</v>
      </c>
      <c r="L34" s="60">
        <f t="shared" si="3"/>
        <v>1.24E-2</v>
      </c>
      <c r="M34" s="60">
        <f t="shared" si="3"/>
        <v>1.24E-2</v>
      </c>
      <c r="N34" s="60">
        <f t="shared" si="3"/>
        <v>1.24E-2</v>
      </c>
      <c r="O34" s="60">
        <f t="shared" si="3"/>
        <v>1.24E-2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0mkEkLGr7JY1D0FVFjBhbZyDWSEqL5W0/XmTliDaI8E8PGEDRUvK0zXdw06mpb/3oDrU4qqK6u0TrctmXDUag==" saltValue="VRIoTB43EYaVL/SYpAqR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gdfF9o643Y6n65+OP/b03vVNDTvDhO2sbcQ4F4mk1I9O76DC/K4ex0O5+Ml0I5IfXTGSOcJxO6VVX9gg04ESA==" saltValue="BHVlIIUzCLn8xvZ7eNHm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Rd9YYtwJubwOBpVmC6MrGbFFN0VgA96Koo/hV1+TbfrL6wsPKa46+YpFXbwEN/4eytuYqdxSBnPsFisrrAl2w==" saltValue="XEmQqfCl1P253XGFklwb/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e25chpUxVpV85go+XO3pQ78ZlXm0Su0ZMqqlfg9RyCdC1I+PVFWwa9/TXD+A3RYJTaHbKZzT8ghKyf1q6iUMw==" saltValue="O3tGiZYkC1UjBmzfXB+k9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HEAFTa3CgYNncF6e5NVtprqjm8q0C4yFnPvPUxkoShgpFJOvUKjJ+AQZisNEQRuPnOpsJijJhn6IzJzSqjSfg==" saltValue="qchT5MLiVSs6lhal6DLm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/i2nUK4mMnvS/GP8QaWYlU8V0XK3oNjLaJcDEcvowYFxy0WbWMD52jwahJ9hRAehF+itBunXOj6bFwTriHrtg==" saltValue="xO2Lm8jjGrpOzhHfJB9o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TIrVyoSX/0+h9RXHe8f2P/v7jlHY7NH5QGzxFvYJ10Y/rB4yvJtWl4t0S1vakGquI5lrXfIjwaIKkNDFtEK/A==" saltValue="YJC4XMyoCddKRB6SWZCdB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W6xtzXeoIDiC0VzPTRFdt0XmTMJ+QW5DteBBFu4SvFTyIw9PjN2gRvU4DYEKdFRY3chXK8VMiyFtQTrscoJfQ==" saltValue="DvGpcwlyXeIhdsUyJ+4G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Ple4H2sMhsw/HZMNJLG04lEejl+QdnrtxhC1npIfmwQfgLjgBqzqaPQDmtOQFDJl0QCTl8z01JYqRU0LMK5aw==" saltValue="jy6DLkN6inOdotNhFOCe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+3RV7IcOYMWbVG4uYi0enszQFsvtYdzaY+rO8X/nHhCMX16ehr6+nOSTlfmQ2QM9+5zZK9B6+2+SjCWPbtH4Gw==" saltValue="1K+XQn4q7W0QaXqijKHn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MxCYSPAkwYKjseB8PH2VDU7EUEVfwGzCOkTGDjYncZf5DimTk65BhvNx2whWXHGoiVgRqd/BPNveXB+R1d+zg==" saltValue="mXxydPVJjUbb3q1hjB5Z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acfZMJ47hZIYFUuTyxPbQw4JLOfZzG9mozswDAl6Iv5DkHmDCbsoizzy9X9Xd3dCLgfTZranQGGuDa5C6KpyA==" saltValue="DoMzYmrkOlCPmJj33lQP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QYK2iI6KySuyPwFE9K8MT+YH72/0M/ua15YFbg2DZLPRxPDVn9WwVZM8ZK1IfWCI1APNa0Y91LlflNrvSW4bw==" saltValue="+btNE1A64H7Ke2LEkkrQ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5GtFDvDRe3J7y3tKX72erK3SM8bQARR7/VS5pCz9s53x4T9tlrTeYdPGF9zaAOK+Zbj6JXkclv0qkNS6VROxw==" saltValue="YCgo8L/1VSa5Uh0xMH/3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Vu2jsm5Q8QStW1Ujat0xqb/FEFQvDi1nPWeIjUAocQLXS2leBVw4DEw/0OM8kEnJZiNMwj1FIbZ+DwTQJPGXQ==" saltValue="1JXUAZYLcSXwUuT7zVf1I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2024-05-16T23:54:13Z</dcterms:modified>
</cp:coreProperties>
</file>