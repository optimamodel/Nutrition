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B9DF053-01DB-4ECE-8B5B-AABA3AB10A20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39" i="2" l="1"/>
  <c r="A29" i="2"/>
  <c r="A31" i="2"/>
  <c r="A15" i="2"/>
  <c r="A28" i="2"/>
  <c r="A3" i="2"/>
  <c r="A18" i="2"/>
  <c r="A34" i="2"/>
  <c r="A20" i="2"/>
  <c r="A36" i="2"/>
  <c r="A21" i="2"/>
  <c r="A37" i="2"/>
  <c r="A16" i="2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<sst xmlns="http://schemas.openxmlformats.org/spreadsheetml/2006/main" count="2101" uniqueCount="341">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</sst>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12175198.5</v>
      </c>
    </row>
    <row r="8" spans="1:3" ht="15" customHeight="1" x14ac:dyDescent="0.25">
      <c r="B8" s="5" t="s">
        <v>44</v>
      </c>
      <c r="C8" s="44">
        <v>6.0999999999999999E-2</v>
      </c>
    </row>
    <row r="9" spans="1:3" ht="15" customHeight="1" x14ac:dyDescent="0.25">
      <c r="B9" s="5" t="s">
        <v>43</v>
      </c>
      <c r="C9" s="45">
        <v>1.24E-2</v>
      </c>
    </row>
    <row r="10" spans="1:3" ht="15" customHeight="1" x14ac:dyDescent="0.25">
      <c r="B10" s="5" t="s">
        <v>56</v>
      </c>
      <c r="C10" s="45">
        <v>0.71803596496582001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0.48499999999999999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0.11020000000000001</v>
      </c>
    </row>
    <row r="24" spans="1:3" ht="15" customHeight="1" x14ac:dyDescent="0.25">
      <c r="B24" s="15" t="s">
        <v>46</v>
      </c>
      <c r="C24" s="45">
        <v>0.46769999999999989</v>
      </c>
    </row>
    <row r="25" spans="1:3" ht="15" customHeight="1" x14ac:dyDescent="0.25">
      <c r="B25" s="15" t="s">
        <v>47</v>
      </c>
      <c r="C25" s="45">
        <v>0.34789999999999999</v>
      </c>
    </row>
    <row r="26" spans="1:3" ht="15" customHeight="1" x14ac:dyDescent="0.25">
      <c r="B26" s="15" t="s">
        <v>48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0.30815858460240297</v>
      </c>
    </row>
    <row r="30" spans="1:3" ht="14.25" customHeight="1" x14ac:dyDescent="0.25">
      <c r="B30" s="25" t="s">
        <v>63</v>
      </c>
      <c r="C30" s="99">
        <v>5.7025809794546099E-2</v>
      </c>
    </row>
    <row r="31" spans="1:3" ht="14.25" customHeight="1" x14ac:dyDescent="0.25">
      <c r="B31" s="25" t="s">
        <v>10</v>
      </c>
      <c r="C31" s="99">
        <v>6.6859128479990607E-2</v>
      </c>
    </row>
    <row r="32" spans="1:3" ht="14.25" customHeight="1" x14ac:dyDescent="0.25">
      <c r="B32" s="25" t="s">
        <v>11</v>
      </c>
      <c r="C32" s="99">
        <v>0.56795647712306097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12.276949999999999</v>
      </c>
    </row>
    <row r="38" spans="1:5" ht="15" customHeight="1" x14ac:dyDescent="0.25">
      <c r="B38" s="11" t="s">
        <v>35</v>
      </c>
      <c r="C38" s="43">
        <v>20.473140000000001</v>
      </c>
      <c r="D38" s="12"/>
      <c r="E38" s="13"/>
    </row>
    <row r="39" spans="1:5" ht="15" customHeight="1" x14ac:dyDescent="0.25">
      <c r="B39" s="11" t="s">
        <v>61</v>
      </c>
      <c r="C39" s="43">
        <v>25.739529999999998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6.5569000000000001E-3</v>
      </c>
      <c r="D45" s="12"/>
    </row>
    <row r="46" spans="1:5" ht="15.75" customHeight="1" x14ac:dyDescent="0.25">
      <c r="B46" s="11" t="s">
        <v>51</v>
      </c>
      <c r="C46" s="45">
        <v>7.0453000000000002E-2</v>
      </c>
      <c r="D46" s="12"/>
    </row>
    <row r="47" spans="1:5" ht="15.75" customHeight="1" x14ac:dyDescent="0.25">
      <c r="B47" s="11" t="s">
        <v>59</v>
      </c>
      <c r="C47" s="45">
        <v>7.476569999999999E-2</v>
      </c>
      <c r="D47" s="12"/>
      <c r="E47" s="13"/>
    </row>
    <row r="48" spans="1:5" ht="15" customHeight="1" x14ac:dyDescent="0.25">
      <c r="B48" s="11" t="s">
        <v>58</v>
      </c>
      <c r="C48" s="46">
        <v>0.84822439999999999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0.52888299999999999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0.20147881000000001</v>
      </c>
    </row>
    <row r="63" spans="1:4" ht="15.75" customHeight="1" x14ac:dyDescent="0.3">
      <c r="A63" s="4"/>
    </row>
  </sheetData>
  <sheetProtection algorithmName="SHA-512" hashValue="uox/tJZFdLdhhVmx2BzgQ9RM6NuyLFNPLrIc8PWOCeak2TCFqHWUTE/d4cLL6CV6NVT26o2WRIPUl2E2S4X0yw==" saltValue="F/S/Mqzsjd5zPWXwNHQa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XhmdXlGkZWmoUbmKRz/3eHx7f51SXlP7HFQpH6gPQ/+R6tzKBLJuTIoiISXCafsl06uVlTfrys4qj08xmGjvg==" saltValue="SkYjKqhjNmEGsRMARyS7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2.2522621624356761E-3</v>
      </c>
    </row>
    <row r="4" spans="1:8" ht="15.75" customHeight="1" x14ac:dyDescent="0.25">
      <c r="B4" s="19" t="s">
        <v>97</v>
      </c>
      <c r="C4" s="101">
        <v>7.516927467198109E-2</v>
      </c>
    </row>
    <row r="5" spans="1:8" ht="15.75" customHeight="1" x14ac:dyDescent="0.25">
      <c r="B5" s="19" t="s">
        <v>95</v>
      </c>
      <c r="C5" s="101">
        <v>4.8031625672868491E-2</v>
      </c>
    </row>
    <row r="6" spans="1:8" ht="15.75" customHeight="1" x14ac:dyDescent="0.25">
      <c r="B6" s="19" t="s">
        <v>91</v>
      </c>
      <c r="C6" s="101">
        <v>0.17511153307831301</v>
      </c>
    </row>
    <row r="7" spans="1:8" ht="15.75" customHeight="1" x14ac:dyDescent="0.25">
      <c r="B7" s="19" t="s">
        <v>96</v>
      </c>
      <c r="C7" s="101">
        <v>0.4235197891461801</v>
      </c>
    </row>
    <row r="8" spans="1:8" ht="15.75" customHeight="1" x14ac:dyDescent="0.25">
      <c r="B8" s="19" t="s">
        <v>98</v>
      </c>
      <c r="C8" s="101">
        <v>6.3281746576205505E-4</v>
      </c>
    </row>
    <row r="9" spans="1:8" ht="15.75" customHeight="1" x14ac:dyDescent="0.25">
      <c r="B9" s="19" t="s">
        <v>92</v>
      </c>
      <c r="C9" s="101">
        <v>0.14254113413530231</v>
      </c>
    </row>
    <row r="10" spans="1:8" ht="15.75" customHeight="1" x14ac:dyDescent="0.25">
      <c r="B10" s="19" t="s">
        <v>94</v>
      </c>
      <c r="C10" s="101">
        <v>0.13274156366715731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102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2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90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3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101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79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88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99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4.4382244000000001E-2</v>
      </c>
    </row>
    <row r="27" spans="1:8" ht="15.75" customHeight="1" x14ac:dyDescent="0.25">
      <c r="B27" s="19" t="s">
        <v>89</v>
      </c>
      <c r="C27" s="101">
        <v>4.8625891999999997E-2</v>
      </c>
    </row>
    <row r="28" spans="1:8" ht="15.75" customHeight="1" x14ac:dyDescent="0.25">
      <c r="B28" s="19" t="s">
        <v>103</v>
      </c>
      <c r="C28" s="101">
        <v>0.16463160299999999</v>
      </c>
    </row>
    <row r="29" spans="1:8" ht="15.75" customHeight="1" x14ac:dyDescent="0.25">
      <c r="B29" s="19" t="s">
        <v>86</v>
      </c>
      <c r="C29" s="101">
        <v>0.203694557</v>
      </c>
    </row>
    <row r="30" spans="1:8" ht="15.75" customHeight="1" x14ac:dyDescent="0.25">
      <c r="B30" s="19" t="s">
        <v>4</v>
      </c>
      <c r="C30" s="101">
        <v>4.3418417000000001E-2</v>
      </c>
    </row>
    <row r="31" spans="1:8" ht="15.75" customHeight="1" x14ac:dyDescent="0.25">
      <c r="B31" s="19" t="s">
        <v>80</v>
      </c>
      <c r="C31" s="101">
        <v>9.7613213000000004E-2</v>
      </c>
    </row>
    <row r="32" spans="1:8" ht="15.75" customHeight="1" x14ac:dyDescent="0.25">
      <c r="B32" s="19" t="s">
        <v>85</v>
      </c>
      <c r="C32" s="101">
        <v>4.3273035999999987E-2</v>
      </c>
    </row>
    <row r="33" spans="2:3" ht="15.75" customHeight="1" x14ac:dyDescent="0.25">
      <c r="B33" s="19" t="s">
        <v>100</v>
      </c>
      <c r="C33" s="101">
        <v>0.24136084799999999</v>
      </c>
    </row>
    <row r="34" spans="2:3" ht="15.75" customHeight="1" x14ac:dyDescent="0.25">
      <c r="B34" s="19" t="s">
        <v>87</v>
      </c>
      <c r="C34" s="101">
        <v>0.11300019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Rv74wMTwLvCfytMgsolxlRc4znr+1DBevgapjGBpelOqAhNUQTG8614lUFwkF8y8IEwcL24eI0dJGs63d471OA==" saltValue="xdj3njyFX89KprnpWCFNR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110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106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107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119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/yaZMw+Ch6f7vVdWl13J5DhbCvOrtqPW+ER/Eb2nD8x4gM6wgs8CHzagozPVYhXWTe+PPKP6Ue5JMJt0Qiraw==" saltValue="hh5MIHNih1oHRQ+uPjDb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125</v>
      </c>
      <c r="C5" s="52">
        <v>0.1052626</v>
      </c>
      <c r="D5" s="52">
        <v>0.23477899999999999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wkYqTClwLDKCN7ivfBFoyJ01Au1/rvf0BUGRNe8XQJdu5m93XdnS9ew1Plkf4mlPUOIzk/uQJpc42rvfkyyNXQ==" saltValue="CfAMXajPX5AhvEfgrZIRU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u3jQNNG6FGzVdoXX+9q+jgTljJW5ZmPjPZh2d+r/Zb1gnrPEN1l6ozSpKP/j50hrW7YeGhz/+TzdAOdFszv1g==" saltValue="QkTUcGXhXIaQgJYPSuIo4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wZj2BjgFKtYU3fl4FwyDAYAWHM6JDXB8LxQwg++ddeS9G4W6Lre+7WoEOFsViPqByqt9yaRY7b3P+3p4qYNy7A==" saltValue="QWAK7KoZrRh6OzQeV099z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e9ZRYFJ5w/1ORkcv280PaiughxzU8RGW2AaK55e7kmnF9A2bU15IgplFap4yPggeiFqZHVVgPOucBZFn9Vf7qQ==" saltValue="caJmODB6I9bVLDYDYlwK9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O3vvpZSbtiyg3kujydkfpdT4u0x9o3caPGRtOfhqXZ6JerN0KxGk7EWizgDphye64RZw//o6gEZeom1uJ5cBnQ==" saltValue="pJvuLIlHghMqQHs5jzfn4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70.346306973761287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17.205832163214371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3.110690637764288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0.41011202521756179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1.812651550310735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0.73277403097668004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0.56078709999999998</v>
      </c>
      <c r="C10" s="98">
        <v>0.95</v>
      </c>
      <c r="D10" s="56">
        <v>12.8418784817298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12.8418784817298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12.8418784817298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12.8418784817298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0.56078709999999998</v>
      </c>
      <c r="C14" s="98">
        <v>0.95</v>
      </c>
      <c r="D14" s="56">
        <v>12.8418784817298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12.8418784817298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0.35023333333333301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0.59399999999999997</v>
      </c>
      <c r="C18" s="98">
        <v>0.95</v>
      </c>
      <c r="D18" s="56">
        <v>3.110690637764288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0.38307210000000003</v>
      </c>
      <c r="C19" s="98">
        <v>0.95</v>
      </c>
      <c r="D19" s="56">
        <v>3.110690637764288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22.071689414352811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4.1728995609348631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0.63771593354712008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0.433</v>
      </c>
      <c r="C26" s="98">
        <v>0.95</v>
      </c>
      <c r="D26" s="56">
        <v>13.467741075377949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13.765699948727031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0.48636289999999999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0.47222769999999997</v>
      </c>
      <c r="C29" s="98">
        <v>0.95</v>
      </c>
      <c r="D29" s="56">
        <v>33.321934882307978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1E-3</v>
      </c>
      <c r="C31" s="98">
        <v>0.95</v>
      </c>
      <c r="D31" s="56">
        <v>56.731369485662889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0.28999999999999998</v>
      </c>
      <c r="C32" s="98">
        <v>0.95</v>
      </c>
      <c r="D32" s="56">
        <v>6.1835843666628616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0.81750919999999994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0.10672520000000001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2.4571099999999998E-2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0.66452529999999999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0.192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2.717384924943516</v>
      </c>
      <c r="E39" s="56" t="s">
        <v>183</v>
      </c>
      <c r="F39" s="98">
        <v>1</v>
      </c>
      <c r="G39" s="98">
        <v>1</v>
      </c>
    </row>
  </sheetData>
  <sheetProtection algorithmName="SHA-512" hashValue="AZz0WNstWlDep4+Yftg42gfMY5odrl371i3RKd+vhGQTXnCK2zJ8bHnP61z9VBTVWU6T4ig5DskOIG1Og+l+kQ==" saltValue="9ALpQ/Vo7M/2I3kNSgkV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bLvy6OHctxcx4QAeyYYEt7vUY1a1/KzIvQRF82xrClfuCVSCloGQsoUvUkGhpEHv1dE/gaHZdvl5IdQGa1CgEA==" saltValue="FgBqL5C5046eegcgN8Si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aV6gxfaATRbPxq8cThLlswXtYawP2slWhcdeJe2owlJTEx/mpR9GyLj12irktTYNAlEBt34gdwoR17z330cjDg==" saltValue="dY+NE63ZkTKuoG0qIij+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207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sheetProtection algorithmName="SHA-512" hashValue="DLN8WPu6jGLYJ4eyZjpVGP7fu8wZBooaTho7bno+wzGpPHGjyMOz9D8Dno9gDTp17DIcAy9YmxJLvpyLzvVuwA==" saltValue="H95EkQOmhMqE1mQ6LzBc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6.0999999999999999E-2</v>
      </c>
      <c r="E2" s="60">
        <f>food_insecure</f>
        <v>6.0999999999999999E-2</v>
      </c>
      <c r="F2" s="60">
        <f>food_insecure</f>
        <v>6.0999999999999999E-2</v>
      </c>
      <c r="G2" s="60">
        <f>food_insecure</f>
        <v>6.0999999999999999E-2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6.0999999999999999E-2</v>
      </c>
      <c r="F5" s="60">
        <f>food_insecure</f>
        <v>6.0999999999999999E-2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6.0999999999999999E-2</v>
      </c>
      <c r="F8" s="60">
        <f>food_insecure</f>
        <v>6.0999999999999999E-2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6.0999999999999999E-2</v>
      </c>
      <c r="F9" s="60">
        <f>food_insecure</f>
        <v>6.0999999999999999E-2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6.0999999999999999E-2</v>
      </c>
      <c r="I15" s="60">
        <f>food_insecure</f>
        <v>6.0999999999999999E-2</v>
      </c>
      <c r="J15" s="60">
        <f>food_insecure</f>
        <v>6.0999999999999999E-2</v>
      </c>
      <c r="K15" s="60">
        <f>food_insecure</f>
        <v>6.0999999999999999E-2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0.48499999999999999</v>
      </c>
      <c r="M24" s="60">
        <f>famplan_unmet_need</f>
        <v>0.48499999999999999</v>
      </c>
      <c r="N24" s="60">
        <f>famplan_unmet_need</f>
        <v>0.48499999999999999</v>
      </c>
      <c r="O24" s="60">
        <f>famplan_unmet_need</f>
        <v>0.48499999999999999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0.14177433645553605</v>
      </c>
      <c r="M25" s="60">
        <f>(1-food_insecure)*(0.49)+food_insecure*(0.7)</f>
        <v>0.50280999999999998</v>
      </c>
      <c r="N25" s="60">
        <f>(1-food_insecure)*(0.49)+food_insecure*(0.7)</f>
        <v>0.50280999999999998</v>
      </c>
      <c r="O25" s="60">
        <f>(1-food_insecure)*(0.49)+food_insecure*(0.7)</f>
        <v>0.50280999999999998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6.0760429909515454E-2</v>
      </c>
      <c r="M26" s="60">
        <f>(1-food_insecure)*(0.21)+food_insecure*(0.3)</f>
        <v>0.21549000000000001</v>
      </c>
      <c r="N26" s="60">
        <f>(1-food_insecure)*(0.21)+food_insecure*(0.3)</f>
        <v>0.21549000000000001</v>
      </c>
      <c r="O26" s="60">
        <f>(1-food_insecure)*(0.21)+food_insecure*(0.3)</f>
        <v>0.21549000000000001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7.94292686691285E-2</v>
      </c>
      <c r="M27" s="60">
        <f>(1-food_insecure)*(0.3)</f>
        <v>0.28170000000000001</v>
      </c>
      <c r="N27" s="60">
        <f>(1-food_insecure)*(0.3)</f>
        <v>0.28170000000000001</v>
      </c>
      <c r="O27" s="60">
        <f>(1-food_insecure)*(0.3)</f>
        <v>0.28170000000000001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0.71803596496582001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1.24E-2</v>
      </c>
      <c r="D34" s="60">
        <f t="shared" si="3"/>
        <v>1.24E-2</v>
      </c>
      <c r="E34" s="60">
        <f t="shared" si="3"/>
        <v>1.24E-2</v>
      </c>
      <c r="F34" s="60">
        <f t="shared" si="3"/>
        <v>1.24E-2</v>
      </c>
      <c r="G34" s="60">
        <f t="shared" si="3"/>
        <v>1.24E-2</v>
      </c>
      <c r="H34" s="60">
        <f t="shared" si="3"/>
        <v>1.24E-2</v>
      </c>
      <c r="I34" s="60">
        <f t="shared" si="3"/>
        <v>1.24E-2</v>
      </c>
      <c r="J34" s="60">
        <f t="shared" si="3"/>
        <v>1.24E-2</v>
      </c>
      <c r="K34" s="60">
        <f t="shared" si="3"/>
        <v>1.24E-2</v>
      </c>
      <c r="L34" s="60">
        <f t="shared" si="3"/>
        <v>1.24E-2</v>
      </c>
      <c r="M34" s="60">
        <f t="shared" si="3"/>
        <v>1.24E-2</v>
      </c>
      <c r="N34" s="60">
        <f t="shared" si="3"/>
        <v>1.24E-2</v>
      </c>
      <c r="O34" s="60">
        <f t="shared" si="3"/>
        <v>1.24E-2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0WEMMuMmKW+3RzASF3AJg8iV8CP+0elo2INT/IcCCD2oBpMrujdrR/2K3TvETNycxawSTPrK56nNyL0Z0SuFg==" saltValue="HDRDPxuYRXmwUnBzzxNH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ICvZvpz1j/F1wIYMy1FueN5tLfiLN5GhDen3eLehfVzWHxqruLqMcutQUOD00MGnmgq20zrkU9UMvRWjd8eRfQ==" saltValue="aLDMnYog+UEzektRDSs5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5VQFfwe7wW9g75TmA4FsUBKPlx3FGhLIOC2BhKz7oEqxkrlsaRd50rXkprUo6rXjDS0dx6y6RJ3teDhb9bQcQ==" saltValue="vxWDzB4TotDCZGyX7clXh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JfjlwK0UhOUrNZx9aYloRqGwLoUG+pp0lcxcbZz4UDlsdoqQF3ZKJ4HZVc6kywos6DqZy79VWg0bI43kEpnOA==" saltValue="iF062q2/hTqlWq/5U+XK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TXDSAir1EaOLPlTARG8hNw53BZA6Uh1KR2CI/2VmQjUybHaaAbyzkoa+mQ6yPMbjJfiqe8gD+qPWYoyiajyFg==" saltValue="uyXt74pg59+45HW9+8bQ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9uHOFVS2JHWqvyxO+yXLDx6rfRTzuso093JUV1e3Z5x2V///jCmvzE6Gxlj+U+67Lb8FUFO/D+o4/fddXCfPXw==" saltValue="EAHztz2k3a/4jkQkJ0ht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XXo68hy6isPDJINZPZQ7r68TGuCykWu4x4YutW1GWzsSNPjZTcSt7mBlGP/wt5dygzbAT4FpO+s1Xt+0YHUug==" saltValue="uxpuAU/MZpGoUXIL7+85R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Hi3XKuVYSy0dh0g1p1j2/3vcXq7p8E7bZiid1z0lhFMgoKPXFexZxNxcFlFrcAyAJG9MDzuFZYEMwPKA3VqrQ==" saltValue="TCwOFLJzi0LLve8M9tfx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hBBcafR047g3zsVdDS4Khsv3l6D8EcZBmbppZ92yq2xcBEZecZxYRC6jVdbpdLpXw0pX7HRVXx5FRbodKsGqw==" saltValue="QlarlioL4LtyFXMHrmgh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siOw11hw02da1PfSgNrAGjObmT3iEC/vxyq2GKlKR4coYIe2Bop+ku+WP98m1mw0x0jDWHThjkmSVP5LmM7tQ==" saltValue="i3tMHKtyNud13mZ4Zp9b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bCXSadAu0vvOwlJdjaON6P0fcOBPfjSx99hKRfsoF5GP9mTuha0VCweiWm194Yefcn3vHlFj3DnTLy7ODcDaQ==" saltValue="+XebCGeZRvoQ+mDF7pOq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M1YVKMAub2TefAf+zwksHFYonDWeqbYO6wEg9p1L4UlIa8TcfcRJy0ieiO0vJWLI1vkYJd7fjElQ2nLbRJNxw==" saltValue="XX2J4Ytdl+uNid0lYGvq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jmAqug/gTEzIW9PBMw/dMcJC4ZBVMheXMApDk/1BmkXwU55ArorjV2X7bVwlL6j8pRGuqkumhhadX5v0Qb55g==" saltValue="4BEwQyAzKb+tqajLlcwM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0.1064615878880365</v>
      </c>
      <c r="G18" s="90">
        <f>MIN(MAX(1-0.89/(1-frac_sam_12_23months+(frac_sam_12_23months*0.89)),0),1)</f>
        <v>0.10744729927592922</v>
      </c>
      <c r="H18" s="90">
        <f>MIN(MAX(1-0.89/(1-frac_sam_24_59months+(frac_sam_24_59months*0.89)),0),1)</f>
        <v>0.10892179537240054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0.10209846650524623</v>
      </c>
      <c r="G20" s="90">
        <f>MIN(MAX(1-0.89/(1-frac_mam_12_23months+(frac_mam_12_23months*0.89)),0),1)</f>
        <v>0.10329262886390189</v>
      </c>
      <c r="H20" s="90">
        <f>MIN(MAX(1-0.89/(1-frac_mam_24_59months+(frac_mam_24_59months*0.89)),0),1)</f>
        <v>0.10675752983329478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9.6434716497939554E-3</v>
      </c>
      <c r="G73" s="90">
        <f>MIN(MAX(1-0.99/(1-frac_sam_12_23months+(frac_sam_12_23months*0.99)),0),1)</f>
        <v>9.7425330585951819E-3</v>
      </c>
      <c r="H73" s="90">
        <f>MIN(MAX(1-0.99/(1-frac_sam_24_59months+(frac_sam_24_59months*0.99)),0),1)</f>
        <v>9.8910880196820816E-3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9.2073658927143143E-3</v>
      </c>
      <c r="G75" s="90">
        <f>MIN(MAX(1-0.99/(1-frac_mam_12_23months+(frac_mam_12_23months*0.99)),0),1)</f>
        <v>9.3263419125004798E-3</v>
      </c>
      <c r="H75" s="90">
        <f>MIN(MAX(1-0.99/(1-frac_mam_24_59months+(frac_mam_24_59months*0.99)),0),1)</f>
        <v>9.6731921534105592E-3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0.19419822723609992</v>
      </c>
      <c r="G128" s="90">
        <f>MIN(MAX(1-0.8/(1-frac_sam_12_23months+(frac_sam_12_23months*0.8)),0),1)</f>
        <v>0.19581825492561311</v>
      </c>
      <c r="H128" s="90">
        <f>MIN(MAX(1-0.8/(1-frac_sam_24_59months+(frac_sam_24_59months*0.8)),0),1)</f>
        <v>0.19823611946281816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0.18699186991869909</v>
      </c>
      <c r="G130" s="90">
        <f>MIN(MAX(1-0.8/(1-frac_mam_12_23months+(frac_mam_12_23months*0.8)),0),1)</f>
        <v>0.18896999188969987</v>
      </c>
      <c r="H130" s="90">
        <f>MIN(MAX(1-0.8/(1-frac_mam_24_59months+(frac_mam_24_59months*0.8)),0),1)</f>
        <v>0.19468492047513586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ZksYE22/JDt/+T/95AEqS7Jl22x5rRHQMi21IRIRbrpN3GjiC/cpJHGrYAaAp7A6pwzakodu6kp8YHC0HZXNw==" saltValue="ltV7ZPU8e3NJmBuPa63J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tQWW7TafrABlxepBvUyL0rCo1YCzmoMHQeqvR9V6GFChYdywC5CDccnoaAQtHZIywwFLGJAk8lG/YrDPGWpog==" saltValue="eOGtmMO84nM0+idBE8ZTb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2024-08-06T08:10:40Z</dcterms:modified>
</cp:coreProperties>
</file>