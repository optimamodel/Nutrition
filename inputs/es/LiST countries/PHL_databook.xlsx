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89A011D-C52E-4FFB-829D-4111201E4FE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3" i="2" l="1"/>
  <c r="A24" i="2"/>
  <c r="A26" i="2"/>
  <c r="A31" i="2"/>
  <c r="A37" i="2"/>
  <c r="I4" i="2"/>
  <c r="I8" i="2"/>
  <c r="I12" i="2"/>
  <c r="A25" i="2"/>
  <c r="A34" i="2"/>
  <c r="A40" i="2"/>
  <c r="I2" i="2"/>
  <c r="I6" i="2"/>
  <c r="A19" i="2"/>
  <c r="A35" i="2"/>
  <c r="A22" i="2"/>
  <c r="A3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<sst xmlns="http://schemas.openxmlformats.org/spreadsheetml/2006/main" count="2159" uniqueCount="372">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</sst>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8953366</v>
      </c>
    </row>
    <row r="8" spans="1:3" ht="15" customHeight="1" x14ac:dyDescent="0.25">
      <c r="B8" s="5" t="s">
        <v>63</v>
      </c>
      <c r="C8" s="44">
        <v>0.18099999999999999</v>
      </c>
    </row>
    <row r="9" spans="1:3" ht="15" customHeight="1" x14ac:dyDescent="0.25">
      <c r="B9" s="5" t="s">
        <v>62</v>
      </c>
      <c r="C9" s="45">
        <v>1.24E-2</v>
      </c>
    </row>
    <row r="10" spans="1:3" ht="15" customHeight="1" x14ac:dyDescent="0.25">
      <c r="B10" s="5" t="s">
        <v>75</v>
      </c>
      <c r="C10" s="45">
        <v>0.71330099999999996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0.16700000000000001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0.11020000000000001</v>
      </c>
    </row>
    <row r="24" spans="1:3" ht="15" customHeight="1" x14ac:dyDescent="0.25">
      <c r="B24" s="15" t="s">
        <v>65</v>
      </c>
      <c r="C24" s="45">
        <v>0.46769999999999989</v>
      </c>
    </row>
    <row r="25" spans="1:3" ht="15" customHeight="1" x14ac:dyDescent="0.25">
      <c r="B25" s="15" t="s">
        <v>66</v>
      </c>
      <c r="C25" s="45">
        <v>0.34789999999999999</v>
      </c>
    </row>
    <row r="26" spans="1:3" ht="15" customHeight="1" x14ac:dyDescent="0.25">
      <c r="B26" s="15" t="s">
        <v>67</v>
      </c>
      <c r="C26" s="45">
        <v>7.4200000000000002E-2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0.30815858460240297</v>
      </c>
    </row>
    <row r="30" spans="1:3" ht="14.25" customHeight="1" x14ac:dyDescent="0.25">
      <c r="B30" s="25" t="s">
        <v>82</v>
      </c>
      <c r="C30" s="99">
        <v>5.7025809794546099E-2</v>
      </c>
    </row>
    <row r="31" spans="1:3" ht="14.25" customHeight="1" x14ac:dyDescent="0.25">
      <c r="B31" s="25" t="s">
        <v>29</v>
      </c>
      <c r="C31" s="99">
        <v>6.6859128479990607E-2</v>
      </c>
    </row>
    <row r="32" spans="1:3" ht="14.25" customHeight="1" x14ac:dyDescent="0.25">
      <c r="B32" s="25" t="s">
        <v>30</v>
      </c>
      <c r="C32" s="99">
        <v>0.56795647712306097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12.276949999999999</v>
      </c>
    </row>
    <row r="38" spans="1:5" ht="15" customHeight="1" x14ac:dyDescent="0.25">
      <c r="B38" s="11" t="s">
        <v>54</v>
      </c>
      <c r="C38" s="43">
        <v>20.473140000000001</v>
      </c>
      <c r="D38" s="12"/>
      <c r="E38" s="13"/>
    </row>
    <row r="39" spans="1:5" ht="15" customHeight="1" x14ac:dyDescent="0.25">
      <c r="B39" s="11" t="s">
        <v>80</v>
      </c>
      <c r="C39" s="43">
        <v>25.739529999999998</v>
      </c>
      <c r="D39" s="12"/>
      <c r="E39" s="12"/>
    </row>
    <row r="40" spans="1:5" ht="15" customHeight="1" x14ac:dyDescent="0.25">
      <c r="B40" s="11" t="s">
        <v>55</v>
      </c>
      <c r="C40" s="100">
        <v>0.78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10.16934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6.5569000000000001E-3</v>
      </c>
      <c r="D45" s="12"/>
    </row>
    <row r="46" spans="1:5" ht="15.75" customHeight="1" x14ac:dyDescent="0.25">
      <c r="B46" s="11" t="s">
        <v>70</v>
      </c>
      <c r="C46" s="45">
        <v>7.0453000000000002E-2</v>
      </c>
      <c r="D46" s="12"/>
    </row>
    <row r="47" spans="1:5" ht="15.75" customHeight="1" x14ac:dyDescent="0.25">
      <c r="B47" s="11" t="s">
        <v>78</v>
      </c>
      <c r="C47" s="45">
        <v>7.476569999999999E-2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0.72799999999999998</v>
      </c>
      <c r="D51" s="12"/>
    </row>
    <row r="52" spans="1:4" ht="15" customHeight="1" x14ac:dyDescent="0.25">
      <c r="B52" s="11" t="s">
        <v>32</v>
      </c>
      <c r="C52" s="100">
        <v>0.72799999999999998</v>
      </c>
    </row>
    <row r="53" spans="1:4" ht="15.75" customHeight="1" x14ac:dyDescent="0.25">
      <c r="B53" s="11" t="s">
        <v>35</v>
      </c>
      <c r="C53" s="100">
        <v>2.1579999999999999</v>
      </c>
    </row>
    <row r="54" spans="1:4" ht="15.75" customHeight="1" x14ac:dyDescent="0.25">
      <c r="B54" s="11" t="s">
        <v>33</v>
      </c>
      <c r="C54" s="100">
        <v>2.73</v>
      </c>
    </row>
    <row r="55" spans="1:4" ht="15.75" customHeight="1" x14ac:dyDescent="0.25">
      <c r="B55" s="11" t="s">
        <v>34</v>
      </c>
      <c r="C55" s="100">
        <v>1.196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0.52888299999999999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0.21144146620000001</v>
      </c>
    </row>
    <row r="63" spans="1:4" ht="15.75" customHeight="1" x14ac:dyDescent="0.3">
      <c r="A63" s="4"/>
    </row>
  </sheetData>
  <sheetProtection algorithmName="SHA-512" hashValue="Wk59vr8Bzh35C4XztLkuEJfcoDB3AE9U9q4cX5cvqf0IdbKTOMaTmZQxzJ6CsLQgsp+/9FYCncNuE5wWSrQAAw==" saltValue="GgM2mvxhFVBpo5WZo/TO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2511946</v>
      </c>
      <c r="C2" s="49">
        <v>6496595.5</v>
      </c>
      <c r="D2" s="49">
        <v>9970213</v>
      </c>
      <c r="E2" s="49">
        <v>8484414</v>
      </c>
      <c r="F2" s="49">
        <v>5968735</v>
      </c>
      <c r="G2" s="17">
        <f t="shared" ref="G2:G13" si="0">C2+D2+E2+F2</f>
        <v>30919957.5</v>
      </c>
      <c r="H2" s="17">
        <f t="shared" ref="H2:H13" si="1">(B2 + stillbirth*B2/(1000-stillbirth))/(1-abortion)</f>
        <v>2883810.5407940093</v>
      </c>
      <c r="I2" s="17">
        <f t="shared" ref="I2:I13" si="2">G2-H2</f>
        <v>28036146.959205993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2512672</v>
      </c>
      <c r="C3" s="50">
        <v>6543899.5</v>
      </c>
      <c r="D3" s="50">
        <v>10046220</v>
      </c>
      <c r="E3" s="50">
        <v>8672251</v>
      </c>
      <c r="F3" s="50">
        <v>6083550</v>
      </c>
      <c r="G3" s="17">
        <f t="shared" si="0"/>
        <v>31345920.5</v>
      </c>
      <c r="H3" s="17">
        <f t="shared" si="1"/>
        <v>2884644.0166938161</v>
      </c>
      <c r="I3" s="17">
        <f t="shared" si="2"/>
        <v>28461276.483306184</v>
      </c>
    </row>
    <row r="4" spans="1:9" ht="15.75" customHeight="1" x14ac:dyDescent="0.25">
      <c r="A4" s="5">
        <f t="shared" si="3"/>
        <v>2026</v>
      </c>
      <c r="B4" s="49">
        <v>2522208</v>
      </c>
      <c r="C4" s="50">
        <v>6576100.5</v>
      </c>
      <c r="D4" s="50">
        <v>10125699</v>
      </c>
      <c r="E4" s="50">
        <v>8853127</v>
      </c>
      <c r="F4" s="50">
        <v>6197846</v>
      </c>
      <c r="G4" s="17">
        <f t="shared" si="0"/>
        <v>31752772.5</v>
      </c>
      <c r="H4" s="17">
        <f t="shared" si="1"/>
        <v>2895591.711157396</v>
      </c>
      <c r="I4" s="17">
        <f t="shared" si="2"/>
        <v>28857180.788842604</v>
      </c>
    </row>
    <row r="5" spans="1:9" ht="15.75" customHeight="1" x14ac:dyDescent="0.25">
      <c r="A5" s="5">
        <f t="shared" si="3"/>
        <v>2027</v>
      </c>
      <c r="B5" s="49">
        <v>2523837</v>
      </c>
      <c r="C5" s="50">
        <v>6603964.5</v>
      </c>
      <c r="D5" s="50">
        <v>10208453.5</v>
      </c>
      <c r="E5" s="50">
        <v>9024363</v>
      </c>
      <c r="F5" s="50">
        <v>6316597</v>
      </c>
      <c r="G5" s="17">
        <f t="shared" si="0"/>
        <v>32153378</v>
      </c>
      <c r="H5" s="17">
        <f t="shared" si="1"/>
        <v>2897461.8657590286</v>
      </c>
      <c r="I5" s="17">
        <f t="shared" si="2"/>
        <v>29255916.13424097</v>
      </c>
    </row>
    <row r="6" spans="1:9" ht="15.75" customHeight="1" x14ac:dyDescent="0.25">
      <c r="A6" s="5">
        <f t="shared" si="3"/>
        <v>2028</v>
      </c>
      <c r="B6" s="49">
        <v>2529862</v>
      </c>
      <c r="C6" s="50">
        <v>6623670.5</v>
      </c>
      <c r="D6" s="50">
        <v>10299244.5</v>
      </c>
      <c r="E6" s="50">
        <v>9174686.5</v>
      </c>
      <c r="F6" s="50">
        <v>6437039.5</v>
      </c>
      <c r="G6" s="17">
        <f t="shared" si="0"/>
        <v>32534641</v>
      </c>
      <c r="H6" s="17">
        <f t="shared" si="1"/>
        <v>2904378.7972966828</v>
      </c>
      <c r="I6" s="17">
        <f t="shared" si="2"/>
        <v>29630262.202703316</v>
      </c>
    </row>
    <row r="7" spans="1:9" ht="15.75" customHeight="1" x14ac:dyDescent="0.25">
      <c r="A7" s="5">
        <f t="shared" si="3"/>
        <v>2029</v>
      </c>
      <c r="B7" s="49">
        <v>2533521</v>
      </c>
      <c r="C7" s="50">
        <v>6639002</v>
      </c>
      <c r="D7" s="50">
        <v>10388553</v>
      </c>
      <c r="E7" s="50">
        <v>9308184.5</v>
      </c>
      <c r="F7" s="50">
        <v>6561516.5</v>
      </c>
      <c r="G7" s="17">
        <f t="shared" si="0"/>
        <v>32897256</v>
      </c>
      <c r="H7" s="17">
        <f t="shared" si="1"/>
        <v>2908579.4699101723</v>
      </c>
      <c r="I7" s="17">
        <f t="shared" si="2"/>
        <v>29988676.530089829</v>
      </c>
    </row>
    <row r="8" spans="1:9" ht="15.75" customHeight="1" x14ac:dyDescent="0.25">
      <c r="A8" s="5">
        <f t="shared" si="3"/>
        <v>2030</v>
      </c>
      <c r="B8" s="49">
        <v>2534075</v>
      </c>
      <c r="C8" s="50">
        <v>6650130.4999999991</v>
      </c>
      <c r="D8" s="50">
        <v>10463469</v>
      </c>
      <c r="E8" s="50">
        <v>9441615</v>
      </c>
      <c r="F8" s="50">
        <v>6696969.5000000009</v>
      </c>
      <c r="G8" s="17">
        <f t="shared" si="0"/>
        <v>33252184</v>
      </c>
      <c r="H8" s="17">
        <f t="shared" si="1"/>
        <v>2909215.4832001082</v>
      </c>
      <c r="I8" s="17">
        <f t="shared" si="2"/>
        <v>30342968.516799893</v>
      </c>
    </row>
    <row r="9" spans="1:9" ht="15.75" customHeight="1" x14ac:dyDescent="0.25">
      <c r="A9" s="5">
        <f t="shared" si="3"/>
        <v>2031</v>
      </c>
      <c r="B9" s="49">
        <v>2538434</v>
      </c>
      <c r="C9" s="50">
        <v>6668082.5</v>
      </c>
      <c r="D9" s="50">
        <v>10535500.5</v>
      </c>
      <c r="E9" s="50">
        <v>9549875.5</v>
      </c>
      <c r="F9" s="50">
        <v>6843607.5</v>
      </c>
      <c r="G9" s="17">
        <f t="shared" si="0"/>
        <v>33597066</v>
      </c>
      <c r="H9" s="17">
        <f t="shared" si="1"/>
        <v>2914219.7827142384</v>
      </c>
      <c r="I9" s="17">
        <f t="shared" si="2"/>
        <v>30682846.21728576</v>
      </c>
    </row>
    <row r="10" spans="1:9" ht="15.75" customHeight="1" x14ac:dyDescent="0.25">
      <c r="A10" s="5">
        <f t="shared" si="3"/>
        <v>2032</v>
      </c>
      <c r="B10" s="49">
        <v>2533103</v>
      </c>
      <c r="C10" s="50">
        <v>6696218</v>
      </c>
      <c r="D10" s="50">
        <v>10616370.5</v>
      </c>
      <c r="E10" s="50">
        <v>9627375</v>
      </c>
      <c r="F10" s="50">
        <v>7010901.5</v>
      </c>
      <c r="G10" s="17">
        <f t="shared" si="0"/>
        <v>33950865</v>
      </c>
      <c r="H10" s="17">
        <f t="shared" si="1"/>
        <v>2908099.5898466473</v>
      </c>
      <c r="I10" s="17">
        <f t="shared" si="2"/>
        <v>31042765.410153352</v>
      </c>
    </row>
    <row r="11" spans="1:9" ht="15.75" customHeight="1" x14ac:dyDescent="0.25">
      <c r="A11" s="5">
        <f t="shared" si="3"/>
        <v>2033</v>
      </c>
      <c r="B11" s="49">
        <v>2525385</v>
      </c>
      <c r="C11" s="50">
        <v>6727918.4999999991</v>
      </c>
      <c r="D11" s="50">
        <v>10696946.5</v>
      </c>
      <c r="E11" s="50">
        <v>9698584</v>
      </c>
      <c r="F11" s="50">
        <v>7191357.5</v>
      </c>
      <c r="G11" s="17">
        <f t="shared" si="0"/>
        <v>34314806.5</v>
      </c>
      <c r="H11" s="17">
        <f t="shared" si="1"/>
        <v>2899239.0292478735</v>
      </c>
      <c r="I11" s="17">
        <f t="shared" si="2"/>
        <v>31415567.470752127</v>
      </c>
    </row>
    <row r="12" spans="1:9" ht="15.75" customHeight="1" x14ac:dyDescent="0.25">
      <c r="A12" s="5">
        <f t="shared" si="3"/>
        <v>2034</v>
      </c>
      <c r="B12" s="49">
        <v>2524416</v>
      </c>
      <c r="C12" s="50">
        <v>6766353.9999999991</v>
      </c>
      <c r="D12" s="50">
        <v>10768841</v>
      </c>
      <c r="E12" s="50">
        <v>9770499.5</v>
      </c>
      <c r="F12" s="50">
        <v>7370929.5</v>
      </c>
      <c r="G12" s="17">
        <f t="shared" si="0"/>
        <v>34676624</v>
      </c>
      <c r="H12" s="17">
        <f t="shared" si="1"/>
        <v>2898126.5800097017</v>
      </c>
      <c r="I12" s="17">
        <f t="shared" si="2"/>
        <v>31778497.419990297</v>
      </c>
    </row>
    <row r="13" spans="1:9" ht="15.75" customHeight="1" x14ac:dyDescent="0.25">
      <c r="A13" s="5">
        <f t="shared" si="3"/>
        <v>2035</v>
      </c>
      <c r="B13" s="49">
        <v>2521275</v>
      </c>
      <c r="C13" s="50">
        <v>6809371.5</v>
      </c>
      <c r="D13" s="50">
        <v>10827054</v>
      </c>
      <c r="E13" s="50">
        <v>9846615.5</v>
      </c>
      <c r="F13" s="50">
        <v>7544684.0000000009</v>
      </c>
      <c r="G13" s="17">
        <f t="shared" si="0"/>
        <v>35027725</v>
      </c>
      <c r="H13" s="17">
        <f t="shared" si="1"/>
        <v>2894520.5913026854</v>
      </c>
      <c r="I13" s="17">
        <f t="shared" si="2"/>
        <v>32133204.408697315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0JiE6HK5TOeYC3kAXLB/AEXjnpBb7ngbtiGYEJ4eT8IWuC/iUq6wBxoJROpo5xD/qZZZIeoLK5/xAoet9glooA==" saltValue="lkiWP3q3B6fpHRTPlCYyo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2.2522621624356761E-3</v>
      </c>
    </row>
    <row r="4" spans="1:8" ht="15.75" customHeight="1" x14ac:dyDescent="0.25">
      <c r="B4" s="19" t="s">
        <v>116</v>
      </c>
      <c r="C4" s="101">
        <v>7.516927467198109E-2</v>
      </c>
    </row>
    <row r="5" spans="1:8" ht="15.75" customHeight="1" x14ac:dyDescent="0.25">
      <c r="B5" s="19" t="s">
        <v>114</v>
      </c>
      <c r="C5" s="101">
        <v>4.8031625672868491E-2</v>
      </c>
    </row>
    <row r="6" spans="1:8" ht="15.75" customHeight="1" x14ac:dyDescent="0.25">
      <c r="B6" s="19" t="s">
        <v>110</v>
      </c>
      <c r="C6" s="101">
        <v>0.17511153307831301</v>
      </c>
    </row>
    <row r="7" spans="1:8" ht="15.75" customHeight="1" x14ac:dyDescent="0.25">
      <c r="B7" s="19" t="s">
        <v>115</v>
      </c>
      <c r="C7" s="101">
        <v>0.4235197891461801</v>
      </c>
    </row>
    <row r="8" spans="1:8" ht="15.75" customHeight="1" x14ac:dyDescent="0.25">
      <c r="B8" s="19" t="s">
        <v>117</v>
      </c>
      <c r="C8" s="101">
        <v>6.3281746576205505E-4</v>
      </c>
    </row>
    <row r="9" spans="1:8" ht="15.75" customHeight="1" x14ac:dyDescent="0.25">
      <c r="B9" s="19" t="s">
        <v>111</v>
      </c>
      <c r="C9" s="101">
        <v>0.14254113413530231</v>
      </c>
    </row>
    <row r="10" spans="1:8" ht="15.75" customHeight="1" x14ac:dyDescent="0.25">
      <c r="B10" s="19" t="s">
        <v>113</v>
      </c>
      <c r="C10" s="101">
        <v>0.13274156366715731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0.1872281721472713</v>
      </c>
      <c r="D14" s="55">
        <v>0.1872281721472713</v>
      </c>
      <c r="E14" s="55">
        <v>0.1872281721472713</v>
      </c>
      <c r="F14" s="55">
        <v>0.1872281721472713</v>
      </c>
    </row>
    <row r="15" spans="1:8" ht="15.75" customHeight="1" x14ac:dyDescent="0.25">
      <c r="B15" s="19" t="s">
        <v>121</v>
      </c>
      <c r="C15" s="101">
        <v>0.22071844109731331</v>
      </c>
      <c r="D15" s="101">
        <v>0.22071844109731331</v>
      </c>
      <c r="E15" s="101">
        <v>0.22071844109731331</v>
      </c>
      <c r="F15" s="101">
        <v>0.22071844109731331</v>
      </c>
    </row>
    <row r="16" spans="1:8" ht="15.75" customHeight="1" x14ac:dyDescent="0.25">
      <c r="B16" s="19" t="s">
        <v>2</v>
      </c>
      <c r="C16" s="101">
        <v>1.298934363653376E-2</v>
      </c>
      <c r="D16" s="101">
        <v>1.298934363653376E-2</v>
      </c>
      <c r="E16" s="101">
        <v>1.298934363653376E-2</v>
      </c>
      <c r="F16" s="101">
        <v>1.298934363653376E-2</v>
      </c>
    </row>
    <row r="17" spans="1:8" ht="15.75" customHeight="1" x14ac:dyDescent="0.25">
      <c r="B17" s="19" t="s">
        <v>109</v>
      </c>
      <c r="C17" s="101">
        <v>5.105588321607641E-2</v>
      </c>
      <c r="D17" s="101">
        <v>5.105588321607641E-2</v>
      </c>
      <c r="E17" s="101">
        <v>5.105588321607641E-2</v>
      </c>
      <c r="F17" s="101">
        <v>5.105588321607641E-2</v>
      </c>
    </row>
    <row r="18" spans="1:8" ht="15.75" customHeight="1" x14ac:dyDescent="0.25">
      <c r="B18" s="19" t="s">
        <v>3</v>
      </c>
      <c r="C18" s="101">
        <v>9.4308994453821612E-4</v>
      </c>
      <c r="D18" s="101">
        <v>9.4308994453821612E-4</v>
      </c>
      <c r="E18" s="101">
        <v>9.4308994453821612E-4</v>
      </c>
      <c r="F18" s="101">
        <v>9.4308994453821612E-4</v>
      </c>
    </row>
    <row r="19" spans="1:8" ht="15.75" customHeight="1" x14ac:dyDescent="0.25">
      <c r="B19" s="19" t="s">
        <v>120</v>
      </c>
      <c r="C19" s="101">
        <v>0.1182494906296471</v>
      </c>
      <c r="D19" s="101">
        <v>0.1182494906296471</v>
      </c>
      <c r="E19" s="101">
        <v>0.1182494906296471</v>
      </c>
      <c r="F19" s="101">
        <v>0.1182494906296471</v>
      </c>
    </row>
    <row r="20" spans="1:8" ht="15.75" customHeight="1" x14ac:dyDescent="0.25">
      <c r="B20" s="19" t="s">
        <v>98</v>
      </c>
      <c r="C20" s="101">
        <v>4.7243820788948647E-3</v>
      </c>
      <c r="D20" s="101">
        <v>4.7243820788948647E-3</v>
      </c>
      <c r="E20" s="101">
        <v>4.7243820788948647E-3</v>
      </c>
      <c r="F20" s="101">
        <v>4.7243820788948647E-3</v>
      </c>
    </row>
    <row r="21" spans="1:8" ht="15.75" customHeight="1" x14ac:dyDescent="0.25">
      <c r="B21" s="19" t="s">
        <v>107</v>
      </c>
      <c r="C21" s="101">
        <v>0.19661169147582239</v>
      </c>
      <c r="D21" s="101">
        <v>0.19661169147582239</v>
      </c>
      <c r="E21" s="101">
        <v>0.19661169147582239</v>
      </c>
      <c r="F21" s="101">
        <v>0.19661169147582239</v>
      </c>
    </row>
    <row r="22" spans="1:8" ht="15.75" customHeight="1" x14ac:dyDescent="0.25">
      <c r="B22" s="19" t="s">
        <v>118</v>
      </c>
      <c r="C22" s="101">
        <v>0.2074795057739027</v>
      </c>
      <c r="D22" s="101">
        <v>0.2074795057739027</v>
      </c>
      <c r="E22" s="101">
        <v>0.2074795057739027</v>
      </c>
      <c r="F22" s="101">
        <v>0.2074795057739027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4.4382244000000001E-2</v>
      </c>
    </row>
    <row r="27" spans="1:8" ht="15.75" customHeight="1" x14ac:dyDescent="0.25">
      <c r="B27" s="19" t="s">
        <v>108</v>
      </c>
      <c r="C27" s="101">
        <v>4.8625891999999997E-2</v>
      </c>
    </row>
    <row r="28" spans="1:8" ht="15.75" customHeight="1" x14ac:dyDescent="0.25">
      <c r="B28" s="19" t="s">
        <v>122</v>
      </c>
      <c r="C28" s="101">
        <v>0.16463160299999999</v>
      </c>
    </row>
    <row r="29" spans="1:8" ht="15.75" customHeight="1" x14ac:dyDescent="0.25">
      <c r="B29" s="19" t="s">
        <v>105</v>
      </c>
      <c r="C29" s="101">
        <v>0.203694557</v>
      </c>
    </row>
    <row r="30" spans="1:8" ht="15.75" customHeight="1" x14ac:dyDescent="0.25">
      <c r="B30" s="19" t="s">
        <v>4</v>
      </c>
      <c r="C30" s="101">
        <v>4.3418417000000001E-2</v>
      </c>
    </row>
    <row r="31" spans="1:8" ht="15.75" customHeight="1" x14ac:dyDescent="0.25">
      <c r="B31" s="19" t="s">
        <v>99</v>
      </c>
      <c r="C31" s="101">
        <v>9.7613213000000004E-2</v>
      </c>
    </row>
    <row r="32" spans="1:8" ht="15.75" customHeight="1" x14ac:dyDescent="0.25">
      <c r="B32" s="19" t="s">
        <v>104</v>
      </c>
      <c r="C32" s="101">
        <v>4.3273035999999987E-2</v>
      </c>
    </row>
    <row r="33" spans="2:3" ht="15.75" customHeight="1" x14ac:dyDescent="0.25">
      <c r="B33" s="19" t="s">
        <v>119</v>
      </c>
      <c r="C33" s="101">
        <v>0.24136084799999999</v>
      </c>
    </row>
    <row r="34" spans="2:3" ht="15.75" customHeight="1" x14ac:dyDescent="0.25">
      <c r="B34" s="19" t="s">
        <v>106</v>
      </c>
      <c r="C34" s="101">
        <v>0.11300019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nmwI1JdvpW3lGT7bQHoWsfKnjnDBV/fEbLe59gVvehp07KcpOTc/tQhez+ds056BUFAiWL+GwEv2vTpE3HBBPg==" saltValue="sneUVy+HQEQHQGuyCRT6e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0.57739072741853559</v>
      </c>
      <c r="D2" s="52">
        <f>IFERROR(1-_xlfn.NORM.DIST(_xlfn.NORM.INV(SUM(D4:D5), 0, 1) + 1, 0, 1, TRUE), "")</f>
        <v>0.57739072741853559</v>
      </c>
      <c r="E2" s="52">
        <f>IFERROR(1-_xlfn.NORM.DIST(_xlfn.NORM.INV(SUM(E4:E5), 0, 1) + 1, 0, 1, TRUE), "")</f>
        <v>0.52845109881480812</v>
      </c>
      <c r="F2" s="52">
        <f>IFERROR(1-_xlfn.NORM.DIST(_xlfn.NORM.INV(SUM(F4:F5), 0, 1) + 1, 0, 1, TRUE), "")</f>
        <v>0.34155494177310863</v>
      </c>
      <c r="G2" s="52">
        <f>IFERROR(1-_xlfn.NORM.DIST(_xlfn.NORM.INV(SUM(G4:G5), 0, 1) + 1, 0, 1, TRUE), "")</f>
        <v>0.21840338199661558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0.30660927258146442</v>
      </c>
      <c r="D3" s="52">
        <f>IFERROR(_xlfn.NORM.DIST(_xlfn.NORM.INV(SUM(D4:D5), 0, 1) + 1, 0, 1, TRUE) - SUM(D4:D5), "")</f>
        <v>0.30660927258146442</v>
      </c>
      <c r="E3" s="52">
        <f>IFERROR(_xlfn.NORM.DIST(_xlfn.NORM.INV(SUM(E4:E5), 0, 1) + 1, 0, 1, TRUE) - SUM(E4:E5), "")</f>
        <v>0.32954890118519187</v>
      </c>
      <c r="F3" s="52">
        <f>IFERROR(_xlfn.NORM.DIST(_xlfn.NORM.INV(SUM(F4:F5), 0, 1) + 1, 0, 1, TRUE) - SUM(F4:F5), "")</f>
        <v>0.38144505822689134</v>
      </c>
      <c r="G3" s="52">
        <f>IFERROR(_xlfn.NORM.DIST(_xlfn.NORM.INV(SUM(G4:G5), 0, 1) + 1, 0, 1, TRUE) - SUM(G4:G5), "")</f>
        <v>0.36959661800338439</v>
      </c>
    </row>
    <row r="4" spans="1:15" ht="15.75" customHeight="1" x14ac:dyDescent="0.25">
      <c r="B4" s="5" t="s">
        <v>129</v>
      </c>
      <c r="C4" s="45">
        <v>8.1000000000000003E-2</v>
      </c>
      <c r="D4" s="53">
        <v>8.1000000000000003E-2</v>
      </c>
      <c r="E4" s="53">
        <v>0.111</v>
      </c>
      <c r="F4" s="53">
        <v>0.188</v>
      </c>
      <c r="G4" s="53">
        <v>0.27600000000000002</v>
      </c>
    </row>
    <row r="5" spans="1:15" ht="15.75" customHeight="1" x14ac:dyDescent="0.25">
      <c r="B5" s="5" t="s">
        <v>125</v>
      </c>
      <c r="C5" s="45">
        <v>3.5000000000000003E-2</v>
      </c>
      <c r="D5" s="53">
        <v>3.5000000000000003E-2</v>
      </c>
      <c r="E5" s="53">
        <v>3.1E-2</v>
      </c>
      <c r="F5" s="53">
        <v>8.900000000000001E-2</v>
      </c>
      <c r="G5" s="53">
        <v>0.13600000000000001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0.56945499406847766</v>
      </c>
      <c r="D8" s="52">
        <f>IFERROR(1-_xlfn.NORM.DIST(_xlfn.NORM.INV(SUM(D10:D11), 0, 1) + 1, 0, 1, TRUE), "")</f>
        <v>0.56945499406847766</v>
      </c>
      <c r="E8" s="52">
        <f>IFERROR(1-_xlfn.NORM.DIST(_xlfn.NORM.INV(SUM(E10:E11), 0, 1) + 1, 0, 1, TRUE), "")</f>
        <v>0.57739072741853559</v>
      </c>
      <c r="F8" s="52">
        <f>IFERROR(1-_xlfn.NORM.DIST(_xlfn.NORM.INV(SUM(F10:F11), 0, 1) + 1, 0, 1, TRUE), "")</f>
        <v>0.6241955901533508</v>
      </c>
      <c r="G8" s="52">
        <f>IFERROR(1-_xlfn.NORM.DIST(_xlfn.NORM.INV(SUM(G10:G11), 0, 1) + 1, 0, 1, TRUE), "")</f>
        <v>0.75991942487966924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0.3105450059315224</v>
      </c>
      <c r="D9" s="52">
        <f>IFERROR(_xlfn.NORM.DIST(_xlfn.NORM.INV(SUM(D10:D11), 0, 1) + 1, 0, 1, TRUE) - SUM(D10:D11), "")</f>
        <v>0.3105450059315224</v>
      </c>
      <c r="E9" s="52">
        <f>IFERROR(_xlfn.NORM.DIST(_xlfn.NORM.INV(SUM(E10:E11), 0, 1) + 1, 0, 1, TRUE) - SUM(E10:E11), "")</f>
        <v>0.30660927258146442</v>
      </c>
      <c r="F9" s="52">
        <f>IFERROR(_xlfn.NORM.DIST(_xlfn.NORM.INV(SUM(F10:F11), 0, 1) + 1, 0, 1, TRUE) - SUM(F10:F11), "")</f>
        <v>0.28180440984664923</v>
      </c>
      <c r="G9" s="52">
        <f>IFERROR(_xlfn.NORM.DIST(_xlfn.NORM.INV(SUM(G10:G11), 0, 1) + 1, 0, 1, TRUE) - SUM(G10:G11), "")</f>
        <v>0.19608057512033072</v>
      </c>
    </row>
    <row r="10" spans="1:15" ht="15.75" customHeight="1" x14ac:dyDescent="0.25">
      <c r="B10" s="5" t="s">
        <v>126</v>
      </c>
      <c r="C10" s="45">
        <v>6.7000000000000004E-2</v>
      </c>
      <c r="D10" s="53">
        <v>6.7000000000000004E-2</v>
      </c>
      <c r="E10" s="53">
        <v>0.08</v>
      </c>
      <c r="F10" s="53">
        <v>6.8000000000000005E-2</v>
      </c>
      <c r="G10" s="53">
        <v>3.3000000000000002E-2</v>
      </c>
    </row>
    <row r="11" spans="1:15" ht="15.75" customHeight="1" x14ac:dyDescent="0.25">
      <c r="B11" s="5" t="s">
        <v>138</v>
      </c>
      <c r="C11" s="45">
        <v>5.2999999999999999E-2</v>
      </c>
      <c r="D11" s="53">
        <v>5.2999999999999999E-2</v>
      </c>
      <c r="E11" s="53">
        <v>3.5999999999999997E-2</v>
      </c>
      <c r="F11" s="53">
        <v>2.5999999999999999E-2</v>
      </c>
      <c r="G11" s="53">
        <v>1.0999999999999999E-2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0.69556121950000005</v>
      </c>
      <c r="D14" s="54">
        <v>0.675081075162</v>
      </c>
      <c r="E14" s="54">
        <v>0.675081075162</v>
      </c>
      <c r="F14" s="54">
        <v>0.28962774625999999</v>
      </c>
      <c r="G14" s="54">
        <v>0.28962774625999999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0.14899999999999999</v>
      </c>
      <c r="M14" s="55">
        <v>0.14899999999999999</v>
      </c>
      <c r="N14" s="55">
        <v>0.14899999999999999</v>
      </c>
      <c r="O14" s="55">
        <v>0.14899999999999999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0.36787050445281855</v>
      </c>
      <c r="D15" s="52">
        <f t="shared" si="0"/>
        <v>0.35703890427490403</v>
      </c>
      <c r="E15" s="52">
        <f t="shared" si="0"/>
        <v>0.35703890427490403</v>
      </c>
      <c r="F15" s="52">
        <f t="shared" si="0"/>
        <v>0.15317919132522756</v>
      </c>
      <c r="G15" s="52">
        <f t="shared" si="0"/>
        <v>0.15317919132522756</v>
      </c>
      <c r="H15" s="52">
        <f t="shared" si="0"/>
        <v>0.16025154899999999</v>
      </c>
      <c r="I15" s="52">
        <f t="shared" si="0"/>
        <v>0.16025154899999999</v>
      </c>
      <c r="J15" s="52">
        <f t="shared" si="0"/>
        <v>0.16025154899999999</v>
      </c>
      <c r="K15" s="52">
        <f t="shared" si="0"/>
        <v>0.16025154899999999</v>
      </c>
      <c r="L15" s="52">
        <f t="shared" si="0"/>
        <v>7.8803566999999991E-2</v>
      </c>
      <c r="M15" s="52">
        <f t="shared" si="0"/>
        <v>7.8803566999999991E-2</v>
      </c>
      <c r="N15" s="52">
        <f t="shared" si="0"/>
        <v>7.8803566999999991E-2</v>
      </c>
      <c r="O15" s="52">
        <f t="shared" si="0"/>
        <v>7.8803566999999991E-2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7kfREGkamKhtlA9BaN0+DjSLV5aBngHDXTmbzzU7XBZJanP1gCbnQwsRPt5a0bi0MPkmgfpmJUUMKCJuPLA1Lw==" saltValue="uOf/MNGrg/DCLhb4u4Vt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0.54436950000000006</v>
      </c>
      <c r="D2" s="53">
        <v>0.38307210000000003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8.2041900000000001E-2</v>
      </c>
      <c r="D3" s="53">
        <v>0.1129826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0.26832600000000001</v>
      </c>
      <c r="D4" s="53">
        <v>0.26916639999999997</v>
      </c>
      <c r="E4" s="53">
        <v>0.68658050000000004</v>
      </c>
      <c r="F4" s="53">
        <v>0.59995869999999996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0.10526259999999987</v>
      </c>
      <c r="D5" s="52">
        <f t="shared" si="0"/>
        <v>0.23477890000000001</v>
      </c>
      <c r="E5" s="52">
        <f>1-SUM(E2:E4)</f>
        <v>0.31341949999999996</v>
      </c>
      <c r="F5" s="52">
        <f>1-SUM(F2:F4)</f>
        <v>0.40004130000000004</v>
      </c>
      <c r="G5" s="52">
        <f>1-SUM(G2:G4)</f>
        <v>1</v>
      </c>
    </row>
  </sheetData>
  <sheetProtection algorithmName="SHA-512" hashValue="nXkBdJvUzlsKgqPWbA0mNefar0njY5unjccpwHyGCMzYvSgX41mgLcnhuCedv8aUw2tv6G8gy3myzSsNTuySaQ==" saltValue="fSNHNzeeNyEWicaDGzEgz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QdWxUtB9gjy1inX5R/SbTRg0N4xRV6XBmz3tI6PVgQ/NXPD1fmobNqR/RudSbsefOeNkf0mZAsj7rzcOlnRlQ==" saltValue="BFQfSPvnsqfwO9CGGIMjy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3498.5098055874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0.41215000000000002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0.48421999999999998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1.5080177545706877E-2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97100.085890000002</v>
      </c>
      <c r="C22" s="109">
        <v>96901.344920000003</v>
      </c>
      <c r="D22" s="109">
        <v>96709.555869999997</v>
      </c>
      <c r="E22" s="109">
        <v>96369.279760000005</v>
      </c>
      <c r="F22" s="109">
        <v>95870.912200000006</v>
      </c>
      <c r="G22" s="109">
        <v>95225.168890000001</v>
      </c>
      <c r="H22" s="109">
        <v>94297.108859999993</v>
      </c>
      <c r="I22" s="109">
        <v>93192.031099999993</v>
      </c>
      <c r="J22" s="109">
        <v>91448.911810000005</v>
      </c>
      <c r="K22" s="109">
        <v>89084.444099999993</v>
      </c>
      <c r="L22" s="109">
        <v>85563.409249999997</v>
      </c>
      <c r="M22" s="109">
        <v>80866.729829999997</v>
      </c>
      <c r="N22" s="109">
        <v>73753.323820000005</v>
      </c>
      <c r="O22" s="109">
        <v>63295.22537</v>
      </c>
    </row>
  </sheetData>
  <sheetProtection algorithmName="SHA-512" hashValue="Ratw+ElqnWo22G5EqQvx0SPhaOatE+oWhFtX/nob6JZvLhYUwdkmss8Jd72XipwmbRzTM/FMCJRtb85M7/e8jw==" saltValue="4yRoSRL5+BCphMgM/O212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UMRy7dawDmXQ3b+rB3HghZMxKljLcicRMfzEVctSt5CZVHg/noCRPugKWQD2aeoRw35OUYTWfGTovvJ9PlTYsw==" saltValue="tSNCi1kxqmXp5q7HhePgw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vTcJ+smbKB0pS6hOCrK9WBi86qiWWADhmFiov6ucQXcGj9b+9ITNlvDkaDbYXKptRF+vUqEWQzve+ji6Qr9Hsg==" saltValue="t1af+JnXlOZzpFxnElEJI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0.41011202521756179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1.812651550310735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0.26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0.56078709999999998</v>
      </c>
      <c r="C10" s="98">
        <v>0.95</v>
      </c>
      <c r="D10" s="56">
        <v>12.8418784817298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12.8418784817298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12.8418784817298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12.8418784817298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0.56078709999999998</v>
      </c>
      <c r="C14" s="98">
        <v>0.95</v>
      </c>
      <c r="D14" s="56">
        <v>12.8418784817298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12.8418784817298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0.35023333333333301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0.59399999999999997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0.38307210000000003</v>
      </c>
      <c r="C19" s="98">
        <v>0.95</v>
      </c>
      <c r="D19" s="56">
        <v>6.8391836861488278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4.1728995609348631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0.63771593354712008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0.433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0.48636289999999999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0.47222769999999997</v>
      </c>
      <c r="C29" s="98">
        <v>0.95</v>
      </c>
      <c r="D29" s="56">
        <v>33.321934882307978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53.05041964170676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1E-3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0.79100000000000004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0.81750919999999994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0.10672520000000001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2.4571099999999998E-2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0.66452529999999999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0.192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i32EuS0y50EGDLbScKN+X+FXN929LHhHjWub9cyvSxkhdCPoxLz10tw9oIm4pKEvyoe+7xE7Wa+yPtkldbVOQA==" saltValue="dmdr4uteXnfGPp3hjIq8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Jb+CRutgveGuG0yzCIpnJ703weZQgxUvMQBhmDZxxMVTk/p2jmziQSTPAxKSdPmwZmag/1PTnQOZXtn3NRjHw==" saltValue="c5IATruHboX0OTEfsB6h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2jOBCG7+yp//rByf6xQdTn/4VuGzLTL9wkXg6nR0ke4k48FrNAMuhX5fJX52lBpRHcXv71agfFpEx9i969VjKg==" saltValue="wMSNsMq9OoDhLrEHEPjfc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0.72799999999999998</v>
      </c>
      <c r="C2" s="21">
        <f>'Entradas de población-año base'!C52</f>
        <v>0.72799999999999998</v>
      </c>
      <c r="D2" s="21">
        <f>'Entradas de población-año base'!C53</f>
        <v>2.1579999999999999</v>
      </c>
      <c r="E2" s="21">
        <f>'Entradas de población-año base'!C54</f>
        <v>2.73</v>
      </c>
      <c r="F2" s="21">
        <f>'Entradas de población-año base'!C55</f>
        <v>1.196</v>
      </c>
    </row>
    <row r="3" spans="1:6" ht="15.75" customHeight="1" x14ac:dyDescent="0.25">
      <c r="A3" s="3" t="s">
        <v>6</v>
      </c>
      <c r="B3" s="21">
        <f>frac_mam_1month * 2.6</f>
        <v>0.17420000000000002</v>
      </c>
      <c r="C3" s="21">
        <f>frac_mam_1_5months * 2.6</f>
        <v>0.17420000000000002</v>
      </c>
      <c r="D3" s="21">
        <f>frac_mam_6_11months * 2.6</f>
        <v>0.20800000000000002</v>
      </c>
      <c r="E3" s="21">
        <f>frac_mam_12_23months * 2.6</f>
        <v>0.17680000000000001</v>
      </c>
      <c r="F3" s="21">
        <f>frac_mam_24_59months * 2.6</f>
        <v>8.5800000000000001E-2</v>
      </c>
    </row>
    <row r="4" spans="1:6" ht="15.75" customHeight="1" x14ac:dyDescent="0.25">
      <c r="A4" s="3" t="s">
        <v>236</v>
      </c>
      <c r="B4" s="21">
        <f>frac_sam_1month * 2.6</f>
        <v>0.13780000000000001</v>
      </c>
      <c r="C4" s="21">
        <f>frac_sam_1_5months * 2.6</f>
        <v>0.13780000000000001</v>
      </c>
      <c r="D4" s="21">
        <f>frac_sam_6_11months * 2.6</f>
        <v>9.3600000000000003E-2</v>
      </c>
      <c r="E4" s="21">
        <f>frac_sam_12_23months * 2.6</f>
        <v>6.7599999999999993E-2</v>
      </c>
      <c r="F4" s="21">
        <f>frac_sam_24_59months * 2.6</f>
        <v>2.86E-2</v>
      </c>
    </row>
  </sheetData>
  <sheetProtection algorithmName="SHA-512" hashValue="EN4LzgEAanB51b7WEITsrQY95IVv0GnTOPvWcM7/XKi55dSsBnOxEovZY2AFixigJroSyjUkLHtuqrsyqpfm4A==" saltValue="eOyfQdntNigEuanHVuUGS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0.18099999999999999</v>
      </c>
      <c r="F2" s="60">
        <f>food_insecure</f>
        <v>0.18099999999999999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0.18099999999999999</v>
      </c>
      <c r="F5" s="60">
        <f>food_insecure</f>
        <v>0.18099999999999999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1.5552727272727268E-2</v>
      </c>
      <c r="D7" s="60">
        <f>diarrhoea_1_5mo*frac_diarrhea_severe</f>
        <v>1.5552727272727268E-2</v>
      </c>
      <c r="E7" s="60">
        <f>diarrhoea_6_11mo*frac_diarrhea_severe</f>
        <v>4.6102727272727261E-2</v>
      </c>
      <c r="F7" s="60">
        <f>diarrhoea_12_23mo*frac_diarrhea_severe</f>
        <v>5.8322727272727262E-2</v>
      </c>
      <c r="G7" s="60">
        <f>diarrhoea_24_59mo*frac_diarrhea_severe</f>
        <v>2.5550909090909086E-2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0.18099999999999999</v>
      </c>
      <c r="F8" s="60">
        <f>food_insecure</f>
        <v>0.18099999999999999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0.18099999999999999</v>
      </c>
      <c r="F9" s="60">
        <f>food_insecure</f>
        <v>0.18099999999999999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1.5552727272727268E-2</v>
      </c>
      <c r="D12" s="60">
        <f>diarrhoea_1_5mo*frac_diarrhea_severe</f>
        <v>1.5552727272727268E-2</v>
      </c>
      <c r="E12" s="60">
        <f>diarrhoea_6_11mo*frac_diarrhea_severe</f>
        <v>4.6102727272727261E-2</v>
      </c>
      <c r="F12" s="60">
        <f>diarrhoea_12_23mo*frac_diarrhea_severe</f>
        <v>5.8322727272727262E-2</v>
      </c>
      <c r="G12" s="60">
        <f>diarrhoea_24_59mo*frac_diarrhea_severe</f>
        <v>2.5550909090909086E-2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0.18099999999999999</v>
      </c>
      <c r="I15" s="60">
        <f t="shared" si="0"/>
        <v>0.18099999999999999</v>
      </c>
      <c r="J15" s="60">
        <f t="shared" si="0"/>
        <v>0.18099999999999999</v>
      </c>
      <c r="K15" s="60">
        <f t="shared" si="0"/>
        <v>0.18099999999999999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0.18099999999999999</v>
      </c>
      <c r="I16" s="60">
        <f t="shared" si="0"/>
        <v>0.18099999999999999</v>
      </c>
      <c r="J16" s="60">
        <f t="shared" si="0"/>
        <v>0.18099999999999999</v>
      </c>
      <c r="K16" s="60">
        <f t="shared" si="0"/>
        <v>0.18099999999999999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1.24E-2</v>
      </c>
      <c r="I19" s="60">
        <f>frac_malaria_risk</f>
        <v>1.24E-2</v>
      </c>
      <c r="J19" s="60">
        <f>frac_malaria_risk</f>
        <v>1.24E-2</v>
      </c>
      <c r="K19" s="60">
        <f>frac_malaria_risk</f>
        <v>1.24E-2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0.16700000000000001</v>
      </c>
      <c r="M24" s="60">
        <f>famplan_unmet_need</f>
        <v>0.16700000000000001</v>
      </c>
      <c r="N24" s="60">
        <f>famplan_unmet_need</f>
        <v>0.16700000000000001</v>
      </c>
      <c r="O24" s="60">
        <f>famplan_unmet_need</f>
        <v>0.16700000000000001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0.15137993898999999</v>
      </c>
      <c r="M25" s="60">
        <f>(1-food_insecure)*(0.49)+food_insecure*(0.7)</f>
        <v>0.52800999999999987</v>
      </c>
      <c r="N25" s="60">
        <f>(1-food_insecure)*(0.49)+food_insecure*(0.7)</f>
        <v>0.52800999999999987</v>
      </c>
      <c r="O25" s="60">
        <f>(1-food_insecure)*(0.49)+food_insecure*(0.7)</f>
        <v>0.52800999999999987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6.4877116710000002E-2</v>
      </c>
      <c r="M26" s="60">
        <f>(1-food_insecure)*(0.21)+food_insecure*(0.3)</f>
        <v>0.22628999999999996</v>
      </c>
      <c r="N26" s="60">
        <f>(1-food_insecure)*(0.21)+food_insecure*(0.3)</f>
        <v>0.22628999999999996</v>
      </c>
      <c r="O26" s="60">
        <f>(1-food_insecure)*(0.21)+food_insecure*(0.3)</f>
        <v>0.22628999999999996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7.0441944300000003E-2</v>
      </c>
      <c r="M27" s="60">
        <f>(1-food_insecure)*(0.3)</f>
        <v>0.24569999999999997</v>
      </c>
      <c r="N27" s="60">
        <f>(1-food_insecure)*(0.3)</f>
        <v>0.24569999999999997</v>
      </c>
      <c r="O27" s="60">
        <f>(1-food_insecure)*(0.3)</f>
        <v>0.24569999999999997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0.71330099999999996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1.24E-2</v>
      </c>
      <c r="D34" s="60">
        <f t="shared" si="4"/>
        <v>1.24E-2</v>
      </c>
      <c r="E34" s="60">
        <f t="shared" si="4"/>
        <v>1.24E-2</v>
      </c>
      <c r="F34" s="60">
        <f t="shared" si="4"/>
        <v>1.24E-2</v>
      </c>
      <c r="G34" s="60">
        <f t="shared" si="4"/>
        <v>1.24E-2</v>
      </c>
      <c r="H34" s="60">
        <f t="shared" si="4"/>
        <v>1.24E-2</v>
      </c>
      <c r="I34" s="60">
        <f t="shared" si="4"/>
        <v>1.24E-2</v>
      </c>
      <c r="J34" s="60">
        <f t="shared" si="4"/>
        <v>1.24E-2</v>
      </c>
      <c r="K34" s="60">
        <f t="shared" si="4"/>
        <v>1.24E-2</v>
      </c>
      <c r="L34" s="60">
        <f t="shared" si="4"/>
        <v>1.24E-2</v>
      </c>
      <c r="M34" s="60">
        <f t="shared" si="4"/>
        <v>1.24E-2</v>
      </c>
      <c r="N34" s="60">
        <f t="shared" si="4"/>
        <v>1.24E-2</v>
      </c>
      <c r="O34" s="60">
        <f t="shared" si="4"/>
        <v>1.24E-2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SM0v5Lp9Tc4doB1Qy468dClMu/Jtf8Z8C/JdZsE951h+qg8DxTJ0Js32A+F+dFo4oPiVlbPE2AR0546y7VyBQ==" saltValue="PsBmY332YQxbLGBZmr7iG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cxA92mbxmPR4FXlDihiLCes0bQ7G5guM7P0VvQqhMhgdLH3A9QyRLtgoubk8M8pK544ClkxzicHlWsiyMM3ieg==" saltValue="WOpVM3qheeBYk1KHaUqma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cGvi45JQScLgmCZ+aONR59IdJLqQcJVqsiSH8b8smlqjFGRAWkHqURKDOSSySNF3f3deFsAEE3YZqOWe58DBw==" saltValue="azv1RDujzu9YjCQNDRFtS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IryDLAwnxs9SQawIKfwlDN092R4gO7q7DnzLMlbeZFSJcnTFZf92U8EYlkk5d0aLNOsw3eCewAx+hgZi2GHNg==" saltValue="inFrWurMnHFivY1QhzabA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uggJVq6KVmr85S+4b+W50hGwW1vjhfoYr3e0a66KAug2oNZugGc8KGyPi50k8GHdmmbcx7ZiSIKm8WfoT2mq0g==" saltValue="mIBKuCnJJb3jdc0pVg+hE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Gxrb5yH8xc9ZBl+sW5GNdiDQDg0+urD7wqCD4IuxX1XVvmvWin1bOCmaJybyspwVqYK+hm4sjrZbrNM/FubJyg==" saltValue="bfa+pbaPqEt+6+4VnbRC6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lxbuL9/ah3IuCcwAPFKq460oX6n3NWkYV1vh9FMoY7gxsT+Kzob4RMl1A8Fks12bPIJSGf8imzregLA+JEkbA==" saltValue="xKqNQTAUnWzgIoa7koQjn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nKBI0VuVmhT9MlLnjQ0+fbXH/ivMHgQdorRjPsGDmeav2hhCPFzDrS79drlPcvnhqMLpHIh5YBjxsKZHaGSp0Q==" saltValue="qCsmw7enNbLRq+COBRCc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13SFbt9KDoho4PFbHyvKn7m+7XEw7Q+X1InucRuO5mcwV7oI0JfJm/3i4KgkPcHBJszGAUZSSbvUvpIeEDrzgA==" saltValue="N5hZkBlx6GAlninZ2MZf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GPWh1zxomFf0eypkgI2AqLDwIPHSGn3eCqjC0I3N/UdXzeWIFkcd7FsgeZfH9rsESh7eAGbaed1jeIShEdbCg==" saltValue="ar98IhofESyblONl1L0N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9t0jhWc+kioorWGLS21YWKQkEakA9nFO++Er61JXgBaLBVeP8hStJ4Q/z4vlMSmpfxoJCeoSsj0Xc4cPg6mxQ==" saltValue="FB5iUhNpv5UfW5V/S6gU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SVzCT6/zKtXdZtFYkwAWVpvMbgwGWnt6PtSneM6VCHoDl4fF4GmJpb31hY2xr1ISAJtbpn7M1jzjKcCUmNRqQ==" saltValue="hy2mMVTVvzreaK/kLSIY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R1eHFy89t1mXELYmc95/sO4CVg4vVy7Himr/bPiVuHXpjagbEANEh8b6o7SUmTOK2Wz4Km5C8ZX4b6HEXrTcw==" saltValue="fTyOBA0gxv/Lv9dHfR5z5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65VlSh6wORWFnNSRs//ld8yg3DoDIzuGmNYWYbDbrlurQgF5e29rl8cmxqQTEVYzVnksA9jDCbbRxvQLJ6y9Og==" saltValue="5xITW9S8LHdGD359itO2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fFZyoT+h2y5QonBMtkJ0FgLNwtRSa0m5+SAXoICVOu10MDvyBRCEyLtXLzLdJfnxK0XmK/mMVzoGifUjxmWvXg==" saltValue="zMS4sdpdF4VG3v6uhOg0n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