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AAAC02B-92E9-4C3D-AE5D-1AFAED17F7A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7" i="2" l="1"/>
  <c r="I13" i="2"/>
  <c r="I2" i="2"/>
  <c r="I8" i="2"/>
  <c r="A23" i="2"/>
  <c r="I6" i="2"/>
  <c r="I12" i="2"/>
  <c r="A35" i="2"/>
  <c r="I38" i="2"/>
  <c r="A19" i="2"/>
  <c r="A22" i="2"/>
  <c r="I39" i="2"/>
  <c r="A24" i="2"/>
  <c r="A40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<sst xmlns="http://schemas.openxmlformats.org/spreadsheetml/2006/main" count="2169" uniqueCount="373">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</sst>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8953366</v>
      </c>
    </row>
    <row r="8" spans="1:3" ht="15" customHeight="1" x14ac:dyDescent="0.25">
      <c r="B8" s="5" t="s">
        <v>63</v>
      </c>
      <c r="C8" s="44">
        <v>0.18099999999999999</v>
      </c>
    </row>
    <row r="9" spans="1:3" ht="15" customHeight="1" x14ac:dyDescent="0.25">
      <c r="B9" s="5" t="s">
        <v>62</v>
      </c>
      <c r="C9" s="45">
        <v>1.24E-2</v>
      </c>
    </row>
    <row r="10" spans="1:3" ht="15" customHeight="1" x14ac:dyDescent="0.25">
      <c r="B10" s="5" t="s">
        <v>75</v>
      </c>
      <c r="C10" s="45">
        <v>0.71330099999999996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0.11020000000000001</v>
      </c>
    </row>
    <row r="24" spans="1:3" ht="15" customHeight="1" x14ac:dyDescent="0.25">
      <c r="B24" s="15" t="s">
        <v>65</v>
      </c>
      <c r="C24" s="45">
        <v>0.46769999999999989</v>
      </c>
    </row>
    <row r="25" spans="1:3" ht="15" customHeight="1" x14ac:dyDescent="0.25">
      <c r="B25" s="15" t="s">
        <v>66</v>
      </c>
      <c r="C25" s="45">
        <v>0.34789999999999999</v>
      </c>
    </row>
    <row r="26" spans="1:3" ht="15" customHeight="1" x14ac:dyDescent="0.25">
      <c r="B26" s="15" t="s">
        <v>67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0.30815858460240297</v>
      </c>
    </row>
    <row r="30" spans="1:3" ht="14.25" customHeight="1" x14ac:dyDescent="0.25">
      <c r="B30" s="25" t="s">
        <v>82</v>
      </c>
      <c r="C30" s="97">
        <v>5.7025809794546099E-2</v>
      </c>
    </row>
    <row r="31" spans="1:3" ht="14.25" customHeight="1" x14ac:dyDescent="0.25">
      <c r="B31" s="25" t="s">
        <v>29</v>
      </c>
      <c r="C31" s="97">
        <v>6.6859128479990607E-2</v>
      </c>
    </row>
    <row r="32" spans="1:3" ht="14.25" customHeight="1" x14ac:dyDescent="0.25">
      <c r="B32" s="25" t="s">
        <v>30</v>
      </c>
      <c r="C32" s="97">
        <v>0.56795647712306097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12.276949999999999</v>
      </c>
    </row>
    <row r="38" spans="1:5" ht="15" customHeight="1" x14ac:dyDescent="0.25">
      <c r="B38" s="11" t="s">
        <v>54</v>
      </c>
      <c r="C38" s="43">
        <v>20.473140000000001</v>
      </c>
      <c r="D38" s="12"/>
      <c r="E38" s="13"/>
    </row>
    <row r="39" spans="1:5" ht="15" customHeight="1" x14ac:dyDescent="0.25">
      <c r="B39" s="11" t="s">
        <v>80</v>
      </c>
      <c r="C39" s="43">
        <v>25.739529999999998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78</v>
      </c>
      <c r="C47" s="45">
        <v>7.476569999999999E-2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0.72799999999999998</v>
      </c>
      <c r="D51" s="12"/>
    </row>
    <row r="52" spans="1:4" ht="15" customHeight="1" x14ac:dyDescent="0.25">
      <c r="B52" s="11" t="s">
        <v>32</v>
      </c>
      <c r="C52" s="98">
        <v>0.72799999999999998</v>
      </c>
    </row>
    <row r="53" spans="1:4" ht="15.75" customHeight="1" x14ac:dyDescent="0.25">
      <c r="B53" s="11" t="s">
        <v>35</v>
      </c>
      <c r="C53" s="98">
        <v>2.1579999999999999</v>
      </c>
    </row>
    <row r="54" spans="1:4" ht="15.75" customHeight="1" x14ac:dyDescent="0.25">
      <c r="B54" s="11" t="s">
        <v>33</v>
      </c>
      <c r="C54" s="98">
        <v>2.73</v>
      </c>
    </row>
    <row r="55" spans="1:4" ht="15.75" customHeight="1" x14ac:dyDescent="0.25">
      <c r="B55" s="11" t="s">
        <v>34</v>
      </c>
      <c r="C55" s="98">
        <v>1.196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0.52888299999999999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hq3BtEPMXySKdYNoaOVoCv1pmNEjdRrrtwpB+QOP5MITJGZ09Yib7QJoqxC9wS1QZKj5bEZsOzxnb3ITysHnfQ==" saltValue="I6aMCUL6EOPx081XTpya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aucZKRiDUfkH5wuhXDOw7NfPZPb255LkD4qeuakt5/vZgxNBH9uKSa5NjRyavnr/EplOGDM+AoEKS+IzyUbZQ==" saltValue="++m+SjAUvGwVk2HCiIvN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2.2522621624356761E-3</v>
      </c>
    </row>
    <row r="4" spans="1:8" ht="15.75" customHeight="1" x14ac:dyDescent="0.25">
      <c r="B4" s="19" t="s">
        <v>116</v>
      </c>
      <c r="C4" s="99">
        <v>7.516927467198109E-2</v>
      </c>
    </row>
    <row r="5" spans="1:8" ht="15.75" customHeight="1" x14ac:dyDescent="0.25">
      <c r="B5" s="19" t="s">
        <v>114</v>
      </c>
      <c r="C5" s="99">
        <v>4.8031625672868491E-2</v>
      </c>
    </row>
    <row r="6" spans="1:8" ht="15.75" customHeight="1" x14ac:dyDescent="0.25">
      <c r="B6" s="19" t="s">
        <v>110</v>
      </c>
      <c r="C6" s="99">
        <v>0.17511153307831301</v>
      </c>
    </row>
    <row r="7" spans="1:8" ht="15.75" customHeight="1" x14ac:dyDescent="0.25">
      <c r="B7" s="19" t="s">
        <v>115</v>
      </c>
      <c r="C7" s="99">
        <v>0.4235197891461801</v>
      </c>
    </row>
    <row r="8" spans="1:8" ht="15.75" customHeight="1" x14ac:dyDescent="0.25">
      <c r="B8" s="19" t="s">
        <v>117</v>
      </c>
      <c r="C8" s="99">
        <v>6.3281746576205505E-4</v>
      </c>
    </row>
    <row r="9" spans="1:8" ht="15.75" customHeight="1" x14ac:dyDescent="0.25">
      <c r="B9" s="19" t="s">
        <v>111</v>
      </c>
      <c r="C9" s="99">
        <v>0.14254113413530231</v>
      </c>
    </row>
    <row r="10" spans="1:8" ht="15.75" customHeight="1" x14ac:dyDescent="0.25">
      <c r="B10" s="19" t="s">
        <v>113</v>
      </c>
      <c r="C10" s="99">
        <v>0.13274156366715731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121</v>
      </c>
      <c r="C15" s="99">
        <v>0.22071844109731331</v>
      </c>
      <c r="D15" s="99">
        <v>0.22071844109731331</v>
      </c>
      <c r="E15" s="99">
        <v>0.22071844109731331</v>
      </c>
      <c r="F15" s="99">
        <v>0.22071844109731331</v>
      </c>
    </row>
    <row r="16" spans="1:8" ht="15.75" customHeight="1" x14ac:dyDescent="0.25">
      <c r="B16" s="19" t="s">
        <v>2</v>
      </c>
      <c r="C16" s="99">
        <v>1.298934363653376E-2</v>
      </c>
      <c r="D16" s="99">
        <v>1.298934363653376E-2</v>
      </c>
      <c r="E16" s="99">
        <v>1.298934363653376E-2</v>
      </c>
      <c r="F16" s="99">
        <v>1.298934363653376E-2</v>
      </c>
    </row>
    <row r="17" spans="1:8" ht="15.75" customHeight="1" x14ac:dyDescent="0.25">
      <c r="B17" s="19" t="s">
        <v>109</v>
      </c>
      <c r="C17" s="99">
        <v>5.105588321607641E-2</v>
      </c>
      <c r="D17" s="99">
        <v>5.105588321607641E-2</v>
      </c>
      <c r="E17" s="99">
        <v>5.105588321607641E-2</v>
      </c>
      <c r="F17" s="99">
        <v>5.105588321607641E-2</v>
      </c>
    </row>
    <row r="18" spans="1:8" ht="15.75" customHeight="1" x14ac:dyDescent="0.25">
      <c r="B18" s="19" t="s">
        <v>3</v>
      </c>
      <c r="C18" s="99">
        <v>9.4308994453821612E-4</v>
      </c>
      <c r="D18" s="99">
        <v>9.4308994453821612E-4</v>
      </c>
      <c r="E18" s="99">
        <v>9.4308994453821612E-4</v>
      </c>
      <c r="F18" s="99">
        <v>9.4308994453821612E-4</v>
      </c>
    </row>
    <row r="19" spans="1:8" ht="15.75" customHeight="1" x14ac:dyDescent="0.25">
      <c r="B19" s="19" t="s">
        <v>120</v>
      </c>
      <c r="C19" s="99">
        <v>0.1182494906296471</v>
      </c>
      <c r="D19" s="99">
        <v>0.1182494906296471</v>
      </c>
      <c r="E19" s="99">
        <v>0.1182494906296471</v>
      </c>
      <c r="F19" s="99">
        <v>0.1182494906296471</v>
      </c>
    </row>
    <row r="20" spans="1:8" ht="15.75" customHeight="1" x14ac:dyDescent="0.25">
      <c r="B20" s="19" t="s">
        <v>98</v>
      </c>
      <c r="C20" s="99">
        <v>4.7243820788948647E-3</v>
      </c>
      <c r="D20" s="99">
        <v>4.7243820788948647E-3</v>
      </c>
      <c r="E20" s="99">
        <v>4.7243820788948647E-3</v>
      </c>
      <c r="F20" s="99">
        <v>4.7243820788948647E-3</v>
      </c>
    </row>
    <row r="21" spans="1:8" ht="15.75" customHeight="1" x14ac:dyDescent="0.25">
      <c r="B21" s="19" t="s">
        <v>107</v>
      </c>
      <c r="C21" s="99">
        <v>0.19661169147582239</v>
      </c>
      <c r="D21" s="99">
        <v>0.19661169147582239</v>
      </c>
      <c r="E21" s="99">
        <v>0.19661169147582239</v>
      </c>
      <c r="F21" s="99">
        <v>0.19661169147582239</v>
      </c>
    </row>
    <row r="22" spans="1:8" ht="15.75" customHeight="1" x14ac:dyDescent="0.25">
      <c r="B22" s="19" t="s">
        <v>118</v>
      </c>
      <c r="C22" s="99">
        <v>0.2074795057739027</v>
      </c>
      <c r="D22" s="99">
        <v>0.2074795057739027</v>
      </c>
      <c r="E22" s="99">
        <v>0.2074795057739027</v>
      </c>
      <c r="F22" s="99">
        <v>0.2074795057739027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4.4382244000000001E-2</v>
      </c>
    </row>
    <row r="27" spans="1:8" ht="15.75" customHeight="1" x14ac:dyDescent="0.25">
      <c r="B27" s="19" t="s">
        <v>108</v>
      </c>
      <c r="C27" s="99">
        <v>4.8625891999999997E-2</v>
      </c>
    </row>
    <row r="28" spans="1:8" ht="15.75" customHeight="1" x14ac:dyDescent="0.25">
      <c r="B28" s="19" t="s">
        <v>122</v>
      </c>
      <c r="C28" s="99">
        <v>0.16463160299999999</v>
      </c>
    </row>
    <row r="29" spans="1:8" ht="15.75" customHeight="1" x14ac:dyDescent="0.25">
      <c r="B29" s="19" t="s">
        <v>105</v>
      </c>
      <c r="C29" s="99">
        <v>0.203694557</v>
      </c>
    </row>
    <row r="30" spans="1:8" ht="15.75" customHeight="1" x14ac:dyDescent="0.25">
      <c r="B30" s="19" t="s">
        <v>4</v>
      </c>
      <c r="C30" s="99">
        <v>4.3418417000000001E-2</v>
      </c>
    </row>
    <row r="31" spans="1:8" ht="15.75" customHeight="1" x14ac:dyDescent="0.25">
      <c r="B31" s="19" t="s">
        <v>99</v>
      </c>
      <c r="C31" s="99">
        <v>9.7613213000000004E-2</v>
      </c>
    </row>
    <row r="32" spans="1:8" ht="15.75" customHeight="1" x14ac:dyDescent="0.25">
      <c r="B32" s="19" t="s">
        <v>104</v>
      </c>
      <c r="C32" s="99">
        <v>4.3273035999999987E-2</v>
      </c>
    </row>
    <row r="33" spans="2:3" ht="15.75" customHeight="1" x14ac:dyDescent="0.25">
      <c r="B33" s="19" t="s">
        <v>119</v>
      </c>
      <c r="C33" s="99">
        <v>0.24136084799999999</v>
      </c>
    </row>
    <row r="34" spans="2:3" ht="15.75" customHeight="1" x14ac:dyDescent="0.25">
      <c r="B34" s="19" t="s">
        <v>106</v>
      </c>
      <c r="C34" s="99">
        <v>0.11300019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IDFd8Q9npc58RRHjt50WO2NEiXoZZ7q9H3uP1tKDzbWDdV8hoXuMyN7oGFzjyabFFXcSyzO1ZT8mmaZwXTF/cw==" saltValue="aXynlgWvcsMaGqGW8L8p4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129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125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126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w2KngPLvGEsrFa2qNAVY9rHM80aVNhGPMEKJ7X5XUmQN5k/Uyc98hor5qW6s5o5vfF+0nVq0b4ZeuAr33yWMw==" saltValue="s9damFmFTGmzO7Ll//gs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x03IQkQxJ2/qPY+7nfp5LZic9+dPQmXDsHroMdkbDTSk2WN/8ljA9b3Fs85iAYDl1Bmt7MHRjKlG3nKE1IgXcQ==" saltValue="dNoOybPhQIASviQWW8fl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voe+MnYa4J8v0phOXNUmQHpMKpO+fxQZ+WRq7fNMAYxCl8uIwA+6NsNbfcvaSxNneOpLRS91XGNQfhJdz//UA==" saltValue="8EiNVcehzC1wVL1r+qS88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3498.5098055874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0.41215000000000002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0.48421999999999998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1.5080177545706877E-2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97100.085890000002</v>
      </c>
      <c r="C22" s="107">
        <v>96901.344920000003</v>
      </c>
      <c r="D22" s="107">
        <v>96709.555869999997</v>
      </c>
      <c r="E22" s="107">
        <v>96369.279760000005</v>
      </c>
      <c r="F22" s="107">
        <v>95870.912200000006</v>
      </c>
      <c r="G22" s="107">
        <v>95225.168890000001</v>
      </c>
      <c r="H22" s="107">
        <v>94297.108859999993</v>
      </c>
      <c r="I22" s="107">
        <v>93192.031099999993</v>
      </c>
      <c r="J22" s="107">
        <v>91448.911810000005</v>
      </c>
      <c r="K22" s="107">
        <v>89084.444099999993</v>
      </c>
      <c r="L22" s="107">
        <v>85563.409249999997</v>
      </c>
      <c r="M22" s="107">
        <v>80866.729829999997</v>
      </c>
      <c r="N22" s="107">
        <v>73753.323820000005</v>
      </c>
      <c r="O22" s="107">
        <v>63295.22537</v>
      </c>
    </row>
  </sheetData>
  <sheetProtection algorithmName="SHA-512" hashValue="ogwAtAq7HvflVqSUKATwDBrvS/yiFE4IJrAmDNmKEtC2SmW/lOkCqyiAeSzw+N2QIvrIyqvuB6yPFUlEa/hmIA==" saltValue="/CRxHdpDyoaHifNnIJv6V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PVimcIIIzMh6nnWL8/aH6X/wH/CA1j/XuGzMK3MPemjImJqlFQx2pO2Y5L6h/Ql/x7YUIYfKn7+VrTpO4HlwQ==" saltValue="bcZNGfLj2PmXR4QHoVlE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wpEKidKtZLAS4PVf1qwg8LsYmfODXDUEWthsXoW5uvx7TSSotwtUn2SzLQTHCeWypTar+M9hb8aLDomUTKc+aw==" saltValue="IfQbdpF+JoDmWfCRkgq4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0.41011202521756179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1.812651550310735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0.56078709999999998</v>
      </c>
      <c r="C10" s="96">
        <v>0.95</v>
      </c>
      <c r="D10" s="56">
        <v>12.8418784817298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12.8418784817298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12.8418784817298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12.8418784817298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0.56078709999999998</v>
      </c>
      <c r="C14" s="96">
        <v>0.95</v>
      </c>
      <c r="D14" s="56">
        <v>12.8418784817298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12.8418784817298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0.35023333333333301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0.59399999999999997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0.38307210000000003</v>
      </c>
      <c r="C19" s="96">
        <v>0.95</v>
      </c>
      <c r="D19" s="56">
        <v>6.8391836861488278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4.1728995609348631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0.63771593354712008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0.433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0.48636289999999999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0.47222769999999997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1E-3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0.79100000000000004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0.81750919999999994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0.10672520000000001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2.4571099999999998E-2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0.66452529999999999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0.192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CtDiHi2580L2hp5fdQjf4ZW+ZoZqYs2ACboEZ3NlTnwbyFBj/ZTF3jgjf+Nzq0ky6vcfOJ9Zjf13xFQJVBIopg==" saltValue="pTC1SDqdlZNegWMeIYRt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dPtnzJ4tk/yinJURIUwoRo5qTO+YR2amoycQn57iv7ZwGq3njpGdKZ9XJs5B0CpfThVLlun+cRNRxDALcJDdA==" saltValue="2aGyfftZSPqNBOUrbE5U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T18/JphCY1hb50QnXOPJH6hW5ZNLZtzDDAQy5rYIeo9S6PETCsRUNpD5uvGgJst25y4YZTFWnyW5WpGQUONSQ==" saltValue="z8B9nHjqF65jBO3EQUhZ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0.72799999999999998</v>
      </c>
      <c r="C2" s="21">
        <f>'Entradas de población-año base'!C52</f>
        <v>0.72799999999999998</v>
      </c>
      <c r="D2" s="21">
        <f>'Entradas de población-año base'!C53</f>
        <v>2.1579999999999999</v>
      </c>
      <c r="E2" s="21">
        <f>'Entradas de población-año base'!C54</f>
        <v>2.73</v>
      </c>
      <c r="F2" s="21">
        <f>'Entradas de población-año base'!C55</f>
        <v>1.196</v>
      </c>
    </row>
    <row r="3" spans="1:6" ht="15.75" customHeight="1" x14ac:dyDescent="0.25">
      <c r="A3" s="3" t="s">
        <v>6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236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/gPXb3kDZSPGQyftii/HXlGAYExz9U1zBnKRsrLh1vlLFC4GIxHVZLUuKGP4SF8KG6NiaURSpVNyADAXIg7QKA==" saltValue="GOiRmUvk+lbHTkziAn7O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Pi6+PSHh0jPcGjhAcSUiVJdJ5+wgcxT+caftEpHycb+NGuHQ8H4Sqw9T7BcfV7dPy9JbRu7N1Z3ESKcKhZ6jQ==" saltValue="KoqbvgpKgp00EXy9k/HjH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/h69+j3LCDgvExnmmSTcTqn9L/R/JM13Y58Ehqe0yB8Q9DBOHrsDWlPkS9n6kL2J0c0EiTTuO1ZptpdmcQu0A==" saltValue="fMFccE+5tb+KOc1SOrzQ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ofNdCZdjwowo3Ar42KLJ5663555omkBvxKr7cQxbjMkdD1ykEaPIJCCk8G5B9ZUjLkc6V1uV/0Tz4g9b5O0eA==" saltValue="DbP7TTn8vq/qyYRjpeP9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sR2eQGXrFCUmXuu5vaLjplfFlg93/UCYec/MHimvluKp1grHgNZ7QTsG2Rxd4UdUwZE1W6D1n7oT/5009wAoA==" saltValue="0NyJj/7MnZYW2y/l6zxs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u+jbXIX07V1oV8BEYHdJ+Fdh9E1bN8W9s6hMg7dUMxdXNd4l0e2yRWxGLaqIjk+gcfxPWEZX3ugOduWa7mysA==" saltValue="n0dr857Ycm2swHpzmXpB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7Z65R5gahVc+U4fCQmr5Dwi7mcHP43IVMUS36p5icS5CWsdRfh/ipJb1NJGtoTKv11hPfHkX39GHaJ72oc4g1w==" saltValue="d4LcLKFXBYWgoLGcgXBD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Q/uI+ptbV0RRXNuYQTgz9ey/mit4LrUV0D5o9wgHyZxBV3iNMFtSvkUAAf4DPgznzaUjU77VYuxLbQRfpU3Uw==" saltValue="Wwx2EypynlefGDfZy8bAy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5erUb1lZQIrD/xTkLI3b2xEwo6NgZAqXMA+qC8kC25vA5kfaLTMnYoA/w74jus+a2LfPtlxkARRxrSeLhjxSg==" saltValue="Q0CzIDXLZ0TrIMQqKW2t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qBOJS03ZAO1E4LlZoju7ZZThtUJEZDEUgSrcLE6D5wbQv1lhmiVOIlEfqq136GnySaouXjHtXJd3HVNwaX5HQ==" saltValue="NlQ4lLLzhpvqDZAGbfkF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P8Zoj4UI+SgVI3tPkJvubbUUwjpiDp1ixSJ1haWLvR7TUeoEPBJNm1Lf/tJk/n9kpe1yEZpSKk0839iTW5RDw==" saltValue="1na0tYVp0rh5BtC/Qh6J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NNskG0ZfKKM8W4uPAv2tPLtltiR9COgDz2cTPR7dvxIdnRmnyswABdb/i2kOBdTRYgJ+8S4pRNoQc1C0DlWaQ==" saltValue="9E16KvDMZ8WCCKb+SX6T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4Plm2V//QHmJDJWpYE51qQeCzdKrkaAyR+ypvs0YXf66kS3NdjzOnRkcToLayXKKwDdkKBn41QQRtBx4uudNw==" saltValue="5Rf6pJI+0doPigOQ+ssD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tutfG0xlpCpaTFtQzUZuj9B5CWLLTKFVhKw4tji3yJ1X0wyeKMEnf6/m2TvRRiLfDXhpInlhfuq/hbjTxtTJA==" saltValue="SaItyK4WbHXEzsQfSkJh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JN7lZzomotyFec9KaBzdj429wsw8jHyJP9bXIHVQd0rpE0F6xVhEB2r6Nq6PFxtlQSw3ITCUr3P5jf/+PsetQ==" saltValue="vFOMmpmq+rQVX0GuFyNN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03YANC6y52EElaTMxAiJW4ODPmsuq3iBWjUNaU0FH1jtBmTokaOmudGRqSAh5yjt0HOeAtaYTszwxZaCEEZe0Q==" saltValue="wi+kdYES4bG419DtU8QC4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