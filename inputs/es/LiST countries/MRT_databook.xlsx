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8F375E50-107A-4CCC-A39E-3F85A8B59884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I39" i="2" s="1"/>
  <c r="H38" i="2"/>
  <c r="G38" i="2"/>
  <c r="H13" i="2"/>
  <c r="G13" i="2"/>
  <c r="I13" i="2" s="1"/>
  <c r="H12" i="2"/>
  <c r="G12" i="2"/>
  <c r="H11" i="2"/>
  <c r="G11" i="2"/>
  <c r="H10" i="2"/>
  <c r="G10" i="2"/>
  <c r="H9" i="2"/>
  <c r="G9" i="2"/>
  <c r="I9" i="2" s="1"/>
  <c r="H8" i="2"/>
  <c r="G8" i="2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A22" i="2" l="1"/>
  <c r="A26" i="2"/>
  <c r="A36" i="2"/>
  <c r="A31" i="2"/>
  <c r="A34" i="2"/>
  <c r="A40" i="2"/>
  <c r="I2" i="2"/>
  <c r="I6" i="2"/>
  <c r="A19" i="2"/>
  <c r="A35" i="2"/>
  <c r="I3" i="2"/>
  <c r="I7" i="2"/>
  <c r="I11" i="2"/>
  <c r="A23" i="2"/>
  <c r="A37" i="2"/>
  <c r="A24" i="2"/>
  <c r="I38" i="2"/>
  <c r="I4" i="2"/>
  <c r="I8" i="2"/>
  <c r="I12" i="2"/>
  <c r="A25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<sst xmlns="http://schemas.openxmlformats.org/spreadsheetml/2006/main" count="2169" uniqueCount="373">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</sst>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814442</v>
      </c>
    </row>
    <row r="8" spans="1:3" ht="15" customHeight="1" x14ac:dyDescent="0.25">
      <c r="B8" s="5" t="s">
        <v>63</v>
      </c>
      <c r="C8" s="44">
        <v>0.26300000000000001</v>
      </c>
    </row>
    <row r="9" spans="1:3" ht="15" customHeight="1" x14ac:dyDescent="0.25">
      <c r="B9" s="5" t="s">
        <v>62</v>
      </c>
      <c r="C9" s="45">
        <v>0.41</v>
      </c>
    </row>
    <row r="10" spans="1:3" ht="15" customHeight="1" x14ac:dyDescent="0.25">
      <c r="B10" s="5" t="s">
        <v>75</v>
      </c>
      <c r="C10" s="45">
        <v>0.22715460000000001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0.69599999999999995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8.6800000000000002E-2</v>
      </c>
    </row>
    <row r="24" spans="1:3" ht="15" customHeight="1" x14ac:dyDescent="0.25">
      <c r="B24" s="15" t="s">
        <v>65</v>
      </c>
      <c r="C24" s="45">
        <v>0.40960000000000002</v>
      </c>
    </row>
    <row r="25" spans="1:3" ht="15" customHeight="1" x14ac:dyDescent="0.25">
      <c r="B25" s="15" t="s">
        <v>66</v>
      </c>
      <c r="C25" s="45">
        <v>0.3861</v>
      </c>
    </row>
    <row r="26" spans="1:3" ht="15" customHeight="1" x14ac:dyDescent="0.25">
      <c r="B26" s="15" t="s">
        <v>67</v>
      </c>
      <c r="C26" s="45">
        <v>0.11749999999999999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0.19753817858252901</v>
      </c>
    </row>
    <row r="30" spans="1:3" ht="14.25" customHeight="1" x14ac:dyDescent="0.25">
      <c r="B30" s="25" t="s">
        <v>82</v>
      </c>
      <c r="C30" s="97">
        <v>8.0206442932605593E-2</v>
      </c>
    </row>
    <row r="31" spans="1:3" ht="14.25" customHeight="1" x14ac:dyDescent="0.25">
      <c r="B31" s="25" t="s">
        <v>29</v>
      </c>
      <c r="C31" s="97">
        <v>0.11863998378949001</v>
      </c>
    </row>
    <row r="32" spans="1:3" ht="14.25" customHeight="1" x14ac:dyDescent="0.25">
      <c r="B32" s="25" t="s">
        <v>30</v>
      </c>
      <c r="C32" s="97">
        <v>0.60361539469537495</v>
      </c>
    </row>
    <row r="33" spans="1:5" ht="13.25" customHeight="1" x14ac:dyDescent="0.25">
      <c r="B33" s="27" t="s">
        <v>79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22.61336</v>
      </c>
    </row>
    <row r="38" spans="1:5" ht="15" customHeight="1" x14ac:dyDescent="0.25">
      <c r="B38" s="11" t="s">
        <v>54</v>
      </c>
      <c r="C38" s="43">
        <v>32.205010000000001</v>
      </c>
      <c r="D38" s="12"/>
      <c r="E38" s="13"/>
    </row>
    <row r="39" spans="1:5" ht="15" customHeight="1" x14ac:dyDescent="0.25">
      <c r="B39" s="11" t="s">
        <v>80</v>
      </c>
      <c r="C39" s="43">
        <v>40.498460000000001</v>
      </c>
      <c r="D39" s="12"/>
      <c r="E39" s="12"/>
    </row>
    <row r="40" spans="1:5" ht="15" customHeight="1" x14ac:dyDescent="0.25">
      <c r="B40" s="11" t="s">
        <v>55</v>
      </c>
      <c r="C40" s="98">
        <v>4.6399999999999997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16.71077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7.9477000000000003E-3</v>
      </c>
      <c r="D45" s="12"/>
    </row>
    <row r="46" spans="1:5" ht="15.75" customHeight="1" x14ac:dyDescent="0.25">
      <c r="B46" s="11" t="s">
        <v>70</v>
      </c>
      <c r="C46" s="45">
        <v>8.5397000000000001E-2</v>
      </c>
      <c r="D46" s="12"/>
    </row>
    <row r="47" spans="1:5" ht="15.75" customHeight="1" x14ac:dyDescent="0.25">
      <c r="B47" s="11" t="s">
        <v>78</v>
      </c>
      <c r="C47" s="45">
        <v>7.3442499999999994E-2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2.99</v>
      </c>
      <c r="D51" s="12"/>
    </row>
    <row r="52" spans="1:4" ht="15" customHeight="1" x14ac:dyDescent="0.25">
      <c r="B52" s="11" t="s">
        <v>32</v>
      </c>
      <c r="C52" s="98">
        <v>2.99</v>
      </c>
    </row>
    <row r="53" spans="1:4" ht="15.75" customHeight="1" x14ac:dyDescent="0.25">
      <c r="B53" s="11" t="s">
        <v>35</v>
      </c>
      <c r="C53" s="98">
        <v>4.68</v>
      </c>
    </row>
    <row r="54" spans="1:4" ht="15.75" customHeight="1" x14ac:dyDescent="0.25">
      <c r="B54" s="11" t="s">
        <v>33</v>
      </c>
      <c r="C54" s="98">
        <v>5.1219999999999999</v>
      </c>
    </row>
    <row r="55" spans="1:4" ht="15.75" customHeight="1" x14ac:dyDescent="0.25">
      <c r="B55" s="11" t="s">
        <v>34</v>
      </c>
      <c r="C55" s="98">
        <v>2.487333333333333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0.46489900000000001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YNMrneIhzZanPpKWS0OkmzPb0re5JhKA1vr1EY6qLMR3xfkrdtwuiHvwuuG4e60g8qwBEaolq2AAzznO742LPg==" saltValue="X9Y4YIwTbn+lvNHedx43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175914</v>
      </c>
      <c r="C2" s="49">
        <v>280335</v>
      </c>
      <c r="D2" s="49">
        <v>436760.5</v>
      </c>
      <c r="E2" s="49">
        <v>317543</v>
      </c>
      <c r="F2" s="49">
        <v>220515.5</v>
      </c>
      <c r="G2" s="17">
        <f t="shared" ref="G2:G13" si="0">C2+D2+E2+F2</f>
        <v>1255154</v>
      </c>
      <c r="H2" s="17">
        <f t="shared" ref="H2:H13" si="1">(B2 + stillbirth*B2/(1000-stillbirth))/(1-abortion)</f>
        <v>203299.56499907226</v>
      </c>
      <c r="I2" s="17">
        <f t="shared" ref="I2:I13" si="2">G2-H2</f>
        <v>1051854.4350009277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178900</v>
      </c>
      <c r="C3" s="50">
        <v>289067.5</v>
      </c>
      <c r="D3" s="50">
        <v>449861.99999999994</v>
      </c>
      <c r="E3" s="50">
        <v>327554</v>
      </c>
      <c r="F3" s="50">
        <v>228278.5</v>
      </c>
      <c r="G3" s="17">
        <f t="shared" si="0"/>
        <v>1294762</v>
      </c>
      <c r="H3" s="17">
        <f t="shared" si="1"/>
        <v>206750.41314695837</v>
      </c>
      <c r="I3" s="17">
        <f t="shared" si="2"/>
        <v>1088011.5868530415</v>
      </c>
    </row>
    <row r="4" spans="1:9" ht="15.75" customHeight="1" x14ac:dyDescent="0.25">
      <c r="A4" s="5">
        <f t="shared" si="3"/>
        <v>2026</v>
      </c>
      <c r="B4" s="49">
        <v>181311</v>
      </c>
      <c r="C4" s="50">
        <v>297839.5</v>
      </c>
      <c r="D4" s="50">
        <v>463305.50000000006</v>
      </c>
      <c r="E4" s="50">
        <v>337555</v>
      </c>
      <c r="F4" s="50">
        <v>236262</v>
      </c>
      <c r="G4" s="17">
        <f t="shared" si="0"/>
        <v>1334962</v>
      </c>
      <c r="H4" s="17">
        <f t="shared" si="1"/>
        <v>209536.74766958167</v>
      </c>
      <c r="I4" s="17">
        <f t="shared" si="2"/>
        <v>1125425.2523304182</v>
      </c>
    </row>
    <row r="5" spans="1:9" ht="15.75" customHeight="1" x14ac:dyDescent="0.25">
      <c r="A5" s="5">
        <f t="shared" si="3"/>
        <v>2027</v>
      </c>
      <c r="B5" s="49">
        <v>184292</v>
      </c>
      <c r="C5" s="50">
        <v>306678.5</v>
      </c>
      <c r="D5" s="50">
        <v>477264</v>
      </c>
      <c r="E5" s="50">
        <v>347562</v>
      </c>
      <c r="F5" s="50">
        <v>244449</v>
      </c>
      <c r="G5" s="17">
        <f t="shared" si="0"/>
        <v>1375953.5</v>
      </c>
      <c r="H5" s="17">
        <f t="shared" si="1"/>
        <v>212981.81743811764</v>
      </c>
      <c r="I5" s="17">
        <f t="shared" si="2"/>
        <v>1162971.6825618823</v>
      </c>
    </row>
    <row r="6" spans="1:9" ht="15.75" customHeight="1" x14ac:dyDescent="0.25">
      <c r="A6" s="5">
        <f t="shared" si="3"/>
        <v>2028</v>
      </c>
      <c r="B6" s="49">
        <v>187121</v>
      </c>
      <c r="C6" s="50">
        <v>315067.5</v>
      </c>
      <c r="D6" s="50">
        <v>491804.5</v>
      </c>
      <c r="E6" s="50">
        <v>357608</v>
      </c>
      <c r="F6" s="50">
        <v>252819.5</v>
      </c>
      <c r="G6" s="17">
        <f t="shared" si="0"/>
        <v>1417299.5</v>
      </c>
      <c r="H6" s="17">
        <f t="shared" si="1"/>
        <v>216251.22447441024</v>
      </c>
      <c r="I6" s="17">
        <f t="shared" si="2"/>
        <v>1201048.2755255897</v>
      </c>
    </row>
    <row r="7" spans="1:9" ht="15.75" customHeight="1" x14ac:dyDescent="0.25">
      <c r="A7" s="5">
        <f t="shared" si="3"/>
        <v>2029</v>
      </c>
      <c r="B7" s="49">
        <v>189472</v>
      </c>
      <c r="C7" s="50">
        <v>322828.5</v>
      </c>
      <c r="D7" s="50">
        <v>507018</v>
      </c>
      <c r="E7" s="50">
        <v>367798.5</v>
      </c>
      <c r="F7" s="50">
        <v>261385</v>
      </c>
      <c r="G7" s="17">
        <f t="shared" si="0"/>
        <v>1459030</v>
      </c>
      <c r="H7" s="17">
        <f t="shared" si="1"/>
        <v>218968.21844483225</v>
      </c>
      <c r="I7" s="17">
        <f t="shared" si="2"/>
        <v>1240061.7815551679</v>
      </c>
    </row>
    <row r="8" spans="1:9" ht="15.75" customHeight="1" x14ac:dyDescent="0.25">
      <c r="A8" s="5">
        <f t="shared" si="3"/>
        <v>2030</v>
      </c>
      <c r="B8" s="49">
        <v>192444</v>
      </c>
      <c r="C8" s="50">
        <v>330324</v>
      </c>
      <c r="D8" s="50">
        <v>522818.99999999994</v>
      </c>
      <c r="E8" s="50">
        <v>378206.5</v>
      </c>
      <c r="F8" s="50">
        <v>270121</v>
      </c>
      <c r="G8" s="17">
        <f t="shared" si="0"/>
        <v>1501470.5</v>
      </c>
      <c r="H8" s="17">
        <f t="shared" si="1"/>
        <v>222402.887130538</v>
      </c>
      <c r="I8" s="17">
        <f t="shared" si="2"/>
        <v>1279067.612869462</v>
      </c>
    </row>
    <row r="9" spans="1:9" ht="15.75" customHeight="1" x14ac:dyDescent="0.25">
      <c r="A9" s="5">
        <f t="shared" si="3"/>
        <v>2031</v>
      </c>
      <c r="B9" s="49">
        <v>195192</v>
      </c>
      <c r="C9" s="50">
        <v>337534.5</v>
      </c>
      <c r="D9" s="50">
        <v>539061.5</v>
      </c>
      <c r="E9" s="50">
        <v>388883.5</v>
      </c>
      <c r="F9" s="50">
        <v>278990</v>
      </c>
      <c r="G9" s="17">
        <f t="shared" si="0"/>
        <v>1544469.5</v>
      </c>
      <c r="H9" s="17">
        <f t="shared" si="1"/>
        <v>225578.6844213588</v>
      </c>
      <c r="I9" s="17">
        <f t="shared" si="2"/>
        <v>1318890.8155786411</v>
      </c>
    </row>
    <row r="10" spans="1:9" ht="15.75" customHeight="1" x14ac:dyDescent="0.25">
      <c r="A10" s="5">
        <f t="shared" si="3"/>
        <v>2032</v>
      </c>
      <c r="B10" s="49">
        <v>197382</v>
      </c>
      <c r="C10" s="50">
        <v>344457</v>
      </c>
      <c r="D10" s="50">
        <v>555703.5</v>
      </c>
      <c r="E10" s="50">
        <v>399899.5</v>
      </c>
      <c r="F10" s="50">
        <v>288002.5</v>
      </c>
      <c r="G10" s="17">
        <f t="shared" si="0"/>
        <v>1588062.5</v>
      </c>
      <c r="H10" s="17">
        <f t="shared" si="1"/>
        <v>228109.61457670727</v>
      </c>
      <c r="I10" s="17">
        <f t="shared" si="2"/>
        <v>1359952.8854232926</v>
      </c>
    </row>
    <row r="11" spans="1:9" ht="15.75" customHeight="1" x14ac:dyDescent="0.25">
      <c r="A11" s="5">
        <f t="shared" si="3"/>
        <v>2033</v>
      </c>
      <c r="B11" s="49">
        <v>198758</v>
      </c>
      <c r="C11" s="50">
        <v>351603.5</v>
      </c>
      <c r="D11" s="50">
        <v>572252</v>
      </c>
      <c r="E11" s="50">
        <v>411354.5</v>
      </c>
      <c r="F11" s="50">
        <v>297233.5</v>
      </c>
      <c r="G11" s="17">
        <f t="shared" si="0"/>
        <v>1632443.5</v>
      </c>
      <c r="H11" s="17">
        <f t="shared" si="1"/>
        <v>229699.82457385774</v>
      </c>
      <c r="I11" s="17">
        <f t="shared" si="2"/>
        <v>1402743.6754261423</v>
      </c>
    </row>
    <row r="12" spans="1:9" ht="15.75" customHeight="1" x14ac:dyDescent="0.25">
      <c r="A12" s="5">
        <f t="shared" si="3"/>
        <v>2034</v>
      </c>
      <c r="B12" s="49">
        <v>201535</v>
      </c>
      <c r="C12" s="50">
        <v>359070.5</v>
      </c>
      <c r="D12" s="50">
        <v>588339</v>
      </c>
      <c r="E12" s="50">
        <v>423267</v>
      </c>
      <c r="F12" s="50">
        <v>306669.99999999994</v>
      </c>
      <c r="G12" s="17">
        <f t="shared" si="0"/>
        <v>1677346.5</v>
      </c>
      <c r="H12" s="17">
        <f t="shared" si="1"/>
        <v>232909.13646490916</v>
      </c>
      <c r="I12" s="17">
        <f t="shared" si="2"/>
        <v>1444437.3635350908</v>
      </c>
    </row>
    <row r="13" spans="1:9" ht="15.75" customHeight="1" x14ac:dyDescent="0.25">
      <c r="A13" s="5">
        <f t="shared" si="3"/>
        <v>2035</v>
      </c>
      <c r="B13" s="49">
        <v>203552</v>
      </c>
      <c r="C13" s="50">
        <v>366398</v>
      </c>
      <c r="D13" s="50">
        <v>604203</v>
      </c>
      <c r="E13" s="50">
        <v>435663.5</v>
      </c>
      <c r="F13" s="50">
        <v>316246</v>
      </c>
      <c r="G13" s="17">
        <f t="shared" si="0"/>
        <v>1722510.5</v>
      </c>
      <c r="H13" s="17">
        <f t="shared" si="1"/>
        <v>235240.13469474379</v>
      </c>
      <c r="I13" s="17">
        <f t="shared" si="2"/>
        <v>1487270.3653052561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EWD100e9qA8lEKIOSkaKKTMbkIxVxY+brB5O8+wQglGygOTtn/nWlTqowKn+KFPjKXZieiVaFK6/9tlQ/3ojkg==" saltValue="+UOUlqvMS8i20D4e7nW/Ag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1.7122701712270191E-2</v>
      </c>
    </row>
    <row r="4" spans="1:8" ht="15.75" customHeight="1" x14ac:dyDescent="0.25">
      <c r="B4" s="19" t="s">
        <v>116</v>
      </c>
      <c r="C4" s="99">
        <v>6.227920622792063E-2</v>
      </c>
    </row>
    <row r="5" spans="1:8" ht="15.75" customHeight="1" x14ac:dyDescent="0.25">
      <c r="B5" s="19" t="s">
        <v>114</v>
      </c>
      <c r="C5" s="99">
        <v>8.6707408670740976E-2</v>
      </c>
    </row>
    <row r="6" spans="1:8" ht="15.75" customHeight="1" x14ac:dyDescent="0.25">
      <c r="B6" s="19" t="s">
        <v>110</v>
      </c>
      <c r="C6" s="99">
        <v>0.24658692465869211</v>
      </c>
    </row>
    <row r="7" spans="1:8" ht="15.75" customHeight="1" x14ac:dyDescent="0.25">
      <c r="B7" s="19" t="s">
        <v>115</v>
      </c>
      <c r="C7" s="99">
        <v>0.412030341203034</v>
      </c>
    </row>
    <row r="8" spans="1:8" ht="15.75" customHeight="1" x14ac:dyDescent="0.25">
      <c r="B8" s="19" t="s">
        <v>117</v>
      </c>
      <c r="C8" s="99">
        <v>3.2824003282400402E-3</v>
      </c>
    </row>
    <row r="9" spans="1:8" ht="15.75" customHeight="1" x14ac:dyDescent="0.25">
      <c r="B9" s="19" t="s">
        <v>111</v>
      </c>
      <c r="C9" s="99">
        <v>6.1357306135730677E-2</v>
      </c>
    </row>
    <row r="10" spans="1:8" ht="15.75" customHeight="1" x14ac:dyDescent="0.25">
      <c r="B10" s="19" t="s">
        <v>113</v>
      </c>
      <c r="C10" s="99">
        <v>0.1106337110633713</v>
      </c>
    </row>
    <row r="11" spans="1:8" ht="15.75" customHeight="1" x14ac:dyDescent="0.25">
      <c r="B11" s="27" t="s">
        <v>79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0.20674309031345461</v>
      </c>
      <c r="D14" s="55">
        <v>0.20674309031345461</v>
      </c>
      <c r="E14" s="55">
        <v>0.20674309031345461</v>
      </c>
      <c r="F14" s="55">
        <v>0.20674309031345461</v>
      </c>
    </row>
    <row r="15" spans="1:8" ht="15.75" customHeight="1" x14ac:dyDescent="0.25">
      <c r="B15" s="19" t="s">
        <v>121</v>
      </c>
      <c r="C15" s="99">
        <v>0.28678735683249079</v>
      </c>
      <c r="D15" s="99">
        <v>0.28678735683249079</v>
      </c>
      <c r="E15" s="99">
        <v>0.28678735683249079</v>
      </c>
      <c r="F15" s="99">
        <v>0.28678735683249079</v>
      </c>
    </row>
    <row r="16" spans="1:8" ht="15.75" customHeight="1" x14ac:dyDescent="0.25">
      <c r="B16" s="19" t="s">
        <v>2</v>
      </c>
      <c r="C16" s="99">
        <v>2.7265565756003932E-2</v>
      </c>
      <c r="D16" s="99">
        <v>2.7265565756003932E-2</v>
      </c>
      <c r="E16" s="99">
        <v>2.7265565756003932E-2</v>
      </c>
      <c r="F16" s="99">
        <v>2.7265565756003932E-2</v>
      </c>
    </row>
    <row r="17" spans="1:8" ht="15.75" customHeight="1" x14ac:dyDescent="0.25">
      <c r="B17" s="19" t="s">
        <v>109</v>
      </c>
      <c r="C17" s="99">
        <v>1.469761866134979E-3</v>
      </c>
      <c r="D17" s="99">
        <v>1.469761866134979E-3</v>
      </c>
      <c r="E17" s="99">
        <v>1.469761866134979E-3</v>
      </c>
      <c r="F17" s="99">
        <v>1.469761866134979E-3</v>
      </c>
    </row>
    <row r="18" spans="1:8" ht="15.75" customHeight="1" x14ac:dyDescent="0.25">
      <c r="B18" s="19" t="s">
        <v>3</v>
      </c>
      <c r="C18" s="99">
        <v>0.1181849068380063</v>
      </c>
      <c r="D18" s="99">
        <v>0.1181849068380063</v>
      </c>
      <c r="E18" s="99">
        <v>0.1181849068380063</v>
      </c>
      <c r="F18" s="99">
        <v>0.1181849068380063</v>
      </c>
    </row>
    <row r="19" spans="1:8" ht="15.75" customHeight="1" x14ac:dyDescent="0.25">
      <c r="B19" s="19" t="s">
        <v>120</v>
      </c>
      <c r="C19" s="99">
        <v>2.268923797004303E-2</v>
      </c>
      <c r="D19" s="99">
        <v>2.268923797004303E-2</v>
      </c>
      <c r="E19" s="99">
        <v>2.268923797004303E-2</v>
      </c>
      <c r="F19" s="99">
        <v>2.268923797004303E-2</v>
      </c>
    </row>
    <row r="20" spans="1:8" ht="15.75" customHeight="1" x14ac:dyDescent="0.25">
      <c r="B20" s="19" t="s">
        <v>98</v>
      </c>
      <c r="C20" s="99">
        <v>2.3678080438597891E-2</v>
      </c>
      <c r="D20" s="99">
        <v>2.3678080438597891E-2</v>
      </c>
      <c r="E20" s="99">
        <v>2.3678080438597891E-2</v>
      </c>
      <c r="F20" s="99">
        <v>2.3678080438597891E-2</v>
      </c>
    </row>
    <row r="21" spans="1:8" ht="15.75" customHeight="1" x14ac:dyDescent="0.25">
      <c r="B21" s="19" t="s">
        <v>107</v>
      </c>
      <c r="C21" s="99">
        <v>0.107555742570647</v>
      </c>
      <c r="D21" s="99">
        <v>0.107555742570647</v>
      </c>
      <c r="E21" s="99">
        <v>0.107555742570647</v>
      </c>
      <c r="F21" s="99">
        <v>0.107555742570647</v>
      </c>
    </row>
    <row r="22" spans="1:8" ht="15.75" customHeight="1" x14ac:dyDescent="0.25">
      <c r="B22" s="19" t="s">
        <v>118</v>
      </c>
      <c r="C22" s="99">
        <v>0.20562625741462129</v>
      </c>
      <c r="D22" s="99">
        <v>0.20562625741462129</v>
      </c>
      <c r="E22" s="99">
        <v>0.20562625741462129</v>
      </c>
      <c r="F22" s="99">
        <v>0.20562625741462129</v>
      </c>
    </row>
    <row r="23" spans="1:8" ht="15.75" customHeight="1" x14ac:dyDescent="0.25">
      <c r="B23" s="27" t="s">
        <v>79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8.8735101999999996E-2</v>
      </c>
    </row>
    <row r="27" spans="1:8" ht="15.75" customHeight="1" x14ac:dyDescent="0.25">
      <c r="B27" s="19" t="s">
        <v>108</v>
      </c>
      <c r="C27" s="99">
        <v>8.4480660000000006E-3</v>
      </c>
    </row>
    <row r="28" spans="1:8" ht="15.75" customHeight="1" x14ac:dyDescent="0.25">
      <c r="B28" s="19" t="s">
        <v>122</v>
      </c>
      <c r="C28" s="99">
        <v>0.157003631</v>
      </c>
    </row>
    <row r="29" spans="1:8" ht="15.75" customHeight="1" x14ac:dyDescent="0.25">
      <c r="B29" s="19" t="s">
        <v>105</v>
      </c>
      <c r="C29" s="99">
        <v>0.16959068199999999</v>
      </c>
    </row>
    <row r="30" spans="1:8" ht="15.75" customHeight="1" x14ac:dyDescent="0.25">
      <c r="B30" s="19" t="s">
        <v>4</v>
      </c>
      <c r="C30" s="99">
        <v>0.105430197</v>
      </c>
    </row>
    <row r="31" spans="1:8" ht="15.75" customHeight="1" x14ac:dyDescent="0.25">
      <c r="B31" s="19" t="s">
        <v>99</v>
      </c>
      <c r="C31" s="99">
        <v>0.109065357</v>
      </c>
    </row>
    <row r="32" spans="1:8" ht="15.75" customHeight="1" x14ac:dyDescent="0.25">
      <c r="B32" s="19" t="s">
        <v>104</v>
      </c>
      <c r="C32" s="99">
        <v>1.8742332E-2</v>
      </c>
    </row>
    <row r="33" spans="2:3" ht="15.75" customHeight="1" x14ac:dyDescent="0.25">
      <c r="B33" s="19" t="s">
        <v>119</v>
      </c>
      <c r="C33" s="99">
        <v>8.4799848999999997E-2</v>
      </c>
    </row>
    <row r="34" spans="2:3" ht="15.75" customHeight="1" x14ac:dyDescent="0.25">
      <c r="B34" s="19" t="s">
        <v>106</v>
      </c>
      <c r="C34" s="99">
        <v>0.25818478299999997</v>
      </c>
    </row>
    <row r="35" spans="2:3" ht="15.75" customHeight="1" x14ac:dyDescent="0.25">
      <c r="B35" s="27" t="s">
        <v>79</v>
      </c>
      <c r="C35" s="48">
        <f>SUM(C26:C34)</f>
        <v>0.99999999899999992</v>
      </c>
    </row>
  </sheetData>
  <sheetProtection algorithmName="SHA-512" hashValue="hmVIMqQ0XbSTsQaPAvuzkrJMuOHL097AjHDddLTgO3vZteTQkFm2fklbzFH/FfGEY3Hh2+6VcBkfrywSEmozCg==" saltValue="A3adNmWmibPZWF71/pGiA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0.54280678597226562</v>
      </c>
      <c r="D2" s="52">
        <f>IFERROR(1-_xlfn.NORM.DIST(_xlfn.NORM.INV(SUM(D4:D5), 0, 1) + 1, 0, 1, TRUE), "")</f>
        <v>0.54280678597226562</v>
      </c>
      <c r="E2" s="52">
        <f>IFERROR(1-_xlfn.NORM.DIST(_xlfn.NORM.INV(SUM(E4:E5), 0, 1) + 1, 0, 1, TRUE), "")</f>
        <v>0.46358896576958464</v>
      </c>
      <c r="F2" s="52">
        <f>IFERROR(1-_xlfn.NORM.DIST(_xlfn.NORM.INV(SUM(F4:F5), 0, 1) + 1, 0, 1, TRUE), "")</f>
        <v>0.3486275588326081</v>
      </c>
      <c r="G2" s="52">
        <f>IFERROR(1-_xlfn.NORM.DIST(_xlfn.NORM.INV(SUM(G4:G5), 0, 1) + 1, 0, 1, TRUE), "")</f>
        <v>0.32539415545662653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0.32315591402773436</v>
      </c>
      <c r="D3" s="52">
        <f>IFERROR(_xlfn.NORM.DIST(_xlfn.NORM.INV(SUM(D4:D5), 0, 1) + 1, 0, 1, TRUE) - SUM(D4:D5), "")</f>
        <v>0.32315591402773436</v>
      </c>
      <c r="E3" s="52">
        <f>IFERROR(_xlfn.NORM.DIST(_xlfn.NORM.INV(SUM(E4:E5), 0, 1) + 1, 0, 1, TRUE) - SUM(E4:E5), "")</f>
        <v>0.35463143423041538</v>
      </c>
      <c r="F3" s="52">
        <f>IFERROR(_xlfn.NORM.DIST(_xlfn.NORM.INV(SUM(F4:F5), 0, 1) + 1, 0, 1, TRUE) - SUM(F4:F5), "")</f>
        <v>0.38076324116739191</v>
      </c>
      <c r="G3" s="52">
        <f>IFERROR(_xlfn.NORM.DIST(_xlfn.NORM.INV(SUM(G4:G5), 0, 1) + 1, 0, 1, TRUE) - SUM(G4:G5), "")</f>
        <v>0.38253074454337344</v>
      </c>
    </row>
    <row r="4" spans="1:15" ht="15.75" customHeight="1" x14ac:dyDescent="0.25">
      <c r="B4" s="5" t="s">
        <v>129</v>
      </c>
      <c r="C4" s="45">
        <v>0.10493</v>
      </c>
      <c r="D4" s="53">
        <v>0.10493</v>
      </c>
      <c r="E4" s="53">
        <v>0.14261699999999999</v>
      </c>
      <c r="F4" s="53">
        <v>0.1829336</v>
      </c>
      <c r="G4" s="53">
        <v>0.18611520000000001</v>
      </c>
    </row>
    <row r="5" spans="1:15" ht="15.75" customHeight="1" x14ac:dyDescent="0.25">
      <c r="B5" s="5" t="s">
        <v>125</v>
      </c>
      <c r="C5" s="45">
        <v>2.9107299999999999E-2</v>
      </c>
      <c r="D5" s="53">
        <v>2.9107299999999999E-2</v>
      </c>
      <c r="E5" s="53">
        <v>3.9162599999999999E-2</v>
      </c>
      <c r="F5" s="53">
        <v>8.7675599999999992E-2</v>
      </c>
      <c r="G5" s="53">
        <v>0.1059599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0.71746899892817184</v>
      </c>
      <c r="D8" s="52">
        <f>IFERROR(1-_xlfn.NORM.DIST(_xlfn.NORM.INV(SUM(D10:D11), 0, 1) + 1, 0, 1, TRUE), "")</f>
        <v>0.71746899892817184</v>
      </c>
      <c r="E8" s="52">
        <f>IFERROR(1-_xlfn.NORM.DIST(_xlfn.NORM.INV(SUM(E10:E11), 0, 1) + 1, 0, 1, TRUE), "")</f>
        <v>0.69191970475586373</v>
      </c>
      <c r="F8" s="52">
        <f>IFERROR(1-_xlfn.NORM.DIST(_xlfn.NORM.INV(SUM(F10:F11), 0, 1) + 1, 0, 1, TRUE), "")</f>
        <v>0.64241419491169161</v>
      </c>
      <c r="G8" s="52">
        <f>IFERROR(1-_xlfn.NORM.DIST(_xlfn.NORM.INV(SUM(G10:G11), 0, 1) + 1, 0, 1, TRUE), "")</f>
        <v>0.71501995293110177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0.22494190107182815</v>
      </c>
      <c r="D9" s="52">
        <f>IFERROR(_xlfn.NORM.DIST(_xlfn.NORM.INV(SUM(D10:D11), 0, 1) + 1, 0, 1, TRUE) - SUM(D10:D11), "")</f>
        <v>0.22494190107182815</v>
      </c>
      <c r="E9" s="52">
        <f>IFERROR(_xlfn.NORM.DIST(_xlfn.NORM.INV(SUM(E10:E11), 0, 1) + 1, 0, 1, TRUE) - SUM(E10:E11), "")</f>
        <v>0.24144119524413626</v>
      </c>
      <c r="F9" s="52">
        <f>IFERROR(_xlfn.NORM.DIST(_xlfn.NORM.INV(SUM(F10:F11), 0, 1) + 1, 0, 1, TRUE) - SUM(F10:F11), "")</f>
        <v>0.27144660508830842</v>
      </c>
      <c r="G9" s="52">
        <f>IFERROR(_xlfn.NORM.DIST(_xlfn.NORM.INV(SUM(G10:G11), 0, 1) + 1, 0, 1, TRUE) - SUM(G10:G11), "")</f>
        <v>0.22655234706889824</v>
      </c>
    </row>
    <row r="10" spans="1:15" ht="15.75" customHeight="1" x14ac:dyDescent="0.25">
      <c r="B10" s="5" t="s">
        <v>126</v>
      </c>
      <c r="C10" s="45">
        <v>4.6379700000000003E-2</v>
      </c>
      <c r="D10" s="53">
        <v>4.6379700000000003E-2</v>
      </c>
      <c r="E10" s="53">
        <v>5.8005599999999997E-2</v>
      </c>
      <c r="F10" s="53">
        <v>7.1402499999999994E-2</v>
      </c>
      <c r="G10" s="53">
        <v>5.0026300000000003E-2</v>
      </c>
    </row>
    <row r="11" spans="1:15" ht="15.75" customHeight="1" x14ac:dyDescent="0.25">
      <c r="B11" s="5" t="s">
        <v>138</v>
      </c>
      <c r="C11" s="45">
        <v>1.12094E-2</v>
      </c>
      <c r="D11" s="53">
        <v>1.12094E-2</v>
      </c>
      <c r="E11" s="53">
        <v>8.6334999999999988E-3</v>
      </c>
      <c r="F11" s="53">
        <v>1.47367E-2</v>
      </c>
      <c r="G11" s="53">
        <v>8.4013999999999998E-3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0.70639477425000008</v>
      </c>
      <c r="D14" s="54">
        <v>0.68218456074</v>
      </c>
      <c r="E14" s="54">
        <v>0.68218456074</v>
      </c>
      <c r="F14" s="54">
        <v>0.70673003779300003</v>
      </c>
      <c r="G14" s="54">
        <v>0.70673003779300003</v>
      </c>
      <c r="H14" s="45">
        <v>0.44600000000000001</v>
      </c>
      <c r="I14" s="55">
        <v>0.44600000000000001</v>
      </c>
      <c r="J14" s="55">
        <v>0.44600000000000001</v>
      </c>
      <c r="K14" s="55">
        <v>0.44600000000000001</v>
      </c>
      <c r="L14" s="45">
        <v>0.36499999999999999</v>
      </c>
      <c r="M14" s="55">
        <v>0.36499999999999999</v>
      </c>
      <c r="N14" s="55">
        <v>0.36499999999999999</v>
      </c>
      <c r="O14" s="55">
        <v>0.36499999999999999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0.32840222415405079</v>
      </c>
      <c r="D15" s="52">
        <f t="shared" si="0"/>
        <v>0.31714692010346529</v>
      </c>
      <c r="E15" s="52">
        <f t="shared" si="0"/>
        <v>0.31714692010346529</v>
      </c>
      <c r="F15" s="52">
        <f t="shared" si="0"/>
        <v>0.3285580878399279</v>
      </c>
      <c r="G15" s="52">
        <f t="shared" si="0"/>
        <v>0.3285580878399279</v>
      </c>
      <c r="H15" s="52">
        <f t="shared" si="0"/>
        <v>0.207344954</v>
      </c>
      <c r="I15" s="52">
        <f t="shared" si="0"/>
        <v>0.207344954</v>
      </c>
      <c r="J15" s="52">
        <f t="shared" si="0"/>
        <v>0.207344954</v>
      </c>
      <c r="K15" s="52">
        <f t="shared" si="0"/>
        <v>0.207344954</v>
      </c>
      <c r="L15" s="52">
        <f t="shared" si="0"/>
        <v>0.16968813499999999</v>
      </c>
      <c r="M15" s="52">
        <f t="shared" si="0"/>
        <v>0.16968813499999999</v>
      </c>
      <c r="N15" s="52">
        <f t="shared" si="0"/>
        <v>0.16968813499999999</v>
      </c>
      <c r="O15" s="52">
        <f t="shared" si="0"/>
        <v>0.16968813499999999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ffqQxfOOlK/GA3t5FoeglXXiQi5ORFRhOVwaZ8MsxeH1rvv33pZ/2rJxvMZdHpQ/NRH4H2VmqzOVru09rw3/WA==" saltValue="MxGRUlMPrMtl0c53V4sRu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0.59146719999999997</v>
      </c>
      <c r="D2" s="53">
        <v>0.36570609999999998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0.1192303</v>
      </c>
      <c r="D3" s="53">
        <v>0.21118480000000001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0.2151103</v>
      </c>
      <c r="D4" s="53">
        <v>0.35824779999999989</v>
      </c>
      <c r="E4" s="53">
        <v>0.92807269999999997</v>
      </c>
      <c r="F4" s="53">
        <v>0.67130619999999996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7.4192200000000041E-2</v>
      </c>
      <c r="D5" s="52">
        <f t="shared" si="0"/>
        <v>6.4861300000000122E-2</v>
      </c>
      <c r="E5" s="52">
        <f>1-SUM(E2:E4)</f>
        <v>7.1927300000000027E-2</v>
      </c>
      <c r="F5" s="52">
        <f>1-SUM(F2:F4)</f>
        <v>0.32869380000000004</v>
      </c>
      <c r="G5" s="52">
        <f>1-SUM(G2:G4)</f>
        <v>1</v>
      </c>
    </row>
  </sheetData>
  <sheetProtection algorithmName="SHA-512" hashValue="c3oAbX5GfUx6hX3XFrvDeMO6tmKwLqkeC5I/O40+vIRGCgHYL8mwiBY5dBJCzY0TxOUCDquzH0zj34aW1uHcIw==" saltValue="ne98eKgn3Zp0xFRaNuGEV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uq5Hddee8t3/xxG/q5Jlcx0OdSFo/CQrk2W5x+xND7ZcG3D92TE8YvCO4Tapp4clZBpdfG0BtQAaJH05BJkrtQ==" saltValue="gGR/JYhbQ5NOaFCvL6ZFJA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2065.1555157010598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0.38267000000000001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0.27101999999999998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1.7350021408097435E-2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92693.010259999995</v>
      </c>
      <c r="C22" s="107">
        <v>92233.628660000002</v>
      </c>
      <c r="D22" s="107">
        <v>92014.647249999995</v>
      </c>
      <c r="E22" s="107">
        <v>91645.697560000001</v>
      </c>
      <c r="F22" s="107">
        <v>91101.702470000004</v>
      </c>
      <c r="G22" s="107">
        <v>90454.406130000003</v>
      </c>
      <c r="H22" s="107">
        <v>89659.362450000001</v>
      </c>
      <c r="I22" s="107">
        <v>88662.419909999997</v>
      </c>
      <c r="J22" s="107">
        <v>87262.19038</v>
      </c>
      <c r="K22" s="107">
        <v>85330.387520000004</v>
      </c>
      <c r="L22" s="107">
        <v>82447.313829999999</v>
      </c>
      <c r="M22" s="107">
        <v>78289.754029999996</v>
      </c>
      <c r="N22" s="107">
        <v>71929.955610000005</v>
      </c>
      <c r="O22" s="107">
        <v>63292.727919999998</v>
      </c>
    </row>
  </sheetData>
  <sheetProtection algorithmName="SHA-512" hashValue="4h9Fb2X69rWGjXoyvbVeEuwxygQuj1KiPnsVse4smkVottnIi6S24Or0ahXC6DevlEzP65WlvrUs1qBHNPZBVg==" saltValue="0BkRbRQqOyMfhhRRTlT2m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XoDSDrNl5NKQoe79KV+xhJH1KWSzk6QEc14wppYpR5BJucg7FifMHkFN5fg3Fgb0H9Lkxwmw76eysRH8tm4gxg==" saltValue="u6MWXeYhbW/9n+hLU2x1u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g9yXPj/3ZSUwBWhognmppiwBZCmjW0MVQY5RGWR7epifmZq7jqbOjxfKMF6DJP7irpPzspYzUwwKgStHDCcoOA==" saltValue="iaQUbcA6aJ+Yyc4WIp7F6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18.025735670419653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18.025735670419653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5.2668836507008754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0.56149571024496792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0.19283527130965261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1.812651550310735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0.5</v>
      </c>
      <c r="C9" s="96">
        <v>0.95</v>
      </c>
      <c r="D9" s="56">
        <v>0.23003335421429147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0.28576590000000002</v>
      </c>
      <c r="C10" s="96">
        <v>0.95</v>
      </c>
      <c r="D10" s="56">
        <v>13.555007547773389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13.555007547773389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13.555007547773389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13.555007547773389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0.28576590000000002</v>
      </c>
      <c r="C14" s="96">
        <v>0.95</v>
      </c>
      <c r="D14" s="56">
        <v>13.555007547773389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13.555007547773389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0.22889889999999999</v>
      </c>
      <c r="C16" s="96">
        <v>0.95</v>
      </c>
      <c r="D16" s="56">
        <v>2.8407188685968858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0.35500000000000004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0.17599999999999999</v>
      </c>
      <c r="C18" s="96">
        <v>0.95</v>
      </c>
      <c r="D18" s="56">
        <v>5.2668836507008754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0.36570609999999998</v>
      </c>
      <c r="C19" s="96">
        <v>0.95</v>
      </c>
      <c r="D19" s="56">
        <v>7.2861200073283072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2.1939130069251829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5.2668836507008754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0.25781209999999999</v>
      </c>
      <c r="C23" s="96">
        <v>0.95</v>
      </c>
      <c r="D23" s="56">
        <v>4.4706017011529111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0.25720438775447002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0.12</v>
      </c>
      <c r="C26" s="96">
        <v>0.95</v>
      </c>
      <c r="D26" s="56">
        <v>3.8681355531509101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13.457928721749347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0.19483020000000001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0.1996319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44.783843336315748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0.22370000000000001</v>
      </c>
      <c r="C31" s="96">
        <v>0.95</v>
      </c>
      <c r="D31" s="56">
        <v>126.62714253872848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</v>
      </c>
      <c r="C32" s="96">
        <v>0.95</v>
      </c>
      <c r="D32" s="56">
        <v>0.46210405728622134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0.41752408704084698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8.6300799999999997E-2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1.0247600000000001E-2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0.61272379999999993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7.0999999999999994E-2</v>
      </c>
      <c r="C38" s="96">
        <v>0.95</v>
      </c>
      <c r="D38" s="56">
        <v>4.0706758054007581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3.4125000000000001</v>
      </c>
      <c r="E39" s="56" t="s">
        <v>212</v>
      </c>
      <c r="F39" s="96">
        <v>1</v>
      </c>
      <c r="G39" s="96">
        <v>1</v>
      </c>
    </row>
  </sheetData>
  <sheetProtection algorithmName="SHA-512" hashValue="ftcjXrkidIVjyg8FBabnmdr1y7JV0lYl40FD2q1t7JWwuNaju9nRS1TO0SBJp0OFv+MjwHSKwX2bR1h9lgf79Q==" saltValue="jsvU/tzlL2h46xiz24zOR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PaowYarhQY0J309f3wMjR8BbXDVL1V2ZUycsD30Sb+Ux0XDveo/HfpIOacANqEng6m2tIAgDaS92NBBqID/+jQ==" saltValue="hQphcaa6S2jMJUMqyKiht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F8MYkVHyKyLavBnE/SV4hUR5tSmqndw40DE1wpdDwI9V9m98Utk/6wNRC8F78HkRLzPTeJIih0aRcF6uB1nSUg==" saltValue="d+vrV0CoqR+k9QDbTlcD7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2.99</v>
      </c>
      <c r="C2" s="21">
        <f>'Entradas de población-año base'!C52</f>
        <v>2.99</v>
      </c>
      <c r="D2" s="21">
        <f>'Entradas de población-año base'!C53</f>
        <v>4.68</v>
      </c>
      <c r="E2" s="21">
        <f>'Entradas de población-año base'!C54</f>
        <v>5.1219999999999999</v>
      </c>
      <c r="F2" s="21">
        <f>'Entradas de población-año base'!C55</f>
        <v>2.487333333333333</v>
      </c>
    </row>
    <row r="3" spans="1:6" ht="15.75" customHeight="1" x14ac:dyDescent="0.25">
      <c r="A3" s="3" t="s">
        <v>6</v>
      </c>
      <c r="B3" s="21">
        <f>frac_mam_1month * 2.6</f>
        <v>0.12058722000000001</v>
      </c>
      <c r="C3" s="21">
        <f>frac_mam_1_5months * 2.6</f>
        <v>0.12058722000000001</v>
      </c>
      <c r="D3" s="21">
        <f>frac_mam_6_11months * 2.6</f>
        <v>0.15081455999999999</v>
      </c>
      <c r="E3" s="21">
        <f>frac_mam_12_23months * 2.6</f>
        <v>0.18564649999999999</v>
      </c>
      <c r="F3" s="21">
        <f>frac_mam_24_59months * 2.6</f>
        <v>0.13006838000000001</v>
      </c>
    </row>
    <row r="4" spans="1:6" ht="15.75" customHeight="1" x14ac:dyDescent="0.25">
      <c r="A4" s="3" t="s">
        <v>236</v>
      </c>
      <c r="B4" s="21">
        <f>frac_sam_1month * 2.6</f>
        <v>2.9144440000000001E-2</v>
      </c>
      <c r="C4" s="21">
        <f>frac_sam_1_5months * 2.6</f>
        <v>2.9144440000000001E-2</v>
      </c>
      <c r="D4" s="21">
        <f>frac_sam_6_11months * 2.6</f>
        <v>2.2447099999999998E-2</v>
      </c>
      <c r="E4" s="21">
        <f>frac_sam_12_23months * 2.6</f>
        <v>3.8315420000000003E-2</v>
      </c>
      <c r="F4" s="21">
        <f>frac_sam_24_59months * 2.6</f>
        <v>2.1843640000000001E-2</v>
      </c>
    </row>
  </sheetData>
  <sheetProtection algorithmName="SHA-512" hashValue="6F/L/qz0wmuEz+eNS4I7K1djVc3eQZFyloSvS2jDKdCi08hWCzXQ/xhRfT7y4NGDLN9Dzx/zzb3zrjOXMZgH8Q==" saltValue="9v0Nz8AR7yaMFSKuy2g+AQ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0.26300000000000001</v>
      </c>
      <c r="F2" s="60">
        <f>food_insecure</f>
        <v>0.26300000000000001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0.26300000000000001</v>
      </c>
      <c r="F5" s="60">
        <f>food_insecure</f>
        <v>0.26300000000000001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6.5236363636363648E-2</v>
      </c>
      <c r="D7" s="60">
        <f>diarrhoea_1_5mo*frac_diarrhea_severe</f>
        <v>6.5236363636363648E-2</v>
      </c>
      <c r="E7" s="60">
        <f>diarrhoea_6_11mo*frac_diarrhea_severe</f>
        <v>0.10210909090909091</v>
      </c>
      <c r="F7" s="60">
        <f>diarrhoea_12_23mo*frac_diarrhea_severe</f>
        <v>0.11175272727272728</v>
      </c>
      <c r="G7" s="60">
        <f>diarrhoea_24_59mo*frac_diarrhea_severe</f>
        <v>5.4269090909090906E-2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0.26300000000000001</v>
      </c>
      <c r="F8" s="60">
        <f>food_insecure</f>
        <v>0.26300000000000001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0.26300000000000001</v>
      </c>
      <c r="F9" s="60">
        <f>food_insecure</f>
        <v>0.26300000000000001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6.5236363636363648E-2</v>
      </c>
      <c r="D12" s="60">
        <f>diarrhoea_1_5mo*frac_diarrhea_severe</f>
        <v>6.5236363636363648E-2</v>
      </c>
      <c r="E12" s="60">
        <f>diarrhoea_6_11mo*frac_diarrhea_severe</f>
        <v>0.10210909090909091</v>
      </c>
      <c r="F12" s="60">
        <f>diarrhoea_12_23mo*frac_diarrhea_severe</f>
        <v>0.11175272727272728</v>
      </c>
      <c r="G12" s="60">
        <f>diarrhoea_24_59mo*frac_diarrhea_severe</f>
        <v>5.4269090909090906E-2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0.26300000000000001</v>
      </c>
      <c r="I15" s="60">
        <f t="shared" si="0"/>
        <v>0.26300000000000001</v>
      </c>
      <c r="J15" s="60">
        <f t="shared" si="0"/>
        <v>0.26300000000000001</v>
      </c>
      <c r="K15" s="60">
        <f t="shared" si="0"/>
        <v>0.26300000000000001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0.26300000000000001</v>
      </c>
      <c r="I16" s="60">
        <f t="shared" si="0"/>
        <v>0.26300000000000001</v>
      </c>
      <c r="J16" s="60">
        <f t="shared" si="0"/>
        <v>0.26300000000000001</v>
      </c>
      <c r="K16" s="60">
        <f t="shared" si="0"/>
        <v>0.26300000000000001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0.41</v>
      </c>
      <c r="I19" s="60">
        <f>frac_malaria_risk</f>
        <v>0.41</v>
      </c>
      <c r="J19" s="60">
        <f>frac_malaria_risk</f>
        <v>0.41</v>
      </c>
      <c r="K19" s="60">
        <f>frac_malaria_risk</f>
        <v>0.41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0.69599999999999995</v>
      </c>
      <c r="M24" s="60">
        <f>famplan_unmet_need</f>
        <v>0.69599999999999995</v>
      </c>
      <c r="N24" s="60">
        <f>famplan_unmet_need</f>
        <v>0.69599999999999995</v>
      </c>
      <c r="O24" s="60">
        <f>famplan_unmet_need</f>
        <v>0.69599999999999995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0.42137849744200007</v>
      </c>
      <c r="M25" s="60">
        <f>(1-food_insecure)*(0.49)+food_insecure*(0.7)</f>
        <v>0.54522999999999999</v>
      </c>
      <c r="N25" s="60">
        <f>(1-food_insecure)*(0.49)+food_insecure*(0.7)</f>
        <v>0.54522999999999999</v>
      </c>
      <c r="O25" s="60">
        <f>(1-food_insecure)*(0.49)+food_insecure*(0.7)</f>
        <v>0.54522999999999999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0.18059078461799999</v>
      </c>
      <c r="M26" s="60">
        <f>(1-food_insecure)*(0.21)+food_insecure*(0.3)</f>
        <v>0.23366999999999999</v>
      </c>
      <c r="N26" s="60">
        <f>(1-food_insecure)*(0.21)+food_insecure*(0.3)</f>
        <v>0.23366999999999999</v>
      </c>
      <c r="O26" s="60">
        <f>(1-food_insecure)*(0.21)+food_insecure*(0.3)</f>
        <v>0.23366999999999999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0.17087611793999999</v>
      </c>
      <c r="M27" s="60">
        <f>(1-food_insecure)*(0.3)</f>
        <v>0.22109999999999999</v>
      </c>
      <c r="N27" s="60">
        <f>(1-food_insecure)*(0.3)</f>
        <v>0.22109999999999999</v>
      </c>
      <c r="O27" s="60">
        <f>(1-food_insecure)*(0.3)</f>
        <v>0.22109999999999999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0.22715460000000001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0.41</v>
      </c>
      <c r="D34" s="60">
        <f t="shared" si="4"/>
        <v>0.41</v>
      </c>
      <c r="E34" s="60">
        <f t="shared" si="4"/>
        <v>0.41</v>
      </c>
      <c r="F34" s="60">
        <f t="shared" si="4"/>
        <v>0.41</v>
      </c>
      <c r="G34" s="60">
        <f t="shared" si="4"/>
        <v>0.41</v>
      </c>
      <c r="H34" s="60">
        <f t="shared" si="4"/>
        <v>0.41</v>
      </c>
      <c r="I34" s="60">
        <f t="shared" si="4"/>
        <v>0.41</v>
      </c>
      <c r="J34" s="60">
        <f t="shared" si="4"/>
        <v>0.41</v>
      </c>
      <c r="K34" s="60">
        <f t="shared" si="4"/>
        <v>0.41</v>
      </c>
      <c r="L34" s="60">
        <f t="shared" si="4"/>
        <v>0.41</v>
      </c>
      <c r="M34" s="60">
        <f t="shared" si="4"/>
        <v>0.41</v>
      </c>
      <c r="N34" s="60">
        <f t="shared" si="4"/>
        <v>0.41</v>
      </c>
      <c r="O34" s="60">
        <f t="shared" si="4"/>
        <v>0.41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m6yNk4AspBAknsE7mcsjk7CyqyN8TLRweL7OLDZMScCJeTTOowKoq/5uZ2CXGT4K5NjcuilfrNi0prAg6bAWgQ==" saltValue="tUYLIVWC0lY1gKoRVfco1g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PznOtCYMrOUc7kMFvZbz3/CKwJGuFthwuvQs8bQnGexwJReK2dEFDmzi7QrlFSQXPwrrFrGbc/i92rkQGA61dA==" saltValue="iMSqbIBm9t7dRlMa1qgoL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KYi3d4hjMYMSz6YL/GjcVo53jcTZDxzTzuBgqU3OlDKbSWCWAYDbokipJGO3qSlGL+jqpB55d2+iw/yYjWesxw==" saltValue="dZcgDX8Yxp8UCpcQb8RFtg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Q5ZbCEi/I9TVvM6OetAPFil3kDzUDcAC7jnuq7wzm+beethol/H2pYDqoRyqf0kZDPAGcb5teMAq0k1ChyUPWQ==" saltValue="pqTjepo7swYWRS1DXgrVC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nZ302Uy3zLQRXxc3+z/GBJfEJxYxHzdF2LlLyD/2CdhTn/dLYSuBl4e1BrW6rLeKChmLAqY/zPjOU0iOP3AvJA==" saltValue="ynRLBjoTonrWlta0IxOHoA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vVT12RtWJS4k/FMFWepOETYVWEmwmMwjHtHx8n328zExTgVA7mnj/86AK1F7jx/rEPw115TMKYV2Z5/95qpz7g==" saltValue="lSTPwEnnJKwT+fDdWsTBqA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fkH+17ca6w/C73JA1RTlXecnbx8CfGzZEkCI+ErYu5HqqFENIXkEDVcgx9q0CMD2lclt4FUrkq++H14gqqIGw==" saltValue="cHCNEjKOgDCLKj5GfRYp+A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qwQu1LzpcAFhD5WlxcaaxPYjMpwOk8DqeIpsKx/h6i3aUX6gkdsG1Mybt6Zvt/raHoKj6PPvjtVehI9BEHoiXQ==" saltValue="uNF74qbptmcx0Mb6lO7BH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9RzA+uHR4bqL5FBdSjVq28/XQI2JLOPa3ZeOuYoL2HhQfSgPQvapY5k2Ib50JOTgbsNQxiT1UpoEWLN+7ew8Ww==" saltValue="frHBwyJ6gnMCkjouOFn7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LFisEVGGQycTu0J6l4IHG/Rg/fVnGq3IEi9dEUMHPDEGmnFqUYPZKzLyiNkZI+1M2liasgrjPdXD17XkGF0P1A==" saltValue="VOEEEtNGiVxsxKxtSgrl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sNjqcs+nMgUetNnGa9X+jRqAQtCWmwryuAUy4NQmg91wS1FTpdS8YCHnFcmz6ch3hLfmRTrQyNq8yuuHZx+Fzg==" saltValue="5/J8hEGUZvXSX4aK3aLyj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b2YEt+IV2ojQSo0Al6EV/d+Li+W2Fl9uwtS6iYdFCCDbK1Qt2JFZsiqM01X8EK19pz7cb0vI+Mn7gEuJYi51A==" saltValue="drWXTkYQBAEwzy/yCdXXW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YgOKlJeder7gbwe2Oa0M+Z3vRvrVA7g1KvrrM6ZCmyrUDx6fzooPMLKsf+liMywICmx9XNDLMIEz3K/WjpuTQA==" saltValue="YA/zUwtt8teYCVOC0KYU1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RwUot5LW65jlas4Gw8hp8FFqE8br/qOeaEpr1LV0XmS9D1yDSqzi90/gZ06QiLOo/ouCCqBFlXoq48bf5mGnkQ==" saltValue="Z3Q/zY+edhl/CVjLNU7Pd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EAkCov+xasUsuXs9aCVB2I0L1yMYd+/NZPT+frf8pJy729hYqBa7m76EtAMzwtSDJN9nGKptsMhjNkJ1LbLnQ==" saltValue="SEqTJ8rquCDwjOxeOCSk1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2025-07-30T00:40:45Z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