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655D30A-007F-42A4-A8A6-D72466F69C8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24" i="2"/>
  <c r="A26" i="2"/>
  <c r="A35" i="2"/>
  <c r="I4" i="2"/>
  <c r="I8" i="2"/>
  <c r="I12" i="2"/>
  <c r="A25" i="2"/>
  <c r="I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<sst xmlns="http://schemas.openxmlformats.org/spreadsheetml/2006/main" count="2159" uniqueCount="372">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</sst>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814442</v>
      </c>
    </row>
    <row r="8" spans="1:3" ht="15" customHeight="1" x14ac:dyDescent="0.25">
      <c r="B8" s="5" t="s">
        <v>63</v>
      </c>
      <c r="C8" s="44">
        <v>0.26300000000000001</v>
      </c>
    </row>
    <row r="9" spans="1:3" ht="15" customHeight="1" x14ac:dyDescent="0.25">
      <c r="B9" s="5" t="s">
        <v>62</v>
      </c>
      <c r="C9" s="45">
        <v>0.41</v>
      </c>
    </row>
    <row r="10" spans="1:3" ht="15" customHeight="1" x14ac:dyDescent="0.25">
      <c r="B10" s="5" t="s">
        <v>75</v>
      </c>
      <c r="C10" s="45">
        <v>0.22715460000000001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8.6800000000000002E-2</v>
      </c>
    </row>
    <row r="24" spans="1:3" ht="15" customHeight="1" x14ac:dyDescent="0.25">
      <c r="B24" s="15" t="s">
        <v>65</v>
      </c>
      <c r="C24" s="45">
        <v>0.40960000000000002</v>
      </c>
    </row>
    <row r="25" spans="1:3" ht="15" customHeight="1" x14ac:dyDescent="0.25">
      <c r="B25" s="15" t="s">
        <v>66</v>
      </c>
      <c r="C25" s="45">
        <v>0.3861</v>
      </c>
    </row>
    <row r="26" spans="1:3" ht="15" customHeight="1" x14ac:dyDescent="0.25">
      <c r="B26" s="15" t="s">
        <v>67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0.19753817858252901</v>
      </c>
    </row>
    <row r="30" spans="1:3" ht="14.25" customHeight="1" x14ac:dyDescent="0.25">
      <c r="B30" s="25" t="s">
        <v>82</v>
      </c>
      <c r="C30" s="99">
        <v>8.0206442932605593E-2</v>
      </c>
    </row>
    <row r="31" spans="1:3" ht="14.25" customHeight="1" x14ac:dyDescent="0.25">
      <c r="B31" s="25" t="s">
        <v>29</v>
      </c>
      <c r="C31" s="99">
        <v>0.11863998378949001</v>
      </c>
    </row>
    <row r="32" spans="1:3" ht="14.25" customHeight="1" x14ac:dyDescent="0.25">
      <c r="B32" s="25" t="s">
        <v>30</v>
      </c>
      <c r="C32" s="99">
        <v>0.60361539469537495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22.61336</v>
      </c>
    </row>
    <row r="38" spans="1:5" ht="15" customHeight="1" x14ac:dyDescent="0.25">
      <c r="B38" s="11" t="s">
        <v>54</v>
      </c>
      <c r="C38" s="43">
        <v>32.205010000000001</v>
      </c>
      <c r="D38" s="12"/>
      <c r="E38" s="13"/>
    </row>
    <row r="39" spans="1:5" ht="15" customHeight="1" x14ac:dyDescent="0.25">
      <c r="B39" s="11" t="s">
        <v>80</v>
      </c>
      <c r="C39" s="43">
        <v>40.498460000000001</v>
      </c>
      <c r="D39" s="12"/>
      <c r="E39" s="12"/>
    </row>
    <row r="40" spans="1:5" ht="15" customHeight="1" x14ac:dyDescent="0.25">
      <c r="B40" s="11" t="s">
        <v>55</v>
      </c>
      <c r="C40" s="100">
        <v>4.6399999999999997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7.9477000000000003E-3</v>
      </c>
      <c r="D45" s="12"/>
    </row>
    <row r="46" spans="1:5" ht="15.75" customHeight="1" x14ac:dyDescent="0.25">
      <c r="B46" s="11" t="s">
        <v>70</v>
      </c>
      <c r="C46" s="45">
        <v>8.5397000000000001E-2</v>
      </c>
      <c r="D46" s="12"/>
    </row>
    <row r="47" spans="1:5" ht="15.75" customHeight="1" x14ac:dyDescent="0.25">
      <c r="B47" s="11" t="s">
        <v>78</v>
      </c>
      <c r="C47" s="45">
        <v>7.3442499999999994E-2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2.99</v>
      </c>
      <c r="D51" s="12"/>
    </row>
    <row r="52" spans="1:4" ht="15" customHeight="1" x14ac:dyDescent="0.25">
      <c r="B52" s="11" t="s">
        <v>32</v>
      </c>
      <c r="C52" s="100">
        <v>2.99</v>
      </c>
    </row>
    <row r="53" spans="1:4" ht="15.75" customHeight="1" x14ac:dyDescent="0.25">
      <c r="B53" s="11" t="s">
        <v>35</v>
      </c>
      <c r="C53" s="100">
        <v>4.68</v>
      </c>
    </row>
    <row r="54" spans="1:4" ht="15.75" customHeight="1" x14ac:dyDescent="0.25">
      <c r="B54" s="11" t="s">
        <v>33</v>
      </c>
      <c r="C54" s="100">
        <v>5.1219999999999999</v>
      </c>
    </row>
    <row r="55" spans="1:4" ht="15.75" customHeight="1" x14ac:dyDescent="0.25">
      <c r="B55" s="11" t="s">
        <v>34</v>
      </c>
      <c r="C55" s="100">
        <v>2.487333333333333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0.46489900000000001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YLoDyFiyH6SlILgWfSb8Kp7HrbAgew56mobTwAwWYlI5N2vvZZHHBo4Ff4qMjLARwcPu7cyNfG6jw9icPFa7A==" saltValue="icm9CmM/GUV3S8Rmwb0Y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175914</v>
      </c>
      <c r="C2" s="49">
        <v>280335</v>
      </c>
      <c r="D2" s="49">
        <v>436760.5</v>
      </c>
      <c r="E2" s="49">
        <v>317543</v>
      </c>
      <c r="F2" s="49">
        <v>220515.5</v>
      </c>
      <c r="G2" s="17">
        <f t="shared" ref="G2:G13" si="0">C2+D2+E2+F2</f>
        <v>1255154</v>
      </c>
      <c r="H2" s="17">
        <f t="shared" ref="H2:H13" si="1">(B2 + stillbirth*B2/(1000-stillbirth))/(1-abortion)</f>
        <v>203299.56499907226</v>
      </c>
      <c r="I2" s="17">
        <f t="shared" ref="I2:I13" si="2">G2-H2</f>
        <v>1051854.4350009277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178900</v>
      </c>
      <c r="C3" s="50">
        <v>289067.5</v>
      </c>
      <c r="D3" s="50">
        <v>449861.99999999994</v>
      </c>
      <c r="E3" s="50">
        <v>327554</v>
      </c>
      <c r="F3" s="50">
        <v>228278.5</v>
      </c>
      <c r="G3" s="17">
        <f t="shared" si="0"/>
        <v>1294762</v>
      </c>
      <c r="H3" s="17">
        <f t="shared" si="1"/>
        <v>206750.41314695837</v>
      </c>
      <c r="I3" s="17">
        <f t="shared" si="2"/>
        <v>1088011.5868530415</v>
      </c>
    </row>
    <row r="4" spans="1:9" ht="15.75" customHeight="1" x14ac:dyDescent="0.25">
      <c r="A4" s="5">
        <f t="shared" si="3"/>
        <v>2026</v>
      </c>
      <c r="B4" s="49">
        <v>181311</v>
      </c>
      <c r="C4" s="50">
        <v>297839.5</v>
      </c>
      <c r="D4" s="50">
        <v>463305.50000000006</v>
      </c>
      <c r="E4" s="50">
        <v>337555</v>
      </c>
      <c r="F4" s="50">
        <v>236262</v>
      </c>
      <c r="G4" s="17">
        <f t="shared" si="0"/>
        <v>1334962</v>
      </c>
      <c r="H4" s="17">
        <f t="shared" si="1"/>
        <v>209536.74766958167</v>
      </c>
      <c r="I4" s="17">
        <f t="shared" si="2"/>
        <v>1125425.2523304182</v>
      </c>
    </row>
    <row r="5" spans="1:9" ht="15.75" customHeight="1" x14ac:dyDescent="0.25">
      <c r="A5" s="5">
        <f t="shared" si="3"/>
        <v>2027</v>
      </c>
      <c r="B5" s="49">
        <v>184292</v>
      </c>
      <c r="C5" s="50">
        <v>306678.5</v>
      </c>
      <c r="D5" s="50">
        <v>477264</v>
      </c>
      <c r="E5" s="50">
        <v>347562</v>
      </c>
      <c r="F5" s="50">
        <v>244449</v>
      </c>
      <c r="G5" s="17">
        <f t="shared" si="0"/>
        <v>1375953.5</v>
      </c>
      <c r="H5" s="17">
        <f t="shared" si="1"/>
        <v>212981.81743811764</v>
      </c>
      <c r="I5" s="17">
        <f t="shared" si="2"/>
        <v>1162971.6825618823</v>
      </c>
    </row>
    <row r="6" spans="1:9" ht="15.75" customHeight="1" x14ac:dyDescent="0.25">
      <c r="A6" s="5">
        <f t="shared" si="3"/>
        <v>2028</v>
      </c>
      <c r="B6" s="49">
        <v>187121</v>
      </c>
      <c r="C6" s="50">
        <v>315067.5</v>
      </c>
      <c r="D6" s="50">
        <v>491804.5</v>
      </c>
      <c r="E6" s="50">
        <v>357608</v>
      </c>
      <c r="F6" s="50">
        <v>252819.5</v>
      </c>
      <c r="G6" s="17">
        <f t="shared" si="0"/>
        <v>1417299.5</v>
      </c>
      <c r="H6" s="17">
        <f t="shared" si="1"/>
        <v>216251.22447441024</v>
      </c>
      <c r="I6" s="17">
        <f t="shared" si="2"/>
        <v>1201048.2755255897</v>
      </c>
    </row>
    <row r="7" spans="1:9" ht="15.75" customHeight="1" x14ac:dyDescent="0.25">
      <c r="A7" s="5">
        <f t="shared" si="3"/>
        <v>2029</v>
      </c>
      <c r="B7" s="49">
        <v>189472</v>
      </c>
      <c r="C7" s="50">
        <v>322828.5</v>
      </c>
      <c r="D7" s="50">
        <v>507018</v>
      </c>
      <c r="E7" s="50">
        <v>367798.5</v>
      </c>
      <c r="F7" s="50">
        <v>261385</v>
      </c>
      <c r="G7" s="17">
        <f t="shared" si="0"/>
        <v>1459030</v>
      </c>
      <c r="H7" s="17">
        <f t="shared" si="1"/>
        <v>218968.21844483225</v>
      </c>
      <c r="I7" s="17">
        <f t="shared" si="2"/>
        <v>1240061.7815551679</v>
      </c>
    </row>
    <row r="8" spans="1:9" ht="15.75" customHeight="1" x14ac:dyDescent="0.25">
      <c r="A8" s="5">
        <f t="shared" si="3"/>
        <v>2030</v>
      </c>
      <c r="B8" s="49">
        <v>192444</v>
      </c>
      <c r="C8" s="50">
        <v>330324</v>
      </c>
      <c r="D8" s="50">
        <v>522818.99999999994</v>
      </c>
      <c r="E8" s="50">
        <v>378206.5</v>
      </c>
      <c r="F8" s="50">
        <v>270121</v>
      </c>
      <c r="G8" s="17">
        <f t="shared" si="0"/>
        <v>1501470.5</v>
      </c>
      <c r="H8" s="17">
        <f t="shared" si="1"/>
        <v>222402.887130538</v>
      </c>
      <c r="I8" s="17">
        <f t="shared" si="2"/>
        <v>1279067.612869462</v>
      </c>
    </row>
    <row r="9" spans="1:9" ht="15.75" customHeight="1" x14ac:dyDescent="0.25">
      <c r="A9" s="5">
        <f t="shared" si="3"/>
        <v>2031</v>
      </c>
      <c r="B9" s="49">
        <v>195192</v>
      </c>
      <c r="C9" s="50">
        <v>337534.5</v>
      </c>
      <c r="D9" s="50">
        <v>539061.5</v>
      </c>
      <c r="E9" s="50">
        <v>388883.5</v>
      </c>
      <c r="F9" s="50">
        <v>278990</v>
      </c>
      <c r="G9" s="17">
        <f t="shared" si="0"/>
        <v>1544469.5</v>
      </c>
      <c r="H9" s="17">
        <f t="shared" si="1"/>
        <v>225578.6844213588</v>
      </c>
      <c r="I9" s="17">
        <f t="shared" si="2"/>
        <v>1318890.8155786411</v>
      </c>
    </row>
    <row r="10" spans="1:9" ht="15.75" customHeight="1" x14ac:dyDescent="0.25">
      <c r="A10" s="5">
        <f t="shared" si="3"/>
        <v>2032</v>
      </c>
      <c r="B10" s="49">
        <v>197382</v>
      </c>
      <c r="C10" s="50">
        <v>344457</v>
      </c>
      <c r="D10" s="50">
        <v>555703.5</v>
      </c>
      <c r="E10" s="50">
        <v>399899.5</v>
      </c>
      <c r="F10" s="50">
        <v>288002.5</v>
      </c>
      <c r="G10" s="17">
        <f t="shared" si="0"/>
        <v>1588062.5</v>
      </c>
      <c r="H10" s="17">
        <f t="shared" si="1"/>
        <v>228109.61457670727</v>
      </c>
      <c r="I10" s="17">
        <f t="shared" si="2"/>
        <v>1359952.8854232926</v>
      </c>
    </row>
    <row r="11" spans="1:9" ht="15.75" customHeight="1" x14ac:dyDescent="0.25">
      <c r="A11" s="5">
        <f t="shared" si="3"/>
        <v>2033</v>
      </c>
      <c r="B11" s="49">
        <v>198758</v>
      </c>
      <c r="C11" s="50">
        <v>351603.5</v>
      </c>
      <c r="D11" s="50">
        <v>572252</v>
      </c>
      <c r="E11" s="50">
        <v>411354.5</v>
      </c>
      <c r="F11" s="50">
        <v>297233.5</v>
      </c>
      <c r="G11" s="17">
        <f t="shared" si="0"/>
        <v>1632443.5</v>
      </c>
      <c r="H11" s="17">
        <f t="shared" si="1"/>
        <v>229699.82457385774</v>
      </c>
      <c r="I11" s="17">
        <f t="shared" si="2"/>
        <v>1402743.6754261423</v>
      </c>
    </row>
    <row r="12" spans="1:9" ht="15.75" customHeight="1" x14ac:dyDescent="0.25">
      <c r="A12" s="5">
        <f t="shared" si="3"/>
        <v>2034</v>
      </c>
      <c r="B12" s="49">
        <v>201535</v>
      </c>
      <c r="C12" s="50">
        <v>359070.5</v>
      </c>
      <c r="D12" s="50">
        <v>588339</v>
      </c>
      <c r="E12" s="50">
        <v>423267</v>
      </c>
      <c r="F12" s="50">
        <v>306669.99999999994</v>
      </c>
      <c r="G12" s="17">
        <f t="shared" si="0"/>
        <v>1677346.5</v>
      </c>
      <c r="H12" s="17">
        <f t="shared" si="1"/>
        <v>232909.13646490916</v>
      </c>
      <c r="I12" s="17">
        <f t="shared" si="2"/>
        <v>1444437.3635350908</v>
      </c>
    </row>
    <row r="13" spans="1:9" ht="15.75" customHeight="1" x14ac:dyDescent="0.25">
      <c r="A13" s="5">
        <f t="shared" si="3"/>
        <v>2035</v>
      </c>
      <c r="B13" s="49">
        <v>203552</v>
      </c>
      <c r="C13" s="50">
        <v>366398</v>
      </c>
      <c r="D13" s="50">
        <v>604203</v>
      </c>
      <c r="E13" s="50">
        <v>435663.5</v>
      </c>
      <c r="F13" s="50">
        <v>316246</v>
      </c>
      <c r="G13" s="17">
        <f t="shared" si="0"/>
        <v>1722510.5</v>
      </c>
      <c r="H13" s="17">
        <f t="shared" si="1"/>
        <v>235240.13469474379</v>
      </c>
      <c r="I13" s="17">
        <f t="shared" si="2"/>
        <v>1487270.3653052561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P45upbM0/onik4g8TSyP9q16SCVPmmxnqcJl+vMUpYe7V2ORDhbJrNaZjIw+71ucerzTMosYTWreEiJKCeXpQ==" saltValue="SIVa/mIXMfZfk75GhhmE5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1.7122701712270191E-2</v>
      </c>
    </row>
    <row r="4" spans="1:8" ht="15.75" customHeight="1" x14ac:dyDescent="0.25">
      <c r="B4" s="19" t="s">
        <v>116</v>
      </c>
      <c r="C4" s="101">
        <v>6.227920622792063E-2</v>
      </c>
    </row>
    <row r="5" spans="1:8" ht="15.75" customHeight="1" x14ac:dyDescent="0.25">
      <c r="B5" s="19" t="s">
        <v>114</v>
      </c>
      <c r="C5" s="101">
        <v>8.6707408670740976E-2</v>
      </c>
    </row>
    <row r="6" spans="1:8" ht="15.75" customHeight="1" x14ac:dyDescent="0.25">
      <c r="B6" s="19" t="s">
        <v>110</v>
      </c>
      <c r="C6" s="101">
        <v>0.24658692465869211</v>
      </c>
    </row>
    <row r="7" spans="1:8" ht="15.75" customHeight="1" x14ac:dyDescent="0.25">
      <c r="B7" s="19" t="s">
        <v>115</v>
      </c>
      <c r="C7" s="101">
        <v>0.412030341203034</v>
      </c>
    </row>
    <row r="8" spans="1:8" ht="15.75" customHeight="1" x14ac:dyDescent="0.25">
      <c r="B8" s="19" t="s">
        <v>117</v>
      </c>
      <c r="C8" s="101">
        <v>3.2824003282400402E-3</v>
      </c>
    </row>
    <row r="9" spans="1:8" ht="15.75" customHeight="1" x14ac:dyDescent="0.25">
      <c r="B9" s="19" t="s">
        <v>111</v>
      </c>
      <c r="C9" s="101">
        <v>6.1357306135730677E-2</v>
      </c>
    </row>
    <row r="10" spans="1:8" ht="15.75" customHeight="1" x14ac:dyDescent="0.25">
      <c r="B10" s="19" t="s">
        <v>113</v>
      </c>
      <c r="C10" s="101">
        <v>0.1106337110633713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121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2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109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3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120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98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107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118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8.8735101999999996E-2</v>
      </c>
    </row>
    <row r="27" spans="1:8" ht="15.75" customHeight="1" x14ac:dyDescent="0.25">
      <c r="B27" s="19" t="s">
        <v>108</v>
      </c>
      <c r="C27" s="101">
        <v>8.4480660000000006E-3</v>
      </c>
    </row>
    <row r="28" spans="1:8" ht="15.75" customHeight="1" x14ac:dyDescent="0.25">
      <c r="B28" s="19" t="s">
        <v>122</v>
      </c>
      <c r="C28" s="101">
        <v>0.157003631</v>
      </c>
    </row>
    <row r="29" spans="1:8" ht="15.75" customHeight="1" x14ac:dyDescent="0.25">
      <c r="B29" s="19" t="s">
        <v>105</v>
      </c>
      <c r="C29" s="101">
        <v>0.16959068199999999</v>
      </c>
    </row>
    <row r="30" spans="1:8" ht="15.75" customHeight="1" x14ac:dyDescent="0.25">
      <c r="B30" s="19" t="s">
        <v>4</v>
      </c>
      <c r="C30" s="101">
        <v>0.105430197</v>
      </c>
    </row>
    <row r="31" spans="1:8" ht="15.75" customHeight="1" x14ac:dyDescent="0.25">
      <c r="B31" s="19" t="s">
        <v>99</v>
      </c>
      <c r="C31" s="101">
        <v>0.109065357</v>
      </c>
    </row>
    <row r="32" spans="1:8" ht="15.75" customHeight="1" x14ac:dyDescent="0.25">
      <c r="B32" s="19" t="s">
        <v>104</v>
      </c>
      <c r="C32" s="101">
        <v>1.8742332E-2</v>
      </c>
    </row>
    <row r="33" spans="2:3" ht="15.75" customHeight="1" x14ac:dyDescent="0.25">
      <c r="B33" s="19" t="s">
        <v>119</v>
      </c>
      <c r="C33" s="101">
        <v>8.4799848999999997E-2</v>
      </c>
    </row>
    <row r="34" spans="2:3" ht="15.75" customHeight="1" x14ac:dyDescent="0.25">
      <c r="B34" s="19" t="s">
        <v>106</v>
      </c>
      <c r="C34" s="101">
        <v>0.25818478299999997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KA3oTFG7qFN9IPwZQHVUQP0IvZdD4bcpXxKp1f1VBXU6zpJbVijKuwi6v9OqDVqYXAr/Sj0NgecXuAqxr0cZHQ==" saltValue="YDBsV9HYt4FqoOcEPP814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129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125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126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138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qEOF3AHBFOB5+F7JXRDhK6aaLuuDBRkVmU5VUeBH9YVyQjMnB7N84W2lev3cco6GB1JqcTPXSgLqcASDAOk1Q==" saltValue="EYqJ9ekcBV30b7AoXF6z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7.4192200000000041E-2</v>
      </c>
      <c r="D5" s="52">
        <f t="shared" si="0"/>
        <v>6.4861300000000122E-2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YQUEXg08ZYTp4nUycAAcfB8iJOk7g2wuTxVVaX5eVQMrUGIuitJNFP/tA9/A2NekOLnKM/rSb5T4c913MDJjPQ==" saltValue="C2PzQs7eZY8Rv+cONqx5W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+lhQSE+AeZgUEvh5Xxrp2TUWC0AnROBmObLB1XnCSfOlDb/YdY+Q9iX9IM0u376jMtpY6ZJX99ROdRc33sb0g==" saltValue="lVnddFmLEpDXXd/kISnPj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2065.1555157010598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0.38267000000000001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0.27101999999999998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1.7350021408097435E-2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92693.010259999995</v>
      </c>
      <c r="C22" s="109">
        <v>92233.628660000002</v>
      </c>
      <c r="D22" s="109">
        <v>92014.647249999995</v>
      </c>
      <c r="E22" s="109">
        <v>91645.697560000001</v>
      </c>
      <c r="F22" s="109">
        <v>91101.702470000004</v>
      </c>
      <c r="G22" s="109">
        <v>90454.406130000003</v>
      </c>
      <c r="H22" s="109">
        <v>89659.362450000001</v>
      </c>
      <c r="I22" s="109">
        <v>88662.419909999997</v>
      </c>
      <c r="J22" s="109">
        <v>87262.19038</v>
      </c>
      <c r="K22" s="109">
        <v>85330.387520000004</v>
      </c>
      <c r="L22" s="109">
        <v>82447.313829999999</v>
      </c>
      <c r="M22" s="109">
        <v>78289.754029999996</v>
      </c>
      <c r="N22" s="109">
        <v>71929.955610000005</v>
      </c>
      <c r="O22" s="109">
        <v>63292.727919999998</v>
      </c>
    </row>
  </sheetData>
  <sheetProtection algorithmName="SHA-512" hashValue="DTdyMYJeDU7Mu9+4L9YDBQOR35wgeHY5hjt/OETmiUugxp6PPzAi4HCivtJ7aXJPtnAj3+9P22oT4oXPA4YXjQ==" saltValue="ANisSbfhovdPmX1MXeO+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H+MSAfzX3iCi7AkdNNhuQjl0xPdnABf3LonArsrENl+FIJpBUL0YEfHLyFhN9MvKg+ftkZP2CbCN+qqhJYDLQ==" saltValue="W0nuRcC54KA2P/z8xJGb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qi8bQ54bqsVscnY3+i67diwWyOPtNRHWwz+NVX7ud7vCGjdRcF7aJZBMKzNrmHq7Mfy+eLz89b9SWX5CR2pJA==" saltValue="8CBWiJblddRwEi7bd9o4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0.28576590000000002</v>
      </c>
      <c r="C10" s="98">
        <v>0.95</v>
      </c>
      <c r="D10" s="56">
        <v>13.555007547773389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13.555007547773389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13.555007547773389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13.555007547773389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0.28576590000000002</v>
      </c>
      <c r="C14" s="98">
        <v>0.95</v>
      </c>
      <c r="D14" s="56">
        <v>13.555007547773389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13.555007547773389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0.22889889999999999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0.17599999999999999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0.36570609999999998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0.25781209999999999</v>
      </c>
      <c r="C23" s="98">
        <v>0.95</v>
      </c>
      <c r="D23" s="56">
        <v>4.4706017011529111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0.25720438775447002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0.12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0.19483020000000001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0.1996319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0.22370000000000001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0.41752408704084698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8.6300799999999997E-2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1.0247600000000001E-2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0.61272379999999993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7.0999999999999994E-2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JlhYNBuLuKB0UzXfIMjKwiDc+zxFwDUH/+SkJ0PAl7vv9HVtXj3qStEQMDXyfcNk58opRPE/EAl1KK5LKQb1Jg==" saltValue="ROGbxYWHgo39PRwOOvHd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VMccbMTcjjJzAOYmi4Y5gVoXkzf2RXjWH6pMqPsMd5+tWR4K6T4RjYlqTkpW6t0reiSiXnBiURGWT538dqz/w==" saltValue="bdYoMHUku/xtfBKb7tNj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ytrd+Kziu9DAWgYRGLyqKnu9CW1WBdVqAHGwsWeckf/7gAxXIdxdjyrkVWRq07iVSv6x/dzNxF+VVp5SwjspQ==" saltValue="5SvozbBnOc99K3fL9gRi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2.99</v>
      </c>
      <c r="C2" s="21">
        <f>'Entradas de población-año base'!C52</f>
        <v>2.99</v>
      </c>
      <c r="D2" s="21">
        <f>'Entradas de población-año base'!C53</f>
        <v>4.68</v>
      </c>
      <c r="E2" s="21">
        <f>'Entradas de población-año base'!C54</f>
        <v>5.1219999999999999</v>
      </c>
      <c r="F2" s="21">
        <f>'Entradas de población-año base'!C55</f>
        <v>2.487333333333333</v>
      </c>
    </row>
    <row r="3" spans="1:6" ht="15.75" customHeight="1" x14ac:dyDescent="0.25">
      <c r="A3" s="3" t="s">
        <v>6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236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sheetProtection algorithmName="SHA-512" hashValue="J7O4bpepONSI24NA5vCXYunnzzHuN6pk2YuoRlApPiPFpD6/DiiK/Il7fG1IKeTJYGE+rSEtT30jIXHp10OXMQ==" saltValue="4dztsq99LhbaOboHD1xL7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0.26300000000000001</v>
      </c>
      <c r="F2" s="60">
        <f>food_insecure</f>
        <v>0.26300000000000001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0.26300000000000001</v>
      </c>
      <c r="F5" s="60">
        <f>food_insecure</f>
        <v>0.26300000000000001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6.5236363636363648E-2</v>
      </c>
      <c r="D7" s="60">
        <f>diarrhoea_1_5mo*frac_diarrhea_severe</f>
        <v>6.5236363636363648E-2</v>
      </c>
      <c r="E7" s="60">
        <f>diarrhoea_6_11mo*frac_diarrhea_severe</f>
        <v>0.10210909090909091</v>
      </c>
      <c r="F7" s="60">
        <f>diarrhoea_12_23mo*frac_diarrhea_severe</f>
        <v>0.11175272727272728</v>
      </c>
      <c r="G7" s="60">
        <f>diarrhoea_24_59mo*frac_diarrhea_severe</f>
        <v>5.4269090909090906E-2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0.26300000000000001</v>
      </c>
      <c r="F8" s="60">
        <f>food_insecure</f>
        <v>0.26300000000000001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0.26300000000000001</v>
      </c>
      <c r="F9" s="60">
        <f>food_insecure</f>
        <v>0.26300000000000001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6.5236363636363648E-2</v>
      </c>
      <c r="D12" s="60">
        <f>diarrhoea_1_5mo*frac_diarrhea_severe</f>
        <v>6.5236363636363648E-2</v>
      </c>
      <c r="E12" s="60">
        <f>diarrhoea_6_11mo*frac_diarrhea_severe</f>
        <v>0.10210909090909091</v>
      </c>
      <c r="F12" s="60">
        <f>diarrhoea_12_23mo*frac_diarrhea_severe</f>
        <v>0.11175272727272728</v>
      </c>
      <c r="G12" s="60">
        <f>diarrhoea_24_59mo*frac_diarrhea_severe</f>
        <v>5.4269090909090906E-2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0.26300000000000001</v>
      </c>
      <c r="I15" s="60">
        <f t="shared" si="0"/>
        <v>0.26300000000000001</v>
      </c>
      <c r="J15" s="60">
        <f t="shared" si="0"/>
        <v>0.26300000000000001</v>
      </c>
      <c r="K15" s="60">
        <f t="shared" si="0"/>
        <v>0.26300000000000001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0.26300000000000001</v>
      </c>
      <c r="I16" s="60">
        <f t="shared" si="0"/>
        <v>0.26300000000000001</v>
      </c>
      <c r="J16" s="60">
        <f t="shared" si="0"/>
        <v>0.26300000000000001</v>
      </c>
      <c r="K16" s="60">
        <f t="shared" si="0"/>
        <v>0.26300000000000001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0.42137849744200007</v>
      </c>
      <c r="M25" s="60">
        <f>(1-food_insecure)*(0.49)+food_insecure*(0.7)</f>
        <v>0.54522999999999999</v>
      </c>
      <c r="N25" s="60">
        <f>(1-food_insecure)*(0.49)+food_insecure*(0.7)</f>
        <v>0.54522999999999999</v>
      </c>
      <c r="O25" s="60">
        <f>(1-food_insecure)*(0.49)+food_insecure*(0.7)</f>
        <v>0.54522999999999999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0.18059078461799999</v>
      </c>
      <c r="M26" s="60">
        <f>(1-food_insecure)*(0.21)+food_insecure*(0.3)</f>
        <v>0.23366999999999999</v>
      </c>
      <c r="N26" s="60">
        <f>(1-food_insecure)*(0.21)+food_insecure*(0.3)</f>
        <v>0.23366999999999999</v>
      </c>
      <c r="O26" s="60">
        <f>(1-food_insecure)*(0.21)+food_insecure*(0.3)</f>
        <v>0.23366999999999999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0.17087611793999999</v>
      </c>
      <c r="M27" s="60">
        <f>(1-food_insecure)*(0.3)</f>
        <v>0.22109999999999999</v>
      </c>
      <c r="N27" s="60">
        <f>(1-food_insecure)*(0.3)</f>
        <v>0.22109999999999999</v>
      </c>
      <c r="O27" s="60">
        <f>(1-food_insecure)*(0.3)</f>
        <v>0.22109999999999999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0.22715460000000001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0.41</v>
      </c>
      <c r="D34" s="60">
        <f t="shared" si="4"/>
        <v>0.41</v>
      </c>
      <c r="E34" s="60">
        <f t="shared" si="4"/>
        <v>0.41</v>
      </c>
      <c r="F34" s="60">
        <f t="shared" si="4"/>
        <v>0.41</v>
      </c>
      <c r="G34" s="60">
        <f t="shared" si="4"/>
        <v>0.41</v>
      </c>
      <c r="H34" s="60">
        <f t="shared" si="4"/>
        <v>0.41</v>
      </c>
      <c r="I34" s="60">
        <f t="shared" si="4"/>
        <v>0.41</v>
      </c>
      <c r="J34" s="60">
        <f t="shared" si="4"/>
        <v>0.41</v>
      </c>
      <c r="K34" s="60">
        <f t="shared" si="4"/>
        <v>0.41</v>
      </c>
      <c r="L34" s="60">
        <f t="shared" si="4"/>
        <v>0.41</v>
      </c>
      <c r="M34" s="60">
        <f t="shared" si="4"/>
        <v>0.41</v>
      </c>
      <c r="N34" s="60">
        <f t="shared" si="4"/>
        <v>0.41</v>
      </c>
      <c r="O34" s="60">
        <f t="shared" si="4"/>
        <v>0.41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jK8C4H3zXGhPoxxhA/mVZp/Jbmp4k5jn1QS52I+1kUtaGDubdU+WO+I9l7o5U5qGpvN9mnpef8F6+O2oilslA==" saltValue="GdgKPZJYO/XCxXGLjAxg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HxFLPqTX5B0rSne2HZ7n4xSRfkeOpynN/DGg+Ynvs1mvGo8BEI1iBpueFHFWDNHIPpRJIiKTt2jW09FeCn1YA==" saltValue="3qjy2yodY8kvxttW6zTGx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CafZ0k6q7YuVniWnh/e1Pef4O/pJ0VCy32F12lLCxl3pPBKTvr45zqcW4TGNUuLJJq1+QemLWdk0bvSK8wZnA==" saltValue="3ey37QaG2y63isEGlIm4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WayHIktM1x0COdELNrGDXBBmJt67Xx5WXjXEXBGG0RyAC83MO61JOyCdNcEv64sFl0sFruy+srWGIJo/fog1w==" saltValue="HkJwrsHZssqLv3cHbIn7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qn19EPYuQxSHtpDxmiHWQLSj+g6lRz/3d3wFEcFiDZc/uE2uzVytVWjPnPdHJKFzHAV4kCZ4lj5KVXYxMNChPw==" saltValue="KS9tTUiVCAAMTGF7bvYW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q9oBpqzrpgoKpVtm8ngpFwCYchVLE0yigucMRUPkptPCJ4OZj5t/eEWHVB9yxF7Op7wr1TvFpz7ypcNpDs2qA==" saltValue="EhA0hOjqs1lxn25GbENoG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wskPnMxA1CLZKczaVN3MwrskBlikTvwXKErzxNCCz554i2jnO4kWqF1xtp6Rsdmkz7HYO08NXpsFmm50GlwQA==" saltValue="hvRCYBA5JFIYcifFqybUk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eJoJtusnMarYV27E00riAXPUh/aon7R9aJLjCoqr26VNluHHxMDkftNEx4au/JS60+8vykp4N71j6HsT3z+DQ==" saltValue="kBctVNViVwTjZfwYQ3Nc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A4jN7hYV7L0QzVud9a+IEGSG9KayPa0/dGumHx3o5HrOKaWnR2lAmi2nJEfguKGGXljY+dnOVv1yGNuMUqDrw==" saltValue="dGvCZXYklgMkHcwrR4Db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Dh49Efjq2OejQnplhz9ePt1yW0YGu1jKbpJ93EP7HROAug9DKayIu2eRLRJ/M41jtfJikiI/svCRa3ado2M+g==" saltValue="xMnCVZUbJCnsj/kBE117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4ZvFSDcyjTc2JO42aQKJkTeOVtFQ4oLZPbFhsJc7Bc8EN52MffPPgI+jummB2FRZu3R8qsX2d1SFGkU1iGPNQ==" saltValue="Vna6QFh+VMDqp3iddKar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bO9avLwRpnxLG72XK2dAWtRM3w8j/ykOpEIpw1E44b3CkHXfCt4CMF4Z/Wwn+y3a7VXckE2l2cte5K72JEvNQ==" saltValue="xYKtGM/XwSDLKa3yisN5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nZy985Lkv4xM7StqwuF+Jyp0A9P77XbvcnA0Wc0KVUK1Ud9NkGDQn97LQy6m4tt8ubMZFMP6A0en0KK8kCjwg==" saltValue="i+rMbuVuFVob0+SqCVmp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oiWXh6Olk0rIsvN4W123wLgGsY1i/rzRtUL/c3wRQkQ3wjlqwgaJdbp3uBQq6QtOdukQ9EZPFQW5riKNKMIvw==" saltValue="7eGsIoX7CXjFdXWxUEfq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zJrOqgholrgQCv/sb4HRv6o2387NK51ybzBRCzDMMAoV0/clA0NHSSVrqrO/j6XddHNCIdftonTaOjFFOKmyg==" saltValue="QiVZG0F1oPCDMRf220WuZ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