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C1E1E9D-0D61-4F1B-9D71-D7DDB45993B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7" i="2" l="1"/>
  <c r="I4" i="2"/>
  <c r="I39" i="2"/>
  <c r="A36" i="2"/>
  <c r="A34" i="2"/>
  <c r="I6" i="2"/>
  <c r="I12" i="2"/>
  <c r="A35" i="2"/>
  <c r="A19" i="2"/>
  <c r="I3" i="2"/>
  <c r="I9" i="2"/>
  <c r="A23" i="2"/>
  <c r="A22" i="2"/>
  <c r="A24" i="2"/>
  <c r="A40" i="2"/>
  <c r="A25" i="2"/>
  <c r="A26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<sst xmlns="http://schemas.openxmlformats.org/spreadsheetml/2006/main" count="2169" uniqueCount="373">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</sst>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814442</v>
      </c>
    </row>
    <row r="8" spans="1:3" ht="15" customHeight="1" x14ac:dyDescent="0.25">
      <c r="B8" s="5" t="s">
        <v>63</v>
      </c>
      <c r="C8" s="44">
        <v>0.26300000000000001</v>
      </c>
    </row>
    <row r="9" spans="1:3" ht="15" customHeight="1" x14ac:dyDescent="0.25">
      <c r="B9" s="5" t="s">
        <v>62</v>
      </c>
      <c r="C9" s="45">
        <v>0.41</v>
      </c>
    </row>
    <row r="10" spans="1:3" ht="15" customHeight="1" x14ac:dyDescent="0.25">
      <c r="B10" s="5" t="s">
        <v>75</v>
      </c>
      <c r="C10" s="45">
        <v>0.22715460000000001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8.6800000000000002E-2</v>
      </c>
    </row>
    <row r="24" spans="1:3" ht="15" customHeight="1" x14ac:dyDescent="0.25">
      <c r="B24" s="15" t="s">
        <v>65</v>
      </c>
      <c r="C24" s="45">
        <v>0.40960000000000002</v>
      </c>
    </row>
    <row r="25" spans="1:3" ht="15" customHeight="1" x14ac:dyDescent="0.25">
      <c r="B25" s="15" t="s">
        <v>66</v>
      </c>
      <c r="C25" s="45">
        <v>0.3861</v>
      </c>
    </row>
    <row r="26" spans="1:3" ht="15" customHeight="1" x14ac:dyDescent="0.25">
      <c r="B26" s="15" t="s">
        <v>67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0.19753817858252901</v>
      </c>
    </row>
    <row r="30" spans="1:3" ht="14.25" customHeight="1" x14ac:dyDescent="0.25">
      <c r="B30" s="25" t="s">
        <v>82</v>
      </c>
      <c r="C30" s="97">
        <v>8.0206442932605593E-2</v>
      </c>
    </row>
    <row r="31" spans="1:3" ht="14.25" customHeight="1" x14ac:dyDescent="0.25">
      <c r="B31" s="25" t="s">
        <v>29</v>
      </c>
      <c r="C31" s="97">
        <v>0.11863998378949001</v>
      </c>
    </row>
    <row r="32" spans="1:3" ht="14.25" customHeight="1" x14ac:dyDescent="0.25">
      <c r="B32" s="25" t="s">
        <v>30</v>
      </c>
      <c r="C32" s="97">
        <v>0.60361539469537495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22.61336</v>
      </c>
    </row>
    <row r="38" spans="1:5" ht="15" customHeight="1" x14ac:dyDescent="0.25">
      <c r="B38" s="11" t="s">
        <v>54</v>
      </c>
      <c r="C38" s="43">
        <v>32.205010000000001</v>
      </c>
      <c r="D38" s="12"/>
      <c r="E38" s="13"/>
    </row>
    <row r="39" spans="1:5" ht="15" customHeight="1" x14ac:dyDescent="0.25">
      <c r="B39" s="11" t="s">
        <v>80</v>
      </c>
      <c r="C39" s="43">
        <v>40.498460000000001</v>
      </c>
      <c r="D39" s="12"/>
      <c r="E39" s="12"/>
    </row>
    <row r="40" spans="1:5" ht="15" customHeight="1" x14ac:dyDescent="0.25">
      <c r="B40" s="11" t="s">
        <v>55</v>
      </c>
      <c r="C40" s="98">
        <v>4.6399999999999997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7.9477000000000003E-3</v>
      </c>
      <c r="D45" s="12"/>
    </row>
    <row r="46" spans="1:5" ht="15.75" customHeight="1" x14ac:dyDescent="0.25">
      <c r="B46" s="11" t="s">
        <v>70</v>
      </c>
      <c r="C46" s="45">
        <v>8.5397000000000001E-2</v>
      </c>
      <c r="D46" s="12"/>
    </row>
    <row r="47" spans="1:5" ht="15.75" customHeight="1" x14ac:dyDescent="0.25">
      <c r="B47" s="11" t="s">
        <v>78</v>
      </c>
      <c r="C47" s="45">
        <v>7.3442499999999994E-2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2.99</v>
      </c>
      <c r="D51" s="12"/>
    </row>
    <row r="52" spans="1:4" ht="15" customHeight="1" x14ac:dyDescent="0.25">
      <c r="B52" s="11" t="s">
        <v>32</v>
      </c>
      <c r="C52" s="98">
        <v>2.99</v>
      </c>
    </row>
    <row r="53" spans="1:4" ht="15.75" customHeight="1" x14ac:dyDescent="0.25">
      <c r="B53" s="11" t="s">
        <v>35</v>
      </c>
      <c r="C53" s="98">
        <v>4.68</v>
      </c>
    </row>
    <row r="54" spans="1:4" ht="15.75" customHeight="1" x14ac:dyDescent="0.25">
      <c r="B54" s="11" t="s">
        <v>33</v>
      </c>
      <c r="C54" s="98">
        <v>5.1219999999999999</v>
      </c>
    </row>
    <row r="55" spans="1:4" ht="15.75" customHeight="1" x14ac:dyDescent="0.25">
      <c r="B55" s="11" t="s">
        <v>34</v>
      </c>
      <c r="C55" s="98">
        <v>2.487333333333333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0.46489900000000001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6ckfeK5UJVcSZY2tgp+FvJuwYwYkvWvIYXBkUwJGrpegR9VodcZ8sUPS6IJwl3R3FkgA2OQCyW4gpr4LjqJK9Q==" saltValue="P8UsiZK/bod2QrsY+1zC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c9C7tSi/mI/uYFxYl5TwSOXnwDjAitjXDNVCuNA/fAjQEEGR6Y+fMzxxt6AFH/xehAg1VsF+y1Og+8xcDRW0w==" saltValue="mQpYyCDQA/DihMYY8g5j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1.7122701712270191E-2</v>
      </c>
    </row>
    <row r="4" spans="1:8" ht="15.75" customHeight="1" x14ac:dyDescent="0.25">
      <c r="B4" s="19" t="s">
        <v>116</v>
      </c>
      <c r="C4" s="99">
        <v>6.227920622792063E-2</v>
      </c>
    </row>
    <row r="5" spans="1:8" ht="15.75" customHeight="1" x14ac:dyDescent="0.25">
      <c r="B5" s="19" t="s">
        <v>114</v>
      </c>
      <c r="C5" s="99">
        <v>8.6707408670740976E-2</v>
      </c>
    </row>
    <row r="6" spans="1:8" ht="15.75" customHeight="1" x14ac:dyDescent="0.25">
      <c r="B6" s="19" t="s">
        <v>110</v>
      </c>
      <c r="C6" s="99">
        <v>0.24658692465869211</v>
      </c>
    </row>
    <row r="7" spans="1:8" ht="15.75" customHeight="1" x14ac:dyDescent="0.25">
      <c r="B7" s="19" t="s">
        <v>115</v>
      </c>
      <c r="C7" s="99">
        <v>0.412030341203034</v>
      </c>
    </row>
    <row r="8" spans="1:8" ht="15.75" customHeight="1" x14ac:dyDescent="0.25">
      <c r="B8" s="19" t="s">
        <v>117</v>
      </c>
      <c r="C8" s="99">
        <v>3.2824003282400402E-3</v>
      </c>
    </row>
    <row r="9" spans="1:8" ht="15.75" customHeight="1" x14ac:dyDescent="0.25">
      <c r="B9" s="19" t="s">
        <v>111</v>
      </c>
      <c r="C9" s="99">
        <v>6.1357306135730677E-2</v>
      </c>
    </row>
    <row r="10" spans="1:8" ht="15.75" customHeight="1" x14ac:dyDescent="0.25">
      <c r="B10" s="19" t="s">
        <v>113</v>
      </c>
      <c r="C10" s="99">
        <v>0.1106337110633713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121</v>
      </c>
      <c r="C15" s="99">
        <v>0.28678735683249079</v>
      </c>
      <c r="D15" s="99">
        <v>0.28678735683249079</v>
      </c>
      <c r="E15" s="99">
        <v>0.28678735683249079</v>
      </c>
      <c r="F15" s="99">
        <v>0.28678735683249079</v>
      </c>
    </row>
    <row r="16" spans="1:8" ht="15.75" customHeight="1" x14ac:dyDescent="0.25">
      <c r="B16" s="19" t="s">
        <v>2</v>
      </c>
      <c r="C16" s="99">
        <v>2.7265565756003932E-2</v>
      </c>
      <c r="D16" s="99">
        <v>2.7265565756003932E-2</v>
      </c>
      <c r="E16" s="99">
        <v>2.7265565756003932E-2</v>
      </c>
      <c r="F16" s="99">
        <v>2.7265565756003932E-2</v>
      </c>
    </row>
    <row r="17" spans="1:8" ht="15.75" customHeight="1" x14ac:dyDescent="0.25">
      <c r="B17" s="19" t="s">
        <v>109</v>
      </c>
      <c r="C17" s="99">
        <v>1.469761866134979E-3</v>
      </c>
      <c r="D17" s="99">
        <v>1.469761866134979E-3</v>
      </c>
      <c r="E17" s="99">
        <v>1.469761866134979E-3</v>
      </c>
      <c r="F17" s="99">
        <v>1.469761866134979E-3</v>
      </c>
    </row>
    <row r="18" spans="1:8" ht="15.75" customHeight="1" x14ac:dyDescent="0.25">
      <c r="B18" s="19" t="s">
        <v>3</v>
      </c>
      <c r="C18" s="99">
        <v>0.1181849068380063</v>
      </c>
      <c r="D18" s="99">
        <v>0.1181849068380063</v>
      </c>
      <c r="E18" s="99">
        <v>0.1181849068380063</v>
      </c>
      <c r="F18" s="99">
        <v>0.1181849068380063</v>
      </c>
    </row>
    <row r="19" spans="1:8" ht="15.75" customHeight="1" x14ac:dyDescent="0.25">
      <c r="B19" s="19" t="s">
        <v>120</v>
      </c>
      <c r="C19" s="99">
        <v>2.268923797004303E-2</v>
      </c>
      <c r="D19" s="99">
        <v>2.268923797004303E-2</v>
      </c>
      <c r="E19" s="99">
        <v>2.268923797004303E-2</v>
      </c>
      <c r="F19" s="99">
        <v>2.268923797004303E-2</v>
      </c>
    </row>
    <row r="20" spans="1:8" ht="15.75" customHeight="1" x14ac:dyDescent="0.25">
      <c r="B20" s="19" t="s">
        <v>98</v>
      </c>
      <c r="C20" s="99">
        <v>2.3678080438597891E-2</v>
      </c>
      <c r="D20" s="99">
        <v>2.3678080438597891E-2</v>
      </c>
      <c r="E20" s="99">
        <v>2.3678080438597891E-2</v>
      </c>
      <c r="F20" s="99">
        <v>2.3678080438597891E-2</v>
      </c>
    </row>
    <row r="21" spans="1:8" ht="15.75" customHeight="1" x14ac:dyDescent="0.25">
      <c r="B21" s="19" t="s">
        <v>107</v>
      </c>
      <c r="C21" s="99">
        <v>0.107555742570647</v>
      </c>
      <c r="D21" s="99">
        <v>0.107555742570647</v>
      </c>
      <c r="E21" s="99">
        <v>0.107555742570647</v>
      </c>
      <c r="F21" s="99">
        <v>0.107555742570647</v>
      </c>
    </row>
    <row r="22" spans="1:8" ht="15.75" customHeight="1" x14ac:dyDescent="0.25">
      <c r="B22" s="19" t="s">
        <v>118</v>
      </c>
      <c r="C22" s="99">
        <v>0.20562625741462129</v>
      </c>
      <c r="D22" s="99">
        <v>0.20562625741462129</v>
      </c>
      <c r="E22" s="99">
        <v>0.20562625741462129</v>
      </c>
      <c r="F22" s="99">
        <v>0.20562625741462129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8.8735101999999996E-2</v>
      </c>
    </row>
    <row r="27" spans="1:8" ht="15.75" customHeight="1" x14ac:dyDescent="0.25">
      <c r="B27" s="19" t="s">
        <v>108</v>
      </c>
      <c r="C27" s="99">
        <v>8.4480660000000006E-3</v>
      </c>
    </row>
    <row r="28" spans="1:8" ht="15.75" customHeight="1" x14ac:dyDescent="0.25">
      <c r="B28" s="19" t="s">
        <v>122</v>
      </c>
      <c r="C28" s="99">
        <v>0.157003631</v>
      </c>
    </row>
    <row r="29" spans="1:8" ht="15.75" customHeight="1" x14ac:dyDescent="0.25">
      <c r="B29" s="19" t="s">
        <v>105</v>
      </c>
      <c r="C29" s="99">
        <v>0.16959068199999999</v>
      </c>
    </row>
    <row r="30" spans="1:8" ht="15.75" customHeight="1" x14ac:dyDescent="0.25">
      <c r="B30" s="19" t="s">
        <v>4</v>
      </c>
      <c r="C30" s="99">
        <v>0.105430197</v>
      </c>
    </row>
    <row r="31" spans="1:8" ht="15.75" customHeight="1" x14ac:dyDescent="0.25">
      <c r="B31" s="19" t="s">
        <v>99</v>
      </c>
      <c r="C31" s="99">
        <v>0.109065357</v>
      </c>
    </row>
    <row r="32" spans="1:8" ht="15.75" customHeight="1" x14ac:dyDescent="0.25">
      <c r="B32" s="19" t="s">
        <v>104</v>
      </c>
      <c r="C32" s="99">
        <v>1.8742332E-2</v>
      </c>
    </row>
    <row r="33" spans="2:3" ht="15.75" customHeight="1" x14ac:dyDescent="0.25">
      <c r="B33" s="19" t="s">
        <v>119</v>
      </c>
      <c r="C33" s="99">
        <v>8.4799848999999997E-2</v>
      </c>
    </row>
    <row r="34" spans="2:3" ht="15.75" customHeight="1" x14ac:dyDescent="0.25">
      <c r="B34" s="19" t="s">
        <v>106</v>
      </c>
      <c r="C34" s="99">
        <v>0.25818478299999997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+b5Gs9VmiWZA3YC941jWp6BYzHbiG85XJii/WlpmQWI8Zj0JIopPlM5LtS2ydOwhqaPxvSgWcIVMatjmNtyfqg==" saltValue="WV1FErmwzdK7AawmxG/g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129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125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126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138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aSf/WQZYyOsRj4LSW2wrLQyIMfb9pNBZop/3nJtl/hL8WIVebN04Zt5Exlrc5Jh551NdXOj2+SCkALIxHYnDw==" saltValue="YAabVJlz/Pn3+b6Nwn1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UO7Uvg1ZfcKHaPPUILzRWDMskCU85MqYlG9GeyLTmz45aO+vbyPN/FR+4HWZNIX9hRavZqbBkQJcg+AZcq9hlA==" saltValue="Bf93PcMg5j4o7BCI1MlO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m7zHfVmw58iMdmM60/Z91cxi/cFuiXk+9aSCR5J9IqqDXvcuqI8EovzHMjVuEtN++LnmxTXLcvwHvph3jykKA==" saltValue="vpuDw4mfOKxZ1yeF37PD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2065.1555157010598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0.38267000000000001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0.27101999999999998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1.7350021408097435E-2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92693.010259999995</v>
      </c>
      <c r="C22" s="107">
        <v>92233.628660000002</v>
      </c>
      <c r="D22" s="107">
        <v>92014.647249999995</v>
      </c>
      <c r="E22" s="107">
        <v>91645.697560000001</v>
      </c>
      <c r="F22" s="107">
        <v>91101.702470000004</v>
      </c>
      <c r="G22" s="107">
        <v>90454.406130000003</v>
      </c>
      <c r="H22" s="107">
        <v>89659.362450000001</v>
      </c>
      <c r="I22" s="107">
        <v>88662.419909999997</v>
      </c>
      <c r="J22" s="107">
        <v>87262.19038</v>
      </c>
      <c r="K22" s="107">
        <v>85330.387520000004</v>
      </c>
      <c r="L22" s="107">
        <v>82447.313829999999</v>
      </c>
      <c r="M22" s="107">
        <v>78289.754029999996</v>
      </c>
      <c r="N22" s="107">
        <v>71929.955610000005</v>
      </c>
      <c r="O22" s="107">
        <v>63292.727919999998</v>
      </c>
    </row>
  </sheetData>
  <sheetProtection algorithmName="SHA-512" hashValue="PZsHDhWtSTOzC2Yeq2LBuNmQ6yLwp8efZDMYq90b7RsFIdvttvXBJ71auGHY67BHD/NJDlO23NqpjcXjRf91iA==" saltValue="akuFjDocT7sH2v8wjry3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STFZuhIMlRHIPLevQx+lOsFmA2X6E+/LE5Dx4yMuGkuND8WDhqjXcz0YRcHPHR+1bFWDl4GcyBRpRj6INUA4w==" saltValue="BOxsUeU38Hc3EoPrbSBR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wFRSnLmyZ/ISdGmyCCRBYNTzpDlyNyNJM69JtMSTlnOyxKB646JuNrlPPi5YRpUuGcQYNTwET854HL/r/nYXA==" saltValue="ZGv9ZZn0E5r825uyzKUT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0.28576590000000002</v>
      </c>
      <c r="C10" s="96">
        <v>0.95</v>
      </c>
      <c r="D10" s="56">
        <v>13.555007547773389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13.555007547773389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13.555007547773389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13.555007547773389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0.28576590000000002</v>
      </c>
      <c r="C14" s="96">
        <v>0.95</v>
      </c>
      <c r="D14" s="56">
        <v>13.555007547773389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13.555007547773389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0.22889889999999999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0.17599999999999999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0.36570609999999998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0.25781209999999999</v>
      </c>
      <c r="C23" s="96">
        <v>0.95</v>
      </c>
      <c r="D23" s="56">
        <v>4.4706017011529111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0.25720438775447002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0.19483020000000001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0.1996319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0.22370000000000001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0.41752408704084698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8.6300799999999997E-2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1.0247600000000001E-2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0.61272379999999993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7.0999999999999994E-2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U6mIkPgt1RiT1yQGAjPDjte6lMrJXALJaoP9eUvwEmF6L2a2ghnufzWIOj4YpfHd+EI09PqGB2tLASnwJpaRMw==" saltValue="gm1FS4uPy2oAiUTY0KMC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bHZd2TGyLSZ8PzDUZC4lKtwd3fJR6h1GPz8lG6LD9Ian0XdHtRvXSOVse0SYpsngQMm+RrVRXaQHIvkOeF9Vw==" saltValue="JnFKmEojdsTyFNtuWOHW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yFGeNz/hqapNDDCw/Ek5UrbMJppHD9rsKV85pqcDoeUs1ZJkigevqTwMogSrwA+uWkM6Hr/V9VK694+/OEb2A==" saltValue="QCOvQO8gSNrEra0j2Cc9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4.68</v>
      </c>
      <c r="E2" s="21">
        <f>'Entradas de población-año base'!C54</f>
        <v>5.1219999999999999</v>
      </c>
      <c r="F2" s="21">
        <f>'Entradas de población-año base'!C55</f>
        <v>2.487333333333333</v>
      </c>
    </row>
    <row r="3" spans="1:6" ht="15.75" customHeight="1" x14ac:dyDescent="0.25">
      <c r="A3" s="3" t="s">
        <v>6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236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NJXdjXqkW/ooQut49d6Pkq5NCps07sStHbOFH+CSKxbHLclrTYiNMEQLsi1z3KgXaXPJqV8kcgagsO5d9kBAnw==" saltValue="Nc2ftcrrAN2BXq38zj9o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XzBtYWChy8iMIkdv1KYPygQthlPSIlMOmERQqmq12+3yjVnWFvV9SxOg8UByBDHen+lTm3zzrBWLAaYyS403A==" saltValue="i0w2T0n+2cFu5nb88ABp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FbYyEnfShzI9lZQomicVW9qliil7Xg96ZGtbJA2S1YHyDVv6V4W6m8CWohMyco/JTCamVEkIArkkvFLQfFTqA==" saltValue="ueQuas+txTj0kZUpVseu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i1IfiD72ZVc9sYwytaeit3YdWBAK9Rmi5xmfjdkeJMVUM4XdKPzkPo1P/0nedjSOV7JXHKdbh3iUiaNDKfS9w==" saltValue="1u7XEUlGgPUrdejVUPa2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3d1OqLGYetA2QYeQ0kEZdfXhuTP57Z9zXPhSoxgOGIcqMy1K7l7utH03nPxCdVTLmcBd0GJuXCOmXcFp3OBRA==" saltValue="GEzfOA+OwsiqNsLUgvNR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iULHKm65hX29YZPINFHN8A4szSDgGTKH+lERo66OvmNijBJsZ2ihCdZuyyUnRj/PhQIGnSlLcihGoSGJNzebQ==" saltValue="jaO9e6WgaCj+KEUP4k+Gx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OkC77QfZuKYcIEvB2bCo1o79Xp5HbT9DvFbTJ2TBpPU2D3FkgQV0VzJ9QC5rTD4kJxy22BCUT2KKWcpFYK/1Q==" saltValue="sYm/cGufJF/9XWCPPg0a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kuBkh+CsAiXlH3foKWZJ9ILjpOyGnLPYFFYDtOfYvF6IR4+qx8FYtLmBlRTXrDBv9zLo0m9GUD0W6k22fRpFw==" saltValue="ce7aJRJSJpBJlAMjKYMAX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MCAG9kDG2lBz6ZTuT8n4Hkc47kaXgT6dEWGe72FFmXwR6HKLbPjAbnCC+mAZRZ49BVhF/cus1XMUWlWbJAfzA==" saltValue="qrJMtqghKm4Fl0LxHXFY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y2Ihw/7Nvnemd++NWiaxFQ6FPBMapKLPM3i/RCW+qV+OM3A+H474Nj7JTFdm+V9AYby65SbRZV5IGgkwjQwcQ==" saltValue="SLIhIZfriZoRJ4EhME2A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iYAktzcFmaAUrb6J8JdfiNeUikTfXlXN+EWLrEZoQq+XPioZ5hxY6JHVTtKxCH/M2TCuCMtW8tbHBAnM39dYw==" saltValue="IpxkTHhiKrHlDxTvgfWg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KG2tFkAnfXczWafRl6FsXflFB6EbeKX0AVZj9CAa/4+S9GmNBtjW4ROSn8trdVgZ+OA02pXtzRCdqRQlxL8IQ==" saltValue="GOpJnE9NoPwi8d6lwIt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+nQx6IVz+str1HdA6oWteg/6zso4UGc8q9pqIjMRz7bU5VJJmc1BYOJmXYEPOKCSoHwRA80UVjQ6JTGPw2mKA==" saltValue="gKziDoQygUgXK/nRCmL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kql6q7dmiQxg0UgVzJv24kPAbY3ZZfttgDSAHc86mwFtPApkl272qy0ySiIQ7e8oTzxX3303fIbVSlq0TEtWA==" saltValue="Qx+Qf8ekS53dLe0A61Ja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OH4+9SZJY6mePK+7HOTTl+Dg/nyzf5Rw9EPdlR5axOOdwXshCVJVWpj23fPsUslWERJVofjnOR+awMFL+dBEw==" saltValue="LKpyhs4wn5ah6+czbck7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3ffz0YvfR58ID3Tp8Wwdww2cBpyiv2IUL8YJNojLmlJ8RmbtxPfQW/0/P3VySjywHGi0OMkiV4PqRNSO071og==" saltValue="8pGIXsQv8ZTHURZ5ZxVfv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