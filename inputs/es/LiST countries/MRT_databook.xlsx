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281299D0-4828-4899-B20F-869EA689016E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<sst xmlns="http://schemas.openxmlformats.org/spreadsheetml/2006/main" count="2102" uniqueCount="341">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</sst>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739303.15625</v>
      </c>
    </row>
    <row r="8" spans="1:3" ht="15" customHeight="1" x14ac:dyDescent="0.25">
      <c r="B8" s="5" t="s">
        <v>44</v>
      </c>
      <c r="C8" s="44">
        <v>0.06</v>
      </c>
    </row>
    <row r="9" spans="1:3" ht="15" customHeight="1" x14ac:dyDescent="0.25">
      <c r="B9" s="5" t="s">
        <v>43</v>
      </c>
      <c r="C9" s="45">
        <v>0.41</v>
      </c>
    </row>
    <row r="10" spans="1:3" ht="15" customHeight="1" x14ac:dyDescent="0.25">
      <c r="B10" s="5" t="s">
        <v>56</v>
      </c>
      <c r="C10" s="45">
        <v>0.248721008300781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0.69599999999999995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8.6800000000000002E-2</v>
      </c>
    </row>
    <row r="24" spans="1:3" ht="15" customHeight="1" x14ac:dyDescent="0.25">
      <c r="B24" s="15" t="s">
        <v>46</v>
      </c>
      <c r="C24" s="45">
        <v>0.40960000000000002</v>
      </c>
    </row>
    <row r="25" spans="1:3" ht="15" customHeight="1" x14ac:dyDescent="0.25">
      <c r="B25" s="15" t="s">
        <v>47</v>
      </c>
      <c r="C25" s="45">
        <v>0.3861</v>
      </c>
    </row>
    <row r="26" spans="1:3" ht="15" customHeight="1" x14ac:dyDescent="0.25">
      <c r="B26" s="15" t="s">
        <v>48</v>
      </c>
      <c r="C26" s="45">
        <v>0.11749999999999999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0.19753817858252901</v>
      </c>
    </row>
    <row r="30" spans="1:3" ht="14.25" customHeight="1" x14ac:dyDescent="0.25">
      <c r="B30" s="25" t="s">
        <v>63</v>
      </c>
      <c r="C30" s="99">
        <v>8.0206442932605593E-2</v>
      </c>
    </row>
    <row r="31" spans="1:3" ht="14.25" customHeight="1" x14ac:dyDescent="0.25">
      <c r="B31" s="25" t="s">
        <v>10</v>
      </c>
      <c r="C31" s="99">
        <v>0.11863998378949001</v>
      </c>
    </row>
    <row r="32" spans="1:3" ht="14.25" customHeight="1" x14ac:dyDescent="0.25">
      <c r="B32" s="25" t="s">
        <v>11</v>
      </c>
      <c r="C32" s="99">
        <v>0.60361539469537495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22.61336</v>
      </c>
    </row>
    <row r="38" spans="1:5" ht="15" customHeight="1" x14ac:dyDescent="0.25">
      <c r="B38" s="11" t="s">
        <v>35</v>
      </c>
      <c r="C38" s="43">
        <v>32.205010000000001</v>
      </c>
      <c r="D38" s="12"/>
      <c r="E38" s="13"/>
    </row>
    <row r="39" spans="1:5" ht="15" customHeight="1" x14ac:dyDescent="0.25">
      <c r="B39" s="11" t="s">
        <v>61</v>
      </c>
      <c r="C39" s="43">
        <v>40.498460000000001</v>
      </c>
      <c r="D39" s="12"/>
      <c r="E39" s="12"/>
    </row>
    <row r="40" spans="1:5" ht="15" customHeight="1" x14ac:dyDescent="0.25">
      <c r="B40" s="11" t="s">
        <v>36</v>
      </c>
      <c r="C40" s="100">
        <v>4.6399999999999997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16.71077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7.9477000000000003E-3</v>
      </c>
      <c r="D45" s="12"/>
    </row>
    <row r="46" spans="1:5" ht="15.75" customHeight="1" x14ac:dyDescent="0.25">
      <c r="B46" s="11" t="s">
        <v>51</v>
      </c>
      <c r="C46" s="45">
        <v>8.5397000000000001E-2</v>
      </c>
      <c r="D46" s="12"/>
    </row>
    <row r="47" spans="1:5" ht="15.75" customHeight="1" x14ac:dyDescent="0.25">
      <c r="B47" s="11" t="s">
        <v>59</v>
      </c>
      <c r="C47" s="45">
        <v>7.3442499999999994E-2</v>
      </c>
      <c r="D47" s="12"/>
      <c r="E47" s="13"/>
    </row>
    <row r="48" spans="1:5" ht="15" customHeight="1" x14ac:dyDescent="0.25">
      <c r="B48" s="11" t="s">
        <v>58</v>
      </c>
      <c r="C48" s="46">
        <v>0.83321279999999998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0.46489900000000001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Ea5bGLy8y5LSa7iOZMdAmUNmBoOr+MrAtebsNDo0fOYQlXfxjzPHp9i1G45jKJIFa8GDcsvAQLwMznoc092T5g==" saltValue="W2ln1RBnTPnhmC7uh6wW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160963</v>
      </c>
      <c r="C2" s="49">
        <v>341751</v>
      </c>
      <c r="D2" s="49">
        <v>438274.5</v>
      </c>
      <c r="E2" s="49">
        <v>317962</v>
      </c>
      <c r="F2" s="49">
        <v>194751.5</v>
      </c>
      <c r="G2" s="17">
        <f t="shared" ref="G2:G13" si="0">C2+D2+E2+F2</f>
        <v>1292739</v>
      </c>
      <c r="H2" s="17">
        <f t="shared" ref="H2:H13" si="1">(B2 + stillbirth*B2/(1000-stillbirth))/(1-abortion)</f>
        <v>186021.05506637145</v>
      </c>
      <c r="I2" s="17">
        <f t="shared" ref="I2:I13" si="2">G2-H2</f>
        <v>1106717.9449336287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163590</v>
      </c>
      <c r="C3" s="50">
        <v>352148</v>
      </c>
      <c r="D3" s="50">
        <v>452815</v>
      </c>
      <c r="E3" s="50">
        <v>328481.5</v>
      </c>
      <c r="F3" s="50">
        <v>201807.5</v>
      </c>
      <c r="G3" s="17">
        <f t="shared" si="0"/>
        <v>1335252</v>
      </c>
      <c r="H3" s="17">
        <f t="shared" si="1"/>
        <v>189057.0155769196</v>
      </c>
      <c r="I3" s="17">
        <f t="shared" si="2"/>
        <v>1146194.9844230805</v>
      </c>
    </row>
    <row r="4" spans="1:9" ht="15.75" customHeight="1" x14ac:dyDescent="0.25">
      <c r="A4" s="5">
        <f t="shared" si="3"/>
        <v>2026</v>
      </c>
      <c r="B4" s="49">
        <v>166071</v>
      </c>
      <c r="C4" s="50">
        <v>362061.99999999988</v>
      </c>
      <c r="D4" s="50">
        <v>467980</v>
      </c>
      <c r="E4" s="50">
        <v>339228</v>
      </c>
      <c r="F4" s="50">
        <v>209186.5</v>
      </c>
      <c r="G4" s="17">
        <f t="shared" si="0"/>
        <v>1378456.5</v>
      </c>
      <c r="H4" s="17">
        <f t="shared" si="1"/>
        <v>191924.24741044448</v>
      </c>
      <c r="I4" s="17">
        <f t="shared" si="2"/>
        <v>1186532.2525895555</v>
      </c>
    </row>
    <row r="5" spans="1:9" ht="15.75" customHeight="1" x14ac:dyDescent="0.25">
      <c r="A5" s="5">
        <f t="shared" si="3"/>
        <v>2027</v>
      </c>
      <c r="B5" s="49">
        <v>169012</v>
      </c>
      <c r="C5" s="50">
        <v>368698.49999999988</v>
      </c>
      <c r="D5" s="50">
        <v>483762.99999999988</v>
      </c>
      <c r="E5" s="50">
        <v>350195.5</v>
      </c>
      <c r="F5" s="50">
        <v>216847</v>
      </c>
      <c r="G5" s="17">
        <f t="shared" si="0"/>
        <v>1419503.9999999998</v>
      </c>
      <c r="H5" s="17">
        <f t="shared" si="1"/>
        <v>195323.09014417956</v>
      </c>
      <c r="I5" s="17">
        <f t="shared" si="2"/>
        <v>1224180.9098558202</v>
      </c>
    </row>
    <row r="6" spans="1:9" ht="15.75" customHeight="1" x14ac:dyDescent="0.25">
      <c r="A6" s="5">
        <f t="shared" si="3"/>
        <v>2028</v>
      </c>
      <c r="B6" s="49">
        <v>171220</v>
      </c>
      <c r="C6" s="50">
        <v>372192.5</v>
      </c>
      <c r="D6" s="50">
        <v>500132</v>
      </c>
      <c r="E6" s="50">
        <v>361416</v>
      </c>
      <c r="F6" s="50">
        <v>224750.5</v>
      </c>
      <c r="G6" s="17">
        <f t="shared" si="0"/>
        <v>1458491</v>
      </c>
      <c r="H6" s="17">
        <f t="shared" si="1"/>
        <v>197874.82246518842</v>
      </c>
      <c r="I6" s="17">
        <f t="shared" si="2"/>
        <v>1260616.1775348117</v>
      </c>
    </row>
    <row r="7" spans="1:9" ht="15.75" customHeight="1" x14ac:dyDescent="0.25">
      <c r="A7" s="5">
        <f t="shared" si="3"/>
        <v>2029</v>
      </c>
      <c r="B7" s="49">
        <v>173250</v>
      </c>
      <c r="C7" s="50">
        <v>375223</v>
      </c>
      <c r="D7" s="50">
        <v>516995.5</v>
      </c>
      <c r="E7" s="50">
        <v>372929</v>
      </c>
      <c r="F7" s="50">
        <v>232853.5</v>
      </c>
      <c r="G7" s="17">
        <f t="shared" si="0"/>
        <v>1498001</v>
      </c>
      <c r="H7" s="17">
        <f t="shared" si="1"/>
        <v>200220.84448133333</v>
      </c>
      <c r="I7" s="17">
        <f t="shared" si="2"/>
        <v>1297780.1555186666</v>
      </c>
    </row>
    <row r="8" spans="1:9" ht="15.75" customHeight="1" x14ac:dyDescent="0.25">
      <c r="A8" s="5">
        <f t="shared" si="3"/>
        <v>2030</v>
      </c>
      <c r="B8" s="49">
        <v>175527</v>
      </c>
      <c r="C8" s="50">
        <v>377796.5</v>
      </c>
      <c r="D8" s="50">
        <v>534179</v>
      </c>
      <c r="E8" s="50">
        <v>384804</v>
      </c>
      <c r="F8" s="50">
        <v>241121</v>
      </c>
      <c r="G8" s="17">
        <f t="shared" si="0"/>
        <v>1537900.5</v>
      </c>
      <c r="H8" s="17">
        <f t="shared" si="1"/>
        <v>202852.3184373737</v>
      </c>
      <c r="I8" s="17">
        <f t="shared" si="2"/>
        <v>1335048.1815626263</v>
      </c>
    </row>
    <row r="9" spans="1:9" ht="15.75" customHeight="1" x14ac:dyDescent="0.25">
      <c r="A9" s="5">
        <f t="shared" si="3"/>
        <v>2031</v>
      </c>
      <c r="B9" s="49">
        <v>177527</v>
      </c>
      <c r="C9" s="50">
        <v>379931</v>
      </c>
      <c r="D9" s="50">
        <v>551483</v>
      </c>
      <c r="E9" s="50">
        <v>397112.5</v>
      </c>
      <c r="F9" s="50">
        <v>249530</v>
      </c>
      <c r="G9" s="17">
        <f t="shared" si="0"/>
        <v>1578056.5</v>
      </c>
      <c r="H9" s="17">
        <f t="shared" si="1"/>
        <v>205163.67017741795</v>
      </c>
      <c r="I9" s="17">
        <f t="shared" si="2"/>
        <v>1372892.829822582</v>
      </c>
    </row>
    <row r="10" spans="1:9" ht="15.75" customHeight="1" x14ac:dyDescent="0.25">
      <c r="A10" s="5">
        <f t="shared" si="3"/>
        <v>2032</v>
      </c>
      <c r="B10" s="49">
        <v>180183</v>
      </c>
      <c r="C10" s="50">
        <v>382019</v>
      </c>
      <c r="D10" s="50">
        <v>568514.5</v>
      </c>
      <c r="E10" s="50">
        <v>409900.50000000012</v>
      </c>
      <c r="F10" s="50">
        <v>258078.5</v>
      </c>
      <c r="G10" s="17">
        <f t="shared" si="0"/>
        <v>1618512.5</v>
      </c>
      <c r="H10" s="17">
        <f t="shared" si="1"/>
        <v>208233.14528819674</v>
      </c>
      <c r="I10" s="17">
        <f t="shared" si="2"/>
        <v>1410279.3547118031</v>
      </c>
    </row>
    <row r="11" spans="1:9" ht="15.75" customHeight="1" x14ac:dyDescent="0.25">
      <c r="A11" s="5">
        <f t="shared" si="3"/>
        <v>2033</v>
      </c>
      <c r="B11" s="49">
        <v>182199</v>
      </c>
      <c r="C11" s="50">
        <v>386824.50000000012</v>
      </c>
      <c r="D11" s="50">
        <v>582352</v>
      </c>
      <c r="E11" s="50">
        <v>423191</v>
      </c>
      <c r="F11" s="50">
        <v>266786</v>
      </c>
      <c r="G11" s="17">
        <f t="shared" si="0"/>
        <v>1659153.5</v>
      </c>
      <c r="H11" s="17">
        <f t="shared" si="1"/>
        <v>210562.98784216132</v>
      </c>
      <c r="I11" s="17">
        <f t="shared" si="2"/>
        <v>1448590.5121578388</v>
      </c>
    </row>
    <row r="12" spans="1:9" ht="15.75" customHeight="1" x14ac:dyDescent="0.25">
      <c r="A12" s="5">
        <f t="shared" si="3"/>
        <v>2034</v>
      </c>
      <c r="B12" s="49">
        <v>184776</v>
      </c>
      <c r="C12" s="50">
        <v>394179.00000000012</v>
      </c>
      <c r="D12" s="50">
        <v>593026</v>
      </c>
      <c r="E12" s="50">
        <v>437041.5</v>
      </c>
      <c r="F12" s="50">
        <v>275712.5</v>
      </c>
      <c r="G12" s="17">
        <f t="shared" si="0"/>
        <v>1699959</v>
      </c>
      <c r="H12" s="17">
        <f t="shared" si="1"/>
        <v>213541.16455920835</v>
      </c>
      <c r="I12" s="17">
        <f t="shared" si="2"/>
        <v>1486417.8354407917</v>
      </c>
    </row>
    <row r="13" spans="1:9" ht="15.75" customHeight="1" x14ac:dyDescent="0.25">
      <c r="A13" s="5">
        <f t="shared" si="3"/>
        <v>2035</v>
      </c>
      <c r="B13" s="49">
        <v>186305</v>
      </c>
      <c r="C13" s="50">
        <v>401658.5</v>
      </c>
      <c r="D13" s="50">
        <v>603160.5</v>
      </c>
      <c r="E13" s="50">
        <v>451498.5</v>
      </c>
      <c r="F13" s="50">
        <v>284892.5</v>
      </c>
      <c r="G13" s="17">
        <f t="shared" si="0"/>
        <v>1741210</v>
      </c>
      <c r="H13" s="17">
        <f t="shared" si="1"/>
        <v>215308.1929644722</v>
      </c>
      <c r="I13" s="17">
        <f t="shared" si="2"/>
        <v>1525901.8070355279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GjV0gQZtd9wjho0DGbDCdyvX4DOy7kP36qFmf365TRSutONDtNHk12gGgJFWF2m0QoRx6ASzQr4kIWpsNusSw==" saltValue="fLjrq+w7lEvqkryMe5je1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1.7122701712270191E-2</v>
      </c>
    </row>
    <row r="4" spans="1:8" ht="15.75" customHeight="1" x14ac:dyDescent="0.25">
      <c r="B4" s="19" t="s">
        <v>97</v>
      </c>
      <c r="C4" s="101">
        <v>6.227920622792063E-2</v>
      </c>
    </row>
    <row r="5" spans="1:8" ht="15.75" customHeight="1" x14ac:dyDescent="0.25">
      <c r="B5" s="19" t="s">
        <v>95</v>
      </c>
      <c r="C5" s="101">
        <v>8.6707408670740976E-2</v>
      </c>
    </row>
    <row r="6" spans="1:8" ht="15.75" customHeight="1" x14ac:dyDescent="0.25">
      <c r="B6" s="19" t="s">
        <v>91</v>
      </c>
      <c r="C6" s="101">
        <v>0.24658692465869211</v>
      </c>
    </row>
    <row r="7" spans="1:8" ht="15.75" customHeight="1" x14ac:dyDescent="0.25">
      <c r="B7" s="19" t="s">
        <v>96</v>
      </c>
      <c r="C7" s="101">
        <v>0.412030341203034</v>
      </c>
    </row>
    <row r="8" spans="1:8" ht="15.75" customHeight="1" x14ac:dyDescent="0.25">
      <c r="B8" s="19" t="s">
        <v>98</v>
      </c>
      <c r="C8" s="101">
        <v>3.2824003282400402E-3</v>
      </c>
    </row>
    <row r="9" spans="1:8" ht="15.75" customHeight="1" x14ac:dyDescent="0.25">
      <c r="B9" s="19" t="s">
        <v>92</v>
      </c>
      <c r="C9" s="101">
        <v>6.1357306135730677E-2</v>
      </c>
    </row>
    <row r="10" spans="1:8" ht="15.75" customHeight="1" x14ac:dyDescent="0.25">
      <c r="B10" s="19" t="s">
        <v>94</v>
      </c>
      <c r="C10" s="101">
        <v>0.1106337110633713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0.20674309031345461</v>
      </c>
      <c r="D14" s="55">
        <v>0.20674309031345461</v>
      </c>
      <c r="E14" s="55">
        <v>0.20674309031345461</v>
      </c>
      <c r="F14" s="55">
        <v>0.20674309031345461</v>
      </c>
    </row>
    <row r="15" spans="1:8" ht="15.75" customHeight="1" x14ac:dyDescent="0.25">
      <c r="B15" s="19" t="s">
        <v>102</v>
      </c>
      <c r="C15" s="101">
        <v>0.28678735683249079</v>
      </c>
      <c r="D15" s="101">
        <v>0.28678735683249079</v>
      </c>
      <c r="E15" s="101">
        <v>0.28678735683249079</v>
      </c>
      <c r="F15" s="101">
        <v>0.28678735683249079</v>
      </c>
    </row>
    <row r="16" spans="1:8" ht="15.75" customHeight="1" x14ac:dyDescent="0.25">
      <c r="B16" s="19" t="s">
        <v>2</v>
      </c>
      <c r="C16" s="101">
        <v>2.7265565756003932E-2</v>
      </c>
      <c r="D16" s="101">
        <v>2.7265565756003932E-2</v>
      </c>
      <c r="E16" s="101">
        <v>2.7265565756003932E-2</v>
      </c>
      <c r="F16" s="101">
        <v>2.7265565756003932E-2</v>
      </c>
    </row>
    <row r="17" spans="1:8" ht="15.75" customHeight="1" x14ac:dyDescent="0.25">
      <c r="B17" s="19" t="s">
        <v>90</v>
      </c>
      <c r="C17" s="101">
        <v>1.469761866134979E-3</v>
      </c>
      <c r="D17" s="101">
        <v>1.469761866134979E-3</v>
      </c>
      <c r="E17" s="101">
        <v>1.469761866134979E-3</v>
      </c>
      <c r="F17" s="101">
        <v>1.469761866134979E-3</v>
      </c>
    </row>
    <row r="18" spans="1:8" ht="15.75" customHeight="1" x14ac:dyDescent="0.25">
      <c r="B18" s="19" t="s">
        <v>3</v>
      </c>
      <c r="C18" s="101">
        <v>0.1181849068380063</v>
      </c>
      <c r="D18" s="101">
        <v>0.1181849068380063</v>
      </c>
      <c r="E18" s="101">
        <v>0.1181849068380063</v>
      </c>
      <c r="F18" s="101">
        <v>0.1181849068380063</v>
      </c>
    </row>
    <row r="19" spans="1:8" ht="15.75" customHeight="1" x14ac:dyDescent="0.25">
      <c r="B19" s="19" t="s">
        <v>101</v>
      </c>
      <c r="C19" s="101">
        <v>2.268923797004303E-2</v>
      </c>
      <c r="D19" s="101">
        <v>2.268923797004303E-2</v>
      </c>
      <c r="E19" s="101">
        <v>2.268923797004303E-2</v>
      </c>
      <c r="F19" s="101">
        <v>2.268923797004303E-2</v>
      </c>
    </row>
    <row r="20" spans="1:8" ht="15.75" customHeight="1" x14ac:dyDescent="0.25">
      <c r="B20" s="19" t="s">
        <v>79</v>
      </c>
      <c r="C20" s="101">
        <v>2.3678080438597891E-2</v>
      </c>
      <c r="D20" s="101">
        <v>2.3678080438597891E-2</v>
      </c>
      <c r="E20" s="101">
        <v>2.3678080438597891E-2</v>
      </c>
      <c r="F20" s="101">
        <v>2.3678080438597891E-2</v>
      </c>
    </row>
    <row r="21" spans="1:8" ht="15.75" customHeight="1" x14ac:dyDescent="0.25">
      <c r="B21" s="19" t="s">
        <v>88</v>
      </c>
      <c r="C21" s="101">
        <v>0.107555742570647</v>
      </c>
      <c r="D21" s="101">
        <v>0.107555742570647</v>
      </c>
      <c r="E21" s="101">
        <v>0.107555742570647</v>
      </c>
      <c r="F21" s="101">
        <v>0.107555742570647</v>
      </c>
    </row>
    <row r="22" spans="1:8" ht="15.75" customHeight="1" x14ac:dyDescent="0.25">
      <c r="B22" s="19" t="s">
        <v>99</v>
      </c>
      <c r="C22" s="101">
        <v>0.20562625741462129</v>
      </c>
      <c r="D22" s="101">
        <v>0.20562625741462129</v>
      </c>
      <c r="E22" s="101">
        <v>0.20562625741462129</v>
      </c>
      <c r="F22" s="101">
        <v>0.20562625741462129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8.8735101999999996E-2</v>
      </c>
    </row>
    <row r="27" spans="1:8" ht="15.75" customHeight="1" x14ac:dyDescent="0.25">
      <c r="B27" s="19" t="s">
        <v>89</v>
      </c>
      <c r="C27" s="101">
        <v>8.4480660000000006E-3</v>
      </c>
    </row>
    <row r="28" spans="1:8" ht="15.75" customHeight="1" x14ac:dyDescent="0.25">
      <c r="B28" s="19" t="s">
        <v>103</v>
      </c>
      <c r="C28" s="101">
        <v>0.157003631</v>
      </c>
    </row>
    <row r="29" spans="1:8" ht="15.75" customHeight="1" x14ac:dyDescent="0.25">
      <c r="B29" s="19" t="s">
        <v>86</v>
      </c>
      <c r="C29" s="101">
        <v>0.16959068199999999</v>
      </c>
    </row>
    <row r="30" spans="1:8" ht="15.75" customHeight="1" x14ac:dyDescent="0.25">
      <c r="B30" s="19" t="s">
        <v>4</v>
      </c>
      <c r="C30" s="101">
        <v>0.105430197</v>
      </c>
    </row>
    <row r="31" spans="1:8" ht="15.75" customHeight="1" x14ac:dyDescent="0.25">
      <c r="B31" s="19" t="s">
        <v>80</v>
      </c>
      <c r="C31" s="101">
        <v>0.109065357</v>
      </c>
    </row>
    <row r="32" spans="1:8" ht="15.75" customHeight="1" x14ac:dyDescent="0.25">
      <c r="B32" s="19" t="s">
        <v>85</v>
      </c>
      <c r="C32" s="101">
        <v>1.8742332E-2</v>
      </c>
    </row>
    <row r="33" spans="2:3" ht="15.75" customHeight="1" x14ac:dyDescent="0.25">
      <c r="B33" s="19" t="s">
        <v>100</v>
      </c>
      <c r="C33" s="101">
        <v>8.4799848999999997E-2</v>
      </c>
    </row>
    <row r="34" spans="2:3" ht="15.75" customHeight="1" x14ac:dyDescent="0.25">
      <c r="B34" s="19" t="s">
        <v>87</v>
      </c>
      <c r="C34" s="101">
        <v>0.25818478299999997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uCz3skhNTeZ29AP898pJWNi3hCNLKYvOB951Ms7GhF85uN+VSwdCHiSb1mign0roS+b3x7fyJCX19ARSgbKOXg==" saltValue="ihaSzEOEIks7my24oQbSx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0.54280678597226562</v>
      </c>
      <c r="D2" s="52">
        <f>IFERROR(1-_xlfn.NORM.DIST(_xlfn.NORM.INV(SUM(D4:D5), 0, 1) + 1, 0, 1, TRUE), "")</f>
        <v>0.54280678597226562</v>
      </c>
      <c r="E2" s="52">
        <f>IFERROR(1-_xlfn.NORM.DIST(_xlfn.NORM.INV(SUM(E4:E5), 0, 1) + 1, 0, 1, TRUE), "")</f>
        <v>0.46358896576958464</v>
      </c>
      <c r="F2" s="52">
        <f>IFERROR(1-_xlfn.NORM.DIST(_xlfn.NORM.INV(SUM(F4:F5), 0, 1) + 1, 0, 1, TRUE), "")</f>
        <v>0.3486275588326081</v>
      </c>
      <c r="G2" s="52">
        <f>IFERROR(1-_xlfn.NORM.DIST(_xlfn.NORM.INV(SUM(G4:G5), 0, 1) + 1, 0, 1, TRUE), "")</f>
        <v>0.32539415545662653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0.32315591402773436</v>
      </c>
      <c r="D3" s="52">
        <f>IFERROR(_xlfn.NORM.DIST(_xlfn.NORM.INV(SUM(D4:D5), 0, 1) + 1, 0, 1, TRUE) - SUM(D4:D5), "")</f>
        <v>0.32315591402773436</v>
      </c>
      <c r="E3" s="52">
        <f>IFERROR(_xlfn.NORM.DIST(_xlfn.NORM.INV(SUM(E4:E5), 0, 1) + 1, 0, 1, TRUE) - SUM(E4:E5), "")</f>
        <v>0.35463143423041538</v>
      </c>
      <c r="F3" s="52">
        <f>IFERROR(_xlfn.NORM.DIST(_xlfn.NORM.INV(SUM(F4:F5), 0, 1) + 1, 0, 1, TRUE) - SUM(F4:F5), "")</f>
        <v>0.38076324116739191</v>
      </c>
      <c r="G3" s="52">
        <f>IFERROR(_xlfn.NORM.DIST(_xlfn.NORM.INV(SUM(G4:G5), 0, 1) + 1, 0, 1, TRUE) - SUM(G4:G5), "")</f>
        <v>0.38253074454337344</v>
      </c>
    </row>
    <row r="4" spans="1:15" ht="15.75" customHeight="1" x14ac:dyDescent="0.25">
      <c r="B4" s="5" t="s">
        <v>110</v>
      </c>
      <c r="C4" s="45">
        <v>0.10493</v>
      </c>
      <c r="D4" s="53">
        <v>0.10493</v>
      </c>
      <c r="E4" s="53">
        <v>0.14261699999999999</v>
      </c>
      <c r="F4" s="53">
        <v>0.1829336</v>
      </c>
      <c r="G4" s="53">
        <v>0.18611520000000001</v>
      </c>
    </row>
    <row r="5" spans="1:15" ht="15.75" customHeight="1" x14ac:dyDescent="0.25">
      <c r="B5" s="5" t="s">
        <v>106</v>
      </c>
      <c r="C5" s="45">
        <v>2.9107299999999999E-2</v>
      </c>
      <c r="D5" s="53">
        <v>2.9107299999999999E-2</v>
      </c>
      <c r="E5" s="53">
        <v>3.9162599999999999E-2</v>
      </c>
      <c r="F5" s="53">
        <v>8.7675599999999992E-2</v>
      </c>
      <c r="G5" s="53">
        <v>0.1059599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0.71746899892817184</v>
      </c>
      <c r="D8" s="52">
        <f>IFERROR(1-_xlfn.NORM.DIST(_xlfn.NORM.INV(SUM(D10:D11), 0, 1) + 1, 0, 1, TRUE), "")</f>
        <v>0.71746899892817184</v>
      </c>
      <c r="E8" s="52">
        <f>IFERROR(1-_xlfn.NORM.DIST(_xlfn.NORM.INV(SUM(E10:E11), 0, 1) + 1, 0, 1, TRUE), "")</f>
        <v>0.69191970475586373</v>
      </c>
      <c r="F8" s="52">
        <f>IFERROR(1-_xlfn.NORM.DIST(_xlfn.NORM.INV(SUM(F10:F11), 0, 1) + 1, 0, 1, TRUE), "")</f>
        <v>0.64241419491169161</v>
      </c>
      <c r="G8" s="52">
        <f>IFERROR(1-_xlfn.NORM.DIST(_xlfn.NORM.INV(SUM(G10:G11), 0, 1) + 1, 0, 1, TRUE), "")</f>
        <v>0.71501995293110177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0.22494190107182815</v>
      </c>
      <c r="D9" s="52">
        <f>IFERROR(_xlfn.NORM.DIST(_xlfn.NORM.INV(SUM(D10:D11), 0, 1) + 1, 0, 1, TRUE) - SUM(D10:D11), "")</f>
        <v>0.22494190107182815</v>
      </c>
      <c r="E9" s="52">
        <f>IFERROR(_xlfn.NORM.DIST(_xlfn.NORM.INV(SUM(E10:E11), 0, 1) + 1, 0, 1, TRUE) - SUM(E10:E11), "")</f>
        <v>0.24144119524413626</v>
      </c>
      <c r="F9" s="52">
        <f>IFERROR(_xlfn.NORM.DIST(_xlfn.NORM.INV(SUM(F10:F11), 0, 1) + 1, 0, 1, TRUE) - SUM(F10:F11), "")</f>
        <v>0.27144660508830842</v>
      </c>
      <c r="G9" s="52">
        <f>IFERROR(_xlfn.NORM.DIST(_xlfn.NORM.INV(SUM(G10:G11), 0, 1) + 1, 0, 1, TRUE) - SUM(G10:G11), "")</f>
        <v>0.22655234706889824</v>
      </c>
    </row>
    <row r="10" spans="1:15" ht="15.75" customHeight="1" x14ac:dyDescent="0.25">
      <c r="B10" s="5" t="s">
        <v>107</v>
      </c>
      <c r="C10" s="45">
        <v>4.6379700000000003E-2</v>
      </c>
      <c r="D10" s="53">
        <v>4.6379700000000003E-2</v>
      </c>
      <c r="E10" s="53">
        <v>5.8005599999999997E-2</v>
      </c>
      <c r="F10" s="53">
        <v>7.1402499999999994E-2</v>
      </c>
      <c r="G10" s="53">
        <v>5.0026300000000003E-2</v>
      </c>
    </row>
    <row r="11" spans="1:15" ht="15.75" customHeight="1" x14ac:dyDescent="0.25">
      <c r="B11" s="5" t="s">
        <v>119</v>
      </c>
      <c r="C11" s="45">
        <v>1.12094E-2</v>
      </c>
      <c r="D11" s="53">
        <v>1.12094E-2</v>
      </c>
      <c r="E11" s="53">
        <v>8.6334999999999988E-3</v>
      </c>
      <c r="F11" s="53">
        <v>1.47367E-2</v>
      </c>
      <c r="G11" s="53">
        <v>8.4013999999999998E-3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0.70639477425000008</v>
      </c>
      <c r="D14" s="54">
        <v>0.68218456074</v>
      </c>
      <c r="E14" s="54">
        <v>0.68218456074</v>
      </c>
      <c r="F14" s="54">
        <v>0.70673003779300003</v>
      </c>
      <c r="G14" s="54">
        <v>0.70673003779300003</v>
      </c>
      <c r="H14" s="45">
        <v>0.44600000000000001</v>
      </c>
      <c r="I14" s="55">
        <v>0.44600000000000001</v>
      </c>
      <c r="J14" s="55">
        <v>0.44600000000000001</v>
      </c>
      <c r="K14" s="55">
        <v>0.44600000000000001</v>
      </c>
      <c r="L14" s="45">
        <v>0.36499999999999999</v>
      </c>
      <c r="M14" s="55">
        <v>0.36499999999999999</v>
      </c>
      <c r="N14" s="55">
        <v>0.36499999999999999</v>
      </c>
      <c r="O14" s="55">
        <v>0.36499999999999999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0.32840222415405079</v>
      </c>
      <c r="D15" s="52">
        <f t="shared" si="0"/>
        <v>0.31714692010346529</v>
      </c>
      <c r="E15" s="52">
        <f t="shared" si="0"/>
        <v>0.31714692010346529</v>
      </c>
      <c r="F15" s="52">
        <f t="shared" si="0"/>
        <v>0.3285580878399279</v>
      </c>
      <c r="G15" s="52">
        <f t="shared" si="0"/>
        <v>0.3285580878399279</v>
      </c>
      <c r="H15" s="52">
        <f t="shared" si="0"/>
        <v>0.207344954</v>
      </c>
      <c r="I15" s="52">
        <f t="shared" si="0"/>
        <v>0.207344954</v>
      </c>
      <c r="J15" s="52">
        <f t="shared" si="0"/>
        <v>0.207344954</v>
      </c>
      <c r="K15" s="52">
        <f t="shared" si="0"/>
        <v>0.207344954</v>
      </c>
      <c r="L15" s="52">
        <f t="shared" si="0"/>
        <v>0.16968813499999999</v>
      </c>
      <c r="M15" s="52">
        <f t="shared" si="0"/>
        <v>0.16968813499999999</v>
      </c>
      <c r="N15" s="52">
        <f t="shared" si="0"/>
        <v>0.16968813499999999</v>
      </c>
      <c r="O15" s="52">
        <f t="shared" si="0"/>
        <v>0.16968813499999999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+1enjdBYnrFIMrDxoRtinvfhDvhzDo3R/U8hlxuWz/2nmI42BcTjuNh4Mh5Y/xof9i2RC7eCkiV8MNeauPFiQ==" saltValue="qvbOsb4i8OBlXOuWC0QX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0.59146719999999997</v>
      </c>
      <c r="D2" s="53">
        <v>0.36570609999999998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0.1192303</v>
      </c>
      <c r="D3" s="53">
        <v>0.21118480000000001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0.2151103</v>
      </c>
      <c r="D4" s="53">
        <v>0.35824779999999989</v>
      </c>
      <c r="E4" s="53">
        <v>0.92807269999999997</v>
      </c>
      <c r="F4" s="53">
        <v>0.67130619999999996</v>
      </c>
      <c r="G4" s="53">
        <v>0</v>
      </c>
    </row>
    <row r="5" spans="1:7" x14ac:dyDescent="0.25">
      <c r="B5" s="3" t="s">
        <v>125</v>
      </c>
      <c r="C5" s="52">
        <v>7.41922E-2</v>
      </c>
      <c r="D5" s="52">
        <v>6.4861299999999997E-2</v>
      </c>
      <c r="E5" s="52">
        <f>1-SUM(E2:E4)</f>
        <v>7.1927300000000027E-2</v>
      </c>
      <c r="F5" s="52">
        <f>1-SUM(F2:F4)</f>
        <v>0.32869380000000004</v>
      </c>
      <c r="G5" s="52">
        <f>1-SUM(G2:G4)</f>
        <v>1</v>
      </c>
    </row>
  </sheetData>
  <sheetProtection algorithmName="SHA-512" hashValue="QdCp0OeiF4bLpQtOPfFYfKfigKzkwUmsGw0plAf+3yi02os4nAe527ms73Tb5Xzjv0DiFUxkSkTDbiT4oyDI4A==" saltValue="XikK34UUMqtsMHWlp48FT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mCN8X0u2Bf1/p4tfcGXALgNxaxhHYsYGl3ZqJY6uX4BXz5au4YHRLwI+Af27JQEXY8pB/pOPT/3a1O+NB3viA==" saltValue="vZWs8oPrn01RdZwBDC1U/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UtELuaFXdytmgJrna/dUJ6284SxStItIj9jsMa4qeGLT/u3C2J+RPKsFIwy/s+1CPNQ13u1mOUzO8GNUAjCuAg==" saltValue="wGhuWGkCbY/6fkd8OAQ7z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lv/4TtYGkqL7z2gESejaNooNOI2xvB/19bkSzJV6KfJ+vMQMebwS0eYAdBYE0S3PDTBFnzGe+iBzp4EL1B0fWg==" saltValue="67KKa33pbIGJkOglBURRn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jChprK3Zrw0EwawFKdcoDsuKFKs8qnK5cn2MhZXAOOWAIwORY0vBCA5/mfhF/WolorX3labZov73je17/2IYA==" saltValue="cf3psA4E3/h0GLX+nC02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38.62528988805559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0.20964492851399999</v>
      </c>
      <c r="C3" s="98">
        <v>0.95</v>
      </c>
      <c r="D3" s="56">
        <v>42.537295647752792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110.19016266168551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0.34300067992433347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0.28576590000000002</v>
      </c>
      <c r="C10" s="98">
        <v>0.95</v>
      </c>
      <c r="D10" s="56">
        <v>13.555007547773389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0.28576590000000002</v>
      </c>
      <c r="C11" s="98">
        <v>0.95</v>
      </c>
      <c r="D11" s="56">
        <v>13.555007547773389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0.28576590000000002</v>
      </c>
      <c r="C12" s="98">
        <v>0.95</v>
      </c>
      <c r="D12" s="56">
        <v>13.555007547773389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0.28576590000000002</v>
      </c>
      <c r="C13" s="98">
        <v>0.95</v>
      </c>
      <c r="D13" s="56">
        <v>13.555007547773389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0.28576590000000002</v>
      </c>
      <c r="C14" s="98">
        <v>0.95</v>
      </c>
      <c r="D14" s="56">
        <v>13.555007547773389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0.28576590000000002</v>
      </c>
      <c r="C15" s="98">
        <v>0.95</v>
      </c>
      <c r="D15" s="56">
        <v>13.555007547773389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0.81</v>
      </c>
      <c r="C16" s="98">
        <v>0.95</v>
      </c>
      <c r="D16" s="56">
        <v>0.29420413411251728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7.7204685614270005E-2</v>
      </c>
      <c r="C18" s="98">
        <v>0.95</v>
      </c>
      <c r="D18" s="56">
        <v>2.6318398731448558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0.55929890000000004</v>
      </c>
      <c r="C19" s="98">
        <v>0.95</v>
      </c>
      <c r="D19" s="56">
        <v>2.6318398731448558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0.61272379999999993</v>
      </c>
      <c r="C21" s="98">
        <v>0.95</v>
      </c>
      <c r="D21" s="56">
        <v>2.6406398741845729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23.139270869051948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4.4706017011529111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0.55764199606114995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0.28576590000000002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19.566466311857429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0.47984619118415001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69.361036760483032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0.89</v>
      </c>
      <c r="C31" s="98">
        <v>0.95</v>
      </c>
      <c r="D31" s="56">
        <v>2.3542264782021709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0.5823003013277992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0.89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0.1996319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0.19483020000000001</v>
      </c>
      <c r="C38" s="98">
        <v>0.95</v>
      </c>
      <c r="D38" s="56">
        <v>4.013212652439103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On9iJ+5mxUqpY4tkOTls9icC2w2LrG66tWvGGtkFsR+bO03n0mrW/RovkwaIiLQ/1SINng94C/hp5/KaNSf5Pg==" saltValue="D7yP82cRjnngbBKL56jK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Z7YO3MrRe6x1bWDdiUUJ+8fJ8Ukjn1yeXshIBEme56FYSP6CHb5u9ioph1x+rMpfLSq+3BarPHRYP7MgSdNkA==" saltValue="zLulxX+oOt3pIZ14mKzO9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4LpSGpvYkuj7BfBkglZhg0JNdNyttdlXqJPPzT9/yH/F03LXRr/RtGrFbICYkNaIQ6SQqV7kEIxbrUItzgFmA==" saltValue="IGn+mYcy87QuzoYZ9q09n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0.12058722000000001</v>
      </c>
      <c r="C3" s="21">
        <f>frac_mam_1_5months * 2.6</f>
        <v>0.12058722000000001</v>
      </c>
      <c r="D3" s="21">
        <f>frac_mam_6_11months * 2.6</f>
        <v>0.15081455999999999</v>
      </c>
      <c r="E3" s="21">
        <f>frac_mam_12_23months * 2.6</f>
        <v>0.18564649999999999</v>
      </c>
      <c r="F3" s="21">
        <f>frac_mam_24_59months * 2.6</f>
        <v>0.13006838000000001</v>
      </c>
    </row>
    <row r="4" spans="1:6" ht="15.75" customHeight="1" x14ac:dyDescent="0.25">
      <c r="A4" s="3" t="s">
        <v>207</v>
      </c>
      <c r="B4" s="21">
        <f>frac_sam_1month * 2.6</f>
        <v>2.9144440000000001E-2</v>
      </c>
      <c r="C4" s="21">
        <f>frac_sam_1_5months * 2.6</f>
        <v>2.9144440000000001E-2</v>
      </c>
      <c r="D4" s="21">
        <f>frac_sam_6_11months * 2.6</f>
        <v>2.2447099999999998E-2</v>
      </c>
      <c r="E4" s="21">
        <f>frac_sam_12_23months * 2.6</f>
        <v>3.8315420000000003E-2</v>
      </c>
      <c r="F4" s="21">
        <f>frac_sam_24_59months * 2.6</f>
        <v>2.1843640000000001E-2</v>
      </c>
    </row>
  </sheetData>
  <sheetProtection algorithmName="SHA-512" hashValue="u0iF0CgWYIhR5cb2/qc3kHh4pMbdrJvESt+jHlpgac6N/+ChoRvW2F8LoA5aQ6WC1xe9dGZw2v/BWLgxx4clmA==" saltValue="YswYp9hm9iXf8fJefU/Qv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0.06</v>
      </c>
      <c r="E2" s="60">
        <f>food_insecure</f>
        <v>0.06</v>
      </c>
      <c r="F2" s="60">
        <f>food_insecure</f>
        <v>0.06</v>
      </c>
      <c r="G2" s="60">
        <f>food_insecure</f>
        <v>0.06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0.06</v>
      </c>
      <c r="F5" s="60">
        <f>food_insecure</f>
        <v>0.06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0.06</v>
      </c>
      <c r="F8" s="60">
        <f>food_insecure</f>
        <v>0.06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0.06</v>
      </c>
      <c r="F9" s="60">
        <f>food_insecure</f>
        <v>0.06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0.06</v>
      </c>
      <c r="I15" s="60">
        <f>food_insecure</f>
        <v>0.06</v>
      </c>
      <c r="J15" s="60">
        <f>food_insecure</f>
        <v>0.06</v>
      </c>
      <c r="K15" s="60">
        <f>food_insecure</f>
        <v>0.06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0.41</v>
      </c>
      <c r="I19" s="60">
        <f>frac_malaria_risk</f>
        <v>0.41</v>
      </c>
      <c r="J19" s="60">
        <f>frac_malaria_risk</f>
        <v>0.41</v>
      </c>
      <c r="K19" s="60">
        <f>frac_malaria_risk</f>
        <v>0.41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0.69599999999999995</v>
      </c>
      <c r="M24" s="60">
        <f>famplan_unmet_need</f>
        <v>0.69599999999999995</v>
      </c>
      <c r="N24" s="60">
        <f>famplan_unmet_need</f>
        <v>0.69599999999999995</v>
      </c>
      <c r="O24" s="60">
        <f>famplan_unmet_need</f>
        <v>0.69599999999999995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0.3775928212280274</v>
      </c>
      <c r="M25" s="60">
        <f>(1-food_insecure)*(0.49)+food_insecure*(0.7)</f>
        <v>0.50259999999999994</v>
      </c>
      <c r="N25" s="60">
        <f>(1-food_insecure)*(0.49)+food_insecure*(0.7)</f>
        <v>0.50259999999999994</v>
      </c>
      <c r="O25" s="60">
        <f>(1-food_insecure)*(0.49)+food_insecure*(0.7)</f>
        <v>0.50259999999999994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0.16182549481201175</v>
      </c>
      <c r="M26" s="60">
        <f>(1-food_insecure)*(0.21)+food_insecure*(0.3)</f>
        <v>0.21539999999999998</v>
      </c>
      <c r="N26" s="60">
        <f>(1-food_insecure)*(0.21)+food_insecure*(0.3)</f>
        <v>0.21539999999999998</v>
      </c>
      <c r="O26" s="60">
        <f>(1-food_insecure)*(0.21)+food_insecure*(0.3)</f>
        <v>0.21539999999999998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0.21186067565917974</v>
      </c>
      <c r="M27" s="60">
        <f>(1-food_insecure)*(0.3)</f>
        <v>0.28199999999999997</v>
      </c>
      <c r="N27" s="60">
        <f>(1-food_insecure)*(0.3)</f>
        <v>0.28199999999999997</v>
      </c>
      <c r="O27" s="60">
        <f>(1-food_insecure)*(0.3)</f>
        <v>0.28199999999999997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0.24872100830078098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0.41</v>
      </c>
      <c r="D34" s="60">
        <f t="shared" si="3"/>
        <v>0.41</v>
      </c>
      <c r="E34" s="60">
        <f t="shared" si="3"/>
        <v>0.41</v>
      </c>
      <c r="F34" s="60">
        <f t="shared" si="3"/>
        <v>0.41</v>
      </c>
      <c r="G34" s="60">
        <f t="shared" si="3"/>
        <v>0.41</v>
      </c>
      <c r="H34" s="60">
        <f t="shared" si="3"/>
        <v>0.41</v>
      </c>
      <c r="I34" s="60">
        <f t="shared" si="3"/>
        <v>0.41</v>
      </c>
      <c r="J34" s="60">
        <f t="shared" si="3"/>
        <v>0.41</v>
      </c>
      <c r="K34" s="60">
        <f t="shared" si="3"/>
        <v>0.41</v>
      </c>
      <c r="L34" s="60">
        <f t="shared" si="3"/>
        <v>0.41</v>
      </c>
      <c r="M34" s="60">
        <f t="shared" si="3"/>
        <v>0.41</v>
      </c>
      <c r="N34" s="60">
        <f t="shared" si="3"/>
        <v>0.41</v>
      </c>
      <c r="O34" s="60">
        <f t="shared" si="3"/>
        <v>0.41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cDaz20KWZAVCM/Nf9x5UuQrbp4hZVdWxH3DjxHedk+iGW+VVYhNJE1bBWk4RfFRy4WLz0vlpS9nyjUITu6cVg==" saltValue="TVdK86AZa/D3HLyw45CQ6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DVqnfdM1g5HzyJsXjZME5fPG8Iqn9/cPm4sytm6TEs9LmlTo210kqoK4nQscXVgy8HkEqNJpEDcv1Z1T5ojD/g==" saltValue="gAP+S7mJiLZ21l/JtLnYy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GnHheOsFR5D2PmM+g8/0/lIrPdIxFEThJPURWuJaVFdMJu4PSfELGO3btd45QBeT+20mOHK55oHPAEyfqbhoA==" saltValue="QOIFpQQ98rExBwurOVfoP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m8WrfIZWvvoD/t2dymmsz1Q+z/ioSeFgEUBej0FXfHJW72ilrxTUui/FlYuWeiCPwf9zpaNe5CbadzSb91seg==" saltValue="fCowApmSMmA5DdAQT81QK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TNmVBg0dvhYYcZTY9mHk5OWlWFDFhHSQ5Lalmx8Tt9BOx4yFesu9HSuJ+WuPwzQvPqpgcC5RIKPX31ZbPYrHg==" saltValue="3Oimn1oj/zCRXF0kKLpVc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29PIrPKWT4FzCShyv7wmdGiScUaXT0mSKPz3uTQopw3Wtm6GE9E4Agt8zES+z6x3OhWhyIbqaeRhI3jDIqbrUg==" saltValue="8uLjEQQ/xAdXFus7fSOg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3UK1ISRfNdgLG8aUVvswPr2jLmMviO81rzef32udmW/gHf/oxrIhIFYhoKxTiixCBSi5TpmtJaBLUszwIBfHuw==" saltValue="kkLdgBwz+xut0XffxK0wy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+fhUP3U3yYuPRXBeVL7HZ3NbOaVnPEj16pQkKbzZK5sUqVaj6FAL4KI6Iferue958mR57NkpK4uq5TOM2cvMA==" saltValue="N3cyQ4f6pRIu9Vf9hmCS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QLSL3wOmhyMuvQEiTA2PFs1ko3dsqcPivBho2zeqEua6NrDq/MI6DMsSBywKFpa0RNRs2B51y2wJHKOIAqPdw==" saltValue="/Jf9ZIATAKQU0th98d3I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iNCc6KTX36iEH0hrBai9R34pYUK0Pbu/6300rPjxgQGLUp9jv1ThlkCQH7hIXLxr5cxEj2bffz/SI8m6JY43pQ==" saltValue="TsoGepouZXDMoS6ECjMh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JETsmO9OL8psphpj1rk9Ee25xX9KGYXW4NwFJ7WyVrzsK6xMijoT2WbmUNTBOshfEyot2jRQZ18/EWQ9+03yvQ==" saltValue="bBETeE+oJuVfkwZW5+QP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o5hsU10lCCx5iY844xgfiNxdg5krQVnWB/AiDcVBPnntz1+GUDi6Id+u/ycCwQvp2ybHnVV+8sfOlwmmBHkJw==" saltValue="rDysqRRXsZFYcK5z1WU5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0DIal1HG4OhOismxVLyahS62Qg9SjLNsbxejXDOn6RosqKkWuGPOHeAmhpGNvpX5t0XtqaVQtHXR44vczbnOw==" saltValue="TUvqATYAfZ2KOgLOsF1z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P56OnT8TmQ/aNa51iJ2MhluVHQUr4YBYMz+BOX/0xdhNPR3Mz00bnpQL766CnI4Vo+oSG5esowrXLKE0CWK1w==" saltValue="zjknSAVZWlPErMGIQpT8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PZy6QkzM/9sD3kXE+p2+zU9EZf/Vo3t8eFRvOXpW3kJYI6eoLXqOi0xcTmCFkyPMEwaNs07nj11pout6BplnKQ==" saltValue="ajk9DUALKth1RnrBoJvGv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2024-05-16T23:49:51Z</dcterms:modified>
</cp:coreProperties>
</file>