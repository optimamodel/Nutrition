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632B846-D8BD-42A4-AA99-AE1A29070D7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<sst xmlns="http://schemas.openxmlformats.org/spreadsheetml/2006/main" count="2102" uniqueCount="341">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</sst>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3156142.15625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0.1173</v>
      </c>
    </row>
    <row r="10" spans="1:3" ht="15" customHeight="1" x14ac:dyDescent="0.25">
      <c r="B10" s="5" t="s">
        <v>56</v>
      </c>
      <c r="C10" s="45">
        <v>0.77493057250976605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0.1774</v>
      </c>
    </row>
    <row r="24" spans="1:3" ht="15" customHeight="1" x14ac:dyDescent="0.25">
      <c r="B24" s="15" t="s">
        <v>46</v>
      </c>
      <c r="C24" s="45">
        <v>0.45540000000000003</v>
      </c>
    </row>
    <row r="25" spans="1:3" ht="15" customHeight="1" x14ac:dyDescent="0.25">
      <c r="B25" s="15" t="s">
        <v>47</v>
      </c>
      <c r="C25" s="45">
        <v>0.34060000000000001</v>
      </c>
    </row>
    <row r="26" spans="1:3" ht="15" customHeight="1" x14ac:dyDescent="0.25">
      <c r="B26" s="15" t="s">
        <v>48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0.35684779999999999</v>
      </c>
    </row>
    <row r="30" spans="1:3" ht="14.25" customHeight="1" x14ac:dyDescent="0.25">
      <c r="B30" s="25" t="s">
        <v>63</v>
      </c>
      <c r="C30" s="99">
        <v>7.0757700000000007E-2</v>
      </c>
    </row>
    <row r="31" spans="1:3" ht="14.25" customHeight="1" x14ac:dyDescent="0.25">
      <c r="B31" s="25" t="s">
        <v>10</v>
      </c>
      <c r="C31" s="99">
        <v>8.0229999999999996E-2</v>
      </c>
    </row>
    <row r="32" spans="1:3" ht="14.25" customHeight="1" x14ac:dyDescent="0.25">
      <c r="B32" s="25" t="s">
        <v>11</v>
      </c>
      <c r="C32" s="99">
        <v>0.4921645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4.7081600000000003</v>
      </c>
    </row>
    <row r="38" spans="1:5" ht="15" customHeight="1" x14ac:dyDescent="0.25">
      <c r="B38" s="11" t="s">
        <v>35</v>
      </c>
      <c r="C38" s="43">
        <v>7.0959099999999999</v>
      </c>
      <c r="D38" s="12"/>
      <c r="E38" s="13"/>
    </row>
    <row r="39" spans="1:5" ht="15" customHeight="1" x14ac:dyDescent="0.25">
      <c r="B39" s="11" t="s">
        <v>61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6.1894000000000003E-3</v>
      </c>
      <c r="D45" s="12"/>
    </row>
    <row r="46" spans="1:5" ht="15.75" customHeight="1" x14ac:dyDescent="0.25">
      <c r="B46" s="11" t="s">
        <v>51</v>
      </c>
      <c r="C46" s="45">
        <v>6.6504300000000002E-2</v>
      </c>
      <c r="D46" s="12"/>
    </row>
    <row r="47" spans="1:5" ht="15.75" customHeight="1" x14ac:dyDescent="0.25">
      <c r="B47" s="11" t="s">
        <v>59</v>
      </c>
      <c r="C47" s="45">
        <v>7.5115299999999996E-2</v>
      </c>
      <c r="D47" s="12"/>
      <c r="E47" s="13"/>
    </row>
    <row r="48" spans="1:5" ht="15" customHeight="1" x14ac:dyDescent="0.25">
      <c r="B48" s="11" t="s">
        <v>58</v>
      </c>
      <c r="C48" s="46">
        <v>0.85219099999999992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0.56939699999999993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0.10516175</v>
      </c>
    </row>
    <row r="63" spans="1:4" ht="15.75" customHeight="1" x14ac:dyDescent="0.3">
      <c r="A63" s="4"/>
    </row>
  </sheetData>
  <sheetProtection algorithmName="SHA-512" hashValue="5O7TfUw7tYhtXK2S2WS63vHjITg/O3oWFZC6TGGxT/VF2IgZeJtLObofrJrTqXg8hfqKFFPapWaftu2FrzRjyg==" saltValue="8zkGKW0cLqIIHVV+noMK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614663</v>
      </c>
      <c r="C2" s="49">
        <v>2377453</v>
      </c>
      <c r="D2" s="49">
        <v>4538842.5</v>
      </c>
      <c r="E2" s="49">
        <v>5028119.5</v>
      </c>
      <c r="F2" s="49">
        <v>4684747</v>
      </c>
      <c r="G2" s="17">
        <f t="shared" ref="G2:G13" si="0">C2+D2+E2+F2</f>
        <v>16629162</v>
      </c>
      <c r="H2" s="17">
        <f t="shared" ref="H2:H13" si="1">(B2 + stillbirth*B2/(1000-stillbirth))/(1-abortion)</f>
        <v>702308.69260116073</v>
      </c>
      <c r="I2" s="17">
        <f t="shared" ref="I2:I13" si="2">G2-H2</f>
        <v>15926853.307398839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612535</v>
      </c>
      <c r="C3" s="50">
        <v>2374398.5</v>
      </c>
      <c r="D3" s="50">
        <v>4436469</v>
      </c>
      <c r="E3" s="50">
        <v>5009319</v>
      </c>
      <c r="F3" s="50">
        <v>4684883</v>
      </c>
      <c r="G3" s="17">
        <f t="shared" si="0"/>
        <v>16505069.5</v>
      </c>
      <c r="H3" s="17">
        <f t="shared" si="1"/>
        <v>699877.25798112445</v>
      </c>
      <c r="I3" s="17">
        <f t="shared" si="2"/>
        <v>15805192.242018875</v>
      </c>
    </row>
    <row r="4" spans="1:9" ht="15.75" customHeight="1" x14ac:dyDescent="0.25">
      <c r="A4" s="5">
        <f t="shared" si="3"/>
        <v>2026</v>
      </c>
      <c r="B4" s="49">
        <v>608732</v>
      </c>
      <c r="C4" s="50">
        <v>2371379.5</v>
      </c>
      <c r="D4" s="50">
        <v>4321971.5</v>
      </c>
      <c r="E4" s="50">
        <v>5011709</v>
      </c>
      <c r="F4" s="50">
        <v>4685797.5</v>
      </c>
      <c r="G4" s="17">
        <f t="shared" si="0"/>
        <v>16390857.5</v>
      </c>
      <c r="H4" s="17">
        <f t="shared" si="1"/>
        <v>695531.98267097538</v>
      </c>
      <c r="I4" s="17">
        <f t="shared" si="2"/>
        <v>15695325.517329024</v>
      </c>
    </row>
    <row r="5" spans="1:9" ht="15.75" customHeight="1" x14ac:dyDescent="0.25">
      <c r="A5" s="5">
        <f t="shared" si="3"/>
        <v>2027</v>
      </c>
      <c r="B5" s="49">
        <v>605852</v>
      </c>
      <c r="C5" s="50">
        <v>2360052.5</v>
      </c>
      <c r="D5" s="50">
        <v>4216988.5</v>
      </c>
      <c r="E5" s="50">
        <v>5010926</v>
      </c>
      <c r="F5" s="50">
        <v>4675756</v>
      </c>
      <c r="G5" s="17">
        <f t="shared" si="0"/>
        <v>16263723</v>
      </c>
      <c r="H5" s="17">
        <f t="shared" si="1"/>
        <v>692241.31927543774</v>
      </c>
      <c r="I5" s="17">
        <f t="shared" si="2"/>
        <v>15571481.680724563</v>
      </c>
    </row>
    <row r="6" spans="1:9" ht="15.75" customHeight="1" x14ac:dyDescent="0.25">
      <c r="A6" s="5">
        <f t="shared" si="3"/>
        <v>2028</v>
      </c>
      <c r="B6" s="49">
        <v>601450</v>
      </c>
      <c r="C6" s="50">
        <v>2338392.5</v>
      </c>
      <c r="D6" s="50">
        <v>4135642</v>
      </c>
      <c r="E6" s="50">
        <v>4986289.5</v>
      </c>
      <c r="F6" s="50">
        <v>4656876</v>
      </c>
      <c r="G6" s="17">
        <f t="shared" si="0"/>
        <v>16117200</v>
      </c>
      <c r="H6" s="17">
        <f t="shared" si="1"/>
        <v>687211.63168267498</v>
      </c>
      <c r="I6" s="17">
        <f t="shared" si="2"/>
        <v>15429988.368317325</v>
      </c>
    </row>
    <row r="7" spans="1:9" ht="15.75" customHeight="1" x14ac:dyDescent="0.25">
      <c r="A7" s="5">
        <f t="shared" si="3"/>
        <v>2029</v>
      </c>
      <c r="B7" s="49">
        <v>596884</v>
      </c>
      <c r="C7" s="50">
        <v>2306934</v>
      </c>
      <c r="D7" s="50">
        <v>4080894.5</v>
      </c>
      <c r="E7" s="50">
        <v>4937633</v>
      </c>
      <c r="F7" s="50">
        <v>4638597.5</v>
      </c>
      <c r="G7" s="17">
        <f t="shared" si="0"/>
        <v>15964059</v>
      </c>
      <c r="H7" s="17">
        <f t="shared" si="1"/>
        <v>681994.55909099977</v>
      </c>
      <c r="I7" s="17">
        <f t="shared" si="2"/>
        <v>15282064.440909</v>
      </c>
    </row>
    <row r="8" spans="1:9" ht="15.75" customHeight="1" x14ac:dyDescent="0.25">
      <c r="A8" s="5">
        <f t="shared" si="3"/>
        <v>2030</v>
      </c>
      <c r="B8" s="49">
        <v>592191</v>
      </c>
      <c r="C8" s="50">
        <v>2267217.5</v>
      </c>
      <c r="D8" s="50">
        <v>4040272</v>
      </c>
      <c r="E8" s="50">
        <v>4872433</v>
      </c>
      <c r="F8" s="50">
        <v>4617773</v>
      </c>
      <c r="G8" s="17">
        <f t="shared" si="0"/>
        <v>15797695.5</v>
      </c>
      <c r="H8" s="17">
        <f t="shared" si="1"/>
        <v>676632.37738431292</v>
      </c>
      <c r="I8" s="17">
        <f t="shared" si="2"/>
        <v>15121063.122615688</v>
      </c>
    </row>
    <row r="9" spans="1:9" ht="15.75" customHeight="1" x14ac:dyDescent="0.25">
      <c r="A9" s="5">
        <f t="shared" si="3"/>
        <v>2031</v>
      </c>
      <c r="B9" s="49">
        <v>588086</v>
      </c>
      <c r="C9" s="50">
        <v>2218421.5</v>
      </c>
      <c r="D9" s="50">
        <v>4007498</v>
      </c>
      <c r="E9" s="50">
        <v>4793354.5</v>
      </c>
      <c r="F9" s="50">
        <v>4592320</v>
      </c>
      <c r="G9" s="17">
        <f t="shared" si="0"/>
        <v>15611594</v>
      </c>
      <c r="H9" s="17">
        <f t="shared" si="1"/>
        <v>671942.03945421497</v>
      </c>
      <c r="I9" s="17">
        <f t="shared" si="2"/>
        <v>14939651.960545786</v>
      </c>
    </row>
    <row r="10" spans="1:9" ht="15.75" customHeight="1" x14ac:dyDescent="0.25">
      <c r="A10" s="5">
        <f t="shared" si="3"/>
        <v>2032</v>
      </c>
      <c r="B10" s="49">
        <v>584650</v>
      </c>
      <c r="C10" s="50">
        <v>2160864</v>
      </c>
      <c r="D10" s="50">
        <v>3983938</v>
      </c>
      <c r="E10" s="50">
        <v>4710107</v>
      </c>
      <c r="F10" s="50">
        <v>4564259.5</v>
      </c>
      <c r="G10" s="17">
        <f t="shared" si="0"/>
        <v>15419168.5</v>
      </c>
      <c r="H10" s="17">
        <f t="shared" si="1"/>
        <v>668016.09520870552</v>
      </c>
      <c r="I10" s="17">
        <f t="shared" si="2"/>
        <v>14751152.404791294</v>
      </c>
    </row>
    <row r="11" spans="1:9" ht="15.75" customHeight="1" x14ac:dyDescent="0.25">
      <c r="A11" s="5">
        <f t="shared" si="3"/>
        <v>2033</v>
      </c>
      <c r="B11" s="49">
        <v>576614</v>
      </c>
      <c r="C11" s="50">
        <v>2101262.5</v>
      </c>
      <c r="D11" s="50">
        <v>3964115.5</v>
      </c>
      <c r="E11" s="50">
        <v>4626553.5</v>
      </c>
      <c r="F11" s="50">
        <v>4531635</v>
      </c>
      <c r="G11" s="17">
        <f t="shared" si="0"/>
        <v>15223566.5</v>
      </c>
      <c r="H11" s="17">
        <f t="shared" si="1"/>
        <v>658834.2302619901</v>
      </c>
      <c r="I11" s="17">
        <f t="shared" si="2"/>
        <v>14564732.269738009</v>
      </c>
    </row>
    <row r="12" spans="1:9" ht="15.75" customHeight="1" x14ac:dyDescent="0.25">
      <c r="A12" s="5">
        <f t="shared" si="3"/>
        <v>2034</v>
      </c>
      <c r="B12" s="49">
        <v>570208</v>
      </c>
      <c r="C12" s="50">
        <v>2044763</v>
      </c>
      <c r="D12" s="50">
        <v>3940910.5</v>
      </c>
      <c r="E12" s="50">
        <v>4539420.0000000009</v>
      </c>
      <c r="F12" s="50">
        <v>4497364</v>
      </c>
      <c r="G12" s="17">
        <f t="shared" si="0"/>
        <v>15022457.5</v>
      </c>
      <c r="H12" s="17">
        <f t="shared" si="1"/>
        <v>651514.78938983253</v>
      </c>
      <c r="I12" s="17">
        <f t="shared" si="2"/>
        <v>14370942.710610168</v>
      </c>
    </row>
    <row r="13" spans="1:9" ht="15.75" customHeight="1" x14ac:dyDescent="0.25">
      <c r="A13" s="5">
        <f t="shared" si="3"/>
        <v>2035</v>
      </c>
      <c r="B13" s="49">
        <v>562139</v>
      </c>
      <c r="C13" s="50">
        <v>1993481</v>
      </c>
      <c r="D13" s="50">
        <v>3909443.5</v>
      </c>
      <c r="E13" s="50">
        <v>4438195</v>
      </c>
      <c r="F13" s="50">
        <v>4468230.5</v>
      </c>
      <c r="G13" s="17">
        <f t="shared" si="0"/>
        <v>14809350</v>
      </c>
      <c r="H13" s="17">
        <f t="shared" si="1"/>
        <v>642295.21892504324</v>
      </c>
      <c r="I13" s="17">
        <f t="shared" si="2"/>
        <v>14167054.781074956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+XhffVxGrbPEVukSL5RVoG8qPM9xBMCLgK85Jrij1UQqwDIQ5sxeNAcFAVf7tAY2maRty0zRObsX0r4ZRfOgg==" saltValue="2Wb7uvwxbQAJiawi7Yna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5.667026073318962E-2</v>
      </c>
    </row>
    <row r="5" spans="1:8" ht="15.75" customHeight="1" x14ac:dyDescent="0.25">
      <c r="B5" s="19" t="s">
        <v>95</v>
      </c>
      <c r="C5" s="101">
        <v>1.8471868261125322E-2</v>
      </c>
    </row>
    <row r="6" spans="1:8" ht="15.75" customHeight="1" x14ac:dyDescent="0.25">
      <c r="B6" s="19" t="s">
        <v>91</v>
      </c>
      <c r="C6" s="101">
        <v>0.14313369927465211</v>
      </c>
    </row>
    <row r="7" spans="1:8" ht="15.75" customHeight="1" x14ac:dyDescent="0.25">
      <c r="B7" s="19" t="s">
        <v>96</v>
      </c>
      <c r="C7" s="101">
        <v>0.40171534993138558</v>
      </c>
    </row>
    <row r="8" spans="1:8" ht="15.75" customHeight="1" x14ac:dyDescent="0.25">
      <c r="B8" s="19" t="s">
        <v>98</v>
      </c>
      <c r="C8" s="101">
        <v>9.8052002608532141E-3</v>
      </c>
    </row>
    <row r="9" spans="1:8" ht="15.75" customHeight="1" x14ac:dyDescent="0.25">
      <c r="B9" s="19" t="s">
        <v>92</v>
      </c>
      <c r="C9" s="101">
        <v>0.27443438461446162</v>
      </c>
    </row>
    <row r="10" spans="1:8" ht="15.75" customHeight="1" x14ac:dyDescent="0.25">
      <c r="B10" s="19" t="s">
        <v>94</v>
      </c>
      <c r="C10" s="101">
        <v>9.5769236924332563E-2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102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2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90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3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101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79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88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99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2.3699701E-2</v>
      </c>
    </row>
    <row r="27" spans="1:8" ht="15.75" customHeight="1" x14ac:dyDescent="0.25">
      <c r="B27" s="19" t="s">
        <v>89</v>
      </c>
      <c r="C27" s="101">
        <v>2.0615876000000002E-2</v>
      </c>
    </row>
    <row r="28" spans="1:8" ht="15.75" customHeight="1" x14ac:dyDescent="0.25">
      <c r="B28" s="19" t="s">
        <v>103</v>
      </c>
      <c r="C28" s="101">
        <v>0.32415355899999992</v>
      </c>
    </row>
    <row r="29" spans="1:8" ht="15.75" customHeight="1" x14ac:dyDescent="0.25">
      <c r="B29" s="19" t="s">
        <v>86</v>
      </c>
      <c r="C29" s="101">
        <v>0.13455262100000001</v>
      </c>
    </row>
    <row r="30" spans="1:8" ht="15.75" customHeight="1" x14ac:dyDescent="0.25">
      <c r="B30" s="19" t="s">
        <v>4</v>
      </c>
      <c r="C30" s="101">
        <v>2.7948395000000001E-2</v>
      </c>
    </row>
    <row r="31" spans="1:8" ht="15.75" customHeight="1" x14ac:dyDescent="0.25">
      <c r="B31" s="19" t="s">
        <v>80</v>
      </c>
      <c r="C31" s="101">
        <v>0.12247227099999999</v>
      </c>
    </row>
    <row r="32" spans="1:8" ht="15.75" customHeight="1" x14ac:dyDescent="0.25">
      <c r="B32" s="19" t="s">
        <v>85</v>
      </c>
      <c r="C32" s="101">
        <v>0.15633195699999999</v>
      </c>
    </row>
    <row r="33" spans="2:3" ht="15.75" customHeight="1" x14ac:dyDescent="0.25">
      <c r="B33" s="19" t="s">
        <v>100</v>
      </c>
      <c r="C33" s="101">
        <v>0.10750958400000001</v>
      </c>
    </row>
    <row r="34" spans="2:3" ht="15.75" customHeight="1" x14ac:dyDescent="0.25">
      <c r="B34" s="19" t="s">
        <v>87</v>
      </c>
      <c r="C34" s="101">
        <v>8.2716036000000007E-2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4D79Y96KSRrnvmfxZS7sDrzlmvX+VrNwH7n6COqbKNOuDHu4cxkVI+stPRa9o5zvxzjWQe2+2OeDyHhnoUKvOQ==" saltValue="HaTQxSvKx1DkKu6hfEy54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110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106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107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119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fsd6WZuU1uhluEpGd0l0tMBdV6McVAlkYt42lvM3uFZwDmZBXDKjOi+0mlWAEmWOanzW8Kaj9IJiGijruePzQ==" saltValue="rTaIIGri2MaPgOETv7I3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125</v>
      </c>
      <c r="C5" s="52">
        <v>0.13890910000000001</v>
      </c>
      <c r="D5" s="52">
        <v>0.32362940000000001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LAzkC6THl/l7Dd4NqgyW5hfYUG9NstWcuJcIpxbXj9evXqekEbH6c8FtfeT2DMQpcXPmPxz429nF9OZOzVM9nw==" saltValue="ClL/K/XVc0jcumQRsH4Z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+wTOPhwyhvTF2wpdJ8SF8lwxr6Fle2LRKS58AlFSgsTEgMPEOiAAUksyEu8yAPHqTfXE6p3/1yP35eBfuWN9g==" saltValue="gdApxiN0h1RtjVnsBmYP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1M1StLgNFBNg1CNLhyTDFIjduo4JJ8HSFXC4mu8w3DF0P8vgmgkGeKr9viLCU23Xj8nraPipAsVudxxeHSY0Qg==" saltValue="ncTZP9BqVsRdnKZbIDwV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bQo8QZDDkdKEIllIVevmTi49bK/u0KysKSlwNPwpospz1I4GBO9zYHY4iP+8SdofiUZN2pvWzLxGmrLD+7gp4w==" saltValue="VGTcvGit7twDRvjb1wmz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8A/Q8IyP0bSYRTLmKs18s/DEoYGerFIoR9vj0EwwUm+FiMPAkImJNg4262f23O/5SI0fg5vryNy0TBitAibQfg==" saltValue="4zErNoDbdVWU5ymHC7Dc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69.29767297109683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0.2435409481344</v>
      </c>
      <c r="C3" s="98">
        <v>0.95</v>
      </c>
      <c r="D3" s="56">
        <v>40.13269466976994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591.06209321591393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3.3955169461539101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13.26499411356585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13.26499411356585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13.26499411356585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13.26499411356585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13.26499411356585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13.26499411356585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0.99</v>
      </c>
      <c r="C16" s="98">
        <v>0.95</v>
      </c>
      <c r="D16" s="56">
        <v>0.97175991346119572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0.12464780918623</v>
      </c>
      <c r="C18" s="98">
        <v>0.95</v>
      </c>
      <c r="D18" s="56">
        <v>13.572928096468379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0.99</v>
      </c>
      <c r="C19" s="98">
        <v>0.95</v>
      </c>
      <c r="D19" s="56">
        <v>13.572928096468379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0.85967060000000006</v>
      </c>
      <c r="C21" s="98">
        <v>0.95</v>
      </c>
      <c r="D21" s="56">
        <v>28.571116697776191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23.023699585983909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4.4373468308323929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0.94454000066475996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18.82704421276744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0.74070616747852991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139.36614501431501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1.6292436938648731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2.1125177492988438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0.69243129999999997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0.72505279999999994</v>
      </c>
      <c r="C38" s="98">
        <v>0.95</v>
      </c>
      <c r="D38" s="56">
        <v>2.415723197099835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vCk6mygESgHXNWWbmNkOV85Z1I+Cv7Zdrvq0G7YG+Mlgy8qwesR+wdC9KuFbB0M8n26YGebjCbR26UQBE/Hqg==" saltValue="nT+rnYS5ddvLfXABeR7y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JcDqVPDw8Rdi9ya9GUCFp87+wzRC8sqfRNQN+VQuP6DsMvR/Cluu1gD4/LFAR68R5zoBeL+a/WfNGyqnKcmLw==" saltValue="GRV/UzXNqqN5FZE18McQ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4xpxGgV7xff9Lg1z/hL7tRkj0msIDYsnfBrGqcQ0pODGa9SPlYAXDWxVIFNXEoCvrgb2TAa46o5CV4hKTQCPg==" saltValue="DiY4BagSG7S2n+vJJ6rt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207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wOGVLkaDnTi3amD0vqlWryvIsKRC02EXBJDR4B1qmpa8dsT174cp2lX8h3ZIpUlLE8Pwa267h9BycjJroZMkLA==" saltValue="sLHCfgs6yyXFIrCzdjFJ4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0.11028401947021463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4.7264579772949129E-2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6.7520828247070189E-2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0.1173</v>
      </c>
      <c r="D34" s="60">
        <f t="shared" si="3"/>
        <v>0.1173</v>
      </c>
      <c r="E34" s="60">
        <f t="shared" si="3"/>
        <v>0.1173</v>
      </c>
      <c r="F34" s="60">
        <f t="shared" si="3"/>
        <v>0.1173</v>
      </c>
      <c r="G34" s="60">
        <f t="shared" si="3"/>
        <v>0.1173</v>
      </c>
      <c r="H34" s="60">
        <f t="shared" si="3"/>
        <v>0.1173</v>
      </c>
      <c r="I34" s="60">
        <f t="shared" si="3"/>
        <v>0.1173</v>
      </c>
      <c r="J34" s="60">
        <f t="shared" si="3"/>
        <v>0.1173</v>
      </c>
      <c r="K34" s="60">
        <f t="shared" si="3"/>
        <v>0.1173</v>
      </c>
      <c r="L34" s="60">
        <f t="shared" si="3"/>
        <v>0.1173</v>
      </c>
      <c r="M34" s="60">
        <f t="shared" si="3"/>
        <v>0.1173</v>
      </c>
      <c r="N34" s="60">
        <f t="shared" si="3"/>
        <v>0.1173</v>
      </c>
      <c r="O34" s="60">
        <f t="shared" si="3"/>
        <v>0.1173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xlY1kjiMKR3x4NeInWbAVuxulbo6pVcCOsLlftmA51gXXeV5VjPxYCRcUot53gU3vK3Ng/U4jF8A5i9sN9Xjw==" saltValue="Q4Bxvsblla+57B/DO6/z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3+LCQWAFb2TijqQtnratfC+KdkHB11tal9Ica55ZHb2/e7d5+R8NQVvECKCv+M3sz0iGlFSIX3y2kl54q5WHw==" saltValue="NsgcphyNdAdeYHW8c0b0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/P9Y45Hc673rjk7+apzDYJX1XG2Jdrt00u3trJaBO7XNTZeWEGFVkadDwJGi3Mv1NolIfrA9LQg+GYmbJPF+Q==" saltValue="tQsC83HlpV0dLQpRrTGX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jTm3UIi2HYx3m0yQWpLzIuv6gDC4JbpvNtLU2eQCtp8E7SVg7LxdhQn81jhx6tRjfL/ba12y9fHF0XFF7VVGg==" saltValue="TPdA+7JJjvv5sf6mXEfw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hoqEsV7q44AKW0SSh67vL7DS9bEbR7Cc3h92lpqDHjaQcXfywo0djgj8XSpSGtOHOeCSRDzslqkQPxuIpux6w==" saltValue="yQktlqQO83iF6iUazuiaB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5iHQ+wjytyFJN5xJ4q83LacK5fqYJlcpxRK/KdSlkdJgwF/R34PonPPqbptyPZk9AN+h6gscM/FNgfczfIedBw==" saltValue="Jl4/tQLQrc+M9PMMpoJB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ju3GaiOpafit+8yHRRXVN1SsWNsMRx7d6imlIuoLUdk0z8m13LnGeVsa3Fmz4eU0vEBDcpuWkw8WHTj1KXEsRg==" saltValue="gr1SVnkZcxE98qTorJsE1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pNO62NbYJtVTcefLIGBzo0eq3XWXTpBoswYd0ZBcPWC1Bpns15ELflU4Fq77iZJnUFM4myBcRzIxERupkhIbw==" saltValue="f0f1sanIyDGBJovnGsGi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bJ1w2twbgttItmA7QAfCPp15L9LxSZIp6fBuXKstLRaFgKsqpQoubYfVTEyXGNBqWDV4QrsgUeUBSdsmUiDRA==" saltValue="bOJVeDDWzeHi0wTBhctz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qD/7L61skMLQkgXQKcBZWRes9iGn943FhOO+bN9jzJ7H5NKpVM1F39bzjtG8vaPRA9MMqI3EZn6+4RuC1Yzug==" saltValue="oP4G3yQQ0dvgzE9MXQa4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8XrM6iGW0U4CS4ZzFJ2b0nwGV7EKdkZkC8U5KYbukaJGAoMYIbhlgc1T/WVZ+giCYbq+bLf4AURc9qFF4nK/w==" saltValue="QuN7IgjytHx+PSwho8Kp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QyH1vUc3dl2K/3zTbN/jZiMCShnVa+F6QJd8+KYj7CBisdP7Ev5vNK5oC4S1bSxWv7PdGbdfI3Eye50CGdSIw==" saltValue="0OihpooKFIzRQSGMw5EA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m+sioHgObXJQgLaZmyK80ISFkhnsMtRJFLl6ZAXKnrMvNrpQ3Ifkg2rEKlG704fPc3EiB7QY7CD41vniZHa4Q==" saltValue="XghNQVbhWuyAN5akMiMh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aGgbBRmN+tLDG66QjExwxBOmJx/cPX/nTwrpSErYMv/ifSD1ojGBTBvT2gdFe6l2votNC+ekPqsyvi+lEQxuA==" saltValue="4xDCo121CEr0ZX1+Ud6C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iEfv5IqHxSz2gaLnxSC0VQeICab43OtV+qbHGEYigLo8nx/f33ZsGPHvKSQ9EyN1n5mC3bVrz/GZQLZqFmEpw==" saltValue="czN1xI9JY4nwymHpmKjrM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2024-05-17T00:02:02Z</dcterms:modified>
</cp:coreProperties>
</file>