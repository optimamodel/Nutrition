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D724C66-D237-4FCB-9F6D-A87E3CBAF01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4" i="2"/>
  <c r="A31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A23" i="2"/>
  <c r="A24" i="2"/>
  <c r="A26" i="2"/>
  <c r="I6" i="2"/>
  <c r="I12" i="2"/>
  <c r="A35" i="2"/>
  <c r="A36" i="2"/>
  <c r="I2" i="2"/>
  <c r="I8" i="2"/>
  <c r="A19" i="2"/>
  <c r="A22" i="2"/>
  <c r="I39" i="2"/>
  <c r="I3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<sst xmlns="http://schemas.openxmlformats.org/spreadsheetml/2006/main" count="2169" uniqueCount="373">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</sst>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1456298.5</v>
      </c>
    </row>
    <row r="8" spans="1:3" ht="15" customHeight="1" x14ac:dyDescent="0.25">
      <c r="B8" s="5" t="s">
        <v>63</v>
      </c>
      <c r="C8" s="44">
        <v>0.82299999999999995</v>
      </c>
    </row>
    <row r="9" spans="1:3" ht="15" customHeight="1" x14ac:dyDescent="0.25">
      <c r="B9" s="5" t="s">
        <v>62</v>
      </c>
      <c r="C9" s="45">
        <v>0.39</v>
      </c>
    </row>
    <row r="10" spans="1:3" ht="15" customHeight="1" x14ac:dyDescent="0.25">
      <c r="B10" s="5" t="s">
        <v>75</v>
      </c>
      <c r="C10" s="45">
        <v>4.49366E-2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6.7500000000000004E-2</v>
      </c>
    </row>
    <row r="24" spans="1:3" ht="15" customHeight="1" x14ac:dyDescent="0.25">
      <c r="B24" s="15" t="s">
        <v>65</v>
      </c>
      <c r="C24" s="45">
        <v>0.51</v>
      </c>
    </row>
    <row r="25" spans="1:3" ht="15" customHeight="1" x14ac:dyDescent="0.25">
      <c r="B25" s="15" t="s">
        <v>66</v>
      </c>
      <c r="C25" s="45">
        <v>0.32150000000000001</v>
      </c>
    </row>
    <row r="26" spans="1:3" ht="15" customHeight="1" x14ac:dyDescent="0.25">
      <c r="B26" s="15" t="s">
        <v>67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0.22259625228416199</v>
      </c>
    </row>
    <row r="30" spans="1:3" ht="14.25" customHeight="1" x14ac:dyDescent="0.25">
      <c r="B30" s="25" t="s">
        <v>82</v>
      </c>
      <c r="C30" s="97">
        <v>6.9957740305893898E-2</v>
      </c>
    </row>
    <row r="31" spans="1:3" ht="14.25" customHeight="1" x14ac:dyDescent="0.25">
      <c r="B31" s="25" t="s">
        <v>29</v>
      </c>
      <c r="C31" s="97">
        <v>0.118524449608315</v>
      </c>
    </row>
    <row r="32" spans="1:3" ht="14.25" customHeight="1" x14ac:dyDescent="0.25">
      <c r="B32" s="25" t="s">
        <v>30</v>
      </c>
      <c r="C32" s="97">
        <v>0.58892155780162903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39.626449999999998</v>
      </c>
    </row>
    <row r="38" spans="1:5" ht="15" customHeight="1" x14ac:dyDescent="0.25">
      <c r="B38" s="11" t="s">
        <v>54</v>
      </c>
      <c r="C38" s="43">
        <v>63.756</v>
      </c>
      <c r="D38" s="12"/>
      <c r="E38" s="13"/>
    </row>
    <row r="39" spans="1:5" ht="15" customHeight="1" x14ac:dyDescent="0.25">
      <c r="B39" s="11" t="s">
        <v>80</v>
      </c>
      <c r="C39" s="43">
        <v>98.689639999999997</v>
      </c>
      <c r="D39" s="12"/>
      <c r="E39" s="12"/>
    </row>
    <row r="40" spans="1:5" ht="15" customHeight="1" x14ac:dyDescent="0.25">
      <c r="B40" s="11" t="s">
        <v>55</v>
      </c>
      <c r="C40" s="98">
        <v>12.23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7.9325000000000003E-3</v>
      </c>
      <c r="D45" s="12"/>
    </row>
    <row r="46" spans="1:5" ht="15.75" customHeight="1" x14ac:dyDescent="0.25">
      <c r="B46" s="11" t="s">
        <v>70</v>
      </c>
      <c r="C46" s="45">
        <v>8.5233500000000004E-2</v>
      </c>
      <c r="D46" s="12"/>
    </row>
    <row r="47" spans="1:5" ht="15.75" customHeight="1" x14ac:dyDescent="0.25">
      <c r="B47" s="11" t="s">
        <v>78</v>
      </c>
      <c r="C47" s="45">
        <v>7.3456999999999995E-2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0.52577700000000005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wL7o60y6ZtaBwU6N/q1VuTCwbZT8dP1nZlirnjHTophLOCF9TW82kYp/DnmWa2zljeE7C3accnrQCu1d1RjBrA==" saltValue="Z78nTuZSmWGgl2eVKo4v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349013</v>
      </c>
      <c r="C2" s="49">
        <v>751321</v>
      </c>
      <c r="D2" s="49">
        <v>996666.5</v>
      </c>
      <c r="E2" s="49">
        <v>607844</v>
      </c>
      <c r="F2" s="49">
        <v>643870</v>
      </c>
      <c r="G2" s="17">
        <f t="shared" ref="G2:G13" si="0">C2+D2+E2+F2</f>
        <v>2999701.5</v>
      </c>
      <c r="H2" s="17">
        <f t="shared" ref="H2:H13" si="1">(B2 + stillbirth*B2/(1000-stillbirth))/(1-abortion)</f>
        <v>407126.37702101382</v>
      </c>
      <c r="I2" s="17">
        <f t="shared" ref="I2:I13" si="2">G2-H2</f>
        <v>2592575.1229789862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357711</v>
      </c>
      <c r="C3" s="50">
        <v>772056.5</v>
      </c>
      <c r="D3" s="50">
        <v>1067417.5</v>
      </c>
      <c r="E3" s="50">
        <v>609413</v>
      </c>
      <c r="F3" s="50">
        <v>647067.50000000012</v>
      </c>
      <c r="G3" s="17">
        <f t="shared" si="0"/>
        <v>3095954.5</v>
      </c>
      <c r="H3" s="17">
        <f t="shared" si="1"/>
        <v>417272.66162166983</v>
      </c>
      <c r="I3" s="17">
        <f t="shared" si="2"/>
        <v>2678681.8383783302</v>
      </c>
    </row>
    <row r="4" spans="1:9" ht="15.75" customHeight="1" x14ac:dyDescent="0.25">
      <c r="A4" s="5">
        <f t="shared" si="3"/>
        <v>2026</v>
      </c>
      <c r="B4" s="49">
        <v>365962</v>
      </c>
      <c r="C4" s="50">
        <v>791606.5</v>
      </c>
      <c r="D4" s="50">
        <v>1138464.5</v>
      </c>
      <c r="E4" s="50">
        <v>618509</v>
      </c>
      <c r="F4" s="50">
        <v>643815.49999999988</v>
      </c>
      <c r="G4" s="17">
        <f t="shared" si="0"/>
        <v>3192395.5</v>
      </c>
      <c r="H4" s="17">
        <f t="shared" si="1"/>
        <v>426897.51724825223</v>
      </c>
      <c r="I4" s="17">
        <f t="shared" si="2"/>
        <v>2765497.9827517476</v>
      </c>
    </row>
    <row r="5" spans="1:9" ht="15.75" customHeight="1" x14ac:dyDescent="0.25">
      <c r="A5" s="5">
        <f t="shared" si="3"/>
        <v>2027</v>
      </c>
      <c r="B5" s="49">
        <v>374205</v>
      </c>
      <c r="C5" s="50">
        <v>808787</v>
      </c>
      <c r="D5" s="50">
        <v>1210033.5</v>
      </c>
      <c r="E5" s="50">
        <v>637482.5</v>
      </c>
      <c r="F5" s="50">
        <v>632326</v>
      </c>
      <c r="G5" s="17">
        <f t="shared" si="0"/>
        <v>3288629</v>
      </c>
      <c r="H5" s="17">
        <f t="shared" si="1"/>
        <v>436513.04081265879</v>
      </c>
      <c r="I5" s="17">
        <f t="shared" si="2"/>
        <v>2852115.9591873414</v>
      </c>
    </row>
    <row r="6" spans="1:9" ht="15.75" customHeight="1" x14ac:dyDescent="0.25">
      <c r="A6" s="5">
        <f t="shared" si="3"/>
        <v>2028</v>
      </c>
      <c r="B6" s="49">
        <v>381724</v>
      </c>
      <c r="C6" s="50">
        <v>817985.5</v>
      </c>
      <c r="D6" s="50">
        <v>1280200</v>
      </c>
      <c r="E6" s="50">
        <v>664496.5</v>
      </c>
      <c r="F6" s="50">
        <v>616443</v>
      </c>
      <c r="G6" s="17">
        <f t="shared" si="0"/>
        <v>3379125</v>
      </c>
      <c r="H6" s="17">
        <f t="shared" si="1"/>
        <v>445284.0127501539</v>
      </c>
      <c r="I6" s="17">
        <f t="shared" si="2"/>
        <v>2933840.9872498461</v>
      </c>
    </row>
    <row r="7" spans="1:9" ht="15.75" customHeight="1" x14ac:dyDescent="0.25">
      <c r="A7" s="5">
        <f t="shared" si="3"/>
        <v>2029</v>
      </c>
      <c r="B7" s="49">
        <v>389036</v>
      </c>
      <c r="C7" s="50">
        <v>816439.5</v>
      </c>
      <c r="D7" s="50">
        <v>1343446.5</v>
      </c>
      <c r="E7" s="50">
        <v>695403</v>
      </c>
      <c r="F7" s="50">
        <v>605798</v>
      </c>
      <c r="G7" s="17">
        <f t="shared" si="0"/>
        <v>3461087</v>
      </c>
      <c r="H7" s="17">
        <f t="shared" si="1"/>
        <v>453813.51757884986</v>
      </c>
      <c r="I7" s="17">
        <f t="shared" si="2"/>
        <v>3007273.48242115</v>
      </c>
    </row>
    <row r="8" spans="1:9" ht="15.75" customHeight="1" x14ac:dyDescent="0.25">
      <c r="A8" s="5">
        <f t="shared" si="3"/>
        <v>2030</v>
      </c>
      <c r="B8" s="49">
        <v>395444</v>
      </c>
      <c r="C8" s="50">
        <v>802114.5</v>
      </c>
      <c r="D8" s="50">
        <v>1398011.5</v>
      </c>
      <c r="E8" s="50">
        <v>732143.5</v>
      </c>
      <c r="F8" s="50">
        <v>599696</v>
      </c>
      <c r="G8" s="17">
        <f t="shared" si="0"/>
        <v>3531965.5</v>
      </c>
      <c r="H8" s="17">
        <f t="shared" si="1"/>
        <v>461288.49938167853</v>
      </c>
      <c r="I8" s="17">
        <f t="shared" si="2"/>
        <v>3070677.0006183214</v>
      </c>
    </row>
    <row r="9" spans="1:9" ht="15.75" customHeight="1" x14ac:dyDescent="0.25">
      <c r="A9" s="5">
        <f t="shared" si="3"/>
        <v>2031</v>
      </c>
      <c r="B9" s="49">
        <v>400473</v>
      </c>
      <c r="C9" s="50">
        <v>777526.5</v>
      </c>
      <c r="D9" s="50">
        <v>1448069.5</v>
      </c>
      <c r="E9" s="50">
        <v>778887</v>
      </c>
      <c r="F9" s="50">
        <v>592625</v>
      </c>
      <c r="G9" s="17">
        <f t="shared" si="0"/>
        <v>3597108</v>
      </c>
      <c r="H9" s="17">
        <f t="shared" si="1"/>
        <v>467154.866966951</v>
      </c>
      <c r="I9" s="17">
        <f t="shared" si="2"/>
        <v>3129953.1330330488</v>
      </c>
    </row>
    <row r="10" spans="1:9" ht="15.75" customHeight="1" x14ac:dyDescent="0.25">
      <c r="A10" s="5">
        <f t="shared" si="3"/>
        <v>2032</v>
      </c>
      <c r="B10" s="49">
        <v>404565</v>
      </c>
      <c r="C10" s="50">
        <v>748450.5</v>
      </c>
      <c r="D10" s="50">
        <v>1492002</v>
      </c>
      <c r="E10" s="50">
        <v>834141.5</v>
      </c>
      <c r="F10" s="50">
        <v>585355.49999999988</v>
      </c>
      <c r="G10" s="17">
        <f t="shared" si="0"/>
        <v>3659949.5</v>
      </c>
      <c r="H10" s="17">
        <f t="shared" si="1"/>
        <v>471928.21676988091</v>
      </c>
      <c r="I10" s="17">
        <f t="shared" si="2"/>
        <v>3188021.2832301189</v>
      </c>
    </row>
    <row r="11" spans="1:9" ht="15.75" customHeight="1" x14ac:dyDescent="0.25">
      <c r="A11" s="5">
        <f t="shared" si="3"/>
        <v>2033</v>
      </c>
      <c r="B11" s="49">
        <v>407065</v>
      </c>
      <c r="C11" s="50">
        <v>718650</v>
      </c>
      <c r="D11" s="50">
        <v>1524421.5</v>
      </c>
      <c r="E11" s="50">
        <v>895261.5</v>
      </c>
      <c r="F11" s="50">
        <v>578769.5</v>
      </c>
      <c r="G11" s="17">
        <f t="shared" si="0"/>
        <v>3717102.5</v>
      </c>
      <c r="H11" s="17">
        <f t="shared" si="1"/>
        <v>474844.48619982344</v>
      </c>
      <c r="I11" s="17">
        <f t="shared" si="2"/>
        <v>3242258.0138001768</v>
      </c>
    </row>
    <row r="12" spans="1:9" ht="15.75" customHeight="1" x14ac:dyDescent="0.25">
      <c r="A12" s="5">
        <f t="shared" si="3"/>
        <v>2034</v>
      </c>
      <c r="B12" s="49">
        <v>407899</v>
      </c>
      <c r="C12" s="50">
        <v>696049.5</v>
      </c>
      <c r="D12" s="50">
        <v>1544980.5</v>
      </c>
      <c r="E12" s="50">
        <v>960380</v>
      </c>
      <c r="F12" s="50">
        <v>575063</v>
      </c>
      <c r="G12" s="17">
        <f t="shared" si="0"/>
        <v>3776473</v>
      </c>
      <c r="H12" s="17">
        <f t="shared" si="1"/>
        <v>475817.35368165228</v>
      </c>
      <c r="I12" s="17">
        <f t="shared" si="2"/>
        <v>3300655.6463183477</v>
      </c>
    </row>
    <row r="13" spans="1:9" ht="15.75" customHeight="1" x14ac:dyDescent="0.25">
      <c r="A13" s="5">
        <f t="shared" si="3"/>
        <v>2035</v>
      </c>
      <c r="B13" s="49">
        <v>407878</v>
      </c>
      <c r="C13" s="50">
        <v>687830.5</v>
      </c>
      <c r="D13" s="50">
        <v>1552358.5</v>
      </c>
      <c r="E13" s="50">
        <v>1028185.5</v>
      </c>
      <c r="F13" s="50">
        <v>576512</v>
      </c>
      <c r="G13" s="17">
        <f t="shared" si="0"/>
        <v>3844886.5</v>
      </c>
      <c r="H13" s="17">
        <f t="shared" si="1"/>
        <v>475792.85701844073</v>
      </c>
      <c r="I13" s="17">
        <f t="shared" si="2"/>
        <v>3369093.642981559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PAybxqXvAfrKFNgt2JYUmaLEvJ0ayzCUhKUo55BpibccFN10kddUfX/Ca5HanfGBeieC4/TDjPBtF1qu4GmOg==" saltValue="jskH4tJ1BOXZmphxIwDN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2.822998082324844E-2</v>
      </c>
    </row>
    <row r="4" spans="1:8" ht="15.75" customHeight="1" x14ac:dyDescent="0.25">
      <c r="B4" s="19" t="s">
        <v>116</v>
      </c>
      <c r="C4" s="99">
        <v>7.0228368574160885E-2</v>
      </c>
    </row>
    <row r="5" spans="1:8" ht="15.75" customHeight="1" x14ac:dyDescent="0.25">
      <c r="B5" s="19" t="s">
        <v>114</v>
      </c>
      <c r="C5" s="99">
        <v>0.1233726047836731</v>
      </c>
    </row>
    <row r="6" spans="1:8" ht="15.75" customHeight="1" x14ac:dyDescent="0.25">
      <c r="B6" s="19" t="s">
        <v>110</v>
      </c>
      <c r="C6" s="99">
        <v>0.26438892254695279</v>
      </c>
    </row>
    <row r="7" spans="1:8" ht="15.75" customHeight="1" x14ac:dyDescent="0.25">
      <c r="B7" s="19" t="s">
        <v>115</v>
      </c>
      <c r="C7" s="99">
        <v>0.33964450408319652</v>
      </c>
    </row>
    <row r="8" spans="1:8" ht="15.75" customHeight="1" x14ac:dyDescent="0.25">
      <c r="B8" s="19" t="s">
        <v>117</v>
      </c>
      <c r="C8" s="99">
        <v>1.295647428162284E-2</v>
      </c>
    </row>
    <row r="9" spans="1:8" ht="15.75" customHeight="1" x14ac:dyDescent="0.25">
      <c r="B9" s="19" t="s">
        <v>111</v>
      </c>
      <c r="C9" s="99">
        <v>4.1254149538606392E-2</v>
      </c>
    </row>
    <row r="10" spans="1:8" ht="15.75" customHeight="1" x14ac:dyDescent="0.25">
      <c r="B10" s="19" t="s">
        <v>113</v>
      </c>
      <c r="C10" s="99">
        <v>0.1199249953685389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121</v>
      </c>
      <c r="C15" s="99">
        <v>0.2498034844866944</v>
      </c>
      <c r="D15" s="99">
        <v>0.2498034844866944</v>
      </c>
      <c r="E15" s="99">
        <v>0.2498034844866944</v>
      </c>
      <c r="F15" s="99">
        <v>0.2498034844866944</v>
      </c>
    </row>
    <row r="16" spans="1:8" ht="15.75" customHeight="1" x14ac:dyDescent="0.25">
      <c r="B16" s="19" t="s">
        <v>2</v>
      </c>
      <c r="C16" s="99">
        <v>4.6704185577370237E-2</v>
      </c>
      <c r="D16" s="99">
        <v>4.6704185577370237E-2</v>
      </c>
      <c r="E16" s="99">
        <v>4.6704185577370237E-2</v>
      </c>
      <c r="F16" s="99">
        <v>4.6704185577370237E-2</v>
      </c>
    </row>
    <row r="17" spans="1:8" ht="15.75" customHeight="1" x14ac:dyDescent="0.25">
      <c r="B17" s="19" t="s">
        <v>109</v>
      </c>
      <c r="C17" s="99">
        <v>7.825061005128861E-2</v>
      </c>
      <c r="D17" s="99">
        <v>7.825061005128861E-2</v>
      </c>
      <c r="E17" s="99">
        <v>7.825061005128861E-2</v>
      </c>
      <c r="F17" s="99">
        <v>7.825061005128861E-2</v>
      </c>
    </row>
    <row r="18" spans="1:8" ht="15.75" customHeight="1" x14ac:dyDescent="0.25">
      <c r="B18" s="19" t="s">
        <v>3</v>
      </c>
      <c r="C18" s="99">
        <v>0.22146118708923121</v>
      </c>
      <c r="D18" s="99">
        <v>0.22146118708923121</v>
      </c>
      <c r="E18" s="99">
        <v>0.22146118708923121</v>
      </c>
      <c r="F18" s="99">
        <v>0.22146118708923121</v>
      </c>
    </row>
    <row r="19" spans="1:8" ht="15.75" customHeight="1" x14ac:dyDescent="0.25">
      <c r="B19" s="19" t="s">
        <v>120</v>
      </c>
      <c r="C19" s="99">
        <v>2.327848719104594E-2</v>
      </c>
      <c r="D19" s="99">
        <v>2.327848719104594E-2</v>
      </c>
      <c r="E19" s="99">
        <v>2.327848719104594E-2</v>
      </c>
      <c r="F19" s="99">
        <v>2.327848719104594E-2</v>
      </c>
    </row>
    <row r="20" spans="1:8" ht="15.75" customHeight="1" x14ac:dyDescent="0.25">
      <c r="B20" s="19" t="s">
        <v>98</v>
      </c>
      <c r="C20" s="99">
        <v>6.2088160097453382E-2</v>
      </c>
      <c r="D20" s="99">
        <v>6.2088160097453382E-2</v>
      </c>
      <c r="E20" s="99">
        <v>6.2088160097453382E-2</v>
      </c>
      <c r="F20" s="99">
        <v>6.2088160097453382E-2</v>
      </c>
    </row>
    <row r="21" spans="1:8" ht="15.75" customHeight="1" x14ac:dyDescent="0.25">
      <c r="B21" s="19" t="s">
        <v>107</v>
      </c>
      <c r="C21" s="99">
        <v>3.8913994294759342E-2</v>
      </c>
      <c r="D21" s="99">
        <v>3.8913994294759342E-2</v>
      </c>
      <c r="E21" s="99">
        <v>3.8913994294759342E-2</v>
      </c>
      <c r="F21" s="99">
        <v>3.8913994294759342E-2</v>
      </c>
    </row>
    <row r="22" spans="1:8" ht="15.75" customHeight="1" x14ac:dyDescent="0.25">
      <c r="B22" s="19" t="s">
        <v>118</v>
      </c>
      <c r="C22" s="99">
        <v>0.1198874803937814</v>
      </c>
      <c r="D22" s="99">
        <v>0.1198874803937814</v>
      </c>
      <c r="E22" s="99">
        <v>0.1198874803937814</v>
      </c>
      <c r="F22" s="99">
        <v>0.1198874803937814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4.6824316999999997E-2</v>
      </c>
    </row>
    <row r="27" spans="1:8" ht="15.75" customHeight="1" x14ac:dyDescent="0.25">
      <c r="B27" s="19" t="s">
        <v>108</v>
      </c>
      <c r="C27" s="99">
        <v>2.7708330999999999E-2</v>
      </c>
    </row>
    <row r="28" spans="1:8" ht="15.75" customHeight="1" x14ac:dyDescent="0.25">
      <c r="B28" s="19" t="s">
        <v>122</v>
      </c>
      <c r="C28" s="99">
        <v>0.192682248</v>
      </c>
    </row>
    <row r="29" spans="1:8" ht="15.75" customHeight="1" x14ac:dyDescent="0.25">
      <c r="B29" s="19" t="s">
        <v>105</v>
      </c>
      <c r="C29" s="99">
        <v>0.15047112300000001</v>
      </c>
    </row>
    <row r="30" spans="1:8" ht="15.75" customHeight="1" x14ac:dyDescent="0.25">
      <c r="B30" s="19" t="s">
        <v>4</v>
      </c>
      <c r="C30" s="99">
        <v>4.9998465000000013E-2</v>
      </c>
    </row>
    <row r="31" spans="1:8" ht="15.75" customHeight="1" x14ac:dyDescent="0.25">
      <c r="B31" s="19" t="s">
        <v>99</v>
      </c>
      <c r="C31" s="99">
        <v>3.0442113E-2</v>
      </c>
    </row>
    <row r="32" spans="1:8" ht="15.75" customHeight="1" x14ac:dyDescent="0.25">
      <c r="B32" s="19" t="s">
        <v>104</v>
      </c>
      <c r="C32" s="99">
        <v>8.5598303000000001E-2</v>
      </c>
    </row>
    <row r="33" spans="2:3" ht="15.75" customHeight="1" x14ac:dyDescent="0.25">
      <c r="B33" s="19" t="s">
        <v>119</v>
      </c>
      <c r="C33" s="99">
        <v>0.16741062000000001</v>
      </c>
    </row>
    <row r="34" spans="2:3" ht="15.75" customHeight="1" x14ac:dyDescent="0.25">
      <c r="B34" s="19" t="s">
        <v>106</v>
      </c>
      <c r="C34" s="99">
        <v>0.24886448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uHs8523gkll+JXH6LyU7BjjPZHVm5DZ2/9suoihZSoMuqBepJyIXwSEFrr+futNcdtqpKEU4lvULyfTTt9u4g==" saltValue="XGPXALDKLGtMUZ/Csp26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129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125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126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138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/MWYT0/HokFNtWTVV1wGomWn56PfsQE9g30wZpXN74lcgvnG8K7sDUY2v3oxYkpp+e1gGD2xc0vs9/J7+5fbQ==" saltValue="aaITmGT9D9GghKREN9K4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l2R7J7BWDjFa/YAGVoww3lMU75ixca1RGvI0nPSj5sdUZl2gPEUkJ6pGWycpha6V3tr8rz7dvfTzwx782/jvBQ==" saltValue="q5FLZYSJCcK1Qif8fhzf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HIhpXMhPqkocnyytx/7FHkpwhyhRiBLE5CDoHjO95z3grtA4/b7HHxV6jcXCWgBxjQT6Bmfz6kPKEoO0dBrEg==" saltValue="tEprihmm7RbQ8+4xf3N8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1071.7777647554501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0.40500000000000003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0.71845999999999999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1.5572250000000001E-2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90236.159549999997</v>
      </c>
      <c r="C22" s="107">
        <v>89013.564110000007</v>
      </c>
      <c r="D22" s="107">
        <v>88344.998340000006</v>
      </c>
      <c r="E22" s="107">
        <v>87810.31151</v>
      </c>
      <c r="F22" s="107">
        <v>87060.431859999997</v>
      </c>
      <c r="G22" s="107">
        <v>86047.57458</v>
      </c>
      <c r="H22" s="107">
        <v>84688.024669999999</v>
      </c>
      <c r="I22" s="107">
        <v>82896.080180000004</v>
      </c>
      <c r="J22" s="107">
        <v>80611.207680000007</v>
      </c>
      <c r="K22" s="107">
        <v>77727.759890000001</v>
      </c>
      <c r="L22" s="107">
        <v>73959.744449999998</v>
      </c>
      <c r="M22" s="107">
        <v>69062.194350000005</v>
      </c>
      <c r="N22" s="107">
        <v>62255.712050000002</v>
      </c>
      <c r="O22" s="107">
        <v>53412.950499999999</v>
      </c>
    </row>
  </sheetData>
  <sheetProtection algorithmName="SHA-512" hashValue="XdDp0XAZY5QXj42RMRVp+WdEqt4T/31oLmaseaKFxm6YG5rJRFjrxH3USeDiYodpJjA25lJsOXKnpHfGOAYdLA==" saltValue="ofaiOlzdBPyGJ4i6tDM/V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0+fCHObIcMl4bm7Z+/yqDtHMayEc6bIp+ZqvloIUOWJTis2HfVyOH+G/uXE1OqfPFAvNJUSWOW0C0bumoSmyGw==" saltValue="lweIhBsVpnpVuF6rbWm7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4fVLqm2YyL2udY9SbPQsFX9IAG0ZVaWimXdZgeX2hmroE6Vcbfmc1GsdiOp94c33QbSTf+BZggyX0HxoiHfa+Q==" saltValue="sGPlropO4d0syq1q5W1R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14.98391555624624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14.98391555624624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14.98391555624624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14.98391555624624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14.98391555624624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0.192884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0.41144239999999999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0.41144239999999999</v>
      </c>
      <c r="C19" s="96">
        <v>0.95</v>
      </c>
      <c r="D19" s="56">
        <v>0.66496463640733372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0.3422287</v>
      </c>
      <c r="C23" s="96">
        <v>0.95</v>
      </c>
      <c r="D23" s="56">
        <v>4.8905827235809092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8.774884088691999E-2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0.3860053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0.49399999999999999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0.46089999999999998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5.5999999999999987E-2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0.157411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1.34567E-2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4.4852499999999997E-2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3.0882199999999999E-2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vHQvjOWg5ZH3o21fKYaN/3uWZSICCM8MqeMJ8CuEwncSNwAHKF8MwlOcyuQHiQ8kblSv7ui4V3+jpj9axsQiNA==" saltValue="ddOlTccXYuRwpHpN4aol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8j7iZxKKE6N6D2Jj1xy4N5A/kjT+v54cSem63f/UcbAmzn5tIIVui1XOwZHgXALusCUvDZ8M2gnKlCSRrBfJg==" saltValue="KcAM6b7jV7d/axUuEQ3V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HbpfpKJQ8etDtfPyBFX1fa7WKwr4QFHCHRVWFWev7RIB3q3Kw7DUfBkVmV2uG70+FL0Nx1vYZJUltZCcH6Rzw==" saltValue="B5HUFUwgXV1AWfHvwSVxi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236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UpkzPdSqErMKWYgIAyoTKjRpBzQ1ElSnD1x9j8nSFbh+kcoXW1+r9fM2cQhkKhPHA6NMExYzPWWmfxmLy0HNJA==" saltValue="dgoRk+ar5L5VHMjoKG025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e0ErVxFqX8XaOHTHeLMK7Lsw84IGlwEArTkZdSjIBOOlnuF2GTBfas/jpLfb6Zugmt5K3wq4NE0/Wk0V0fVCA==" saltValue="ylt3mprTn6yeUvozCsTD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o/r+zndF/lTNvzCYZ860rzRtZfItR9SnjpzLiDO35HvPR3IHComwj62x4h1kiPwCNzt3VVLZpiX+3WMPvcT0A==" saltValue="dWgUZmpNRxuLphmCiqhe0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njTBwWWCU8D3RqtOTcfv1x9jf5Clh/0mHq0S6qzc9Yt3tesclsnCxxAFxR2UnO5TU0BC1VUWObrwev3VBuwqg==" saltValue="BKroT8z4PS8unLlOWd6e4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7oS7co35kBWIzpjMKnTe+WlKieKQd+1YOynygy0CCtkpyP3dR2hYP4X0Oh4Jt/yBL8kLXvo1TnbE6ZLiGORsQ==" saltValue="qDj9AZBsYaDirS76J0SN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USp3wzSlZH6AHwVhirJ+jRbVA7k27qm3WJzR4uxIrYQXs6WDv5RsgrS/xIrilhaNFy9xqjNcpUZS0qYaoRuzw==" saltValue="du70q61NJmWtst4NxoVK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s55BU0kRRJq+azEkNzhAwDJm0zVWTzqTF92SljGw5vkq/a5Ho6P8xv3y3n/vRpeo/qoSPGyu4AcyoNvLZdO3Ug==" saltValue="DM3eZfJou2Zl8qHucuO+O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201HSnLHibKJLhq+GPDiGe6B6T1/zN3QVxim3CpyA4erR5lDB+x6Vzq3etVEQTTFeZpYlK5PZGF/c1QBPChRg==" saltValue="GdMHy/OErrP5LXM6H5WAT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8N2jJHxR9WpweZCXxOPoJCmA5suamhf946yCidQlTkA/jbmhVidngGegWx0ZPyy7xLYdbi0yEbPTQWl40aQUQ==" saltValue="ycov/ORghztU0CaQlx3C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14IPncA/re7ZFactD9dKDBew8Xh+c53gvR5aPlF7r7whNXcWMLfYU0XxX3pkeAmD8XAImDFvz4z94rchofzKrw==" saltValue="HjwHOg4lhFLd9utCOn4o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bTTw68DqW0xwX6xy6KU+INVwAvIEQYwKEsyi8puOkxO60cFP6j+/GeYXhh6DIH4OpOTi3apEXJdGFB6mNgjaQ==" saltValue="d1YAQKWsJENx1LOfvarm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DqNTIyVFEEQmdNIid9wK1RAEXUBCKLqoFwCRU0XtzZuugtfV8a8RRs0dWdKQ/laxtOGc4zsx+HzIiP06ewj1A==" saltValue="ZMC9gVPw5T+wTtoOoOR5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e7ZsL5a4iUa8fpv6i2CVmMLri+sIzVuhfd7evcOxzNY4TYEhdfIMht0ZL8GY4tF8Ug8tMfJM8pqmE/1O9KdjA==" saltValue="8x8nhjwX0KxC2+Wledao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mk2ccGhAZM894usqKa132S2pQsg+420THk3AmA3GjU6TfCc0SEeCelvEarCoFf5QT4v1iTmGVtI2PolxaCz/g==" saltValue="pZ9fmUOdOmwtrifw+h4W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UHMYG1y+XIi7xWK3Sm+XLTXWetuHvZWyaChj1rxCvnDNGJ/HBCdH2Rp6y89jCpC7WLFutvDYsHok7xbuXpHYA==" saltValue="LoTg21Ab1Hpc9mu74Bav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zFQ+xzUR/4it0r4AlMxDQHlzY3V3LRDOW9JyPHug8xy2HZkOc5XgqUZOS07Lx85P17DqecKd5iXve73lEHRQlw==" saltValue="fG0QTg1C3CMNvU38ojajC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