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8B62AE52-141A-4CA2-87FF-8B6554AB616D}" xr6:coauthVersionLast="47" xr6:coauthVersionMax="47" xr10:uidLastSave="{00000000-0000-0000-0000-000000000000}"/>
  <bookViews>
    <workbookView xWindow="-110" yWindow="-110" windowWidth="19420" windowHeight="1042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1" i="2"/>
  <c r="A26" i="2"/>
  <c r="A23" i="2"/>
  <c r="A22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4" i="2" l="1"/>
  <c r="I39" i="2"/>
  <c r="I9" i="2"/>
  <c r="A35" i="2"/>
  <c r="A36" i="2"/>
  <c r="A19" i="2"/>
  <c r="A37" i="2"/>
  <c r="I4" i="2"/>
  <c r="I8" i="2"/>
  <c r="I12" i="2"/>
  <c r="A25" i="2"/>
  <c r="A34" i="2"/>
  <c r="A40" i="2"/>
  <c r="I2" i="2"/>
  <c r="I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<sst xmlns="http://schemas.openxmlformats.org/spreadsheetml/2006/main" count="2159" uniqueCount="372">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</sst>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1456298.5</v>
      </c>
    </row>
    <row r="8" spans="1:3" ht="15" customHeight="1" x14ac:dyDescent="0.25">
      <c r="B8" s="5" t="s">
        <v>63</v>
      </c>
      <c r="C8" s="44">
        <v>0.82299999999999995</v>
      </c>
    </row>
    <row r="9" spans="1:3" ht="15" customHeight="1" x14ac:dyDescent="0.25">
      <c r="B9" s="5" t="s">
        <v>62</v>
      </c>
      <c r="C9" s="45">
        <v>0.39</v>
      </c>
    </row>
    <row r="10" spans="1:3" ht="15" customHeight="1" x14ac:dyDescent="0.25">
      <c r="B10" s="5" t="s">
        <v>75</v>
      </c>
      <c r="C10" s="45">
        <v>4.49366E-2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0.94400000000000006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6.7500000000000004E-2</v>
      </c>
    </row>
    <row r="24" spans="1:3" ht="15" customHeight="1" x14ac:dyDescent="0.25">
      <c r="B24" s="15" t="s">
        <v>65</v>
      </c>
      <c r="C24" s="45">
        <v>0.51</v>
      </c>
    </row>
    <row r="25" spans="1:3" ht="15" customHeight="1" x14ac:dyDescent="0.25">
      <c r="B25" s="15" t="s">
        <v>66</v>
      </c>
      <c r="C25" s="45">
        <v>0.32150000000000001</v>
      </c>
    </row>
    <row r="26" spans="1:3" ht="15" customHeight="1" x14ac:dyDescent="0.25">
      <c r="B26" s="15" t="s">
        <v>67</v>
      </c>
      <c r="C26" s="45">
        <v>0.10100000000000001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0.22259625228416199</v>
      </c>
    </row>
    <row r="30" spans="1:3" ht="14.25" customHeight="1" x14ac:dyDescent="0.25">
      <c r="B30" s="25" t="s">
        <v>82</v>
      </c>
      <c r="C30" s="99">
        <v>6.9957740305893898E-2</v>
      </c>
    </row>
    <row r="31" spans="1:3" ht="14.25" customHeight="1" x14ac:dyDescent="0.25">
      <c r="B31" s="25" t="s">
        <v>29</v>
      </c>
      <c r="C31" s="99">
        <v>0.118524449608315</v>
      </c>
    </row>
    <row r="32" spans="1:3" ht="14.25" customHeight="1" x14ac:dyDescent="0.25">
      <c r="B32" s="25" t="s">
        <v>30</v>
      </c>
      <c r="C32" s="99">
        <v>0.58892155780162903</v>
      </c>
    </row>
    <row r="33" spans="1:5" ht="13.25" customHeight="1" x14ac:dyDescent="0.25">
      <c r="B33" s="27" t="s">
        <v>79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39.626449999999998</v>
      </c>
    </row>
    <row r="38" spans="1:5" ht="15" customHeight="1" x14ac:dyDescent="0.25">
      <c r="B38" s="11" t="s">
        <v>54</v>
      </c>
      <c r="C38" s="43">
        <v>63.756</v>
      </c>
      <c r="D38" s="12"/>
      <c r="E38" s="13"/>
    </row>
    <row r="39" spans="1:5" ht="15" customHeight="1" x14ac:dyDescent="0.25">
      <c r="B39" s="11" t="s">
        <v>80</v>
      </c>
      <c r="C39" s="43">
        <v>98.689639999999997</v>
      </c>
      <c r="D39" s="12"/>
      <c r="E39" s="12"/>
    </row>
    <row r="40" spans="1:5" ht="15" customHeight="1" x14ac:dyDescent="0.25">
      <c r="B40" s="11" t="s">
        <v>55</v>
      </c>
      <c r="C40" s="100">
        <v>12.23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25.841349999999998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7.9325000000000003E-3</v>
      </c>
      <c r="D45" s="12"/>
    </row>
    <row r="46" spans="1:5" ht="15.75" customHeight="1" x14ac:dyDescent="0.25">
      <c r="B46" s="11" t="s">
        <v>70</v>
      </c>
      <c r="C46" s="45">
        <v>8.5233500000000004E-2</v>
      </c>
      <c r="D46" s="12"/>
    </row>
    <row r="47" spans="1:5" ht="15.75" customHeight="1" x14ac:dyDescent="0.25">
      <c r="B47" s="11" t="s">
        <v>78</v>
      </c>
      <c r="C47" s="45">
        <v>7.3456999999999995E-2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2.9</v>
      </c>
      <c r="D51" s="12"/>
    </row>
    <row r="52" spans="1:4" ht="15" customHeight="1" x14ac:dyDescent="0.25">
      <c r="B52" s="11" t="s">
        <v>32</v>
      </c>
      <c r="C52" s="100">
        <v>2.9</v>
      </c>
    </row>
    <row r="53" spans="1:4" ht="15.75" customHeight="1" x14ac:dyDescent="0.25">
      <c r="B53" s="11" t="s">
        <v>35</v>
      </c>
      <c r="C53" s="100">
        <v>2.9</v>
      </c>
    </row>
    <row r="54" spans="1:4" ht="15.75" customHeight="1" x14ac:dyDescent="0.25">
      <c r="B54" s="11" t="s">
        <v>33</v>
      </c>
      <c r="C54" s="100">
        <v>2.9</v>
      </c>
    </row>
    <row r="55" spans="1:4" ht="15.75" customHeight="1" x14ac:dyDescent="0.25">
      <c r="B55" s="11" t="s">
        <v>34</v>
      </c>
      <c r="C55" s="100">
        <v>2.9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2.0689655172413789E-2</v>
      </c>
    </row>
    <row r="59" spans="1:4" ht="15.75" customHeight="1" x14ac:dyDescent="0.25">
      <c r="B59" s="11" t="s">
        <v>59</v>
      </c>
      <c r="C59" s="45">
        <v>0.52577700000000005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ofCX9dDIg3W7rBJ9x27h/B9XTe7l+0jYk5gmtGqqVKlLDXKN2+UG2ey81iMIdDwioNI7BkbbIGlKBjVENd8TOQ==" saltValue="Ioi8yu1sAPfRxXk3cpHj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1573241.5</v>
      </c>
      <c r="C2" s="49">
        <v>407878</v>
      </c>
      <c r="D2" s="49">
        <v>687830.5</v>
      </c>
      <c r="E2" s="49">
        <v>1552358.5</v>
      </c>
      <c r="F2" s="49">
        <v>1028185.5</v>
      </c>
      <c r="G2" s="17">
        <f t="shared" ref="G2:G13" si="0">C2+D2+E2+F2</f>
        <v>3676252.5</v>
      </c>
      <c r="H2" s="17">
        <f t="shared" ref="H2:H13" si="1">(B2 + stillbirth*B2/(1000-stillbirth))/(1-abortion)</f>
        <v>1835198.4369467765</v>
      </c>
      <c r="I2" s="17">
        <f t="shared" ref="I2:I13" si="2">G2-H2</f>
        <v>1841054.0630532235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349013</v>
      </c>
      <c r="C3" s="50">
        <v>751321</v>
      </c>
      <c r="D3" s="50">
        <v>996666.5</v>
      </c>
      <c r="E3" s="50">
        <v>607844</v>
      </c>
      <c r="F3" s="50">
        <v>643870</v>
      </c>
      <c r="G3" s="17">
        <f t="shared" si="0"/>
        <v>2999701.5</v>
      </c>
      <c r="H3" s="17">
        <f t="shared" si="1"/>
        <v>407126.37702101382</v>
      </c>
      <c r="I3" s="17">
        <f t="shared" si="2"/>
        <v>2592575.1229789862</v>
      </c>
    </row>
    <row r="4" spans="1:9" ht="15.75" customHeight="1" x14ac:dyDescent="0.25">
      <c r="A4" s="5">
        <f t="shared" si="3"/>
        <v>2026</v>
      </c>
      <c r="B4" s="49">
        <v>357711</v>
      </c>
      <c r="C4" s="50">
        <v>772056.5</v>
      </c>
      <c r="D4" s="50">
        <v>1067417.5</v>
      </c>
      <c r="E4" s="50">
        <v>609413</v>
      </c>
      <c r="F4" s="50">
        <v>647067.50000000012</v>
      </c>
      <c r="G4" s="17">
        <f t="shared" si="0"/>
        <v>3095954.5</v>
      </c>
      <c r="H4" s="17">
        <f t="shared" si="1"/>
        <v>417272.66162166983</v>
      </c>
      <c r="I4" s="17">
        <f t="shared" si="2"/>
        <v>2678681.8383783302</v>
      </c>
    </row>
    <row r="5" spans="1:9" ht="15.75" customHeight="1" x14ac:dyDescent="0.25">
      <c r="A5" s="5">
        <f t="shared" si="3"/>
        <v>2027</v>
      </c>
      <c r="B5" s="49">
        <v>365962</v>
      </c>
      <c r="C5" s="50">
        <v>791606.5</v>
      </c>
      <c r="D5" s="50">
        <v>1138464.5</v>
      </c>
      <c r="E5" s="50">
        <v>618509</v>
      </c>
      <c r="F5" s="50">
        <v>643815.49999999988</v>
      </c>
      <c r="G5" s="17">
        <f t="shared" si="0"/>
        <v>3192395.5</v>
      </c>
      <c r="H5" s="17">
        <f t="shared" si="1"/>
        <v>426897.51724825223</v>
      </c>
      <c r="I5" s="17">
        <f t="shared" si="2"/>
        <v>2765497.9827517476</v>
      </c>
    </row>
    <row r="6" spans="1:9" ht="15.75" customHeight="1" x14ac:dyDescent="0.25">
      <c r="A6" s="5">
        <f t="shared" si="3"/>
        <v>2028</v>
      </c>
      <c r="B6" s="49">
        <v>374205</v>
      </c>
      <c r="C6" s="50">
        <v>808787</v>
      </c>
      <c r="D6" s="50">
        <v>1210033.5</v>
      </c>
      <c r="E6" s="50">
        <v>637482.5</v>
      </c>
      <c r="F6" s="50">
        <v>632326</v>
      </c>
      <c r="G6" s="17">
        <f t="shared" si="0"/>
        <v>3288629</v>
      </c>
      <c r="H6" s="17">
        <f t="shared" si="1"/>
        <v>436513.04081265879</v>
      </c>
      <c r="I6" s="17">
        <f t="shared" si="2"/>
        <v>2852115.9591873414</v>
      </c>
    </row>
    <row r="7" spans="1:9" ht="15.75" customHeight="1" x14ac:dyDescent="0.25">
      <c r="A7" s="5">
        <f t="shared" si="3"/>
        <v>2029</v>
      </c>
      <c r="B7" s="49">
        <v>381724</v>
      </c>
      <c r="C7" s="50">
        <v>817985.5</v>
      </c>
      <c r="D7" s="50">
        <v>1280200</v>
      </c>
      <c r="E7" s="50">
        <v>664496.5</v>
      </c>
      <c r="F7" s="50">
        <v>616443</v>
      </c>
      <c r="G7" s="17">
        <f t="shared" si="0"/>
        <v>3379125</v>
      </c>
      <c r="H7" s="17">
        <f t="shared" si="1"/>
        <v>445284.0127501539</v>
      </c>
      <c r="I7" s="17">
        <f t="shared" si="2"/>
        <v>2933840.9872498461</v>
      </c>
    </row>
    <row r="8" spans="1:9" ht="15.75" customHeight="1" x14ac:dyDescent="0.25">
      <c r="A8" s="5">
        <f t="shared" si="3"/>
        <v>2030</v>
      </c>
      <c r="B8" s="49">
        <v>389036</v>
      </c>
      <c r="C8" s="50">
        <v>816439.5</v>
      </c>
      <c r="D8" s="50">
        <v>1343446.5</v>
      </c>
      <c r="E8" s="50">
        <v>695403</v>
      </c>
      <c r="F8" s="50">
        <v>605798</v>
      </c>
      <c r="G8" s="17">
        <f t="shared" si="0"/>
        <v>3461087</v>
      </c>
      <c r="H8" s="17">
        <f t="shared" si="1"/>
        <v>453813.51757884986</v>
      </c>
      <c r="I8" s="17">
        <f t="shared" si="2"/>
        <v>3007273.48242115</v>
      </c>
    </row>
    <row r="9" spans="1:9" ht="15.75" customHeight="1" x14ac:dyDescent="0.25">
      <c r="A9" s="5">
        <f t="shared" si="3"/>
        <v>2031</v>
      </c>
      <c r="B9" s="49">
        <v>395444</v>
      </c>
      <c r="C9" s="50">
        <v>802114.5</v>
      </c>
      <c r="D9" s="50">
        <v>1398011.5</v>
      </c>
      <c r="E9" s="50">
        <v>732143.5</v>
      </c>
      <c r="F9" s="50">
        <v>599696</v>
      </c>
      <c r="G9" s="17">
        <f t="shared" si="0"/>
        <v>3531965.5</v>
      </c>
      <c r="H9" s="17">
        <f t="shared" si="1"/>
        <v>461288.49938167853</v>
      </c>
      <c r="I9" s="17">
        <f t="shared" si="2"/>
        <v>3070677.0006183214</v>
      </c>
    </row>
    <row r="10" spans="1:9" ht="15.75" customHeight="1" x14ac:dyDescent="0.25">
      <c r="A10" s="5">
        <f t="shared" si="3"/>
        <v>2032</v>
      </c>
      <c r="B10" s="49">
        <v>400473</v>
      </c>
      <c r="C10" s="50">
        <v>777526.5</v>
      </c>
      <c r="D10" s="50">
        <v>1448069.5</v>
      </c>
      <c r="E10" s="50">
        <v>778887</v>
      </c>
      <c r="F10" s="50">
        <v>592625</v>
      </c>
      <c r="G10" s="17">
        <f t="shared" si="0"/>
        <v>3597108</v>
      </c>
      <c r="H10" s="17">
        <f t="shared" si="1"/>
        <v>467154.866966951</v>
      </c>
      <c r="I10" s="17">
        <f t="shared" si="2"/>
        <v>3129953.1330330488</v>
      </c>
    </row>
    <row r="11" spans="1:9" ht="15.75" customHeight="1" x14ac:dyDescent="0.25">
      <c r="A11" s="5">
        <f t="shared" si="3"/>
        <v>2033</v>
      </c>
      <c r="B11" s="49">
        <v>404565</v>
      </c>
      <c r="C11" s="50">
        <v>748450.5</v>
      </c>
      <c r="D11" s="50">
        <v>1492002</v>
      </c>
      <c r="E11" s="50">
        <v>834141.5</v>
      </c>
      <c r="F11" s="50">
        <v>585355.49999999988</v>
      </c>
      <c r="G11" s="17">
        <f t="shared" si="0"/>
        <v>3659949.5</v>
      </c>
      <c r="H11" s="17">
        <f t="shared" si="1"/>
        <v>471928.21676988091</v>
      </c>
      <c r="I11" s="17">
        <f t="shared" si="2"/>
        <v>3188021.2832301189</v>
      </c>
    </row>
    <row r="12" spans="1:9" ht="15.75" customHeight="1" x14ac:dyDescent="0.25">
      <c r="A12" s="5">
        <f t="shared" si="3"/>
        <v>2034</v>
      </c>
      <c r="B12" s="49">
        <v>407065</v>
      </c>
      <c r="C12" s="50">
        <v>718650</v>
      </c>
      <c r="D12" s="50">
        <v>1524421.5</v>
      </c>
      <c r="E12" s="50">
        <v>895261.5</v>
      </c>
      <c r="F12" s="50">
        <v>578769.5</v>
      </c>
      <c r="G12" s="17">
        <f t="shared" si="0"/>
        <v>3717102.5</v>
      </c>
      <c r="H12" s="17">
        <f t="shared" si="1"/>
        <v>474844.48619982344</v>
      </c>
      <c r="I12" s="17">
        <f t="shared" si="2"/>
        <v>3242258.0138001768</v>
      </c>
    </row>
    <row r="13" spans="1:9" ht="15.75" customHeight="1" x14ac:dyDescent="0.25">
      <c r="A13" s="5">
        <f t="shared" si="3"/>
        <v>2035</v>
      </c>
      <c r="B13" s="49">
        <v>407899</v>
      </c>
      <c r="C13" s="50">
        <v>696049.5</v>
      </c>
      <c r="D13" s="50">
        <v>1544980.5000000002</v>
      </c>
      <c r="E13" s="50">
        <v>960380</v>
      </c>
      <c r="F13" s="50">
        <v>575063</v>
      </c>
      <c r="G13" s="17">
        <f t="shared" si="0"/>
        <v>3776473</v>
      </c>
      <c r="H13" s="17">
        <f t="shared" si="1"/>
        <v>475817.35368165228</v>
      </c>
      <c r="I13" s="17">
        <f t="shared" si="2"/>
        <v>3300655.6463183477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m/cEtKX4e1ix42DbnpokIhgHKFUefLPr0+4igOjXd1QTMcjDktxShMiwQxwmKEpNc55pNzi6gBp/RsjFbR6VmQ==" saltValue="8EqUwKl6pNlKu1txXc78A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2.822998082324844E-2</v>
      </c>
    </row>
    <row r="4" spans="1:8" ht="15.75" customHeight="1" x14ac:dyDescent="0.25">
      <c r="B4" s="19" t="s">
        <v>116</v>
      </c>
      <c r="C4" s="101">
        <v>7.0228368574160885E-2</v>
      </c>
    </row>
    <row r="5" spans="1:8" ht="15.75" customHeight="1" x14ac:dyDescent="0.25">
      <c r="B5" s="19" t="s">
        <v>114</v>
      </c>
      <c r="C5" s="101">
        <v>0.1233726047836731</v>
      </c>
    </row>
    <row r="6" spans="1:8" ht="15.75" customHeight="1" x14ac:dyDescent="0.25">
      <c r="B6" s="19" t="s">
        <v>110</v>
      </c>
      <c r="C6" s="101">
        <v>0.26438892254695279</v>
      </c>
    </row>
    <row r="7" spans="1:8" ht="15.75" customHeight="1" x14ac:dyDescent="0.25">
      <c r="B7" s="19" t="s">
        <v>115</v>
      </c>
      <c r="C7" s="101">
        <v>0.33964450408319652</v>
      </c>
    </row>
    <row r="8" spans="1:8" ht="15.75" customHeight="1" x14ac:dyDescent="0.25">
      <c r="B8" s="19" t="s">
        <v>117</v>
      </c>
      <c r="C8" s="101">
        <v>1.295647428162284E-2</v>
      </c>
    </row>
    <row r="9" spans="1:8" ht="15.75" customHeight="1" x14ac:dyDescent="0.25">
      <c r="B9" s="19" t="s">
        <v>111</v>
      </c>
      <c r="C9" s="101">
        <v>4.1254149538606392E-2</v>
      </c>
    </row>
    <row r="10" spans="1:8" ht="15.75" customHeight="1" x14ac:dyDescent="0.25">
      <c r="B10" s="19" t="s">
        <v>113</v>
      </c>
      <c r="C10" s="101">
        <v>0.1199249953685389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0.1596124108183756</v>
      </c>
      <c r="D14" s="55">
        <v>0.1596124108183756</v>
      </c>
      <c r="E14" s="55">
        <v>0.1596124108183756</v>
      </c>
      <c r="F14" s="55">
        <v>0.1596124108183756</v>
      </c>
    </row>
    <row r="15" spans="1:8" ht="15.75" customHeight="1" x14ac:dyDescent="0.25">
      <c r="B15" s="19" t="s">
        <v>121</v>
      </c>
      <c r="C15" s="101">
        <v>0.2498034844866944</v>
      </c>
      <c r="D15" s="101">
        <v>0.2498034844866944</v>
      </c>
      <c r="E15" s="101">
        <v>0.2498034844866944</v>
      </c>
      <c r="F15" s="101">
        <v>0.2498034844866944</v>
      </c>
    </row>
    <row r="16" spans="1:8" ht="15.75" customHeight="1" x14ac:dyDescent="0.25">
      <c r="B16" s="19" t="s">
        <v>2</v>
      </c>
      <c r="C16" s="101">
        <v>4.6704185577370237E-2</v>
      </c>
      <c r="D16" s="101">
        <v>4.6704185577370237E-2</v>
      </c>
      <c r="E16" s="101">
        <v>4.6704185577370237E-2</v>
      </c>
      <c r="F16" s="101">
        <v>4.6704185577370237E-2</v>
      </c>
    </row>
    <row r="17" spans="1:8" ht="15.75" customHeight="1" x14ac:dyDescent="0.25">
      <c r="B17" s="19" t="s">
        <v>109</v>
      </c>
      <c r="C17" s="101">
        <v>7.825061005128861E-2</v>
      </c>
      <c r="D17" s="101">
        <v>7.825061005128861E-2</v>
      </c>
      <c r="E17" s="101">
        <v>7.825061005128861E-2</v>
      </c>
      <c r="F17" s="101">
        <v>7.825061005128861E-2</v>
      </c>
    </row>
    <row r="18" spans="1:8" ht="15.75" customHeight="1" x14ac:dyDescent="0.25">
      <c r="B18" s="19" t="s">
        <v>3</v>
      </c>
      <c r="C18" s="101">
        <v>0.22146118708923121</v>
      </c>
      <c r="D18" s="101">
        <v>0.22146118708923121</v>
      </c>
      <c r="E18" s="101">
        <v>0.22146118708923121</v>
      </c>
      <c r="F18" s="101">
        <v>0.22146118708923121</v>
      </c>
    </row>
    <row r="19" spans="1:8" ht="15.75" customHeight="1" x14ac:dyDescent="0.25">
      <c r="B19" s="19" t="s">
        <v>120</v>
      </c>
      <c r="C19" s="101">
        <v>2.327848719104594E-2</v>
      </c>
      <c r="D19" s="101">
        <v>2.327848719104594E-2</v>
      </c>
      <c r="E19" s="101">
        <v>2.327848719104594E-2</v>
      </c>
      <c r="F19" s="101">
        <v>2.327848719104594E-2</v>
      </c>
    </row>
    <row r="20" spans="1:8" ht="15.75" customHeight="1" x14ac:dyDescent="0.25">
      <c r="B20" s="19" t="s">
        <v>98</v>
      </c>
      <c r="C20" s="101">
        <v>6.2088160097453382E-2</v>
      </c>
      <c r="D20" s="101">
        <v>6.2088160097453382E-2</v>
      </c>
      <c r="E20" s="101">
        <v>6.2088160097453382E-2</v>
      </c>
      <c r="F20" s="101">
        <v>6.2088160097453382E-2</v>
      </c>
    </row>
    <row r="21" spans="1:8" ht="15.75" customHeight="1" x14ac:dyDescent="0.25">
      <c r="B21" s="19" t="s">
        <v>107</v>
      </c>
      <c r="C21" s="101">
        <v>3.8913994294759342E-2</v>
      </c>
      <c r="D21" s="101">
        <v>3.8913994294759342E-2</v>
      </c>
      <c r="E21" s="101">
        <v>3.8913994294759342E-2</v>
      </c>
      <c r="F21" s="101">
        <v>3.8913994294759342E-2</v>
      </c>
    </row>
    <row r="22" spans="1:8" ht="15.75" customHeight="1" x14ac:dyDescent="0.25">
      <c r="B22" s="19" t="s">
        <v>118</v>
      </c>
      <c r="C22" s="101">
        <v>0.1198874803937814</v>
      </c>
      <c r="D22" s="101">
        <v>0.1198874803937814</v>
      </c>
      <c r="E22" s="101">
        <v>0.1198874803937814</v>
      </c>
      <c r="F22" s="101">
        <v>0.1198874803937814</v>
      </c>
    </row>
    <row r="23" spans="1:8" ht="15.75" customHeight="1" x14ac:dyDescent="0.25">
      <c r="B23" s="27" t="s">
        <v>79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4.6824316999999997E-2</v>
      </c>
    </row>
    <row r="27" spans="1:8" ht="15.75" customHeight="1" x14ac:dyDescent="0.25">
      <c r="B27" s="19" t="s">
        <v>108</v>
      </c>
      <c r="C27" s="101">
        <v>2.7708330999999999E-2</v>
      </c>
    </row>
    <row r="28" spans="1:8" ht="15.75" customHeight="1" x14ac:dyDescent="0.25">
      <c r="B28" s="19" t="s">
        <v>122</v>
      </c>
      <c r="C28" s="101">
        <v>0.192682248</v>
      </c>
    </row>
    <row r="29" spans="1:8" ht="15.75" customHeight="1" x14ac:dyDescent="0.25">
      <c r="B29" s="19" t="s">
        <v>105</v>
      </c>
      <c r="C29" s="101">
        <v>0.15047112300000001</v>
      </c>
    </row>
    <row r="30" spans="1:8" ht="15.75" customHeight="1" x14ac:dyDescent="0.25">
      <c r="B30" s="19" t="s">
        <v>4</v>
      </c>
      <c r="C30" s="101">
        <v>4.9998465000000013E-2</v>
      </c>
    </row>
    <row r="31" spans="1:8" ht="15.75" customHeight="1" x14ac:dyDescent="0.25">
      <c r="B31" s="19" t="s">
        <v>99</v>
      </c>
      <c r="C31" s="101">
        <v>3.0442113E-2</v>
      </c>
    </row>
    <row r="32" spans="1:8" ht="15.75" customHeight="1" x14ac:dyDescent="0.25">
      <c r="B32" s="19" t="s">
        <v>104</v>
      </c>
      <c r="C32" s="101">
        <v>8.5598303000000001E-2</v>
      </c>
    </row>
    <row r="33" spans="2:3" ht="15.75" customHeight="1" x14ac:dyDescent="0.25">
      <c r="B33" s="19" t="s">
        <v>119</v>
      </c>
      <c r="C33" s="101">
        <v>0.16741062000000001</v>
      </c>
    </row>
    <row r="34" spans="2:3" ht="15.75" customHeight="1" x14ac:dyDescent="0.25">
      <c r="B34" s="19" t="s">
        <v>106</v>
      </c>
      <c r="C34" s="101">
        <v>0.24886448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4ajiJmvVWuS0tJZj1PpBOmJvYhj7i4EElHR+NG5LYoSzftCULdFsa+van2koNttHI6ennKIB9YUcg6v8ZzVJEw==" saltValue="6e95xfpGnKY/KyeAb6CnE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0.57247405346602631</v>
      </c>
      <c r="D2" s="52">
        <f>IFERROR(1-_xlfn.NORM.DIST(_xlfn.NORM.INV(SUM(D4:D5), 0, 1) + 1, 0, 1, TRUE), "")</f>
        <v>0.57247405346602631</v>
      </c>
      <c r="E2" s="52">
        <f>IFERROR(1-_xlfn.NORM.DIST(_xlfn.NORM.INV(SUM(E4:E5), 0, 1) + 1, 0, 1, TRUE), "")</f>
        <v>0.47423758481127021</v>
      </c>
      <c r="F2" s="52">
        <f>IFERROR(1-_xlfn.NORM.DIST(_xlfn.NORM.INV(SUM(F4:F5), 0, 1) + 1, 0, 1, TRUE), "")</f>
        <v>0.30851657807595168</v>
      </c>
      <c r="G2" s="52">
        <f>IFERROR(1-_xlfn.NORM.DIST(_xlfn.NORM.INV(SUM(G4:G5), 0, 1) + 1, 0, 1, TRUE), "")</f>
        <v>0.27250176789555769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0.30905724653397371</v>
      </c>
      <c r="D3" s="52">
        <f>IFERROR(_xlfn.NORM.DIST(_xlfn.NORM.INV(SUM(D4:D5), 0, 1) + 1, 0, 1, TRUE) - SUM(D4:D5), "")</f>
        <v>0.30905724653397371</v>
      </c>
      <c r="E3" s="52">
        <f>IFERROR(_xlfn.NORM.DIST(_xlfn.NORM.INV(SUM(E4:E5), 0, 1) + 1, 0, 1, TRUE) - SUM(E4:E5), "")</f>
        <v>0.35096571518872982</v>
      </c>
      <c r="F3" s="52">
        <f>IFERROR(_xlfn.NORM.DIST(_xlfn.NORM.INV(SUM(F4:F5), 0, 1) + 1, 0, 1, TRUE) - SUM(F4:F5), "")</f>
        <v>0.38292492192404837</v>
      </c>
      <c r="G3" s="52">
        <f>IFERROR(_xlfn.NORM.DIST(_xlfn.NORM.INV(SUM(G4:G5), 0, 1) + 1, 0, 1, TRUE) - SUM(G4:G5), "")</f>
        <v>0.38097933210444235</v>
      </c>
    </row>
    <row r="4" spans="1:15" ht="15.75" customHeight="1" x14ac:dyDescent="0.25">
      <c r="B4" s="5" t="s">
        <v>129</v>
      </c>
      <c r="C4" s="45">
        <v>4.7722199999999999E-2</v>
      </c>
      <c r="D4" s="53">
        <v>4.7722199999999999E-2</v>
      </c>
      <c r="E4" s="53">
        <v>8.8112999999999997E-2</v>
      </c>
      <c r="F4" s="53">
        <v>0.1535096</v>
      </c>
      <c r="G4" s="53">
        <v>0.1503371</v>
      </c>
    </row>
    <row r="5" spans="1:15" ht="15.75" customHeight="1" x14ac:dyDescent="0.25">
      <c r="B5" s="5" t="s">
        <v>125</v>
      </c>
      <c r="C5" s="45">
        <v>7.0746500000000004E-2</v>
      </c>
      <c r="D5" s="53">
        <v>7.0746500000000004E-2</v>
      </c>
      <c r="E5" s="53">
        <v>8.6683699999999989E-2</v>
      </c>
      <c r="F5" s="53">
        <v>0.15504889999999999</v>
      </c>
      <c r="G5" s="53">
        <v>0.19618179999999999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0.44153491459137839</v>
      </c>
      <c r="D8" s="52">
        <f>IFERROR(1-_xlfn.NORM.DIST(_xlfn.NORM.INV(SUM(D10:D11), 0, 1) + 1, 0, 1, TRUE), "")</f>
        <v>0.44153491459137839</v>
      </c>
      <c r="E8" s="52">
        <f>IFERROR(1-_xlfn.NORM.DIST(_xlfn.NORM.INV(SUM(E10:E11), 0, 1) + 1, 0, 1, TRUE), "")</f>
        <v>0.34987316643445965</v>
      </c>
      <c r="F8" s="52">
        <f>IFERROR(1-_xlfn.NORM.DIST(_xlfn.NORM.INV(SUM(F10:F11), 0, 1) + 1, 0, 1, TRUE), "")</f>
        <v>0.39824863492985318</v>
      </c>
      <c r="G8" s="52">
        <f>IFERROR(1-_xlfn.NORM.DIST(_xlfn.NORM.INV(SUM(G10:G11), 0, 1) + 1, 0, 1, TRUE), "")</f>
        <v>0.4067842096375015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0.36161358540862165</v>
      </c>
      <c r="D9" s="52">
        <f>IFERROR(_xlfn.NORM.DIST(_xlfn.NORM.INV(SUM(D10:D11), 0, 1) + 1, 0, 1, TRUE) - SUM(D10:D11), "")</f>
        <v>0.36161358540862165</v>
      </c>
      <c r="E9" s="52">
        <f>IFERROR(_xlfn.NORM.DIST(_xlfn.NORM.INV(SUM(E10:E11), 0, 1) + 1, 0, 1, TRUE) - SUM(E10:E11), "")</f>
        <v>0.38063053356554033</v>
      </c>
      <c r="F9" s="52">
        <f>IFERROR(_xlfn.NORM.DIST(_xlfn.NORM.INV(SUM(F10:F11), 0, 1) + 1, 0, 1, TRUE) - SUM(F10:F11), "")</f>
        <v>0.37274316507014682</v>
      </c>
      <c r="G9" s="52">
        <f>IFERROR(_xlfn.NORM.DIST(_xlfn.NORM.INV(SUM(G10:G11), 0, 1) + 1, 0, 1, TRUE) - SUM(G10:G11), "")</f>
        <v>0.37083429036249849</v>
      </c>
    </row>
    <row r="10" spans="1:15" ht="15.75" customHeight="1" x14ac:dyDescent="0.25">
      <c r="B10" s="5" t="s">
        <v>126</v>
      </c>
      <c r="C10" s="45">
        <v>0.11077869999999999</v>
      </c>
      <c r="D10" s="53">
        <v>0.11077869999999999</v>
      </c>
      <c r="E10" s="53">
        <v>0.15586839999999999</v>
      </c>
      <c r="F10" s="53">
        <v>0.12830440000000001</v>
      </c>
      <c r="G10" s="53">
        <v>0.12531539999999999</v>
      </c>
    </row>
    <row r="11" spans="1:15" ht="15.75" customHeight="1" x14ac:dyDescent="0.25">
      <c r="B11" s="5" t="s">
        <v>138</v>
      </c>
      <c r="C11" s="45">
        <v>8.6072799999999991E-2</v>
      </c>
      <c r="D11" s="53">
        <v>8.6072799999999991E-2</v>
      </c>
      <c r="E11" s="53">
        <v>0.1136279</v>
      </c>
      <c r="F11" s="53">
        <v>0.1007038</v>
      </c>
      <c r="G11" s="53">
        <v>9.7066099999999989E-2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0.70880744425000008</v>
      </c>
      <c r="D14" s="54">
        <v>0.70567137949000003</v>
      </c>
      <c r="E14" s="54">
        <v>0.70567137949000003</v>
      </c>
      <c r="F14" s="54">
        <v>0.64978975866400002</v>
      </c>
      <c r="G14" s="54">
        <v>0.64978975866400002</v>
      </c>
      <c r="H14" s="45">
        <v>0.38900000000000001</v>
      </c>
      <c r="I14" s="55">
        <v>0.38900000000000001</v>
      </c>
      <c r="J14" s="55">
        <v>0.38900000000000001</v>
      </c>
      <c r="K14" s="55">
        <v>0.38900000000000001</v>
      </c>
      <c r="L14" s="45">
        <v>0.33500000000000002</v>
      </c>
      <c r="M14" s="55">
        <v>0.33500000000000002</v>
      </c>
      <c r="N14" s="55">
        <v>0.33500000000000002</v>
      </c>
      <c r="O14" s="55">
        <v>0.33500000000000002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0.37267465161543234</v>
      </c>
      <c r="D15" s="52">
        <f t="shared" si="0"/>
        <v>0.37102578089411375</v>
      </c>
      <c r="E15" s="52">
        <f t="shared" si="0"/>
        <v>0.37102578089411375</v>
      </c>
      <c r="F15" s="52">
        <f t="shared" si="0"/>
        <v>0.34164450994108198</v>
      </c>
      <c r="G15" s="52">
        <f t="shared" si="0"/>
        <v>0.34164450994108198</v>
      </c>
      <c r="H15" s="52">
        <f t="shared" si="0"/>
        <v>0.20452725300000002</v>
      </c>
      <c r="I15" s="52">
        <f t="shared" si="0"/>
        <v>0.20452725300000002</v>
      </c>
      <c r="J15" s="52">
        <f t="shared" si="0"/>
        <v>0.20452725300000002</v>
      </c>
      <c r="K15" s="52">
        <f t="shared" si="0"/>
        <v>0.20452725300000002</v>
      </c>
      <c r="L15" s="52">
        <f t="shared" si="0"/>
        <v>0.17613529500000003</v>
      </c>
      <c r="M15" s="52">
        <f t="shared" si="0"/>
        <v>0.17613529500000003</v>
      </c>
      <c r="N15" s="52">
        <f t="shared" si="0"/>
        <v>0.17613529500000003</v>
      </c>
      <c r="O15" s="52">
        <f t="shared" si="0"/>
        <v>0.17613529500000003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StjQp3KAkK3KKwM1OGPlJffpDy0LTAWReqcsfkl1rTuGZHm/zHW8M5njaPykDijqZo/hWWJaHKopraI8nG37yg==" saltValue="rFlVX7sSGAV3v9y+7/Wq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0.61253420000000003</v>
      </c>
      <c r="D2" s="53">
        <v>0.41144239999999999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0.2212047</v>
      </c>
      <c r="D3" s="53">
        <v>0.29817589999999999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7.4739199999999992E-2</v>
      </c>
      <c r="D4" s="53">
        <v>0.23041149999999999</v>
      </c>
      <c r="E4" s="53">
        <v>0.90059200000000006</v>
      </c>
      <c r="F4" s="53">
        <v>0.61897559999999996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9.1521899999999934E-2</v>
      </c>
      <c r="D5" s="52">
        <f t="shared" si="0"/>
        <v>5.9970199999999974E-2</v>
      </c>
      <c r="E5" s="52">
        <f>1-SUM(E2:E4)</f>
        <v>9.9407999999999941E-2</v>
      </c>
      <c r="F5" s="52">
        <f>1-SUM(F2:F4)</f>
        <v>0.38102440000000004</v>
      </c>
      <c r="G5" s="52">
        <f>1-SUM(G2:G4)</f>
        <v>1</v>
      </c>
    </row>
  </sheetData>
  <sheetProtection algorithmName="SHA-512" hashValue="yKTusIcRCQF7vE0a6BVUIObywnCK48LtVPS6beHZdS+QbYILTM9NTILkrT40wSM4IapDu84OU2tCmnTo7qH4IA==" saltValue="d0nZXtNNE7Rjum527XCqn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BO1KWspRUzbhn2ymZnw0fTIKjwSKNrDHq1dFdQm5aUGcqoXqtrB+DG8N2U/rMq/hpHc7/x1xAqeY7YZwhWb86g==" saltValue="rZcd77g6sQT8hpU55k4z/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1071.7777647554501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0.40500000000000003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0.71845999999999999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1.5572250000000001E-2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90236.159549999997</v>
      </c>
      <c r="C22" s="109">
        <v>89013.564110000007</v>
      </c>
      <c r="D22" s="109">
        <v>88344.998340000006</v>
      </c>
      <c r="E22" s="109">
        <v>87810.31151</v>
      </c>
      <c r="F22" s="109">
        <v>87060.431859999997</v>
      </c>
      <c r="G22" s="109">
        <v>86047.57458</v>
      </c>
      <c r="H22" s="109">
        <v>84688.024669999999</v>
      </c>
      <c r="I22" s="109">
        <v>82896.080180000004</v>
      </c>
      <c r="J22" s="109">
        <v>80611.207680000007</v>
      </c>
      <c r="K22" s="109">
        <v>77727.759890000001</v>
      </c>
      <c r="L22" s="109">
        <v>73959.744449999998</v>
      </c>
      <c r="M22" s="109">
        <v>69062.194350000005</v>
      </c>
      <c r="N22" s="109">
        <v>62255.712050000002</v>
      </c>
      <c r="O22" s="109">
        <v>53412.950499999999</v>
      </c>
    </row>
  </sheetData>
  <sheetProtection algorithmName="SHA-512" hashValue="7nvypwViKWiyj+LpDXcFMDPShx+FLTs0PtmDCXh3mFL8uAa6UtP9hgjLGOMQMlZIgJxWB/qnVgedU4H8O0c72Q==" saltValue="xrpxCcSX0gJ578JQEkKlh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85yK4/E3r0QKKSWgSzAXmiz8qoBH+a72KXNgFFRltRmSV6OyIvq1anhF7cJAEevYdmuHIMLrYzYlkY/6i8KZOQ==" saltValue="CKw551hbN74kcwIrQCB8p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yBzY8jSU1Kn3aitUboYzxYKfpYc6n6+Q+VE67kEdCfxJVVEf0I6HZBpw4p9tlNiLBMEUucq5bEg1XA5O8w3P1A==" saltValue="zl8w58xnYy49iseWwxnF7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6.8747382117628364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2.1291837256908908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0.78848199824391296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0.22197642864885933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14.98391555624624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14.98391555624624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14.98391555624624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14.98391555624624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0.31330000000000002</v>
      </c>
      <c r="C14" s="98">
        <v>0.95</v>
      </c>
      <c r="D14" s="56">
        <v>2.7509100930955666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14.98391555624624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0.192884</v>
      </c>
      <c r="C16" s="98">
        <v>0.95</v>
      </c>
      <c r="D16" s="56">
        <v>2.1562548532894295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0.58636119533868591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0.41144239999999999</v>
      </c>
      <c r="C18" s="98">
        <v>0.95</v>
      </c>
      <c r="D18" s="56">
        <v>6.8747382117628364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0.41144239999999999</v>
      </c>
      <c r="C19" s="98">
        <v>0.95</v>
      </c>
      <c r="D19" s="56">
        <v>0.66496463640733372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7.2638561333206297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6.8747382117628364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0.3422287</v>
      </c>
      <c r="C23" s="98">
        <v>0.95</v>
      </c>
      <c r="D23" s="56">
        <v>4.8905827235809092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8.774884088691999E-2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4.4432147531692987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8.8360724993186164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0.3860053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0.49399999999999999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57.448392612859095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0.46089999999999998</v>
      </c>
      <c r="C31" s="98">
        <v>0.95</v>
      </c>
      <c r="D31" s="56">
        <v>125.66324080233395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0.9</v>
      </c>
      <c r="C32" s="98">
        <v>0.95</v>
      </c>
      <c r="D32" s="56">
        <v>0.65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5.5999999999999987E-2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0.157411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1.34567E-2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4.4852499999999997E-2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3.0882199999999999E-2</v>
      </c>
      <c r="C38" s="98">
        <v>0.95</v>
      </c>
      <c r="D38" s="56">
        <v>2.2145073762257557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5.8497136845734818</v>
      </c>
      <c r="E39" s="56" t="s">
        <v>212</v>
      </c>
      <c r="F39" s="98">
        <v>1</v>
      </c>
      <c r="G39" s="98">
        <v>1</v>
      </c>
    </row>
  </sheetData>
  <sheetProtection algorithmName="SHA-512" hashValue="8VZICtgNRCyub1GYkbPm1RMTXbP0iFUGP/bGR19BVF/4dFGjZYgTusi6iY4xnCoad/tlr9fWfEiWgpNeU6OvCA==" saltValue="agSTx8FERSivk3NU7msS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dOy5aBc7UszyzY51gXyi31wmMGB6ZyyvtR7EFSQNzBaGDfIBl8IFgaWCFRgoXxx9IVtpKq/3C7AhbUNJ/dHo5Q==" saltValue="kuuSUaglnJJTSPijC+lPy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KVZ2NxNuOwFGxluzTd96Bxvrf0I/pL3t9mt7c4kHKTbw+EU2QhZE3UrdGCtwVs/Yrc+FutUJYzYkA73Qogo1Hw==" saltValue="Z1L77rYllDy36XUDpk1Uf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2.9</v>
      </c>
      <c r="C2" s="21">
        <f>'Entradas de población-año base'!C52</f>
        <v>2.9</v>
      </c>
      <c r="D2" s="21">
        <f>'Entradas de población-año base'!C53</f>
        <v>2.9</v>
      </c>
      <c r="E2" s="21">
        <f>'Entradas de población-año base'!C54</f>
        <v>2.9</v>
      </c>
      <c r="F2" s="21">
        <f>'Entradas de población-año base'!C55</f>
        <v>2.9</v>
      </c>
    </row>
    <row r="3" spans="1:6" ht="15.75" customHeight="1" x14ac:dyDescent="0.25">
      <c r="A3" s="3" t="s">
        <v>6</v>
      </c>
      <c r="B3" s="21">
        <f>frac_mam_1month * 2.6</f>
        <v>0.28802462000000001</v>
      </c>
      <c r="C3" s="21">
        <f>frac_mam_1_5months * 2.6</f>
        <v>0.28802462000000001</v>
      </c>
      <c r="D3" s="21">
        <f>frac_mam_6_11months * 2.6</f>
        <v>0.40525783999999998</v>
      </c>
      <c r="E3" s="21">
        <f>frac_mam_12_23months * 2.6</f>
        <v>0.33359144000000007</v>
      </c>
      <c r="F3" s="21">
        <f>frac_mam_24_59months * 2.6</f>
        <v>0.32582003999999998</v>
      </c>
    </row>
    <row r="4" spans="1:6" ht="15.75" customHeight="1" x14ac:dyDescent="0.25">
      <c r="A4" s="3" t="s">
        <v>236</v>
      </c>
      <c r="B4" s="21">
        <f>frac_sam_1month * 2.6</f>
        <v>0.22378927999999998</v>
      </c>
      <c r="C4" s="21">
        <f>frac_sam_1_5months * 2.6</f>
        <v>0.22378927999999998</v>
      </c>
      <c r="D4" s="21">
        <f>frac_sam_6_11months * 2.6</f>
        <v>0.29543254000000002</v>
      </c>
      <c r="E4" s="21">
        <f>frac_sam_12_23months * 2.6</f>
        <v>0.26182988000000001</v>
      </c>
      <c r="F4" s="21">
        <f>frac_sam_24_59months * 2.6</f>
        <v>0.25237186</v>
      </c>
    </row>
  </sheetData>
  <sheetProtection algorithmName="SHA-512" hashValue="aaUBS0zmFZ2NgYFfCCqDBAqxIc6Y7dI2aaG3QI+hj+nPkYZYPXMA0LGBQrigwgzCqS2gGdM27H05u0g+Hgv3lQ==" saltValue="9wRgue7LgsyH+Qjag971W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0.82299999999999995</v>
      </c>
      <c r="F2" s="60">
        <f>food_insecure</f>
        <v>0.82299999999999995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0.82299999999999995</v>
      </c>
      <c r="F5" s="60">
        <f>food_insecure</f>
        <v>0.82299999999999995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0.82299999999999995</v>
      </c>
      <c r="F8" s="60">
        <f>food_insecure</f>
        <v>0.82299999999999995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0.82299999999999995</v>
      </c>
      <c r="F9" s="60">
        <f>food_insecure</f>
        <v>0.82299999999999995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0.82299999999999995</v>
      </c>
      <c r="I15" s="60">
        <f t="shared" si="0"/>
        <v>0.82299999999999995</v>
      </c>
      <c r="J15" s="60">
        <f t="shared" si="0"/>
        <v>0.82299999999999995</v>
      </c>
      <c r="K15" s="60">
        <f t="shared" si="0"/>
        <v>0.82299999999999995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0.82299999999999995</v>
      </c>
      <c r="I16" s="60">
        <f t="shared" si="0"/>
        <v>0.82299999999999995</v>
      </c>
      <c r="J16" s="60">
        <f t="shared" si="0"/>
        <v>0.82299999999999995</v>
      </c>
      <c r="K16" s="60">
        <f t="shared" si="0"/>
        <v>0.82299999999999995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0.39</v>
      </c>
      <c r="I19" s="60">
        <f>frac_malaria_risk</f>
        <v>0.39</v>
      </c>
      <c r="J19" s="60">
        <f>frac_malaria_risk</f>
        <v>0.39</v>
      </c>
      <c r="K19" s="60">
        <f>frac_malaria_risk</f>
        <v>0.39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0.94400000000000006</v>
      </c>
      <c r="M24" s="60">
        <f>famplan_unmet_need</f>
        <v>0.94400000000000006</v>
      </c>
      <c r="N24" s="60">
        <f>famplan_unmet_need</f>
        <v>0.94400000000000006</v>
      </c>
      <c r="O24" s="60">
        <f>famplan_unmet_need</f>
        <v>0.94400000000000006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0.63304467342199999</v>
      </c>
      <c r="M25" s="60">
        <f>(1-food_insecure)*(0.49)+food_insecure*(0.7)</f>
        <v>0.66282999999999992</v>
      </c>
      <c r="N25" s="60">
        <f>(1-food_insecure)*(0.49)+food_insecure*(0.7)</f>
        <v>0.66282999999999992</v>
      </c>
      <c r="O25" s="60">
        <f>(1-food_insecure)*(0.49)+food_insecure*(0.7)</f>
        <v>0.66282999999999992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0.27130486003799997</v>
      </c>
      <c r="M26" s="60">
        <f>(1-food_insecure)*(0.21)+food_insecure*(0.3)</f>
        <v>0.28406999999999999</v>
      </c>
      <c r="N26" s="60">
        <f>(1-food_insecure)*(0.21)+food_insecure*(0.3)</f>
        <v>0.28406999999999999</v>
      </c>
      <c r="O26" s="60">
        <f>(1-food_insecure)*(0.21)+food_insecure*(0.3)</f>
        <v>0.28406999999999999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5.0713866540000013E-2</v>
      </c>
      <c r="M27" s="60">
        <f>(1-food_insecure)*(0.3)</f>
        <v>5.3100000000000015E-2</v>
      </c>
      <c r="N27" s="60">
        <f>(1-food_insecure)*(0.3)</f>
        <v>5.3100000000000015E-2</v>
      </c>
      <c r="O27" s="60">
        <f>(1-food_insecure)*(0.3)</f>
        <v>5.3100000000000015E-2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4.49366E-2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0.39</v>
      </c>
      <c r="D34" s="60">
        <f t="shared" si="4"/>
        <v>0.39</v>
      </c>
      <c r="E34" s="60">
        <f t="shared" si="4"/>
        <v>0.39</v>
      </c>
      <c r="F34" s="60">
        <f t="shared" si="4"/>
        <v>0.39</v>
      </c>
      <c r="G34" s="60">
        <f t="shared" si="4"/>
        <v>0.39</v>
      </c>
      <c r="H34" s="60">
        <f t="shared" si="4"/>
        <v>0.39</v>
      </c>
      <c r="I34" s="60">
        <f t="shared" si="4"/>
        <v>0.39</v>
      </c>
      <c r="J34" s="60">
        <f t="shared" si="4"/>
        <v>0.39</v>
      </c>
      <c r="K34" s="60">
        <f t="shared" si="4"/>
        <v>0.39</v>
      </c>
      <c r="L34" s="60">
        <f t="shared" si="4"/>
        <v>0.39</v>
      </c>
      <c r="M34" s="60">
        <f t="shared" si="4"/>
        <v>0.39</v>
      </c>
      <c r="N34" s="60">
        <f t="shared" si="4"/>
        <v>0.39</v>
      </c>
      <c r="O34" s="60">
        <f t="shared" si="4"/>
        <v>0.39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SqNiCb7GvbgtO4okaAZq+h1f5yVqo8yXlDZ5E+ma1o87ClLKVUTKtXHpf6CwP/G2wwIJnOETbjV4pQCIahCl5g==" saltValue="lGiMv1Y6K+hRe3PBbZ0hc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i/r8G1m0nLrXnp+f7FcDqU2/UFQ6voTxu6qRE1aHYgDeNVa+Ns6aZRtkeGR9Jcw8bjxSS0ACQPl7Xb3dQQrYXg==" saltValue="QMzUpKQRvJ3EqJ1ui3lTm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oclt/hNrRAkTbHIYk9zYEfgLfUls4MIxhhOuzzPjAenMdk92Mz7TfpqVqCzN3jDC2Maahb/efRxSnUfqI44CgA==" saltValue="kA/6zmpIlbxKwxWteHZlJ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EiiyXmfQqg8asXja7u2CtHgpJq4Af4JTjrSgBEQWd2kOl+uPOUE/mPW0Y9vxaA4B9Cazixu0KvubO5v/wcIKMw==" saltValue="30NhV6Dp6JVM7rt/hKsAV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9b80Z6jREHKgBDVsNOJxmghYhQa9/4B4jZMC/YULkDYZHeCf49yxCmycWUHaUPtIaYUxma/EYw0OELIowTVVjw==" saltValue="Tk6YR1lY0wBFO/i/xDM7+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nDl3IDNFlTx0oIS4AeyXQJcqbMmtI6ppErm4/a2soiUtnjGfWphij095El4JzU2V8grnB5TiK4d4R1E6EoGd9Q==" saltValue="Ed2Xcl9EWAvnz9x6TKndY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AvP8TwSAUbTUyAG2RaSvmbYEhP/hw3KY5u5h3xsvGHyUsERUnQf/NCwXmX12eM7P+HsgDKvz1SA1cmYYKksEmA==" saltValue="R/De7/V+AURb9384i29rq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aQ3E6jkxEMjsg2OnopWS80LQK1kHHJBdKmQPT83oEDW4y8TpfsgK8VyIj2jA75g39VWRjLpXXt02IwUnGz58GQ==" saltValue="bYUiJqVEdgwmDIMfAGdB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6hNiq2DKLojNmr2EMuC4+HaYSPc51mfcMIYephGeBSR8yulvBKlcvxB5qfpgxoM1HxmS70iwGezV/t9kAx5iMw==" saltValue="1kURSeb8Acr0thJzHadK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UZK1bi7Zc+yTCq1LKGc47zBwq0J/zodkJBIo3Zv98NnEQQSmHfooSGNXJ4Zowi9vH6zIbJMqmtqLpQQGBeB1/Q==" saltValue="RtRFBrgrUMblJ4tUjlgG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Np3pl0+GaiaU67YGWhwCsn8AkZXm7Uy9K4jPgoi0Us1tfFkpmPbnywsX8Rjo46P00EjfHcBO22wfzFGBRM+X9g==" saltValue="CD/VDQxQYu2DPqOcMy+d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wjLHAQLfbg4WjhkqQGoC9gJI2mmK5qjM/st5YALfBJovRpG5hbJP6BTZTWMZrnk1FpXSYSewdaZNueDXFhFg5A==" saltValue="oC9/dGWExM6sMo2ZN2gG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+mgSqiB3Vwq7mgwS+Ra5sNeKdH/kMm/kET7rB4hPSuyEYFagBN9YSsIXV4p56krM+t2oBmFVH9S5SdZjPr8okA==" saltValue="LBPp50kM8LQq1v3Gz0Cc+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jrrnMTYp0GrOQXmDXyOnfvQVqau2n5FAgP0WaqKtShzX9OMWIr2O8putwa9zN+MjjbmcyECFebmwUX6BJNB1PQ==" saltValue="nIUH8FdiW6Tys8bNlPoM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Wmkwy5Itzv5KsyslmOlOjQX27yg7IJm+uVSMWvD0PZFtvKLxPi7g6ixhwpPuY8P9H/RtXBYP2C9Gk0X9bsD50w==" saltValue="NJstKQuBu4Kf/Jk0a6wvJ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2025-07-08T03:38:56Z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