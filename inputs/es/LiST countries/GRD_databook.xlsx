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EA2B7A64-996D-427D-9397-D4A191801A84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2" i="2" l="1"/>
  <c r="A25" i="2"/>
  <c r="A26" i="2"/>
  <c r="I39" i="2"/>
  <c r="A31" i="2"/>
  <c r="A34" i="2"/>
  <c r="A40" i="2"/>
  <c r="I2" i="2"/>
  <c r="I6" i="2"/>
  <c r="A19" i="2"/>
  <c r="A35" i="2"/>
  <c r="A36" i="2"/>
  <c r="I3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<sst xmlns="http://schemas.openxmlformats.org/spreadsheetml/2006/main" count="2159" uniqueCount="372">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</sst>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6770</v>
      </c>
    </row>
    <row r="8" spans="1:3" ht="15" customHeight="1" x14ac:dyDescent="0.25">
      <c r="B8" s="5" t="s">
        <v>63</v>
      </c>
      <c r="C8" s="44">
        <v>1.4999999999999999E-2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0.72301658630371091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0.17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7.2499999999999995E-2</v>
      </c>
    </row>
    <row r="24" spans="1:3" ht="15" customHeight="1" x14ac:dyDescent="0.25">
      <c r="B24" s="15" t="s">
        <v>65</v>
      </c>
      <c r="C24" s="45">
        <v>0.54660000000000009</v>
      </c>
    </row>
    <row r="25" spans="1:3" ht="15" customHeight="1" x14ac:dyDescent="0.25">
      <c r="B25" s="15" t="s">
        <v>66</v>
      </c>
      <c r="C25" s="45">
        <v>0.3503</v>
      </c>
    </row>
    <row r="26" spans="1:3" ht="15" customHeight="1" x14ac:dyDescent="0.25">
      <c r="B26" s="15" t="s">
        <v>67</v>
      </c>
      <c r="C26" s="45">
        <v>3.0599999999999999E-2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0.38027698235904311</v>
      </c>
    </row>
    <row r="30" spans="1:3" ht="14.25" customHeight="1" x14ac:dyDescent="0.25">
      <c r="B30" s="25" t="s">
        <v>82</v>
      </c>
      <c r="C30" s="99">
        <v>5.4660418264349912E-2</v>
      </c>
    </row>
    <row r="31" spans="1:3" ht="14.25" customHeight="1" x14ac:dyDescent="0.25">
      <c r="B31" s="25" t="s">
        <v>29</v>
      </c>
      <c r="C31" s="99">
        <v>6.1967733026657798E-2</v>
      </c>
    </row>
    <row r="32" spans="1:3" ht="14.25" customHeight="1" x14ac:dyDescent="0.25">
      <c r="B32" s="25" t="s">
        <v>30</v>
      </c>
      <c r="C32" s="99">
        <v>0.50309486634994893</v>
      </c>
    </row>
    <row r="33" spans="1:5" ht="13.25" customHeight="1" x14ac:dyDescent="0.25">
      <c r="B33" s="27" t="s">
        <v>79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10.28346</v>
      </c>
    </row>
    <row r="38" spans="1:5" ht="15" customHeight="1" x14ac:dyDescent="0.25">
      <c r="B38" s="11" t="s">
        <v>54</v>
      </c>
      <c r="C38" s="43">
        <v>14.41901</v>
      </c>
      <c r="D38" s="12"/>
      <c r="E38" s="13"/>
    </row>
    <row r="39" spans="1:5" ht="15" customHeight="1" x14ac:dyDescent="0.25">
      <c r="B39" s="11" t="s">
        <v>80</v>
      </c>
      <c r="C39" s="43">
        <v>16.18065</v>
      </c>
      <c r="D39" s="12"/>
      <c r="E39" s="12"/>
    </row>
    <row r="40" spans="1:5" ht="15" customHeight="1" x14ac:dyDescent="0.25">
      <c r="B40" s="11" t="s">
        <v>55</v>
      </c>
      <c r="C40" s="100">
        <v>0.21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9.0744000000000007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7.1989999999999997E-3</v>
      </c>
      <c r="D45" s="12"/>
    </row>
    <row r="46" spans="1:5" ht="15.75" customHeight="1" x14ac:dyDescent="0.25">
      <c r="B46" s="11" t="s">
        <v>70</v>
      </c>
      <c r="C46" s="45">
        <v>7.7351799999999998E-2</v>
      </c>
      <c r="D46" s="12"/>
    </row>
    <row r="47" spans="1:5" ht="15.75" customHeight="1" x14ac:dyDescent="0.25">
      <c r="B47" s="11" t="s">
        <v>78</v>
      </c>
      <c r="C47" s="45">
        <v>7.4154899999999996E-2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3.2</v>
      </c>
      <c r="D51" s="12"/>
    </row>
    <row r="52" spans="1:4" ht="15" customHeight="1" x14ac:dyDescent="0.25">
      <c r="B52" s="11" t="s">
        <v>32</v>
      </c>
      <c r="C52" s="100">
        <v>3.2</v>
      </c>
    </row>
    <row r="53" spans="1:4" ht="15.75" customHeight="1" x14ac:dyDescent="0.25">
      <c r="B53" s="11" t="s">
        <v>35</v>
      </c>
      <c r="C53" s="100">
        <v>3.2</v>
      </c>
    </row>
    <row r="54" spans="1:4" ht="15.75" customHeight="1" x14ac:dyDescent="0.25">
      <c r="B54" s="11" t="s">
        <v>33</v>
      </c>
      <c r="C54" s="100">
        <v>3.2</v>
      </c>
    </row>
    <row r="55" spans="1:4" ht="15.75" customHeight="1" x14ac:dyDescent="0.25">
      <c r="B55" s="11" t="s">
        <v>34</v>
      </c>
      <c r="C55" s="100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0.54805599999999999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NbLPZp8/rChu0fHwncx/XFgRKYydslAhYof/bo+Dz6sSj+HcXtgv7VsAkQnem9Lgxo9t1lh7Btd3ZmITOc8BuA==" saltValue="ebsikkSC0Om9koJRFidT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1345</v>
      </c>
      <c r="C2" s="49">
        <v>4200.5</v>
      </c>
      <c r="D2" s="49">
        <v>8542</v>
      </c>
      <c r="E2" s="49">
        <v>10280.000000000002</v>
      </c>
      <c r="F2" s="49">
        <v>7280.5</v>
      </c>
      <c r="G2" s="17">
        <f t="shared" ref="G2:G13" si="0">C2+D2+E2+F2</f>
        <v>30303</v>
      </c>
      <c r="H2" s="17">
        <f t="shared" ref="H2:H13" si="1">(B2 + stillbirth*B2/(1000-stillbirth))/(1-abortion)</f>
        <v>1542.4054953359678</v>
      </c>
      <c r="I2" s="17">
        <f t="shared" ref="I2:I13" si="2">G2-H2</f>
        <v>28760.594504664034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1319</v>
      </c>
      <c r="C3" s="50">
        <v>4230</v>
      </c>
      <c r="D3" s="50">
        <v>8416</v>
      </c>
      <c r="E3" s="50">
        <v>10129.999999999998</v>
      </c>
      <c r="F3" s="50">
        <v>7680</v>
      </c>
      <c r="G3" s="17">
        <f t="shared" si="0"/>
        <v>30456</v>
      </c>
      <c r="H3" s="17">
        <f t="shared" si="1"/>
        <v>1512.5894783257556</v>
      </c>
      <c r="I3" s="17">
        <f t="shared" si="2"/>
        <v>28943.410521674243</v>
      </c>
    </row>
    <row r="4" spans="1:9" ht="15.75" customHeight="1" x14ac:dyDescent="0.25">
      <c r="A4" s="5">
        <f t="shared" si="3"/>
        <v>2026</v>
      </c>
      <c r="B4" s="49">
        <v>1296</v>
      </c>
      <c r="C4" s="50">
        <v>4249.5</v>
      </c>
      <c r="D4" s="50">
        <v>8314.4999999999982</v>
      </c>
      <c r="E4" s="50">
        <v>9931.5</v>
      </c>
      <c r="F4" s="50">
        <v>8115.5000000000009</v>
      </c>
      <c r="G4" s="17">
        <f t="shared" si="0"/>
        <v>30611</v>
      </c>
      <c r="H4" s="17">
        <f t="shared" si="1"/>
        <v>1486.213770970568</v>
      </c>
      <c r="I4" s="17">
        <f t="shared" si="2"/>
        <v>29124.786229029432</v>
      </c>
    </row>
    <row r="5" spans="1:9" ht="15.75" customHeight="1" x14ac:dyDescent="0.25">
      <c r="A5" s="5">
        <f t="shared" si="3"/>
        <v>2027</v>
      </c>
      <c r="B5" s="49">
        <v>1278</v>
      </c>
      <c r="C5" s="50">
        <v>4255.5</v>
      </c>
      <c r="D5" s="50">
        <v>8232.5</v>
      </c>
      <c r="E5" s="50">
        <v>9708.5</v>
      </c>
      <c r="F5" s="50">
        <v>8564</v>
      </c>
      <c r="G5" s="17">
        <f t="shared" si="0"/>
        <v>30760.5</v>
      </c>
      <c r="H5" s="17">
        <f t="shared" si="1"/>
        <v>1465.5719130404214</v>
      </c>
      <c r="I5" s="17">
        <f t="shared" si="2"/>
        <v>29294.928086959579</v>
      </c>
    </row>
    <row r="6" spans="1:9" ht="15.75" customHeight="1" x14ac:dyDescent="0.25">
      <c r="A6" s="5">
        <f t="shared" si="3"/>
        <v>2028</v>
      </c>
      <c r="B6" s="49">
        <v>1263</v>
      </c>
      <c r="C6" s="50">
        <v>4243.5</v>
      </c>
      <c r="D6" s="50">
        <v>8166.4999999999991</v>
      </c>
      <c r="E6" s="50">
        <v>9475.5</v>
      </c>
      <c r="F6" s="50">
        <v>9004</v>
      </c>
      <c r="G6" s="17">
        <f t="shared" si="0"/>
        <v>30889.5</v>
      </c>
      <c r="H6" s="17">
        <f t="shared" si="1"/>
        <v>1448.370364765299</v>
      </c>
      <c r="I6" s="17">
        <f t="shared" si="2"/>
        <v>29441.129635234702</v>
      </c>
    </row>
    <row r="7" spans="1:9" ht="15.75" customHeight="1" x14ac:dyDescent="0.25">
      <c r="A7" s="5">
        <f t="shared" si="3"/>
        <v>2029</v>
      </c>
      <c r="B7" s="49">
        <v>1248</v>
      </c>
      <c r="C7" s="50">
        <v>4197</v>
      </c>
      <c r="D7" s="50">
        <v>8111.9999999999982</v>
      </c>
      <c r="E7" s="50">
        <v>9250</v>
      </c>
      <c r="F7" s="50">
        <v>9400.5000000000018</v>
      </c>
      <c r="G7" s="17">
        <f t="shared" si="0"/>
        <v>30959.5</v>
      </c>
      <c r="H7" s="17">
        <f t="shared" si="1"/>
        <v>1431.1688164901766</v>
      </c>
      <c r="I7" s="17">
        <f t="shared" si="2"/>
        <v>29528.331183509825</v>
      </c>
    </row>
    <row r="8" spans="1:9" ht="15.75" customHeight="1" x14ac:dyDescent="0.25">
      <c r="A8" s="5">
        <f t="shared" si="3"/>
        <v>2030</v>
      </c>
      <c r="B8" s="49">
        <v>1235</v>
      </c>
      <c r="C8" s="50">
        <v>4111</v>
      </c>
      <c r="D8" s="50">
        <v>8063.0000000000009</v>
      </c>
      <c r="E8" s="50">
        <v>9049.5</v>
      </c>
      <c r="F8" s="50">
        <v>9727</v>
      </c>
      <c r="G8" s="17">
        <f t="shared" si="0"/>
        <v>30950.5</v>
      </c>
      <c r="H8" s="17">
        <f t="shared" si="1"/>
        <v>1416.2608079850706</v>
      </c>
      <c r="I8" s="17">
        <f t="shared" si="2"/>
        <v>29534.239192014931</v>
      </c>
    </row>
    <row r="9" spans="1:9" ht="15.75" customHeight="1" x14ac:dyDescent="0.25">
      <c r="A9" s="5">
        <f t="shared" si="3"/>
        <v>2031</v>
      </c>
      <c r="B9" s="49">
        <v>1222</v>
      </c>
      <c r="C9" s="50">
        <v>3989</v>
      </c>
      <c r="D9" s="50">
        <v>8068.5</v>
      </c>
      <c r="E9" s="50">
        <v>8828.5</v>
      </c>
      <c r="F9" s="50">
        <v>9955.5</v>
      </c>
      <c r="G9" s="17">
        <f t="shared" si="0"/>
        <v>30841.5</v>
      </c>
      <c r="H9" s="17">
        <f t="shared" si="1"/>
        <v>1401.3527994799647</v>
      </c>
      <c r="I9" s="17">
        <f t="shared" si="2"/>
        <v>29440.147200520034</v>
      </c>
    </row>
    <row r="10" spans="1:9" ht="15.75" customHeight="1" x14ac:dyDescent="0.25">
      <c r="A10" s="5">
        <f t="shared" si="3"/>
        <v>2032</v>
      </c>
      <c r="B10" s="49">
        <v>1209</v>
      </c>
      <c r="C10" s="50">
        <v>3811.5</v>
      </c>
      <c r="D10" s="50">
        <v>8122.4999999999991</v>
      </c>
      <c r="E10" s="50">
        <v>8597.0000000000018</v>
      </c>
      <c r="F10" s="50">
        <v>10064.499999999998</v>
      </c>
      <c r="G10" s="17">
        <f t="shared" si="0"/>
        <v>30595.5</v>
      </c>
      <c r="H10" s="17">
        <f t="shared" si="1"/>
        <v>1386.4447909748587</v>
      </c>
      <c r="I10" s="17">
        <f t="shared" si="2"/>
        <v>29209.05520902514</v>
      </c>
    </row>
    <row r="11" spans="1:9" ht="15.75" customHeight="1" x14ac:dyDescent="0.25">
      <c r="A11" s="5">
        <f t="shared" si="3"/>
        <v>2033</v>
      </c>
      <c r="B11" s="49">
        <v>1195</v>
      </c>
      <c r="C11" s="50">
        <v>3628.5</v>
      </c>
      <c r="D11" s="50">
        <v>8156.0000000000009</v>
      </c>
      <c r="E11" s="50">
        <v>8412.5000000000018</v>
      </c>
      <c r="F11" s="50">
        <v>10071</v>
      </c>
      <c r="G11" s="17">
        <f t="shared" si="0"/>
        <v>30268</v>
      </c>
      <c r="H11" s="17">
        <f t="shared" si="1"/>
        <v>1370.3900125847445</v>
      </c>
      <c r="I11" s="17">
        <f t="shared" si="2"/>
        <v>28897.609987415257</v>
      </c>
    </row>
    <row r="12" spans="1:9" ht="15.75" customHeight="1" x14ac:dyDescent="0.25">
      <c r="A12" s="5">
        <f t="shared" si="3"/>
        <v>2034</v>
      </c>
      <c r="B12" s="49">
        <v>1181</v>
      </c>
      <c r="C12" s="50">
        <v>3499</v>
      </c>
      <c r="D12" s="50">
        <v>8149.9999999999982</v>
      </c>
      <c r="E12" s="50">
        <v>8266</v>
      </c>
      <c r="F12" s="50">
        <v>9994</v>
      </c>
      <c r="G12" s="17">
        <f t="shared" si="0"/>
        <v>29909</v>
      </c>
      <c r="H12" s="17">
        <f t="shared" si="1"/>
        <v>1354.3352341946302</v>
      </c>
      <c r="I12" s="17">
        <f t="shared" si="2"/>
        <v>28554.66476580537</v>
      </c>
    </row>
    <row r="13" spans="1:9" ht="15.75" customHeight="1" x14ac:dyDescent="0.25">
      <c r="A13" s="5">
        <f t="shared" si="3"/>
        <v>2035</v>
      </c>
      <c r="B13" s="49">
        <v>1166</v>
      </c>
      <c r="C13" s="50">
        <v>3407.5</v>
      </c>
      <c r="D13" s="50">
        <v>8098.5</v>
      </c>
      <c r="E13" s="50">
        <v>8150.4999999999991</v>
      </c>
      <c r="F13" s="50">
        <v>9851.5</v>
      </c>
      <c r="G13" s="17">
        <f t="shared" si="0"/>
        <v>29508</v>
      </c>
      <c r="H13" s="17">
        <f t="shared" si="1"/>
        <v>1337.133685919508</v>
      </c>
      <c r="I13" s="17">
        <f t="shared" si="2"/>
        <v>28170.866314080493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N3LZgzm86R7qPslMAUDGP9rjnqws7eaEOkbzFpIKIB0KGp/opgna7CQdX80+SXFVM2Z8kNleeGHihxCy5Q4pwg==" saltValue="sAMw3NWT8iDSU21U67fez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0.1055556</v>
      </c>
    </row>
    <row r="5" spans="1:8" ht="15.75" customHeight="1" x14ac:dyDescent="0.25">
      <c r="B5" s="19" t="s">
        <v>114</v>
      </c>
      <c r="C5" s="101">
        <v>4.8148100000000027E-2</v>
      </c>
    </row>
    <row r="6" spans="1:8" ht="15.75" customHeight="1" x14ac:dyDescent="0.25">
      <c r="B6" s="19" t="s">
        <v>110</v>
      </c>
      <c r="C6" s="101">
        <v>0.32037040000000022</v>
      </c>
    </row>
    <row r="7" spans="1:8" ht="15.75" customHeight="1" x14ac:dyDescent="0.25">
      <c r="B7" s="19" t="s">
        <v>115</v>
      </c>
      <c r="C7" s="101">
        <v>0.37222219999999978</v>
      </c>
    </row>
    <row r="8" spans="1:8" ht="15.75" customHeight="1" x14ac:dyDescent="0.25">
      <c r="B8" s="19" t="s">
        <v>117</v>
      </c>
      <c r="C8" s="101">
        <v>0</v>
      </c>
    </row>
    <row r="9" spans="1:8" ht="15.75" customHeight="1" x14ac:dyDescent="0.25">
      <c r="B9" s="19" t="s">
        <v>111</v>
      </c>
      <c r="C9" s="101">
        <v>0.14259260000000001</v>
      </c>
    </row>
    <row r="10" spans="1:8" ht="15.75" customHeight="1" x14ac:dyDescent="0.25">
      <c r="B10" s="19" t="s">
        <v>113</v>
      </c>
      <c r="C10" s="101">
        <v>1.11111E-2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</v>
      </c>
      <c r="D14" s="55">
        <v>0</v>
      </c>
      <c r="E14" s="55">
        <v>0</v>
      </c>
      <c r="F14" s="55">
        <v>0</v>
      </c>
    </row>
    <row r="15" spans="1:8" ht="15.75" customHeight="1" x14ac:dyDescent="0.25">
      <c r="B15" s="19" t="s">
        <v>121</v>
      </c>
      <c r="C15" s="101">
        <v>0.38426575950470021</v>
      </c>
      <c r="D15" s="101">
        <v>0.38426575950470021</v>
      </c>
      <c r="E15" s="101">
        <v>0.38426575950470021</v>
      </c>
      <c r="F15" s="101">
        <v>0.38426575950470021</v>
      </c>
    </row>
    <row r="16" spans="1:8" ht="15.75" customHeight="1" x14ac:dyDescent="0.25">
      <c r="B16" s="19" t="s">
        <v>2</v>
      </c>
      <c r="C16" s="101">
        <v>0</v>
      </c>
      <c r="D16" s="101">
        <v>0</v>
      </c>
      <c r="E16" s="101">
        <v>0</v>
      </c>
      <c r="F16" s="101">
        <v>0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98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107</v>
      </c>
      <c r="C21" s="101">
        <v>0.43363631745840392</v>
      </c>
      <c r="D21" s="101">
        <v>0.43363631745840392</v>
      </c>
      <c r="E21" s="101">
        <v>0.43363631745840392</v>
      </c>
      <c r="F21" s="101">
        <v>0.43363631745840392</v>
      </c>
    </row>
    <row r="22" spans="1:8" ht="15.75" customHeight="1" x14ac:dyDescent="0.25">
      <c r="B22" s="19" t="s">
        <v>118</v>
      </c>
      <c r="C22" s="101">
        <v>0.18209792303689601</v>
      </c>
      <c r="D22" s="101">
        <v>0.18209792303689601</v>
      </c>
      <c r="E22" s="101">
        <v>0.18209792303689601</v>
      </c>
      <c r="F22" s="101">
        <v>0.18209792303689601</v>
      </c>
    </row>
    <row r="23" spans="1:8" ht="15.75" customHeight="1" x14ac:dyDescent="0.25">
      <c r="B23" s="27" t="s">
        <v>79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5.0426016999999997E-2</v>
      </c>
    </row>
    <row r="27" spans="1:8" ht="15.75" customHeight="1" x14ac:dyDescent="0.25">
      <c r="B27" s="19" t="s">
        <v>108</v>
      </c>
      <c r="C27" s="101">
        <v>4.7548858999999999E-2</v>
      </c>
    </row>
    <row r="28" spans="1:8" ht="15.75" customHeight="1" x14ac:dyDescent="0.25">
      <c r="B28" s="19" t="s">
        <v>122</v>
      </c>
      <c r="C28" s="101">
        <v>0.12571258499999999</v>
      </c>
    </row>
    <row r="29" spans="1:8" ht="15.75" customHeight="1" x14ac:dyDescent="0.25">
      <c r="B29" s="19" t="s">
        <v>105</v>
      </c>
      <c r="C29" s="101">
        <v>0.196091977</v>
      </c>
    </row>
    <row r="30" spans="1:8" ht="15.75" customHeight="1" x14ac:dyDescent="0.25">
      <c r="B30" s="19" t="s">
        <v>4</v>
      </c>
      <c r="C30" s="101">
        <v>6.7403012999999998E-2</v>
      </c>
    </row>
    <row r="31" spans="1:8" ht="15.75" customHeight="1" x14ac:dyDescent="0.25">
      <c r="B31" s="19" t="s">
        <v>99</v>
      </c>
      <c r="C31" s="101">
        <v>0.119314141</v>
      </c>
    </row>
    <row r="32" spans="1:8" ht="15.75" customHeight="1" x14ac:dyDescent="0.25">
      <c r="B32" s="19" t="s">
        <v>104</v>
      </c>
      <c r="C32" s="101">
        <v>3.6527864E-2</v>
      </c>
    </row>
    <row r="33" spans="2:3" ht="15.75" customHeight="1" x14ac:dyDescent="0.25">
      <c r="B33" s="19" t="s">
        <v>119</v>
      </c>
      <c r="C33" s="101">
        <v>0.152312374</v>
      </c>
    </row>
    <row r="34" spans="2:3" ht="15.75" customHeight="1" x14ac:dyDescent="0.25">
      <c r="B34" s="19" t="s">
        <v>106</v>
      </c>
      <c r="C34" s="101">
        <v>0.204663171</v>
      </c>
    </row>
    <row r="35" spans="2:3" ht="15.75" customHeight="1" x14ac:dyDescent="0.25">
      <c r="B35" s="27" t="s">
        <v>79</v>
      </c>
      <c r="C35" s="48">
        <f>SUM(C26:C34)</f>
        <v>1.0000000009999999</v>
      </c>
    </row>
  </sheetData>
  <sheetProtection algorithmName="SHA-512" hashValue="RbDEhW1k9O9dzxcGX886+bfHwj2fwye9t/EgYRidc2fTwpKt/AlZu34FaAZq8agQy7klTq2qPL+h3K6T9IHoug==" saltValue="2lrTz0CQ0bYcTUWMNQGnG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129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125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126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138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0.62359459274999995</v>
      </c>
      <c r="D14" s="54">
        <v>0.59193918951699998</v>
      </c>
      <c r="E14" s="54">
        <v>0.59193918951699998</v>
      </c>
      <c r="F14" s="54">
        <v>0.38638310174000012</v>
      </c>
      <c r="G14" s="54">
        <v>0.38638310174000012</v>
      </c>
      <c r="H14" s="45">
        <v>0.27500000000000002</v>
      </c>
      <c r="I14" s="55">
        <v>0.27500000000000002</v>
      </c>
      <c r="J14" s="55">
        <v>0.27500000000000002</v>
      </c>
      <c r="K14" s="55">
        <v>0.27500000000000002</v>
      </c>
      <c r="L14" s="45">
        <v>0.23300000000000001</v>
      </c>
      <c r="M14" s="55">
        <v>0.23300000000000001</v>
      </c>
      <c r="N14" s="55">
        <v>0.23300000000000001</v>
      </c>
      <c r="O14" s="55">
        <v>0.23300000000000001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0.34176475812419399</v>
      </c>
      <c r="D15" s="52">
        <f t="shared" si="0"/>
        <v>0.32441582444992895</v>
      </c>
      <c r="E15" s="52">
        <f t="shared" si="0"/>
        <v>0.32441582444992895</v>
      </c>
      <c r="F15" s="52">
        <f t="shared" si="0"/>
        <v>0.2117595772072175</v>
      </c>
      <c r="G15" s="52">
        <f t="shared" si="0"/>
        <v>0.2117595772072175</v>
      </c>
      <c r="H15" s="52">
        <f t="shared" si="0"/>
        <v>0.1507154</v>
      </c>
      <c r="I15" s="52">
        <f t="shared" si="0"/>
        <v>0.1507154</v>
      </c>
      <c r="J15" s="52">
        <f t="shared" si="0"/>
        <v>0.1507154</v>
      </c>
      <c r="K15" s="52">
        <f t="shared" si="0"/>
        <v>0.1507154</v>
      </c>
      <c r="L15" s="52">
        <f t="shared" si="0"/>
        <v>0.12769704800000001</v>
      </c>
      <c r="M15" s="52">
        <f t="shared" si="0"/>
        <v>0.12769704800000001</v>
      </c>
      <c r="N15" s="52">
        <f t="shared" si="0"/>
        <v>0.12769704800000001</v>
      </c>
      <c r="O15" s="52">
        <f t="shared" si="0"/>
        <v>0.12769704800000001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jFUpHYNpZrZJcEqG4woxFgDUCO+j6JC67hS6mvl6yXEWNCkMvLgGs4PLofcaDbEe51pQegdNvXLAMhMDMgZhtA==" saltValue="v6C2HIidFN8ZKTgLIxz3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0.53986826333333293</v>
      </c>
      <c r="D2" s="53">
        <v>0.36057784494382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0.118684952222222</v>
      </c>
      <c r="D3" s="53">
        <v>0.128159826966292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0.29430393555555601</v>
      </c>
      <c r="D4" s="53">
        <v>0.40696189550561801</v>
      </c>
      <c r="E4" s="53">
        <v>0.73861227826087006</v>
      </c>
      <c r="F4" s="53">
        <v>0.484822646739131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4.7142848888889088E-2</v>
      </c>
      <c r="D5" s="52">
        <f t="shared" si="0"/>
        <v>0.10430043258427002</v>
      </c>
      <c r="E5" s="52">
        <f>1-SUM(E2:E4)</f>
        <v>0.26138772173912994</v>
      </c>
      <c r="F5" s="52">
        <f>1-SUM(F2:F4)</f>
        <v>0.515177353260869</v>
      </c>
      <c r="G5" s="52">
        <f>1-SUM(G2:G4)</f>
        <v>1</v>
      </c>
    </row>
  </sheetData>
  <sheetProtection algorithmName="SHA-512" hashValue="mkw+RYSkq49BNfTH7SnnaDOHAMyXe1xLgrQf3u5M1e3UmH6nOCRM2PXLCACEYM1l2BU4UM8SLfYqbpAdpQvj8Q==" saltValue="zWU2RuWtDtF19pBii4wE2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8iUJ1aMAL6nMTrmo33ibFqZZD5VUbRzZy8K4Pzjrds96Wh2M6H7UULu1uJTa8P0txK/BwTK0UOlC/FOxvkat9g==" saltValue="CVwlB/9BDsT4ISa/Yp2vp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9689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0.53713999999999995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0.65400000000000003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1.4966337972755255E-2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98327.867119999995</v>
      </c>
      <c r="C22" s="109">
        <v>98152.186239999995</v>
      </c>
      <c r="D22" s="109">
        <v>97954.256450000001</v>
      </c>
      <c r="E22" s="109">
        <v>97651.482990000004</v>
      </c>
      <c r="F22" s="109">
        <v>97222.049079999997</v>
      </c>
      <c r="G22" s="109">
        <v>96744.434529999999</v>
      </c>
      <c r="H22" s="109">
        <v>96003.557990000001</v>
      </c>
      <c r="I22" s="109">
        <v>94976.10295</v>
      </c>
      <c r="J22" s="109">
        <v>93665.527919999993</v>
      </c>
      <c r="K22" s="109">
        <v>91702.632129999998</v>
      </c>
      <c r="L22" s="109">
        <v>88776.651070000007</v>
      </c>
      <c r="M22" s="109">
        <v>84132.44859</v>
      </c>
      <c r="N22" s="109">
        <v>77063.677089999997</v>
      </c>
      <c r="O22" s="109">
        <v>66525.796359999993</v>
      </c>
    </row>
  </sheetData>
  <sheetProtection algorithmName="SHA-512" hashValue="tMvBzBwXvS4z0prwt0li1T+lTTJYXqK0xConI/teSCN41Iodyc5dY3AVBBTd7GTYJs8TLgVEUeD7+sNX7uOM1w==" saltValue="b6a+bStAZddzdLsYi0qqD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I5H5pOSxORxfzVfFu8OB/X5bED0QYuzQxSIMcoqS5xhdZaTT7ououwp1PlxSzaokoCyzsTh9vl5EfPBiRfYluQ==" saltValue="3gXfea+j0/JYTQ6NLQ7IR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8Ku4j++mVWfOz/n74IXF6ZlIrJgg/iaqEqt8OcKU2Ye8unc1QpbDixybK1qCwzFP7t7rn1/6/HielSA9EY2tmw==" saltValue="lhYQwm8okVLLlveO0+2ep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21.195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0.32855565777368906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13.8270149155654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13.8270149155654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13.8270149155654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13.8270149155654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13.8270149155654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13.8270149155654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0.34229166666666699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</v>
      </c>
      <c r="C18" s="98">
        <v>0.95</v>
      </c>
      <c r="D18" s="56">
        <v>21.195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</v>
      </c>
      <c r="C19" s="98">
        <v>0.95</v>
      </c>
      <c r="D19" s="56">
        <v>22.51730204343292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21.195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4.78860983208211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4.4421306161984946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9.2958524157825622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</v>
      </c>
      <c r="C29" s="98">
        <v>0.95</v>
      </c>
      <c r="D29" s="56">
        <v>196.59554063194781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123.05968780269725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1.5917274986535743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0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0.92326350000000001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2.4500000000000002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RqxmCEmP5VbSor5BFyjC02BWSULrivR7w1stbjmoByCgHDYjmsaORQURnzVyU8IItdZx6e53StGSSWBB/V35tA==" saltValue="Z7P50/RkseT9rsMokS9z8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bZuF3gYBtOZuF9GP2D991NwR58bGIVLvdxxj1UooZCOJaUrAjBH4moU6t4x30cURDe+1IEexF8Xou6zyyLJ4fQ==" saltValue="HMssZMjMMra4nXiTYscPn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3VAwdXV1gQGU+GLIC6YyO93T1fCC/pKuZRrDZ2H3B+QI5hf5Y1/j+WTtxvA7aRjc13y3JYwS2baV0r0jlsQ/rA==" saltValue="WUizvTksLJV8WijKxNy8f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236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sheetProtection algorithmName="SHA-512" hashValue="/raV+6sD7r3qnS8bjIUmLW3OtzIxN66eTzuqqgSz27yxFD0N9KvwxlZwBcp7QzJEjFHAOYoKEdvNzewmaeRYoQ==" saltValue="D2w2UX4L2Yh3mZt7tuKzD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</v>
      </c>
      <c r="M24" s="60">
        <f>famplan_unmet_need</f>
        <v>0.17</v>
      </c>
      <c r="N24" s="60">
        <f>famplan_unmet_need</f>
        <v>0.17</v>
      </c>
      <c r="O24" s="60">
        <f>famplan_unmet_need</f>
        <v>0.17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0.13659437046432496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5.8540444484710692E-2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8.184859874725342E-2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0.7230165863037108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S/XKiHrW2OIqQFnt44ekLzMJleq8WPliZmi8uMzHZoKFwfvu4ZwYuS2Z5pDoeFg7S3eXlMSRLUZtQAfZSUNNvA==" saltValue="tkTJyKCumuSHmdHiaYfCw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rvwi/2ml4EUfC4L+r+oJIqnwAtPcYjF+g4qwRxGDP0PPOIFZYkNEYVERKY5zFzCRp0qL19VQKs2+bL2FOVNpwA==" saltValue="sa/sfOHEZmGp+XYZ5nsKV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KfCmOJDkKGCxGUsmIDPfsY7WXYFkQgUQ3M4Z2VcvO6m1VN1qssf9yp31lC332gymBgZMfOU5/3LG2OUOB4G8tA==" saltValue="vbO6KMdpECBLr/atLF+4s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ZOijeSpF3yV2Crd9zcTWJoj20pq/ZjSHWIGaDybSAf8YTp0NzoA7i+hGFd/MWyzORyblAu6okKWmTktoMPPG8Q==" saltValue="9rWjBfRzPOoDPRMJFIOV2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iBqzbB3jTWVYKPW+vZWRmOv5YvnYX7LIYe1r+ygwy+U5cQh84I+OBjFP8VH2SdHqi9CIfQHxZsdupHOEk68Omw==" saltValue="A6LVYHNU0uP9+OnQsDjIo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semJKUM3r8zsuqAlxJBGo48HnALR8YmORmdtUG95kCaJo+9yKJQjBcr6mI2ud1HgqnNJKWYxeSE2DZZ0HUpUSg==" saltValue="ANT2irYzfRJDitoSUbsjX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N7JRJtoKQh5vBQQfmVqQAColcBFbMzCHh983Qcwhe4xvQw7H74oFZmnfRV4oPpBHzET2Gx8BFBjb/5KvJv1Nlw==" saltValue="wTyllm//pgGKNoLmVKRkV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vIvLTIkHE7yM1aPS3fc3FYsb8MpEQwFbcVUQbwz3OFEYIdIJSbBBmxq1/+LP9TFzswRnxJxfElyJiwEF+0V+/A==" saltValue="/Mwjo35/clvnalRWsiht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r5fSxIQILvLWypC2gFUSL9vmjT5y0D8y/P9ELCTmgNDYOd6Oa4recW+bJInTsg+EfaVzBnuTCr0RL5chfiwfHA==" saltValue="RvxuL+VJqlLwpa5oJkTR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4k6mjEVlC/6roUYSPnEbURfSDzCoeEXBxTqr2LzvYTDCP2Um+4psGAH5orvBLQjNFw/EWEaAQKJdyYsQz+m/w==" saltValue="joXIwYMnBt17yeCyNiJp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xCALi3ueIrpAe3z/yHugC9Q7gO76Mlv4YzeFS5P1kHfOVYTMOZnImAB01Jb3zVuwF3SC+96TxsnvRX/AuarqqA==" saltValue="WeLKKMn3SjnebcxgEtTb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chiNlJINoU/4IT4GEH93E19RQrpDaYTEBsb+6zzgxXIm999ZyfOIGllUV+VJZgiefgVpilIwCsxC8AdDPrciGA==" saltValue="QRY8YKyAZVLLsjptNtrz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HMsIKXFfEsIgytNSvXq4R87Qq4SdOeGhTkGWezAIGeTOWXNP6ePXFGzZ+ZyzMr8/TFnCv6hUHJ7pkVUQAFVBAQ==" saltValue="owGG30JVPX+cNsdPo9+G7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AmAGSXpTvYv9l+eItKnIUKfN+PK18BLLYGg9xnOsHjUs4Gp2kPayQqJC7mqioiR7OEpr4M4vK5W3SKIDlQKNXg==" saltValue="6gzZwI/Tcp3ZVmtIBi3R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l60ZPcMfTZeukz3RP9R68poKfWFhOD968r0IZUa9ct+o8/cPhfZMQEZkZrl7M9lNu5yiUz0vjAGBhXwS7wLq4A==" saltValue="HIz8cuYF7me+VGQZlAr1R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2025-07-04T01:19:59Z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