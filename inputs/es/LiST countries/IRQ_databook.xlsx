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A713C70-3DCD-4AD7-AD1A-F64E7785EB7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6" i="2"/>
  <c r="A34" i="2"/>
  <c r="A33" i="2"/>
  <c r="A31" i="2"/>
  <c r="A29" i="2"/>
  <c r="A28" i="2"/>
  <c r="A23" i="2"/>
  <c r="A21" i="2"/>
  <c r="A20" i="2"/>
  <c r="A18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A2" i="2"/>
  <c r="A40" i="2" s="1"/>
  <c r="C33" i="1"/>
  <c r="C20" i="1"/>
  <c r="A25" i="2" l="1"/>
  <c r="A37" i="2"/>
  <c r="I2" i="2"/>
  <c r="A26" i="2"/>
  <c r="I38" i="2"/>
  <c r="A16" i="2"/>
  <c r="A24" i="2"/>
  <c r="A32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<sst xmlns="http://schemas.openxmlformats.org/spreadsheetml/2006/main" count="2101" uniqueCount="341">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</sst>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5896681.375</v>
      </c>
    </row>
    <row r="8" spans="1:3" ht="15" customHeight="1" x14ac:dyDescent="0.25">
      <c r="B8" s="5" t="s">
        <v>44</v>
      </c>
      <c r="C8" s="44">
        <v>2.5000000000000001E-2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0.68451698300000008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0.40699999999999997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9.7699999999999995E-2</v>
      </c>
    </row>
    <row r="24" spans="1:3" ht="15" customHeight="1" x14ac:dyDescent="0.25">
      <c r="B24" s="15" t="s">
        <v>46</v>
      </c>
      <c r="C24" s="45">
        <v>0.48899999999999999</v>
      </c>
    </row>
    <row r="25" spans="1:3" ht="15" customHeight="1" x14ac:dyDescent="0.25">
      <c r="B25" s="15" t="s">
        <v>47</v>
      </c>
      <c r="C25" s="45">
        <v>0.35959999999999998</v>
      </c>
    </row>
    <row r="26" spans="1:3" ht="15" customHeight="1" x14ac:dyDescent="0.25">
      <c r="B26" s="15" t="s">
        <v>48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0.34453989050682299</v>
      </c>
    </row>
    <row r="30" spans="1:3" ht="14.25" customHeight="1" x14ac:dyDescent="0.25">
      <c r="B30" s="25" t="s">
        <v>63</v>
      </c>
      <c r="C30" s="99">
        <v>4.9975046177627103E-2</v>
      </c>
    </row>
    <row r="31" spans="1:3" ht="14.25" customHeight="1" x14ac:dyDescent="0.25">
      <c r="B31" s="25" t="s">
        <v>10</v>
      </c>
      <c r="C31" s="99">
        <v>6.4980512501330898E-2</v>
      </c>
    </row>
    <row r="32" spans="1:3" ht="14.25" customHeight="1" x14ac:dyDescent="0.25">
      <c r="B32" s="25" t="s">
        <v>11</v>
      </c>
      <c r="C32" s="99">
        <v>0.540504550814219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14.07315</v>
      </c>
    </row>
    <row r="38" spans="1:5" ht="15" customHeight="1" x14ac:dyDescent="0.25">
      <c r="B38" s="11" t="s">
        <v>35</v>
      </c>
      <c r="C38" s="43">
        <v>20.749110000000002</v>
      </c>
      <c r="D38" s="12"/>
      <c r="E38" s="13"/>
    </row>
    <row r="39" spans="1:5" ht="15" customHeight="1" x14ac:dyDescent="0.25">
      <c r="B39" s="11" t="s">
        <v>61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7.5027000000000002E-3</v>
      </c>
      <c r="D45" s="12"/>
    </row>
    <row r="46" spans="1:5" ht="15.75" customHeight="1" x14ac:dyDescent="0.25">
      <c r="B46" s="11" t="s">
        <v>51</v>
      </c>
      <c r="C46" s="45">
        <v>8.0615500000000007E-2</v>
      </c>
      <c r="D46" s="12"/>
    </row>
    <row r="47" spans="1:5" ht="15.75" customHeight="1" x14ac:dyDescent="0.25">
      <c r="B47" s="11" t="s">
        <v>59</v>
      </c>
      <c r="C47" s="45">
        <v>7.3865899999999998E-2</v>
      </c>
      <c r="D47" s="12"/>
      <c r="E47" s="13"/>
    </row>
    <row r="48" spans="1:5" ht="15" customHeight="1" x14ac:dyDescent="0.25">
      <c r="B48" s="11" t="s">
        <v>58</v>
      </c>
      <c r="C48" s="46">
        <v>0.83801590000000004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0.57473999999999992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cYK6r1eYVowfXw6e+krtrEwk5z+TEb0dLBGIF0nvuMtotcUIgZwVZU99tl9UO0/CY23dwLRvKZUerTT/aI+hg==" saltValue="brA+rL08+mzsHfzXMQwl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ioOYYNWX8g69deLcp2PvaZlB/T1jEL4GQ8fHs/GyoRr4C7qkMBDvrnoXLQ475vJyfbyfZH2sbIpb1A1i3/zxw==" saltValue="CERNU0pbBdLap/MKB6TL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8.5402008540200851E-3</v>
      </c>
    </row>
    <row r="4" spans="1:8" ht="15.75" customHeight="1" x14ac:dyDescent="0.25">
      <c r="B4" s="19" t="s">
        <v>97</v>
      </c>
      <c r="C4" s="101">
        <v>3.9174803917480412E-2</v>
      </c>
    </row>
    <row r="5" spans="1:8" ht="15.75" customHeight="1" x14ac:dyDescent="0.25">
      <c r="B5" s="19" t="s">
        <v>95</v>
      </c>
      <c r="C5" s="101">
        <v>4.0943404094340358E-2</v>
      </c>
    </row>
    <row r="6" spans="1:8" ht="15.75" customHeight="1" x14ac:dyDescent="0.25">
      <c r="B6" s="19" t="s">
        <v>91</v>
      </c>
      <c r="C6" s="101">
        <v>0.1985424198542417</v>
      </c>
    </row>
    <row r="7" spans="1:8" ht="15.75" customHeight="1" x14ac:dyDescent="0.25">
      <c r="B7" s="19" t="s">
        <v>96</v>
      </c>
      <c r="C7" s="101">
        <v>0.46786794678679522</v>
      </c>
    </row>
    <row r="8" spans="1:8" ht="15.75" customHeight="1" x14ac:dyDescent="0.25">
      <c r="B8" s="19" t="s">
        <v>98</v>
      </c>
      <c r="C8" s="101">
        <v>1.280800128080012E-3</v>
      </c>
    </row>
    <row r="9" spans="1:8" ht="15.75" customHeight="1" x14ac:dyDescent="0.25">
      <c r="B9" s="19" t="s">
        <v>92</v>
      </c>
      <c r="C9" s="101">
        <v>0.1650498165049816</v>
      </c>
    </row>
    <row r="10" spans="1:8" ht="15.75" customHeight="1" x14ac:dyDescent="0.25">
      <c r="B10" s="19" t="s">
        <v>94</v>
      </c>
      <c r="C10" s="101">
        <v>7.8600607860060706E-2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102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2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90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99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7.1492997000000003E-2</v>
      </c>
    </row>
    <row r="27" spans="1:8" ht="15.75" customHeight="1" x14ac:dyDescent="0.25">
      <c r="B27" s="19" t="s">
        <v>89</v>
      </c>
      <c r="C27" s="101">
        <v>2.4622926999999999E-2</v>
      </c>
    </row>
    <row r="28" spans="1:8" ht="15.75" customHeight="1" x14ac:dyDescent="0.25">
      <c r="B28" s="19" t="s">
        <v>103</v>
      </c>
      <c r="C28" s="101">
        <v>0.300465973</v>
      </c>
    </row>
    <row r="29" spans="1:8" ht="15.75" customHeight="1" x14ac:dyDescent="0.25">
      <c r="B29" s="19" t="s">
        <v>86</v>
      </c>
      <c r="C29" s="101">
        <v>0.10581837400000001</v>
      </c>
    </row>
    <row r="30" spans="1:8" ht="15.75" customHeight="1" x14ac:dyDescent="0.25">
      <c r="B30" s="19" t="s">
        <v>4</v>
      </c>
      <c r="C30" s="101">
        <v>3.6280391000000002E-2</v>
      </c>
    </row>
    <row r="31" spans="1:8" ht="15.75" customHeight="1" x14ac:dyDescent="0.25">
      <c r="B31" s="19" t="s">
        <v>80</v>
      </c>
      <c r="C31" s="101">
        <v>4.1639915E-2</v>
      </c>
    </row>
    <row r="32" spans="1:8" ht="15.75" customHeight="1" x14ac:dyDescent="0.25">
      <c r="B32" s="19" t="s">
        <v>85</v>
      </c>
      <c r="C32" s="101">
        <v>9.9941725999999995E-2</v>
      </c>
    </row>
    <row r="33" spans="2:3" ht="15.75" customHeight="1" x14ac:dyDescent="0.25">
      <c r="B33" s="19" t="s">
        <v>100</v>
      </c>
      <c r="C33" s="101">
        <v>9.6583884999999994E-2</v>
      </c>
    </row>
    <row r="34" spans="2:3" ht="15.75" customHeight="1" x14ac:dyDescent="0.25">
      <c r="B34" s="19" t="s">
        <v>87</v>
      </c>
      <c r="C34" s="101">
        <v>0.22315381200000001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OQH1DmWU6GVmXA9bT9bBh3AJqeHWhh130XKjLCgBYrgxio1fhru9200OF71VuTKZJ9C4B9hPU4nKMpShyaPtVw==" saltValue="jzMJVcTSgERNqPBuuBNdl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110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106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107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119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mbtxynHLKv1jCoF8DcnG8LzY+uTCYPwrxBITmEq4sWfJGlppHxOaQeO5dh0rJcBBr1hlcTjrqFcXeXGf9VjYQ==" saltValue="9odl/gXDAUmbN3DM2Oqe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125</v>
      </c>
      <c r="C5" s="52">
        <v>9.8831699999999995E-2</v>
      </c>
      <c r="D5" s="52">
        <v>0.26284239999999998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yTSdzcJUtKsjKZjaQvR/GkgZ/IUZk6+VUDh6lECgbwqDwYlCgqDUP9EbFMu3UE2WmI1my3B53VeKNOSYmtvqJA==" saltValue="RTP9RH2MMuW4rfUFFUcEn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71KBPF/h4oYPISAFE/1oFku8ulpKb51xwnIUNiQQDIXaGYimyXa1WlKotl7/KbMoB8fQfX3ZpwIW7fS2Gk3xQ==" saltValue="OArZpCgdFMbqQLwMiv/9E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2cxEiGpbjAU+Vzc0LR9nqEFIqL/Z01WPeJu+a8rqtOuO8gDXIACoV39TNEE5B3JkEc3rH7uo44s/kBUF5bl7sg==" saltValue="hiJjBNxMmr+tezHfyLHno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jHU6j9VJpsLzLjM4q3K2KxqspYd/Ac5LgMKSbLal1GSe/XADXqZ4B31PR83z9XF5oJMiuYKvLxTHmYHiF91JA==" saltValue="l30Vv0c0YDdJncarb0QN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ijhNiq3ykC+A+RWm+RJPtMJeJU21NJPU2fEUPU0wGghB5OD1YmL8wzHHl+dsGa8r9MQ+KiuM4hDFtSXcgFk2qQ==" saltValue="apNvpgp6+FGurV25vBVz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144.3361538195548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16.029464016122279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1.1116611428744601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0.25</v>
      </c>
      <c r="C9" s="98">
        <v>0.95</v>
      </c>
      <c r="D9" s="56">
        <v>0.21140459373206369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13.078992124843991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13.078992124843991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13.078992124843991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13.078992124843991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13.078992124843991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13.078992124843991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5.5080133892626542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0.45184999999999997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0.2296231</v>
      </c>
      <c r="C18" s="98">
        <v>0.95</v>
      </c>
      <c r="D18" s="56">
        <v>16.029464016122279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0.2296231</v>
      </c>
      <c r="C19" s="98">
        <v>0.95</v>
      </c>
      <c r="D19" s="56">
        <v>16.029464016122279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16.46619599914094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22.60519511135972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4.3210955878812296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0.67891314657797597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7.6264796156856711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30.36727751762248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0.25434099999999998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0.44582569999999999</v>
      </c>
      <c r="C29" s="98">
        <v>0.95</v>
      </c>
      <c r="D29" s="56">
        <v>193.6128732031849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398.07273654067848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1.4358697255793671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0.97391609999999995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0.1581882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7.8589800000000001E-2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0.83547650000000007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7.35566E-2</v>
      </c>
      <c r="C38" s="98">
        <v>0.95</v>
      </c>
      <c r="D38" s="56">
        <v>5.3874863984233787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7.541139000710408</v>
      </c>
      <c r="E39" s="56" t="s">
        <v>183</v>
      </c>
      <c r="F39" s="98">
        <v>1</v>
      </c>
      <c r="G39" s="98">
        <v>1</v>
      </c>
    </row>
  </sheetData>
  <sheetProtection algorithmName="SHA-512" hashValue="Dglr1NLpBCnF/zhJSGNXr3i17TV6/Vm6oayA3P37GNdo8zGJQ/jIeDAm1atfOZRjT9i8b5DTZpfYTSpe0/yl2w==" saltValue="mot0WZW81cpqBl7EglsX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8+2tQjqChLdiSrGapmDfJBo7Gh0zG88hDyA7YDfKbRxfvv+xUdDXjg4aqBDSoiw9n5Fc0ecJSm5f1kQLbIQYqg==" saltValue="leaLEkOGMirWIs8NMjhx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DN5h5j0KnOzRsVz2p9/kvpOHSjHEghTpmYk/qkI7YftHQRJ/Hnwtzc8HF1+qVolLsyn0iYQx0ah4tZ26n2IJWA==" saltValue="3TBLf8op6hdern2Qojoq8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207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5oPFMEHdiOGgPYj87A/ssNOG8LqlmU4thj/wiqHfEbecBLs9zCyIXBi50mQQJnWJn9CX1p9/qITGCw0IqLo1aA==" saltValue="OHof/LiBb8Iym8WdRegH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2.5000000000000001E-2</v>
      </c>
      <c r="E2" s="60">
        <f>food_insecure</f>
        <v>2.5000000000000001E-2</v>
      </c>
      <c r="F2" s="60">
        <f>food_insecure</f>
        <v>2.5000000000000001E-2</v>
      </c>
      <c r="G2" s="60">
        <f>food_insecure</f>
        <v>2.5000000000000001E-2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2.5000000000000001E-2</v>
      </c>
      <c r="I15" s="60">
        <f>food_insecure</f>
        <v>2.5000000000000001E-2</v>
      </c>
      <c r="J15" s="60">
        <f>food_insecure</f>
        <v>2.5000000000000001E-2</v>
      </c>
      <c r="K15" s="60">
        <f>food_insecure</f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0.40699999999999997</v>
      </c>
      <c r="M24" s="60">
        <f>famplan_unmet_need</f>
        <v>0.40699999999999997</v>
      </c>
      <c r="N24" s="60">
        <f>famplan_unmet_need</f>
        <v>0.40699999999999997</v>
      </c>
      <c r="O24" s="60">
        <f>famplan_unmet_need</f>
        <v>0.40699999999999997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8GGUBc0O7rZReXBUSDgIOdfiAOS372rUoAa0M8/W9036cSogjO78n/A/gjbRYGm2kXudKTHh3MLerfRcYs/GQ==" saltValue="unIvtxaDyicGOT+ev+sW3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ozLuDhumbuAhzD/ubLrDWbE+JST7kQdoaimo2LonvJ6WR1MLYgsjSsBibLJFdOgvO02jexEPeeNSRwt2DmWFQ==" saltValue="RG4wUJLye19mtZslPOK/6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Lj4ubJXqlLDyts+FEpaOLJZkthcSS/EnF/EE4M0ZAvAmMqCJoYAyLfTSVCCl8cOSstqjFaSCotO+XjjSut23w==" saltValue="FLZVYONyO5SNX0UIeZBQ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yBNwIQ3nNYHUn21abaw44lGyrrqaRQ5eC1Z9MHOM0+MNXKnpadtt5ovJygHro9IP26Art5HdXzi/7dcRsIRog==" saltValue="Kyu5qzaygM7ZHMvealXc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58lPQXoWFZzRjKv7FDnlVtdhsO3II3sjbUg/TCbiV34Omc8tBO9DnSNuTea/qUgc17jknfcgJJeZ11g+i5G2g==" saltValue="kJbWOsV4wPwnyUzWTQx77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lL5DZoLDyvbgGlbvRetS5PjDD2yGQLUCpyhQs3/+VrJgywadLhEKT4Y9j2kRgl39okRzguzOldkOwCRm40eyg==" saltValue="nrdOJDX89pMU77Tu1Yc7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lmCfXF7cnGj9RIeY1ais3kSg47dYbFGpmwu0WYaTAZnP/zmG8d6ZRQoGl7O5BFyXqJf1qLIx2GF0YzmE/0ybg==" saltValue="/JXomgoD9WMv9NP47sJia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8UzjlRpfGVqJttPGw2FU1KX5wWE2HpIW4tAmrayiDoe3W/OK5A1TSVTONYBkx8YC0nd4QEyQw0UBo9ajYkmJA==" saltValue="I2keUGvWkcW9BEVSyyM3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P+KTWMCuj0PRerSwLYHApyqmhHl8bbJ5kx+QxiyHVrfMNJ8vy0Lch8jzU+fI7qrNW0whEy6fjR9t1vx40blKw==" saltValue="dO2Hjtnmyr7Uf65H9OAi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pskAgJMpvP4LOCNyPkqAlyO1N2WO7udM703SD8sGP4leOOBo43byD++6DUtYCSOih5JJ04a3UqsbdSv08TzLQ==" saltValue="c3syQ1MLXsN8dbWe8D1U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ZxDR8pC/QuNO/afO/5IekuooB0yLUrhiUl0kLMSFXCedR1mSZGRQ0mjMGlSzNzmHLXevry4trA6A0xmfdh59w==" saltValue="w4/R+eODJsoBqV+Q+9wN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pxSiMXNcWR/zEYKHg7X6e2lUON2sbSaPTh6ei3e7Hn6uBDcdk2e6iFp4NRYRqR/tt9wSAMBqe80MpX83sZL5g==" saltValue="tvg6/n/e1OQSwD8XFuu6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LWzWxFD8c3br9tC5FoK7qCo0UxjT6gXJ7UilFH7TJiOn+fdB4E8jZz8xsPAmDw2EMCIt5mx20uIPnDvHqAHZQ==" saltValue="r2tiLDE2BOHKjXfpzN6f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0.10881454778502009</v>
      </c>
      <c r="G18" s="90">
        <f>MIN(MAX(1-0.89/(1-frac_sam_12_23months+(frac_sam_12_23months*0.89)),0),1)</f>
        <v>0.10942061309652396</v>
      </c>
      <c r="H18" s="90">
        <f>MIN(MAX(1-0.89/(1-frac_sam_24_59months+(frac_sam_24_59months*0.89)),0),1)</f>
        <v>0.10954585502925274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0.10665891416573181</v>
      </c>
      <c r="G20" s="90">
        <f>MIN(MAX(1-0.89/(1-frac_mam_12_23months+(frac_mam_12_23months*0.89)),0),1)</f>
        <v>0.10813628934926367</v>
      </c>
      <c r="H20" s="90">
        <f>MIN(MAX(1-0.89/(1-frac_mam_24_59months+(frac_mam_24_59months*0.89)),0),1)</f>
        <v>0.10863335487696402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9.8802677911431491E-3</v>
      </c>
      <c r="G73" s="90">
        <f>MIN(MAX(1-0.99/(1-frac_sam_12_23months+(frac_sam_12_23months*0.99)),0),1)</f>
        <v>9.9414449668795424E-3</v>
      </c>
      <c r="H73" s="90">
        <f>MIN(MAX(1-0.99/(1-frac_sam_24_59months+(frac_sam_24_59months*0.99)),0),1)</f>
        <v>9.9540965216852184E-3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9.6632865077493912E-3</v>
      </c>
      <c r="G75" s="90">
        <f>MIN(MAX(1-0.99/(1-frac_mam_12_23months+(frac_mam_12_23months*0.99)),0),1)</f>
        <v>9.8118929751204176E-3</v>
      </c>
      <c r="H75" s="90">
        <f>MIN(MAX(1-0.99/(1-frac_mam_24_59months+(frac_mam_24_59months*0.99)),0),1)</f>
        <v>9.8619925842504674E-3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0.19806047718649455</v>
      </c>
      <c r="G128" s="90">
        <f>MIN(MAX(1-0.8/(1-frac_sam_12_23months+(frac_sam_12_23months*0.8)),0),1)</f>
        <v>0.19905259134820208</v>
      </c>
      <c r="H128" s="90">
        <f>MIN(MAX(1-0.8/(1-frac_sam_24_59months+(frac_sam_24_59months*0.8)),0),1)</f>
        <v>0.19925747145327855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0.19452277095201831</v>
      </c>
      <c r="G130" s="90">
        <f>MIN(MAX(1-0.8/(1-frac_mam_12_23months+(frac_mam_12_23months*0.8)),0),1)</f>
        <v>0.19694887148128337</v>
      </c>
      <c r="H130" s="90">
        <f>MIN(MAX(1-0.8/(1-frac_mam_24_59months+(frac_mam_24_59months*0.8)),0),1)</f>
        <v>0.19776365387207995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UZgoBQcAEQa9+SOoUlErbuCF2Np6LY4rHMbsgBKPvX9d0sylhbtjQ+L+mOnLIITnC4zVYVc2rPUJqRju9dLDg==" saltValue="XB/qnLBv6bDyvPXDtZwN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sEywDUigrMBUty/KCvkgtsrwQjH7CKDt202OaxeqdVxjO4p5zJH+E3qNnOc+XVD5iAT3l5nzAmwEScoOaXLTw==" saltValue="4ZnAbhU0dosF1Pa3lvzKq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2024-08-06T07:46:17Z</dcterms:modified>
</cp:coreProperties>
</file>