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A1E1D667-83CA-4959-B0A5-114ECD26CD10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<sst xmlns="http://schemas.openxmlformats.org/spreadsheetml/2006/main" count="2102" uniqueCount="341">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</sst>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5896681.375</v>
      </c>
    </row>
    <row r="8" spans="1:3" ht="15" customHeight="1" x14ac:dyDescent="0.25">
      <c r="B8" s="5" t="s">
        <v>44</v>
      </c>
      <c r="C8" s="44">
        <v>2.5000000000000001E-2</v>
      </c>
    </row>
    <row r="9" spans="1:3" ht="15" customHeight="1" x14ac:dyDescent="0.25">
      <c r="B9" s="5" t="s">
        <v>43</v>
      </c>
      <c r="C9" s="45">
        <v>1</v>
      </c>
    </row>
    <row r="10" spans="1:3" ht="15" customHeight="1" x14ac:dyDescent="0.25">
      <c r="B10" s="5" t="s">
        <v>56</v>
      </c>
      <c r="C10" s="45">
        <v>0.68451698300000008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0.40699999999999997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9.7699999999999995E-2</v>
      </c>
    </row>
    <row r="24" spans="1:3" ht="15" customHeight="1" x14ac:dyDescent="0.25">
      <c r="B24" s="15" t="s">
        <v>46</v>
      </c>
      <c r="C24" s="45">
        <v>0.48899999999999999</v>
      </c>
    </row>
    <row r="25" spans="1:3" ht="15" customHeight="1" x14ac:dyDescent="0.25">
      <c r="B25" s="15" t="s">
        <v>47</v>
      </c>
      <c r="C25" s="45">
        <v>0.35959999999999998</v>
      </c>
    </row>
    <row r="26" spans="1:3" ht="15" customHeight="1" x14ac:dyDescent="0.25">
      <c r="B26" s="15" t="s">
        <v>48</v>
      </c>
      <c r="C26" s="45">
        <v>5.3699999999999998E-2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0.34453989050682299</v>
      </c>
    </row>
    <row r="30" spans="1:3" ht="14.25" customHeight="1" x14ac:dyDescent="0.25">
      <c r="B30" s="25" t="s">
        <v>63</v>
      </c>
      <c r="C30" s="99">
        <v>4.9975046177627103E-2</v>
      </c>
    </row>
    <row r="31" spans="1:3" ht="14.25" customHeight="1" x14ac:dyDescent="0.25">
      <c r="B31" s="25" t="s">
        <v>10</v>
      </c>
      <c r="C31" s="99">
        <v>6.4980512501330898E-2</v>
      </c>
    </row>
    <row r="32" spans="1:3" ht="14.25" customHeight="1" x14ac:dyDescent="0.25">
      <c r="B32" s="25" t="s">
        <v>11</v>
      </c>
      <c r="C32" s="99">
        <v>0.540504550814219</v>
      </c>
    </row>
    <row r="33" spans="1:5" ht="13" customHeight="1" x14ac:dyDescent="0.25">
      <c r="B33" s="27" t="s">
        <v>60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14.07315</v>
      </c>
    </row>
    <row r="38" spans="1:5" ht="15" customHeight="1" x14ac:dyDescent="0.25">
      <c r="B38" s="11" t="s">
        <v>35</v>
      </c>
      <c r="C38" s="43">
        <v>20.749110000000002</v>
      </c>
      <c r="D38" s="12"/>
      <c r="E38" s="13"/>
    </row>
    <row r="39" spans="1:5" ht="15" customHeight="1" x14ac:dyDescent="0.25">
      <c r="B39" s="11" t="s">
        <v>61</v>
      </c>
      <c r="C39" s="43">
        <v>24.521650000000001</v>
      </c>
      <c r="D39" s="12"/>
      <c r="E39" s="12"/>
    </row>
    <row r="40" spans="1:5" ht="15" customHeight="1" x14ac:dyDescent="0.25">
      <c r="B40" s="11" t="s">
        <v>36</v>
      </c>
      <c r="C40" s="100">
        <v>0.76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11.679830000000001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7.5027000000000002E-3</v>
      </c>
      <c r="D45" s="12"/>
    </row>
    <row r="46" spans="1:5" ht="15.75" customHeight="1" x14ac:dyDescent="0.25">
      <c r="B46" s="11" t="s">
        <v>51</v>
      </c>
      <c r="C46" s="45">
        <v>8.0615500000000007E-2</v>
      </c>
      <c r="D46" s="12"/>
    </row>
    <row r="47" spans="1:5" ht="15.75" customHeight="1" x14ac:dyDescent="0.25">
      <c r="B47" s="11" t="s">
        <v>59</v>
      </c>
      <c r="C47" s="45">
        <v>7.3865899999999998E-2</v>
      </c>
      <c r="D47" s="12"/>
      <c r="E47" s="13"/>
    </row>
    <row r="48" spans="1:5" ht="15" customHeight="1" x14ac:dyDescent="0.25">
      <c r="B48" s="11" t="s">
        <v>58</v>
      </c>
      <c r="C48" s="46">
        <v>0.83801590000000004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2.9</v>
      </c>
      <c r="D51" s="12"/>
    </row>
    <row r="52" spans="1:4" ht="15" customHeight="1" x14ac:dyDescent="0.25">
      <c r="B52" s="11" t="s">
        <v>13</v>
      </c>
      <c r="C52" s="100">
        <v>2.9</v>
      </c>
    </row>
    <row r="53" spans="1:4" ht="15.75" customHeight="1" x14ac:dyDescent="0.25">
      <c r="B53" s="11" t="s">
        <v>16</v>
      </c>
      <c r="C53" s="100">
        <v>2.9</v>
      </c>
    </row>
    <row r="54" spans="1:4" ht="15.75" customHeight="1" x14ac:dyDescent="0.25">
      <c r="B54" s="11" t="s">
        <v>14</v>
      </c>
      <c r="C54" s="100">
        <v>2.9</v>
      </c>
    </row>
    <row r="55" spans="1:4" ht="15.75" customHeight="1" x14ac:dyDescent="0.25">
      <c r="B55" s="11" t="s">
        <v>15</v>
      </c>
      <c r="C55" s="100">
        <v>2.9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2.0689655172413789E-2</v>
      </c>
    </row>
    <row r="59" spans="1:4" ht="15.75" customHeight="1" x14ac:dyDescent="0.25">
      <c r="B59" s="11" t="s">
        <v>40</v>
      </c>
      <c r="C59" s="45">
        <v>0.57473999999999992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rtDKo55gusZtlQc9K3lHrwT0BAwBC1XkKdM3N2wXz9uv58Wmds0+pMBGgDOgWkelH8KKAxW2Y7hMutAwTU8Big==" saltValue="AgYZEBMztjGmGR2tk/eZG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1225578</v>
      </c>
      <c r="C2" s="49">
        <v>2853668</v>
      </c>
      <c r="D2" s="49">
        <v>4020944.5</v>
      </c>
      <c r="E2" s="49">
        <v>3076029</v>
      </c>
      <c r="F2" s="49">
        <v>2017523</v>
      </c>
      <c r="G2" s="17">
        <f t="shared" ref="G2:G13" si="0">C2+D2+E2+F2</f>
        <v>11968164.5</v>
      </c>
      <c r="H2" s="17">
        <f t="shared" ref="H2:H13" si="1">(B2 + stillbirth*B2/(1000-stillbirth))/(1-abortion)</f>
        <v>1409161.0340475726</v>
      </c>
      <c r="I2" s="17">
        <f t="shared" ref="I2:I13" si="2">G2-H2</f>
        <v>10559003.465952428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1240380</v>
      </c>
      <c r="C3" s="50">
        <v>2943360</v>
      </c>
      <c r="D3" s="50">
        <v>4100439.5</v>
      </c>
      <c r="E3" s="50">
        <v>3171546</v>
      </c>
      <c r="F3" s="50">
        <v>2067499.5</v>
      </c>
      <c r="G3" s="17">
        <f t="shared" si="0"/>
        <v>12282845</v>
      </c>
      <c r="H3" s="17">
        <f t="shared" si="1"/>
        <v>1426180.2703801212</v>
      </c>
      <c r="I3" s="17">
        <f t="shared" si="2"/>
        <v>10856664.729619879</v>
      </c>
    </row>
    <row r="4" spans="1:9" ht="15.75" customHeight="1" x14ac:dyDescent="0.25">
      <c r="A4" s="5">
        <f t="shared" si="3"/>
        <v>2026</v>
      </c>
      <c r="B4" s="49">
        <v>1252833</v>
      </c>
      <c r="C4" s="50">
        <v>3044395</v>
      </c>
      <c r="D4" s="50">
        <v>4181569</v>
      </c>
      <c r="E4" s="50">
        <v>3267616.5</v>
      </c>
      <c r="F4" s="50">
        <v>2120027.5</v>
      </c>
      <c r="G4" s="17">
        <f t="shared" si="0"/>
        <v>12613608</v>
      </c>
      <c r="H4" s="17">
        <f t="shared" si="1"/>
        <v>1440498.6429006741</v>
      </c>
      <c r="I4" s="17">
        <f t="shared" si="2"/>
        <v>11173109.357099326</v>
      </c>
    </row>
    <row r="5" spans="1:9" ht="15.75" customHeight="1" x14ac:dyDescent="0.25">
      <c r="A5" s="5">
        <f t="shared" si="3"/>
        <v>2027</v>
      </c>
      <c r="B5" s="49">
        <v>1263818</v>
      </c>
      <c r="C5" s="50">
        <v>3142151</v>
      </c>
      <c r="D5" s="50">
        <v>4263799.4999999991</v>
      </c>
      <c r="E5" s="50">
        <v>3366517</v>
      </c>
      <c r="F5" s="50">
        <v>2173698</v>
      </c>
      <c r="G5" s="17">
        <f t="shared" si="0"/>
        <v>12946165.5</v>
      </c>
      <c r="H5" s="17">
        <f t="shared" si="1"/>
        <v>1453129.1192628581</v>
      </c>
      <c r="I5" s="17">
        <f t="shared" si="2"/>
        <v>11493036.380737143</v>
      </c>
    </row>
    <row r="6" spans="1:9" ht="15.75" customHeight="1" x14ac:dyDescent="0.25">
      <c r="A6" s="5">
        <f t="shared" si="3"/>
        <v>2028</v>
      </c>
      <c r="B6" s="49">
        <v>1281195</v>
      </c>
      <c r="C6" s="50">
        <v>3232911.5</v>
      </c>
      <c r="D6" s="50">
        <v>4346687</v>
      </c>
      <c r="E6" s="50">
        <v>3467365.5</v>
      </c>
      <c r="F6" s="50">
        <v>2228752.5</v>
      </c>
      <c r="G6" s="17">
        <f t="shared" si="0"/>
        <v>13275716.5</v>
      </c>
      <c r="H6" s="17">
        <f t="shared" si="1"/>
        <v>1473109.0726306932</v>
      </c>
      <c r="I6" s="17">
        <f t="shared" si="2"/>
        <v>11802607.427369308</v>
      </c>
    </row>
    <row r="7" spans="1:9" ht="15.75" customHeight="1" x14ac:dyDescent="0.25">
      <c r="A7" s="5">
        <f t="shared" si="3"/>
        <v>2029</v>
      </c>
      <c r="B7" s="49">
        <v>1298371</v>
      </c>
      <c r="C7" s="50">
        <v>3305907.5</v>
      </c>
      <c r="D7" s="50">
        <v>4435266.5</v>
      </c>
      <c r="E7" s="50">
        <v>3565914</v>
      </c>
      <c r="F7" s="50">
        <v>2286962</v>
      </c>
      <c r="G7" s="17">
        <f t="shared" si="0"/>
        <v>13594050</v>
      </c>
      <c r="H7" s="17">
        <f t="shared" si="1"/>
        <v>1492857.9176008224</v>
      </c>
      <c r="I7" s="17">
        <f t="shared" si="2"/>
        <v>12101192.082399178</v>
      </c>
    </row>
    <row r="8" spans="1:9" ht="15.75" customHeight="1" x14ac:dyDescent="0.25">
      <c r="A8" s="5">
        <f t="shared" si="3"/>
        <v>2030</v>
      </c>
      <c r="B8" s="49">
        <v>1315984</v>
      </c>
      <c r="C8" s="50">
        <v>3347958.5</v>
      </c>
      <c r="D8" s="50">
        <v>4536124.5</v>
      </c>
      <c r="E8" s="50">
        <v>3659798</v>
      </c>
      <c r="F8" s="50">
        <v>2350862.5</v>
      </c>
      <c r="G8" s="17">
        <f t="shared" si="0"/>
        <v>13894743.5</v>
      </c>
      <c r="H8" s="17">
        <f t="shared" si="1"/>
        <v>1513109.2221221831</v>
      </c>
      <c r="I8" s="17">
        <f t="shared" si="2"/>
        <v>12381634.277877817</v>
      </c>
    </row>
    <row r="9" spans="1:9" ht="15.75" customHeight="1" x14ac:dyDescent="0.25">
      <c r="A9" s="5">
        <f t="shared" si="3"/>
        <v>2031</v>
      </c>
      <c r="B9" s="49">
        <v>1329073</v>
      </c>
      <c r="C9" s="50">
        <v>3353973</v>
      </c>
      <c r="D9" s="50">
        <v>4656659</v>
      </c>
      <c r="E9" s="50">
        <v>3746743.5</v>
      </c>
      <c r="F9" s="50">
        <v>2421551.5</v>
      </c>
      <c r="G9" s="17">
        <f t="shared" si="0"/>
        <v>14178927</v>
      </c>
      <c r="H9" s="17">
        <f t="shared" si="1"/>
        <v>1528158.8630056262</v>
      </c>
      <c r="I9" s="17">
        <f t="shared" si="2"/>
        <v>12650768.136994373</v>
      </c>
    </row>
    <row r="10" spans="1:9" ht="15.75" customHeight="1" x14ac:dyDescent="0.25">
      <c r="A10" s="5">
        <f t="shared" si="3"/>
        <v>2032</v>
      </c>
      <c r="B10" s="49">
        <v>1347387</v>
      </c>
      <c r="C10" s="50">
        <v>3338457.5</v>
      </c>
      <c r="D10" s="50">
        <v>4791280</v>
      </c>
      <c r="E10" s="50">
        <v>3826860</v>
      </c>
      <c r="F10" s="50">
        <v>2499238</v>
      </c>
      <c r="G10" s="17">
        <f t="shared" si="0"/>
        <v>14455835.5</v>
      </c>
      <c r="H10" s="17">
        <f t="shared" si="1"/>
        <v>1549216.1724363989</v>
      </c>
      <c r="I10" s="17">
        <f t="shared" si="2"/>
        <v>12906619.327563601</v>
      </c>
    </row>
    <row r="11" spans="1:9" ht="15.75" customHeight="1" x14ac:dyDescent="0.25">
      <c r="A11" s="5">
        <f t="shared" si="3"/>
        <v>2033</v>
      </c>
      <c r="B11" s="49">
        <v>1358931</v>
      </c>
      <c r="C11" s="50">
        <v>3321773</v>
      </c>
      <c r="D11" s="50">
        <v>4926317.5</v>
      </c>
      <c r="E11" s="50">
        <v>3902664.5</v>
      </c>
      <c r="F11" s="50">
        <v>2582149</v>
      </c>
      <c r="G11" s="17">
        <f t="shared" si="0"/>
        <v>14732904</v>
      </c>
      <c r="H11" s="17">
        <f t="shared" si="1"/>
        <v>1562489.38309867</v>
      </c>
      <c r="I11" s="17">
        <f t="shared" si="2"/>
        <v>13170414.616901331</v>
      </c>
    </row>
    <row r="12" spans="1:9" ht="15.75" customHeight="1" x14ac:dyDescent="0.25">
      <c r="A12" s="5">
        <f t="shared" si="3"/>
        <v>2034</v>
      </c>
      <c r="B12" s="49">
        <v>1372440</v>
      </c>
      <c r="C12" s="50">
        <v>3307870.5</v>
      </c>
      <c r="D12" s="50">
        <v>5054703.5</v>
      </c>
      <c r="E12" s="50">
        <v>3979642</v>
      </c>
      <c r="F12" s="50">
        <v>2667728.5</v>
      </c>
      <c r="G12" s="17">
        <f t="shared" si="0"/>
        <v>15009944.5</v>
      </c>
      <c r="H12" s="17">
        <f t="shared" si="1"/>
        <v>1578021.9370519465</v>
      </c>
      <c r="I12" s="17">
        <f t="shared" si="2"/>
        <v>13431922.562948054</v>
      </c>
    </row>
    <row r="13" spans="1:9" ht="15.75" customHeight="1" x14ac:dyDescent="0.25">
      <c r="A13" s="5">
        <f t="shared" si="3"/>
        <v>2035</v>
      </c>
      <c r="B13" s="49">
        <v>1384256</v>
      </c>
      <c r="C13" s="50">
        <v>3303294</v>
      </c>
      <c r="D13" s="50">
        <v>5170587</v>
      </c>
      <c r="E13" s="50">
        <v>4058892</v>
      </c>
      <c r="F13" s="50">
        <v>2755396.5</v>
      </c>
      <c r="G13" s="17">
        <f t="shared" si="0"/>
        <v>15288169.5</v>
      </c>
      <c r="H13" s="17">
        <f t="shared" si="1"/>
        <v>1591607.891416586</v>
      </c>
      <c r="I13" s="17">
        <f t="shared" si="2"/>
        <v>13696561.608583413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bHmuPvgvmyUXAyEdD8ZarYeBDIrW3LaYMygOfxtg9LBjReybPxUKuShj3fKBMSbgehYV0Amb61hEg14Qia7GTw==" saltValue="bG9u72LTl3Rlqwx/oGNGU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8.5402008540200851E-3</v>
      </c>
    </row>
    <row r="4" spans="1:8" ht="15.75" customHeight="1" x14ac:dyDescent="0.25">
      <c r="B4" s="19" t="s">
        <v>97</v>
      </c>
      <c r="C4" s="101">
        <v>3.9174803917480412E-2</v>
      </c>
    </row>
    <row r="5" spans="1:8" ht="15.75" customHeight="1" x14ac:dyDescent="0.25">
      <c r="B5" s="19" t="s">
        <v>95</v>
      </c>
      <c r="C5" s="101">
        <v>4.0943404094340358E-2</v>
      </c>
    </row>
    <row r="6" spans="1:8" ht="15.75" customHeight="1" x14ac:dyDescent="0.25">
      <c r="B6" s="19" t="s">
        <v>91</v>
      </c>
      <c r="C6" s="101">
        <v>0.1985424198542417</v>
      </c>
    </row>
    <row r="7" spans="1:8" ht="15.75" customHeight="1" x14ac:dyDescent="0.25">
      <c r="B7" s="19" t="s">
        <v>96</v>
      </c>
      <c r="C7" s="101">
        <v>0.46786794678679522</v>
      </c>
    </row>
    <row r="8" spans="1:8" ht="15.75" customHeight="1" x14ac:dyDescent="0.25">
      <c r="B8" s="19" t="s">
        <v>98</v>
      </c>
      <c r="C8" s="101">
        <v>1.280800128080012E-3</v>
      </c>
    </row>
    <row r="9" spans="1:8" ht="15.75" customHeight="1" x14ac:dyDescent="0.25">
      <c r="B9" s="19" t="s">
        <v>92</v>
      </c>
      <c r="C9" s="101">
        <v>0.1650498165049816</v>
      </c>
    </row>
    <row r="10" spans="1:8" ht="15.75" customHeight="1" x14ac:dyDescent="0.25">
      <c r="B10" s="19" t="s">
        <v>94</v>
      </c>
      <c r="C10" s="101">
        <v>7.8600607860060706E-2</v>
      </c>
    </row>
    <row r="11" spans="1:8" ht="15.75" customHeight="1" x14ac:dyDescent="0.25">
      <c r="B11" s="27" t="s">
        <v>60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8.5069069706236899E-2</v>
      </c>
      <c r="D14" s="55">
        <v>8.5069069706236899E-2</v>
      </c>
      <c r="E14" s="55">
        <v>8.5069069706236899E-2</v>
      </c>
      <c r="F14" s="55">
        <v>8.5069069706236899E-2</v>
      </c>
    </row>
    <row r="15" spans="1:8" ht="15.75" customHeight="1" x14ac:dyDescent="0.25">
      <c r="B15" s="19" t="s">
        <v>102</v>
      </c>
      <c r="C15" s="101">
        <v>0.51331124517246551</v>
      </c>
      <c r="D15" s="101">
        <v>0.51331124517246551</v>
      </c>
      <c r="E15" s="101">
        <v>0.51331124517246551</v>
      </c>
      <c r="F15" s="101">
        <v>0.51331124517246551</v>
      </c>
    </row>
    <row r="16" spans="1:8" ht="15.75" customHeight="1" x14ac:dyDescent="0.25">
      <c r="B16" s="19" t="s">
        <v>2</v>
      </c>
      <c r="C16" s="101">
        <v>1.204797646468374E-2</v>
      </c>
      <c r="D16" s="101">
        <v>1.204797646468374E-2</v>
      </c>
      <c r="E16" s="101">
        <v>1.204797646468374E-2</v>
      </c>
      <c r="F16" s="101">
        <v>1.204797646468374E-2</v>
      </c>
    </row>
    <row r="17" spans="1:8" ht="15.75" customHeight="1" x14ac:dyDescent="0.25">
      <c r="B17" s="19" t="s">
        <v>90</v>
      </c>
      <c r="C17" s="101">
        <v>8.7439330663440316E-3</v>
      </c>
      <c r="D17" s="101">
        <v>8.7439330663440316E-3</v>
      </c>
      <c r="E17" s="101">
        <v>8.7439330663440316E-3</v>
      </c>
      <c r="F17" s="101">
        <v>8.7439330663440316E-3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101</v>
      </c>
      <c r="C19" s="101">
        <v>2.3634672156064261E-2</v>
      </c>
      <c r="D19" s="101">
        <v>2.3634672156064261E-2</v>
      </c>
      <c r="E19" s="101">
        <v>2.3634672156064261E-2</v>
      </c>
      <c r="F19" s="101">
        <v>2.3634672156064261E-2</v>
      </c>
    </row>
    <row r="20" spans="1:8" ht="15.75" customHeight="1" x14ac:dyDescent="0.25">
      <c r="B20" s="19" t="s">
        <v>79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88</v>
      </c>
      <c r="C21" s="101">
        <v>0.222793513098864</v>
      </c>
      <c r="D21" s="101">
        <v>0.222793513098864</v>
      </c>
      <c r="E21" s="101">
        <v>0.222793513098864</v>
      </c>
      <c r="F21" s="101">
        <v>0.222793513098864</v>
      </c>
    </row>
    <row r="22" spans="1:8" ht="15.75" customHeight="1" x14ac:dyDescent="0.25">
      <c r="B22" s="19" t="s">
        <v>99</v>
      </c>
      <c r="C22" s="101">
        <v>0.13439959033534171</v>
      </c>
      <c r="D22" s="101">
        <v>0.13439959033534171</v>
      </c>
      <c r="E22" s="101">
        <v>0.13439959033534171</v>
      </c>
      <c r="F22" s="101">
        <v>0.13439959033534171</v>
      </c>
    </row>
    <row r="23" spans="1:8" ht="15.75" customHeight="1" x14ac:dyDescent="0.25">
      <c r="B23" s="27" t="s">
        <v>60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7.1492997000000003E-2</v>
      </c>
    </row>
    <row r="27" spans="1:8" ht="15.75" customHeight="1" x14ac:dyDescent="0.25">
      <c r="B27" s="19" t="s">
        <v>89</v>
      </c>
      <c r="C27" s="101">
        <v>2.4622926999999999E-2</v>
      </c>
    </row>
    <row r="28" spans="1:8" ht="15.75" customHeight="1" x14ac:dyDescent="0.25">
      <c r="B28" s="19" t="s">
        <v>103</v>
      </c>
      <c r="C28" s="101">
        <v>0.300465973</v>
      </c>
    </row>
    <row r="29" spans="1:8" ht="15.75" customHeight="1" x14ac:dyDescent="0.25">
      <c r="B29" s="19" t="s">
        <v>86</v>
      </c>
      <c r="C29" s="101">
        <v>0.10581837400000001</v>
      </c>
    </row>
    <row r="30" spans="1:8" ht="15.75" customHeight="1" x14ac:dyDescent="0.25">
      <c r="B30" s="19" t="s">
        <v>4</v>
      </c>
      <c r="C30" s="101">
        <v>3.6280391000000002E-2</v>
      </c>
    </row>
    <row r="31" spans="1:8" ht="15.75" customHeight="1" x14ac:dyDescent="0.25">
      <c r="B31" s="19" t="s">
        <v>80</v>
      </c>
      <c r="C31" s="101">
        <v>4.1639915E-2</v>
      </c>
    </row>
    <row r="32" spans="1:8" ht="15.75" customHeight="1" x14ac:dyDescent="0.25">
      <c r="B32" s="19" t="s">
        <v>85</v>
      </c>
      <c r="C32" s="101">
        <v>9.9941725999999995E-2</v>
      </c>
    </row>
    <row r="33" spans="2:3" ht="15.75" customHeight="1" x14ac:dyDescent="0.25">
      <c r="B33" s="19" t="s">
        <v>100</v>
      </c>
      <c r="C33" s="101">
        <v>9.6583884999999994E-2</v>
      </c>
    </row>
    <row r="34" spans="2:3" ht="15.75" customHeight="1" x14ac:dyDescent="0.25">
      <c r="B34" s="19" t="s">
        <v>87</v>
      </c>
      <c r="C34" s="101">
        <v>0.22315381200000001</v>
      </c>
    </row>
    <row r="35" spans="2:3" ht="15.75" customHeight="1" x14ac:dyDescent="0.25">
      <c r="B35" s="27" t="s">
        <v>60</v>
      </c>
      <c r="C35" s="48">
        <f>SUM(C26:C34)</f>
        <v>1</v>
      </c>
    </row>
  </sheetData>
  <sheetProtection algorithmName="SHA-512" hashValue="ZHHGqCNDNW0SRQWa8BfVIlAaJXd2WN/+h9KwkOUe3nXa0NhpmR4uXkTcp1tPoAiPZTU8OoxtFJpa2pZb7Ehwsg==" saltValue="GGXjW2dsPMFN9nuDx11sP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0.56317057409589366</v>
      </c>
      <c r="D2" s="52">
        <f>IFERROR(1-_xlfn.NORM.DIST(_xlfn.NORM.INV(SUM(D4:D5), 0, 1) + 1, 0, 1, TRUE), "")</f>
        <v>0.56317057409589366</v>
      </c>
      <c r="E2" s="52">
        <f>IFERROR(1-_xlfn.NORM.DIST(_xlfn.NORM.INV(SUM(E4:E5), 0, 1) + 1, 0, 1, TRUE), "")</f>
        <v>0.62668537632574395</v>
      </c>
      <c r="F2" s="52">
        <f>IFERROR(1-_xlfn.NORM.DIST(_xlfn.NORM.INV(SUM(F4:F5), 0, 1) + 1, 0, 1, TRUE), "")</f>
        <v>0.52192443162125235</v>
      </c>
      <c r="G2" s="52">
        <f>IFERROR(1-_xlfn.NORM.DIST(_xlfn.NORM.INV(SUM(G4:G5), 0, 1) + 1, 0, 1, TRUE), "")</f>
        <v>0.56622630441502286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0.31360392590410641</v>
      </c>
      <c r="D3" s="52">
        <f>IFERROR(_xlfn.NORM.DIST(_xlfn.NORM.INV(SUM(D4:D5), 0, 1) + 1, 0, 1, TRUE) - SUM(D4:D5), "")</f>
        <v>0.31360392590410641</v>
      </c>
      <c r="E3" s="52">
        <f>IFERROR(_xlfn.NORM.DIST(_xlfn.NORM.INV(SUM(E4:E5), 0, 1) + 1, 0, 1, TRUE) - SUM(E4:E5), "")</f>
        <v>0.28041142367425603</v>
      </c>
      <c r="F3" s="52">
        <f>IFERROR(_xlfn.NORM.DIST(_xlfn.NORM.INV(SUM(F4:F5), 0, 1) + 1, 0, 1, TRUE) - SUM(F4:F5), "")</f>
        <v>0.33235926837874774</v>
      </c>
      <c r="G3" s="52">
        <f>IFERROR(_xlfn.NORM.DIST(_xlfn.NORM.INV(SUM(G4:G5), 0, 1) + 1, 0, 1, TRUE) - SUM(G4:G5), "")</f>
        <v>0.31212299558497719</v>
      </c>
    </row>
    <row r="4" spans="1:15" ht="15.75" customHeight="1" x14ac:dyDescent="0.25">
      <c r="B4" s="5" t="s">
        <v>110</v>
      </c>
      <c r="C4" s="45">
        <v>7.3705199999999998E-2</v>
      </c>
      <c r="D4" s="53">
        <v>7.3705199999999998E-2</v>
      </c>
      <c r="E4" s="53">
        <v>4.3158500000000002E-2</v>
      </c>
      <c r="F4" s="53">
        <v>9.2870799999999989E-2</v>
      </c>
      <c r="G4" s="53">
        <v>8.613670000000001E-2</v>
      </c>
    </row>
    <row r="5" spans="1:15" ht="15.75" customHeight="1" x14ac:dyDescent="0.25">
      <c r="B5" s="5" t="s">
        <v>106</v>
      </c>
      <c r="C5" s="45">
        <v>4.9520300000000003E-2</v>
      </c>
      <c r="D5" s="53">
        <v>4.9520300000000003E-2</v>
      </c>
      <c r="E5" s="53">
        <v>4.9744700000000003E-2</v>
      </c>
      <c r="F5" s="53">
        <v>5.2845499999999997E-2</v>
      </c>
      <c r="G5" s="53">
        <v>3.5513999999999997E-2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0.59699149608488467</v>
      </c>
      <c r="D8" s="52">
        <f>IFERROR(1-_xlfn.NORM.DIST(_xlfn.NORM.INV(SUM(D10:D11), 0, 1) + 1, 0, 1, TRUE), "")</f>
        <v>0.59699149608488467</v>
      </c>
      <c r="E8" s="52">
        <f>IFERROR(1-_xlfn.NORM.DIST(_xlfn.NORM.INV(SUM(E10:E11), 0, 1) + 1, 0, 1, TRUE), "")</f>
        <v>0.75300664809991891</v>
      </c>
      <c r="F8" s="52">
        <f>IFERROR(1-_xlfn.NORM.DIST(_xlfn.NORM.INV(SUM(F10:F11), 0, 1) + 1, 0, 1, TRUE), "")</f>
        <v>0.83184511316120591</v>
      </c>
      <c r="G8" s="52">
        <f>IFERROR(1-_xlfn.NORM.DIST(_xlfn.NORM.INV(SUM(G10:G11), 0, 1) + 1, 0, 1, TRUE), "")</f>
        <v>0.86084384418868432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0.29654690391511529</v>
      </c>
      <c r="D9" s="52">
        <f>IFERROR(_xlfn.NORM.DIST(_xlfn.NORM.INV(SUM(D10:D11), 0, 1) + 1, 0, 1, TRUE) - SUM(D10:D11), "")</f>
        <v>0.29654690391511529</v>
      </c>
      <c r="E9" s="52">
        <f>IFERROR(_xlfn.NORM.DIST(_xlfn.NORM.INV(SUM(E10:E11), 0, 1) + 1, 0, 1, TRUE) - SUM(E10:E11), "")</f>
        <v>0.20090075190008111</v>
      </c>
      <c r="F9" s="52">
        <f>IFERROR(_xlfn.NORM.DIST(_xlfn.NORM.INV(SUM(F10:F11), 0, 1) + 1, 0, 1, TRUE) - SUM(F10:F11), "")</f>
        <v>0.14324348683879404</v>
      </c>
      <c r="G9" s="52">
        <f>IFERROR(_xlfn.NORM.DIST(_xlfn.NORM.INV(SUM(G10:G11), 0, 1) + 1, 0, 1, TRUE) - SUM(G10:G11), "")</f>
        <v>0.12058145581131569</v>
      </c>
    </row>
    <row r="10" spans="1:15" ht="15.75" customHeight="1" x14ac:dyDescent="0.25">
      <c r="B10" s="5" t="s">
        <v>107</v>
      </c>
      <c r="C10" s="45">
        <v>6.7019900000000007E-2</v>
      </c>
      <c r="D10" s="53">
        <v>6.7019900000000007E-2</v>
      </c>
      <c r="E10" s="53">
        <v>3.39999E-2</v>
      </c>
      <c r="F10" s="53">
        <v>1.8997099999999999E-2</v>
      </c>
      <c r="G10" s="53">
        <v>1.39382E-2</v>
      </c>
    </row>
    <row r="11" spans="1:15" ht="15.75" customHeight="1" x14ac:dyDescent="0.25">
      <c r="B11" s="5" t="s">
        <v>119</v>
      </c>
      <c r="C11" s="45">
        <v>3.9441700000000003E-2</v>
      </c>
      <c r="D11" s="53">
        <v>3.9441700000000003E-2</v>
      </c>
      <c r="E11" s="53">
        <v>1.20927E-2</v>
      </c>
      <c r="F11" s="53">
        <v>5.9142999999999999E-3</v>
      </c>
      <c r="G11" s="53">
        <v>4.6365E-3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0.54937793849999994</v>
      </c>
      <c r="D14" s="54">
        <v>0.54968166127100004</v>
      </c>
      <c r="E14" s="54">
        <v>0.54968166127100004</v>
      </c>
      <c r="F14" s="54">
        <v>0.41497549182100002</v>
      </c>
      <c r="G14" s="54">
        <v>0.41497549182100002</v>
      </c>
      <c r="H14" s="45">
        <v>0.33500000000000002</v>
      </c>
      <c r="I14" s="55">
        <v>0.33500000000000002</v>
      </c>
      <c r="J14" s="55">
        <v>0.33500000000000002</v>
      </c>
      <c r="K14" s="55">
        <v>0.33500000000000002</v>
      </c>
      <c r="L14" s="45">
        <v>0.28699999999999998</v>
      </c>
      <c r="M14" s="55">
        <v>0.28699999999999998</v>
      </c>
      <c r="N14" s="55">
        <v>0.28699999999999998</v>
      </c>
      <c r="O14" s="55">
        <v>0.28699999999999998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0.31574947637348993</v>
      </c>
      <c r="D15" s="52">
        <f t="shared" si="0"/>
        <v>0.31592403799889451</v>
      </c>
      <c r="E15" s="52">
        <f t="shared" si="0"/>
        <v>0.31592403799889451</v>
      </c>
      <c r="F15" s="52">
        <f t="shared" si="0"/>
        <v>0.23850301416920153</v>
      </c>
      <c r="G15" s="52">
        <f t="shared" si="0"/>
        <v>0.23850301416920153</v>
      </c>
      <c r="H15" s="52">
        <f t="shared" si="0"/>
        <v>0.19253789999999998</v>
      </c>
      <c r="I15" s="52">
        <f t="shared" si="0"/>
        <v>0.19253789999999998</v>
      </c>
      <c r="J15" s="52">
        <f t="shared" si="0"/>
        <v>0.19253789999999998</v>
      </c>
      <c r="K15" s="52">
        <f t="shared" si="0"/>
        <v>0.19253789999999998</v>
      </c>
      <c r="L15" s="52">
        <f t="shared" si="0"/>
        <v>0.16495037999999995</v>
      </c>
      <c r="M15" s="52">
        <f t="shared" si="0"/>
        <v>0.16495037999999995</v>
      </c>
      <c r="N15" s="52">
        <f t="shared" si="0"/>
        <v>0.16495037999999995</v>
      </c>
      <c r="O15" s="52">
        <f t="shared" si="0"/>
        <v>0.16495037999999995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LOeGJMhZkH2aoEaDZC7iESPoCG/o+FcG6+w7eyiFBeMx89zECPJq9No1q84hVZzmJMNAJoAX31MrxiMq0qtLvw==" saltValue="/YbYUR6I2X21dz44zyPK9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0.4494938</v>
      </c>
      <c r="D2" s="53">
        <v>0.2296231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0.18113000000000001</v>
      </c>
      <c r="D3" s="53">
        <v>0.16158719999999999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0.27054450000000002</v>
      </c>
      <c r="D4" s="53">
        <v>0.34594730000000001</v>
      </c>
      <c r="E4" s="53">
        <v>0.60375319999999999</v>
      </c>
      <c r="F4" s="53">
        <v>0.35332019999999997</v>
      </c>
      <c r="G4" s="53">
        <v>0</v>
      </c>
    </row>
    <row r="5" spans="1:7" x14ac:dyDescent="0.25">
      <c r="B5" s="3" t="s">
        <v>125</v>
      </c>
      <c r="C5" s="52">
        <v>9.8831699999999995E-2</v>
      </c>
      <c r="D5" s="52">
        <v>0.26284239999999998</v>
      </c>
      <c r="E5" s="52">
        <f>1-SUM(E2:E4)</f>
        <v>0.39624680000000001</v>
      </c>
      <c r="F5" s="52">
        <f>1-SUM(F2:F4)</f>
        <v>0.64667980000000003</v>
      </c>
      <c r="G5" s="52">
        <f>1-SUM(G2:G4)</f>
        <v>1</v>
      </c>
    </row>
  </sheetData>
  <sheetProtection algorithmName="SHA-512" hashValue="licHhIbCj3gc8jklgLplLJJS9OOJSRK+3DIk3jbHFqVRqctBn3qxyPeXooSZ5qZAFA0CdpYZ/PH2o2IhHw8NYw==" saltValue="vHbHp2zFaW6iC7bTGnCRq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DyhTSuuc/bBsHT5z0NpUBM+TJ5zxQsVH0KT2X7FAHImKtGhUuVnkkY63ACzIWMQrWJvM77z+10ghl/N4CAORYw==" saltValue="6+ieRtrFbkdf6e7xi4ruw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x14ac:dyDescent="0.25">
      <c r="A2" s="8" t="s">
        <v>144</v>
      </c>
      <c r="B2" s="41">
        <v>10</v>
      </c>
    </row>
    <row r="3" spans="1:2" x14ac:dyDescent="0.25">
      <c r="A3" s="8" t="s">
        <v>143</v>
      </c>
      <c r="B3" s="41">
        <v>10</v>
      </c>
    </row>
    <row r="4" spans="1:2" x14ac:dyDescent="0.25">
      <c r="A4" s="8" t="s">
        <v>142</v>
      </c>
      <c r="B4" s="41">
        <v>10</v>
      </c>
    </row>
    <row r="5" spans="1:2" x14ac:dyDescent="0.25">
      <c r="A5" s="8" t="s">
        <v>146</v>
      </c>
      <c r="B5" s="41">
        <v>10</v>
      </c>
    </row>
    <row r="6" spans="1:2" x14ac:dyDescent="0.25">
      <c r="A6" s="8" t="s">
        <v>140</v>
      </c>
      <c r="B6" s="41">
        <v>10</v>
      </c>
    </row>
    <row r="7" spans="1:2" x14ac:dyDescent="0.25">
      <c r="A7" s="8" t="s">
        <v>141</v>
      </c>
      <c r="B7" s="41">
        <v>10</v>
      </c>
    </row>
  </sheetData>
  <sheetProtection algorithmName="SHA-512" hashValue="6o7OBEGYRTUhe62xjiQ7ahuj6Rc0fb6zpaI64x8e4H1v7IlYrUzS2BtG0y8FUi4dgclyeD/oTpwCVifasNMngw==" saltValue="yYrPeDrV0B2ruvu35Xux4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x14ac:dyDescent="0.25">
      <c r="B10" s="32" t="s">
        <v>78</v>
      </c>
      <c r="C10" s="47"/>
      <c r="D10" s="47"/>
      <c r="E10" s="38" t="str">
        <f>IF(E$7="","",E$7)</f>
        <v/>
      </c>
    </row>
    <row r="11" spans="1:5" x14ac:dyDescent="0.25">
      <c r="B11" s="32" t="s">
        <v>74</v>
      </c>
      <c r="C11" s="47"/>
      <c r="D11" s="47"/>
      <c r="E11" s="38" t="str">
        <f>IF(E$7="","",E$7)</f>
        <v/>
      </c>
    </row>
    <row r="12" spans="1:5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3Ju2MJj1GgHOpgN6ECKsjY0Oc0xBIhzosuhYF1b5Qx7f0GO2L1nAa8Snz/BHh431EZ+oqo8dZsMWFf5SJNa6vw==" saltValue="sQ2pL2i7kUp8uA0PClBrt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EZ9TTMEoKusZZzo3QKc1ULdwOA8Douj9X75O+glqhZ2mJX1N+m5sqDMpWXy/CkuRbgHkoXnDlpeeTGc4/GO5RQ==" saltValue="eg/Ki6D9OTfJ0btvMeMGk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60.999124309244628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0.37637351333082802</v>
      </c>
      <c r="C3" s="98">
        <v>0.95</v>
      </c>
      <c r="D3" s="56">
        <v>39.946692681048077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460.96006935232163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1.1116611428744601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</v>
      </c>
      <c r="C10" s="98">
        <v>0.95</v>
      </c>
      <c r="D10" s="56">
        <v>13.078992124843991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</v>
      </c>
      <c r="C11" s="98">
        <v>0.95</v>
      </c>
      <c r="D11" s="56">
        <v>13.078992124843991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</v>
      </c>
      <c r="C12" s="98">
        <v>0.95</v>
      </c>
      <c r="D12" s="56">
        <v>13.078992124843991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</v>
      </c>
      <c r="C13" s="98">
        <v>0.95</v>
      </c>
      <c r="D13" s="56">
        <v>13.078992124843991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</v>
      </c>
      <c r="C14" s="98">
        <v>0.95</v>
      </c>
      <c r="D14" s="56">
        <v>13.078992124843991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</v>
      </c>
      <c r="C15" s="98">
        <v>0.95</v>
      </c>
      <c r="D15" s="56">
        <v>13.078992124843991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0.73</v>
      </c>
      <c r="C16" s="98">
        <v>0.95</v>
      </c>
      <c r="D16" s="56">
        <v>0.78575792473933481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0.45184999999999997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0.30407319606886202</v>
      </c>
      <c r="C18" s="98">
        <v>0.95</v>
      </c>
      <c r="D18" s="56">
        <v>10.612768372685171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0.98498779999999997</v>
      </c>
      <c r="C19" s="98">
        <v>0.95</v>
      </c>
      <c r="D19" s="56">
        <v>10.612768372685171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0.83547650000000007</v>
      </c>
      <c r="C21" s="98">
        <v>0.95</v>
      </c>
      <c r="D21" s="56">
        <v>14.651964526226051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22.60519511135972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4.3210955878812296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0.83576336365205195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18.641046941214839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0.70069243590474695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</v>
      </c>
      <c r="C29" s="98">
        <v>0.95</v>
      </c>
      <c r="D29" s="56">
        <v>120.4259539033133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</v>
      </c>
      <c r="C31" s="98">
        <v>0.95</v>
      </c>
      <c r="D31" s="56">
        <v>2.2583380955776229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1.694013274674657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0.44582569999999999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0.25434099999999998</v>
      </c>
      <c r="C38" s="98">
        <v>0.95</v>
      </c>
      <c r="D38" s="56">
        <v>3.1210547735760681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Lte+3lXd2HXYf8oPhSFmdANWVcINgW3t7qj3zlR4u06O/Lgw3QCoKuRP1qSdODgxC891saahEfRdmVXTihJMyw==" saltValue="4WZlNjG4t08VhMvNSeJAH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x14ac:dyDescent="0.25">
      <c r="A2" s="57" t="s">
        <v>178</v>
      </c>
      <c r="B2" s="47" t="s">
        <v>191</v>
      </c>
      <c r="C2" s="47"/>
    </row>
    <row r="3" spans="1:3" x14ac:dyDescent="0.25">
      <c r="A3" s="57" t="s">
        <v>179</v>
      </c>
      <c r="B3" s="47" t="s">
        <v>191</v>
      </c>
      <c r="C3" s="47"/>
    </row>
    <row r="4" spans="1:3" x14ac:dyDescent="0.25">
      <c r="A4" s="57" t="s">
        <v>193</v>
      </c>
      <c r="B4" s="47" t="s">
        <v>184</v>
      </c>
      <c r="C4" s="47"/>
    </row>
    <row r="5" spans="1:3" x14ac:dyDescent="0.25">
      <c r="A5" s="57" t="s">
        <v>190</v>
      </c>
      <c r="B5" s="47" t="s">
        <v>184</v>
      </c>
      <c r="C5" s="47"/>
    </row>
    <row r="6" spans="1:3" x14ac:dyDescent="0.25">
      <c r="A6" s="57" t="s">
        <v>193</v>
      </c>
      <c r="B6" s="58" t="s">
        <v>204</v>
      </c>
      <c r="C6" s="58"/>
    </row>
    <row r="7" spans="1:3" x14ac:dyDescent="0.25">
      <c r="A7" s="57" t="s">
        <v>190</v>
      </c>
      <c r="B7" s="58" t="s">
        <v>204</v>
      </c>
      <c r="C7" s="58"/>
    </row>
    <row r="8" spans="1:3" x14ac:dyDescent="0.25">
      <c r="A8" s="57" t="s">
        <v>203</v>
      </c>
      <c r="B8" s="58" t="s">
        <v>204</v>
      </c>
      <c r="C8" s="58"/>
    </row>
    <row r="9" spans="1:3" x14ac:dyDescent="0.25">
      <c r="A9" s="57" t="s">
        <v>196</v>
      </c>
      <c r="B9" s="58" t="s">
        <v>204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ymvL5QJ5vMydnmweO8YeUnkyd0Mc+r3isVhAtrvIcxEq5Xd2PhZ2vXlUf+C9Nf6EWpZk0eZo9f5n7FVfkQiZtw==" saltValue="fhqk/LZ7puXK5b6Ilkxs4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x14ac:dyDescent="0.25">
      <c r="A2" s="33" t="s">
        <v>170</v>
      </c>
    </row>
    <row r="3" spans="1:1" x14ac:dyDescent="0.25">
      <c r="A3" s="33" t="s">
        <v>180</v>
      </c>
    </row>
    <row r="4" spans="1:1" x14ac:dyDescent="0.25">
      <c r="A4" s="33" t="s">
        <v>185</v>
      </c>
    </row>
    <row r="5" spans="1:1" x14ac:dyDescent="0.25">
      <c r="A5" s="33" t="s">
        <v>197</v>
      </c>
    </row>
    <row r="6" spans="1:1" x14ac:dyDescent="0.25">
      <c r="A6" s="33" t="s">
        <v>198</v>
      </c>
    </row>
    <row r="7" spans="1:1" x14ac:dyDescent="0.25">
      <c r="A7" s="33" t="s">
        <v>199</v>
      </c>
    </row>
    <row r="8" spans="1:1" x14ac:dyDescent="0.25">
      <c r="A8" s="33" t="s">
        <v>200</v>
      </c>
    </row>
    <row r="9" spans="1:1" x14ac:dyDescent="0.25">
      <c r="A9" s="33" t="s">
        <v>201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1Mj+fnTd619YbfbPcWPbzEqKqreI4rIc9YnU1fVWFAOQrlG4mi5OtAiYj2ff839jk8Mko1Thx2gpbsfqEA51jw==" saltValue="ZByJEQmTv01nsGFhhnRcp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2.9</v>
      </c>
      <c r="C2" s="21">
        <f>'Entradas de población-año base'!C52</f>
        <v>2.9</v>
      </c>
      <c r="D2" s="21">
        <f>'Entradas de población-año base'!C53</f>
        <v>2.9</v>
      </c>
      <c r="E2" s="21">
        <f>'Entradas de población-año base'!C54</f>
        <v>2.9</v>
      </c>
      <c r="F2" s="21">
        <f>'Entradas de población-año base'!C55</f>
        <v>2.9</v>
      </c>
    </row>
    <row r="3" spans="1:6" ht="15.75" customHeight="1" x14ac:dyDescent="0.25">
      <c r="A3" s="3" t="s">
        <v>6</v>
      </c>
      <c r="B3" s="21">
        <f>frac_mam_1month * 2.6</f>
        <v>0.17425174000000002</v>
      </c>
      <c r="C3" s="21">
        <f>frac_mam_1_5months * 2.6</f>
        <v>0.17425174000000002</v>
      </c>
      <c r="D3" s="21">
        <f>frac_mam_6_11months * 2.6</f>
        <v>8.8399740000000004E-2</v>
      </c>
      <c r="E3" s="21">
        <f>frac_mam_12_23months * 2.6</f>
        <v>4.9392459999999999E-2</v>
      </c>
      <c r="F3" s="21">
        <f>frac_mam_24_59months * 2.6</f>
        <v>3.6239319999999998E-2</v>
      </c>
    </row>
    <row r="4" spans="1:6" ht="15.75" customHeight="1" x14ac:dyDescent="0.25">
      <c r="A4" s="3" t="s">
        <v>207</v>
      </c>
      <c r="B4" s="21">
        <f>frac_sam_1month * 2.6</f>
        <v>0.10254842000000002</v>
      </c>
      <c r="C4" s="21">
        <f>frac_sam_1_5months * 2.6</f>
        <v>0.10254842000000002</v>
      </c>
      <c r="D4" s="21">
        <f>frac_sam_6_11months * 2.6</f>
        <v>3.144102E-2</v>
      </c>
      <c r="E4" s="21">
        <f>frac_sam_12_23months * 2.6</f>
        <v>1.5377180000000001E-2</v>
      </c>
      <c r="F4" s="21">
        <f>frac_sam_24_59months * 2.6</f>
        <v>1.20549E-2</v>
      </c>
    </row>
  </sheetData>
  <sheetProtection algorithmName="SHA-512" hashValue="XgtlPu4j1zV7mtK1ND/qTjE36Ss9AcRIq6Dk0V2xeGMlZ0NUSHl8pAus+tSBDoyjJDQ9oOWuoUlQygWt26evZA==" saltValue="YeoPnjf54JauQhVqSbITH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2.5000000000000001E-2</v>
      </c>
      <c r="E2" s="60">
        <f>food_insecure</f>
        <v>2.5000000000000001E-2</v>
      </c>
      <c r="F2" s="60">
        <f>food_insecure</f>
        <v>2.5000000000000001E-2</v>
      </c>
      <c r="G2" s="60">
        <f>food_insecure</f>
        <v>2.5000000000000001E-2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2.5000000000000001E-2</v>
      </c>
      <c r="F5" s="60">
        <f>food_insecure</f>
        <v>2.5000000000000001E-2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5.9999999999999984E-2</v>
      </c>
      <c r="D7" s="60">
        <f>diarrhoea_1_5mo*frac_diarrhea_severe</f>
        <v>5.9999999999999984E-2</v>
      </c>
      <c r="E7" s="60">
        <f>diarrhoea_6_11mo*frac_diarrhea_severe</f>
        <v>5.9999999999999984E-2</v>
      </c>
      <c r="F7" s="60">
        <f>diarrhoea_12_23mo*frac_diarrhea_severe</f>
        <v>5.9999999999999984E-2</v>
      </c>
      <c r="G7" s="60">
        <f>diarrhoea_24_59mo*frac_diarrhea_severe</f>
        <v>5.9999999999999984E-2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2.5000000000000001E-2</v>
      </c>
      <c r="F8" s="60">
        <f>food_insecure</f>
        <v>2.5000000000000001E-2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2.5000000000000001E-2</v>
      </c>
      <c r="F9" s="60">
        <f>food_insecure</f>
        <v>2.5000000000000001E-2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5.9999999999999984E-2</v>
      </c>
      <c r="D12" s="60">
        <f>diarrhoea_1_5mo*frac_diarrhea_severe</f>
        <v>5.9999999999999984E-2</v>
      </c>
      <c r="E12" s="60">
        <f>diarrhoea_6_11mo*frac_diarrhea_severe</f>
        <v>5.9999999999999984E-2</v>
      </c>
      <c r="F12" s="60">
        <f>diarrhoea_12_23mo*frac_diarrhea_severe</f>
        <v>5.9999999999999984E-2</v>
      </c>
      <c r="G12" s="60">
        <f>diarrhoea_24_59mo*frac_diarrhea_severe</f>
        <v>5.9999999999999984E-2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2.5000000000000001E-2</v>
      </c>
      <c r="I15" s="60">
        <f>food_insecure</f>
        <v>2.5000000000000001E-2</v>
      </c>
      <c r="J15" s="60">
        <f>food_insecure</f>
        <v>2.5000000000000001E-2</v>
      </c>
      <c r="K15" s="60">
        <f>food_insecure</f>
        <v>2.5000000000000001E-2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</v>
      </c>
      <c r="I19" s="60">
        <f>frac_malaria_risk</f>
        <v>1</v>
      </c>
      <c r="J19" s="60">
        <f>frac_malaria_risk</f>
        <v>1</v>
      </c>
      <c r="K19" s="60">
        <f>frac_malaria_risk</f>
        <v>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0.40699999999999997</v>
      </c>
      <c r="M24" s="60">
        <f>famplan_unmet_need</f>
        <v>0.40699999999999997</v>
      </c>
      <c r="N24" s="60">
        <f>famplan_unmet_need</f>
        <v>0.40699999999999997</v>
      </c>
      <c r="O24" s="60">
        <f>famplan_unmet_need</f>
        <v>0.40699999999999997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0.15624296416924996</v>
      </c>
      <c r="M25" s="60">
        <f>(1-food_insecure)*(0.49)+food_insecure*(0.7)</f>
        <v>0.49525000000000002</v>
      </c>
      <c r="N25" s="60">
        <f>(1-food_insecure)*(0.49)+food_insecure*(0.7)</f>
        <v>0.49525000000000002</v>
      </c>
      <c r="O25" s="60">
        <f>(1-food_insecure)*(0.49)+food_insecure*(0.7)</f>
        <v>0.49525000000000002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6.6961270358249975E-2</v>
      </c>
      <c r="M26" s="60">
        <f>(1-food_insecure)*(0.21)+food_insecure*(0.3)</f>
        <v>0.21224999999999999</v>
      </c>
      <c r="N26" s="60">
        <f>(1-food_insecure)*(0.21)+food_insecure*(0.3)</f>
        <v>0.21224999999999999</v>
      </c>
      <c r="O26" s="60">
        <f>(1-food_insecure)*(0.21)+food_insecure*(0.3)</f>
        <v>0.21224999999999999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9.2278782472499973E-2</v>
      </c>
      <c r="M27" s="60">
        <f>(1-food_insecure)*(0.3)</f>
        <v>0.29249999999999998</v>
      </c>
      <c r="N27" s="60">
        <f>(1-food_insecure)*(0.3)</f>
        <v>0.29249999999999998</v>
      </c>
      <c r="O27" s="60">
        <f>(1-food_insecure)*(0.3)</f>
        <v>0.29249999999999998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0.68451698300000008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1</v>
      </c>
      <c r="D34" s="60">
        <f t="shared" si="3"/>
        <v>1</v>
      </c>
      <c r="E34" s="60">
        <f t="shared" si="3"/>
        <v>1</v>
      </c>
      <c r="F34" s="60">
        <f t="shared" si="3"/>
        <v>1</v>
      </c>
      <c r="G34" s="60">
        <f t="shared" si="3"/>
        <v>1</v>
      </c>
      <c r="H34" s="60">
        <f t="shared" si="3"/>
        <v>1</v>
      </c>
      <c r="I34" s="60">
        <f t="shared" si="3"/>
        <v>1</v>
      </c>
      <c r="J34" s="60">
        <f t="shared" si="3"/>
        <v>1</v>
      </c>
      <c r="K34" s="60">
        <f t="shared" si="3"/>
        <v>1</v>
      </c>
      <c r="L34" s="60">
        <f t="shared" si="3"/>
        <v>1</v>
      </c>
      <c r="M34" s="60">
        <f t="shared" si="3"/>
        <v>1</v>
      </c>
      <c r="N34" s="60">
        <f t="shared" si="3"/>
        <v>1</v>
      </c>
      <c r="O34" s="60">
        <f t="shared" si="3"/>
        <v>1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xpxV9w6AAt3+DAbZWzs2iNG9e5KE6MYCGGJf0yvCSvCt1i675yv4hzwkNGDVpAZJO8Y6xlXaOsmm+OU07wfpVQ==" saltValue="F/XdL2r6BlRXAq6SPyiMR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Keh4yjqQXKIkn+iA0eXRX0/8Il9QCHssmrfCE9PV3F+qRfdV5xUhJwJoWK6m5Ga+SaH6ITM27Taso/uppCzDLQ==" saltValue="iKcHpC4yLhk6WPsxp9DH8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qrcvNNPzz+3dR8GHA9qmhtFHb+bR7E+k3d2Bybpi/EQRuxYphQR6ZIrIQuZB8ycXaDXVa/PYf83PXuQgA7kfrg==" saltValue="2qj7csVQZrzMlU3gHTzjD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ejK6pj3UIOmQvUZshMxT2+O4/1R+5c7sVl8sHf+VzoRy2Jh3DNZ6B0HtibRNMd66Rn5Hw/lJhR66j/Z9Byvo9A==" saltValue="5OMx+9EyApQEWgtE+u4tj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deme+lpiKxB+283xnbYp72vvQ8eDLNIy0a7U+bbfsrQdJnlv7BPDsHJL6tXx1CnBMdfwEAQ5H1h30WSmhYZICg==" saltValue="wt0bThvaKzfNHik0nICTP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bEfIxOJ41ouqALLLRpU5SoRLH0JrU9L1828QzPnPIoBzbNvnyCxB+E14pdvAb6M4C09oHvGeJi6o56JwoUJKNQ==" saltValue="N8WN5JK0XDk7SNBrsg2FX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78</v>
      </c>
      <c r="C5" s="8" t="s">
        <v>150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149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74</v>
      </c>
      <c r="C8" s="8" t="s">
        <v>150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149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149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78</v>
      </c>
      <c r="C58" s="8" t="s">
        <v>150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149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74</v>
      </c>
      <c r="C61" s="8" t="s">
        <v>150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149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78</v>
      </c>
      <c r="C111" s="8" t="s">
        <v>150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149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74</v>
      </c>
      <c r="C114" s="8" t="s">
        <v>150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149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77</v>
      </c>
      <c r="C117" s="8" t="s">
        <v>150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149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75</v>
      </c>
      <c r="C120" s="8" t="s">
        <v>150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149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149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78</v>
      </c>
      <c r="C128" s="8" t="s">
        <v>150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149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74</v>
      </c>
      <c r="C131" s="8" t="s">
        <v>150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149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77</v>
      </c>
      <c r="C134" s="8" t="s">
        <v>150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149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75</v>
      </c>
      <c r="C137" s="8" t="s">
        <v>150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149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149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78</v>
      </c>
      <c r="C145" s="8" t="s">
        <v>150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149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74</v>
      </c>
      <c r="C148" s="8" t="s">
        <v>150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149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77</v>
      </c>
      <c r="C151" s="8" t="s">
        <v>150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149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75</v>
      </c>
      <c r="C154" s="8" t="s">
        <v>150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149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x9gdywzn412/j2gqqyY/Qurt+XdzcMM0iY3cY9wMMvKfBECGVa4c9ky2lAqNoMIjQeILnKt3xjAWwBBYrwpPMA==" saltValue="a2ld71f5SVDUddh7/fuuoA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l99i4YTeF3kwcyzAH8naJkQsha/Vinouv3mBAZX6tW6Ih0HGVxms10oJtKHhbMTNHEpMU+aIEFKxM+gxurlYyQ==" saltValue="fF1zGCjUxgzSjRdlgX6YB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vZHxC/2NKLCvZECMKayyJoXfOxsWTcdg5Ti6CImBwcajxqEUsgDYhcokk7ZkvvZ02w1MOJ4yOfaP+t/Aekf7Wg==" saltValue="gATs9e1+8nt2sr60KblDx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291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105</v>
      </c>
      <c r="B40" s="11" t="s">
        <v>298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288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293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105</v>
      </c>
      <c r="B63" s="11" t="s">
        <v>299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pp5CsdSc+IstHR475lq3BZvcbOLTl18V7l+rwW0Ks9WdWXtUpjfMHfJkKrdiaHSHjBfyKDXsaC0x7LbgCZdmnA==" saltValue="B1cFHvxbMoWnGfyt079pc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eKm/7hb6abX80NsfKmxqX8fi8LOhHwz+zxDbd/RINNyD+XgzjE85chkv8BPjKsJFoZV8SqYOUzCu13oqQU4Kow==" saltValue="Qk9jGgvfVdmvdUkXngsmo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174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175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176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177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178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191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172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181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174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175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176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177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178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191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172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181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CeNuA26NvPBVZoDdd5+I2Uefj1vD76ZjeXxnJjUzW4oD74f5obAMJavTdVFST5t2FpEgEDzelGwHSmDRIzmDxA==" saltValue="5/ywsVHkxi2+tmAv6bfyy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eJdYw2iLhZXxPgF8qIVqIHW8cSPodzzHfW64sEvnh0JQcbe6+cLbgSxSfgmSliVYcxKpTrED2p24fNTHK6OTMw==" saltValue="YNz97GeUE1CIWF55vmDDI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338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338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Tmo5Z5+dY0+4OiqOCgKXDjrvqth6CDFHBlxhJ4LhIabofqbGz9cJ+lgC08XkyKPFF82HG9QG+xZSiWIoOjeS2w==" saltValue="+4Nsqwg7ZOk9rY2eS7GX7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/UOdVS+Hz1fE52eG9xU4dtMjBsjcHhxwVaJ18cqlJLlrjmAxWfz6BT8fuHyh5B2sVoQs2Ky4+fedtXfPExRnOA==" saltValue="V7Fg9PFax87n7Hi4s9MomA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2024-05-16T23:38:05Z</dcterms:modified>
</cp:coreProperties>
</file>