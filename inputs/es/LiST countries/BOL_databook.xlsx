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A6A6014B-9873-4FA0-A461-BF6F07A1FD6F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F116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A35" i="2"/>
  <c r="A34" i="2"/>
  <c r="A31" i="2"/>
  <c r="A26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I6" i="2" s="1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19" i="2" l="1"/>
  <c r="A22" i="2"/>
  <c r="A23" i="2"/>
  <c r="A24" i="2"/>
  <c r="A36" i="2"/>
  <c r="A37" i="2"/>
  <c r="I38" i="2"/>
  <c r="I2" i="2"/>
  <c r="I8" i="2"/>
  <c r="A40" i="2"/>
  <c r="I4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<sst xmlns="http://schemas.openxmlformats.org/spreadsheetml/2006/main" count="2169" uniqueCount="373">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</sst>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1255702.5</v>
      </c>
    </row>
    <row r="8" spans="1:3" ht="15" customHeight="1" x14ac:dyDescent="0.25">
      <c r="B8" s="5" t="s">
        <v>63</v>
      </c>
      <c r="C8" s="44">
        <v>4.4999999999999998E-2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0.77735023498535194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0.57200000000000006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0.12039999999999999</v>
      </c>
    </row>
    <row r="24" spans="1:3" ht="15" customHeight="1" x14ac:dyDescent="0.25">
      <c r="B24" s="15" t="s">
        <v>65</v>
      </c>
      <c r="C24" s="45">
        <v>0.49090000000000011</v>
      </c>
    </row>
    <row r="25" spans="1:3" ht="15" customHeight="1" x14ac:dyDescent="0.25">
      <c r="B25" s="15" t="s">
        <v>66</v>
      </c>
      <c r="C25" s="45">
        <v>0.31830000000000003</v>
      </c>
    </row>
    <row r="26" spans="1:3" ht="15" customHeight="1" x14ac:dyDescent="0.25">
      <c r="B26" s="15" t="s">
        <v>67</v>
      </c>
      <c r="C26" s="45">
        <v>7.0400000000000004E-2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0.27832797111666402</v>
      </c>
    </row>
    <row r="30" spans="1:3" ht="14.25" customHeight="1" x14ac:dyDescent="0.25">
      <c r="B30" s="25" t="s">
        <v>82</v>
      </c>
      <c r="C30" s="97">
        <v>5.5017555006970899E-2</v>
      </c>
    </row>
    <row r="31" spans="1:3" ht="14.25" customHeight="1" x14ac:dyDescent="0.25">
      <c r="B31" s="25" t="s">
        <v>29</v>
      </c>
      <c r="C31" s="97">
        <v>0.107732345514889</v>
      </c>
    </row>
    <row r="32" spans="1:3" ht="14.25" customHeight="1" x14ac:dyDescent="0.25">
      <c r="B32" s="25" t="s">
        <v>30</v>
      </c>
      <c r="C32" s="97">
        <v>0.55892212836147603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13.18085</v>
      </c>
    </row>
    <row r="38" spans="1:5" ht="15" customHeight="1" x14ac:dyDescent="0.25">
      <c r="B38" s="11" t="s">
        <v>54</v>
      </c>
      <c r="C38" s="43">
        <v>20.18317</v>
      </c>
      <c r="D38" s="12"/>
      <c r="E38" s="13"/>
    </row>
    <row r="39" spans="1:5" ht="15" customHeight="1" x14ac:dyDescent="0.25">
      <c r="B39" s="11" t="s">
        <v>80</v>
      </c>
      <c r="C39" s="43">
        <v>24.691939999999999</v>
      </c>
      <c r="D39" s="12"/>
      <c r="E39" s="12"/>
    </row>
    <row r="40" spans="1:5" ht="15" customHeight="1" x14ac:dyDescent="0.25">
      <c r="B40" s="11" t="s">
        <v>55</v>
      </c>
      <c r="C40" s="98">
        <v>1.61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8.7671299999999999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7.2189999999999997E-3</v>
      </c>
      <c r="D45" s="12"/>
    </row>
    <row r="46" spans="1:5" ht="15.75" customHeight="1" x14ac:dyDescent="0.25">
      <c r="B46" s="11" t="s">
        <v>70</v>
      </c>
      <c r="C46" s="45">
        <v>7.7567700000000003E-2</v>
      </c>
      <c r="D46" s="12"/>
    </row>
    <row r="47" spans="1:5" ht="15.75" customHeight="1" x14ac:dyDescent="0.25">
      <c r="B47" s="11" t="s">
        <v>78</v>
      </c>
      <c r="C47" s="45">
        <v>7.4135800000000002E-2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3.2</v>
      </c>
      <c r="D51" s="12"/>
    </row>
    <row r="52" spans="1:4" ht="15" customHeight="1" x14ac:dyDescent="0.25">
      <c r="B52" s="11" t="s">
        <v>32</v>
      </c>
      <c r="C52" s="98">
        <v>3.2</v>
      </c>
    </row>
    <row r="53" spans="1:4" ht="15.75" customHeight="1" x14ac:dyDescent="0.25">
      <c r="B53" s="11" t="s">
        <v>35</v>
      </c>
      <c r="C53" s="98">
        <v>3.2</v>
      </c>
    </row>
    <row r="54" spans="1:4" ht="15.75" customHeight="1" x14ac:dyDescent="0.25">
      <c r="B54" s="11" t="s">
        <v>33</v>
      </c>
      <c r="C54" s="98">
        <v>3.2</v>
      </c>
    </row>
    <row r="55" spans="1:4" ht="15.75" customHeight="1" x14ac:dyDescent="0.25">
      <c r="B55" s="11" t="s">
        <v>34</v>
      </c>
      <c r="C55" s="98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0.52239300000000011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7.2223348999999895E-2</v>
      </c>
    </row>
    <row r="63" spans="1:4" ht="15.75" customHeight="1" x14ac:dyDescent="0.3">
      <c r="A63" s="4"/>
    </row>
  </sheetData>
  <sheetProtection algorithmName="SHA-512" hashValue="BJwqrl4eGqTd5bZ5Y5MrlhXYtDz3V3Fnc6LTIpDUYXgfpXdQeyOyjy+OhfBYErPrbRqU6HPaDfuxLu58ItCUnQ==" saltValue="y8Xhbrdkl4u6srXn2wqp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261003</v>
      </c>
      <c r="C2" s="49">
        <v>580742.5</v>
      </c>
      <c r="D2" s="49">
        <v>1088183</v>
      </c>
      <c r="E2" s="49">
        <v>937098.5</v>
      </c>
      <c r="F2" s="49">
        <v>698220</v>
      </c>
      <c r="G2" s="17">
        <f t="shared" ref="G2:G13" si="0">C2+D2+E2+F2</f>
        <v>3304244</v>
      </c>
      <c r="H2" s="17">
        <f t="shared" ref="H2:H13" si="1">(B2 + stillbirth*B2/(1000-stillbirth))/(1-abortion)</f>
        <v>299217.59775966487</v>
      </c>
      <c r="I2" s="17">
        <f t="shared" ref="I2:I13" si="2">G2-H2</f>
        <v>3005026.402240335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261486</v>
      </c>
      <c r="C3" s="50">
        <v>585303</v>
      </c>
      <c r="D3" s="50">
        <v>1095557</v>
      </c>
      <c r="E3" s="50">
        <v>957283</v>
      </c>
      <c r="F3" s="50">
        <v>716728.00000000012</v>
      </c>
      <c r="G3" s="17">
        <f t="shared" si="0"/>
        <v>3354871</v>
      </c>
      <c r="H3" s="17">
        <f t="shared" si="1"/>
        <v>299771.31591508037</v>
      </c>
      <c r="I3" s="17">
        <f t="shared" si="2"/>
        <v>3055099.6840849197</v>
      </c>
    </row>
    <row r="4" spans="1:9" ht="15.75" customHeight="1" x14ac:dyDescent="0.25">
      <c r="A4" s="5">
        <f t="shared" si="3"/>
        <v>2026</v>
      </c>
      <c r="B4" s="49">
        <v>261495.99999999997</v>
      </c>
      <c r="C4" s="50">
        <v>588605</v>
      </c>
      <c r="D4" s="50">
        <v>1103364.5</v>
      </c>
      <c r="E4" s="50">
        <v>976351.00000000012</v>
      </c>
      <c r="F4" s="50">
        <v>735560</v>
      </c>
      <c r="G4" s="17">
        <f t="shared" si="0"/>
        <v>3403880.5</v>
      </c>
      <c r="H4" s="17">
        <f t="shared" si="1"/>
        <v>299782.78005908488</v>
      </c>
      <c r="I4" s="17">
        <f t="shared" si="2"/>
        <v>3104097.7199409152</v>
      </c>
    </row>
    <row r="5" spans="1:9" ht="15.75" customHeight="1" x14ac:dyDescent="0.25">
      <c r="A5" s="5">
        <f t="shared" si="3"/>
        <v>2027</v>
      </c>
      <c r="B5" s="49">
        <v>261796</v>
      </c>
      <c r="C5" s="50">
        <v>590854</v>
      </c>
      <c r="D5" s="50">
        <v>1111773.0000000002</v>
      </c>
      <c r="E5" s="50">
        <v>993485.5</v>
      </c>
      <c r="F5" s="50">
        <v>755064.5</v>
      </c>
      <c r="G5" s="17">
        <f t="shared" si="0"/>
        <v>3451177</v>
      </c>
      <c r="H5" s="17">
        <f t="shared" si="1"/>
        <v>300126.70437921875</v>
      </c>
      <c r="I5" s="17">
        <f t="shared" si="2"/>
        <v>3151050.2956207814</v>
      </c>
    </row>
    <row r="6" spans="1:9" ht="15.75" customHeight="1" x14ac:dyDescent="0.25">
      <c r="A6" s="5">
        <f t="shared" si="3"/>
        <v>2028</v>
      </c>
      <c r="B6" s="49">
        <v>261612.00000000003</v>
      </c>
      <c r="C6" s="50">
        <v>592963</v>
      </c>
      <c r="D6" s="50">
        <v>1119912.5</v>
      </c>
      <c r="E6" s="50">
        <v>1008434</v>
      </c>
      <c r="F6" s="50">
        <v>775765</v>
      </c>
      <c r="G6" s="17">
        <f t="shared" si="0"/>
        <v>3497074.5</v>
      </c>
      <c r="H6" s="17">
        <f t="shared" si="1"/>
        <v>299915.76412953669</v>
      </c>
      <c r="I6" s="17">
        <f t="shared" si="2"/>
        <v>3197158.7358704633</v>
      </c>
    </row>
    <row r="7" spans="1:9" ht="15.75" customHeight="1" x14ac:dyDescent="0.25">
      <c r="A7" s="5">
        <f t="shared" si="3"/>
        <v>2029</v>
      </c>
      <c r="B7" s="49">
        <v>261559.00000000003</v>
      </c>
      <c r="C7" s="50">
        <v>594799</v>
      </c>
      <c r="D7" s="50">
        <v>1127197.5</v>
      </c>
      <c r="E7" s="50">
        <v>1021976.9999999999</v>
      </c>
      <c r="F7" s="50">
        <v>797624</v>
      </c>
      <c r="G7" s="17">
        <f t="shared" si="0"/>
        <v>3541597.5</v>
      </c>
      <c r="H7" s="17">
        <f t="shared" si="1"/>
        <v>299855.00416631304</v>
      </c>
      <c r="I7" s="17">
        <f t="shared" si="2"/>
        <v>3241742.495833687</v>
      </c>
    </row>
    <row r="8" spans="1:9" ht="15.75" customHeight="1" x14ac:dyDescent="0.25">
      <c r="A8" s="5">
        <f t="shared" si="3"/>
        <v>2030</v>
      </c>
      <c r="B8" s="49">
        <v>261370.99999999997</v>
      </c>
      <c r="C8" s="50">
        <v>596286</v>
      </c>
      <c r="D8" s="50">
        <v>1134240.5</v>
      </c>
      <c r="E8" s="50">
        <v>1033908.5</v>
      </c>
      <c r="F8" s="50">
        <v>820260.5</v>
      </c>
      <c r="G8" s="17">
        <f t="shared" si="0"/>
        <v>3584695.5</v>
      </c>
      <c r="H8" s="17">
        <f t="shared" si="1"/>
        <v>299639.47825902904</v>
      </c>
      <c r="I8" s="17">
        <f t="shared" si="2"/>
        <v>3285056.0217409711</v>
      </c>
    </row>
    <row r="9" spans="1:9" ht="15.75" customHeight="1" x14ac:dyDescent="0.25">
      <c r="A9" s="5">
        <f t="shared" si="3"/>
        <v>2031</v>
      </c>
      <c r="B9" s="49">
        <v>261072.99999999997</v>
      </c>
      <c r="C9" s="50">
        <v>597389</v>
      </c>
      <c r="D9" s="50">
        <v>1141751.0000000002</v>
      </c>
      <c r="E9" s="50">
        <v>1043495.5</v>
      </c>
      <c r="F9" s="50">
        <v>843498.49999999988</v>
      </c>
      <c r="G9" s="17">
        <f t="shared" si="0"/>
        <v>3626134</v>
      </c>
      <c r="H9" s="17">
        <f t="shared" si="1"/>
        <v>299297.84676769603</v>
      </c>
      <c r="I9" s="17">
        <f t="shared" si="2"/>
        <v>3326836.1532323039</v>
      </c>
    </row>
    <row r="10" spans="1:9" ht="15.75" customHeight="1" x14ac:dyDescent="0.25">
      <c r="A10" s="5">
        <f t="shared" si="3"/>
        <v>2032</v>
      </c>
      <c r="B10" s="49">
        <v>260500.99999999997</v>
      </c>
      <c r="C10" s="50">
        <v>598172</v>
      </c>
      <c r="D10" s="50">
        <v>1149539</v>
      </c>
      <c r="E10" s="50">
        <v>1051601.5</v>
      </c>
      <c r="F10" s="50">
        <v>866623.49999999988</v>
      </c>
      <c r="G10" s="17">
        <f t="shared" si="0"/>
        <v>3665936</v>
      </c>
      <c r="H10" s="17">
        <f t="shared" si="1"/>
        <v>298642.09773064079</v>
      </c>
      <c r="I10" s="17">
        <f t="shared" si="2"/>
        <v>3367293.9022693592</v>
      </c>
    </row>
    <row r="11" spans="1:9" ht="15.75" customHeight="1" x14ac:dyDescent="0.25">
      <c r="A11" s="5">
        <f t="shared" si="3"/>
        <v>2033</v>
      </c>
      <c r="B11" s="49">
        <v>260216</v>
      </c>
      <c r="C11" s="50">
        <v>598766</v>
      </c>
      <c r="D11" s="50">
        <v>1156980</v>
      </c>
      <c r="E11" s="50">
        <v>1059492.5</v>
      </c>
      <c r="F11" s="50">
        <v>888840.5</v>
      </c>
      <c r="G11" s="17">
        <f t="shared" si="0"/>
        <v>3704079</v>
      </c>
      <c r="H11" s="17">
        <f t="shared" si="1"/>
        <v>298315.36962651368</v>
      </c>
      <c r="I11" s="17">
        <f t="shared" si="2"/>
        <v>3405763.6303734863</v>
      </c>
    </row>
    <row r="12" spans="1:9" ht="15.75" customHeight="1" x14ac:dyDescent="0.25">
      <c r="A12" s="5">
        <f t="shared" si="3"/>
        <v>2034</v>
      </c>
      <c r="B12" s="49">
        <v>259620</v>
      </c>
      <c r="C12" s="50">
        <v>599346.5</v>
      </c>
      <c r="D12" s="50">
        <v>1163789</v>
      </c>
      <c r="E12" s="50">
        <v>1067243</v>
      </c>
      <c r="F12" s="50">
        <v>909903.5</v>
      </c>
      <c r="G12" s="17">
        <f t="shared" si="0"/>
        <v>3740282</v>
      </c>
      <c r="H12" s="17">
        <f t="shared" si="1"/>
        <v>297632.10664384771</v>
      </c>
      <c r="I12" s="17">
        <f t="shared" si="2"/>
        <v>3442649.8933561523</v>
      </c>
    </row>
    <row r="13" spans="1:9" ht="15.75" customHeight="1" x14ac:dyDescent="0.25">
      <c r="A13" s="5">
        <f t="shared" si="3"/>
        <v>2035</v>
      </c>
      <c r="B13" s="49">
        <v>259012.99999999997</v>
      </c>
      <c r="C13" s="50">
        <v>600060</v>
      </c>
      <c r="D13" s="50">
        <v>1169923.4999999998</v>
      </c>
      <c r="E13" s="50">
        <v>1074766</v>
      </c>
      <c r="F13" s="50">
        <v>929857.5</v>
      </c>
      <c r="G13" s="17">
        <f t="shared" si="0"/>
        <v>3774607</v>
      </c>
      <c r="H13" s="17">
        <f t="shared" si="1"/>
        <v>296936.23310277687</v>
      </c>
      <c r="I13" s="17">
        <f t="shared" si="2"/>
        <v>3477670.766897223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YdHwCTCkFv/mN7eoR53seJZ/XBlH7nuszPoQ0+WY4aXNxiT0R5vDwV9vBvKaRzkB/RksaSXyh7P6RJGUv+R7w==" saltValue="1XLKwO90FsawGAMC6bMp2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3.6456003645600312E-3</v>
      </c>
    </row>
    <row r="4" spans="1:8" ht="15.75" customHeight="1" x14ac:dyDescent="0.25">
      <c r="B4" s="19" t="s">
        <v>116</v>
      </c>
      <c r="C4" s="99">
        <v>5.8251005825100642E-2</v>
      </c>
    </row>
    <row r="5" spans="1:8" ht="15.75" customHeight="1" x14ac:dyDescent="0.25">
      <c r="B5" s="19" t="s">
        <v>114</v>
      </c>
      <c r="C5" s="99">
        <v>5.1449305144930617E-2</v>
      </c>
    </row>
    <row r="6" spans="1:8" ht="15.75" customHeight="1" x14ac:dyDescent="0.25">
      <c r="B6" s="19" t="s">
        <v>110</v>
      </c>
      <c r="C6" s="99">
        <v>0.2125657212565718</v>
      </c>
    </row>
    <row r="7" spans="1:8" ht="15.75" customHeight="1" x14ac:dyDescent="0.25">
      <c r="B7" s="19" t="s">
        <v>115</v>
      </c>
      <c r="C7" s="99">
        <v>0.4356234435623445</v>
      </c>
    </row>
    <row r="8" spans="1:8" ht="15.75" customHeight="1" x14ac:dyDescent="0.25">
      <c r="B8" s="19" t="s">
        <v>117</v>
      </c>
      <c r="C8" s="99">
        <v>6.3460006346000757E-4</v>
      </c>
    </row>
    <row r="9" spans="1:8" ht="15.75" customHeight="1" x14ac:dyDescent="0.25">
      <c r="B9" s="19" t="s">
        <v>111</v>
      </c>
      <c r="C9" s="99">
        <v>0.14113301411330151</v>
      </c>
    </row>
    <row r="10" spans="1:8" ht="15.75" customHeight="1" x14ac:dyDescent="0.25">
      <c r="B10" s="19" t="s">
        <v>113</v>
      </c>
      <c r="C10" s="99">
        <v>9.6697309669731002E-2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0.14643778857166589</v>
      </c>
      <c r="D14" s="55">
        <v>0.14643778857166589</v>
      </c>
      <c r="E14" s="55">
        <v>0.14643778857166589</v>
      </c>
      <c r="F14" s="55">
        <v>0.14643778857166589</v>
      </c>
    </row>
    <row r="15" spans="1:8" ht="15.75" customHeight="1" x14ac:dyDescent="0.25">
      <c r="B15" s="19" t="s">
        <v>121</v>
      </c>
      <c r="C15" s="99">
        <v>0.39091396468178219</v>
      </c>
      <c r="D15" s="99">
        <v>0.39091396468178219</v>
      </c>
      <c r="E15" s="99">
        <v>0.39091396468178219</v>
      </c>
      <c r="F15" s="99">
        <v>0.39091396468178219</v>
      </c>
    </row>
    <row r="16" spans="1:8" ht="15.75" customHeight="1" x14ac:dyDescent="0.25">
      <c r="B16" s="19" t="s">
        <v>2</v>
      </c>
      <c r="C16" s="99">
        <v>1.3659483875896231E-2</v>
      </c>
      <c r="D16" s="99">
        <v>1.3659483875896231E-2</v>
      </c>
      <c r="E16" s="99">
        <v>1.3659483875896231E-2</v>
      </c>
      <c r="F16" s="99">
        <v>1.3659483875896231E-2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4.346055659389562E-4</v>
      </c>
      <c r="D18" s="99">
        <v>4.346055659389562E-4</v>
      </c>
      <c r="E18" s="99">
        <v>4.346055659389562E-4</v>
      </c>
      <c r="F18" s="99">
        <v>4.346055659389562E-4</v>
      </c>
    </row>
    <row r="19" spans="1:8" ht="15.75" customHeight="1" x14ac:dyDescent="0.25">
      <c r="B19" s="19" t="s">
        <v>120</v>
      </c>
      <c r="C19" s="99">
        <v>7.3238663536894996E-2</v>
      </c>
      <c r="D19" s="99">
        <v>7.3238663536894996E-2</v>
      </c>
      <c r="E19" s="99">
        <v>7.3238663536894996E-2</v>
      </c>
      <c r="F19" s="99">
        <v>7.3238663536894996E-2</v>
      </c>
    </row>
    <row r="20" spans="1:8" ht="15.75" customHeight="1" x14ac:dyDescent="0.25">
      <c r="B20" s="19" t="s">
        <v>98</v>
      </c>
      <c r="C20" s="99">
        <v>1.5811306996846401E-2</v>
      </c>
      <c r="D20" s="99">
        <v>1.5811306996846401E-2</v>
      </c>
      <c r="E20" s="99">
        <v>1.5811306996846401E-2</v>
      </c>
      <c r="F20" s="99">
        <v>1.5811306996846401E-2</v>
      </c>
    </row>
    <row r="21" spans="1:8" ht="15.75" customHeight="1" x14ac:dyDescent="0.25">
      <c r="B21" s="19" t="s">
        <v>107</v>
      </c>
      <c r="C21" s="99">
        <v>0.20377146627416279</v>
      </c>
      <c r="D21" s="99">
        <v>0.20377146627416279</v>
      </c>
      <c r="E21" s="99">
        <v>0.20377146627416279</v>
      </c>
      <c r="F21" s="99">
        <v>0.20377146627416279</v>
      </c>
    </row>
    <row r="22" spans="1:8" ht="15.75" customHeight="1" x14ac:dyDescent="0.25">
      <c r="B22" s="19" t="s">
        <v>118</v>
      </c>
      <c r="C22" s="99">
        <v>0.15573272049681261</v>
      </c>
      <c r="D22" s="99">
        <v>0.15573272049681261</v>
      </c>
      <c r="E22" s="99">
        <v>0.15573272049681261</v>
      </c>
      <c r="F22" s="99">
        <v>0.15573272049681261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6.8104466000000002E-2</v>
      </c>
    </row>
    <row r="27" spans="1:8" ht="15.75" customHeight="1" x14ac:dyDescent="0.25">
      <c r="B27" s="19" t="s">
        <v>108</v>
      </c>
      <c r="C27" s="99">
        <v>4.1400316000000013E-2</v>
      </c>
    </row>
    <row r="28" spans="1:8" ht="15.75" customHeight="1" x14ac:dyDescent="0.25">
      <c r="B28" s="19" t="s">
        <v>122</v>
      </c>
      <c r="C28" s="99">
        <v>0.33340020500000001</v>
      </c>
    </row>
    <row r="29" spans="1:8" ht="15.75" customHeight="1" x14ac:dyDescent="0.25">
      <c r="B29" s="19" t="s">
        <v>105</v>
      </c>
      <c r="C29" s="99">
        <v>0.12901136499999999</v>
      </c>
    </row>
    <row r="30" spans="1:8" ht="15.75" customHeight="1" x14ac:dyDescent="0.25">
      <c r="B30" s="19" t="s">
        <v>4</v>
      </c>
      <c r="C30" s="99">
        <v>9.0447656999999987E-2</v>
      </c>
    </row>
    <row r="31" spans="1:8" ht="15.75" customHeight="1" x14ac:dyDescent="0.25">
      <c r="B31" s="19" t="s">
        <v>99</v>
      </c>
      <c r="C31" s="99">
        <v>5.0940217000000003E-2</v>
      </c>
    </row>
    <row r="32" spans="1:8" ht="15.75" customHeight="1" x14ac:dyDescent="0.25">
      <c r="B32" s="19" t="s">
        <v>104</v>
      </c>
      <c r="C32" s="99">
        <v>1.0491317999999999E-2</v>
      </c>
    </row>
    <row r="33" spans="2:3" ht="15.75" customHeight="1" x14ac:dyDescent="0.25">
      <c r="B33" s="19" t="s">
        <v>119</v>
      </c>
      <c r="C33" s="99">
        <v>8.3462208999999982E-2</v>
      </c>
    </row>
    <row r="34" spans="2:3" ht="15.75" customHeight="1" x14ac:dyDescent="0.25">
      <c r="B34" s="19" t="s">
        <v>106</v>
      </c>
      <c r="C34" s="99">
        <v>0.19274224700000001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SRALsI/GiDPFikkPe6nCxFvtWpTE09kEZnFiqi44Ks4UnFXNPE0OeX9vng2XbvQJSFnbAOdc5d3q3lDXI4Tqyg==" saltValue="yxxhb5AeSvxzfNrAg+x0L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0.5052320066812086</v>
      </c>
      <c r="D2" s="52">
        <f>IFERROR(1-_xlfn.NORM.DIST(_xlfn.NORM.INV(SUM(D4:D5), 0, 1) + 1, 0, 1, TRUE), "")</f>
        <v>0.5052320066812086</v>
      </c>
      <c r="E2" s="52">
        <f>IFERROR(1-_xlfn.NORM.DIST(_xlfn.NORM.INV(SUM(E4:E5), 0, 1) + 1, 0, 1, TRUE), "")</f>
        <v>0.57093155676470841</v>
      </c>
      <c r="F2" s="52">
        <f>IFERROR(1-_xlfn.NORM.DIST(_xlfn.NORM.INV(SUM(F4:F5), 0, 1) + 1, 0, 1, TRUE), "")</f>
        <v>0.47407796175377315</v>
      </c>
      <c r="G2" s="52">
        <f>IFERROR(1-_xlfn.NORM.DIST(_xlfn.NORM.INV(SUM(G4:G5), 0, 1) + 1, 0, 1, TRUE), "")</f>
        <v>0.48963584930655313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0.33926539331879141</v>
      </c>
      <c r="D3" s="52">
        <f>IFERROR(_xlfn.NORM.DIST(_xlfn.NORM.INV(SUM(D4:D5), 0, 1) + 1, 0, 1, TRUE) - SUM(D4:D5), "")</f>
        <v>0.33926539331879141</v>
      </c>
      <c r="E3" s="52">
        <f>IFERROR(_xlfn.NORM.DIST(_xlfn.NORM.INV(SUM(E4:E5), 0, 1) + 1, 0, 1, TRUE) - SUM(E4:E5), "")</f>
        <v>0.30981884323529157</v>
      </c>
      <c r="F3" s="52">
        <f>IFERROR(_xlfn.NORM.DIST(_xlfn.NORM.INV(SUM(F4:F5), 0, 1) + 1, 0, 1, TRUE) - SUM(F4:F5), "")</f>
        <v>0.35102203824622685</v>
      </c>
      <c r="G3" s="52">
        <f>IFERROR(_xlfn.NORM.DIST(_xlfn.NORM.INV(SUM(G4:G5), 0, 1) + 1, 0, 1, TRUE) - SUM(G4:G5), "")</f>
        <v>0.34534035069344687</v>
      </c>
    </row>
    <row r="4" spans="1:15" ht="15.75" customHeight="1" x14ac:dyDescent="0.25">
      <c r="B4" s="5" t="s">
        <v>129</v>
      </c>
      <c r="C4" s="45">
        <v>9.9006399999999994E-2</v>
      </c>
      <c r="D4" s="53">
        <v>9.9006399999999994E-2</v>
      </c>
      <c r="E4" s="53">
        <v>7.5483000000000008E-2</v>
      </c>
      <c r="F4" s="53">
        <v>0.1208683</v>
      </c>
      <c r="G4" s="53">
        <v>0.12677720000000001</v>
      </c>
    </row>
    <row r="5" spans="1:15" ht="15.75" customHeight="1" x14ac:dyDescent="0.25">
      <c r="B5" s="5" t="s">
        <v>125</v>
      </c>
      <c r="C5" s="45">
        <v>5.6496200000000003E-2</v>
      </c>
      <c r="D5" s="53">
        <v>5.6496200000000003E-2</v>
      </c>
      <c r="E5" s="53">
        <v>4.3766600000000003E-2</v>
      </c>
      <c r="F5" s="53">
        <v>5.4031700000000002E-2</v>
      </c>
      <c r="G5" s="53">
        <v>3.8246599999999999E-2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0.71831623593806282</v>
      </c>
      <c r="D8" s="52">
        <f>IFERROR(1-_xlfn.NORM.DIST(_xlfn.NORM.INV(SUM(D10:D11), 0, 1) + 1, 0, 1, TRUE), "")</f>
        <v>0.71831623593806282</v>
      </c>
      <c r="E8" s="52">
        <f>IFERROR(1-_xlfn.NORM.DIST(_xlfn.NORM.INV(SUM(E10:E11), 0, 1) + 1, 0, 1, TRUE), "")</f>
        <v>0.89517483931743669</v>
      </c>
      <c r="F8" s="52">
        <f>IFERROR(1-_xlfn.NORM.DIST(_xlfn.NORM.INV(SUM(F10:F11), 0, 1) + 1, 0, 1, TRUE), "")</f>
        <v>0.86350647454993412</v>
      </c>
      <c r="G8" s="52">
        <f>IFERROR(1-_xlfn.NORM.DIST(_xlfn.NORM.INV(SUM(G10:G11), 0, 1) + 1, 0, 1, TRUE), "")</f>
        <v>0.87255591917208486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0.22438336406193718</v>
      </c>
      <c r="D9" s="52">
        <f>IFERROR(_xlfn.NORM.DIST(_xlfn.NORM.INV(SUM(D10:D11), 0, 1) + 1, 0, 1, TRUE) - SUM(D10:D11), "")</f>
        <v>0.22438336406193718</v>
      </c>
      <c r="E9" s="52">
        <f>IFERROR(_xlfn.NORM.DIST(_xlfn.NORM.INV(SUM(E10:E11), 0, 1) + 1, 0, 1, TRUE) - SUM(E10:E11), "")</f>
        <v>9.2743660682563345E-2</v>
      </c>
      <c r="F9" s="52">
        <f>IFERROR(_xlfn.NORM.DIST(_xlfn.NORM.INV(SUM(F10:F11), 0, 1) + 1, 0, 1, TRUE) - SUM(F10:F11), "")</f>
        <v>0.11846172545006591</v>
      </c>
      <c r="G9" s="52">
        <f>IFERROR(_xlfn.NORM.DIST(_xlfn.NORM.INV(SUM(G10:G11), 0, 1) + 1, 0, 1, TRUE) - SUM(G10:G11), "")</f>
        <v>0.11120828082791512</v>
      </c>
    </row>
    <row r="10" spans="1:15" ht="15.75" customHeight="1" x14ac:dyDescent="0.25">
      <c r="B10" s="5" t="s">
        <v>126</v>
      </c>
      <c r="C10" s="45">
        <v>1.6462299999999999E-2</v>
      </c>
      <c r="D10" s="53">
        <v>1.6462299999999999E-2</v>
      </c>
      <c r="E10" s="53">
        <v>6.1853000000000003E-3</v>
      </c>
      <c r="F10" s="53">
        <v>1.06268E-2</v>
      </c>
      <c r="G10" s="53">
        <v>9.9104999999999992E-3</v>
      </c>
    </row>
    <row r="11" spans="1:15" ht="15.75" customHeight="1" x14ac:dyDescent="0.25">
      <c r="B11" s="5" t="s">
        <v>138</v>
      </c>
      <c r="C11" s="45">
        <v>4.0838100000000002E-2</v>
      </c>
      <c r="D11" s="53">
        <v>4.0838100000000002E-2</v>
      </c>
      <c r="E11" s="53">
        <v>5.8962000000000007E-3</v>
      </c>
      <c r="F11" s="53">
        <v>7.4050000000000001E-3</v>
      </c>
      <c r="G11" s="53">
        <v>6.3253000000000007E-3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0.81728989924999995</v>
      </c>
      <c r="D14" s="54">
        <v>0.77722719937100004</v>
      </c>
      <c r="E14" s="54">
        <v>0.77722719937100004</v>
      </c>
      <c r="F14" s="54">
        <v>0.50306668461399995</v>
      </c>
      <c r="G14" s="54">
        <v>0.50306668461399995</v>
      </c>
      <c r="H14" s="45">
        <v>0.36799999999999999</v>
      </c>
      <c r="I14" s="55">
        <v>0.36799999999999999</v>
      </c>
      <c r="J14" s="55">
        <v>0.36799999999999999</v>
      </c>
      <c r="K14" s="55">
        <v>0.36799999999999999</v>
      </c>
      <c r="L14" s="45">
        <v>0.29799999999999999</v>
      </c>
      <c r="M14" s="55">
        <v>0.29799999999999999</v>
      </c>
      <c r="N14" s="55">
        <v>0.29799999999999999</v>
      </c>
      <c r="O14" s="55">
        <v>0.29799999999999999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0.42694652233890529</v>
      </c>
      <c r="D15" s="52">
        <f t="shared" si="0"/>
        <v>0.4060180483610149</v>
      </c>
      <c r="E15" s="52">
        <f t="shared" si="0"/>
        <v>0.4060180483610149</v>
      </c>
      <c r="F15" s="52">
        <f t="shared" si="0"/>
        <v>0.2627985145755613</v>
      </c>
      <c r="G15" s="52">
        <f t="shared" si="0"/>
        <v>0.2627985145755613</v>
      </c>
      <c r="H15" s="52">
        <f t="shared" si="0"/>
        <v>0.19224062400000003</v>
      </c>
      <c r="I15" s="52">
        <f t="shared" si="0"/>
        <v>0.19224062400000003</v>
      </c>
      <c r="J15" s="52">
        <f t="shared" si="0"/>
        <v>0.19224062400000003</v>
      </c>
      <c r="K15" s="52">
        <f t="shared" si="0"/>
        <v>0.19224062400000003</v>
      </c>
      <c r="L15" s="52">
        <f t="shared" si="0"/>
        <v>0.15567311400000003</v>
      </c>
      <c r="M15" s="52">
        <f t="shared" si="0"/>
        <v>0.15567311400000003</v>
      </c>
      <c r="N15" s="52">
        <f t="shared" si="0"/>
        <v>0.15567311400000003</v>
      </c>
      <c r="O15" s="52">
        <f t="shared" si="0"/>
        <v>0.15567311400000003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p4H+FcaUEeCYcwJ4T7+nb8TmX4MM7cuSmbQKMF5RSFB9Sk6dlFaVZLDQL79zOLOABImm/MdaxQ0q7Q1PtPSmJw==" saltValue="y4lccX0AO9uFOFh6vMV3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0.63335149999999996</v>
      </c>
      <c r="D2" s="53">
        <v>0.57843060000000002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1.9000099999999999E-2</v>
      </c>
      <c r="D3" s="53">
        <v>9.86514E-2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0.2879409</v>
      </c>
      <c r="D4" s="53">
        <v>0.28117239999999999</v>
      </c>
      <c r="E4" s="53">
        <v>0.87896350000000001</v>
      </c>
      <c r="F4" s="53">
        <v>0.59752729999999998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5.9707500000000024E-2</v>
      </c>
      <c r="D5" s="52">
        <f t="shared" si="0"/>
        <v>4.1745600000000049E-2</v>
      </c>
      <c r="E5" s="52">
        <f>1-SUM(E2:E4)</f>
        <v>0.12103649999999999</v>
      </c>
      <c r="F5" s="52">
        <f>1-SUM(F2:F4)</f>
        <v>0.40247270000000002</v>
      </c>
      <c r="G5" s="52">
        <f>1-SUM(G2:G4)</f>
        <v>1</v>
      </c>
    </row>
  </sheetData>
  <sheetProtection algorithmName="SHA-512" hashValue="0j24ioHxnYcS5WGkzmBr8DmAh4/xj3AoavyAPYgs8ygENRK5ISo7nTE3MIsZeQVaz90PDDKQXM/Jlmm1Bfm7wg==" saltValue="nr8PMLR8XBAfYFJK6zLfQ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mDyItjtHbHdbUin1T60FVli8/yubFeb38D+giBI+iJtLiMF4Z4q9izDJ0lxVAUEZzy3b1+Ni5e3mdDAvqHe1Q==" saltValue="arKTLXkcwIu10adKBM2DD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3600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0.55259000000000003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0.60799999999999998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2.1331864246318832E-2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97348.311090000003</v>
      </c>
      <c r="C22" s="107">
        <v>97127.914290000001</v>
      </c>
      <c r="D22" s="107">
        <v>96946.432119999998</v>
      </c>
      <c r="E22" s="107">
        <v>96603.906910000005</v>
      </c>
      <c r="F22" s="107">
        <v>96147.765209999998</v>
      </c>
      <c r="G22" s="107">
        <v>95636.710749999998</v>
      </c>
      <c r="H22" s="107">
        <v>95008.516770000002</v>
      </c>
      <c r="I22" s="107">
        <v>94158.296770000001</v>
      </c>
      <c r="J22" s="107">
        <v>92911.889249999993</v>
      </c>
      <c r="K22" s="107">
        <v>91025.218599999993</v>
      </c>
      <c r="L22" s="107">
        <v>88111.080600000001</v>
      </c>
      <c r="M22" s="107">
        <v>83721.960879999999</v>
      </c>
      <c r="N22" s="107">
        <v>77035.486080000002</v>
      </c>
      <c r="O22" s="107">
        <v>67497.661470000006</v>
      </c>
    </row>
  </sheetData>
  <sheetProtection algorithmName="SHA-512" hashValue="1F6qPhk2Q9BkAf5QObS1EujD5glasAZCZfMWRLe0bnOlgwKqxgSo1/XRSZC6rMYIEnpNEBbVrCQm1xaNg8qb1g==" saltValue="W3wSaY/ZIhnRupSTybkQY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VT707ToAF19qz6+CPGaP+tNItd3kRi6ICwzHYe28n6ItNGNey/hAAShObjZcNZNHi8OgHdeqJQPZdaltnihucw==" saltValue="kDSqDTHI5CcP2amuc0p8G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s8F2M0JQZIW3tfoUmWTDDF7GXNl+703yCT+XiJ1UrxX3aFc69SaAifubt5isZWNl6sndKpxLIg0KltfIEx2fQg==" saltValue="MxW8k9DUxvaXwDJvq7yw8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21.195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0.32855565777368906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0.25147419999999998</v>
      </c>
      <c r="C10" s="96">
        <v>0.95</v>
      </c>
      <c r="D10" s="56">
        <v>12.863878723512009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12.863878723512009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12.863878723512009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12.863878723512009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0.25147419999999998</v>
      </c>
      <c r="C14" s="96">
        <v>0.95</v>
      </c>
      <c r="D14" s="56">
        <v>12.863878723512009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12.863878723512009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0.191266666666667</v>
      </c>
      <c r="C17" s="96">
        <v>0.95</v>
      </c>
      <c r="D17" s="56">
        <v>0.14000000000000001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0.57843060000000002</v>
      </c>
      <c r="C18" s="96">
        <v>0.95</v>
      </c>
      <c r="D18" s="56">
        <v>21.195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0.57843060000000002</v>
      </c>
      <c r="C19" s="96">
        <v>0.95</v>
      </c>
      <c r="D19" s="56">
        <v>7.1893102094440149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21.195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4.1866497120487418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0.62066605665885999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0.25147419999999998</v>
      </c>
      <c r="C26" s="96">
        <v>0.95</v>
      </c>
      <c r="D26" s="56">
        <v>4.4421306161984946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9.2958524157825622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0.1417909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0.67377399999999998</v>
      </c>
      <c r="C29" s="96">
        <v>0.95</v>
      </c>
      <c r="D29" s="56">
        <v>98.521408904830395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123.05968780269725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</v>
      </c>
      <c r="C32" s="96">
        <v>0.95</v>
      </c>
      <c r="D32" s="56">
        <v>1.5917274986535743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0.26987369999999999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0.16559660000000001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1.1714E-3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0.67045480000000002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2.0761999999999999E-2</v>
      </c>
      <c r="C38" s="96">
        <v>0.95</v>
      </c>
      <c r="D38" s="56">
        <v>2.4500000000000002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CFu6e6xv6QzfzpDJkVRdzuuholjfDzN1+228ZqQjeUbN7yXxjLqCMIqSD3YgZN6JGoO9rgEeIBV8PTrAvvKRPw==" saltValue="XfuVcA976qUYd95Zs5UY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CFfXxgPb05uKhgD4+4Q8xOkChSuifJNWcge3e/6bdcWOWAWUEnz7ISDHk1ROP4jvpgOhh9duuks4EABYSe74tA==" saltValue="DIkjVVijiSIkr376of4CK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kW4EOykV6zePn3nS0yPjlagrlaHyXws07sukLyfRRe4/jeoPuCMBmlTTdKe9uY1yIJUcaCbf/UeE6k9uaWQwLA==" saltValue="vMgQLV8XsVlPaqpiAw42+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4.2801979999999996E-2</v>
      </c>
      <c r="C3" s="21">
        <f>frac_mam_1_5months * 2.6</f>
        <v>4.2801979999999996E-2</v>
      </c>
      <c r="D3" s="21">
        <f>frac_mam_6_11months * 2.6</f>
        <v>1.608178E-2</v>
      </c>
      <c r="E3" s="21">
        <f>frac_mam_12_23months * 2.6</f>
        <v>2.7629680000000004E-2</v>
      </c>
      <c r="F3" s="21">
        <f>frac_mam_24_59months * 2.6</f>
        <v>2.57673E-2</v>
      </c>
    </row>
    <row r="4" spans="1:6" ht="15.75" customHeight="1" x14ac:dyDescent="0.25">
      <c r="A4" s="3" t="s">
        <v>236</v>
      </c>
      <c r="B4" s="21">
        <f>frac_sam_1month * 2.6</f>
        <v>0.10617906000000001</v>
      </c>
      <c r="C4" s="21">
        <f>frac_sam_1_5months * 2.6</f>
        <v>0.10617906000000001</v>
      </c>
      <c r="D4" s="21">
        <f>frac_sam_6_11months * 2.6</f>
        <v>1.5330120000000003E-2</v>
      </c>
      <c r="E4" s="21">
        <f>frac_sam_12_23months * 2.6</f>
        <v>1.9252999999999999E-2</v>
      </c>
      <c r="F4" s="21">
        <f>frac_sam_24_59months * 2.6</f>
        <v>1.6445780000000004E-2</v>
      </c>
    </row>
  </sheetData>
  <sheetProtection algorithmName="SHA-512" hashValue="oZ+5Ix/7tSpgAF8et+dwvvOmYw3CNzRhUAg43mdp9M0emHuet5D3eXTOc2E0Lkc9zCnpQ/FSypV4bfXs6tAPeA==" saltValue="080H9PP7jb5r44vZl6g4o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4.4999999999999998E-2</v>
      </c>
      <c r="F2" s="60">
        <f>food_insecure</f>
        <v>4.4999999999999998E-2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4.4999999999999998E-2</v>
      </c>
      <c r="F5" s="60">
        <f>food_insecure</f>
        <v>4.4999999999999998E-2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4.4999999999999998E-2</v>
      </c>
      <c r="F8" s="60">
        <f>food_insecure</f>
        <v>4.4999999999999998E-2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4.4999999999999998E-2</v>
      </c>
      <c r="F9" s="60">
        <f>food_insecure</f>
        <v>4.4999999999999998E-2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4.4999999999999998E-2</v>
      </c>
      <c r="I15" s="60">
        <f t="shared" si="0"/>
        <v>4.4999999999999998E-2</v>
      </c>
      <c r="J15" s="60">
        <f t="shared" si="0"/>
        <v>4.4999999999999998E-2</v>
      </c>
      <c r="K15" s="60">
        <f t="shared" si="0"/>
        <v>4.4999999999999998E-2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4.4999999999999998E-2</v>
      </c>
      <c r="I16" s="60">
        <f t="shared" si="0"/>
        <v>4.4999999999999998E-2</v>
      </c>
      <c r="J16" s="60">
        <f t="shared" si="0"/>
        <v>4.4999999999999998E-2</v>
      </c>
      <c r="K16" s="60">
        <f t="shared" si="0"/>
        <v>4.4999999999999998E-2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0.57200000000000006</v>
      </c>
      <c r="M24" s="60">
        <f>famplan_unmet_need</f>
        <v>0.57200000000000006</v>
      </c>
      <c r="N24" s="60">
        <f>famplan_unmet_need</f>
        <v>0.57200000000000006</v>
      </c>
      <c r="O24" s="60">
        <f>famplan_unmet_need</f>
        <v>0.57200000000000006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0.11120242513656596</v>
      </c>
      <c r="M25" s="60">
        <f>(1-food_insecure)*(0.49)+food_insecure*(0.7)</f>
        <v>0.49944999999999995</v>
      </c>
      <c r="N25" s="60">
        <f>(1-food_insecure)*(0.49)+food_insecure*(0.7)</f>
        <v>0.49944999999999995</v>
      </c>
      <c r="O25" s="60">
        <f>(1-food_insecure)*(0.49)+food_insecure*(0.7)</f>
        <v>0.49944999999999995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4.7658182201385409E-2</v>
      </c>
      <c r="M26" s="60">
        <f>(1-food_insecure)*(0.21)+food_insecure*(0.3)</f>
        <v>0.21404999999999999</v>
      </c>
      <c r="N26" s="60">
        <f>(1-food_insecure)*(0.21)+food_insecure*(0.3)</f>
        <v>0.21404999999999999</v>
      </c>
      <c r="O26" s="60">
        <f>(1-food_insecure)*(0.21)+food_insecure*(0.3)</f>
        <v>0.21404999999999999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6.378915767669667E-2</v>
      </c>
      <c r="M27" s="60">
        <f>(1-food_insecure)*(0.3)</f>
        <v>0.28649999999999998</v>
      </c>
      <c r="N27" s="60">
        <f>(1-food_insecure)*(0.3)</f>
        <v>0.28649999999999998</v>
      </c>
      <c r="O27" s="60">
        <f>(1-food_insecure)*(0.3)</f>
        <v>0.28649999999999998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0.77735023498535194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GM9DgH5eBrXlohEfyYDUDgttR5w8daNaGPV+gNUvvPgYgj4AswGA214sMxPItI6uYsegM7+CRfNZ0ILfkYyk3Q==" saltValue="GE837mRCX9LcGf+bRkLqS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3qdJr4Hi1ROQXvO4bAQabrNF5Th73sXfg0aToY/F0tJAaToKVxmHpkppew9yHIrWWkZQvxColwOhG1VGgrNYqA==" saltValue="0XnykX/cws5wGNy1noxRS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B3mMBz2F+80fikhvvNpy2yQCO/jX/y/I5ILtFyBgrHpf67qV0c33FQZs1ZhGRBkcJpvkYWeVl78xXGRdxs2szA==" saltValue="MBuuj3VbDh3TXLFtVqtD7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LTiqU53fkyC3YSMusY9fkPwum0hsOdEtPyJSODqooq93PZCEeNuWuL2vpU14XC3C1rzCnTiJJiwz4grb10vD0Q==" saltValue="kvfpYBXjlxAd+r3k+F7RQ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NyYjc9VxM7RKotlO+A1RAuP5WQ3jlaviSZKZ0dhevFXfqH6muw/5CGOaoVvYDwG5ig/BQOEI3mPJJDmv178Iyg==" saltValue="viA6evasthjXN1DMYph5Z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LRk6CZraKR2D8IWjIgGBgLEdFniB8XoHHQlGxkxmLFPyyPlZQZ8e/fvO3qquBhNUuc6iiygt83r2izXoB1uhsA==" saltValue="C0ihfs9mJzl7vTxmsoQwa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Lkcm1tXYgo2JbrBar1SHss6/JLALQvU3q3yVXAeY3pCl48k2x9ZL1DlmFpWbaorB+62WpIk0nmWPlDH5D1qa1A==" saltValue="84zM+E/7hC6HuNhcZT8Ho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gBufvOTiVqBiZwZ0wGvxL4xCmGsCbEWTegcnCaJeGgsZc0ms7vfPHcVuLBxLjeMBHpJtpEzC+3eACNGxE3mGJw==" saltValue="babfgRz20ImGT57SaBUO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Px3G2tAWCIvyCqIySiZYuSedvi+0bQEWAObi+c5wgLt8vizi62FiwJ95GvAEs343oYe/n3ODeHEEmXN1BkRBCQ==" saltValue="G6Lt9tCh0tB5vwuO6cak0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yhMrznvACTOCAmjQiYhmOI9wOJQpGGDTilTlR+ph54vQFlSNvEChNvloaexNy51KK2HEtjo15UbV4oZSvglAA==" saltValue="j6YxmdRiEGUzTiazneMf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AAY/0bbvVxIEeEZs2LCicsRCAcdU3E2U3b1kg1NPZ82OfBht0pnNN4VumwPc5bJfxeAkwj/ocyfuYQdm1VcNig==" saltValue="surpRpd78mZ4o4JP1tJs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/C+g1mik1jBIxG4a8DX6AIASDj6H2gW0rcpXo54xfo27VyIY4Qa3lFycnBwK39ESpggHNGF7sZ4XGuK207HIQQ==" saltValue="NEcEs5hj8KdKnw0cOwTl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uxCHly6jJCFzFU1Q6Yv9GNJ6xgq2pOMHmW55D/yb88Tcb6EQo8M5x8ahfEXJCuZ20hA7hW2SGebgV2YDnPvNlg==" saltValue="e8FTQGZ4RMPrniWgKcFQU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MWCaeSXyJ5wu2LKCkm8/cwdILA8HmkFE8u1NRzfn7a4fPUGhUi1hie/gGa8Mib+y8jtLOXSRPtOqFeEOSdcqvg==" saltValue="5KbBmQnOL74WCZDl4Pvh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PACc2lP2zVIpMyjyxOZU78UzJGFNAZOJanATJflL3yEId5BZb3qWR+FvNrdj0tRvNpGkBqg6JUZxl0GxX8zJFw==" saltValue="Hu1Tj1CRraKDPeTq6gcUF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2026-04-29T01:33:39Z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