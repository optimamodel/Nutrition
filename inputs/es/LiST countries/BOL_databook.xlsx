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1DC13B35-3664-4D4D-8678-C8C313E932ED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15" i="2" l="1"/>
  <c r="A23" i="2"/>
  <c r="A31" i="2"/>
  <c r="A24" i="2"/>
  <c r="A16" i="2"/>
  <c r="A32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7" i="2"/>
  <c r="A25" i="2"/>
  <c r="A19" i="2"/>
  <c r="A27" i="2"/>
  <c r="A35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<sst xmlns="http://schemas.openxmlformats.org/spreadsheetml/2006/main" count="2101" uniqueCount="341">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</sst>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1280664.078125</v>
      </c>
    </row>
    <row r="8" spans="1:3" ht="15" customHeight="1" x14ac:dyDescent="0.25">
      <c r="B8" s="5" t="s">
        <v>44</v>
      </c>
      <c r="C8" s="44">
        <v>4.4999999999999998E-2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0.77735023498535194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0.57200000000000006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0.12039999999999999</v>
      </c>
    </row>
    <row r="24" spans="1:3" ht="15" customHeight="1" x14ac:dyDescent="0.25">
      <c r="B24" s="15" t="s">
        <v>46</v>
      </c>
      <c r="C24" s="45">
        <v>0.49090000000000011</v>
      </c>
    </row>
    <row r="25" spans="1:3" ht="15" customHeight="1" x14ac:dyDescent="0.25">
      <c r="B25" s="15" t="s">
        <v>47</v>
      </c>
      <c r="C25" s="45">
        <v>0.31830000000000003</v>
      </c>
    </row>
    <row r="26" spans="1:3" ht="15" customHeight="1" x14ac:dyDescent="0.25">
      <c r="B26" s="15" t="s">
        <v>48</v>
      </c>
      <c r="C26" s="45">
        <v>7.0400000000000004E-2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0.27832797111666402</v>
      </c>
    </row>
    <row r="30" spans="1:3" ht="14.25" customHeight="1" x14ac:dyDescent="0.25">
      <c r="B30" s="25" t="s">
        <v>63</v>
      </c>
      <c r="C30" s="99">
        <v>5.5017555006970899E-2</v>
      </c>
    </row>
    <row r="31" spans="1:3" ht="14.25" customHeight="1" x14ac:dyDescent="0.25">
      <c r="B31" s="25" t="s">
        <v>10</v>
      </c>
      <c r="C31" s="99">
        <v>0.107732345514889</v>
      </c>
    </row>
    <row r="32" spans="1:3" ht="14.25" customHeight="1" x14ac:dyDescent="0.25">
      <c r="B32" s="25" t="s">
        <v>11</v>
      </c>
      <c r="C32" s="99">
        <v>0.55892212836147603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13.18085</v>
      </c>
    </row>
    <row r="38" spans="1:5" ht="15" customHeight="1" x14ac:dyDescent="0.25">
      <c r="B38" s="11" t="s">
        <v>35</v>
      </c>
      <c r="C38" s="43">
        <v>20.18317</v>
      </c>
      <c r="D38" s="12"/>
      <c r="E38" s="13"/>
    </row>
    <row r="39" spans="1:5" ht="15" customHeight="1" x14ac:dyDescent="0.25">
      <c r="B39" s="11" t="s">
        <v>61</v>
      </c>
      <c r="C39" s="43">
        <v>24.691939999999999</v>
      </c>
      <c r="D39" s="12"/>
      <c r="E39" s="12"/>
    </row>
    <row r="40" spans="1:5" ht="15" customHeight="1" x14ac:dyDescent="0.25">
      <c r="B40" s="11" t="s">
        <v>36</v>
      </c>
      <c r="C40" s="100">
        <v>1.61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8.7671299999999999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7.2189999999999997E-3</v>
      </c>
      <c r="D45" s="12"/>
    </row>
    <row r="46" spans="1:5" ht="15.75" customHeight="1" x14ac:dyDescent="0.25">
      <c r="B46" s="11" t="s">
        <v>51</v>
      </c>
      <c r="C46" s="45">
        <v>7.7567700000000003E-2</v>
      </c>
      <c r="D46" s="12"/>
    </row>
    <row r="47" spans="1:5" ht="15.75" customHeight="1" x14ac:dyDescent="0.25">
      <c r="B47" s="11" t="s">
        <v>59</v>
      </c>
      <c r="C47" s="45">
        <v>7.4135800000000002E-2</v>
      </c>
      <c r="D47" s="12"/>
      <c r="E47" s="13"/>
    </row>
    <row r="48" spans="1:5" ht="15" customHeight="1" x14ac:dyDescent="0.25">
      <c r="B48" s="11" t="s">
        <v>58</v>
      </c>
      <c r="C48" s="46">
        <v>0.84107749999999992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0.52239300000000011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7.2223348999999895E-2</v>
      </c>
    </row>
    <row r="63" spans="1:4" ht="15.75" customHeight="1" x14ac:dyDescent="0.3">
      <c r="A63" s="4"/>
    </row>
  </sheetData>
  <sheetProtection algorithmName="SHA-512" hashValue="U/Q0zX/HscM6IC2mqXV4PfwebePENTG4hDV9WoP29jtLmbKI7FYjXyDdyNYWOu4ODTRIwS204he92b5L2uyvFA==" saltValue="qu89tF4ei04yCe/PpZzs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265235</v>
      </c>
      <c r="C2" s="49">
        <v>715267.5</v>
      </c>
      <c r="D2" s="49">
        <v>1103128</v>
      </c>
      <c r="E2" s="49">
        <v>958138.5</v>
      </c>
      <c r="F2" s="49">
        <v>632260</v>
      </c>
      <c r="G2" s="17">
        <f t="shared" ref="G2:G13" si="0">C2+D2+E2+F2</f>
        <v>3408794</v>
      </c>
      <c r="H2" s="17">
        <f t="shared" ref="H2:H13" si="1">(B2 + stillbirth*B2/(1000-stillbirth))/(1-abortion)</f>
        <v>304069.22350235324</v>
      </c>
      <c r="I2" s="17">
        <f t="shared" ref="I2:I13" si="2">G2-H2</f>
        <v>3104724.7764976467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266191</v>
      </c>
      <c r="C3" s="50">
        <v>720794</v>
      </c>
      <c r="D3" s="50">
        <v>1112139</v>
      </c>
      <c r="E3" s="50">
        <v>977196</v>
      </c>
      <c r="F3" s="50">
        <v>649591.5</v>
      </c>
      <c r="G3" s="17">
        <f t="shared" si="0"/>
        <v>3459720.5</v>
      </c>
      <c r="H3" s="17">
        <f t="shared" si="1"/>
        <v>305165.1956691799</v>
      </c>
      <c r="I3" s="17">
        <f t="shared" si="2"/>
        <v>3154555.3043308202</v>
      </c>
    </row>
    <row r="4" spans="1:9" ht="15.75" customHeight="1" x14ac:dyDescent="0.25">
      <c r="A4" s="5">
        <f t="shared" si="3"/>
        <v>2026</v>
      </c>
      <c r="B4" s="49">
        <v>266974</v>
      </c>
      <c r="C4" s="50">
        <v>724924.00000000012</v>
      </c>
      <c r="D4" s="50">
        <v>1121832.5</v>
      </c>
      <c r="E4" s="50">
        <v>994628.5</v>
      </c>
      <c r="F4" s="50">
        <v>667659</v>
      </c>
      <c r="G4" s="17">
        <f t="shared" si="0"/>
        <v>3509044</v>
      </c>
      <c r="H4" s="17">
        <f t="shared" si="1"/>
        <v>306062.83814472926</v>
      </c>
      <c r="I4" s="17">
        <f t="shared" si="2"/>
        <v>3202981.1618552706</v>
      </c>
    </row>
    <row r="5" spans="1:9" ht="15.75" customHeight="1" x14ac:dyDescent="0.25">
      <c r="A5" s="5">
        <f t="shared" si="3"/>
        <v>2027</v>
      </c>
      <c r="B5" s="49">
        <v>266660</v>
      </c>
      <c r="C5" s="50">
        <v>727847.00000000012</v>
      </c>
      <c r="D5" s="50">
        <v>1132165</v>
      </c>
      <c r="E5" s="50">
        <v>1010160.5</v>
      </c>
      <c r="F5" s="50">
        <v>686487</v>
      </c>
      <c r="G5" s="17">
        <f t="shared" si="0"/>
        <v>3556659.5</v>
      </c>
      <c r="H5" s="17">
        <f t="shared" si="1"/>
        <v>305702.86402298912</v>
      </c>
      <c r="I5" s="17">
        <f t="shared" si="2"/>
        <v>3250956.6359770107</v>
      </c>
    </row>
    <row r="6" spans="1:9" ht="15.75" customHeight="1" x14ac:dyDescent="0.25">
      <c r="A6" s="5">
        <f t="shared" si="3"/>
        <v>2028</v>
      </c>
      <c r="B6" s="49">
        <v>266211</v>
      </c>
      <c r="C6" s="50">
        <v>730456</v>
      </c>
      <c r="D6" s="50">
        <v>1142095</v>
      </c>
      <c r="E6" s="50">
        <v>1023967</v>
      </c>
      <c r="F6" s="50">
        <v>706264</v>
      </c>
      <c r="G6" s="17">
        <f t="shared" si="0"/>
        <v>3602782</v>
      </c>
      <c r="H6" s="17">
        <f t="shared" si="1"/>
        <v>305188.1239571888</v>
      </c>
      <c r="I6" s="17">
        <f t="shared" si="2"/>
        <v>3297593.8760428112</v>
      </c>
    </row>
    <row r="7" spans="1:9" ht="15.75" customHeight="1" x14ac:dyDescent="0.25">
      <c r="A7" s="5">
        <f t="shared" si="3"/>
        <v>2029</v>
      </c>
      <c r="B7" s="49">
        <v>266289</v>
      </c>
      <c r="C7" s="50">
        <v>732649</v>
      </c>
      <c r="D7" s="50">
        <v>1150977.5</v>
      </c>
      <c r="E7" s="50">
        <v>1036973</v>
      </c>
      <c r="F7" s="50">
        <v>726937.5</v>
      </c>
      <c r="G7" s="17">
        <f t="shared" si="0"/>
        <v>3647537</v>
      </c>
      <c r="H7" s="17">
        <f t="shared" si="1"/>
        <v>305277.54428042355</v>
      </c>
      <c r="I7" s="17">
        <f t="shared" si="2"/>
        <v>3342259.4557195762</v>
      </c>
    </row>
    <row r="8" spans="1:9" ht="15.75" customHeight="1" x14ac:dyDescent="0.25">
      <c r="A8" s="5">
        <f t="shared" si="3"/>
        <v>2030</v>
      </c>
      <c r="B8" s="49">
        <v>266744</v>
      </c>
      <c r="C8" s="50">
        <v>734311</v>
      </c>
      <c r="D8" s="50">
        <v>1159434.5</v>
      </c>
      <c r="E8" s="50">
        <v>1048803.5</v>
      </c>
      <c r="F8" s="50">
        <v>748213.5</v>
      </c>
      <c r="G8" s="17">
        <f t="shared" si="0"/>
        <v>3690762.5</v>
      </c>
      <c r="H8" s="17">
        <f t="shared" si="1"/>
        <v>305799.16283262661</v>
      </c>
      <c r="I8" s="17">
        <f t="shared" si="2"/>
        <v>3384963.3371673734</v>
      </c>
    </row>
    <row r="9" spans="1:9" ht="15.75" customHeight="1" x14ac:dyDescent="0.25">
      <c r="A9" s="5">
        <f t="shared" si="3"/>
        <v>2031</v>
      </c>
      <c r="B9" s="49">
        <v>266621</v>
      </c>
      <c r="C9" s="50">
        <v>735535.00000000012</v>
      </c>
      <c r="D9" s="50">
        <v>1168225</v>
      </c>
      <c r="E9" s="50">
        <v>1058956.5</v>
      </c>
      <c r="F9" s="50">
        <v>769857.5</v>
      </c>
      <c r="G9" s="17">
        <f t="shared" si="0"/>
        <v>3732574</v>
      </c>
      <c r="H9" s="17">
        <f t="shared" si="1"/>
        <v>305658.15386137174</v>
      </c>
      <c r="I9" s="17">
        <f t="shared" si="2"/>
        <v>3426915.8461386282</v>
      </c>
    </row>
    <row r="10" spans="1:9" ht="15.75" customHeight="1" x14ac:dyDescent="0.25">
      <c r="A10" s="5">
        <f t="shared" si="3"/>
        <v>2032</v>
      </c>
      <c r="B10" s="49">
        <v>267218</v>
      </c>
      <c r="C10" s="50">
        <v>736479.49999999988</v>
      </c>
      <c r="D10" s="50">
        <v>1176995.5</v>
      </c>
      <c r="E10" s="50">
        <v>1068116.5</v>
      </c>
      <c r="F10" s="50">
        <v>791526.5</v>
      </c>
      <c r="G10" s="17">
        <f t="shared" si="0"/>
        <v>3773118</v>
      </c>
      <c r="H10" s="17">
        <f t="shared" si="1"/>
        <v>306342.56325843808</v>
      </c>
      <c r="I10" s="17">
        <f t="shared" si="2"/>
        <v>3466775.4367415621</v>
      </c>
    </row>
    <row r="11" spans="1:9" ht="15.75" customHeight="1" x14ac:dyDescent="0.25">
      <c r="A11" s="5">
        <f t="shared" si="3"/>
        <v>2033</v>
      </c>
      <c r="B11" s="49">
        <v>266582</v>
      </c>
      <c r="C11" s="50">
        <v>737297</v>
      </c>
      <c r="D11" s="50">
        <v>1185227.5</v>
      </c>
      <c r="E11" s="50">
        <v>1077081.5</v>
      </c>
      <c r="F11" s="50">
        <v>812711.5</v>
      </c>
      <c r="G11" s="17">
        <f t="shared" si="0"/>
        <v>3812317.5</v>
      </c>
      <c r="H11" s="17">
        <f t="shared" si="1"/>
        <v>305613.44369975431</v>
      </c>
      <c r="I11" s="17">
        <f t="shared" si="2"/>
        <v>3506704.0563002457</v>
      </c>
    </row>
    <row r="12" spans="1:9" ht="15.75" customHeight="1" x14ac:dyDescent="0.25">
      <c r="A12" s="5">
        <f t="shared" si="3"/>
        <v>2034</v>
      </c>
      <c r="B12" s="49">
        <v>265709</v>
      </c>
      <c r="C12" s="50">
        <v>738216.5</v>
      </c>
      <c r="D12" s="50">
        <v>1192803.5</v>
      </c>
      <c r="E12" s="50">
        <v>1086156.5</v>
      </c>
      <c r="F12" s="50">
        <v>832759.49999999988</v>
      </c>
      <c r="G12" s="17">
        <f t="shared" si="0"/>
        <v>3849936</v>
      </c>
      <c r="H12" s="17">
        <f t="shared" si="1"/>
        <v>304612.62392816477</v>
      </c>
      <c r="I12" s="17">
        <f t="shared" si="2"/>
        <v>3545323.3760718354</v>
      </c>
    </row>
    <row r="13" spans="1:9" ht="15.75" customHeight="1" x14ac:dyDescent="0.25">
      <c r="A13" s="5">
        <f t="shared" si="3"/>
        <v>2035</v>
      </c>
      <c r="B13" s="49">
        <v>264642</v>
      </c>
      <c r="C13" s="50">
        <v>739428</v>
      </c>
      <c r="D13" s="50">
        <v>1199578</v>
      </c>
      <c r="E13" s="50">
        <v>1095405</v>
      </c>
      <c r="F13" s="50">
        <v>851011.5</v>
      </c>
      <c r="G13" s="17">
        <f t="shared" si="0"/>
        <v>3885422.5</v>
      </c>
      <c r="H13" s="17">
        <f t="shared" si="1"/>
        <v>303389.39976288867</v>
      </c>
      <c r="I13" s="17">
        <f t="shared" si="2"/>
        <v>3582033.1002371116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DQIqf6kM/Xn+Begk4gXzLisR5jdv8i/slonhrV/mRwzXJIgEQjIOIcOEk3e0cOY2+3vaNuRhaDODxTDH+wopvQ==" saltValue="PA+W2ArMwND5i9nIZo0rb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3.6456003645600312E-3</v>
      </c>
    </row>
    <row r="4" spans="1:8" ht="15.75" customHeight="1" x14ac:dyDescent="0.25">
      <c r="B4" s="19" t="s">
        <v>97</v>
      </c>
      <c r="C4" s="101">
        <v>5.8251005825100642E-2</v>
      </c>
    </row>
    <row r="5" spans="1:8" ht="15.75" customHeight="1" x14ac:dyDescent="0.25">
      <c r="B5" s="19" t="s">
        <v>95</v>
      </c>
      <c r="C5" s="101">
        <v>5.1449305144930617E-2</v>
      </c>
    </row>
    <row r="6" spans="1:8" ht="15.75" customHeight="1" x14ac:dyDescent="0.25">
      <c r="B6" s="19" t="s">
        <v>91</v>
      </c>
      <c r="C6" s="101">
        <v>0.2125657212565718</v>
      </c>
    </row>
    <row r="7" spans="1:8" ht="15.75" customHeight="1" x14ac:dyDescent="0.25">
      <c r="B7" s="19" t="s">
        <v>96</v>
      </c>
      <c r="C7" s="101">
        <v>0.4356234435623445</v>
      </c>
    </row>
    <row r="8" spans="1:8" ht="15.75" customHeight="1" x14ac:dyDescent="0.25">
      <c r="B8" s="19" t="s">
        <v>98</v>
      </c>
      <c r="C8" s="101">
        <v>6.3460006346000757E-4</v>
      </c>
    </row>
    <row r="9" spans="1:8" ht="15.75" customHeight="1" x14ac:dyDescent="0.25">
      <c r="B9" s="19" t="s">
        <v>92</v>
      </c>
      <c r="C9" s="101">
        <v>0.14113301411330151</v>
      </c>
    </row>
    <row r="10" spans="1:8" ht="15.75" customHeight="1" x14ac:dyDescent="0.25">
      <c r="B10" s="19" t="s">
        <v>94</v>
      </c>
      <c r="C10" s="101">
        <v>9.6697309669731002E-2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0.14643778857166589</v>
      </c>
      <c r="D14" s="55">
        <v>0.14643778857166589</v>
      </c>
      <c r="E14" s="55">
        <v>0.14643778857166589</v>
      </c>
      <c r="F14" s="55">
        <v>0.14643778857166589</v>
      </c>
    </row>
    <row r="15" spans="1:8" ht="15.75" customHeight="1" x14ac:dyDescent="0.25">
      <c r="B15" s="19" t="s">
        <v>102</v>
      </c>
      <c r="C15" s="101">
        <v>0.39091396468178219</v>
      </c>
      <c r="D15" s="101">
        <v>0.39091396468178219</v>
      </c>
      <c r="E15" s="101">
        <v>0.39091396468178219</v>
      </c>
      <c r="F15" s="101">
        <v>0.39091396468178219</v>
      </c>
    </row>
    <row r="16" spans="1:8" ht="15.75" customHeight="1" x14ac:dyDescent="0.25">
      <c r="B16" s="19" t="s">
        <v>2</v>
      </c>
      <c r="C16" s="101">
        <v>1.3659483875896231E-2</v>
      </c>
      <c r="D16" s="101">
        <v>1.3659483875896231E-2</v>
      </c>
      <c r="E16" s="101">
        <v>1.3659483875896231E-2</v>
      </c>
      <c r="F16" s="101">
        <v>1.3659483875896231E-2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4.346055659389562E-4</v>
      </c>
      <c r="D18" s="101">
        <v>4.346055659389562E-4</v>
      </c>
      <c r="E18" s="101">
        <v>4.346055659389562E-4</v>
      </c>
      <c r="F18" s="101">
        <v>4.346055659389562E-4</v>
      </c>
    </row>
    <row r="19" spans="1:8" ht="15.75" customHeight="1" x14ac:dyDescent="0.25">
      <c r="B19" s="19" t="s">
        <v>101</v>
      </c>
      <c r="C19" s="101">
        <v>7.3238663536894996E-2</v>
      </c>
      <c r="D19" s="101">
        <v>7.3238663536894996E-2</v>
      </c>
      <c r="E19" s="101">
        <v>7.3238663536894996E-2</v>
      </c>
      <c r="F19" s="101">
        <v>7.3238663536894996E-2</v>
      </c>
    </row>
    <row r="20" spans="1:8" ht="15.75" customHeight="1" x14ac:dyDescent="0.25">
      <c r="B20" s="19" t="s">
        <v>79</v>
      </c>
      <c r="C20" s="101">
        <v>1.5811306996846401E-2</v>
      </c>
      <c r="D20" s="101">
        <v>1.5811306996846401E-2</v>
      </c>
      <c r="E20" s="101">
        <v>1.5811306996846401E-2</v>
      </c>
      <c r="F20" s="101">
        <v>1.5811306996846401E-2</v>
      </c>
    </row>
    <row r="21" spans="1:8" ht="15.75" customHeight="1" x14ac:dyDescent="0.25">
      <c r="B21" s="19" t="s">
        <v>88</v>
      </c>
      <c r="C21" s="101">
        <v>0.20377146627416279</v>
      </c>
      <c r="D21" s="101">
        <v>0.20377146627416279</v>
      </c>
      <c r="E21" s="101">
        <v>0.20377146627416279</v>
      </c>
      <c r="F21" s="101">
        <v>0.20377146627416279</v>
      </c>
    </row>
    <row r="22" spans="1:8" ht="15.75" customHeight="1" x14ac:dyDescent="0.25">
      <c r="B22" s="19" t="s">
        <v>99</v>
      </c>
      <c r="C22" s="101">
        <v>0.15573272049681261</v>
      </c>
      <c r="D22" s="101">
        <v>0.15573272049681261</v>
      </c>
      <c r="E22" s="101">
        <v>0.15573272049681261</v>
      </c>
      <c r="F22" s="101">
        <v>0.15573272049681261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6.8104466000000002E-2</v>
      </c>
    </row>
    <row r="27" spans="1:8" ht="15.75" customHeight="1" x14ac:dyDescent="0.25">
      <c r="B27" s="19" t="s">
        <v>89</v>
      </c>
      <c r="C27" s="101">
        <v>4.1400316000000013E-2</v>
      </c>
    </row>
    <row r="28" spans="1:8" ht="15.75" customHeight="1" x14ac:dyDescent="0.25">
      <c r="B28" s="19" t="s">
        <v>103</v>
      </c>
      <c r="C28" s="101">
        <v>0.33340020500000001</v>
      </c>
    </row>
    <row r="29" spans="1:8" ht="15.75" customHeight="1" x14ac:dyDescent="0.25">
      <c r="B29" s="19" t="s">
        <v>86</v>
      </c>
      <c r="C29" s="101">
        <v>0.12901136499999999</v>
      </c>
    </row>
    <row r="30" spans="1:8" ht="15.75" customHeight="1" x14ac:dyDescent="0.25">
      <c r="B30" s="19" t="s">
        <v>4</v>
      </c>
      <c r="C30" s="101">
        <v>9.0447656999999987E-2</v>
      </c>
    </row>
    <row r="31" spans="1:8" ht="15.75" customHeight="1" x14ac:dyDescent="0.25">
      <c r="B31" s="19" t="s">
        <v>80</v>
      </c>
      <c r="C31" s="101">
        <v>5.0940217000000003E-2</v>
      </c>
    </row>
    <row r="32" spans="1:8" ht="15.75" customHeight="1" x14ac:dyDescent="0.25">
      <c r="B32" s="19" t="s">
        <v>85</v>
      </c>
      <c r="C32" s="101">
        <v>1.0491317999999999E-2</v>
      </c>
    </row>
    <row r="33" spans="2:3" ht="15.75" customHeight="1" x14ac:dyDescent="0.25">
      <c r="B33" s="19" t="s">
        <v>100</v>
      </c>
      <c r="C33" s="101">
        <v>8.3462208999999982E-2</v>
      </c>
    </row>
    <row r="34" spans="2:3" ht="15.75" customHeight="1" x14ac:dyDescent="0.25">
      <c r="B34" s="19" t="s">
        <v>87</v>
      </c>
      <c r="C34" s="101">
        <v>0.19274224700000001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Wc+rHBCaO4ttadLqXLC0g9zV6oAUbKIogB+JLv0bGSTkpOEl6mWdVwCq0i3qlrel7P1Gan3FMAinS6yTXDg/7w==" saltValue="qA9tyAriv+cNE2dBLRcsw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0.5052320066812086</v>
      </c>
      <c r="D2" s="52">
        <f>IFERROR(1-_xlfn.NORM.DIST(_xlfn.NORM.INV(SUM(D4:D5), 0, 1) + 1, 0, 1, TRUE), "")</f>
        <v>0.5052320066812086</v>
      </c>
      <c r="E2" s="52">
        <f>IFERROR(1-_xlfn.NORM.DIST(_xlfn.NORM.INV(SUM(E4:E5), 0, 1) + 1, 0, 1, TRUE), "")</f>
        <v>0.57093155676470841</v>
      </c>
      <c r="F2" s="52">
        <f>IFERROR(1-_xlfn.NORM.DIST(_xlfn.NORM.INV(SUM(F4:F5), 0, 1) + 1, 0, 1, TRUE), "")</f>
        <v>0.47407796175377315</v>
      </c>
      <c r="G2" s="52">
        <f>IFERROR(1-_xlfn.NORM.DIST(_xlfn.NORM.INV(SUM(G4:G5), 0, 1) + 1, 0, 1, TRUE), "")</f>
        <v>0.48963584930655313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0.33926539331879141</v>
      </c>
      <c r="D3" s="52">
        <f>IFERROR(_xlfn.NORM.DIST(_xlfn.NORM.INV(SUM(D4:D5), 0, 1) + 1, 0, 1, TRUE) - SUM(D4:D5), "")</f>
        <v>0.33926539331879141</v>
      </c>
      <c r="E3" s="52">
        <f>IFERROR(_xlfn.NORM.DIST(_xlfn.NORM.INV(SUM(E4:E5), 0, 1) + 1, 0, 1, TRUE) - SUM(E4:E5), "")</f>
        <v>0.30981884323529157</v>
      </c>
      <c r="F3" s="52">
        <f>IFERROR(_xlfn.NORM.DIST(_xlfn.NORM.INV(SUM(F4:F5), 0, 1) + 1, 0, 1, TRUE) - SUM(F4:F5), "")</f>
        <v>0.35102203824622685</v>
      </c>
      <c r="G3" s="52">
        <f>IFERROR(_xlfn.NORM.DIST(_xlfn.NORM.INV(SUM(G4:G5), 0, 1) + 1, 0, 1, TRUE) - SUM(G4:G5), "")</f>
        <v>0.34534035069344687</v>
      </c>
    </row>
    <row r="4" spans="1:15" ht="15.75" customHeight="1" x14ac:dyDescent="0.25">
      <c r="B4" s="5" t="s">
        <v>110</v>
      </c>
      <c r="C4" s="45">
        <v>9.9006399999999994E-2</v>
      </c>
      <c r="D4" s="53">
        <v>9.9006399999999994E-2</v>
      </c>
      <c r="E4" s="53">
        <v>7.5483000000000008E-2</v>
      </c>
      <c r="F4" s="53">
        <v>0.1208683</v>
      </c>
      <c r="G4" s="53">
        <v>0.12677720000000001</v>
      </c>
    </row>
    <row r="5" spans="1:15" ht="15.75" customHeight="1" x14ac:dyDescent="0.25">
      <c r="B5" s="5" t="s">
        <v>106</v>
      </c>
      <c r="C5" s="45">
        <v>5.6496200000000003E-2</v>
      </c>
      <c r="D5" s="53">
        <v>5.6496200000000003E-2</v>
      </c>
      <c r="E5" s="53">
        <v>4.3766600000000003E-2</v>
      </c>
      <c r="F5" s="53">
        <v>5.4031700000000002E-2</v>
      </c>
      <c r="G5" s="53">
        <v>3.8246599999999999E-2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0.71831623593806282</v>
      </c>
      <c r="D8" s="52">
        <f>IFERROR(1-_xlfn.NORM.DIST(_xlfn.NORM.INV(SUM(D10:D11), 0, 1) + 1, 0, 1, TRUE), "")</f>
        <v>0.71831623593806282</v>
      </c>
      <c r="E8" s="52">
        <f>IFERROR(1-_xlfn.NORM.DIST(_xlfn.NORM.INV(SUM(E10:E11), 0, 1) + 1, 0, 1, TRUE), "")</f>
        <v>0.89517483931743669</v>
      </c>
      <c r="F8" s="52">
        <f>IFERROR(1-_xlfn.NORM.DIST(_xlfn.NORM.INV(SUM(F10:F11), 0, 1) + 1, 0, 1, TRUE), "")</f>
        <v>0.86350647454993412</v>
      </c>
      <c r="G8" s="52">
        <f>IFERROR(1-_xlfn.NORM.DIST(_xlfn.NORM.INV(SUM(G10:G11), 0, 1) + 1, 0, 1, TRUE), "")</f>
        <v>0.87255591917208486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0.22438336406193718</v>
      </c>
      <c r="D9" s="52">
        <f>IFERROR(_xlfn.NORM.DIST(_xlfn.NORM.INV(SUM(D10:D11), 0, 1) + 1, 0, 1, TRUE) - SUM(D10:D11), "")</f>
        <v>0.22438336406193718</v>
      </c>
      <c r="E9" s="52">
        <f>IFERROR(_xlfn.NORM.DIST(_xlfn.NORM.INV(SUM(E10:E11), 0, 1) + 1, 0, 1, TRUE) - SUM(E10:E11), "")</f>
        <v>9.2743660682563345E-2</v>
      </c>
      <c r="F9" s="52">
        <f>IFERROR(_xlfn.NORM.DIST(_xlfn.NORM.INV(SUM(F10:F11), 0, 1) + 1, 0, 1, TRUE) - SUM(F10:F11), "")</f>
        <v>0.11846172545006591</v>
      </c>
      <c r="G9" s="52">
        <f>IFERROR(_xlfn.NORM.DIST(_xlfn.NORM.INV(SUM(G10:G11), 0, 1) + 1, 0, 1, TRUE) - SUM(G10:G11), "")</f>
        <v>0.11120828082791512</v>
      </c>
    </row>
    <row r="10" spans="1:15" ht="15.75" customHeight="1" x14ac:dyDescent="0.25">
      <c r="B10" s="5" t="s">
        <v>107</v>
      </c>
      <c r="C10" s="45">
        <v>1.6462299999999999E-2</v>
      </c>
      <c r="D10" s="53">
        <v>1.6462299999999999E-2</v>
      </c>
      <c r="E10" s="53">
        <v>6.1853000000000003E-3</v>
      </c>
      <c r="F10" s="53">
        <v>1.06268E-2</v>
      </c>
      <c r="G10" s="53">
        <v>9.9104999999999992E-3</v>
      </c>
    </row>
    <row r="11" spans="1:15" ht="15.75" customHeight="1" x14ac:dyDescent="0.25">
      <c r="B11" s="5" t="s">
        <v>119</v>
      </c>
      <c r="C11" s="45">
        <v>4.0838100000000002E-2</v>
      </c>
      <c r="D11" s="53">
        <v>4.0838100000000002E-2</v>
      </c>
      <c r="E11" s="53">
        <v>5.8962000000000007E-3</v>
      </c>
      <c r="F11" s="53">
        <v>7.4050000000000001E-3</v>
      </c>
      <c r="G11" s="53">
        <v>6.3253000000000007E-3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0.81728989924999995</v>
      </c>
      <c r="D14" s="54">
        <v>0.77722719937100004</v>
      </c>
      <c r="E14" s="54">
        <v>0.77722719937100004</v>
      </c>
      <c r="F14" s="54">
        <v>0.50306668461399995</v>
      </c>
      <c r="G14" s="54">
        <v>0.50306668461399995</v>
      </c>
      <c r="H14" s="45">
        <v>0.36799999999999999</v>
      </c>
      <c r="I14" s="55">
        <v>0.36799999999999999</v>
      </c>
      <c r="J14" s="55">
        <v>0.36799999999999999</v>
      </c>
      <c r="K14" s="55">
        <v>0.36799999999999999</v>
      </c>
      <c r="L14" s="45">
        <v>0.29799999999999999</v>
      </c>
      <c r="M14" s="55">
        <v>0.29799999999999999</v>
      </c>
      <c r="N14" s="55">
        <v>0.29799999999999999</v>
      </c>
      <c r="O14" s="55">
        <v>0.29799999999999999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0.42694652233890529</v>
      </c>
      <c r="D15" s="52">
        <f t="shared" si="0"/>
        <v>0.4060180483610149</v>
      </c>
      <c r="E15" s="52">
        <f t="shared" si="0"/>
        <v>0.4060180483610149</v>
      </c>
      <c r="F15" s="52">
        <f t="shared" si="0"/>
        <v>0.2627985145755613</v>
      </c>
      <c r="G15" s="52">
        <f t="shared" si="0"/>
        <v>0.2627985145755613</v>
      </c>
      <c r="H15" s="52">
        <f t="shared" si="0"/>
        <v>0.19224062400000003</v>
      </c>
      <c r="I15" s="52">
        <f t="shared" si="0"/>
        <v>0.19224062400000003</v>
      </c>
      <c r="J15" s="52">
        <f t="shared" si="0"/>
        <v>0.19224062400000003</v>
      </c>
      <c r="K15" s="52">
        <f t="shared" si="0"/>
        <v>0.19224062400000003</v>
      </c>
      <c r="L15" s="52">
        <f t="shared" si="0"/>
        <v>0.15567311400000003</v>
      </c>
      <c r="M15" s="52">
        <f t="shared" si="0"/>
        <v>0.15567311400000003</v>
      </c>
      <c r="N15" s="52">
        <f t="shared" si="0"/>
        <v>0.15567311400000003</v>
      </c>
      <c r="O15" s="52">
        <f t="shared" si="0"/>
        <v>0.15567311400000003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7rDlvU5E9KLu70a+eau6k5ZS3+nbt4ZOVC/G2YZwIQTooBWMEeYBE0YY1NX/UrgUUzpt0rafXlOmtxhNtgAspw==" saltValue="soB1OypQRePXglpopo0c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0.63335149999999996</v>
      </c>
      <c r="D2" s="53">
        <v>0.57843060000000002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1.9000099999999999E-2</v>
      </c>
      <c r="D3" s="53">
        <v>9.86514E-2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0.2879409</v>
      </c>
      <c r="D4" s="53">
        <v>0.28117239999999999</v>
      </c>
      <c r="E4" s="53">
        <v>0.87896350000000001</v>
      </c>
      <c r="F4" s="53">
        <v>0.59752729999999998</v>
      </c>
      <c r="G4" s="53">
        <v>0</v>
      </c>
    </row>
    <row r="5" spans="1:7" x14ac:dyDescent="0.25">
      <c r="B5" s="3" t="s">
        <v>125</v>
      </c>
      <c r="C5" s="52">
        <v>5.97076E-2</v>
      </c>
      <c r="D5" s="52">
        <v>4.1745599999999987E-2</v>
      </c>
      <c r="E5" s="52">
        <f>1-SUM(E2:E4)</f>
        <v>0.12103649999999999</v>
      </c>
      <c r="F5" s="52">
        <f>1-SUM(F2:F4)</f>
        <v>0.40247270000000002</v>
      </c>
      <c r="G5" s="52">
        <f>1-SUM(G2:G4)</f>
        <v>1</v>
      </c>
    </row>
  </sheetData>
  <sheetProtection algorithmName="SHA-512" hashValue="qStZIm4xvjLhca8Vx3YGnwKgoULKJqubhN48V4FcLHJrLhHQee5OtFEbIcv5tqm5H4kfctVfyieHNA3AmNA3Ow==" saltValue="jGSCkfG4BcZV5xqDk2NW5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o9Tp4vIhXAzcx7SEweOjRD30WIEcOq4F1D0Eb+zkOEm15JwmHJQNOAkO1gJMnZ24KBsJSk4F/RporsSpNXFbw==" saltValue="dLFeoYlLBhILJdDJHhe37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l79BBq1dFUlA8WAO+LYBRAXNnKn7ZqbDMObNu/qbuE9kxQkikqRZiAjTjv10j0lVVVUNnW1r1cyYcAyTkkfz3Q==" saltValue="6/Z87AORU4GAoRwix0N1v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5W5gfSTQm0ZLZX43tl3MFOI1iUzEFqUoC6rUZvk3Dn8PasG5T/mQoZ07Ecgp+QLm+8UWMWQCJGZRpiwbXOkQ4w==" saltValue="bYjTqwKYYLBhYlBLu+Svg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6yfUP+haotM3e2RiAE/GrVC7JaLLMND/fogtokjBOYUtNRnJ/832frkOGWgWPtFK4AuHbj6dooH5PRnIRGMAhg==" saltValue="GY9PejRl9zOI7wIKaOeqt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51.401759028170218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39.731579279716087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310.49560891409538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0.84658616962475519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0.25147419999999998</v>
      </c>
      <c r="C10" s="98">
        <v>0.95</v>
      </c>
      <c r="D10" s="56">
        <v>12.863878723512009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12.863878723512009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12.863878723512009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12.863878723512009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0.25147419999999998</v>
      </c>
      <c r="C14" s="98">
        <v>0.95</v>
      </c>
      <c r="D14" s="56">
        <v>12.863878723512009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12.863878723512009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0.57064452340735461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0.191266666666667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0.57843060000000002</v>
      </c>
      <c r="C18" s="98">
        <v>0.95</v>
      </c>
      <c r="D18" s="56">
        <v>7.1893102094440149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0.57843060000000002</v>
      </c>
      <c r="C19" s="98">
        <v>0.95</v>
      </c>
      <c r="D19" s="56">
        <v>7.1893102094440149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9.7399777981275673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22.12118995836277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4.1866497120487418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0.62066605665885999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0.25147419999999998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18.43140089545771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0.1417909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0.67377399999999998</v>
      </c>
      <c r="C29" s="98">
        <v>0.95</v>
      </c>
      <c r="D29" s="56">
        <v>98.521408904830395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1.01886993046857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0.31</v>
      </c>
      <c r="C32" s="98">
        <v>0.95</v>
      </c>
      <c r="D32" s="56">
        <v>1.210007178251463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0.26987369999999999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0.16559660000000001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1.1714E-3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0.67045480000000002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2.0761999999999999E-2</v>
      </c>
      <c r="C38" s="98">
        <v>0.95</v>
      </c>
      <c r="D38" s="56">
        <v>4.1448077543726143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7gQdkC6b6X9CeCzeyPnnYQCmgxtlzjGTJ/FoYq0yyTJE4TWIR1hejxni7z2aKs6oksPlXywfHgKq+ZPNxRnzXg==" saltValue="fRz6J8CiydqiWBd9mJcn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Sa72i/t/b87J0MGuiqFSfaWQqybY5jpJxOKNd/NL6Ob/zgfqjY13K1x+NJc92LRsnIF1Ln2nbxutb2yItK71gQ==" saltValue="Frhkis8l+kMAedFUsbhX7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nRM8MDouhMfUkKSWzwginH06O2iEGgKaSCUuJsk2r4JJ5yO0AqGd+SR6ALIauL9c+7N32Vxn1E2HD1a1kOoLSA==" saltValue="iT1R2OqizV4sjv8BJ8fyu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4.2801979999999996E-2</v>
      </c>
      <c r="C3" s="21">
        <f>frac_mam_1_5months * 2.6</f>
        <v>4.2801979999999996E-2</v>
      </c>
      <c r="D3" s="21">
        <f>frac_mam_6_11months * 2.6</f>
        <v>1.608178E-2</v>
      </c>
      <c r="E3" s="21">
        <f>frac_mam_12_23months * 2.6</f>
        <v>2.7629680000000004E-2</v>
      </c>
      <c r="F3" s="21">
        <f>frac_mam_24_59months * 2.6</f>
        <v>2.57673E-2</v>
      </c>
    </row>
    <row r="4" spans="1:6" ht="15.75" customHeight="1" x14ac:dyDescent="0.25">
      <c r="A4" s="3" t="s">
        <v>207</v>
      </c>
      <c r="B4" s="21">
        <f>frac_sam_1month * 2.6</f>
        <v>0.10617906000000001</v>
      </c>
      <c r="C4" s="21">
        <f>frac_sam_1_5months * 2.6</f>
        <v>0.10617906000000001</v>
      </c>
      <c r="D4" s="21">
        <f>frac_sam_6_11months * 2.6</f>
        <v>1.5330120000000003E-2</v>
      </c>
      <c r="E4" s="21">
        <f>frac_sam_12_23months * 2.6</f>
        <v>1.9252999999999999E-2</v>
      </c>
      <c r="F4" s="21">
        <f>frac_sam_24_59months * 2.6</f>
        <v>1.6445780000000004E-2</v>
      </c>
    </row>
  </sheetData>
  <sheetProtection algorithmName="SHA-512" hashValue="3OVv/L6hm2Xa9n3ZrpOTQcIcMvcJPu6c+OpWthQXq4NFLF6Y/e6E8YXjXdMo+4ks61DXqx7GXV4bu3bjlTKfGg==" saltValue="k+0Ej3+jIV5EVfhjSEATp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4.4999999999999998E-2</v>
      </c>
      <c r="E2" s="60">
        <f>food_insecure</f>
        <v>4.4999999999999998E-2</v>
      </c>
      <c r="F2" s="60">
        <f>food_insecure</f>
        <v>4.4999999999999998E-2</v>
      </c>
      <c r="G2" s="60">
        <f>food_insecure</f>
        <v>4.4999999999999998E-2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4.4999999999999998E-2</v>
      </c>
      <c r="F5" s="60">
        <f>food_insecure</f>
        <v>4.4999999999999998E-2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4.4999999999999998E-2</v>
      </c>
      <c r="F8" s="60">
        <f>food_insecure</f>
        <v>4.4999999999999998E-2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4.4999999999999998E-2</v>
      </c>
      <c r="F9" s="60">
        <f>food_insecure</f>
        <v>4.4999999999999998E-2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4.4999999999999998E-2</v>
      </c>
      <c r="I15" s="60">
        <f>food_insecure</f>
        <v>4.4999999999999998E-2</v>
      </c>
      <c r="J15" s="60">
        <f>food_insecure</f>
        <v>4.4999999999999998E-2</v>
      </c>
      <c r="K15" s="60">
        <f>food_insecure</f>
        <v>4.4999999999999998E-2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0.57200000000000006</v>
      </c>
      <c r="M24" s="60">
        <f>famplan_unmet_need</f>
        <v>0.57200000000000006</v>
      </c>
      <c r="N24" s="60">
        <f>famplan_unmet_need</f>
        <v>0.57200000000000006</v>
      </c>
      <c r="O24" s="60">
        <f>famplan_unmet_need</f>
        <v>0.57200000000000006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0.11120242513656596</v>
      </c>
      <c r="M25" s="60">
        <f>(1-food_insecure)*(0.49)+food_insecure*(0.7)</f>
        <v>0.49944999999999995</v>
      </c>
      <c r="N25" s="60">
        <f>(1-food_insecure)*(0.49)+food_insecure*(0.7)</f>
        <v>0.49944999999999995</v>
      </c>
      <c r="O25" s="60">
        <f>(1-food_insecure)*(0.49)+food_insecure*(0.7)</f>
        <v>0.49944999999999995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4.7658182201385409E-2</v>
      </c>
      <c r="M26" s="60">
        <f>(1-food_insecure)*(0.21)+food_insecure*(0.3)</f>
        <v>0.21404999999999999</v>
      </c>
      <c r="N26" s="60">
        <f>(1-food_insecure)*(0.21)+food_insecure*(0.3)</f>
        <v>0.21404999999999999</v>
      </c>
      <c r="O26" s="60">
        <f>(1-food_insecure)*(0.21)+food_insecure*(0.3)</f>
        <v>0.21404999999999999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6.378915767669667E-2</v>
      </c>
      <c r="M27" s="60">
        <f>(1-food_insecure)*(0.3)</f>
        <v>0.28649999999999998</v>
      </c>
      <c r="N27" s="60">
        <f>(1-food_insecure)*(0.3)</f>
        <v>0.28649999999999998</v>
      </c>
      <c r="O27" s="60">
        <f>(1-food_insecure)*(0.3)</f>
        <v>0.28649999999999998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0.77735023498535194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bl3AfgLIb0TfVNZXyrvLs5/ZW8CJYCQWETzla9A9WlMHYyhDnzD5O0owtaQyHxAnQ5GumoaK2ptUbf8MiE5Sg==" saltValue="8ZSVSzDRq9OmSvq+psLO1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M0x8oAk7ZZ2DP4Kj3BLuDGxSzUNHihSVUIhkXcTV72+peUDeUu9uhlcj3iDA3ULxsk/DiPXmtMNeJE9H3l1JeA==" saltValue="kOBgPRxOPOOp8kqe6zp81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16EbVZSM8dRwHcHxMJ5kwBKLkqgwLMIspBKpncHLQ2h2DFEnsKtYAz3NmoCYGKk1dQgWJBNt5GFICwlTTLZLQ==" saltValue="FGLjiJvPhn7Vgjxbs32BN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PMgkdkV18rOLBZ45/vg1sJ7bAyfFRy+s6Bb2mWrgZKfQYgIARjvQprH0TIArZScgfb2qzPV54JQ1iA3PPR2BA==" saltValue="64qzl1wBLU6D40qfz695E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m7Xy3Hn9Sr0eYz4LenBV5/XtV3wwsmjLH2f+a4mswgHeuK4HpYDB6WOWPNHjSC0tRmWkCqBjwh+SMHjTtwlsXg==" saltValue="dCZNdXD737RU1ZQZE2Iqh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uNnIwW9J1cIkEiiZx9gzhW/X6+1lTpBwTZJqDDGK/jyn7qupREUMJPL7IKovAj4Wjg7wbGVUQ84eG2xxECWfXw==" saltValue="W/F1PY/oX8KX0loxiQbsi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Lb3lO66p3bKU00EDoUSFYZNYEKOHSqJcerTv6HN/RGsROgReulrPpYK7kqrjZdhEIDsrFGGP93mdEYMflz8Bw==" saltValue="BszubL6yryLFFpxUvvrl7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0ZUQmumTlX3WkO0YL/42BndL0GNlODcF61v9cTIf+HKZBS82/j5AsZbxriBdYqWdR0/9xlAvGzfszz34VIJVBw==" saltValue="YrxsX+cZ7Gbp6go3c8OS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me9KolnmRNN5sp0qpHmM4W1fxFO0SEPqq6s2XxQlS4zCZT1le5Wfz6RsLzksHeoOaKkDTAWNNG7OMn9lWESTfw==" saltValue="AdbtPdhZqYL0/sG0VWoG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klHM4d74ezqJiBFS6Gum0Pn8vOOiSCXlNEZJA610hfN/oJZjD35QzWHhpoEqTrH6arJWB+crgsghPJjGBK+Quw==" saltValue="H0KPZPZeRLGPQJSv1g+s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6RauyRCN5EgcuQQ1D2YSiQgr8KfqDZah2fjQk2lRxNa9VbdmFOUvD/4r4rBcb1JM341M9LZV3xpCzRk1buzFWA==" saltValue="/4AdjsP4jtY1eHb9AjAH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diEUHqWzIXihylx/mmSaSE9TBQ0nTF+35nO3b8EysDeznY2jNzV47uymeo4LGZJy+6V8PEpTancd9GV+IPQew==" saltValue="Iuz0CkmN/+e6Fq/loiJa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/fi2FqyYXncBWNLVtO70HaVxi6hMf9rdpZkiPvw9dap/KUMtui6uS15AgQ1q5UDRZJTPCzhU6F4lHEK4pMuPMQ==" saltValue="EBYoDwbF4MKQ2rWWODdhB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0.10942238739085863</v>
      </c>
      <c r="G18" s="90">
        <f>MIN(MAX(1-0.89/(1-frac_sam_12_23months+(frac_sam_12_23months*0.89)),0),1)</f>
        <v>0.10927445951099468</v>
      </c>
      <c r="H18" s="90">
        <f>MIN(MAX(1-0.89/(1-frac_sam_24_59months+(frac_sam_24_59months*0.89)),0),1)</f>
        <v>0.10938032196856029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0.10939404684977783</v>
      </c>
      <c r="G20" s="90">
        <f>MIN(MAX(1-0.89/(1-frac_mam_12_23months+(frac_mam_12_23months*0.89)),0),1)</f>
        <v>0.10895841872565248</v>
      </c>
      <c r="H20" s="90">
        <f>MIN(MAX(1-0.89/(1-frac_mam_24_59months+(frac_mam_24_59months*0.89)),0),1)</f>
        <v>0.10902870318592151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9.9416241780447834E-3</v>
      </c>
      <c r="G73" s="90">
        <f>MIN(MAX(1-0.99/(1-frac_sam_12_23months+(frac_sam_12_23months*0.99)),0),1)</f>
        <v>9.9266850710294507E-3</v>
      </c>
      <c r="H73" s="90">
        <f>MIN(MAX(1-0.99/(1-frac_sam_24_59months+(frac_sam_24_59months*0.99)),0),1)</f>
        <v>9.9373755688169085E-3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9.9387617422300734E-3</v>
      </c>
      <c r="G75" s="90">
        <f>MIN(MAX(1-0.99/(1-frac_mam_12_23months+(frac_mam_12_23months*0.99)),0),1)</f>
        <v>9.894783498852866E-3</v>
      </c>
      <c r="H75" s="90">
        <f>MIN(MAX(1-0.99/(1-frac_mam_24_59months+(frac_mam_24_59months*0.99)),0),1)</f>
        <v>9.9018763254531406E-3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0.19905549420098145</v>
      </c>
      <c r="G128" s="90">
        <f>MIN(MAX(1-0.8/(1-frac_sam_12_23months+(frac_sam_12_23months*0.8)),0),1)</f>
        <v>0.19881344270865153</v>
      </c>
      <c r="H128" s="90">
        <f>MIN(MAX(1-0.8/(1-frac_sam_24_59months+(frac_sam_24_59months*0.8)),0),1)</f>
        <v>0.19898667007684745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0.19900912622969369</v>
      </c>
      <c r="G130" s="90">
        <f>MIN(MAX(1-0.8/(1-frac_mam_12_23months+(frac_mam_12_23months*0.8)),0),1)</f>
        <v>0.19829609057907305</v>
      </c>
      <c r="H130" s="90">
        <f>MIN(MAX(1-0.8/(1-frac_mam_24_59months+(frac_mam_24_59months*0.8)),0),1)</f>
        <v>0.19841117078160608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nwUs73OjcvcKyM/iJXflLaVpNjzJTbLRZdxS4SkwbCDFDpXcnC7UjZWzLpz9/am2DA89LAtJckkUKlEWfeZ5hA==" saltValue="26fiIurb7kz339uMpqjv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5toIOCFPUgyTz2WXJxAlrkT63kw0h6bIBvkwAm0ALhVZ3xgNLRcmfmf+CXNOFtt6PLuxhKb+YZRvytLyAmJ65Q==" saltValue="nckmL8eZOOEF01AXFDpoZ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2024-08-06T07:22:54Z</dcterms:modified>
</cp:coreProperties>
</file>