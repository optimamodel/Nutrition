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055C366C-C32D-4795-912F-472E19DA9D9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A36" i="2"/>
  <c r="A34" i="2"/>
  <c r="A31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5" i="2" l="1"/>
  <c r="I4" i="2"/>
  <c r="A26" i="2"/>
  <c r="I39" i="2"/>
  <c r="I6" i="2"/>
  <c r="I12" i="2"/>
  <c r="A35" i="2"/>
  <c r="A37" i="2"/>
  <c r="I38" i="2"/>
  <c r="I2" i="2"/>
  <c r="I8" i="2"/>
  <c r="A1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<sst xmlns="http://schemas.openxmlformats.org/spreadsheetml/2006/main" count="2169" uniqueCount="373">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</sst>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1988148.15625</v>
      </c>
    </row>
    <row r="8" spans="1:3" ht="15" customHeight="1" x14ac:dyDescent="0.25">
      <c r="B8" s="5" t="s">
        <v>63</v>
      </c>
      <c r="C8" s="44">
        <v>0.55500000000000005</v>
      </c>
    </row>
    <row r="9" spans="1:3" ht="15" customHeight="1" x14ac:dyDescent="0.25">
      <c r="B9" s="5" t="s">
        <v>62</v>
      </c>
      <c r="C9" s="45">
        <v>7.0000000000000007E-2</v>
      </c>
    </row>
    <row r="10" spans="1:3" ht="15" customHeight="1" x14ac:dyDescent="0.25">
      <c r="B10" s="5" t="s">
        <v>75</v>
      </c>
      <c r="C10" s="45">
        <v>0.29895069122314499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4.6199999999999998E-2</v>
      </c>
    </row>
    <row r="24" spans="1:3" ht="15" customHeight="1" x14ac:dyDescent="0.25">
      <c r="B24" s="15" t="s">
        <v>65</v>
      </c>
      <c r="C24" s="45">
        <v>0.50180000000000002</v>
      </c>
    </row>
    <row r="25" spans="1:3" ht="15" customHeight="1" x14ac:dyDescent="0.25">
      <c r="B25" s="15" t="s">
        <v>66</v>
      </c>
      <c r="C25" s="45">
        <v>0.36330000000000001</v>
      </c>
    </row>
    <row r="26" spans="1:3" ht="15" customHeight="1" x14ac:dyDescent="0.25">
      <c r="B26" s="15" t="s">
        <v>67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0.254787647396997</v>
      </c>
    </row>
    <row r="30" spans="1:3" ht="14.25" customHeight="1" x14ac:dyDescent="0.25">
      <c r="B30" s="25" t="s">
        <v>82</v>
      </c>
      <c r="C30" s="97">
        <v>3.6806607194084101E-2</v>
      </c>
    </row>
    <row r="31" spans="1:3" ht="14.25" customHeight="1" x14ac:dyDescent="0.25">
      <c r="B31" s="25" t="s">
        <v>29</v>
      </c>
      <c r="C31" s="97">
        <v>7.3852638350173999E-2</v>
      </c>
    </row>
    <row r="32" spans="1:3" ht="14.25" customHeight="1" x14ac:dyDescent="0.25">
      <c r="B32" s="25" t="s">
        <v>30</v>
      </c>
      <c r="C32" s="97">
        <v>0.63455310705874501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17.52411</v>
      </c>
    </row>
    <row r="38" spans="1:5" ht="15" customHeight="1" x14ac:dyDescent="0.25">
      <c r="B38" s="11" t="s">
        <v>54</v>
      </c>
      <c r="C38" s="43">
        <v>29.650749999999999</v>
      </c>
      <c r="D38" s="12"/>
      <c r="E38" s="13"/>
    </row>
    <row r="39" spans="1:5" ht="15" customHeight="1" x14ac:dyDescent="0.25">
      <c r="B39" s="11" t="s">
        <v>80</v>
      </c>
      <c r="C39" s="43">
        <v>39.438879999999997</v>
      </c>
      <c r="D39" s="12"/>
      <c r="E39" s="12"/>
    </row>
    <row r="40" spans="1:5" ht="15" customHeight="1" x14ac:dyDescent="0.25">
      <c r="B40" s="11" t="s">
        <v>55</v>
      </c>
      <c r="C40" s="98">
        <v>2.59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7.9924000000000002E-3</v>
      </c>
      <c r="D45" s="12"/>
    </row>
    <row r="46" spans="1:5" ht="15.75" customHeight="1" x14ac:dyDescent="0.25">
      <c r="B46" s="11" t="s">
        <v>70</v>
      </c>
      <c r="C46" s="45">
        <v>8.54993E-2</v>
      </c>
      <c r="D46" s="12"/>
    </row>
    <row r="47" spans="1:5" ht="15.75" customHeight="1" x14ac:dyDescent="0.25">
      <c r="B47" s="11" t="s">
        <v>78</v>
      </c>
      <c r="C47" s="45">
        <v>0.16339429999999999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0.62000600000000006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DOR44+vIAJei3xuAUGlozFGsVhhT8m3LLBYF66JKw8+H/yxrQ0fYA6Vm3cmpJwsafbvjh6I4kmkCCP32p5Nmyg==" saltValue="SfVP4mVBK/wtLNe6RPns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400062</v>
      </c>
      <c r="C2" s="49">
        <v>798499</v>
      </c>
      <c r="D2" s="49">
        <v>1245106</v>
      </c>
      <c r="E2" s="49">
        <v>974518</v>
      </c>
      <c r="F2" s="49">
        <v>716323</v>
      </c>
      <c r="G2" s="17">
        <f t="shared" ref="G2:G13" si="0">C2+D2+E2+F2</f>
        <v>3734446</v>
      </c>
      <c r="H2" s="17">
        <f t="shared" ref="H2:H13" si="1">(B2 + stillbirth*B2/(1000-stillbirth))/(1-abortion)</f>
        <v>462359.81645436567</v>
      </c>
      <c r="I2" s="17">
        <f t="shared" ref="I2:I13" si="2">G2-H2</f>
        <v>3272086.1835456342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404109</v>
      </c>
      <c r="C3" s="50">
        <v>797849.5</v>
      </c>
      <c r="D3" s="50">
        <v>1295305</v>
      </c>
      <c r="E3" s="50">
        <v>987597.50000000012</v>
      </c>
      <c r="F3" s="50">
        <v>751151.00000000012</v>
      </c>
      <c r="G3" s="17">
        <f t="shared" si="0"/>
        <v>3831903</v>
      </c>
      <c r="H3" s="17">
        <f t="shared" si="1"/>
        <v>467037.01693126879</v>
      </c>
      <c r="I3" s="17">
        <f t="shared" si="2"/>
        <v>3364865.9830687311</v>
      </c>
    </row>
    <row r="4" spans="1:9" ht="15.75" customHeight="1" x14ac:dyDescent="0.25">
      <c r="A4" s="5">
        <f t="shared" si="3"/>
        <v>2026</v>
      </c>
      <c r="B4" s="49">
        <v>409278</v>
      </c>
      <c r="C4" s="50">
        <v>796481.5</v>
      </c>
      <c r="D4" s="50">
        <v>1346244</v>
      </c>
      <c r="E4" s="50">
        <v>1001450.5</v>
      </c>
      <c r="F4" s="50">
        <v>784349.5</v>
      </c>
      <c r="G4" s="17">
        <f t="shared" si="0"/>
        <v>3928525.5</v>
      </c>
      <c r="H4" s="17">
        <f t="shared" si="1"/>
        <v>473010.93570199091</v>
      </c>
      <c r="I4" s="17">
        <f t="shared" si="2"/>
        <v>3455514.564298009</v>
      </c>
    </row>
    <row r="5" spans="1:9" ht="15.75" customHeight="1" x14ac:dyDescent="0.25">
      <c r="A5" s="5">
        <f t="shared" si="3"/>
        <v>2027</v>
      </c>
      <c r="B5" s="49">
        <v>413705</v>
      </c>
      <c r="C5" s="50">
        <v>797762.5</v>
      </c>
      <c r="D5" s="50">
        <v>1394698.5</v>
      </c>
      <c r="E5" s="50">
        <v>1016251.5</v>
      </c>
      <c r="F5" s="50">
        <v>814842.5</v>
      </c>
      <c r="G5" s="17">
        <f t="shared" si="0"/>
        <v>4023555</v>
      </c>
      <c r="H5" s="17">
        <f t="shared" si="1"/>
        <v>478127.30993259378</v>
      </c>
      <c r="I5" s="17">
        <f t="shared" si="2"/>
        <v>3545427.6900674063</v>
      </c>
    </row>
    <row r="6" spans="1:9" ht="15.75" customHeight="1" x14ac:dyDescent="0.25">
      <c r="A6" s="5">
        <f t="shared" si="3"/>
        <v>2028</v>
      </c>
      <c r="B6" s="49">
        <v>417935</v>
      </c>
      <c r="C6" s="50">
        <v>803970.5</v>
      </c>
      <c r="D6" s="50">
        <v>1437535</v>
      </c>
      <c r="E6" s="50">
        <v>1032142</v>
      </c>
      <c r="F6" s="50">
        <v>841696.5</v>
      </c>
      <c r="G6" s="17">
        <f t="shared" si="0"/>
        <v>4115344</v>
      </c>
      <c r="H6" s="17">
        <f t="shared" si="1"/>
        <v>483016.00724351552</v>
      </c>
      <c r="I6" s="17">
        <f t="shared" si="2"/>
        <v>3632327.9927564845</v>
      </c>
    </row>
    <row r="7" spans="1:9" ht="15.75" customHeight="1" x14ac:dyDescent="0.25">
      <c r="A7" s="5">
        <f t="shared" si="3"/>
        <v>2029</v>
      </c>
      <c r="B7" s="49">
        <v>420807</v>
      </c>
      <c r="C7" s="50">
        <v>814791</v>
      </c>
      <c r="D7" s="50">
        <v>1472186</v>
      </c>
      <c r="E7" s="50">
        <v>1049132</v>
      </c>
      <c r="F7" s="50">
        <v>864353.49999999988</v>
      </c>
      <c r="G7" s="17">
        <f t="shared" si="0"/>
        <v>4200462.5</v>
      </c>
      <c r="H7" s="17">
        <f t="shared" si="1"/>
        <v>486335.23624516267</v>
      </c>
      <c r="I7" s="17">
        <f t="shared" si="2"/>
        <v>3714127.2637548372</v>
      </c>
    </row>
    <row r="8" spans="1:9" ht="15.75" customHeight="1" x14ac:dyDescent="0.25">
      <c r="A8" s="5">
        <f t="shared" si="3"/>
        <v>2030</v>
      </c>
      <c r="B8" s="49">
        <v>423412</v>
      </c>
      <c r="C8" s="50">
        <v>829042</v>
      </c>
      <c r="D8" s="50">
        <v>1501513.5</v>
      </c>
      <c r="E8" s="50">
        <v>1070167.5</v>
      </c>
      <c r="F8" s="50">
        <v>883917.5</v>
      </c>
      <c r="G8" s="17">
        <f t="shared" si="0"/>
        <v>4284640.5</v>
      </c>
      <c r="H8" s="17">
        <f t="shared" si="1"/>
        <v>489345.88789881539</v>
      </c>
      <c r="I8" s="17">
        <f t="shared" si="2"/>
        <v>3795294.6121011847</v>
      </c>
    </row>
    <row r="9" spans="1:9" ht="15.75" customHeight="1" x14ac:dyDescent="0.25">
      <c r="A9" s="5">
        <f t="shared" si="3"/>
        <v>2031</v>
      </c>
      <c r="B9" s="49">
        <v>426716</v>
      </c>
      <c r="C9" s="50">
        <v>844915</v>
      </c>
      <c r="D9" s="50">
        <v>1526850.5</v>
      </c>
      <c r="E9" s="50">
        <v>1097290.5</v>
      </c>
      <c r="F9" s="50">
        <v>901214</v>
      </c>
      <c r="G9" s="17">
        <f t="shared" si="0"/>
        <v>4370270</v>
      </c>
      <c r="H9" s="17">
        <f t="shared" si="1"/>
        <v>493164.38811519486</v>
      </c>
      <c r="I9" s="17">
        <f t="shared" si="2"/>
        <v>3877105.6118848054</v>
      </c>
    </row>
    <row r="10" spans="1:9" ht="15.75" customHeight="1" x14ac:dyDescent="0.25">
      <c r="A10" s="5">
        <f t="shared" si="3"/>
        <v>2032</v>
      </c>
      <c r="B10" s="49">
        <v>430303</v>
      </c>
      <c r="C10" s="50">
        <v>859498.5</v>
      </c>
      <c r="D10" s="50">
        <v>1544108.5</v>
      </c>
      <c r="E10" s="50">
        <v>1128634</v>
      </c>
      <c r="F10" s="50">
        <v>915520</v>
      </c>
      <c r="G10" s="17">
        <f t="shared" si="0"/>
        <v>4447761</v>
      </c>
      <c r="H10" s="17">
        <f t="shared" si="1"/>
        <v>497309.95720604033</v>
      </c>
      <c r="I10" s="17">
        <f t="shared" si="2"/>
        <v>3950451.0427939598</v>
      </c>
    </row>
    <row r="11" spans="1:9" ht="15.75" customHeight="1" x14ac:dyDescent="0.25">
      <c r="A11" s="5">
        <f t="shared" si="3"/>
        <v>2033</v>
      </c>
      <c r="B11" s="49">
        <v>431619</v>
      </c>
      <c r="C11" s="50">
        <v>872029</v>
      </c>
      <c r="D11" s="50">
        <v>1558156.5</v>
      </c>
      <c r="E11" s="50">
        <v>1166722</v>
      </c>
      <c r="F11" s="50">
        <v>928370</v>
      </c>
      <c r="G11" s="17">
        <f t="shared" si="0"/>
        <v>4525277.5</v>
      </c>
      <c r="H11" s="17">
        <f t="shared" si="1"/>
        <v>498830.88525832712</v>
      </c>
      <c r="I11" s="17">
        <f t="shared" si="2"/>
        <v>4026446.6147416728</v>
      </c>
    </row>
    <row r="12" spans="1:9" ht="15.75" customHeight="1" x14ac:dyDescent="0.25">
      <c r="A12" s="5">
        <f t="shared" si="3"/>
        <v>2034</v>
      </c>
      <c r="B12" s="49">
        <v>435259</v>
      </c>
      <c r="C12" s="50">
        <v>882784</v>
      </c>
      <c r="D12" s="50">
        <v>1574075</v>
      </c>
      <c r="E12" s="50">
        <v>1212784</v>
      </c>
      <c r="F12" s="50">
        <v>941462</v>
      </c>
      <c r="G12" s="17">
        <f t="shared" si="0"/>
        <v>4611105</v>
      </c>
      <c r="H12" s="17">
        <f t="shared" si="1"/>
        <v>503037.70753060962</v>
      </c>
      <c r="I12" s="17">
        <f t="shared" si="2"/>
        <v>4108067.2924693902</v>
      </c>
    </row>
    <row r="13" spans="1:9" ht="15.75" customHeight="1" x14ac:dyDescent="0.25">
      <c r="A13" s="5">
        <f t="shared" si="3"/>
        <v>2035</v>
      </c>
      <c r="B13" s="49">
        <v>439116</v>
      </c>
      <c r="C13" s="50">
        <v>891807</v>
      </c>
      <c r="D13" s="50">
        <v>1591124</v>
      </c>
      <c r="E13" s="50">
        <v>1263084.5</v>
      </c>
      <c r="F13" s="50">
        <v>954908</v>
      </c>
      <c r="G13" s="17">
        <f t="shared" si="0"/>
        <v>4700923.5</v>
      </c>
      <c r="H13" s="17">
        <f t="shared" si="1"/>
        <v>507495.32113066281</v>
      </c>
      <c r="I13" s="17">
        <f t="shared" si="2"/>
        <v>4193428.1788693373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M217l9oCKSe0AO/DtjJ/yP2wkaxJSPf6xzEdcUWcAI+k74R55OBUYHx+NrkSDuDiTClOap9pyztF+Mkmn9axQ==" saltValue="BiL37dbRnL+rLa3jyTlIO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6.0182990146353584E-3</v>
      </c>
    </row>
    <row r="4" spans="1:8" ht="15.75" customHeight="1" x14ac:dyDescent="0.25">
      <c r="B4" s="19" t="s">
        <v>116</v>
      </c>
      <c r="C4" s="99">
        <v>4.6453576687890671E-2</v>
      </c>
    </row>
    <row r="5" spans="1:8" ht="15.75" customHeight="1" x14ac:dyDescent="0.25">
      <c r="B5" s="19" t="s">
        <v>114</v>
      </c>
      <c r="C5" s="99">
        <v>5.2706888908387282E-2</v>
      </c>
    </row>
    <row r="6" spans="1:8" ht="15.75" customHeight="1" x14ac:dyDescent="0.25">
      <c r="B6" s="19" t="s">
        <v>110</v>
      </c>
      <c r="C6" s="99">
        <v>0.21486660124181831</v>
      </c>
    </row>
    <row r="7" spans="1:8" ht="15.75" customHeight="1" x14ac:dyDescent="0.25">
      <c r="B7" s="19" t="s">
        <v>115</v>
      </c>
      <c r="C7" s="99">
        <v>0.48309890874434158</v>
      </c>
    </row>
    <row r="8" spans="1:8" ht="15.75" customHeight="1" x14ac:dyDescent="0.25">
      <c r="B8" s="19" t="s">
        <v>117</v>
      </c>
      <c r="C8" s="99">
        <v>6.8292896688334896E-4</v>
      </c>
    </row>
    <row r="9" spans="1:8" ht="15.75" customHeight="1" x14ac:dyDescent="0.25">
      <c r="B9" s="19" t="s">
        <v>111</v>
      </c>
      <c r="C9" s="99">
        <v>0.11159575567550881</v>
      </c>
    </row>
    <row r="10" spans="1:8" ht="15.75" customHeight="1" x14ac:dyDescent="0.25">
      <c r="B10" s="19" t="s">
        <v>113</v>
      </c>
      <c r="C10" s="99">
        <v>8.4577040760534461E-2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121</v>
      </c>
      <c r="C15" s="99">
        <v>0.26625517984174851</v>
      </c>
      <c r="D15" s="99">
        <v>0.26625517984174851</v>
      </c>
      <c r="E15" s="99">
        <v>0.26625517984174851</v>
      </c>
      <c r="F15" s="99">
        <v>0.26625517984174851</v>
      </c>
    </row>
    <row r="16" spans="1:8" ht="15.75" customHeight="1" x14ac:dyDescent="0.25">
      <c r="B16" s="19" t="s">
        <v>2</v>
      </c>
      <c r="C16" s="99">
        <v>1.333089552501393E-2</v>
      </c>
      <c r="D16" s="99">
        <v>1.333089552501393E-2</v>
      </c>
      <c r="E16" s="99">
        <v>1.333089552501393E-2</v>
      </c>
      <c r="F16" s="99">
        <v>1.333089552501393E-2</v>
      </c>
    </row>
    <row r="17" spans="1:8" ht="15.75" customHeight="1" x14ac:dyDescent="0.25">
      <c r="B17" s="19" t="s">
        <v>109</v>
      </c>
      <c r="C17" s="99">
        <v>8.7282404598570933E-3</v>
      </c>
      <c r="D17" s="99">
        <v>8.7282404598570933E-3</v>
      </c>
      <c r="E17" s="99">
        <v>8.7282404598570933E-3</v>
      </c>
      <c r="F17" s="99">
        <v>8.7282404598570933E-3</v>
      </c>
    </row>
    <row r="18" spans="1:8" ht="15.75" customHeight="1" x14ac:dyDescent="0.25">
      <c r="B18" s="19" t="s">
        <v>3</v>
      </c>
      <c r="C18" s="99">
        <v>8.9974197817541915E-2</v>
      </c>
      <c r="D18" s="99">
        <v>8.9974197817541915E-2</v>
      </c>
      <c r="E18" s="99">
        <v>8.9974197817541915E-2</v>
      </c>
      <c r="F18" s="99">
        <v>8.9974197817541915E-2</v>
      </c>
    </row>
    <row r="19" spans="1:8" ht="15.75" customHeight="1" x14ac:dyDescent="0.25">
      <c r="B19" s="19" t="s">
        <v>120</v>
      </c>
      <c r="C19" s="99">
        <v>4.0866747820799708E-2</v>
      </c>
      <c r="D19" s="99">
        <v>4.0866747820799708E-2</v>
      </c>
      <c r="E19" s="99">
        <v>4.0866747820799708E-2</v>
      </c>
      <c r="F19" s="99">
        <v>4.0866747820799708E-2</v>
      </c>
    </row>
    <row r="20" spans="1:8" ht="15.75" customHeight="1" x14ac:dyDescent="0.25">
      <c r="B20" s="19" t="s">
        <v>98</v>
      </c>
      <c r="C20" s="99">
        <v>5.6648497277709368E-2</v>
      </c>
      <c r="D20" s="99">
        <v>5.6648497277709368E-2</v>
      </c>
      <c r="E20" s="99">
        <v>5.6648497277709368E-2</v>
      </c>
      <c r="F20" s="99">
        <v>5.6648497277709368E-2</v>
      </c>
    </row>
    <row r="21" spans="1:8" ht="15.75" customHeight="1" x14ac:dyDescent="0.25">
      <c r="B21" s="19" t="s">
        <v>107</v>
      </c>
      <c r="C21" s="99">
        <v>0.1894963149331233</v>
      </c>
      <c r="D21" s="99">
        <v>0.1894963149331233</v>
      </c>
      <c r="E21" s="99">
        <v>0.1894963149331233</v>
      </c>
      <c r="F21" s="99">
        <v>0.1894963149331233</v>
      </c>
    </row>
    <row r="22" spans="1:8" ht="15.75" customHeight="1" x14ac:dyDescent="0.25">
      <c r="B22" s="19" t="s">
        <v>118</v>
      </c>
      <c r="C22" s="99">
        <v>0.16863032897045999</v>
      </c>
      <c r="D22" s="99">
        <v>0.16863032897045999</v>
      </c>
      <c r="E22" s="99">
        <v>0.16863032897045999</v>
      </c>
      <c r="F22" s="99">
        <v>0.16863032897045999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8.8012850000000004E-2</v>
      </c>
    </row>
    <row r="27" spans="1:8" ht="15.75" customHeight="1" x14ac:dyDescent="0.25">
      <c r="B27" s="19" t="s">
        <v>108</v>
      </c>
      <c r="C27" s="99">
        <v>8.9249900000000007E-3</v>
      </c>
    </row>
    <row r="28" spans="1:8" ht="15.75" customHeight="1" x14ac:dyDescent="0.25">
      <c r="B28" s="19" t="s">
        <v>122</v>
      </c>
      <c r="C28" s="99">
        <v>0.15479583299999999</v>
      </c>
    </row>
    <row r="29" spans="1:8" ht="15.75" customHeight="1" x14ac:dyDescent="0.25">
      <c r="B29" s="19" t="s">
        <v>105</v>
      </c>
      <c r="C29" s="99">
        <v>0.168002662</v>
      </c>
    </row>
    <row r="30" spans="1:8" ht="15.75" customHeight="1" x14ac:dyDescent="0.25">
      <c r="B30" s="19" t="s">
        <v>4</v>
      </c>
      <c r="C30" s="99">
        <v>0.104541704</v>
      </c>
    </row>
    <row r="31" spans="1:8" ht="15.75" customHeight="1" x14ac:dyDescent="0.25">
      <c r="B31" s="19" t="s">
        <v>99</v>
      </c>
      <c r="C31" s="99">
        <v>0.10832760499999999</v>
      </c>
    </row>
    <row r="32" spans="1:8" ht="15.75" customHeight="1" x14ac:dyDescent="0.25">
      <c r="B32" s="19" t="s">
        <v>104</v>
      </c>
      <c r="C32" s="99">
        <v>1.8696531999999998E-2</v>
      </c>
    </row>
    <row r="33" spans="2:3" ht="15.75" customHeight="1" x14ac:dyDescent="0.25">
      <c r="B33" s="19" t="s">
        <v>119</v>
      </c>
      <c r="C33" s="99">
        <v>8.4083039999999998E-2</v>
      </c>
    </row>
    <row r="34" spans="2:3" ht="15.75" customHeight="1" x14ac:dyDescent="0.25">
      <c r="B34" s="19" t="s">
        <v>106</v>
      </c>
      <c r="C34" s="99">
        <v>0.26461478300000002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tv68NdjoBlyKZH0o2lsn9B3ruAPAT60VOp9r7JZnetYy4piTiB8WX2r7UBHpwz00UXuAYq8vX6zJYRZvYvK7mw==" saltValue="HER+6l6tQtsqpxRQlslEH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129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125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126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138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UeWPgI7uYzj2cvos5KukVGoqFuCHW2UviTBjKfQaUiadlcgPZvbt0a0p+YerztpjGM8bvK+LVKRuIab2N5Wig==" saltValue="To+NSAS7u3GOVXRSW/HN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7.969300000000068E-3</v>
      </c>
      <c r="D5" s="52">
        <f t="shared" si="0"/>
        <v>1.1682499999999929E-2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Fzy2Vbh1ITASVlqab1AxOHLiwZIlF8Uby6dVeZISzTv1UeLn5mQSaAZJ/4E5ilpTdFihteFYa/IDwi1suyUJzg==" saltValue="VVYH5W7uGDkkpQQxwKJuy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hObAW/IBQBs5EMG4S8KWGhYlqFht4pfdeA8U+jgA01yC2ovAg5veIEarHH39l8pATZOEB/87eM4QllYfhU3dg==" saltValue="mtztP7ncF2AjOfCXpYah6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966.23207136199301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0.38140000000000002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0.56830000000000003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1.990105615194997E-2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96555.94816</v>
      </c>
      <c r="C22" s="107">
        <v>96079.527390000003</v>
      </c>
      <c r="D22" s="107">
        <v>95631.113060000003</v>
      </c>
      <c r="E22" s="107">
        <v>95161.49944</v>
      </c>
      <c r="F22" s="107">
        <v>94502.367230000003</v>
      </c>
      <c r="G22" s="107">
        <v>93739.134999999995</v>
      </c>
      <c r="H22" s="107">
        <v>92757.999790000002</v>
      </c>
      <c r="I22" s="107">
        <v>91429.240390000006</v>
      </c>
      <c r="J22" s="107">
        <v>89478.996429999999</v>
      </c>
      <c r="K22" s="107">
        <v>86804.421950000004</v>
      </c>
      <c r="L22" s="107">
        <v>82864.116859999995</v>
      </c>
      <c r="M22" s="107">
        <v>77545.65367</v>
      </c>
      <c r="N22" s="107">
        <v>70126.617209999997</v>
      </c>
      <c r="O22" s="107">
        <v>60487.517310000003</v>
      </c>
    </row>
  </sheetData>
  <sheetProtection algorithmName="SHA-512" hashValue="SE9ziHBC6ufZ5jE78Eyyc/oXi3NzOuZLI80TZ86p3oHmcc5HSgiTYwCQPHKCzR540EJU6+5OVoj6f/rcwvJcng==" saltValue="FkalpXCZPz82iWgmRVi7T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APifpmTOKKLSFq2wSbKB4QX4eMLqeXtw5E5lFU4c3Qa9gfCE6v/dafxciAmVzXKsNIDWhMPEdkMXsZaAJiarTw==" saltValue="rLGq6paqPVJ+UE6pU9hht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6wz12kI5Z1lPpe9O5RW6egVX6rMZEY2TpANxRzFSWLpJY/Iam6QOd4NnVtNTpL57ID22VA+V6+WkS7kvSCT19A==" saltValue="ItPnnV8zQB3GNNCJnXRFA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6.03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3.7783674513817815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0.1563252</v>
      </c>
      <c r="C10" s="96">
        <v>0.95</v>
      </c>
      <c r="D10" s="56">
        <v>15.05045142161304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15.05045142161304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15.05045142161304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15.05045142161304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0.16389999999999999</v>
      </c>
      <c r="C14" s="96">
        <v>0.95</v>
      </c>
      <c r="D14" s="56">
        <v>1.3111054247697034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15.05045142161304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0.48628949999999999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5.58755555555556E-3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0.78899600000000003</v>
      </c>
      <c r="C18" s="96">
        <v>0.95</v>
      </c>
      <c r="D18" s="56">
        <v>6.0310849539406348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0.78899600000000003</v>
      </c>
      <c r="C19" s="96">
        <v>0.95</v>
      </c>
      <c r="D19" s="56">
        <v>1.723860781546777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3.6234186284544529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6.03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0.56296439999999992</v>
      </c>
      <c r="C23" s="96">
        <v>0.95</v>
      </c>
      <c r="D23" s="56">
        <v>4.9321676394351552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0.61747921546045004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0.184</v>
      </c>
      <c r="C26" s="96">
        <v>0.95</v>
      </c>
      <c r="D26" s="56">
        <v>7.7236028659160709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0.2796807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0.34426630000000003</v>
      </c>
      <c r="C29" s="96">
        <v>0.95</v>
      </c>
      <c r="D29" s="56">
        <v>63.551452439241622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0.86499999999999999</v>
      </c>
      <c r="C32" s="96">
        <v>0.95</v>
      </c>
      <c r="D32" s="56">
        <v>0.46484646878198577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0.18402009999999999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0.82192539999999992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1.9060199999999999E-2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0.45494020000000002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0.188</v>
      </c>
      <c r="C38" s="96">
        <v>0.95</v>
      </c>
      <c r="D38" s="56">
        <v>0.28605936540429888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H8hIHe3thv3GiaHBWtgOB0mV63pANreXRnfmHioepA09Feuq9bvIIDbNBlp/v3SMvo6hMDuqayMBe71TN+9zgA==" saltValue="olvuzo+rPhVIk6kle8ig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jWrH4w9wG7mVptbl5l8g1ZKNbEv6UmL4QyxM8wmXEvwh/Sx35ivxrcFuq8eT6sbBHgvXp7aFSxG2s8N06rPag==" saltValue="BjJIeB5RZSp+Wt/LNUTI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XY9bOyItX0ISEsbWLEVIl4hJul6AJ0seV3wrjZ7jr9wsOctGh4JTxiXpTPH4MmsLQidKPsBnqsLkC2693pplQ==" saltValue="Ulwcwa9TeTSHxgl8rhjId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236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sheetProtection algorithmName="SHA-512" hashValue="SYWj7iY5vjEZHPdDSI/7GdUQK/OhJAfqYmjLZydzo022T1YudkuYxy5hXei+z01aE/61JaZqLRcLg+QCezMFeA==" saltValue="kCKsUby7dYcA4yLMbtci1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7.0000000000000007E-2</v>
      </c>
      <c r="D34" s="60">
        <f t="shared" si="4"/>
        <v>7.0000000000000007E-2</v>
      </c>
      <c r="E34" s="60">
        <f t="shared" si="4"/>
        <v>7.0000000000000007E-2</v>
      </c>
      <c r="F34" s="60">
        <f t="shared" si="4"/>
        <v>7.0000000000000007E-2</v>
      </c>
      <c r="G34" s="60">
        <f t="shared" si="4"/>
        <v>7.0000000000000007E-2</v>
      </c>
      <c r="H34" s="60">
        <f t="shared" si="4"/>
        <v>7.0000000000000007E-2</v>
      </c>
      <c r="I34" s="60">
        <f t="shared" si="4"/>
        <v>7.0000000000000007E-2</v>
      </c>
      <c r="J34" s="60">
        <f t="shared" si="4"/>
        <v>7.0000000000000007E-2</v>
      </c>
      <c r="K34" s="60">
        <f t="shared" si="4"/>
        <v>7.0000000000000007E-2</v>
      </c>
      <c r="L34" s="60">
        <f t="shared" si="4"/>
        <v>7.0000000000000007E-2</v>
      </c>
      <c r="M34" s="60">
        <f t="shared" si="4"/>
        <v>7.0000000000000007E-2</v>
      </c>
      <c r="N34" s="60">
        <f t="shared" si="4"/>
        <v>7.0000000000000007E-2</v>
      </c>
      <c r="O34" s="60">
        <f t="shared" si="4"/>
        <v>7.0000000000000007E-2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YASewtRKRl+I/uP3HGbOko63F5N8kB3rgTukHWCAG+jFj0NruajPR/hAkllyozByw+fUzefDOUKN3sjRVS9eA==" saltValue="TgwmvS0tM/w4UMcE/D8n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36Jgc/8Soh67OC4YZq7WBL65aXBPQQ3VZuUcwoyu7YoifPZvx5nEPTlSoHhMa4U7662ztdlC3TJN+hWbyZj0Dw==" saltValue="g+saNjtdFDAo0B/07w5C0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YIY7I9GRsHQM9Ps0prMbkdj1pF4mcP3qlh3BGpLKO9FuqOyQP2/B4GSawu6sW9XOdkDVPn9CSe16qvWKaPhdA==" saltValue="785FZiwXoc/sH+X5N2kD1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OVgaF6KGIUbolkJBm/Ok5BXvrD9qub+sMqoZBagS5y19ByUdc4yfJiLy6o8MdMVVk3WqUhqwIgWtsKc+yPMkQ==" saltValue="ssYYH7ydTGDN8UUmgriEn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1SaNrv/Oo0jccPLbhtOguTWw+R28J4v8HXa+X+9hzYDKW/dnNbypHCpdLDvEYDadDHYWnqCfA6Bruq5lWshRTQ==" saltValue="RDhlK39gs/o6fESKJmZGG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ujhDxRjIA3JFVUTkd7GqVvjf74QZuVoNCqxleNpBcMG44h8cku6/cRA+NDDVY4h1wWP7mVWOcqAR39AKRslFXA==" saltValue="euoH/OAFZ6NJXaApuyUlv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r8j8bXByA1iNWdCoLdspIFWJuTn2awKsdM7WzNWUSwONWCZCdxiUW1EQlNyBJkPTUfTomDhFk8Ik+zJlRSJlw==" saltValue="7MHwC3+lJO0D0XMs2b16+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e9q3U9vNy6pto/RJmVVHQiJN9DvGXq0Rd+wKyRcPuVvwJg01zH7gPFfrNA/YmDV6vT0yceILUTr5f7lNGCNCig==" saltValue="nj5mynpZBHHN5Gi+sDhd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inuc6vp9IxI3cAQwYSVZk17R85nVYEBpEQkIuHGbvIAFZwq11ODeTsuKlYZ9YHoDh7czKPzlqNs7PrRQLQ/Tw==" saltValue="Slg9aJ6GeaPp1stnodWK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pynhIU6848X4UOaodXS5nop5s9suzq8ZHR4/dvBhrn61LdsZASU6s86SaxXR3ZmGyeV2EImu2hCITv4mBKdOw==" saltValue="29I3uuOcWnKPpqQMViCf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U/fWjfC3/wdi9YcWvm6suzSXq9ZEif9PfxbQEixGB7dP6DXzM+Z/YLwMxbNZ0mxEIKwYtvc3gxqckCSau9S7w==" saltValue="fn6kJDz7Cp91dcBOlx7R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TXGBlSkVKCv8dMZKjF7CF2yAYXsPN1U1Jg6LoWhSlsReknakyBriIdl2UEKosNusZlX0GEKsutw3kWV1A1lBg==" saltValue="T1DUdLyBsdN1KogUpPNW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+UqrAW5kavCEVyMGD/SWFjE/sxdZQy3QFz6K1lD+B09zIuF+zgNO5YfrQQV4cK7MpKsLxXu6NWqGEVhCEb4ww==" saltValue="xbDVACDe082ClpnGkYNd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nbXrtblC81i+QVQ/wva0xRayueMQ3BduTVVL7+nzaiHNKYX9raVz2K+VdprhY0DZkBeAYsP5k31RV9AIboR2hA==" saltValue="OgPwl+xxlTDS++isd1Be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jcXHsJSYMdJ7+EuLxWBlBb5GOT5qTn1wQ8t4PE0I5wJrKkImnwJscJ8PnqpX3xyvt9tiaDfPXB1m17FENy64Q==" saltValue="P5nbN/WENXTCNbsb+8ugX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2026-04-29T03:36:16Z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