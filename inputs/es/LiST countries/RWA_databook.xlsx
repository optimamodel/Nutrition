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9DE78903-291D-4975-8C9B-C8384355BCF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<sst xmlns="http://schemas.openxmlformats.org/spreadsheetml/2006/main" count="2102" uniqueCount="341">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</sst>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1988148.15625</v>
      </c>
    </row>
    <row r="8" spans="1:3" ht="15" customHeight="1" x14ac:dyDescent="0.25">
      <c r="B8" s="5" t="s">
        <v>44</v>
      </c>
      <c r="C8" s="44">
        <v>0.55500000000000005</v>
      </c>
    </row>
    <row r="9" spans="1:3" ht="15" customHeight="1" x14ac:dyDescent="0.25">
      <c r="B9" s="5" t="s">
        <v>43</v>
      </c>
      <c r="C9" s="45">
        <v>7.0000000000000007E-2</v>
      </c>
    </row>
    <row r="10" spans="1:3" ht="15" customHeight="1" x14ac:dyDescent="0.25">
      <c r="B10" s="5" t="s">
        <v>56</v>
      </c>
      <c r="C10" s="45">
        <v>0.29895069122314499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4.6199999999999998E-2</v>
      </c>
    </row>
    <row r="24" spans="1:3" ht="15" customHeight="1" x14ac:dyDescent="0.25">
      <c r="B24" s="15" t="s">
        <v>46</v>
      </c>
      <c r="C24" s="45">
        <v>0.50180000000000002</v>
      </c>
    </row>
    <row r="25" spans="1:3" ht="15" customHeight="1" x14ac:dyDescent="0.25">
      <c r="B25" s="15" t="s">
        <v>47</v>
      </c>
      <c r="C25" s="45">
        <v>0.36330000000000001</v>
      </c>
    </row>
    <row r="26" spans="1:3" ht="15" customHeight="1" x14ac:dyDescent="0.25">
      <c r="B26" s="15" t="s">
        <v>48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0.254787647396997</v>
      </c>
    </row>
    <row r="30" spans="1:3" ht="14.25" customHeight="1" x14ac:dyDescent="0.25">
      <c r="B30" s="25" t="s">
        <v>63</v>
      </c>
      <c r="C30" s="99">
        <v>3.6806607194084101E-2</v>
      </c>
    </row>
    <row r="31" spans="1:3" ht="14.25" customHeight="1" x14ac:dyDescent="0.25">
      <c r="B31" s="25" t="s">
        <v>10</v>
      </c>
      <c r="C31" s="99">
        <v>7.3852638350173999E-2</v>
      </c>
    </row>
    <row r="32" spans="1:3" ht="14.25" customHeight="1" x14ac:dyDescent="0.25">
      <c r="B32" s="25" t="s">
        <v>11</v>
      </c>
      <c r="C32" s="99">
        <v>0.63455310705874501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17.52411</v>
      </c>
    </row>
    <row r="38" spans="1:5" ht="15" customHeight="1" x14ac:dyDescent="0.25">
      <c r="B38" s="11" t="s">
        <v>35</v>
      </c>
      <c r="C38" s="43">
        <v>29.650749999999999</v>
      </c>
      <c r="D38" s="12"/>
      <c r="E38" s="13"/>
    </row>
    <row r="39" spans="1:5" ht="15" customHeight="1" x14ac:dyDescent="0.25">
      <c r="B39" s="11" t="s">
        <v>61</v>
      </c>
      <c r="C39" s="43">
        <v>39.438879999999997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7.9924000000000002E-3</v>
      </c>
      <c r="D45" s="12"/>
    </row>
    <row r="46" spans="1:5" ht="15.75" customHeight="1" x14ac:dyDescent="0.25">
      <c r="B46" s="11" t="s">
        <v>51</v>
      </c>
      <c r="C46" s="45">
        <v>8.54993E-2</v>
      </c>
      <c r="D46" s="12"/>
    </row>
    <row r="47" spans="1:5" ht="15.75" customHeight="1" x14ac:dyDescent="0.25">
      <c r="B47" s="11" t="s">
        <v>59</v>
      </c>
      <c r="C47" s="45">
        <v>0.16339429999999999</v>
      </c>
      <c r="D47" s="12"/>
      <c r="E47" s="13"/>
    </row>
    <row r="48" spans="1:5" ht="15" customHeight="1" x14ac:dyDescent="0.25">
      <c r="B48" s="11" t="s">
        <v>58</v>
      </c>
      <c r="C48" s="46">
        <v>0.74311400000000005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0.62000600000000006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cfn3noj3D04NHiDTUjHsW89WN1nrGBi5YRRR273udhQiUsgj+imJ9nlRvVGQ3RxviBqXdFmOZ98PXnG7MI+2sA==" saltValue="7fJps3nb/diGUhvlhd1T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412709</v>
      </c>
      <c r="C2" s="49">
        <v>953624</v>
      </c>
      <c r="D2" s="49">
        <v>1283702.5</v>
      </c>
      <c r="E2" s="49">
        <v>1025523.5</v>
      </c>
      <c r="F2" s="49">
        <v>614913.5</v>
      </c>
      <c r="G2" s="17">
        <f t="shared" ref="G2:G13" si="0">C2+D2+E2+F2</f>
        <v>3877763.5</v>
      </c>
      <c r="H2" s="17">
        <f t="shared" ref="H2:H13" si="1">(B2 + stillbirth*B2/(1000-stillbirth))/(1-abortion)</f>
        <v>476976.21240973851</v>
      </c>
      <c r="I2" s="17">
        <f t="shared" ref="I2:I13" si="2">G2-H2</f>
        <v>3400787.2875902615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416307</v>
      </c>
      <c r="C3" s="50">
        <v>960952</v>
      </c>
      <c r="D3" s="50">
        <v>1321044.5</v>
      </c>
      <c r="E3" s="50">
        <v>1040532</v>
      </c>
      <c r="F3" s="50">
        <v>650892.5</v>
      </c>
      <c r="G3" s="17">
        <f t="shared" si="0"/>
        <v>3973421</v>
      </c>
      <c r="H3" s="17">
        <f t="shared" si="1"/>
        <v>481134.49442503316</v>
      </c>
      <c r="I3" s="17">
        <f t="shared" si="2"/>
        <v>3492286.5055749668</v>
      </c>
    </row>
    <row r="4" spans="1:9" ht="15.75" customHeight="1" x14ac:dyDescent="0.25">
      <c r="A4" s="5">
        <f t="shared" si="3"/>
        <v>2026</v>
      </c>
      <c r="B4" s="49">
        <v>419664</v>
      </c>
      <c r="C4" s="50">
        <v>966958.5</v>
      </c>
      <c r="D4" s="50">
        <v>1359706</v>
      </c>
      <c r="E4" s="50">
        <v>1055665</v>
      </c>
      <c r="F4" s="50">
        <v>686977</v>
      </c>
      <c r="G4" s="17">
        <f t="shared" si="0"/>
        <v>4069306.5</v>
      </c>
      <c r="H4" s="17">
        <f t="shared" si="1"/>
        <v>485014.24782284978</v>
      </c>
      <c r="I4" s="17">
        <f t="shared" si="2"/>
        <v>3584292.25217715</v>
      </c>
    </row>
    <row r="5" spans="1:9" ht="15.75" customHeight="1" x14ac:dyDescent="0.25">
      <c r="A5" s="5">
        <f t="shared" si="3"/>
        <v>2027</v>
      </c>
      <c r="B5" s="49">
        <v>421585</v>
      </c>
      <c r="C5" s="50">
        <v>973243.5</v>
      </c>
      <c r="D5" s="50">
        <v>1399314.5</v>
      </c>
      <c r="E5" s="50">
        <v>1070122</v>
      </c>
      <c r="F5" s="50">
        <v>722118.5</v>
      </c>
      <c r="G5" s="17">
        <f t="shared" si="0"/>
        <v>4164798.5</v>
      </c>
      <c r="H5" s="17">
        <f t="shared" si="1"/>
        <v>487234.38671984279</v>
      </c>
      <c r="I5" s="17">
        <f t="shared" si="2"/>
        <v>3677564.1132801571</v>
      </c>
    </row>
    <row r="6" spans="1:9" ht="15.75" customHeight="1" x14ac:dyDescent="0.25">
      <c r="A6" s="5">
        <f t="shared" si="3"/>
        <v>2028</v>
      </c>
      <c r="B6" s="49">
        <v>426039</v>
      </c>
      <c r="C6" s="50">
        <v>981622.5</v>
      </c>
      <c r="D6" s="50">
        <v>1437282</v>
      </c>
      <c r="E6" s="50">
        <v>1085023</v>
      </c>
      <c r="F6" s="50">
        <v>755421</v>
      </c>
      <c r="G6" s="17">
        <f t="shared" si="0"/>
        <v>4259348.5</v>
      </c>
      <c r="H6" s="17">
        <f t="shared" si="1"/>
        <v>492381.96540136653</v>
      </c>
      <c r="I6" s="17">
        <f t="shared" si="2"/>
        <v>3766966.5345986336</v>
      </c>
    </row>
    <row r="7" spans="1:9" ht="15.75" customHeight="1" x14ac:dyDescent="0.25">
      <c r="A7" s="5">
        <f t="shared" si="3"/>
        <v>2029</v>
      </c>
      <c r="B7" s="49">
        <v>428239</v>
      </c>
      <c r="C7" s="50">
        <v>992999.49999999988</v>
      </c>
      <c r="D7" s="50">
        <v>1471537</v>
      </c>
      <c r="E7" s="50">
        <v>1102331</v>
      </c>
      <c r="F7" s="50">
        <v>785408.5</v>
      </c>
      <c r="G7" s="17">
        <f t="shared" si="0"/>
        <v>4352276</v>
      </c>
      <c r="H7" s="17">
        <f t="shared" si="1"/>
        <v>494924.55029120762</v>
      </c>
      <c r="I7" s="17">
        <f t="shared" si="2"/>
        <v>3857351.4497087924</v>
      </c>
    </row>
    <row r="8" spans="1:9" ht="15.75" customHeight="1" x14ac:dyDescent="0.25">
      <c r="A8" s="5">
        <f t="shared" si="3"/>
        <v>2030</v>
      </c>
      <c r="B8" s="49">
        <v>430732</v>
      </c>
      <c r="C8" s="50">
        <v>1007133.5</v>
      </c>
      <c r="D8" s="50">
        <v>1501488.5</v>
      </c>
      <c r="E8" s="50">
        <v>1123533.5</v>
      </c>
      <c r="F8" s="50">
        <v>811213.5</v>
      </c>
      <c r="G8" s="17">
        <f t="shared" si="0"/>
        <v>4443369</v>
      </c>
      <c r="H8" s="17">
        <f t="shared" si="1"/>
        <v>497805.76125955937</v>
      </c>
      <c r="I8" s="17">
        <f t="shared" si="2"/>
        <v>3945563.2387404405</v>
      </c>
    </row>
    <row r="9" spans="1:9" ht="15.75" customHeight="1" x14ac:dyDescent="0.25">
      <c r="A9" s="5">
        <f t="shared" si="3"/>
        <v>2031</v>
      </c>
      <c r="B9" s="49">
        <v>432695</v>
      </c>
      <c r="C9" s="50">
        <v>1023584.5</v>
      </c>
      <c r="D9" s="50">
        <v>1526553</v>
      </c>
      <c r="E9" s="50">
        <v>1149899</v>
      </c>
      <c r="F9" s="50">
        <v>833106</v>
      </c>
      <c r="G9" s="17">
        <f t="shared" si="0"/>
        <v>4533142.5</v>
      </c>
      <c r="H9" s="17">
        <f t="shared" si="1"/>
        <v>500074.44041354029</v>
      </c>
      <c r="I9" s="17">
        <f t="shared" si="2"/>
        <v>4033068.0595864598</v>
      </c>
    </row>
    <row r="10" spans="1:9" ht="15.75" customHeight="1" x14ac:dyDescent="0.25">
      <c r="A10" s="5">
        <f t="shared" si="3"/>
        <v>2032</v>
      </c>
      <c r="B10" s="49">
        <v>435814</v>
      </c>
      <c r="C10" s="50">
        <v>1041457</v>
      </c>
      <c r="D10" s="50">
        <v>1548802</v>
      </c>
      <c r="E10" s="50">
        <v>1180081</v>
      </c>
      <c r="F10" s="50">
        <v>851287.5</v>
      </c>
      <c r="G10" s="17">
        <f t="shared" si="0"/>
        <v>4621627.5</v>
      </c>
      <c r="H10" s="17">
        <f t="shared" si="1"/>
        <v>503679.13235509227</v>
      </c>
      <c r="I10" s="17">
        <f t="shared" si="2"/>
        <v>4117948.3676449079</v>
      </c>
    </row>
    <row r="11" spans="1:9" ht="15.75" customHeight="1" x14ac:dyDescent="0.25">
      <c r="A11" s="5">
        <f t="shared" si="3"/>
        <v>2033</v>
      </c>
      <c r="B11" s="49">
        <v>438657</v>
      </c>
      <c r="C11" s="50">
        <v>1059871.5</v>
      </c>
      <c r="D11" s="50">
        <v>1569845.5</v>
      </c>
      <c r="E11" s="50">
        <v>1212617</v>
      </c>
      <c r="F11" s="50">
        <v>866315.5</v>
      </c>
      <c r="G11" s="17">
        <f t="shared" si="0"/>
        <v>4708649.5</v>
      </c>
      <c r="H11" s="17">
        <f t="shared" si="1"/>
        <v>506964.84546500962</v>
      </c>
      <c r="I11" s="17">
        <f t="shared" si="2"/>
        <v>4201684.65453499</v>
      </c>
    </row>
    <row r="12" spans="1:9" ht="15.75" customHeight="1" x14ac:dyDescent="0.25">
      <c r="A12" s="5">
        <f t="shared" si="3"/>
        <v>2034</v>
      </c>
      <c r="B12" s="49">
        <v>441535</v>
      </c>
      <c r="C12" s="50">
        <v>1077927.5</v>
      </c>
      <c r="D12" s="50">
        <v>1588575</v>
      </c>
      <c r="E12" s="50">
        <v>1247943</v>
      </c>
      <c r="F12" s="50">
        <v>879299.5</v>
      </c>
      <c r="G12" s="17">
        <f t="shared" si="0"/>
        <v>4793745</v>
      </c>
      <c r="H12" s="17">
        <f t="shared" si="1"/>
        <v>510291.00878908357</v>
      </c>
      <c r="I12" s="17">
        <f t="shared" si="2"/>
        <v>4283453.9912109161</v>
      </c>
    </row>
    <row r="13" spans="1:9" ht="15.75" customHeight="1" x14ac:dyDescent="0.25">
      <c r="A13" s="5">
        <f t="shared" si="3"/>
        <v>2035</v>
      </c>
      <c r="B13" s="49">
        <v>444544</v>
      </c>
      <c r="C13" s="50">
        <v>1095299.5</v>
      </c>
      <c r="D13" s="50">
        <v>1605814.5</v>
      </c>
      <c r="E13" s="50">
        <v>1285188</v>
      </c>
      <c r="F13" s="50">
        <v>891926.5</v>
      </c>
      <c r="G13" s="17">
        <f t="shared" si="0"/>
        <v>4878228.5</v>
      </c>
      <c r="H13" s="17">
        <f t="shared" si="1"/>
        <v>513768.57148614351</v>
      </c>
      <c r="I13" s="17">
        <f t="shared" si="2"/>
        <v>4364459.9285138566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vQrJnNdp+fCx2K2XofiOGnM47/2Wx4ybQToxLxFBkpJY5ojea9WrLY+YD8RGtbzlsorSMKFemFX32UzSvs5ng==" saltValue="1EE4CXCROIrFxLBtgz/9y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6.0182990146353584E-3</v>
      </c>
    </row>
    <row r="4" spans="1:8" ht="15.75" customHeight="1" x14ac:dyDescent="0.25">
      <c r="B4" s="19" t="s">
        <v>97</v>
      </c>
      <c r="C4" s="101">
        <v>4.6453576687890671E-2</v>
      </c>
    </row>
    <row r="5" spans="1:8" ht="15.75" customHeight="1" x14ac:dyDescent="0.25">
      <c r="B5" s="19" t="s">
        <v>95</v>
      </c>
      <c r="C5" s="101">
        <v>5.2706888908387282E-2</v>
      </c>
    </row>
    <row r="6" spans="1:8" ht="15.75" customHeight="1" x14ac:dyDescent="0.25">
      <c r="B6" s="19" t="s">
        <v>91</v>
      </c>
      <c r="C6" s="101">
        <v>0.21486660124181831</v>
      </c>
    </row>
    <row r="7" spans="1:8" ht="15.75" customHeight="1" x14ac:dyDescent="0.25">
      <c r="B7" s="19" t="s">
        <v>96</v>
      </c>
      <c r="C7" s="101">
        <v>0.48309890874434158</v>
      </c>
    </row>
    <row r="8" spans="1:8" ht="15.75" customHeight="1" x14ac:dyDescent="0.25">
      <c r="B8" s="19" t="s">
        <v>98</v>
      </c>
      <c r="C8" s="101">
        <v>6.8292896688334896E-4</v>
      </c>
    </row>
    <row r="9" spans="1:8" ht="15.75" customHeight="1" x14ac:dyDescent="0.25">
      <c r="B9" s="19" t="s">
        <v>92</v>
      </c>
      <c r="C9" s="101">
        <v>0.11159575567550881</v>
      </c>
    </row>
    <row r="10" spans="1:8" ht="15.75" customHeight="1" x14ac:dyDescent="0.25">
      <c r="B10" s="19" t="s">
        <v>94</v>
      </c>
      <c r="C10" s="101">
        <v>8.4577040760534461E-2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102</v>
      </c>
      <c r="C15" s="101">
        <v>0.26625517984174851</v>
      </c>
      <c r="D15" s="101">
        <v>0.26625517984174851</v>
      </c>
      <c r="E15" s="101">
        <v>0.26625517984174851</v>
      </c>
      <c r="F15" s="101">
        <v>0.26625517984174851</v>
      </c>
    </row>
    <row r="16" spans="1:8" ht="15.75" customHeight="1" x14ac:dyDescent="0.25">
      <c r="B16" s="19" t="s">
        <v>2</v>
      </c>
      <c r="C16" s="101">
        <v>1.333089552501393E-2</v>
      </c>
      <c r="D16" s="101">
        <v>1.333089552501393E-2</v>
      </c>
      <c r="E16" s="101">
        <v>1.333089552501393E-2</v>
      </c>
      <c r="F16" s="101">
        <v>1.333089552501393E-2</v>
      </c>
    </row>
    <row r="17" spans="1:8" ht="15.75" customHeight="1" x14ac:dyDescent="0.25">
      <c r="B17" s="19" t="s">
        <v>90</v>
      </c>
      <c r="C17" s="101">
        <v>8.7282404598570933E-3</v>
      </c>
      <c r="D17" s="101">
        <v>8.7282404598570933E-3</v>
      </c>
      <c r="E17" s="101">
        <v>8.7282404598570933E-3</v>
      </c>
      <c r="F17" s="101">
        <v>8.7282404598570933E-3</v>
      </c>
    </row>
    <row r="18" spans="1:8" ht="15.75" customHeight="1" x14ac:dyDescent="0.25">
      <c r="B18" s="19" t="s">
        <v>3</v>
      </c>
      <c r="C18" s="101">
        <v>8.9974197817541915E-2</v>
      </c>
      <c r="D18" s="101">
        <v>8.9974197817541915E-2</v>
      </c>
      <c r="E18" s="101">
        <v>8.9974197817541915E-2</v>
      </c>
      <c r="F18" s="101">
        <v>8.9974197817541915E-2</v>
      </c>
    </row>
    <row r="19" spans="1:8" ht="15.75" customHeight="1" x14ac:dyDescent="0.25">
      <c r="B19" s="19" t="s">
        <v>101</v>
      </c>
      <c r="C19" s="101">
        <v>4.0866747820799708E-2</v>
      </c>
      <c r="D19" s="101">
        <v>4.0866747820799708E-2</v>
      </c>
      <c r="E19" s="101">
        <v>4.0866747820799708E-2</v>
      </c>
      <c r="F19" s="101">
        <v>4.0866747820799708E-2</v>
      </c>
    </row>
    <row r="20" spans="1:8" ht="15.75" customHeight="1" x14ac:dyDescent="0.25">
      <c r="B20" s="19" t="s">
        <v>79</v>
      </c>
      <c r="C20" s="101">
        <v>5.6648497277709368E-2</v>
      </c>
      <c r="D20" s="101">
        <v>5.6648497277709368E-2</v>
      </c>
      <c r="E20" s="101">
        <v>5.6648497277709368E-2</v>
      </c>
      <c r="F20" s="101">
        <v>5.6648497277709368E-2</v>
      </c>
    </row>
    <row r="21" spans="1:8" ht="15.75" customHeight="1" x14ac:dyDescent="0.25">
      <c r="B21" s="19" t="s">
        <v>88</v>
      </c>
      <c r="C21" s="101">
        <v>0.1894963149331233</v>
      </c>
      <c r="D21" s="101">
        <v>0.1894963149331233</v>
      </c>
      <c r="E21" s="101">
        <v>0.1894963149331233</v>
      </c>
      <c r="F21" s="101">
        <v>0.1894963149331233</v>
      </c>
    </row>
    <row r="22" spans="1:8" ht="15.75" customHeight="1" x14ac:dyDescent="0.25">
      <c r="B22" s="19" t="s">
        <v>99</v>
      </c>
      <c r="C22" s="101">
        <v>0.16863032897045999</v>
      </c>
      <c r="D22" s="101">
        <v>0.16863032897045999</v>
      </c>
      <c r="E22" s="101">
        <v>0.16863032897045999</v>
      </c>
      <c r="F22" s="101">
        <v>0.16863032897045999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8.8012850000000004E-2</v>
      </c>
    </row>
    <row r="27" spans="1:8" ht="15.75" customHeight="1" x14ac:dyDescent="0.25">
      <c r="B27" s="19" t="s">
        <v>89</v>
      </c>
      <c r="C27" s="101">
        <v>8.9249900000000007E-3</v>
      </c>
    </row>
    <row r="28" spans="1:8" ht="15.75" customHeight="1" x14ac:dyDescent="0.25">
      <c r="B28" s="19" t="s">
        <v>103</v>
      </c>
      <c r="C28" s="101">
        <v>0.15479583299999999</v>
      </c>
    </row>
    <row r="29" spans="1:8" ht="15.75" customHeight="1" x14ac:dyDescent="0.25">
      <c r="B29" s="19" t="s">
        <v>86</v>
      </c>
      <c r="C29" s="101">
        <v>0.168002662</v>
      </c>
    </row>
    <row r="30" spans="1:8" ht="15.75" customHeight="1" x14ac:dyDescent="0.25">
      <c r="B30" s="19" t="s">
        <v>4</v>
      </c>
      <c r="C30" s="101">
        <v>0.104541704</v>
      </c>
    </row>
    <row r="31" spans="1:8" ht="15.75" customHeight="1" x14ac:dyDescent="0.25">
      <c r="B31" s="19" t="s">
        <v>80</v>
      </c>
      <c r="C31" s="101">
        <v>0.10832760499999999</v>
      </c>
    </row>
    <row r="32" spans="1:8" ht="15.75" customHeight="1" x14ac:dyDescent="0.25">
      <c r="B32" s="19" t="s">
        <v>85</v>
      </c>
      <c r="C32" s="101">
        <v>1.8696531999999998E-2</v>
      </c>
    </row>
    <row r="33" spans="2:3" ht="15.75" customHeight="1" x14ac:dyDescent="0.25">
      <c r="B33" s="19" t="s">
        <v>100</v>
      </c>
      <c r="C33" s="101">
        <v>8.4083039999999998E-2</v>
      </c>
    </row>
    <row r="34" spans="2:3" ht="15.75" customHeight="1" x14ac:dyDescent="0.25">
      <c r="B34" s="19" t="s">
        <v>87</v>
      </c>
      <c r="C34" s="101">
        <v>0.26461478300000002</v>
      </c>
    </row>
    <row r="35" spans="2:3" ht="15.75" customHeight="1" x14ac:dyDescent="0.25">
      <c r="B35" s="27" t="s">
        <v>60</v>
      </c>
      <c r="C35" s="48">
        <f>SUM(C26:C34)</f>
        <v>0.99999999899999992</v>
      </c>
    </row>
  </sheetData>
  <sheetProtection algorithmName="SHA-512" hashValue="A23Er8hpkv5YVfd4HdXc0+kLPRO6COg1BCWgoX4gsuHWW2xnB93H5U+knNnEtUfjIIa+rf6SZJ8mpu42PN1Ftw==" saltValue="OsyPQjEu6NP7FfbFQSEhi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110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106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107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119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2U90uUjmG+bFka5uVVHeXDWvYfruvlsoyRiApX50ZRKfJQ+ActfKj0VY6UcZlwA7fM5TC7EfDsDHvWLx/bUDQ==" saltValue="0RbPo3MLUbzCp/Gxqi+O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125</v>
      </c>
      <c r="C5" s="52">
        <v>7.9693000000000003E-3</v>
      </c>
      <c r="D5" s="52">
        <v>1.16825E-2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PyBJe/7yV55n7ri5YZ/PQgvdGm6+8Ca5DX/1snqzZ4jp41jrqVGButD3M6Mb54+Y3mssH+EEJnTkwpaeAF8+tg==" saltValue="twsiWqt4XKSEkt3FgEqMc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wYrzn5l7Z0z3b6wZzpnGzmDLUIkxVxuN34RYmmffPlc8p8uCp2yZaMd2audNor6rVTJRggpqYd8d7wiqnPn0Q==" saltValue="JYjcypJFdBQx5/LFLHFEI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K795vdQxEcdtybwWI9MzztHCl+l+iLsnKs2JcNGIKsoVnlNe8//FZi66uCh23aDbBk1EOGFj+J9K3TxEUCNqPg==" saltValue="YUzbuGmAez0rqXCvD3po9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SF9XmM8YIEVyR7NXJ/02ODo8YGQsiVZ16wx3YPDD0g58OhW+KrI2n0qA7+8pDh4png56S8toyxYikORshotiMw==" saltValue="onHz1UPBhwBsxpKjmVCuw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jISYsT9O8SpXYey+qTJ0TwS3X2Nld8Yh2+mBSK++P3cKiC+mMJx74tI1btplE6ay4BGy98LzrZeNiq2ULUjIEg==" saltValue="u4lJkuHxXuRUJyJsmKHWX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36.079849986609638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0.50991066898500004</v>
      </c>
      <c r="C3" s="98">
        <v>0.95</v>
      </c>
      <c r="D3" s="56">
        <v>47.391202091117947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70.283560158574318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0.40054500108515723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0.1563252</v>
      </c>
      <c r="C10" s="98">
        <v>0.95</v>
      </c>
      <c r="D10" s="56">
        <v>15.05045142161304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0.1563252</v>
      </c>
      <c r="C11" s="98">
        <v>0.95</v>
      </c>
      <c r="D11" s="56">
        <v>15.05045142161304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0.1563252</v>
      </c>
      <c r="C12" s="98">
        <v>0.95</v>
      </c>
      <c r="D12" s="56">
        <v>15.05045142161304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0.1563252</v>
      </c>
      <c r="C13" s="98">
        <v>0.95</v>
      </c>
      <c r="D13" s="56">
        <v>15.05045142161304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0.1563252</v>
      </c>
      <c r="C14" s="98">
        <v>0.95</v>
      </c>
      <c r="D14" s="56">
        <v>15.05045142161304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0.1563252</v>
      </c>
      <c r="C15" s="98">
        <v>0.95</v>
      </c>
      <c r="D15" s="56">
        <v>15.05045142161304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0.97</v>
      </c>
      <c r="C16" s="98">
        <v>0.95</v>
      </c>
      <c r="D16" s="56">
        <v>0.2530143942324673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5.58755555555556E-3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6.1591492875787003E-2</v>
      </c>
      <c r="C18" s="98">
        <v>0.95</v>
      </c>
      <c r="D18" s="56">
        <v>1.723860781546777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0.73826449999999999</v>
      </c>
      <c r="C19" s="98">
        <v>0.95</v>
      </c>
      <c r="D19" s="56">
        <v>1.723860781546777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0.45494020000000002</v>
      </c>
      <c r="C21" s="98">
        <v>0.95</v>
      </c>
      <c r="D21" s="56">
        <v>4.0598209789868394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25.651202438998769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4.9321676394351552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0.8358901149458301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0.1563252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21.74274730131463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0.37695453305580001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63.551452439241622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0.92</v>
      </c>
      <c r="C31" s="98">
        <v>0.95</v>
      </c>
      <c r="D31" s="56">
        <v>0.46670911326684161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0.48033470148423679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0.34426630000000003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0.2796807</v>
      </c>
      <c r="C38" s="98">
        <v>0.95</v>
      </c>
      <c r="D38" s="56">
        <v>4.0283775058915356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pPq9m/J3gfHxt+j7nKizOSKovO0RmrzxQheRIiXL4iNDIfB7Ax5aW9LfA6LdLEH4wFo4qXTv9yrY1wzHQ2BHGQ==" saltValue="1D06H4wLWm/SsXKB1Xh0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ovrvEXI4eKI/PtXohdXzHuMOCGM4fc+sm8kW4SX0EFwVbGc7WSIZpQf/loFGEJ84S6D1EjNV75EWYz8s2BNGg==" saltValue="wtWVbAIxP2ZHY2cjCKJz9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tAu4RWhomrwpscxLurrMM1l+407kWqiQukH0SkdYd7c8xAq9aKOYz8ts7U3thxMQo5eVx2KPZwQ5AXB3LlfWw==" saltValue="ZEEej0/BPB9uWHFXAp2dl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207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sheetProtection algorithmName="SHA-512" hashValue="mHfQexDSNFkUb2my2TWkJeFItBj6n7H52lvQBQ/AeMqdmPxdHC0UakgBAAtPTBwmdV63tl0RQgx7k09SQRB1Ww==" saltValue="6wNXHbi9xvlNJnwckXVkg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0.55500000000000005</v>
      </c>
      <c r="E2" s="60">
        <f>food_insecure</f>
        <v>0.55500000000000005</v>
      </c>
      <c r="F2" s="60">
        <f>food_insecure</f>
        <v>0.55500000000000005</v>
      </c>
      <c r="G2" s="60">
        <f>food_insecure</f>
        <v>0.55500000000000005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0.55500000000000005</v>
      </c>
      <c r="I15" s="60">
        <f>food_insecure</f>
        <v>0.55500000000000005</v>
      </c>
      <c r="J15" s="60">
        <f>food_insecure</f>
        <v>0.55500000000000005</v>
      </c>
      <c r="K15" s="60">
        <f>food_insecure</f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7.0000000000000007E-2</v>
      </c>
      <c r="D34" s="60">
        <f t="shared" si="3"/>
        <v>7.0000000000000007E-2</v>
      </c>
      <c r="E34" s="60">
        <f t="shared" si="3"/>
        <v>7.0000000000000007E-2</v>
      </c>
      <c r="F34" s="60">
        <f t="shared" si="3"/>
        <v>7.0000000000000007E-2</v>
      </c>
      <c r="G34" s="60">
        <f t="shared" si="3"/>
        <v>7.0000000000000007E-2</v>
      </c>
      <c r="H34" s="60">
        <f t="shared" si="3"/>
        <v>7.0000000000000007E-2</v>
      </c>
      <c r="I34" s="60">
        <f t="shared" si="3"/>
        <v>7.0000000000000007E-2</v>
      </c>
      <c r="J34" s="60">
        <f t="shared" si="3"/>
        <v>7.0000000000000007E-2</v>
      </c>
      <c r="K34" s="60">
        <f t="shared" si="3"/>
        <v>7.0000000000000007E-2</v>
      </c>
      <c r="L34" s="60">
        <f t="shared" si="3"/>
        <v>7.0000000000000007E-2</v>
      </c>
      <c r="M34" s="60">
        <f t="shared" si="3"/>
        <v>7.0000000000000007E-2</v>
      </c>
      <c r="N34" s="60">
        <f t="shared" si="3"/>
        <v>7.0000000000000007E-2</v>
      </c>
      <c r="O34" s="60">
        <f t="shared" si="3"/>
        <v>7.0000000000000007E-2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Ioov/f2MlYUiFmG0azWCduQ5iogSlJkIWOFgFtZ5mIaoS565Gr0f62c4whHqezDqBzXsDeX1N8DQAcDj+nA6g==" saltValue="oViBJtIFlHveHyK8p9FYr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hNiIcolRsfB3FmQ7xF8UAZrJoLBo5KOJALM5c37fGbvb6leWt9Aa9iu9M9WaKskylY95vjctiq2R3+GzMc2Giw==" saltValue="/Ss92O4B1LohzO7BIwXfF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y94PWXEdA+NKPy2LDtwyMg8WKBxiwO4mo58OTPZVe+gxQxkLZma6yTbSJmIfDEO1GL/P9LprroSJUsnxu9LhA==" saltValue="GdrQrKyejGyokwTLDJZI8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Iwb3zBCQZZ2cpmZelgUKKD1VAFPCeK2nw9nc7Lz5N90sK2JkgLfzuuT03iWe1bKBf5wo2xrMd59xZijDh/edlg==" saltValue="HZsy2DBsYstqFhKgprow5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umImjRDMfIjs+0S/qE9oGt//c0etVclIM2P5E3q/kdqhND+VHnSQh5bPJdJk+vTOzVlRm5o43B6F3nsJ/ZaYjA==" saltValue="+3kpNEkx9dhldt07fgemm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mIUv+Cd+FXCRpTtnQIl2kKh6ZhmBUopW5b/KjwnZG+PLhDyTmxVfXRcRBhzDdIWMa7egP6tR8UNozuiXwYEBFA==" saltValue="unIuTZHUCAhbDkM2H55Q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3dlSlwlRW82WrB9TPyk0wb4uZrV6FFy5H3ygasWFV2G/JZH0TQyhtnrw5w1E9QVpEZGrkjYYQQkzysuxJhiitA==" saltValue="8LXwbKRITTOfxBiwyrdr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rMgzzQNQS0omvyyr7IW8Lwsq9jncokfMZFrNYKT1oIoCKocytFP50TSSjm7577DsKNImeZ2PQ5hq02ZpIdYmQ==" saltValue="n1NdKyRsGinOzrgYMh6p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TQfAygtwg7gYsqYNOZjTbFd4BnbYMdVTN8ua04zxgNMUo/6X8HhSNwpYgS+geXwgdFgNvzfFvgzRVov+ZWAQg==" saltValue="UNe+CeIxSHJuTTsd3WZu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trYLoOjUAGEvFNKwP9GKSW0vPSMgXKwYtFYR6rLprWpBxV0SMMjkM86LBZJEj5UM24FbpzSfJMa96gzyR/v+g==" saltValue="2MoO8Df2hy/qpxcqf/Mu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8kY1+2ZsFTe5iGiVIyP51TUV6PTwmz11/5uLlEV/hmbT598n4ZFc9WceqKJIkGEUDYtcSyyeaiMuvI80QMmfA==" saltValue="Wc7Bn26Hp5SwVhfopTWE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1D009neexqRO/q1J44p9pVlu1YW2ZB9Ps2Zckx5CTov1LASLwt8fukw2TPKtE4yXQ28OuPLGiXW69cLizS+wg==" saltValue="xY9Z+8tYtK4g8kOq7cER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zVNTIOe/pBsWj+4z485mSfOsvZXh+l6o1KRhoj+ND25r3tE5SkMSbaBuGC2BdZdnIRG006zx8rFWNbBYIxXwg==" saltValue="n+yGuIPG6EeiwXZdSqCa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NwmtnJ6r7uq52w+ZnUp6sXkKzx5W5uggBe8d3ljvGbpDekDdZ7dFvUtgYaW9xG8yYgIb3Es4PeIUvwM3xnuxlw==" saltValue="q18ymPINbOwShPGP97PS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CxIhDlmvIIujJm2ei+9/hS/A6Ya0vlE20+NXd+Lp/IaBIrfcKYhtEuScgksS2cX2aLnmCub/IWbk9+VyrZZYBw==" saltValue="0L1vbszGVHOf6a8cPp6/S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2024-05-16T23:57:18Z</dcterms:modified>
</cp:coreProperties>
</file>