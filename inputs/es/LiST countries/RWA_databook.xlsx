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DCB2F9B-3B34-486B-BCBB-996350123E8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6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9" i="2" l="1"/>
  <c r="A37" i="2"/>
  <c r="I38" i="2"/>
  <c r="A34" i="2"/>
  <c r="A40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<sst xmlns="http://schemas.openxmlformats.org/spreadsheetml/2006/main" count="2169" uniqueCount="373">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</sst>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1988148.15625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7.0000000000000007E-2</v>
      </c>
    </row>
    <row r="10" spans="1:3" ht="15" customHeight="1" x14ac:dyDescent="0.25">
      <c r="B10" s="5" t="s">
        <v>75</v>
      </c>
      <c r="C10" s="45">
        <v>0.29895069122314499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4.6199999999999998E-2</v>
      </c>
    </row>
    <row r="24" spans="1:3" ht="15" customHeight="1" x14ac:dyDescent="0.25">
      <c r="B24" s="15" t="s">
        <v>65</v>
      </c>
      <c r="C24" s="45">
        <v>0.50180000000000002</v>
      </c>
    </row>
    <row r="25" spans="1:3" ht="15" customHeight="1" x14ac:dyDescent="0.25">
      <c r="B25" s="15" t="s">
        <v>66</v>
      </c>
      <c r="C25" s="45">
        <v>0.36330000000000001</v>
      </c>
    </row>
    <row r="26" spans="1:3" ht="15" customHeight="1" x14ac:dyDescent="0.25">
      <c r="B26" s="15" t="s">
        <v>67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0.254787647396997</v>
      </c>
    </row>
    <row r="30" spans="1:3" ht="14.25" customHeight="1" x14ac:dyDescent="0.25">
      <c r="B30" s="25" t="s">
        <v>82</v>
      </c>
      <c r="C30" s="97">
        <v>3.6806607194084101E-2</v>
      </c>
    </row>
    <row r="31" spans="1:3" ht="14.25" customHeight="1" x14ac:dyDescent="0.25">
      <c r="B31" s="25" t="s">
        <v>29</v>
      </c>
      <c r="C31" s="97">
        <v>7.3852638350173999E-2</v>
      </c>
    </row>
    <row r="32" spans="1:3" ht="14.25" customHeight="1" x14ac:dyDescent="0.25">
      <c r="B32" s="25" t="s">
        <v>30</v>
      </c>
      <c r="C32" s="97">
        <v>0.63455310705874501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17.52411</v>
      </c>
    </row>
    <row r="38" spans="1:5" ht="15" customHeight="1" x14ac:dyDescent="0.25">
      <c r="B38" s="11" t="s">
        <v>54</v>
      </c>
      <c r="C38" s="43">
        <v>29.650749999999999</v>
      </c>
      <c r="D38" s="12"/>
      <c r="E38" s="13"/>
    </row>
    <row r="39" spans="1:5" ht="15" customHeight="1" x14ac:dyDescent="0.25">
      <c r="B39" s="11" t="s">
        <v>80</v>
      </c>
      <c r="C39" s="43">
        <v>39.438879999999997</v>
      </c>
      <c r="D39" s="12"/>
      <c r="E39" s="12"/>
    </row>
    <row r="40" spans="1:5" ht="15" customHeight="1" x14ac:dyDescent="0.25">
      <c r="B40" s="11" t="s">
        <v>55</v>
      </c>
      <c r="C40" s="98">
        <v>2.59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7.9924000000000002E-3</v>
      </c>
      <c r="D45" s="12"/>
    </row>
    <row r="46" spans="1:5" ht="15.75" customHeight="1" x14ac:dyDescent="0.25">
      <c r="B46" s="11" t="s">
        <v>70</v>
      </c>
      <c r="C46" s="45">
        <v>8.54993E-2</v>
      </c>
      <c r="D46" s="12"/>
    </row>
    <row r="47" spans="1:5" ht="15.75" customHeight="1" x14ac:dyDescent="0.25">
      <c r="B47" s="11" t="s">
        <v>78</v>
      </c>
      <c r="C47" s="45">
        <v>0.16339429999999999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0.62000600000000006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mArs6PzcOOq8xsOcXrQDevWL8+V3D/BpQE8QqSA1XM8AMfy5a2SlreEy/+g6wYNhIogoJdriUcutU3lkYdFsEw==" saltValue="6Sl09QHHiCu4E6BccTka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1912448</v>
      </c>
      <c r="C2" s="49">
        <v>439116</v>
      </c>
      <c r="D2" s="49">
        <v>891807</v>
      </c>
      <c r="E2" s="49">
        <v>1591124</v>
      </c>
      <c r="F2" s="49">
        <v>1263084.5</v>
      </c>
      <c r="G2" s="17">
        <f t="shared" ref="G2:G13" si="0">C2+D2+E2+F2</f>
        <v>4185131.5</v>
      </c>
      <c r="H2" s="17">
        <f t="shared" ref="H2:H13" si="1">(B2 + stillbirth*B2/(1000-stillbirth))/(1-abortion)</f>
        <v>2210255.1760940021</v>
      </c>
      <c r="I2" s="17">
        <f t="shared" ref="I2:I13" si="2">G2-H2</f>
        <v>1974876.3239059979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400062</v>
      </c>
      <c r="C3" s="50">
        <v>798499</v>
      </c>
      <c r="D3" s="50">
        <v>1245106</v>
      </c>
      <c r="E3" s="50">
        <v>974518</v>
      </c>
      <c r="F3" s="50">
        <v>716323</v>
      </c>
      <c r="G3" s="17">
        <f t="shared" si="0"/>
        <v>3734446</v>
      </c>
      <c r="H3" s="17">
        <f t="shared" si="1"/>
        <v>462359.81645436567</v>
      </c>
      <c r="I3" s="17">
        <f t="shared" si="2"/>
        <v>3272086.1835456342</v>
      </c>
    </row>
    <row r="4" spans="1:9" ht="15.75" customHeight="1" x14ac:dyDescent="0.25">
      <c r="A4" s="5">
        <f t="shared" si="3"/>
        <v>2026</v>
      </c>
      <c r="B4" s="49">
        <v>404109</v>
      </c>
      <c r="C4" s="50">
        <v>797849.5</v>
      </c>
      <c r="D4" s="50">
        <v>1295305</v>
      </c>
      <c r="E4" s="50">
        <v>987597.50000000012</v>
      </c>
      <c r="F4" s="50">
        <v>751151.00000000012</v>
      </c>
      <c r="G4" s="17">
        <f t="shared" si="0"/>
        <v>3831903</v>
      </c>
      <c r="H4" s="17">
        <f t="shared" si="1"/>
        <v>467037.01693126879</v>
      </c>
      <c r="I4" s="17">
        <f t="shared" si="2"/>
        <v>3364865.9830687311</v>
      </c>
    </row>
    <row r="5" spans="1:9" ht="15.75" customHeight="1" x14ac:dyDescent="0.25">
      <c r="A5" s="5">
        <f t="shared" si="3"/>
        <v>2027</v>
      </c>
      <c r="B5" s="49">
        <v>409278</v>
      </c>
      <c r="C5" s="50">
        <v>796481.5</v>
      </c>
      <c r="D5" s="50">
        <v>1346244.0000000002</v>
      </c>
      <c r="E5" s="50">
        <v>1001450.5</v>
      </c>
      <c r="F5" s="50">
        <v>784349.5</v>
      </c>
      <c r="G5" s="17">
        <f t="shared" si="0"/>
        <v>3928525.5</v>
      </c>
      <c r="H5" s="17">
        <f t="shared" si="1"/>
        <v>473010.93570199091</v>
      </c>
      <c r="I5" s="17">
        <f t="shared" si="2"/>
        <v>3455514.564298009</v>
      </c>
    </row>
    <row r="6" spans="1:9" ht="15.75" customHeight="1" x14ac:dyDescent="0.25">
      <c r="A6" s="5">
        <f t="shared" si="3"/>
        <v>2028</v>
      </c>
      <c r="B6" s="49">
        <v>413705</v>
      </c>
      <c r="C6" s="50">
        <v>797762.5</v>
      </c>
      <c r="D6" s="50">
        <v>1394698.5</v>
      </c>
      <c r="E6" s="50">
        <v>1016251.5000000001</v>
      </c>
      <c r="F6" s="50">
        <v>814842.5</v>
      </c>
      <c r="G6" s="17">
        <f t="shared" si="0"/>
        <v>4023555</v>
      </c>
      <c r="H6" s="17">
        <f t="shared" si="1"/>
        <v>478127.30993259378</v>
      </c>
      <c r="I6" s="17">
        <f t="shared" si="2"/>
        <v>3545427.6900674063</v>
      </c>
    </row>
    <row r="7" spans="1:9" ht="15.75" customHeight="1" x14ac:dyDescent="0.25">
      <c r="A7" s="5">
        <f t="shared" si="3"/>
        <v>2029</v>
      </c>
      <c r="B7" s="49">
        <v>417935</v>
      </c>
      <c r="C7" s="50">
        <v>803970.5</v>
      </c>
      <c r="D7" s="50">
        <v>1437534.9999999998</v>
      </c>
      <c r="E7" s="50">
        <v>1032142</v>
      </c>
      <c r="F7" s="50">
        <v>841696.5</v>
      </c>
      <c r="G7" s="17">
        <f t="shared" si="0"/>
        <v>4115344</v>
      </c>
      <c r="H7" s="17">
        <f t="shared" si="1"/>
        <v>483016.00724351552</v>
      </c>
      <c r="I7" s="17">
        <f t="shared" si="2"/>
        <v>3632327.9927564845</v>
      </c>
    </row>
    <row r="8" spans="1:9" ht="15.75" customHeight="1" x14ac:dyDescent="0.25">
      <c r="A8" s="5">
        <f t="shared" si="3"/>
        <v>2030</v>
      </c>
      <c r="B8" s="49">
        <v>420807</v>
      </c>
      <c r="C8" s="50">
        <v>814791</v>
      </c>
      <c r="D8" s="50">
        <v>1472186</v>
      </c>
      <c r="E8" s="50">
        <v>1049132</v>
      </c>
      <c r="F8" s="50">
        <v>864353.49999999988</v>
      </c>
      <c r="G8" s="17">
        <f t="shared" si="0"/>
        <v>4200462.5</v>
      </c>
      <c r="H8" s="17">
        <f t="shared" si="1"/>
        <v>486335.23624516267</v>
      </c>
      <c r="I8" s="17">
        <f t="shared" si="2"/>
        <v>3714127.2637548372</v>
      </c>
    </row>
    <row r="9" spans="1:9" ht="15.75" customHeight="1" x14ac:dyDescent="0.25">
      <c r="A9" s="5">
        <f t="shared" si="3"/>
        <v>2031</v>
      </c>
      <c r="B9" s="49">
        <v>423412</v>
      </c>
      <c r="C9" s="50">
        <v>829042</v>
      </c>
      <c r="D9" s="50">
        <v>1501513.5</v>
      </c>
      <c r="E9" s="50">
        <v>1070167.5</v>
      </c>
      <c r="F9" s="50">
        <v>883917.5</v>
      </c>
      <c r="G9" s="17">
        <f t="shared" si="0"/>
        <v>4284640.5</v>
      </c>
      <c r="H9" s="17">
        <f t="shared" si="1"/>
        <v>489345.88789881539</v>
      </c>
      <c r="I9" s="17">
        <f t="shared" si="2"/>
        <v>3795294.6121011847</v>
      </c>
    </row>
    <row r="10" spans="1:9" ht="15.75" customHeight="1" x14ac:dyDescent="0.25">
      <c r="A10" s="5">
        <f t="shared" si="3"/>
        <v>2032</v>
      </c>
      <c r="B10" s="49">
        <v>426716</v>
      </c>
      <c r="C10" s="50">
        <v>844915</v>
      </c>
      <c r="D10" s="50">
        <v>1526850.5</v>
      </c>
      <c r="E10" s="50">
        <v>1097290.5</v>
      </c>
      <c r="F10" s="50">
        <v>901214</v>
      </c>
      <c r="G10" s="17">
        <f t="shared" si="0"/>
        <v>4370270</v>
      </c>
      <c r="H10" s="17">
        <f t="shared" si="1"/>
        <v>493164.38811519486</v>
      </c>
      <c r="I10" s="17">
        <f t="shared" si="2"/>
        <v>3877105.6118848054</v>
      </c>
    </row>
    <row r="11" spans="1:9" ht="15.75" customHeight="1" x14ac:dyDescent="0.25">
      <c r="A11" s="5">
        <f t="shared" si="3"/>
        <v>2033</v>
      </c>
      <c r="B11" s="49">
        <v>430303</v>
      </c>
      <c r="C11" s="50">
        <v>859498.5</v>
      </c>
      <c r="D11" s="50">
        <v>1544108.5</v>
      </c>
      <c r="E11" s="50">
        <v>1128634</v>
      </c>
      <c r="F11" s="50">
        <v>915520</v>
      </c>
      <c r="G11" s="17">
        <f t="shared" si="0"/>
        <v>4447761</v>
      </c>
      <c r="H11" s="17">
        <f t="shared" si="1"/>
        <v>497309.95720604033</v>
      </c>
      <c r="I11" s="17">
        <f t="shared" si="2"/>
        <v>3950451.0427939598</v>
      </c>
    </row>
    <row r="12" spans="1:9" ht="15.75" customHeight="1" x14ac:dyDescent="0.25">
      <c r="A12" s="5">
        <f t="shared" si="3"/>
        <v>2034</v>
      </c>
      <c r="B12" s="49">
        <v>431619</v>
      </c>
      <c r="C12" s="50">
        <v>872029</v>
      </c>
      <c r="D12" s="50">
        <v>1558156.5</v>
      </c>
      <c r="E12" s="50">
        <v>1166722</v>
      </c>
      <c r="F12" s="50">
        <v>928370</v>
      </c>
      <c r="G12" s="17">
        <f t="shared" si="0"/>
        <v>4525277.5</v>
      </c>
      <c r="H12" s="17">
        <f t="shared" si="1"/>
        <v>498830.88525832712</v>
      </c>
      <c r="I12" s="17">
        <f t="shared" si="2"/>
        <v>4026446.6147416728</v>
      </c>
    </row>
    <row r="13" spans="1:9" ht="15.75" customHeight="1" x14ac:dyDescent="0.25">
      <c r="A13" s="5">
        <f t="shared" si="3"/>
        <v>2035</v>
      </c>
      <c r="B13" s="49">
        <v>435259</v>
      </c>
      <c r="C13" s="50">
        <v>882784</v>
      </c>
      <c r="D13" s="50">
        <v>1574075</v>
      </c>
      <c r="E13" s="50">
        <v>1212784</v>
      </c>
      <c r="F13" s="50">
        <v>941462</v>
      </c>
      <c r="G13" s="17">
        <f t="shared" si="0"/>
        <v>4611105</v>
      </c>
      <c r="H13" s="17">
        <f t="shared" si="1"/>
        <v>503037.70753060962</v>
      </c>
      <c r="I13" s="17">
        <f t="shared" si="2"/>
        <v>4108067.2924693902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eZsZ/okLLtvsTW0mF08vEbY10Vi5nX/SE2HkhvX1x6HvUMemOsoSI1D/37f3kJt1EMsyDKZqFBu1xnSZqGX9Q==" saltValue="sUO/I+liHECdhF4oBg6l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6.0182990146353584E-3</v>
      </c>
    </row>
    <row r="4" spans="1:8" ht="15.75" customHeight="1" x14ac:dyDescent="0.25">
      <c r="B4" s="19" t="s">
        <v>116</v>
      </c>
      <c r="C4" s="99">
        <v>4.6453576687890671E-2</v>
      </c>
    </row>
    <row r="5" spans="1:8" ht="15.75" customHeight="1" x14ac:dyDescent="0.25">
      <c r="B5" s="19" t="s">
        <v>114</v>
      </c>
      <c r="C5" s="99">
        <v>5.2706888908387282E-2</v>
      </c>
    </row>
    <row r="6" spans="1:8" ht="15.75" customHeight="1" x14ac:dyDescent="0.25">
      <c r="B6" s="19" t="s">
        <v>110</v>
      </c>
      <c r="C6" s="99">
        <v>0.21486660124181831</v>
      </c>
    </row>
    <row r="7" spans="1:8" ht="15.75" customHeight="1" x14ac:dyDescent="0.25">
      <c r="B7" s="19" t="s">
        <v>115</v>
      </c>
      <c r="C7" s="99">
        <v>0.48309890874434158</v>
      </c>
    </row>
    <row r="8" spans="1:8" ht="15.75" customHeight="1" x14ac:dyDescent="0.25">
      <c r="B8" s="19" t="s">
        <v>117</v>
      </c>
      <c r="C8" s="99">
        <v>6.8292896688334896E-4</v>
      </c>
    </row>
    <row r="9" spans="1:8" ht="15.75" customHeight="1" x14ac:dyDescent="0.25">
      <c r="B9" s="19" t="s">
        <v>111</v>
      </c>
      <c r="C9" s="99">
        <v>0.11159575567550881</v>
      </c>
    </row>
    <row r="10" spans="1:8" ht="15.75" customHeight="1" x14ac:dyDescent="0.25">
      <c r="B10" s="19" t="s">
        <v>113</v>
      </c>
      <c r="C10" s="99">
        <v>8.4577040760534461E-2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121</v>
      </c>
      <c r="C15" s="99">
        <v>0.26625517984174851</v>
      </c>
      <c r="D15" s="99">
        <v>0.26625517984174851</v>
      </c>
      <c r="E15" s="99">
        <v>0.26625517984174851</v>
      </c>
      <c r="F15" s="99">
        <v>0.26625517984174851</v>
      </c>
    </row>
    <row r="16" spans="1:8" ht="15.75" customHeight="1" x14ac:dyDescent="0.25">
      <c r="B16" s="19" t="s">
        <v>2</v>
      </c>
      <c r="C16" s="99">
        <v>1.333089552501393E-2</v>
      </c>
      <c r="D16" s="99">
        <v>1.333089552501393E-2</v>
      </c>
      <c r="E16" s="99">
        <v>1.333089552501393E-2</v>
      </c>
      <c r="F16" s="99">
        <v>1.333089552501393E-2</v>
      </c>
    </row>
    <row r="17" spans="1:8" ht="15.75" customHeight="1" x14ac:dyDescent="0.25">
      <c r="B17" s="19" t="s">
        <v>109</v>
      </c>
      <c r="C17" s="99">
        <v>8.7282404598570933E-3</v>
      </c>
      <c r="D17" s="99">
        <v>8.7282404598570933E-3</v>
      </c>
      <c r="E17" s="99">
        <v>8.7282404598570933E-3</v>
      </c>
      <c r="F17" s="99">
        <v>8.7282404598570933E-3</v>
      </c>
    </row>
    <row r="18" spans="1:8" ht="15.75" customHeight="1" x14ac:dyDescent="0.25">
      <c r="B18" s="19" t="s">
        <v>3</v>
      </c>
      <c r="C18" s="99">
        <v>8.9974197817541915E-2</v>
      </c>
      <c r="D18" s="99">
        <v>8.9974197817541915E-2</v>
      </c>
      <c r="E18" s="99">
        <v>8.9974197817541915E-2</v>
      </c>
      <c r="F18" s="99">
        <v>8.9974197817541915E-2</v>
      </c>
    </row>
    <row r="19" spans="1:8" ht="15.75" customHeight="1" x14ac:dyDescent="0.25">
      <c r="B19" s="19" t="s">
        <v>120</v>
      </c>
      <c r="C19" s="99">
        <v>4.0866747820799708E-2</v>
      </c>
      <c r="D19" s="99">
        <v>4.0866747820799708E-2</v>
      </c>
      <c r="E19" s="99">
        <v>4.0866747820799708E-2</v>
      </c>
      <c r="F19" s="99">
        <v>4.0866747820799708E-2</v>
      </c>
    </row>
    <row r="20" spans="1:8" ht="15.75" customHeight="1" x14ac:dyDescent="0.25">
      <c r="B20" s="19" t="s">
        <v>98</v>
      </c>
      <c r="C20" s="99">
        <v>5.6648497277709368E-2</v>
      </c>
      <c r="D20" s="99">
        <v>5.6648497277709368E-2</v>
      </c>
      <c r="E20" s="99">
        <v>5.6648497277709368E-2</v>
      </c>
      <c r="F20" s="99">
        <v>5.6648497277709368E-2</v>
      </c>
    </row>
    <row r="21" spans="1:8" ht="15.75" customHeight="1" x14ac:dyDescent="0.25">
      <c r="B21" s="19" t="s">
        <v>107</v>
      </c>
      <c r="C21" s="99">
        <v>0.1894963149331233</v>
      </c>
      <c r="D21" s="99">
        <v>0.1894963149331233</v>
      </c>
      <c r="E21" s="99">
        <v>0.1894963149331233</v>
      </c>
      <c r="F21" s="99">
        <v>0.1894963149331233</v>
      </c>
    </row>
    <row r="22" spans="1:8" ht="15.75" customHeight="1" x14ac:dyDescent="0.25">
      <c r="B22" s="19" t="s">
        <v>118</v>
      </c>
      <c r="C22" s="99">
        <v>0.16863032897045999</v>
      </c>
      <c r="D22" s="99">
        <v>0.16863032897045999</v>
      </c>
      <c r="E22" s="99">
        <v>0.16863032897045999</v>
      </c>
      <c r="F22" s="99">
        <v>0.16863032897045999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8.8012850000000004E-2</v>
      </c>
    </row>
    <row r="27" spans="1:8" ht="15.75" customHeight="1" x14ac:dyDescent="0.25">
      <c r="B27" s="19" t="s">
        <v>108</v>
      </c>
      <c r="C27" s="99">
        <v>8.9249900000000007E-3</v>
      </c>
    </row>
    <row r="28" spans="1:8" ht="15.75" customHeight="1" x14ac:dyDescent="0.25">
      <c r="B28" s="19" t="s">
        <v>122</v>
      </c>
      <c r="C28" s="99">
        <v>0.15479583299999999</v>
      </c>
    </row>
    <row r="29" spans="1:8" ht="15.75" customHeight="1" x14ac:dyDescent="0.25">
      <c r="B29" s="19" t="s">
        <v>105</v>
      </c>
      <c r="C29" s="99">
        <v>0.168002662</v>
      </c>
    </row>
    <row r="30" spans="1:8" ht="15.75" customHeight="1" x14ac:dyDescent="0.25">
      <c r="B30" s="19" t="s">
        <v>4</v>
      </c>
      <c r="C30" s="99">
        <v>0.104541704</v>
      </c>
    </row>
    <row r="31" spans="1:8" ht="15.75" customHeight="1" x14ac:dyDescent="0.25">
      <c r="B31" s="19" t="s">
        <v>99</v>
      </c>
      <c r="C31" s="99">
        <v>0.10832760499999999</v>
      </c>
    </row>
    <row r="32" spans="1:8" ht="15.75" customHeight="1" x14ac:dyDescent="0.25">
      <c r="B32" s="19" t="s">
        <v>104</v>
      </c>
      <c r="C32" s="99">
        <v>1.8696531999999998E-2</v>
      </c>
    </row>
    <row r="33" spans="2:3" ht="15.75" customHeight="1" x14ac:dyDescent="0.25">
      <c r="B33" s="19" t="s">
        <v>119</v>
      </c>
      <c r="C33" s="99">
        <v>8.4083039999999998E-2</v>
      </c>
    </row>
    <row r="34" spans="2:3" ht="15.75" customHeight="1" x14ac:dyDescent="0.25">
      <c r="B34" s="19" t="s">
        <v>106</v>
      </c>
      <c r="C34" s="99">
        <v>0.26461478300000002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GedTIXFQSvrrv3ZFVhccNKTc8NVwgW87zL5rUO1VoUgsw31u6+pt5yr/qZGNy8B2cliMAzEfAS82Q15ZQ6qU2Q==" saltValue="CNpR17/VFmYWhNh83NIN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129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125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126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138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islSNv9W21I4hdW1SeoZrVKYbMeinY0kQsp7oBd0P0bjXQm5TX7PW9qD+hVGdUOtxPf8Z46scdu2Md98E/NUw==" saltValue="e0kkU0/4dVAMwVu1x4TQ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mZeIugIdZyhZSsIdgbrom4XVbyiLX/DnEMljzC8CqREn6dguFscFgEBCQUhvJLPMKtEOFQxOwHooUnxV7Accrw==" saltValue="xIhHOBDJRykyDYEn3abb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ZOcvx0f9rlHuMOehilXxnhRtFNvBT5p/h3GPfp0QnZCN331YuAL7vABYhfisD54mNA06YN6ELccbe4xZiggcA==" saltValue="h93gDWjnlHtxnyvpEa5E8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966.23207136199301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0.38140000000000002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0.56830000000000003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1.990105615194997E-2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96555.94816</v>
      </c>
      <c r="C22" s="107">
        <v>96079.527390000003</v>
      </c>
      <c r="D22" s="107">
        <v>95631.113060000003</v>
      </c>
      <c r="E22" s="107">
        <v>95161.49944</v>
      </c>
      <c r="F22" s="107">
        <v>94502.367230000003</v>
      </c>
      <c r="G22" s="107">
        <v>93739.134999999995</v>
      </c>
      <c r="H22" s="107">
        <v>92757.999790000002</v>
      </c>
      <c r="I22" s="107">
        <v>91429.240390000006</v>
      </c>
      <c r="J22" s="107">
        <v>89478.996429999999</v>
      </c>
      <c r="K22" s="107">
        <v>86804.421950000004</v>
      </c>
      <c r="L22" s="107">
        <v>82864.116859999995</v>
      </c>
      <c r="M22" s="107">
        <v>77545.65367</v>
      </c>
      <c r="N22" s="107">
        <v>70126.617209999997</v>
      </c>
      <c r="O22" s="107">
        <v>60487.517310000003</v>
      </c>
    </row>
  </sheetData>
  <sheetProtection algorithmName="SHA-512" hashValue="yOsKBjLnOKHF/MjO/Bx2B24dEysgxzGRtFbi+gkZxU7kaX9HHm6a7b787LNAuCbgOstcmjkLLwGDpQS9h1LyxA==" saltValue="Iw7r6c7PN7tJnhS2OfaT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uvB0zRTa3teUvlVZQhOoP+rh0dPuKmj6uRuElNLFvLGBbVgCF8OF4TDr9Lb1cF+x4jAhbRenj/vOb/XO/i+AQ==" saltValue="C1bohLVIIk1p74i/6SYs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IgA987pyZDwFMt/dJteFJd5ceyEIxmFM9gS7X5pDMCx9pr8WVPP93MAL1GItijKWVTX6T4gjLkV5j2o2gMg/g==" saltValue="x+mrNbIiVG2MEWM6jACy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6.03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3.7783674513817815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0.1563252</v>
      </c>
      <c r="C10" s="96">
        <v>0.95</v>
      </c>
      <c r="D10" s="56">
        <v>15.05045142161304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15.05045142161304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15.05045142161304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15.05045142161304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0.16389999999999999</v>
      </c>
      <c r="C14" s="96">
        <v>0.95</v>
      </c>
      <c r="D14" s="56">
        <v>1.3111054247697034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15.05045142161304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0.48628949999999999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5.58755555555556E-3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0.78899600000000003</v>
      </c>
      <c r="C18" s="96">
        <v>0.95</v>
      </c>
      <c r="D18" s="56">
        <v>6.0310849539406348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0.78899600000000003</v>
      </c>
      <c r="C19" s="96">
        <v>0.95</v>
      </c>
      <c r="D19" s="56">
        <v>1.723860781546777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3.6234186284544529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6.03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0.56296439999999992</v>
      </c>
      <c r="C23" s="96">
        <v>0.95</v>
      </c>
      <c r="D23" s="56">
        <v>4.9321676394351552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0.61747921546045004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0.184</v>
      </c>
      <c r="C26" s="96">
        <v>0.95</v>
      </c>
      <c r="D26" s="56">
        <v>7.7236028659160709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0.2796807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0.34426630000000003</v>
      </c>
      <c r="C29" s="96">
        <v>0.95</v>
      </c>
      <c r="D29" s="56">
        <v>63.551452439241622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0.86499999999999999</v>
      </c>
      <c r="C32" s="96">
        <v>0.95</v>
      </c>
      <c r="D32" s="56">
        <v>0.46484646878198577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0.18402009999999999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0.82192539999999992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1.9060199999999999E-2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0.45494020000000002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0.188</v>
      </c>
      <c r="C38" s="96">
        <v>0.95</v>
      </c>
      <c r="D38" s="56">
        <v>0.28605936540429888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OqQxHUKZaKrAraQXB0nQoPxbeYlJ7yCibdhgAjT5cA0eOWolJUwApDbW6brTBCw45cNSoGUShQ4SP+eKryH0aQ==" saltValue="AyiQmdamftNoXASN6AvP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mXZ+EVSfbkJykfeXkWh9gUJ0gFvABLVQRS1oPmDSE4/Yho3gBHkgz7UHZe13mDIG1Y7xFCWbZl8uVJNmYvotA==" saltValue="olrZoZ85/SODzsUFBm54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JitrISB2K0zvMUJRYuAuCIZKiXDz0kRbfEj51R5dNwWibCpB+slq9BuBVcz/Z/yusCp5+FH77MVkyXAJQetkg==" saltValue="wUlDLKwUXtKKYB7jGdit2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236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OLMF2cfQZu/Wgs1ai9qLBqqudiIfqYGrABsFfxOoI2AJQdkVHWq1XGuf8mqQks1MuEyVqmkDwYn0/Sm+dXV9bQ==" saltValue="K+BCQkTmOXSAU3M+vPa/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J+YjeZtU3vd6482bXX/Uifj6zg9qBC82c4nrLfWoGK9Jyv/zS4cvgm1hDIAw6ayaRvniuZrb5q6Q+DsUZvG9w==" saltValue="WT9R18fkFNZoXcO33udL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uf1qmLw7EnxHX/oVEUCYeLj0SCYz8ZYywtm2553mwqkL0pvS+t7MYlO3r0PSDUx5sH/iwDLZJXGD4g2LPLPaA==" saltValue="8bHyjw4LmdB0im+6d2uK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gV/cOUgx0kbBSzKnfvB0mtgSGFySDfzCqXWdokwa2Bupy9Js+gj130iC2zDXLvk7TSxHCISpmkdQUUqTvdwag==" saltValue="CxGLGyfBKNa+KGfztMHi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d/8atm7wWhhX3r/d3BlqXPbbgpPewWn+ofvNB807xmIQsjIbnkgjJWKbMdTWsYcIEuPOAc3NlzXzhkyzvmEnw==" saltValue="RUB1kOzVXQiu0TPwmASmv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Hdmj+wcwH0aXwH+DO0RckeWW0U/dmxskhbl90buZiXZCbhxeMgbV/8PNnU6MHbcEQfVM04FGMUoTr3SoNKyThg==" saltValue="2vO7Ifr1ndjCy0XxAmge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cxfoQbGVCVf6tUeuIMY4aNzb7zgPSU4iJCmAu5wk2V0l7hVLjTFU6ChZazjCg4XxqkCb4mIlH8/PWSjf6ofNfA==" saltValue="apspKPzzusB6F8DPnqvX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aT0eopB5e98VVpLAbkts0u8QWabHXPoHKxa6ACkX55dmdRpI0jQZGJkFyL28PLjsO9BlBzwsRrP+bBGUGrc9w==" saltValue="7nWTBUyW9YUfCl2SvtPTS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fDR/mupPWhOTsRaVOQsVwNsQQq2s1jpeTIJzms6YteBmASj3wH3IzbRh55yyvXRB0QURwTiLzTOfbTp1GhRsg==" saltValue="KhDfKPcWZrr3t5jJJi2c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wmeG/Utte0lZGRAbjd/rylh0RSeXeTs/sqPyLVsZ96UrNQGMwOl5uIFaFAu10/VkMUDQlTdpaIUU9EUur7Xgg==" saltValue="girTC8HwsjKyna5DkJV6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gRKRbLSgREMT8/KyRV4OJka59LNX1iblrLl3t6JyF0NkR8DeFoUJnOtI4gL92FxJXP5LbqLOZUXl2XOL2jk+Q==" saltValue="4YD5PiXrZDXOByWUnpVU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1A+t3y38oZBEXsWz8lOE/w30qGAqvSRejjg6mKIFNVzWQTVNleS+Z5VCXHk2DVRRoKVhP4Doc5+ssROmUooGQ==" saltValue="yMP5DwwkQy6qNUdDC234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4MOPpecRZXS6hNhZEObnVJ7jOHIkRuk9COPkGiOGiZ2SJoSFL4SysRbb4X8PwSfd0trTZHnj7wtfi1bVEXUhg==" saltValue="tDVj69vZskdGttA+1OQo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UVWn4t1JC4rmqR7vD8VGN0BJPiPTYhpjlcCSVNNA1DhEJKOL5VnLBcdlCVADYNfU9m/RZx0QgsGO2ES0nq6hQ==" saltValue="9Kj9oyNlR/SlMBVgku6C8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Z3vtNJYHIID2SUwIXye27aRfCld3fXvuoV5jZWwPIa77TBrt7Y1B0p62qVFbJd2gl/qHuKAL22hihtLyR61oA==" saltValue="Tfjqal/EG441x8JK00T9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YFWfY7zbD3iiiaiHBalJtW1iawZxk83oo+eHsdVvVXUuMBYPwjCEtHLoPDDQHE4RmPT3XzL+i/hKhmU2WyKtA==" saltValue="qCPent1EJyR9zKRuUYXz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