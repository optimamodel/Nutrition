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A724C504-9CE0-4866-A8B4-F0DCD561DC0F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5" i="2" l="1"/>
  <c r="A26" i="2"/>
  <c r="I39" i="2"/>
  <c r="I9" i="2"/>
  <c r="I13" i="2"/>
  <c r="A31" i="2"/>
  <c r="I2" i="2"/>
  <c r="I6" i="2"/>
  <c r="A19" i="2"/>
  <c r="A35" i="2"/>
  <c r="A22" i="2"/>
  <c r="A36" i="2"/>
  <c r="A40" i="2"/>
  <c r="A23" i="2"/>
  <c r="A34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<sst xmlns="http://schemas.openxmlformats.org/spreadsheetml/2006/main" count="2159" uniqueCount="372">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</sst>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1988148.15625</v>
      </c>
    </row>
    <row r="8" spans="1:3" ht="15" customHeight="1" x14ac:dyDescent="0.25">
      <c r="B8" s="5" t="s">
        <v>63</v>
      </c>
      <c r="C8" s="44">
        <v>0.55500000000000005</v>
      </c>
    </row>
    <row r="9" spans="1:3" ht="15" customHeight="1" x14ac:dyDescent="0.25">
      <c r="B9" s="5" t="s">
        <v>62</v>
      </c>
      <c r="C9" s="45">
        <v>7.0000000000000007E-2</v>
      </c>
    </row>
    <row r="10" spans="1:3" ht="15" customHeight="1" x14ac:dyDescent="0.25">
      <c r="B10" s="5" t="s">
        <v>75</v>
      </c>
      <c r="C10" s="45">
        <v>0.29895069122314499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0.34100000000000003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4.6199999999999998E-2</v>
      </c>
    </row>
    <row r="24" spans="1:3" ht="15" customHeight="1" x14ac:dyDescent="0.25">
      <c r="B24" s="15" t="s">
        <v>65</v>
      </c>
      <c r="C24" s="45">
        <v>0.50180000000000002</v>
      </c>
    </row>
    <row r="25" spans="1:3" ht="15" customHeight="1" x14ac:dyDescent="0.25">
      <c r="B25" s="15" t="s">
        <v>66</v>
      </c>
      <c r="C25" s="45">
        <v>0.36330000000000001</v>
      </c>
    </row>
    <row r="26" spans="1:3" ht="15" customHeight="1" x14ac:dyDescent="0.25">
      <c r="B26" s="15" t="s">
        <v>67</v>
      </c>
      <c r="C26" s="45">
        <v>8.8699999999999987E-2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0.254787647396997</v>
      </c>
    </row>
    <row r="30" spans="1:3" ht="14.25" customHeight="1" x14ac:dyDescent="0.25">
      <c r="B30" s="25" t="s">
        <v>82</v>
      </c>
      <c r="C30" s="99">
        <v>3.6806607194084101E-2</v>
      </c>
    </row>
    <row r="31" spans="1:3" ht="14.25" customHeight="1" x14ac:dyDescent="0.25">
      <c r="B31" s="25" t="s">
        <v>29</v>
      </c>
      <c r="C31" s="99">
        <v>7.3852638350173999E-2</v>
      </c>
    </row>
    <row r="32" spans="1:3" ht="14.25" customHeight="1" x14ac:dyDescent="0.25">
      <c r="B32" s="25" t="s">
        <v>30</v>
      </c>
      <c r="C32" s="99">
        <v>0.63455310705874501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17.52411</v>
      </c>
    </row>
    <row r="38" spans="1:5" ht="15" customHeight="1" x14ac:dyDescent="0.25">
      <c r="B38" s="11" t="s">
        <v>54</v>
      </c>
      <c r="C38" s="43">
        <v>29.650749999999999</v>
      </c>
      <c r="D38" s="12"/>
      <c r="E38" s="13"/>
    </row>
    <row r="39" spans="1:5" ht="15" customHeight="1" x14ac:dyDescent="0.25">
      <c r="B39" s="11" t="s">
        <v>80</v>
      </c>
      <c r="C39" s="43">
        <v>39.438879999999997</v>
      </c>
      <c r="D39" s="12"/>
      <c r="E39" s="12"/>
    </row>
    <row r="40" spans="1:5" ht="15" customHeight="1" x14ac:dyDescent="0.25">
      <c r="B40" s="11" t="s">
        <v>55</v>
      </c>
      <c r="C40" s="100">
        <v>2.59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16.748660000000001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7.9924000000000002E-3</v>
      </c>
      <c r="D45" s="12"/>
    </row>
    <row r="46" spans="1:5" ht="15.75" customHeight="1" x14ac:dyDescent="0.25">
      <c r="B46" s="11" t="s">
        <v>70</v>
      </c>
      <c r="C46" s="45">
        <v>8.54993E-2</v>
      </c>
      <c r="D46" s="12"/>
    </row>
    <row r="47" spans="1:5" ht="15.75" customHeight="1" x14ac:dyDescent="0.25">
      <c r="B47" s="11" t="s">
        <v>78</v>
      </c>
      <c r="C47" s="45">
        <v>0.16339429999999999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0.62000600000000006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7.87070039999999E-2</v>
      </c>
    </row>
    <row r="63" spans="1:4" ht="15.75" customHeight="1" x14ac:dyDescent="0.3">
      <c r="A63" s="4"/>
    </row>
  </sheetData>
  <sheetProtection algorithmName="SHA-512" hashValue="Y60Dh1dT8K3YeFUpt+r2HIxDybKAzgrj+tlQOtTuOnG52x+Gh+GiNURl640cQF6NI27ElODsvAg5cYqRlzgrWg==" saltValue="5u/MSqCwfwOKESuY1U82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1912448</v>
      </c>
      <c r="C2" s="49">
        <v>439116</v>
      </c>
      <c r="D2" s="49">
        <v>891807</v>
      </c>
      <c r="E2" s="49">
        <v>1591124</v>
      </c>
      <c r="F2" s="49">
        <v>1263084.5</v>
      </c>
      <c r="G2" s="17">
        <f t="shared" ref="G2:G13" si="0">C2+D2+E2+F2</f>
        <v>4185131.5</v>
      </c>
      <c r="H2" s="17">
        <f t="shared" ref="H2:H13" si="1">(B2 + stillbirth*B2/(1000-stillbirth))/(1-abortion)</f>
        <v>2210255.1760940021</v>
      </c>
      <c r="I2" s="17">
        <f t="shared" ref="I2:I13" si="2">G2-H2</f>
        <v>1974876.3239059979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400062</v>
      </c>
      <c r="C3" s="50">
        <v>798499</v>
      </c>
      <c r="D3" s="50">
        <v>1245106</v>
      </c>
      <c r="E3" s="50">
        <v>974518</v>
      </c>
      <c r="F3" s="50">
        <v>716323</v>
      </c>
      <c r="G3" s="17">
        <f t="shared" si="0"/>
        <v>3734446</v>
      </c>
      <c r="H3" s="17">
        <f t="shared" si="1"/>
        <v>462359.81645436567</v>
      </c>
      <c r="I3" s="17">
        <f t="shared" si="2"/>
        <v>3272086.1835456342</v>
      </c>
    </row>
    <row r="4" spans="1:9" ht="15.75" customHeight="1" x14ac:dyDescent="0.25">
      <c r="A4" s="5">
        <f t="shared" si="3"/>
        <v>2026</v>
      </c>
      <c r="B4" s="49">
        <v>404109</v>
      </c>
      <c r="C4" s="50">
        <v>797849.5</v>
      </c>
      <c r="D4" s="50">
        <v>1295305</v>
      </c>
      <c r="E4" s="50">
        <v>987597.50000000012</v>
      </c>
      <c r="F4" s="50">
        <v>751151.00000000012</v>
      </c>
      <c r="G4" s="17">
        <f t="shared" si="0"/>
        <v>3831903</v>
      </c>
      <c r="H4" s="17">
        <f t="shared" si="1"/>
        <v>467037.01693126879</v>
      </c>
      <c r="I4" s="17">
        <f t="shared" si="2"/>
        <v>3364865.9830687311</v>
      </c>
    </row>
    <row r="5" spans="1:9" ht="15.75" customHeight="1" x14ac:dyDescent="0.25">
      <c r="A5" s="5">
        <f t="shared" si="3"/>
        <v>2027</v>
      </c>
      <c r="B5" s="49">
        <v>409278</v>
      </c>
      <c r="C5" s="50">
        <v>796481.5</v>
      </c>
      <c r="D5" s="50">
        <v>1346244.0000000002</v>
      </c>
      <c r="E5" s="50">
        <v>1001450.5</v>
      </c>
      <c r="F5" s="50">
        <v>784349.5</v>
      </c>
      <c r="G5" s="17">
        <f t="shared" si="0"/>
        <v>3928525.5</v>
      </c>
      <c r="H5" s="17">
        <f t="shared" si="1"/>
        <v>473010.93570199091</v>
      </c>
      <c r="I5" s="17">
        <f t="shared" si="2"/>
        <v>3455514.564298009</v>
      </c>
    </row>
    <row r="6" spans="1:9" ht="15.75" customHeight="1" x14ac:dyDescent="0.25">
      <c r="A6" s="5">
        <f t="shared" si="3"/>
        <v>2028</v>
      </c>
      <c r="B6" s="49">
        <v>413705</v>
      </c>
      <c r="C6" s="50">
        <v>797762.5</v>
      </c>
      <c r="D6" s="50">
        <v>1394698.5</v>
      </c>
      <c r="E6" s="50">
        <v>1016251.5000000001</v>
      </c>
      <c r="F6" s="50">
        <v>814842.5</v>
      </c>
      <c r="G6" s="17">
        <f t="shared" si="0"/>
        <v>4023555</v>
      </c>
      <c r="H6" s="17">
        <f t="shared" si="1"/>
        <v>478127.30993259378</v>
      </c>
      <c r="I6" s="17">
        <f t="shared" si="2"/>
        <v>3545427.6900674063</v>
      </c>
    </row>
    <row r="7" spans="1:9" ht="15.75" customHeight="1" x14ac:dyDescent="0.25">
      <c r="A7" s="5">
        <f t="shared" si="3"/>
        <v>2029</v>
      </c>
      <c r="B7" s="49">
        <v>417935</v>
      </c>
      <c r="C7" s="50">
        <v>803970.5</v>
      </c>
      <c r="D7" s="50">
        <v>1437534.9999999998</v>
      </c>
      <c r="E7" s="50">
        <v>1032142</v>
      </c>
      <c r="F7" s="50">
        <v>841696.5</v>
      </c>
      <c r="G7" s="17">
        <f t="shared" si="0"/>
        <v>4115344</v>
      </c>
      <c r="H7" s="17">
        <f t="shared" si="1"/>
        <v>483016.00724351552</v>
      </c>
      <c r="I7" s="17">
        <f t="shared" si="2"/>
        <v>3632327.9927564845</v>
      </c>
    </row>
    <row r="8" spans="1:9" ht="15.75" customHeight="1" x14ac:dyDescent="0.25">
      <c r="A8" s="5">
        <f t="shared" si="3"/>
        <v>2030</v>
      </c>
      <c r="B8" s="49">
        <v>420807</v>
      </c>
      <c r="C8" s="50">
        <v>814791</v>
      </c>
      <c r="D8" s="50">
        <v>1472186</v>
      </c>
      <c r="E8" s="50">
        <v>1049132</v>
      </c>
      <c r="F8" s="50">
        <v>864353.49999999988</v>
      </c>
      <c r="G8" s="17">
        <f t="shared" si="0"/>
        <v>4200462.5</v>
      </c>
      <c r="H8" s="17">
        <f t="shared" si="1"/>
        <v>486335.23624516267</v>
      </c>
      <c r="I8" s="17">
        <f t="shared" si="2"/>
        <v>3714127.2637548372</v>
      </c>
    </row>
    <row r="9" spans="1:9" ht="15.75" customHeight="1" x14ac:dyDescent="0.25">
      <c r="A9" s="5">
        <f t="shared" si="3"/>
        <v>2031</v>
      </c>
      <c r="B9" s="49">
        <v>423412</v>
      </c>
      <c r="C9" s="50">
        <v>829042</v>
      </c>
      <c r="D9" s="50">
        <v>1501513.5</v>
      </c>
      <c r="E9" s="50">
        <v>1070167.5</v>
      </c>
      <c r="F9" s="50">
        <v>883917.5</v>
      </c>
      <c r="G9" s="17">
        <f t="shared" si="0"/>
        <v>4284640.5</v>
      </c>
      <c r="H9" s="17">
        <f t="shared" si="1"/>
        <v>489345.88789881539</v>
      </c>
      <c r="I9" s="17">
        <f t="shared" si="2"/>
        <v>3795294.6121011847</v>
      </c>
    </row>
    <row r="10" spans="1:9" ht="15.75" customHeight="1" x14ac:dyDescent="0.25">
      <c r="A10" s="5">
        <f t="shared" si="3"/>
        <v>2032</v>
      </c>
      <c r="B10" s="49">
        <v>426716</v>
      </c>
      <c r="C10" s="50">
        <v>844915</v>
      </c>
      <c r="D10" s="50">
        <v>1526850.5</v>
      </c>
      <c r="E10" s="50">
        <v>1097290.5</v>
      </c>
      <c r="F10" s="50">
        <v>901214</v>
      </c>
      <c r="G10" s="17">
        <f t="shared" si="0"/>
        <v>4370270</v>
      </c>
      <c r="H10" s="17">
        <f t="shared" si="1"/>
        <v>493164.38811519486</v>
      </c>
      <c r="I10" s="17">
        <f t="shared" si="2"/>
        <v>3877105.6118848054</v>
      </c>
    </row>
    <row r="11" spans="1:9" ht="15.75" customHeight="1" x14ac:dyDescent="0.25">
      <c r="A11" s="5">
        <f t="shared" si="3"/>
        <v>2033</v>
      </c>
      <c r="B11" s="49">
        <v>430303</v>
      </c>
      <c r="C11" s="50">
        <v>859498.5</v>
      </c>
      <c r="D11" s="50">
        <v>1544108.5</v>
      </c>
      <c r="E11" s="50">
        <v>1128634</v>
      </c>
      <c r="F11" s="50">
        <v>915520</v>
      </c>
      <c r="G11" s="17">
        <f t="shared" si="0"/>
        <v>4447761</v>
      </c>
      <c r="H11" s="17">
        <f t="shared" si="1"/>
        <v>497309.95720604033</v>
      </c>
      <c r="I11" s="17">
        <f t="shared" si="2"/>
        <v>3950451.0427939598</v>
      </c>
    </row>
    <row r="12" spans="1:9" ht="15.75" customHeight="1" x14ac:dyDescent="0.25">
      <c r="A12" s="5">
        <f t="shared" si="3"/>
        <v>2034</v>
      </c>
      <c r="B12" s="49">
        <v>431619</v>
      </c>
      <c r="C12" s="50">
        <v>872029</v>
      </c>
      <c r="D12" s="50">
        <v>1558156.5</v>
      </c>
      <c r="E12" s="50">
        <v>1166722</v>
      </c>
      <c r="F12" s="50">
        <v>928370</v>
      </c>
      <c r="G12" s="17">
        <f t="shared" si="0"/>
        <v>4525277.5</v>
      </c>
      <c r="H12" s="17">
        <f t="shared" si="1"/>
        <v>498830.88525832712</v>
      </c>
      <c r="I12" s="17">
        <f t="shared" si="2"/>
        <v>4026446.6147416728</v>
      </c>
    </row>
    <row r="13" spans="1:9" ht="15.75" customHeight="1" x14ac:dyDescent="0.25">
      <c r="A13" s="5">
        <f t="shared" si="3"/>
        <v>2035</v>
      </c>
      <c r="B13" s="49">
        <v>435259</v>
      </c>
      <c r="C13" s="50">
        <v>882784</v>
      </c>
      <c r="D13" s="50">
        <v>1574075</v>
      </c>
      <c r="E13" s="50">
        <v>1212784</v>
      </c>
      <c r="F13" s="50">
        <v>941462</v>
      </c>
      <c r="G13" s="17">
        <f t="shared" si="0"/>
        <v>4611105</v>
      </c>
      <c r="H13" s="17">
        <f t="shared" si="1"/>
        <v>503037.70753060962</v>
      </c>
      <c r="I13" s="17">
        <f t="shared" si="2"/>
        <v>4108067.2924693902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lv+L49bY6dXEkqQL+kaNRJdeOorJe9yhDjLlQC2wRiCqd/6sdoBMdj/SZU0JcJl3bINU1jlo+ZoyWh9/I+2/Q==" saltValue="vy87CXZIXyvnuAGircuDX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6.0182990146353584E-3</v>
      </c>
    </row>
    <row r="4" spans="1:8" ht="15.75" customHeight="1" x14ac:dyDescent="0.25">
      <c r="B4" s="19" t="s">
        <v>116</v>
      </c>
      <c r="C4" s="101">
        <v>4.6453576687890671E-2</v>
      </c>
    </row>
    <row r="5" spans="1:8" ht="15.75" customHeight="1" x14ac:dyDescent="0.25">
      <c r="B5" s="19" t="s">
        <v>114</v>
      </c>
      <c r="C5" s="101">
        <v>5.2706888908387282E-2</v>
      </c>
    </row>
    <row r="6" spans="1:8" ht="15.75" customHeight="1" x14ac:dyDescent="0.25">
      <c r="B6" s="19" t="s">
        <v>110</v>
      </c>
      <c r="C6" s="101">
        <v>0.21486660124181831</v>
      </c>
    </row>
    <row r="7" spans="1:8" ht="15.75" customHeight="1" x14ac:dyDescent="0.25">
      <c r="B7" s="19" t="s">
        <v>115</v>
      </c>
      <c r="C7" s="101">
        <v>0.48309890874434158</v>
      </c>
    </row>
    <row r="8" spans="1:8" ht="15.75" customHeight="1" x14ac:dyDescent="0.25">
      <c r="B8" s="19" t="s">
        <v>117</v>
      </c>
      <c r="C8" s="101">
        <v>6.8292896688334896E-4</v>
      </c>
    </row>
    <row r="9" spans="1:8" ht="15.75" customHeight="1" x14ac:dyDescent="0.25">
      <c r="B9" s="19" t="s">
        <v>111</v>
      </c>
      <c r="C9" s="101">
        <v>0.11159575567550881</v>
      </c>
    </row>
    <row r="10" spans="1:8" ht="15.75" customHeight="1" x14ac:dyDescent="0.25">
      <c r="B10" s="19" t="s">
        <v>113</v>
      </c>
      <c r="C10" s="101">
        <v>8.4577040760534461E-2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0.1660695973537461</v>
      </c>
      <c r="D14" s="55">
        <v>0.1660695973537461</v>
      </c>
      <c r="E14" s="55">
        <v>0.1660695973537461</v>
      </c>
      <c r="F14" s="55">
        <v>0.1660695973537461</v>
      </c>
    </row>
    <row r="15" spans="1:8" ht="15.75" customHeight="1" x14ac:dyDescent="0.25">
      <c r="B15" s="19" t="s">
        <v>121</v>
      </c>
      <c r="C15" s="101">
        <v>0.26625517984174851</v>
      </c>
      <c r="D15" s="101">
        <v>0.26625517984174851</v>
      </c>
      <c r="E15" s="101">
        <v>0.26625517984174851</v>
      </c>
      <c r="F15" s="101">
        <v>0.26625517984174851</v>
      </c>
    </row>
    <row r="16" spans="1:8" ht="15.75" customHeight="1" x14ac:dyDescent="0.25">
      <c r="B16" s="19" t="s">
        <v>2</v>
      </c>
      <c r="C16" s="101">
        <v>1.333089552501393E-2</v>
      </c>
      <c r="D16" s="101">
        <v>1.333089552501393E-2</v>
      </c>
      <c r="E16" s="101">
        <v>1.333089552501393E-2</v>
      </c>
      <c r="F16" s="101">
        <v>1.333089552501393E-2</v>
      </c>
    </row>
    <row r="17" spans="1:8" ht="15.75" customHeight="1" x14ac:dyDescent="0.25">
      <c r="B17" s="19" t="s">
        <v>109</v>
      </c>
      <c r="C17" s="101">
        <v>8.7282404598570933E-3</v>
      </c>
      <c r="D17" s="101">
        <v>8.7282404598570933E-3</v>
      </c>
      <c r="E17" s="101">
        <v>8.7282404598570933E-3</v>
      </c>
      <c r="F17" s="101">
        <v>8.7282404598570933E-3</v>
      </c>
    </row>
    <row r="18" spans="1:8" ht="15.75" customHeight="1" x14ac:dyDescent="0.25">
      <c r="B18" s="19" t="s">
        <v>3</v>
      </c>
      <c r="C18" s="101">
        <v>8.9974197817541915E-2</v>
      </c>
      <c r="D18" s="101">
        <v>8.9974197817541915E-2</v>
      </c>
      <c r="E18" s="101">
        <v>8.9974197817541915E-2</v>
      </c>
      <c r="F18" s="101">
        <v>8.9974197817541915E-2</v>
      </c>
    </row>
    <row r="19" spans="1:8" ht="15.75" customHeight="1" x14ac:dyDescent="0.25">
      <c r="B19" s="19" t="s">
        <v>120</v>
      </c>
      <c r="C19" s="101">
        <v>4.0866747820799708E-2</v>
      </c>
      <c r="D19" s="101">
        <v>4.0866747820799708E-2</v>
      </c>
      <c r="E19" s="101">
        <v>4.0866747820799708E-2</v>
      </c>
      <c r="F19" s="101">
        <v>4.0866747820799708E-2</v>
      </c>
    </row>
    <row r="20" spans="1:8" ht="15.75" customHeight="1" x14ac:dyDescent="0.25">
      <c r="B20" s="19" t="s">
        <v>98</v>
      </c>
      <c r="C20" s="101">
        <v>5.6648497277709368E-2</v>
      </c>
      <c r="D20" s="101">
        <v>5.6648497277709368E-2</v>
      </c>
      <c r="E20" s="101">
        <v>5.6648497277709368E-2</v>
      </c>
      <c r="F20" s="101">
        <v>5.6648497277709368E-2</v>
      </c>
    </row>
    <row r="21" spans="1:8" ht="15.75" customHeight="1" x14ac:dyDescent="0.25">
      <c r="B21" s="19" t="s">
        <v>107</v>
      </c>
      <c r="C21" s="101">
        <v>0.1894963149331233</v>
      </c>
      <c r="D21" s="101">
        <v>0.1894963149331233</v>
      </c>
      <c r="E21" s="101">
        <v>0.1894963149331233</v>
      </c>
      <c r="F21" s="101">
        <v>0.1894963149331233</v>
      </c>
    </row>
    <row r="22" spans="1:8" ht="15.75" customHeight="1" x14ac:dyDescent="0.25">
      <c r="B22" s="19" t="s">
        <v>118</v>
      </c>
      <c r="C22" s="101">
        <v>0.16863032897045999</v>
      </c>
      <c r="D22" s="101">
        <v>0.16863032897045999</v>
      </c>
      <c r="E22" s="101">
        <v>0.16863032897045999</v>
      </c>
      <c r="F22" s="101">
        <v>0.16863032897045999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8.8012850000000004E-2</v>
      </c>
    </row>
    <row r="27" spans="1:8" ht="15.75" customHeight="1" x14ac:dyDescent="0.25">
      <c r="B27" s="19" t="s">
        <v>108</v>
      </c>
      <c r="C27" s="101">
        <v>8.9249900000000007E-3</v>
      </c>
    </row>
    <row r="28" spans="1:8" ht="15.75" customHeight="1" x14ac:dyDescent="0.25">
      <c r="B28" s="19" t="s">
        <v>122</v>
      </c>
      <c r="C28" s="101">
        <v>0.15479583299999999</v>
      </c>
    </row>
    <row r="29" spans="1:8" ht="15.75" customHeight="1" x14ac:dyDescent="0.25">
      <c r="B29" s="19" t="s">
        <v>105</v>
      </c>
      <c r="C29" s="101">
        <v>0.168002662</v>
      </c>
    </row>
    <row r="30" spans="1:8" ht="15.75" customHeight="1" x14ac:dyDescent="0.25">
      <c r="B30" s="19" t="s">
        <v>4</v>
      </c>
      <c r="C30" s="101">
        <v>0.104541704</v>
      </c>
    </row>
    <row r="31" spans="1:8" ht="15.75" customHeight="1" x14ac:dyDescent="0.25">
      <c r="B31" s="19" t="s">
        <v>99</v>
      </c>
      <c r="C31" s="101">
        <v>0.10832760499999999</v>
      </c>
    </row>
    <row r="32" spans="1:8" ht="15.75" customHeight="1" x14ac:dyDescent="0.25">
      <c r="B32" s="19" t="s">
        <v>104</v>
      </c>
      <c r="C32" s="101">
        <v>1.8696531999999998E-2</v>
      </c>
    </row>
    <row r="33" spans="2:3" ht="15.75" customHeight="1" x14ac:dyDescent="0.25">
      <c r="B33" s="19" t="s">
        <v>119</v>
      </c>
      <c r="C33" s="101">
        <v>8.4083039999999998E-2</v>
      </c>
    </row>
    <row r="34" spans="2:3" ht="15.75" customHeight="1" x14ac:dyDescent="0.25">
      <c r="B34" s="19" t="s">
        <v>106</v>
      </c>
      <c r="C34" s="101">
        <v>0.26461478300000002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pK0YAJHgPgdzhakdXYsFDPkh7HlvyXGIjYp2/zCmPVT05coKHjybBejRU+ZYB45T8Tut8RxhbtIOsQZAcVvg8A==" saltValue="o35k6iTb23qvnAM9ttaf5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0.4940275172089843</v>
      </c>
      <c r="D2" s="52">
        <f>IFERROR(1-_xlfn.NORM.DIST(_xlfn.NORM.INV(SUM(D4:D5), 0, 1) + 1, 0, 1, TRUE), "")</f>
        <v>0.4940275172089843</v>
      </c>
      <c r="E2" s="52">
        <f>IFERROR(1-_xlfn.NORM.DIST(_xlfn.NORM.INV(SUM(E4:E5), 0, 1) + 1, 0, 1, TRUE), "")</f>
        <v>0.41826682079391031</v>
      </c>
      <c r="F2" s="52">
        <f>IFERROR(1-_xlfn.NORM.DIST(_xlfn.NORM.INV(SUM(F4:F5), 0, 1) + 1, 0, 1, TRUE), "")</f>
        <v>0.26123661760025274</v>
      </c>
      <c r="G2" s="52">
        <f>IFERROR(1-_xlfn.NORM.DIST(_xlfn.NORM.INV(SUM(G4:G5), 0, 1) + 1, 0, 1, TRUE), "")</f>
        <v>0.25257570689057673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0.34366748279101567</v>
      </c>
      <c r="D3" s="52">
        <f>IFERROR(_xlfn.NORM.DIST(_xlfn.NORM.INV(SUM(D4:D5), 0, 1) + 1, 0, 1, TRUE) - SUM(D4:D5), "")</f>
        <v>0.34366748279101567</v>
      </c>
      <c r="E3" s="52">
        <f>IFERROR(_xlfn.NORM.DIST(_xlfn.NORM.INV(SUM(E4:E5), 0, 1) + 1, 0, 1, TRUE) - SUM(E4:E5), "")</f>
        <v>0.36803957920608971</v>
      </c>
      <c r="F3" s="52">
        <f>IFERROR(_xlfn.NORM.DIST(_xlfn.NORM.INV(SUM(F4:F5), 0, 1) + 1, 0, 1, TRUE) - SUM(F4:F5), "")</f>
        <v>0.37951268239974723</v>
      </c>
      <c r="G3" s="52">
        <f>IFERROR(_xlfn.NORM.DIST(_xlfn.NORM.INV(SUM(G4:G5), 0, 1) + 1, 0, 1, TRUE) - SUM(G4:G5), "")</f>
        <v>0.37808119310942323</v>
      </c>
    </row>
    <row r="4" spans="1:15" ht="15.75" customHeight="1" x14ac:dyDescent="0.25">
      <c r="B4" s="5" t="s">
        <v>129</v>
      </c>
      <c r="C4" s="45">
        <v>0.1173162</v>
      </c>
      <c r="D4" s="53">
        <v>0.1173162</v>
      </c>
      <c r="E4" s="53">
        <v>0.159605</v>
      </c>
      <c r="F4" s="53">
        <v>0.26786270000000001</v>
      </c>
      <c r="G4" s="53">
        <v>0.2625538</v>
      </c>
    </row>
    <row r="5" spans="1:15" ht="15.75" customHeight="1" x14ac:dyDescent="0.25">
      <c r="B5" s="5" t="s">
        <v>125</v>
      </c>
      <c r="C5" s="45">
        <v>4.4988800000000002E-2</v>
      </c>
      <c r="D5" s="53">
        <v>4.4988800000000002E-2</v>
      </c>
      <c r="E5" s="53">
        <v>5.4088600000000001E-2</v>
      </c>
      <c r="F5" s="53">
        <v>9.1387999999999997E-2</v>
      </c>
      <c r="G5" s="53">
        <v>0.1067893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0.87763531477205214</v>
      </c>
      <c r="D8" s="52">
        <f>IFERROR(1-_xlfn.NORM.DIST(_xlfn.NORM.INV(SUM(D10:D11), 0, 1) + 1, 0, 1, TRUE), "")</f>
        <v>0.87763531477205214</v>
      </c>
      <c r="E8" s="52">
        <f>IFERROR(1-_xlfn.NORM.DIST(_xlfn.NORM.INV(SUM(E10:E11), 0, 1) + 1, 0, 1, TRUE), "")</f>
        <v>0.85479504017083729</v>
      </c>
      <c r="F8" s="52">
        <f>IFERROR(1-_xlfn.NORM.DIST(_xlfn.NORM.INV(SUM(F10:F11), 0, 1) + 1, 0, 1, TRUE), "")</f>
        <v>0.88326271839159742</v>
      </c>
      <c r="G8" s="52">
        <f>IFERROR(1-_xlfn.NORM.DIST(_xlfn.NORM.INV(SUM(G10:G11), 0, 1) + 1, 0, 1, TRUE), "")</f>
        <v>0.92036904142394294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0.10710358522794784</v>
      </c>
      <c r="D9" s="52">
        <f>IFERROR(_xlfn.NORM.DIST(_xlfn.NORM.INV(SUM(D10:D11), 0, 1) + 1, 0, 1, TRUE) - SUM(D10:D11), "")</f>
        <v>0.10710358522794784</v>
      </c>
      <c r="E9" s="52">
        <f>IFERROR(_xlfn.NORM.DIST(_xlfn.NORM.INV(SUM(E10:E11), 0, 1) + 1, 0, 1, TRUE) - SUM(E10:E11), "")</f>
        <v>0.12537255982916276</v>
      </c>
      <c r="F9" s="52">
        <f>IFERROR(_xlfn.NORM.DIST(_xlfn.NORM.INV(SUM(F10:F11), 0, 1) + 1, 0, 1, TRUE) - SUM(F10:F11), "")</f>
        <v>0.10252788160840259</v>
      </c>
      <c r="G9" s="52">
        <f>IFERROR(_xlfn.NORM.DIST(_xlfn.NORM.INV(SUM(G10:G11), 0, 1) + 1, 0, 1, TRUE) - SUM(G10:G11), "")</f>
        <v>7.1601158576057006E-2</v>
      </c>
    </row>
    <row r="10" spans="1:15" ht="15.75" customHeight="1" x14ac:dyDescent="0.25">
      <c r="B10" s="5" t="s">
        <v>126</v>
      </c>
      <c r="C10" s="45">
        <v>9.1525000000000009E-3</v>
      </c>
      <c r="D10" s="53">
        <v>9.1525000000000009E-3</v>
      </c>
      <c r="E10" s="53">
        <v>1.40543E-2</v>
      </c>
      <c r="F10" s="53">
        <v>1.18117E-2</v>
      </c>
      <c r="G10" s="53">
        <v>7.5318E-3</v>
      </c>
    </row>
    <row r="11" spans="1:15" ht="15.75" customHeight="1" x14ac:dyDescent="0.25">
      <c r="B11" s="5" t="s">
        <v>138</v>
      </c>
      <c r="C11" s="45">
        <v>6.1085999999999996E-3</v>
      </c>
      <c r="D11" s="53">
        <v>6.1085999999999996E-3</v>
      </c>
      <c r="E11" s="53">
        <v>5.7781000000000004E-3</v>
      </c>
      <c r="F11" s="53">
        <v>2.3977E-3</v>
      </c>
      <c r="G11" s="53">
        <v>4.9799999999999996E-4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0.7628772305</v>
      </c>
      <c r="D14" s="54">
        <v>0.73898727781200013</v>
      </c>
      <c r="E14" s="54">
        <v>0.73898727781200013</v>
      </c>
      <c r="F14" s="54">
        <v>0.45575443164700002</v>
      </c>
      <c r="G14" s="54">
        <v>0.45575443164700002</v>
      </c>
      <c r="H14" s="45">
        <v>0.24399999999999999</v>
      </c>
      <c r="I14" s="55">
        <v>0.24399999999999999</v>
      </c>
      <c r="J14" s="55">
        <v>0.24399999999999999</v>
      </c>
      <c r="K14" s="55">
        <v>0.24399999999999999</v>
      </c>
      <c r="L14" s="45">
        <v>0.221</v>
      </c>
      <c r="M14" s="55">
        <v>0.221</v>
      </c>
      <c r="N14" s="55">
        <v>0.221</v>
      </c>
      <c r="O14" s="55">
        <v>0.221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0.47298846017338303</v>
      </c>
      <c r="D15" s="52">
        <f t="shared" si="0"/>
        <v>0.45817654616710701</v>
      </c>
      <c r="E15" s="52">
        <f t="shared" si="0"/>
        <v>0.45817654616710701</v>
      </c>
      <c r="F15" s="52">
        <f t="shared" si="0"/>
        <v>0.2825704821477299</v>
      </c>
      <c r="G15" s="52">
        <f t="shared" si="0"/>
        <v>0.2825704821477299</v>
      </c>
      <c r="H15" s="52">
        <f t="shared" si="0"/>
        <v>0.151281464</v>
      </c>
      <c r="I15" s="52">
        <f t="shared" si="0"/>
        <v>0.151281464</v>
      </c>
      <c r="J15" s="52">
        <f t="shared" si="0"/>
        <v>0.151281464</v>
      </c>
      <c r="K15" s="52">
        <f t="shared" si="0"/>
        <v>0.151281464</v>
      </c>
      <c r="L15" s="52">
        <f t="shared" si="0"/>
        <v>0.13702132600000003</v>
      </c>
      <c r="M15" s="52">
        <f t="shared" si="0"/>
        <v>0.13702132600000003</v>
      </c>
      <c r="N15" s="52">
        <f t="shared" si="0"/>
        <v>0.13702132600000003</v>
      </c>
      <c r="O15" s="52">
        <f t="shared" si="0"/>
        <v>0.13702132600000003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wVZJsLFAqzyGoK7BX/1lU0CuuIfuYTT/G20j8Om/NgGjKdxhKCo1Pxxx21+cp7xJ7fEnMgP/F6yCTWEHft2dg==" saltValue="UGM7sxMXwzlX/sldbYQ1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0.86949749999999992</v>
      </c>
      <c r="D2" s="53">
        <v>0.78899600000000003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8.3859900000000001E-2</v>
      </c>
      <c r="D3" s="53">
        <v>0.1030933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3.8673300000000001E-2</v>
      </c>
      <c r="D4" s="53">
        <v>9.6228200000000014E-2</v>
      </c>
      <c r="E4" s="53">
        <v>0.97447069999999991</v>
      </c>
      <c r="F4" s="53">
        <v>0.90395999999999999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7.969300000000068E-3</v>
      </c>
      <c r="D5" s="52">
        <f t="shared" si="0"/>
        <v>1.1682499999999929E-2</v>
      </c>
      <c r="E5" s="52">
        <f>1-SUM(E2:E4)</f>
        <v>2.5529300000000088E-2</v>
      </c>
      <c r="F5" s="52">
        <f>1-SUM(F2:F4)</f>
        <v>9.6040000000000014E-2</v>
      </c>
      <c r="G5" s="52">
        <f>1-SUM(G2:G4)</f>
        <v>1</v>
      </c>
    </row>
  </sheetData>
  <sheetProtection algorithmName="SHA-512" hashValue="txu7aLvK8bYEVZ+oOA8pFrfIL0hZrZKUkRdzxB1vu+pPJ9370e1k1V2SGrn6m1yy+HbHnSsbEEl3bjY47tYL+w==" saltValue="QgKGvgGhwpnDZUPx1okej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Ac7IBTxsKIhN8PWIjV5THaPEK1qt1Snoq0XFp5H6YWMMo6I+kUD6mHCjLZls5yvJyaQ3n6cJePvp2q6Go6xCQ==" saltValue="TTXzVD9DAN9LRvETuSPqN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966.23207136199301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0.38140000000000002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0.56830000000000003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1.990105615194997E-2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96555.94816</v>
      </c>
      <c r="C22" s="109">
        <v>96079.527390000003</v>
      </c>
      <c r="D22" s="109">
        <v>95631.113060000003</v>
      </c>
      <c r="E22" s="109">
        <v>95161.49944</v>
      </c>
      <c r="F22" s="109">
        <v>94502.367230000003</v>
      </c>
      <c r="G22" s="109">
        <v>93739.134999999995</v>
      </c>
      <c r="H22" s="109">
        <v>92757.999790000002</v>
      </c>
      <c r="I22" s="109">
        <v>91429.240390000006</v>
      </c>
      <c r="J22" s="109">
        <v>89478.996429999999</v>
      </c>
      <c r="K22" s="109">
        <v>86804.421950000004</v>
      </c>
      <c r="L22" s="109">
        <v>82864.116859999995</v>
      </c>
      <c r="M22" s="109">
        <v>77545.65367</v>
      </c>
      <c r="N22" s="109">
        <v>70126.617209999997</v>
      </c>
      <c r="O22" s="109">
        <v>60487.517310000003</v>
      </c>
    </row>
  </sheetData>
  <sheetProtection algorithmName="SHA-512" hashValue="p8PYd/yDBaNimljjOw5v8KsBnEnyy5lPiTI/jNwa/OKFGlJLyAkP4GzmWDvXnGT3E7E+8JvXN4FxQdwrzfi+zA==" saltValue="o8awN29w9t/ES1TUoGlw2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eWTvuIQ0HavEoOEJDzVf9Uzmt5waqJdWL44yVRtc2A3aipy9iL1tcSE+LLRo24yCSH2uaAA74DWMBlEUdOGNbw==" saltValue="67NmlDgJxojS9nvtGeD+J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oTHmWnka6TbBEdPdmIfvkMjCk5pHiDIo2DgDQGecTMqzhiraz8rZxlTYekrwHy2LQUnekyBv3HZZjwvDnKRTew==" saltValue="mFnl4hfDw9Q56MrDlGL3E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6.03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3.7783674513817815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0.1563252</v>
      </c>
      <c r="C10" s="98">
        <v>0.95</v>
      </c>
      <c r="D10" s="56">
        <v>15.05045142161304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15.05045142161304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15.05045142161304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15.05045142161304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0.16389999999999999</v>
      </c>
      <c r="C14" s="98">
        <v>0.95</v>
      </c>
      <c r="D14" s="56">
        <v>1.3111054247697034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15.05045142161304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0.48628949999999999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5.58755555555556E-3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0.78899600000000003</v>
      </c>
      <c r="C18" s="98">
        <v>0.95</v>
      </c>
      <c r="D18" s="56">
        <v>6.0310849539406348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0.78899600000000003</v>
      </c>
      <c r="C19" s="98">
        <v>0.95</v>
      </c>
      <c r="D19" s="56">
        <v>1.723860781546777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3.6234186284544529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6.03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0.56296439999999992</v>
      </c>
      <c r="C23" s="98">
        <v>0.95</v>
      </c>
      <c r="D23" s="56">
        <v>4.9321676394351552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0.61747921546045004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0.184</v>
      </c>
      <c r="C26" s="98">
        <v>0.95</v>
      </c>
      <c r="D26" s="56">
        <v>7.7236028659160709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0.2796807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0.34426630000000003</v>
      </c>
      <c r="C29" s="98">
        <v>0.95</v>
      </c>
      <c r="D29" s="56">
        <v>63.551452439241622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0.86499999999999999</v>
      </c>
      <c r="C32" s="98">
        <v>0.95</v>
      </c>
      <c r="D32" s="56">
        <v>0.46484646878198577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0.18402009999999999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0.82192539999999992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1.9060199999999999E-2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0.45494020000000002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0.188</v>
      </c>
      <c r="C38" s="98">
        <v>0.95</v>
      </c>
      <c r="D38" s="56">
        <v>0.28605936540429888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P2VQ+wk4OqnOh9Q3hBVuG/htIn/Un2CqmDlR4hErUeWaOn9HoUAzitvpUu2THBPxWlUL7Nq+/7KuNKlIcSlj4A==" saltValue="Y2CwG070Bl5bWevNCcBY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30LwBlyMbY6pGC30i3j4SWZJPCGWq6bVqbZ7k6Ry01mipJUUO7XTYuyIalHnQuD19G4rdAYDPfMA5rIKrj25WA==" saltValue="lOR105Y/5v/7WwTN/1qNk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gPcokTuLLDEI148rEmu7zAKED+Mxfhz/Jv28GuhjVSACgGAl70RcQbe9PG73I/zGicpwVdfaymMFhFLdyoqsQ==" saltValue="QsxQ/Xw0xJBnMkvg7hEV4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2.3796500000000002E-2</v>
      </c>
      <c r="C3" s="21">
        <f>frac_mam_1_5months * 2.6</f>
        <v>2.3796500000000002E-2</v>
      </c>
      <c r="D3" s="21">
        <f>frac_mam_6_11months * 2.6</f>
        <v>3.6541179999999999E-2</v>
      </c>
      <c r="E3" s="21">
        <f>frac_mam_12_23months * 2.6</f>
        <v>3.0710419999999999E-2</v>
      </c>
      <c r="F3" s="21">
        <f>frac_mam_24_59months * 2.6</f>
        <v>1.9582680000000002E-2</v>
      </c>
    </row>
    <row r="4" spans="1:6" ht="15.75" customHeight="1" x14ac:dyDescent="0.25">
      <c r="A4" s="3" t="s">
        <v>236</v>
      </c>
      <c r="B4" s="21">
        <f>frac_sam_1month * 2.6</f>
        <v>1.5882359999999998E-2</v>
      </c>
      <c r="C4" s="21">
        <f>frac_sam_1_5months * 2.6</f>
        <v>1.5882359999999998E-2</v>
      </c>
      <c r="D4" s="21">
        <f>frac_sam_6_11months * 2.6</f>
        <v>1.5023060000000001E-2</v>
      </c>
      <c r="E4" s="21">
        <f>frac_sam_12_23months * 2.6</f>
        <v>6.2340199999999998E-3</v>
      </c>
      <c r="F4" s="21">
        <f>frac_sam_24_59months * 2.6</f>
        <v>1.2948E-3</v>
      </c>
    </row>
  </sheetData>
  <sheetProtection algorithmName="SHA-512" hashValue="Jgr3UJCuIIjH8VI10va0lk4T9a/UJKpuXnflFL2MIYGqZpCpF70MXj++xgN0CCKzhVgGcTBgg7ghcow4RJexhw==" saltValue="p2bjJJ0MBrjG+zc0trz7F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0.55500000000000005</v>
      </c>
      <c r="F2" s="60">
        <f>food_insecure</f>
        <v>0.55500000000000005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0.55500000000000005</v>
      </c>
      <c r="F5" s="60">
        <f>food_insecure</f>
        <v>0.55500000000000005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0.55500000000000005</v>
      </c>
      <c r="F8" s="60">
        <f>food_insecure</f>
        <v>0.55500000000000005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0.55500000000000005</v>
      </c>
      <c r="F9" s="60">
        <f>food_insecure</f>
        <v>0.55500000000000005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0.55500000000000005</v>
      </c>
      <c r="I15" s="60">
        <f t="shared" si="0"/>
        <v>0.55500000000000005</v>
      </c>
      <c r="J15" s="60">
        <f t="shared" si="0"/>
        <v>0.55500000000000005</v>
      </c>
      <c r="K15" s="60">
        <f t="shared" si="0"/>
        <v>0.55500000000000005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0.55500000000000005</v>
      </c>
      <c r="I16" s="60">
        <f t="shared" si="0"/>
        <v>0.55500000000000005</v>
      </c>
      <c r="J16" s="60">
        <f t="shared" si="0"/>
        <v>0.55500000000000005</v>
      </c>
      <c r="K16" s="60">
        <f t="shared" si="0"/>
        <v>0.55500000000000005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7.0000000000000007E-2</v>
      </c>
      <c r="I19" s="60">
        <f>frac_malaria_risk</f>
        <v>7.0000000000000007E-2</v>
      </c>
      <c r="J19" s="60">
        <f>frac_malaria_risk</f>
        <v>7.0000000000000007E-2</v>
      </c>
      <c r="K19" s="60">
        <f>frac_malaria_risk</f>
        <v>7.0000000000000007E-2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0.34100000000000003</v>
      </c>
      <c r="M24" s="60">
        <f>famplan_unmet_need</f>
        <v>0.34100000000000003</v>
      </c>
      <c r="N24" s="60">
        <f>famplan_unmet_need</f>
        <v>0.34100000000000003</v>
      </c>
      <c r="O24" s="60">
        <f>famplan_unmet_need</f>
        <v>0.34100000000000003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0.42522145823860141</v>
      </c>
      <c r="M25" s="60">
        <f>(1-food_insecure)*(0.49)+food_insecure*(0.7)</f>
        <v>0.60654999999999992</v>
      </c>
      <c r="N25" s="60">
        <f>(1-food_insecure)*(0.49)+food_insecure*(0.7)</f>
        <v>0.60654999999999992</v>
      </c>
      <c r="O25" s="60">
        <f>(1-food_insecure)*(0.49)+food_insecure*(0.7)</f>
        <v>0.60654999999999992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0.18223776781654347</v>
      </c>
      <c r="M26" s="60">
        <f>(1-food_insecure)*(0.21)+food_insecure*(0.3)</f>
        <v>0.25995000000000001</v>
      </c>
      <c r="N26" s="60">
        <f>(1-food_insecure)*(0.21)+food_insecure*(0.3)</f>
        <v>0.25995000000000001</v>
      </c>
      <c r="O26" s="60">
        <f>(1-food_insecure)*(0.21)+food_insecure*(0.3)</f>
        <v>0.25995000000000001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9.3590082721710127E-2</v>
      </c>
      <c r="M27" s="60">
        <f>(1-food_insecure)*(0.3)</f>
        <v>0.13349999999999998</v>
      </c>
      <c r="N27" s="60">
        <f>(1-food_insecure)*(0.3)</f>
        <v>0.13349999999999998</v>
      </c>
      <c r="O27" s="60">
        <f>(1-food_insecure)*(0.3)</f>
        <v>0.13349999999999998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0.29895069122314499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7.0000000000000007E-2</v>
      </c>
      <c r="D34" s="60">
        <f t="shared" si="4"/>
        <v>7.0000000000000007E-2</v>
      </c>
      <c r="E34" s="60">
        <f t="shared" si="4"/>
        <v>7.0000000000000007E-2</v>
      </c>
      <c r="F34" s="60">
        <f t="shared" si="4"/>
        <v>7.0000000000000007E-2</v>
      </c>
      <c r="G34" s="60">
        <f t="shared" si="4"/>
        <v>7.0000000000000007E-2</v>
      </c>
      <c r="H34" s="60">
        <f t="shared" si="4"/>
        <v>7.0000000000000007E-2</v>
      </c>
      <c r="I34" s="60">
        <f t="shared" si="4"/>
        <v>7.0000000000000007E-2</v>
      </c>
      <c r="J34" s="60">
        <f t="shared" si="4"/>
        <v>7.0000000000000007E-2</v>
      </c>
      <c r="K34" s="60">
        <f t="shared" si="4"/>
        <v>7.0000000000000007E-2</v>
      </c>
      <c r="L34" s="60">
        <f t="shared" si="4"/>
        <v>7.0000000000000007E-2</v>
      </c>
      <c r="M34" s="60">
        <f t="shared" si="4"/>
        <v>7.0000000000000007E-2</v>
      </c>
      <c r="N34" s="60">
        <f t="shared" si="4"/>
        <v>7.0000000000000007E-2</v>
      </c>
      <c r="O34" s="60">
        <f t="shared" si="4"/>
        <v>7.0000000000000007E-2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11cjg76wp6aJBUuiQO+VtugZYm0unYNFy9vLUXZHAXBXPmQbGo3DsZWA7wEKEikYHcLX1ivSQPAqIesqJyhyA==" saltValue="cuPacIHXkTB4+g2euI7G5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4fPWvlfYannQBLgjD4D13HG9G/vFpgCNxG3+c8Dzh+y6yU4OyAAsCF9DrjbZCp+VZ0QPlBwzc2yM4Y0SluOP4g==" saltValue="OatIr4mNLNpD3nafv3lvs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PSVjfkhewR3Q6zAt8gbGp9UxBFtK0k5PcJavbKvSN4wZOUZ4lYciheepc8Wea+QQOBfm+qvkwTqq7l69E1HJAA==" saltValue="F9irb6tYb+J2kNbyykidh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TpYQe1Z6vZAtEOo0XfDv25RqMx2vY5a00uwMStODsBW4mc/L85CehtLrs+M1KrW/girq+2TK5Mo6nare84VabA==" saltValue="B1yFjTlcWmPVpfHXZ741G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zudG8SZTiecVZCcxqN4UCYlxNCy9y/0syRq5UeA9nsI9STiOPQytiiJqD5uvva9lI4m9k/fJxtElL/mi+B5VAA==" saltValue="QWpR0od4w/eRdIRML+j57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dvqhZNJToFlI5cAsb1aoqV5SRQHUvqO/Ze59qHCgbTFzvsaBltIRryq3F56jesEX3tlXLGH12Hkg41UqdGf8/A==" saltValue="/cMMSUCQ489+vUw5I5pX4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ebupfZ3LHcw6ymDoVc9tmXRkDzzv4jg41g9x2rZACLxL+jnwqL2VfCjbyAwRcRrOyaIDTpW0UHo56kpy4xMtQ==" saltValue="oQ/3g/HClIkvb4QvEb3t1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SjA/1mgZ2yTFC1Gda165ga+Tgo+pOgkJFcSOSj9ZpTvWzI737Km/miqiCXI1CLe4l/+9/jAtbqs1m6pGQRX16Q==" saltValue="Vvrz18DzNmidDFJltS3W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LIZRePuUYRPBR6PlFg6hdXtxnKWDTcOjmxSU7k0JTDAXr/mcFDEYFHol4okzZ/UiqVkpbZK1mPIPwmN6TOBaiA==" saltValue="euQy/Rn/7iCiYh+peULS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KkGWfMShyqfRw3QK571q8kla6VYIT8TPN8qBi8THwHXFIGhmAkS5kqxrOzI8Cfc04MI0IKtW+TqE+u3o+Lq+w==" saltValue="+sS6tpB8PA3MnPLI1pL0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m8PSKJgcz8VFCSgEueXKIooxXxnmAVS4ksp/xeY/TXEl35HpQFwdQ19gbdYtlszJC06kPZIX26JmW7lMswuRQ==" saltValue="oXHMfmMBQDgeR0FcLVSd5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gyootFN8MDPL2mrrnAbs5XNY7H6aZ5SVETksJN3666WbAsQu/38Semb2sKn3xpLqk1slF4RsUvS1j8sCCAbGw==" saltValue="K5Bw4XLCsYveQskjEiaU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zdNICNkPKXzJ584WhvRHKBAouHybz71h0pDNalAVDWzPByqV0FLsZQ9z1Ggt7Rf0y72n56sXMsQdOwUzrIZoQ==" saltValue="7SM4es2ihRKqEC92dlXJM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/X9ho3AUXT3rnCp6YwOhq3qMOqw1Lw0+3vIW/blEhJw9gmONQqmcYgbBk04uHr+N71d4pNZIjlLlwW0/c80aw==" saltValue="2y65hCQrtCyt3TZCnYnP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uWInN1NqINNBuUxZ4QSzFVqxY88txt0pB9luq9M8mSvHUVhFob9VqXQqEwwYkacSoP8C1bpXH0IdVHW8wImetA==" saltValue="pP0fXXbnGFS0qTOb3gdUs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