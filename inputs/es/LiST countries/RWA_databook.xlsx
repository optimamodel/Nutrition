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8C97536-ED8B-4591-B70C-0B17C09ECC0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5" i="2"/>
  <c r="A32" i="2"/>
  <c r="A31" i="2"/>
  <c r="A29" i="2"/>
  <c r="A28" i="2"/>
  <c r="A27" i="2"/>
  <c r="A25" i="2"/>
  <c r="A24" i="2"/>
  <c r="A21" i="2"/>
  <c r="A20" i="2"/>
  <c r="A19" i="2"/>
  <c r="A17" i="2"/>
  <c r="A16" i="2"/>
  <c r="A15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I13" i="2"/>
  <c r="A23" i="2"/>
  <c r="A33" i="2"/>
  <c r="I40" i="2"/>
  <c r="I6" i="2"/>
  <c r="I10" i="2"/>
  <c r="A18" i="2"/>
  <c r="A26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<sst xmlns="http://schemas.openxmlformats.org/spreadsheetml/2006/main" count="2101" uniqueCount="341">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</sst>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1988148.15625</v>
      </c>
    </row>
    <row r="8" spans="1:3" ht="15" customHeight="1" x14ac:dyDescent="0.25">
      <c r="B8" s="5" t="s">
        <v>44</v>
      </c>
      <c r="C8" s="44">
        <v>0.55500000000000005</v>
      </c>
    </row>
    <row r="9" spans="1:3" ht="15" customHeight="1" x14ac:dyDescent="0.25">
      <c r="B9" s="5" t="s">
        <v>43</v>
      </c>
      <c r="C9" s="45">
        <v>7.0000000000000007E-2</v>
      </c>
    </row>
    <row r="10" spans="1:3" ht="15" customHeight="1" x14ac:dyDescent="0.25">
      <c r="B10" s="5" t="s">
        <v>56</v>
      </c>
      <c r="C10" s="45">
        <v>0.29895069122314499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4.6199999999999998E-2</v>
      </c>
    </row>
    <row r="24" spans="1:3" ht="15" customHeight="1" x14ac:dyDescent="0.25">
      <c r="B24" s="15" t="s">
        <v>46</v>
      </c>
      <c r="C24" s="45">
        <v>0.50180000000000002</v>
      </c>
    </row>
    <row r="25" spans="1:3" ht="15" customHeight="1" x14ac:dyDescent="0.25">
      <c r="B25" s="15" t="s">
        <v>47</v>
      </c>
      <c r="C25" s="45">
        <v>0.36330000000000001</v>
      </c>
    </row>
    <row r="26" spans="1:3" ht="15" customHeight="1" x14ac:dyDescent="0.25">
      <c r="B26" s="15" t="s">
        <v>48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0.254787647396997</v>
      </c>
    </row>
    <row r="30" spans="1:3" ht="14.25" customHeight="1" x14ac:dyDescent="0.25">
      <c r="B30" s="25" t="s">
        <v>63</v>
      </c>
      <c r="C30" s="99">
        <v>3.6806607194084101E-2</v>
      </c>
    </row>
    <row r="31" spans="1:3" ht="14.25" customHeight="1" x14ac:dyDescent="0.25">
      <c r="B31" s="25" t="s">
        <v>10</v>
      </c>
      <c r="C31" s="99">
        <v>7.3852638350173999E-2</v>
      </c>
    </row>
    <row r="32" spans="1:3" ht="14.25" customHeight="1" x14ac:dyDescent="0.25">
      <c r="B32" s="25" t="s">
        <v>11</v>
      </c>
      <c r="C32" s="99">
        <v>0.63455310705874501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17.52411</v>
      </c>
    </row>
    <row r="38" spans="1:5" ht="15" customHeight="1" x14ac:dyDescent="0.25">
      <c r="B38" s="11" t="s">
        <v>35</v>
      </c>
      <c r="C38" s="43">
        <v>29.650749999999999</v>
      </c>
      <c r="D38" s="12"/>
      <c r="E38" s="13"/>
    </row>
    <row r="39" spans="1:5" ht="15" customHeight="1" x14ac:dyDescent="0.25">
      <c r="B39" s="11" t="s">
        <v>61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7.9924000000000002E-3</v>
      </c>
      <c r="D45" s="12"/>
    </row>
    <row r="46" spans="1:5" ht="15.75" customHeight="1" x14ac:dyDescent="0.25">
      <c r="B46" s="11" t="s">
        <v>51</v>
      </c>
      <c r="C46" s="45">
        <v>8.54993E-2</v>
      </c>
      <c r="D46" s="12"/>
    </row>
    <row r="47" spans="1:5" ht="15.75" customHeight="1" x14ac:dyDescent="0.25">
      <c r="B47" s="11" t="s">
        <v>59</v>
      </c>
      <c r="C47" s="45">
        <v>0.16339429999999999</v>
      </c>
      <c r="D47" s="12"/>
      <c r="E47" s="13"/>
    </row>
    <row r="48" spans="1:5" ht="15" customHeight="1" x14ac:dyDescent="0.25">
      <c r="B48" s="11" t="s">
        <v>58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0.62000600000000006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8hfXxrn4jTws0MB8gAYBa/UpBIlkfv0A38RjYyZp94rylGyztTiXxyo+iYSOtf2hScBsgzOh+gA4hs//VGKcug==" saltValue="o3bHmLtOg0jfzVpScAIk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ymR9OpF65M5DwpF3K5Bn8j/hNYCLJHp5YNDXPrGcA/OWmZbA1qGfEelfH8sFPgB1EUIoWeVVF8V+tSDoUpO7A==" saltValue="toRQIvyeYwFKG92o8+YV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6.0182990146353584E-3</v>
      </c>
    </row>
    <row r="4" spans="1:8" ht="15.75" customHeight="1" x14ac:dyDescent="0.25">
      <c r="B4" s="19" t="s">
        <v>97</v>
      </c>
      <c r="C4" s="101">
        <v>4.6453576687890671E-2</v>
      </c>
    </row>
    <row r="5" spans="1:8" ht="15.75" customHeight="1" x14ac:dyDescent="0.25">
      <c r="B5" s="19" t="s">
        <v>95</v>
      </c>
      <c r="C5" s="101">
        <v>5.2706888908387282E-2</v>
      </c>
    </row>
    <row r="6" spans="1:8" ht="15.75" customHeight="1" x14ac:dyDescent="0.25">
      <c r="B6" s="19" t="s">
        <v>91</v>
      </c>
      <c r="C6" s="101">
        <v>0.21486660124181831</v>
      </c>
    </row>
    <row r="7" spans="1:8" ht="15.75" customHeight="1" x14ac:dyDescent="0.25">
      <c r="B7" s="19" t="s">
        <v>96</v>
      </c>
      <c r="C7" s="101">
        <v>0.48309890874434158</v>
      </c>
    </row>
    <row r="8" spans="1:8" ht="15.75" customHeight="1" x14ac:dyDescent="0.25">
      <c r="B8" s="19" t="s">
        <v>98</v>
      </c>
      <c r="C8" s="101">
        <v>6.8292896688334896E-4</v>
      </c>
    </row>
    <row r="9" spans="1:8" ht="15.75" customHeight="1" x14ac:dyDescent="0.25">
      <c r="B9" s="19" t="s">
        <v>92</v>
      </c>
      <c r="C9" s="101">
        <v>0.11159575567550881</v>
      </c>
    </row>
    <row r="10" spans="1:8" ht="15.75" customHeight="1" x14ac:dyDescent="0.25">
      <c r="B10" s="19" t="s">
        <v>94</v>
      </c>
      <c r="C10" s="101">
        <v>8.4577040760534461E-2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102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2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90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3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101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79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99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8.8012850000000004E-2</v>
      </c>
    </row>
    <row r="27" spans="1:8" ht="15.75" customHeight="1" x14ac:dyDescent="0.25">
      <c r="B27" s="19" t="s">
        <v>89</v>
      </c>
      <c r="C27" s="101">
        <v>8.9249900000000007E-3</v>
      </c>
    </row>
    <row r="28" spans="1:8" ht="15.75" customHeight="1" x14ac:dyDescent="0.25">
      <c r="B28" s="19" t="s">
        <v>103</v>
      </c>
      <c r="C28" s="101">
        <v>0.15479583299999999</v>
      </c>
    </row>
    <row r="29" spans="1:8" ht="15.75" customHeight="1" x14ac:dyDescent="0.25">
      <c r="B29" s="19" t="s">
        <v>86</v>
      </c>
      <c r="C29" s="101">
        <v>0.168002662</v>
      </c>
    </row>
    <row r="30" spans="1:8" ht="15.75" customHeight="1" x14ac:dyDescent="0.25">
      <c r="B30" s="19" t="s">
        <v>4</v>
      </c>
      <c r="C30" s="101">
        <v>0.104541704</v>
      </c>
    </row>
    <row r="31" spans="1:8" ht="15.75" customHeight="1" x14ac:dyDescent="0.25">
      <c r="B31" s="19" t="s">
        <v>80</v>
      </c>
      <c r="C31" s="101">
        <v>0.10832760499999999</v>
      </c>
    </row>
    <row r="32" spans="1:8" ht="15.75" customHeight="1" x14ac:dyDescent="0.25">
      <c r="B32" s="19" t="s">
        <v>85</v>
      </c>
      <c r="C32" s="101">
        <v>1.8696531999999998E-2</v>
      </c>
    </row>
    <row r="33" spans="2:3" ht="15.75" customHeight="1" x14ac:dyDescent="0.25">
      <c r="B33" s="19" t="s">
        <v>100</v>
      </c>
      <c r="C33" s="101">
        <v>8.4083039999999998E-2</v>
      </c>
    </row>
    <row r="34" spans="2:3" ht="15.75" customHeight="1" x14ac:dyDescent="0.25">
      <c r="B34" s="19" t="s">
        <v>87</v>
      </c>
      <c r="C34" s="101">
        <v>0.26461478300000002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LAOL7jwhwk9v7iJn5lX1TWU1/dQfy0bi2aRJZdRaiYbqSwQwBCNmIm2LbC8A9pdBGyamEY5moUGvmQl64HD3pQ==" saltValue="/zeEEWgUgBZCXzzCQLRs9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110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106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107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119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SOZWxyIJypcY3v1za+dXcjYbcclUCTV1s/g/iHg+g1Sw4/NmpLLFQeEbuLb2sI+vJOL6P85vFvaIxLqGFaB5w==" saltValue="G6WaSEIpKSEu65NTDDHL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125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rtKCup40/mH7UfEQmCLV8T9pjK+50HQxt2oHPFIQAMd67xOMYsoo9ebYD7OQyB2EtUmlcL3v3NlWPhU4WHZjNA==" saltValue="2g383ITi4g65rs32oPPZ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A4Jkw2s+67aiSlu3ahJM1OMBorDG4Iyrn4k/xdd4ENfGi3+Pfa/A7gYCdjgiUGrgEmV+B+78qGq7kGZBHmyWg==" saltValue="WP/dWZ0TUB430KRNjvR/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HlQIYKYC3eU2WWjhMDGRdWau365zJge7VDjmmfkY455f4qatwcm3xQnupwTtSYNsYBA9fig8EWW7D6pydgGEQ==" saltValue="18PTgQizromleh1hQgL9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+uYp1qHd6t4jzt+AwaPUHiXWXHu3BQPvRqZ1mdI4/ruz72C/0jywcKOu+TPZ/rEPIYfOBtlcVFlB+LrY0nfNQ==" saltValue="A+i4Ae+9X8W9EihX0JgF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8sAs2S4VvVWQyZA/sSYlbhopmg+QpD8DpK4u5vNtUXi1lfvz+UkJndoK0PkirX67/naJJb3BeP87fteKm+Y3w==" saltValue="EwWFfLroPEARq88UBdni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36.079849986609638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47.391202091117947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70.283560158574318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0.40054500108515723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0.1563252</v>
      </c>
      <c r="C10" s="98">
        <v>0.95</v>
      </c>
      <c r="D10" s="56">
        <v>15.05045142161304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15.05045142161304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15.05045142161304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15.05045142161304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0.1563252</v>
      </c>
      <c r="C14" s="98">
        <v>0.95</v>
      </c>
      <c r="D14" s="56">
        <v>15.05045142161304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15.05045142161304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0.48628949999999999</v>
      </c>
      <c r="C16" s="98">
        <v>0.95</v>
      </c>
      <c r="D16" s="56">
        <v>0.2530143942324673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5.58755555555556E-3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0.78899600000000003</v>
      </c>
      <c r="C18" s="98">
        <v>0.95</v>
      </c>
      <c r="D18" s="56">
        <v>1.723860781546777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0.78899600000000003</v>
      </c>
      <c r="C19" s="98">
        <v>0.95</v>
      </c>
      <c r="D19" s="56">
        <v>1.723860781546777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4.0598209789868394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0.56296439999999992</v>
      </c>
      <c r="C23" s="98">
        <v>0.95</v>
      </c>
      <c r="D23" s="56">
        <v>4.9321676394351552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0.61747921546045004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0.1563252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21.74274730131463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0.2796807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0.34426630000000003</v>
      </c>
      <c r="C29" s="98">
        <v>0.95</v>
      </c>
      <c r="D29" s="56">
        <v>63.551452439241622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0.46670911326684161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0.92</v>
      </c>
      <c r="C32" s="98">
        <v>0.95</v>
      </c>
      <c r="D32" s="56">
        <v>0.48033470148423679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0.18402009999999999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0.82192539999999992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1.9060199999999999E-2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0.45494020000000002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0.36523810000000001</v>
      </c>
      <c r="C38" s="98">
        <v>0.95</v>
      </c>
      <c r="D38" s="56">
        <v>4.0283775058915356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4GK1xh6qZpzssw25uNaL6g32ScMJWrefsRvb2osif+2VsLkraX0JX6LEHEVT5+ENeErst2ptRF44C+xiobtUUQ==" saltValue="+PuqTRSGcYAHcO9NnoB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FsUhG/IUb4irfP5XayJ14mVuueUp8Wh5BVzw3KKd0gZRJ6e88iskO8LU723qXlBigLMsxGm8BEms7lVFthWbg==" saltValue="eQZol2zF0tUQSxLFAJrN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2jfRr9CPbgJpTScG7kQKZf6UTJrbXj92LttIga+sFePCctVPXb43MPTYchlbjkFErY951mLRX8yZywRIe2jQA==" saltValue="zv8zWub69GJZmWeFmoTW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207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p3XmTLylSz60hzod+9e9IqdY2Iut3sxat9ZheFaOiKB0H8psiAzKwj5m5RntV/Z3w6J5dTjbPYqczt5KvLHDlg==" saltValue="od4OJQdT8LymBBVtkMSa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w9FoX4BbL5Kg8vDGBXX8z57pknkCbDHAtoUsdIEjRIhR6HYPawZJszKqZIJmsf2+xfpbvCwNHShcSnwJtu4Tg==" saltValue="XvhgHj0B/mK6yMqIQX+2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taFLF5bUg557+IR2tKf5VM265/sW0YXkiWwAhJE+rtszgKxA6nrP+bZMQhLVenpUMr+u5Sp5t+lckrnIuUSvw==" saltValue="PycNXz/hP3IwTpoQ21/N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USYOmacVpUmbwNqb3JrjxPjRo3MP6ICpErTlj9HHfvmtWvNcbii4002OUqAa8E9zTh0SJ0uHgAKiwO/6FwPpA==" saltValue="eGdQsWEcI3OQtXNs9voK2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usi0ZxPAn7sbdWu8VCmTtx8uiuB9fSNNQWFQ2XGYYEuXw9g2EahvHGG1ioroDwOfDXCyvYKw/G3NjZLF6v4zg==" saltValue="ySd3vsxV2H0K+JFy+/L/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DjrDHtzAd0PEL0Y02/vfZcldH+sYJaZOyynddIdUr/KczxFqVHUpB8/QFppvXCtzLrdlHrgkI/AAxC434daoA==" saltValue="GqW7xIv58QJz2yJ5FYnS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Zv51AJVjYtTZ38wUob3IsIHAAzrHBRgpdIJDv0doP+u8968HVBnwzcarqPkV4C0v8BSWcoab+rFkHlYX8weCQ==" saltValue="7gFFchaxCka5vENmskqy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oKCbxkW+OsnODKInrO++7IEoBTICO838SFn1oXCatB8gbK/qqX2DX3tNkgFXxGeeN/+IsB56tgbflsdjVJtKg==" saltValue="3Z4d8Aa051SwQTnZzQGy+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TqKuTPrZ+tiat86ESrwLtHuOXOlJoElQwnULvQZof9VsAqwtNSrRzcZjtNT3hFNIUKLGiuJnNGpLX+XKLqXSA==" saltValue="W6+Odhs5OQsf3xxVxr12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2lrM3/ifKni18YpE3Lf9pj3NwCy+6OqGrrbjww5LrHuqP6DSTzxnj09GWFDOY9fCj8zaY8uJjXF32sHMMXskw==" saltValue="+pWSIhnvaavJ/qxmbTfV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ZnJd71W1IjxlTZKdKe+AMsaNioi7JwbCXWQEYrUWxu6VXtMCKKAiIVoKO1Jxts893ISJjVX/yJaKAPzv4ip4g==" saltValue="L+M+nuK/0sxAHIyZbZFI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VZV5O45nSKnlJTgAkbb5hfvwCegnvxsr8VvyDOTpcy34gzucmxNf/x5TWF/8uEc3oCQ1u67hjrRtigfhA0x0g==" saltValue="0JY8EcsTdL4hufHkZWPi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XugvIm+0Uv7xYg5LUzm4heFLazeRxPbumFwGdAkJt3wsaJuRvg7b45Wr++LlCOx8Li+ze9GzPmO7TLzJqhEjw==" saltValue="plYvlk73GHpK5SZvHOv6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7cKSePeGr6By9l4RFMJ3+M0zKWpPH9snqM5vSOaoo9oQokqVQj+OpXcEd9N6f7uc5DdV6wbLqJBxQVZv0Y7ww==" saltValue="G9mLiCxqD6Bu8IBmbotc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0.10943396424276697</v>
      </c>
      <c r="G18" s="90">
        <f>MIN(MAX(1-0.89/(1-frac_sam_12_23months+(frac_sam_12_23months*0.89)),0),1)</f>
        <v>0.10976520324305972</v>
      </c>
      <c r="H18" s="90">
        <f>MIN(MAX(1-0.89/(1-frac_sam_24_59months+(frac_sam_24_59months*0.89)),0),1)</f>
        <v>0.10995124312909854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0.1086219536074845</v>
      </c>
      <c r="G20" s="90">
        <f>MIN(MAX(1-0.89/(1-frac_mam_12_23months+(frac_mam_12_23months*0.89)),0),1)</f>
        <v>0.10884213016477551</v>
      </c>
      <c r="H20" s="90">
        <f>MIN(MAX(1-0.89/(1-frac_mam_24_59months+(frac_mam_24_59months*0.89)),0),1)</f>
        <v>0.10926202536949459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9.942793504551517E-3</v>
      </c>
      <c r="G73" s="90">
        <f>MIN(MAX(1-0.99/(1-frac_sam_12_23months+(frac_sam_12_23months*0.99)),0),1)</f>
        <v>9.9762622008389146E-3</v>
      </c>
      <c r="H73" s="90">
        <f>MIN(MAX(1-0.99/(1-frac_sam_24_59months+(frac_sam_24_59months*0.99)),0),1)</f>
        <v>9.9950697754473961E-3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9.8608428724398234E-3</v>
      </c>
      <c r="G75" s="90">
        <f>MIN(MAX(1-0.99/(1-frac_mam_12_23months+(frac_mam_12_23months*0.99)),0),1)</f>
        <v>9.8830503562589156E-3</v>
      </c>
      <c r="H75" s="90">
        <f>MIN(MAX(1-0.99/(1-frac_mam_24_59months+(frac_mam_24_59months*0.99)),0),1)</f>
        <v>9.9254295635039513E-3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0.19907443439787886</v>
      </c>
      <c r="G128" s="90">
        <f>MIN(MAX(1-0.8/(1-frac_sam_12_23months+(frac_sam_12_23months*0.8)),0),1)</f>
        <v>0.19961618394484892</v>
      </c>
      <c r="H128" s="90">
        <f>MIN(MAX(1-0.8/(1-frac_sam_24_59months+(frac_sam_24_59months*0.8)),0),1)</f>
        <v>0.19992031206308147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0.19774497343603237</v>
      </c>
      <c r="G130" s="90">
        <f>MIN(MAX(1-0.8/(1-frac_mam_12_23months+(frac_mam_12_23months*0.8)),0),1)</f>
        <v>0.19810565290809079</v>
      </c>
      <c r="H130" s="90">
        <f>MIN(MAX(1-0.8/(1-frac_mam_24_59months+(frac_mam_24_59months*0.8)),0),1)</f>
        <v>0.1987930939650252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+6X4Kcz8WXKYSmFn/eG7hp65GZXpEH1fhBnjxeBjWN1VlHa5cGOJ3E4vBoIcC4+1gT2IZRx9ZzUTIYN2F733w==" saltValue="yQyotLaWN3v+z0F8GvrX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AoAVtz3DBHIFtZXjBqsoui93Ekw3z4p8AR1wDkfc8qJLvATYEw5Dry3naZYuYSQvC4IRkTmIttDyX+Iy4Q0bA==" saltValue="Ai6G1G+hF1fbz6gLpGGC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2024-08-06T08:14:57Z</dcterms:modified>
</cp:coreProperties>
</file>