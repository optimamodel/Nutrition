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C8C13797-E80F-40B5-A540-BBD77E6E86D4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4" i="2" l="1"/>
  <c r="A26" i="2"/>
  <c r="I38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<sst xmlns="http://schemas.openxmlformats.org/spreadsheetml/2006/main" count="2169" uniqueCount="373">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</sst>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1321887.5</v>
      </c>
    </row>
    <row r="8" spans="1:3" ht="15" customHeight="1" x14ac:dyDescent="0.25">
      <c r="B8" s="5" t="s">
        <v>63</v>
      </c>
      <c r="C8" s="44">
        <v>4.8000000000000001E-2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0.78182266235351605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0.49199999999999999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8.7300000000000003E-2</v>
      </c>
    </row>
    <row r="24" spans="1:3" ht="15" customHeight="1" x14ac:dyDescent="0.25">
      <c r="B24" s="15" t="s">
        <v>65</v>
      </c>
      <c r="C24" s="45">
        <v>0.59660000000000002</v>
      </c>
    </row>
    <row r="25" spans="1:3" ht="15" customHeight="1" x14ac:dyDescent="0.25">
      <c r="B25" s="15" t="s">
        <v>66</v>
      </c>
      <c r="C25" s="45">
        <v>0.28710000000000002</v>
      </c>
    </row>
    <row r="26" spans="1:3" ht="15" customHeight="1" x14ac:dyDescent="0.25">
      <c r="B26" s="15" t="s">
        <v>67</v>
      </c>
      <c r="C26" s="45">
        <v>2.9000000000000001E-2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0.32097876330389902</v>
      </c>
    </row>
    <row r="30" spans="1:3" ht="14.25" customHeight="1" x14ac:dyDescent="0.25">
      <c r="B30" s="25" t="s">
        <v>82</v>
      </c>
      <c r="C30" s="97">
        <v>0.11435649369624799</v>
      </c>
    </row>
    <row r="31" spans="1:3" ht="14.25" customHeight="1" x14ac:dyDescent="0.25">
      <c r="B31" s="25" t="s">
        <v>29</v>
      </c>
      <c r="C31" s="97">
        <v>0.128931423055959</v>
      </c>
    </row>
    <row r="32" spans="1:3" ht="14.25" customHeight="1" x14ac:dyDescent="0.25">
      <c r="B32" s="25" t="s">
        <v>30</v>
      </c>
      <c r="C32" s="97">
        <v>0.43573331994389503</v>
      </c>
    </row>
    <row r="33" spans="1:5" ht="13.25" customHeight="1" x14ac:dyDescent="0.25">
      <c r="B33" s="27" t="s">
        <v>79</v>
      </c>
      <c r="C33" s="48">
        <f>SUM(C29:C32)</f>
        <v>1.0000000000000011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13.569990000000001</v>
      </c>
    </row>
    <row r="38" spans="1:5" ht="15" customHeight="1" x14ac:dyDescent="0.25">
      <c r="B38" s="11" t="s">
        <v>54</v>
      </c>
      <c r="C38" s="43">
        <v>27.63936</v>
      </c>
      <c r="D38" s="12"/>
      <c r="E38" s="13"/>
    </row>
    <row r="39" spans="1:5" ht="15" customHeight="1" x14ac:dyDescent="0.25">
      <c r="B39" s="11" t="s">
        <v>80</v>
      </c>
      <c r="C39" s="43">
        <v>31.419</v>
      </c>
      <c r="D39" s="12"/>
      <c r="E39" s="12"/>
    </row>
    <row r="40" spans="1:5" ht="15" customHeight="1" x14ac:dyDescent="0.25">
      <c r="B40" s="11" t="s">
        <v>55</v>
      </c>
      <c r="C40" s="98">
        <v>0.17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9.1299799999999998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5.9144999999999996E-3</v>
      </c>
      <c r="D45" s="12"/>
    </row>
    <row r="46" spans="1:5" ht="15.75" customHeight="1" x14ac:dyDescent="0.25">
      <c r="B46" s="11" t="s">
        <v>70</v>
      </c>
      <c r="C46" s="45">
        <v>6.3550899999999994E-2</v>
      </c>
      <c r="D46" s="12"/>
    </row>
    <row r="47" spans="1:5" ht="15.75" customHeight="1" x14ac:dyDescent="0.25">
      <c r="B47" s="11" t="s">
        <v>78</v>
      </c>
      <c r="C47" s="45">
        <v>7.5376799999999994E-2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2.8</v>
      </c>
      <c r="D51" s="12"/>
    </row>
    <row r="52" spans="1:4" ht="15" customHeight="1" x14ac:dyDescent="0.25">
      <c r="B52" s="11" t="s">
        <v>32</v>
      </c>
      <c r="C52" s="98">
        <v>2.8</v>
      </c>
    </row>
    <row r="53" spans="1:4" ht="15.75" customHeight="1" x14ac:dyDescent="0.25">
      <c r="B53" s="11" t="s">
        <v>35</v>
      </c>
      <c r="C53" s="98">
        <v>2.8</v>
      </c>
    </row>
    <row r="54" spans="1:4" ht="15.75" customHeight="1" x14ac:dyDescent="0.25">
      <c r="B54" s="11" t="s">
        <v>33</v>
      </c>
      <c r="C54" s="98">
        <v>2.8</v>
      </c>
    </row>
    <row r="55" spans="1:4" ht="15.75" customHeight="1" x14ac:dyDescent="0.25">
      <c r="B55" s="11" t="s">
        <v>34</v>
      </c>
      <c r="C55" s="98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0.58725400000000005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5.6252946999999998E-2</v>
      </c>
    </row>
    <row r="63" spans="1:4" ht="15.75" customHeight="1" x14ac:dyDescent="0.3">
      <c r="A63" s="4"/>
    </row>
  </sheetData>
  <sheetProtection algorithmName="SHA-512" hashValue="fBgr/e8pCz1AlMOfrvfgmRiZvuE8IbJcB1rSBpOkXRwhDbk7ywPtFJwpcMW7Zj0XJT2n8zaNIY2WyBNIINGTmA==" saltValue="ncRg+2fSIaaRamHw01r9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268304</v>
      </c>
      <c r="C2" s="49">
        <v>471600</v>
      </c>
      <c r="D2" s="49">
        <v>901846.5</v>
      </c>
      <c r="E2" s="49">
        <v>802883</v>
      </c>
      <c r="F2" s="49">
        <v>528153.5</v>
      </c>
      <c r="G2" s="17">
        <f t="shared" ref="G2:G13" si="0">C2+D2+E2+F2</f>
        <v>2704483</v>
      </c>
      <c r="H2" s="17">
        <f t="shared" ref="H2:H13" si="1">(B2 + stillbirth*B2/(1000-stillbirth))/(1-abortion)</f>
        <v>307700.20581600507</v>
      </c>
      <c r="I2" s="17">
        <f t="shared" ref="I2:I13" si="2">G2-H2</f>
        <v>2396782.7941839951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264517</v>
      </c>
      <c r="C3" s="50">
        <v>495339.5</v>
      </c>
      <c r="D3" s="50">
        <v>899718</v>
      </c>
      <c r="E3" s="50">
        <v>816801.5</v>
      </c>
      <c r="F3" s="50">
        <v>550964</v>
      </c>
      <c r="G3" s="17">
        <f t="shared" si="0"/>
        <v>2762823</v>
      </c>
      <c r="H3" s="17">
        <f t="shared" si="1"/>
        <v>303357.14466363611</v>
      </c>
      <c r="I3" s="17">
        <f t="shared" si="2"/>
        <v>2459465.8553363639</v>
      </c>
    </row>
    <row r="4" spans="1:9" ht="15.75" customHeight="1" x14ac:dyDescent="0.25">
      <c r="A4" s="5">
        <f t="shared" si="3"/>
        <v>2026</v>
      </c>
      <c r="B4" s="49">
        <v>261678.99999999997</v>
      </c>
      <c r="C4" s="50">
        <v>521383.00000000006</v>
      </c>
      <c r="D4" s="50">
        <v>897496.5</v>
      </c>
      <c r="E4" s="50">
        <v>827544.5</v>
      </c>
      <c r="F4" s="50">
        <v>576904</v>
      </c>
      <c r="G4" s="17">
        <f t="shared" si="0"/>
        <v>2823328</v>
      </c>
      <c r="H4" s="17">
        <f t="shared" si="1"/>
        <v>300102.42917633132</v>
      </c>
      <c r="I4" s="17">
        <f t="shared" si="2"/>
        <v>2523225.5708236685</v>
      </c>
    </row>
    <row r="5" spans="1:9" ht="15.75" customHeight="1" x14ac:dyDescent="0.25">
      <c r="A5" s="5">
        <f t="shared" si="3"/>
        <v>2027</v>
      </c>
      <c r="B5" s="49">
        <v>259844</v>
      </c>
      <c r="C5" s="50">
        <v>546024</v>
      </c>
      <c r="D5" s="50">
        <v>895833.00000000012</v>
      </c>
      <c r="E5" s="50">
        <v>836319.99999999988</v>
      </c>
      <c r="F5" s="50">
        <v>605101.5</v>
      </c>
      <c r="G5" s="17">
        <f t="shared" si="0"/>
        <v>2883278.5</v>
      </c>
      <c r="H5" s="17">
        <f t="shared" si="1"/>
        <v>297997.98840141791</v>
      </c>
      <c r="I5" s="17">
        <f t="shared" si="2"/>
        <v>2585280.5115985819</v>
      </c>
    </row>
    <row r="6" spans="1:9" ht="15.75" customHeight="1" x14ac:dyDescent="0.25">
      <c r="A6" s="5">
        <f t="shared" si="3"/>
        <v>2028</v>
      </c>
      <c r="B6" s="49">
        <v>259743</v>
      </c>
      <c r="C6" s="50">
        <v>570127.5</v>
      </c>
      <c r="D6" s="50">
        <v>897796.49999999988</v>
      </c>
      <c r="E6" s="50">
        <v>844879.5</v>
      </c>
      <c r="F6" s="50">
        <v>634403</v>
      </c>
      <c r="G6" s="17">
        <f t="shared" si="0"/>
        <v>2947206.5</v>
      </c>
      <c r="H6" s="17">
        <f t="shared" si="1"/>
        <v>297882.15814623196</v>
      </c>
      <c r="I6" s="17">
        <f t="shared" si="2"/>
        <v>2649324.3418537681</v>
      </c>
    </row>
    <row r="7" spans="1:9" ht="15.75" customHeight="1" x14ac:dyDescent="0.25">
      <c r="A7" s="5">
        <f t="shared" si="3"/>
        <v>2029</v>
      </c>
      <c r="B7" s="49">
        <v>260994.00000000003</v>
      </c>
      <c r="C7" s="50">
        <v>594043.5</v>
      </c>
      <c r="D7" s="50">
        <v>905377.5</v>
      </c>
      <c r="E7" s="50">
        <v>853979.49999999988</v>
      </c>
      <c r="F7" s="50">
        <v>663761.50000000012</v>
      </c>
      <c r="G7" s="17">
        <f t="shared" si="0"/>
        <v>3017162</v>
      </c>
      <c r="H7" s="17">
        <f t="shared" si="1"/>
        <v>299316.84774264431</v>
      </c>
      <c r="I7" s="17">
        <f t="shared" si="2"/>
        <v>2717845.1522573559</v>
      </c>
    </row>
    <row r="8" spans="1:9" ht="15.75" customHeight="1" x14ac:dyDescent="0.25">
      <c r="A8" s="5">
        <f t="shared" si="3"/>
        <v>2030</v>
      </c>
      <c r="B8" s="49">
        <v>263946</v>
      </c>
      <c r="C8" s="50">
        <v>616303</v>
      </c>
      <c r="D8" s="50">
        <v>920266.5</v>
      </c>
      <c r="E8" s="50">
        <v>862162</v>
      </c>
      <c r="F8" s="50">
        <v>692134</v>
      </c>
      <c r="G8" s="17">
        <f t="shared" si="0"/>
        <v>3090865.5</v>
      </c>
      <c r="H8" s="17">
        <f t="shared" si="1"/>
        <v>302702.30232986197</v>
      </c>
      <c r="I8" s="17">
        <f t="shared" si="2"/>
        <v>2788163.197670138</v>
      </c>
    </row>
    <row r="9" spans="1:9" ht="15.75" customHeight="1" x14ac:dyDescent="0.25">
      <c r="A9" s="5">
        <f t="shared" si="3"/>
        <v>2031</v>
      </c>
      <c r="B9" s="49">
        <v>267854</v>
      </c>
      <c r="C9" s="50">
        <v>633503.5</v>
      </c>
      <c r="D9" s="50">
        <v>939671.5</v>
      </c>
      <c r="E9" s="50">
        <v>868059</v>
      </c>
      <c r="F9" s="50">
        <v>718408</v>
      </c>
      <c r="G9" s="17">
        <f t="shared" si="0"/>
        <v>3159642</v>
      </c>
      <c r="H9" s="17">
        <f t="shared" si="1"/>
        <v>307184.13042161218</v>
      </c>
      <c r="I9" s="17">
        <f t="shared" si="2"/>
        <v>2852457.8695783876</v>
      </c>
    </row>
    <row r="10" spans="1:9" ht="15.75" customHeight="1" x14ac:dyDescent="0.25">
      <c r="A10" s="5">
        <f t="shared" si="3"/>
        <v>2032</v>
      </c>
      <c r="B10" s="49">
        <v>272195</v>
      </c>
      <c r="C10" s="50">
        <v>644187</v>
      </c>
      <c r="D10" s="50">
        <v>962490</v>
      </c>
      <c r="E10" s="50">
        <v>871231</v>
      </c>
      <c r="F10" s="50">
        <v>741777</v>
      </c>
      <c r="G10" s="17">
        <f t="shared" si="0"/>
        <v>3219685</v>
      </c>
      <c r="H10" s="17">
        <f t="shared" si="1"/>
        <v>312162.53772618936</v>
      </c>
      <c r="I10" s="17">
        <f t="shared" si="2"/>
        <v>2907522.4622738105</v>
      </c>
    </row>
    <row r="11" spans="1:9" ht="15.75" customHeight="1" x14ac:dyDescent="0.25">
      <c r="A11" s="5">
        <f t="shared" si="3"/>
        <v>2033</v>
      </c>
      <c r="B11" s="49">
        <v>277329</v>
      </c>
      <c r="C11" s="50">
        <v>648162.5</v>
      </c>
      <c r="D11" s="50">
        <v>993839</v>
      </c>
      <c r="E11" s="50">
        <v>871099.5</v>
      </c>
      <c r="F11" s="50">
        <v>762075.49999999988</v>
      </c>
      <c r="G11" s="17">
        <f t="shared" si="0"/>
        <v>3275176.5</v>
      </c>
      <c r="H11" s="17">
        <f t="shared" si="1"/>
        <v>318050.38455910789</v>
      </c>
      <c r="I11" s="17">
        <f t="shared" si="2"/>
        <v>2957126.1154408921</v>
      </c>
    </row>
    <row r="12" spans="1:9" ht="15.75" customHeight="1" x14ac:dyDescent="0.25">
      <c r="A12" s="5">
        <f t="shared" si="3"/>
        <v>2034</v>
      </c>
      <c r="B12" s="49">
        <v>282783</v>
      </c>
      <c r="C12" s="50">
        <v>645714</v>
      </c>
      <c r="D12" s="50">
        <v>1033837.5000000001</v>
      </c>
      <c r="E12" s="50">
        <v>869105.5</v>
      </c>
      <c r="F12" s="50">
        <v>779285.5</v>
      </c>
      <c r="G12" s="17">
        <f t="shared" si="0"/>
        <v>3327942.5</v>
      </c>
      <c r="H12" s="17">
        <f t="shared" si="1"/>
        <v>324305.21833915025</v>
      </c>
      <c r="I12" s="17">
        <f t="shared" si="2"/>
        <v>3003637.2816608497</v>
      </c>
    </row>
    <row r="13" spans="1:9" ht="15.75" customHeight="1" x14ac:dyDescent="0.25">
      <c r="A13" s="5">
        <f t="shared" si="3"/>
        <v>2035</v>
      </c>
      <c r="B13" s="49">
        <v>288093</v>
      </c>
      <c r="C13" s="50">
        <v>638177</v>
      </c>
      <c r="D13" s="50">
        <v>1079338.5</v>
      </c>
      <c r="E13" s="50">
        <v>867130.5</v>
      </c>
      <c r="F13" s="50">
        <v>793195.99999999988</v>
      </c>
      <c r="G13" s="17">
        <f t="shared" si="0"/>
        <v>3377842</v>
      </c>
      <c r="H13" s="17">
        <f t="shared" si="1"/>
        <v>330394.9079929869</v>
      </c>
      <c r="I13" s="17">
        <f t="shared" si="2"/>
        <v>3047447.092007013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q+zMjesvSGC4ZzEHKJsCByJjhvCG4O5zLZAQQMfW+FjsKrT6Q+ZZS3xmJhcLNbpxsUYqVfOTIs++RLCUaxvew==" saltValue="KbhUpulaZ8dHXXUv1NceT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3.0741955489755001E-3</v>
      </c>
    </row>
    <row r="4" spans="1:8" ht="15.75" customHeight="1" x14ac:dyDescent="0.25">
      <c r="B4" s="19" t="s">
        <v>116</v>
      </c>
      <c r="C4" s="99">
        <v>4.5714087306233192E-2</v>
      </c>
    </row>
    <row r="5" spans="1:8" ht="15.75" customHeight="1" x14ac:dyDescent="0.25">
      <c r="B5" s="19" t="s">
        <v>114</v>
      </c>
      <c r="C5" s="99">
        <v>6.2934905662831719E-2</v>
      </c>
    </row>
    <row r="6" spans="1:8" ht="15.75" customHeight="1" x14ac:dyDescent="0.25">
      <c r="B6" s="19" t="s">
        <v>110</v>
      </c>
      <c r="C6" s="99">
        <v>0.20706367546229029</v>
      </c>
    </row>
    <row r="7" spans="1:8" ht="15.75" customHeight="1" x14ac:dyDescent="0.25">
      <c r="B7" s="19" t="s">
        <v>115</v>
      </c>
      <c r="C7" s="99">
        <v>0.45319363919792882</v>
      </c>
    </row>
    <row r="8" spans="1:8" ht="15.75" customHeight="1" x14ac:dyDescent="0.25">
      <c r="B8" s="19" t="s">
        <v>117</v>
      </c>
      <c r="C8" s="99">
        <v>3.9374278179925862E-4</v>
      </c>
    </row>
    <row r="9" spans="1:8" ht="15.75" customHeight="1" x14ac:dyDescent="0.25">
      <c r="B9" s="19" t="s">
        <v>111</v>
      </c>
      <c r="C9" s="99">
        <v>0.12922187821010439</v>
      </c>
    </row>
    <row r="10" spans="1:8" ht="15.75" customHeight="1" x14ac:dyDescent="0.25">
      <c r="B10" s="19" t="s">
        <v>113</v>
      </c>
      <c r="C10" s="99">
        <v>9.8403875829836771E-2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0.1633072076199294</v>
      </c>
      <c r="D14" s="55">
        <v>0.1633072076199294</v>
      </c>
      <c r="E14" s="55">
        <v>0.1633072076199294</v>
      </c>
      <c r="F14" s="55">
        <v>0.1633072076199294</v>
      </c>
    </row>
    <row r="15" spans="1:8" ht="15.75" customHeight="1" x14ac:dyDescent="0.25">
      <c r="B15" s="19" t="s">
        <v>121</v>
      </c>
      <c r="C15" s="99">
        <v>0.40822241936014758</v>
      </c>
      <c r="D15" s="99">
        <v>0.40822241936014758</v>
      </c>
      <c r="E15" s="99">
        <v>0.40822241936014758</v>
      </c>
      <c r="F15" s="99">
        <v>0.40822241936014758</v>
      </c>
    </row>
    <row r="16" spans="1:8" ht="15.75" customHeight="1" x14ac:dyDescent="0.25">
      <c r="B16" s="19" t="s">
        <v>2</v>
      </c>
      <c r="C16" s="99">
        <v>2.46705865376926E-2</v>
      </c>
      <c r="D16" s="99">
        <v>2.46705865376926E-2</v>
      </c>
      <c r="E16" s="99">
        <v>2.46705865376926E-2</v>
      </c>
      <c r="F16" s="99">
        <v>2.46705865376926E-2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9.4156144041897885E-3</v>
      </c>
      <c r="D19" s="99">
        <v>9.4156144041897885E-3</v>
      </c>
      <c r="E19" s="99">
        <v>9.4156144041897885E-3</v>
      </c>
      <c r="F19" s="99">
        <v>9.4156144041897885E-3</v>
      </c>
    </row>
    <row r="20" spans="1:8" ht="15.75" customHeight="1" x14ac:dyDescent="0.25">
      <c r="B20" s="19" t="s">
        <v>98</v>
      </c>
      <c r="C20" s="99">
        <v>1.6199682475618121E-2</v>
      </c>
      <c r="D20" s="99">
        <v>1.6199682475618121E-2</v>
      </c>
      <c r="E20" s="99">
        <v>1.6199682475618121E-2</v>
      </c>
      <c r="F20" s="99">
        <v>1.6199682475618121E-2</v>
      </c>
    </row>
    <row r="21" spans="1:8" ht="15.75" customHeight="1" x14ac:dyDescent="0.25">
      <c r="B21" s="19" t="s">
        <v>107</v>
      </c>
      <c r="C21" s="99">
        <v>0.20382368632032299</v>
      </c>
      <c r="D21" s="99">
        <v>0.20382368632032299</v>
      </c>
      <c r="E21" s="99">
        <v>0.20382368632032299</v>
      </c>
      <c r="F21" s="99">
        <v>0.20382368632032299</v>
      </c>
    </row>
    <row r="22" spans="1:8" ht="15.75" customHeight="1" x14ac:dyDescent="0.25">
      <c r="B22" s="19" t="s">
        <v>118</v>
      </c>
      <c r="C22" s="99">
        <v>0.17436080328209949</v>
      </c>
      <c r="D22" s="99">
        <v>0.17436080328209949</v>
      </c>
      <c r="E22" s="99">
        <v>0.17436080328209949</v>
      </c>
      <c r="F22" s="99">
        <v>0.17436080328209949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5.4573182999999997E-2</v>
      </c>
    </row>
    <row r="27" spans="1:8" ht="15.75" customHeight="1" x14ac:dyDescent="0.25">
      <c r="B27" s="19" t="s">
        <v>108</v>
      </c>
      <c r="C27" s="99">
        <v>5.9409878999999999E-2</v>
      </c>
    </row>
    <row r="28" spans="1:8" ht="15.75" customHeight="1" x14ac:dyDescent="0.25">
      <c r="B28" s="19" t="s">
        <v>122</v>
      </c>
      <c r="C28" s="99">
        <v>0.12098242100000001</v>
      </c>
    </row>
    <row r="29" spans="1:8" ht="15.75" customHeight="1" x14ac:dyDescent="0.25">
      <c r="B29" s="19" t="s">
        <v>105</v>
      </c>
      <c r="C29" s="99">
        <v>0.13495797500000001</v>
      </c>
    </row>
    <row r="30" spans="1:8" ht="15.75" customHeight="1" x14ac:dyDescent="0.25">
      <c r="B30" s="19" t="s">
        <v>4</v>
      </c>
      <c r="C30" s="99">
        <v>8.1454253000000018E-2</v>
      </c>
    </row>
    <row r="31" spans="1:8" ht="15.75" customHeight="1" x14ac:dyDescent="0.25">
      <c r="B31" s="19" t="s">
        <v>99</v>
      </c>
      <c r="C31" s="99">
        <v>6.5903797E-2</v>
      </c>
    </row>
    <row r="32" spans="1:8" ht="15.75" customHeight="1" x14ac:dyDescent="0.25">
      <c r="B32" s="19" t="s">
        <v>104</v>
      </c>
      <c r="C32" s="99">
        <v>0.13216685</v>
      </c>
    </row>
    <row r="33" spans="2:3" ht="15.75" customHeight="1" x14ac:dyDescent="0.25">
      <c r="B33" s="19" t="s">
        <v>119</v>
      </c>
      <c r="C33" s="99">
        <v>0.12743632599999999</v>
      </c>
    </row>
    <row r="34" spans="2:3" ht="15.75" customHeight="1" x14ac:dyDescent="0.25">
      <c r="B34" s="19" t="s">
        <v>106</v>
      </c>
      <c r="C34" s="99">
        <v>0.22311531600000001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jdpSQc8EHPqj3iChPEeTP67b/6Hpyskpt7qyv1HgwVBJsmuJeu6pVKbduVO87Pxpnxkr/5bghK3PCNagwaquFQ==" saltValue="XAG8FQ8MicRj5G5u4riPo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0.69269518779269001</v>
      </c>
      <c r="D2" s="52">
        <f>IFERROR(1-_xlfn.NORM.DIST(_xlfn.NORM.INV(SUM(D4:D5), 0, 1) + 1, 0, 1, TRUE), "")</f>
        <v>0.69269518779269001</v>
      </c>
      <c r="E2" s="52">
        <f>IFERROR(1-_xlfn.NORM.DIST(_xlfn.NORM.INV(SUM(E4:E5), 0, 1) + 1, 0, 1, TRUE), "")</f>
        <v>0.68353608890151563</v>
      </c>
      <c r="F2" s="52">
        <f>IFERROR(1-_xlfn.NORM.DIST(_xlfn.NORM.INV(SUM(F4:F5), 0, 1) + 1, 0, 1, TRUE), "")</f>
        <v>0.47013527764712237</v>
      </c>
      <c r="G2" s="52">
        <f>IFERROR(1-_xlfn.NORM.DIST(_xlfn.NORM.INV(SUM(G4:G5), 0, 1) + 1, 0, 1, TRUE), "")</f>
        <v>0.42555735724829358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0.24095031220731</v>
      </c>
      <c r="D3" s="52">
        <f>IFERROR(_xlfn.NORM.DIST(_xlfn.NORM.INV(SUM(D4:D5), 0, 1) + 1, 0, 1, TRUE) - SUM(D4:D5), "")</f>
        <v>0.24095031220731</v>
      </c>
      <c r="E3" s="52">
        <f>IFERROR(_xlfn.NORM.DIST(_xlfn.NORM.INV(SUM(E4:E5), 0, 1) + 1, 0, 1, TRUE) - SUM(E4:E5), "")</f>
        <v>0.24670781109848439</v>
      </c>
      <c r="F3" s="52">
        <f>IFERROR(_xlfn.NORM.DIST(_xlfn.NORM.INV(SUM(F4:F5), 0, 1) + 1, 0, 1, TRUE) - SUM(F4:F5), "")</f>
        <v>0.3524000223528776</v>
      </c>
      <c r="G3" s="52">
        <f>IFERROR(_xlfn.NORM.DIST(_xlfn.NORM.INV(SUM(G4:G5), 0, 1) + 1, 0, 1, TRUE) - SUM(G4:G5), "")</f>
        <v>0.36613394275170641</v>
      </c>
    </row>
    <row r="4" spans="1:15" ht="15.75" customHeight="1" x14ac:dyDescent="0.25">
      <c r="B4" s="5" t="s">
        <v>129</v>
      </c>
      <c r="C4" s="45">
        <v>5.35565E-2</v>
      </c>
      <c r="D4" s="53">
        <v>5.35565E-2</v>
      </c>
      <c r="E4" s="53">
        <v>5.1997099999999997E-2</v>
      </c>
      <c r="F4" s="53">
        <v>0.1270577</v>
      </c>
      <c r="G4" s="53">
        <v>0.15624679999999999</v>
      </c>
    </row>
    <row r="5" spans="1:15" ht="15.75" customHeight="1" x14ac:dyDescent="0.25">
      <c r="B5" s="5" t="s">
        <v>125</v>
      </c>
      <c r="C5" s="45">
        <v>1.2798E-2</v>
      </c>
      <c r="D5" s="53">
        <v>1.2798E-2</v>
      </c>
      <c r="E5" s="53">
        <v>1.7759E-2</v>
      </c>
      <c r="F5" s="53">
        <v>5.0407E-2</v>
      </c>
      <c r="G5" s="53">
        <v>5.2061900000000001E-2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0.53697548759743674</v>
      </c>
      <c r="D8" s="52">
        <f>IFERROR(1-_xlfn.NORM.DIST(_xlfn.NORM.INV(SUM(D10:D11), 0, 1) + 1, 0, 1, TRUE), "")</f>
        <v>0.53697548759743674</v>
      </c>
      <c r="E8" s="52">
        <f>IFERROR(1-_xlfn.NORM.DIST(_xlfn.NORM.INV(SUM(E10:E11), 0, 1) + 1, 0, 1, TRUE), "")</f>
        <v>0.60945313934775447</v>
      </c>
      <c r="F8" s="52">
        <f>IFERROR(1-_xlfn.NORM.DIST(_xlfn.NORM.INV(SUM(F10:F11), 0, 1) + 1, 0, 1, TRUE), "")</f>
        <v>0.67786541738420714</v>
      </c>
      <c r="G8" s="52">
        <f>IFERROR(1-_xlfn.NORM.DIST(_xlfn.NORM.INV(SUM(G10:G11), 0, 1) + 1, 0, 1, TRUE), "")</f>
        <v>0.81277360377809094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0.32578741240256326</v>
      </c>
      <c r="D9" s="52">
        <f>IFERROR(_xlfn.NORM.DIST(_xlfn.NORM.INV(SUM(D10:D11), 0, 1) + 1, 0, 1, TRUE) - SUM(D10:D11), "")</f>
        <v>0.32578741240256326</v>
      </c>
      <c r="E9" s="52">
        <f>IFERROR(_xlfn.NORM.DIST(_xlfn.NORM.INV(SUM(E10:E11), 0, 1) + 1, 0, 1, TRUE) - SUM(E10:E11), "")</f>
        <v>0.28990346065224554</v>
      </c>
      <c r="F9" s="52">
        <f>IFERROR(_xlfn.NORM.DIST(_xlfn.NORM.INV(SUM(F10:F11), 0, 1) + 1, 0, 1, TRUE) - SUM(F10:F11), "")</f>
        <v>0.25022808261579293</v>
      </c>
      <c r="G9" s="52">
        <f>IFERROR(_xlfn.NORM.DIST(_xlfn.NORM.INV(SUM(G10:G11), 0, 1) + 1, 0, 1, TRUE) - SUM(G10:G11), "")</f>
        <v>0.15772439622190906</v>
      </c>
    </row>
    <row r="10" spans="1:15" ht="15.75" customHeight="1" x14ac:dyDescent="0.25">
      <c r="B10" s="5" t="s">
        <v>126</v>
      </c>
      <c r="C10" s="45">
        <v>8.0079399999999995E-2</v>
      </c>
      <c r="D10" s="53">
        <v>8.0079399999999995E-2</v>
      </c>
      <c r="E10" s="53">
        <v>6.7815399999999998E-2</v>
      </c>
      <c r="F10" s="53">
        <v>5.0678099999999997E-2</v>
      </c>
      <c r="G10" s="53">
        <v>2.08116E-2</v>
      </c>
    </row>
    <row r="11" spans="1:15" ht="15.75" customHeight="1" x14ac:dyDescent="0.25">
      <c r="B11" s="5" t="s">
        <v>138</v>
      </c>
      <c r="C11" s="45">
        <v>5.7157699999999999E-2</v>
      </c>
      <c r="D11" s="53">
        <v>5.7157699999999999E-2</v>
      </c>
      <c r="E11" s="53">
        <v>3.2828000000000003E-2</v>
      </c>
      <c r="F11" s="53">
        <v>2.1228400000000001E-2</v>
      </c>
      <c r="G11" s="53">
        <v>8.6904000000000009E-3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0.50674149000000002</v>
      </c>
      <c r="D14" s="54">
        <v>0.482549529468</v>
      </c>
      <c r="E14" s="54">
        <v>0.482549529468</v>
      </c>
      <c r="F14" s="54">
        <v>0.36602033348399998</v>
      </c>
      <c r="G14" s="54">
        <v>0.36602033348399998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0.30299999999999999</v>
      </c>
      <c r="M14" s="55">
        <v>0.30299999999999999</v>
      </c>
      <c r="N14" s="55">
        <v>0.30299999999999999</v>
      </c>
      <c r="O14" s="55">
        <v>0.30299999999999999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0.29758596696846001</v>
      </c>
      <c r="D15" s="52">
        <f t="shared" si="0"/>
        <v>0.28337914137820092</v>
      </c>
      <c r="E15" s="52">
        <f t="shared" si="0"/>
        <v>0.28337914137820092</v>
      </c>
      <c r="F15" s="52">
        <f t="shared" si="0"/>
        <v>0.21494690491981294</v>
      </c>
      <c r="G15" s="52">
        <f t="shared" si="0"/>
        <v>0.21494690491981294</v>
      </c>
      <c r="H15" s="52">
        <f t="shared" si="0"/>
        <v>0.19673009000000002</v>
      </c>
      <c r="I15" s="52">
        <f t="shared" si="0"/>
        <v>0.19673009000000002</v>
      </c>
      <c r="J15" s="52">
        <f t="shared" si="0"/>
        <v>0.19673009000000002</v>
      </c>
      <c r="K15" s="52">
        <f t="shared" si="0"/>
        <v>0.19673009000000002</v>
      </c>
      <c r="L15" s="52">
        <f t="shared" si="0"/>
        <v>0.17793796200000001</v>
      </c>
      <c r="M15" s="52">
        <f t="shared" si="0"/>
        <v>0.17793796200000001</v>
      </c>
      <c r="N15" s="52">
        <f t="shared" si="0"/>
        <v>0.17793796200000001</v>
      </c>
      <c r="O15" s="52">
        <f t="shared" si="0"/>
        <v>0.17793796200000001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fRw2xYjdJ4N+22+mO/s7NzlS0j79iEPpIrhCkPeBpm0EnKS6UYnqcFPSDC8CghgWhFqqYJI7tfmZ93D4WKqRg==" saltValue="UCnThz1tgBLF7g1geaMY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0.55160949999999997</v>
      </c>
      <c r="D2" s="53">
        <v>0.31436900000000001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0.26624439999999999</v>
      </c>
      <c r="D3" s="53">
        <v>0.36587259999999999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0.12542239999999999</v>
      </c>
      <c r="D4" s="53">
        <v>0.27279639999999999</v>
      </c>
      <c r="E4" s="53">
        <v>0.90193730000000005</v>
      </c>
      <c r="F4" s="53">
        <v>0.57143710000000003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5.6723700000000044E-2</v>
      </c>
      <c r="D5" s="52">
        <f t="shared" si="0"/>
        <v>4.6961999999999948E-2</v>
      </c>
      <c r="E5" s="52">
        <f>1-SUM(E2:E4)</f>
        <v>9.8062699999999947E-2</v>
      </c>
      <c r="F5" s="52">
        <f>1-SUM(F2:F4)</f>
        <v>0.42856289999999997</v>
      </c>
      <c r="G5" s="52">
        <f>1-SUM(G2:G4)</f>
        <v>1</v>
      </c>
    </row>
  </sheetData>
  <sheetProtection algorithmName="SHA-512" hashValue="bSTzvamR0lQ4CDzrIgX8APKIndT5rcog6ZseZazH90BP/DI4vuXBXRako+l0X501GxLgtfWkuOMhsiMbCOPHhA==" saltValue="r0sFb68kevj0wjJCskezW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GTwVKTEjU6pNhiSJIa4Yfum8WCP2RCLefd0q3r5tVWhceZUwrKT/KAQ7Jihclw7Oo3MHfyDWpQ2IY/WWEqyAJg==" saltValue="f75UsX3TR/b5E7LYBSVG6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1054.1894835881801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0.17865999999999999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0.32600000000000001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8.1272193839505378E-3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96573.966010000004</v>
      </c>
      <c r="C22" s="107">
        <v>96512.598450000005</v>
      </c>
      <c r="D22" s="107">
        <v>96432.035940000002</v>
      </c>
      <c r="E22" s="107">
        <v>96175.076390000002</v>
      </c>
      <c r="F22" s="107">
        <v>95748.808359999995</v>
      </c>
      <c r="G22" s="107">
        <v>95198.344729999997</v>
      </c>
      <c r="H22" s="107">
        <v>94460.213629999998</v>
      </c>
      <c r="I22" s="107">
        <v>93455.357759999999</v>
      </c>
      <c r="J22" s="107">
        <v>92092.716029999996</v>
      </c>
      <c r="K22" s="107">
        <v>90191.900729999994</v>
      </c>
      <c r="L22" s="107">
        <v>87339.930540000001</v>
      </c>
      <c r="M22" s="107">
        <v>82470.904850000006</v>
      </c>
      <c r="N22" s="107">
        <v>74573.654980000007</v>
      </c>
      <c r="O22" s="107">
        <v>62164.626470000003</v>
      </c>
    </row>
  </sheetData>
  <sheetProtection algorithmName="SHA-512" hashValue="qYYsnfyz4Ui2mbjVGfjfXb/7zdIWiAvQBC9ll8QFfps7oOTG/IV+12S1M8JP6TyAOBAwvjJsoZx4OqB9TkyzWA==" saltValue="n7ZGyfkpWwkCWwnEDqwkW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TGR2YDdwZlXGZn+yGF6YB1u7YMQriylpcU1P9cAcIAHuQzbi/NTV1OYUebWiD/sOkKugDE4XkB/WiVcnKjFLFw==" saltValue="2QlQoewv11oLHv2cQmZ3k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3ul45VFrwtvYqcE6WlHfpUZRTJJOlCyad9pJtqZiO5YQrWEogzfHXe17evxV2xdnL8NwfGyV89OiCTluBPXAGw==" saltValue="d1PQe/Sks/AxCyQjBVNLi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4.2670522006141258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4.2670522006141258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10.488843398157627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0.40525076765609014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2.19022E-2</v>
      </c>
      <c r="C10" s="96">
        <v>0.95</v>
      </c>
      <c r="D10" s="56">
        <v>14.201250215462901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14.201250215462901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14.201250215462901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14.201250215462901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2.19022E-2</v>
      </c>
      <c r="C14" s="96">
        <v>0.95</v>
      </c>
      <c r="D14" s="56">
        <v>14.201250215462901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14.201250215462901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0.31436900000000001</v>
      </c>
      <c r="C18" s="96">
        <v>0.95</v>
      </c>
      <c r="D18" s="56">
        <v>10.488843398157627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0.31436900000000001</v>
      </c>
      <c r="C19" s="96">
        <v>0.95</v>
      </c>
      <c r="D19" s="56">
        <v>1.935478791236098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10.488843398157627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1.96765E-2</v>
      </c>
      <c r="C23" s="96">
        <v>0.95</v>
      </c>
      <c r="D23" s="56">
        <v>4.6661477823845638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0.63038645218564004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0.17199999999999999</v>
      </c>
      <c r="C26" s="96">
        <v>0.95</v>
      </c>
      <c r="D26" s="56">
        <v>6.8296673490276367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9.1419805527123863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0.61705699999999997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0.22507530000000001</v>
      </c>
      <c r="C29" s="96">
        <v>0.95</v>
      </c>
      <c r="D29" s="56">
        <v>64.905462330614313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160.90839303991814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0.93</v>
      </c>
      <c r="C32" s="96">
        <v>0.95</v>
      </c>
      <c r="D32" s="56">
        <v>1.5614073694984649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0.72953559999999995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0.52023419999999998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2.6733799999999999E-2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0.65150499999999989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0.14199999999999999</v>
      </c>
      <c r="C38" s="96">
        <v>0.95</v>
      </c>
      <c r="D38" s="56">
        <v>2.8248362333674519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9lMkjhiLoFvUnAQtjZgBSgHGKgv3xy36+JPMKMsS/DqrLMrIsWiY5x+ptEJyP0AtN1eNSi0mFdk/6psnArLfjg==" saltValue="VHmwDPDGyPT1zOO+io1A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33AV4CgFGnffRLTADVZ7F5HwMmX8yETIRfNbozrbUu1SX+FdjyDTbGrJsoEARv+91qK4/pwKFuthFNkufkYzOA==" saltValue="aXwVXAdGPp6oq2OACtbY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G9EorvYOKdX7jhKB4Hm3yGyZWH/lsc2+CbqwJTYAV3bR/IIypnbQwUGasXccgfJAMDkkC93r1bcmIwUwNQm+5A==" saltValue="4i7VPUg+dAAh0hcxwpwMY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0.20820643999999999</v>
      </c>
      <c r="C3" s="21">
        <f>frac_mam_1_5months * 2.6</f>
        <v>0.20820643999999999</v>
      </c>
      <c r="D3" s="21">
        <f>frac_mam_6_11months * 2.6</f>
        <v>0.17632004000000001</v>
      </c>
      <c r="E3" s="21">
        <f>frac_mam_12_23months * 2.6</f>
        <v>0.13176305999999999</v>
      </c>
      <c r="F3" s="21">
        <f>frac_mam_24_59months * 2.6</f>
        <v>5.4110159999999997E-2</v>
      </c>
    </row>
    <row r="4" spans="1:6" ht="15.75" customHeight="1" x14ac:dyDescent="0.25">
      <c r="A4" s="3" t="s">
        <v>236</v>
      </c>
      <c r="B4" s="21">
        <f>frac_sam_1month * 2.6</f>
        <v>0.14861002000000001</v>
      </c>
      <c r="C4" s="21">
        <f>frac_sam_1_5months * 2.6</f>
        <v>0.14861002000000001</v>
      </c>
      <c r="D4" s="21">
        <f>frac_sam_6_11months * 2.6</f>
        <v>8.5352800000000006E-2</v>
      </c>
      <c r="E4" s="21">
        <f>frac_sam_12_23months * 2.6</f>
        <v>5.5193840000000008E-2</v>
      </c>
      <c r="F4" s="21">
        <f>frac_sam_24_59months * 2.6</f>
        <v>2.2595040000000004E-2</v>
      </c>
    </row>
  </sheetData>
  <sheetProtection algorithmName="SHA-512" hashValue="A/4/k+nVTJOwPleGRZgHgawFoJyspcYyOwbdYsD3nbUrHKKEd13f/F7KvzrhdYwc0iiNdyAKlEXGevC6S9eTkQ==" saltValue="2GCTseUZZkH68JSqqmqpm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4.8000000000000001E-2</v>
      </c>
      <c r="F2" s="60">
        <f>food_insecure</f>
        <v>4.8000000000000001E-2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4.8000000000000001E-2</v>
      </c>
      <c r="F5" s="60">
        <f>food_insecure</f>
        <v>4.8000000000000001E-2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4.8000000000000001E-2</v>
      </c>
      <c r="F8" s="60">
        <f>food_insecure</f>
        <v>4.8000000000000001E-2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4.8000000000000001E-2</v>
      </c>
      <c r="F9" s="60">
        <f>food_insecure</f>
        <v>4.8000000000000001E-2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4.8000000000000001E-2</v>
      </c>
      <c r="I15" s="60">
        <f t="shared" si="0"/>
        <v>4.8000000000000001E-2</v>
      </c>
      <c r="J15" s="60">
        <f t="shared" si="0"/>
        <v>4.8000000000000001E-2</v>
      </c>
      <c r="K15" s="60">
        <f t="shared" si="0"/>
        <v>4.8000000000000001E-2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4.8000000000000001E-2</v>
      </c>
      <c r="I16" s="60">
        <f t="shared" si="0"/>
        <v>4.8000000000000001E-2</v>
      </c>
      <c r="J16" s="60">
        <f t="shared" si="0"/>
        <v>4.8000000000000001E-2</v>
      </c>
      <c r="K16" s="60">
        <f t="shared" si="0"/>
        <v>4.8000000000000001E-2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0.49199999999999999</v>
      </c>
      <c r="M24" s="60">
        <f>famplan_unmet_need</f>
        <v>0.49199999999999999</v>
      </c>
      <c r="N24" s="60">
        <f>famplan_unmet_need</f>
        <v>0.49199999999999999</v>
      </c>
      <c r="O24" s="60">
        <f>famplan_unmet_need</f>
        <v>0.49199999999999999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0.10910612301025369</v>
      </c>
      <c r="M25" s="60">
        <f>(1-food_insecure)*(0.49)+food_insecure*(0.7)</f>
        <v>0.50007999999999997</v>
      </c>
      <c r="N25" s="60">
        <f>(1-food_insecure)*(0.49)+food_insecure*(0.7)</f>
        <v>0.50007999999999997</v>
      </c>
      <c r="O25" s="60">
        <f>(1-food_insecure)*(0.49)+food_insecure*(0.7)</f>
        <v>0.50007999999999997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4.6759767004394437E-2</v>
      </c>
      <c r="M26" s="60">
        <f>(1-food_insecure)*(0.21)+food_insecure*(0.3)</f>
        <v>0.21431999999999998</v>
      </c>
      <c r="N26" s="60">
        <f>(1-food_insecure)*(0.21)+food_insecure*(0.3)</f>
        <v>0.21431999999999998</v>
      </c>
      <c r="O26" s="60">
        <f>(1-food_insecure)*(0.21)+food_insecure*(0.3)</f>
        <v>0.21431999999999998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6.2311447631835805E-2</v>
      </c>
      <c r="M27" s="60">
        <f>(1-food_insecure)*(0.3)</f>
        <v>0.28559999999999997</v>
      </c>
      <c r="N27" s="60">
        <f>(1-food_insecure)*(0.3)</f>
        <v>0.28559999999999997</v>
      </c>
      <c r="O27" s="60">
        <f>(1-food_insecure)*(0.3)</f>
        <v>0.28559999999999997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0.78182266235351605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x/02X+4uxHXDZsYC5HWCZuySmTNd0M5nK601Qs+0qwCB8AwRk/L7mbtm4RsgckAvc6TE/Yjq4ebXHBK/bbOrCA==" saltValue="sckavy4kNMHhQgLaaHcXd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RSZ3LhPWN3ixby/L4kezeIT+61HJ2Msz8FvQvbLC58V5D5GwBVmYo2nRA9+mjGPwR3mCrfZe+wb72ALb37iSTg==" saltValue="6PvNKxQoG8BIi/lmXsIN9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spyNIaAaQRXiLkJgOjMB6i0KqjAL4nmTgF0iyoRABo8n4tOsDYAHtWnz30rFM0noYDuWHJ5smO7cYBJynHCCA==" saltValue="sZ8Y/Gh8PqiCittXqKpef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2D/mHYSr9eaSuUqRqRqcS/E+pneA4UNUYQsRjOOCdsN0Skz4z56DfYnXTQNK7w3iH9lMP87DMspRP9HrfkCtA==" saltValue="0vqKZvXWqH00MqWwUchOW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k7CEWbiUHcBj0vZTPVClZIxm6eq96QRFgAyHS1+J+CVGPZx+3Q3yRAuKg+vH56eCZwf4acUaD4AZfNOAnsrRPg==" saltValue="p4pBcG+PNizxCNi6hhjEI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UsAmlTXHHCjSv3p7QLe1AKFwdrlAu8sgPe7ySAxeSFORqhLx/XwqH5WAefRpkMpzQsQpM3lXPf3WKU2mbBm/NA==" saltValue="eqf5vyxkBcJsTfM5YmvQW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1O8PSvrbiO06UJXXx2Gv0XREMz5hKqb/uKP97WsAw4LedGSBHUl6cylGQ+ocaoDC7lwEgmdBJMTcXX9ChxyoA==" saltValue="XDlMBR4t1XV0kcWFRiB+N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eYy6iBodllwXfq/1z0sOJ3B6lMK0NFjoUsJfRLYkWcApE1AyX0aakr8iSoBPQymFs3mvFfk14MR8a4SXKLBpYg==" saltValue="J/oLtHQgJ4tEkzL+xXCS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vAcx51FPj0oC7lYxnplCxjej5UqY644HuepWQDLb8mNX6OyVy/toNMMnOz1yLSRklvOt1YllH8lYRaXUhl4rpQ==" saltValue="3gkjBdXrygWW6ZBtfIb3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5RJvjKd4HbyplDYtc88bYNNIa451gmV46oMBkJd5adHdPNh3+iJMHKnXNFtr0/XYLeWpjFsuzSLwMj0MVkj0Q==" saltValue="HFqh14wyfsaomoipoEIq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mn42C7KRCaqUKBWG3uZ4s37dZI7AMzDHtiHVc0MTpvobOPICs26yvCD6s7AxQ6sn9yge7vjPsn/AKYal2TK+w==" saltValue="E3wgOGK5C4GON/emHkxE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xGeufW1E4svf3Jp1b9jM4Z+hrN0LeXhRRicY5FNTBLUGqw9qIQx3Q1cBB9dj2ZPvi+iXQzWVG0qO8IIJMuOJLQ==" saltValue="bCwQaidWe6K5S2c1fuuI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i4oPt87iMdjCpwqn3CEFkuNmVZmqxgsi0PQlA9PqITt5Ij2WDJjmVKUwfp8meS2m4csl2wfhLvNcpRiQEfbnw==" saltValue="rotfI/bM8sBkWtnOL6KX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MTn1HgQJMn5tz+wQvYybSxnatT5jqkgUrjhNK+GdBU5y1nZSBKF3BgrWsrpPsA21fngGLu1Z65NVrPso/1SBxg==" saltValue="jDrNF0JhU0kVp0XlDL1c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2sma0JRZymvLNVWV+E14VErJjIX+HwDsGJkrvj3PGGsVv4I2uu+vEwbZOqjs+yeilZA5CRUNmYabxXZBE2Z0ag==" saltValue="e9B2wshxxUasIHF9xhDUp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2025-07-30T01:16:17Z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