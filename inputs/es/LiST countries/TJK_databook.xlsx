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2B01EA08-12C5-4F4D-B844-5F0A6BAC7527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5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19" i="2" l="1"/>
  <c r="A24" i="2"/>
  <c r="A25" i="2"/>
  <c r="A26" i="2"/>
  <c r="I39" i="2"/>
  <c r="A31" i="2"/>
  <c r="A34" i="2"/>
  <c r="A40" i="2"/>
  <c r="A22" i="2"/>
  <c r="A36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<sst xmlns="http://schemas.openxmlformats.org/spreadsheetml/2006/main" count="2159" uniqueCount="372">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</sst>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1321887.5</v>
      </c>
    </row>
    <row r="8" spans="1:3" ht="15" customHeight="1" x14ac:dyDescent="0.25">
      <c r="B8" s="5" t="s">
        <v>63</v>
      </c>
      <c r="C8" s="44">
        <v>4.8000000000000001E-2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0.78182266235351605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0.49199999999999999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8.7300000000000003E-2</v>
      </c>
    </row>
    <row r="24" spans="1:3" ht="15" customHeight="1" x14ac:dyDescent="0.25">
      <c r="B24" s="15" t="s">
        <v>65</v>
      </c>
      <c r="C24" s="45">
        <v>0.59660000000000002</v>
      </c>
    </row>
    <row r="25" spans="1:3" ht="15" customHeight="1" x14ac:dyDescent="0.25">
      <c r="B25" s="15" t="s">
        <v>66</v>
      </c>
      <c r="C25" s="45">
        <v>0.28710000000000002</v>
      </c>
    </row>
    <row r="26" spans="1:3" ht="15" customHeight="1" x14ac:dyDescent="0.25">
      <c r="B26" s="15" t="s">
        <v>67</v>
      </c>
      <c r="C26" s="45">
        <v>2.9000000000000001E-2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0.32097876330389902</v>
      </c>
    </row>
    <row r="30" spans="1:3" ht="14.25" customHeight="1" x14ac:dyDescent="0.25">
      <c r="B30" s="25" t="s">
        <v>82</v>
      </c>
      <c r="C30" s="99">
        <v>0.11435649369624799</v>
      </c>
    </row>
    <row r="31" spans="1:3" ht="14.25" customHeight="1" x14ac:dyDescent="0.25">
      <c r="B31" s="25" t="s">
        <v>29</v>
      </c>
      <c r="C31" s="99">
        <v>0.128931423055959</v>
      </c>
    </row>
    <row r="32" spans="1:3" ht="14.25" customHeight="1" x14ac:dyDescent="0.25">
      <c r="B32" s="25" t="s">
        <v>30</v>
      </c>
      <c r="C32" s="99">
        <v>0.43573331994389503</v>
      </c>
    </row>
    <row r="33" spans="1:5" ht="13.25" customHeight="1" x14ac:dyDescent="0.25">
      <c r="B33" s="27" t="s">
        <v>79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13.569990000000001</v>
      </c>
    </row>
    <row r="38" spans="1:5" ht="15" customHeight="1" x14ac:dyDescent="0.25">
      <c r="B38" s="11" t="s">
        <v>54</v>
      </c>
      <c r="C38" s="43">
        <v>27.63936</v>
      </c>
      <c r="D38" s="12"/>
      <c r="E38" s="13"/>
    </row>
    <row r="39" spans="1:5" ht="15" customHeight="1" x14ac:dyDescent="0.25">
      <c r="B39" s="11" t="s">
        <v>80</v>
      </c>
      <c r="C39" s="43">
        <v>31.419</v>
      </c>
      <c r="D39" s="12"/>
      <c r="E39" s="12"/>
    </row>
    <row r="40" spans="1:5" ht="15" customHeight="1" x14ac:dyDescent="0.25">
      <c r="B40" s="11" t="s">
        <v>55</v>
      </c>
      <c r="C40" s="100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5.9144999999999996E-3</v>
      </c>
      <c r="D45" s="12"/>
    </row>
    <row r="46" spans="1:5" ht="15.75" customHeight="1" x14ac:dyDescent="0.25">
      <c r="B46" s="11" t="s">
        <v>70</v>
      </c>
      <c r="C46" s="45">
        <v>6.3550899999999994E-2</v>
      </c>
      <c r="D46" s="12"/>
    </row>
    <row r="47" spans="1:5" ht="15.75" customHeight="1" x14ac:dyDescent="0.25">
      <c r="B47" s="11" t="s">
        <v>78</v>
      </c>
      <c r="C47" s="45">
        <v>7.5376799999999994E-2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0.58725400000000005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5.6252946999999998E-2</v>
      </c>
    </row>
    <row r="63" spans="1:4" ht="15.75" customHeight="1" x14ac:dyDescent="0.3">
      <c r="A63" s="4"/>
    </row>
  </sheetData>
  <sheetProtection algorithmName="SHA-512" hashValue="JZJpNlvskQPHgujFoui3qPRaW96DtbkrtGP7zVCb3wJIVfl0ML9pctsv9/7Aig9ag78DvIa8kNNDdrFo/slqxw==" saltValue="laZxqqxlQs3l8Hucw+g7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268304</v>
      </c>
      <c r="C2" s="49">
        <v>471600</v>
      </c>
      <c r="D2" s="49">
        <v>901846.5</v>
      </c>
      <c r="E2" s="49">
        <v>802883</v>
      </c>
      <c r="F2" s="49">
        <v>528153.5</v>
      </c>
      <c r="G2" s="17">
        <f t="shared" ref="G2:G13" si="0">C2+D2+E2+F2</f>
        <v>2704483</v>
      </c>
      <c r="H2" s="17">
        <f t="shared" ref="H2:H13" si="1">(B2 + stillbirth*B2/(1000-stillbirth))/(1-abortion)</f>
        <v>307700.20581600507</v>
      </c>
      <c r="I2" s="17">
        <f t="shared" ref="I2:I13" si="2">G2-H2</f>
        <v>2396782.7941839951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264517</v>
      </c>
      <c r="C3" s="50">
        <v>495339.5</v>
      </c>
      <c r="D3" s="50">
        <v>899718</v>
      </c>
      <c r="E3" s="50">
        <v>816801.5</v>
      </c>
      <c r="F3" s="50">
        <v>550964</v>
      </c>
      <c r="G3" s="17">
        <f t="shared" si="0"/>
        <v>2762823</v>
      </c>
      <c r="H3" s="17">
        <f t="shared" si="1"/>
        <v>303357.14466363611</v>
      </c>
      <c r="I3" s="17">
        <f t="shared" si="2"/>
        <v>2459465.8553363639</v>
      </c>
    </row>
    <row r="4" spans="1:9" ht="15.75" customHeight="1" x14ac:dyDescent="0.25">
      <c r="A4" s="5">
        <f t="shared" si="3"/>
        <v>2026</v>
      </c>
      <c r="B4" s="49">
        <v>261678.99999999997</v>
      </c>
      <c r="C4" s="50">
        <v>521383.00000000006</v>
      </c>
      <c r="D4" s="50">
        <v>897496.5</v>
      </c>
      <c r="E4" s="50">
        <v>827544.5</v>
      </c>
      <c r="F4" s="50">
        <v>576904</v>
      </c>
      <c r="G4" s="17">
        <f t="shared" si="0"/>
        <v>2823328</v>
      </c>
      <c r="H4" s="17">
        <f t="shared" si="1"/>
        <v>300102.42917633132</v>
      </c>
      <c r="I4" s="17">
        <f t="shared" si="2"/>
        <v>2523225.5708236685</v>
      </c>
    </row>
    <row r="5" spans="1:9" ht="15.75" customHeight="1" x14ac:dyDescent="0.25">
      <c r="A5" s="5">
        <f t="shared" si="3"/>
        <v>2027</v>
      </c>
      <c r="B5" s="49">
        <v>259844</v>
      </c>
      <c r="C5" s="50">
        <v>546024</v>
      </c>
      <c r="D5" s="50">
        <v>895833.00000000012</v>
      </c>
      <c r="E5" s="50">
        <v>836319.99999999988</v>
      </c>
      <c r="F5" s="50">
        <v>605101.5</v>
      </c>
      <c r="G5" s="17">
        <f t="shared" si="0"/>
        <v>2883278.5</v>
      </c>
      <c r="H5" s="17">
        <f t="shared" si="1"/>
        <v>297997.98840141791</v>
      </c>
      <c r="I5" s="17">
        <f t="shared" si="2"/>
        <v>2585280.5115985819</v>
      </c>
    </row>
    <row r="6" spans="1:9" ht="15.75" customHeight="1" x14ac:dyDescent="0.25">
      <c r="A6" s="5">
        <f t="shared" si="3"/>
        <v>2028</v>
      </c>
      <c r="B6" s="49">
        <v>259743</v>
      </c>
      <c r="C6" s="50">
        <v>570127.5</v>
      </c>
      <c r="D6" s="50">
        <v>897796.49999999988</v>
      </c>
      <c r="E6" s="50">
        <v>844879.5</v>
      </c>
      <c r="F6" s="50">
        <v>634403</v>
      </c>
      <c r="G6" s="17">
        <f t="shared" si="0"/>
        <v>2947206.5</v>
      </c>
      <c r="H6" s="17">
        <f t="shared" si="1"/>
        <v>297882.15814623196</v>
      </c>
      <c r="I6" s="17">
        <f t="shared" si="2"/>
        <v>2649324.3418537681</v>
      </c>
    </row>
    <row r="7" spans="1:9" ht="15.75" customHeight="1" x14ac:dyDescent="0.25">
      <c r="A7" s="5">
        <f t="shared" si="3"/>
        <v>2029</v>
      </c>
      <c r="B7" s="49">
        <v>260994.00000000003</v>
      </c>
      <c r="C7" s="50">
        <v>594043.5</v>
      </c>
      <c r="D7" s="50">
        <v>905377.5</v>
      </c>
      <c r="E7" s="50">
        <v>853979.49999999988</v>
      </c>
      <c r="F7" s="50">
        <v>663761.50000000012</v>
      </c>
      <c r="G7" s="17">
        <f t="shared" si="0"/>
        <v>3017162</v>
      </c>
      <c r="H7" s="17">
        <f t="shared" si="1"/>
        <v>299316.84774264431</v>
      </c>
      <c r="I7" s="17">
        <f t="shared" si="2"/>
        <v>2717845.1522573559</v>
      </c>
    </row>
    <row r="8" spans="1:9" ht="15.75" customHeight="1" x14ac:dyDescent="0.25">
      <c r="A8" s="5">
        <f t="shared" si="3"/>
        <v>2030</v>
      </c>
      <c r="B8" s="49">
        <v>263946</v>
      </c>
      <c r="C8" s="50">
        <v>616303</v>
      </c>
      <c r="D8" s="50">
        <v>920266.5</v>
      </c>
      <c r="E8" s="50">
        <v>862162</v>
      </c>
      <c r="F8" s="50">
        <v>692134</v>
      </c>
      <c r="G8" s="17">
        <f t="shared" si="0"/>
        <v>3090865.5</v>
      </c>
      <c r="H8" s="17">
        <f t="shared" si="1"/>
        <v>302702.30232986197</v>
      </c>
      <c r="I8" s="17">
        <f t="shared" si="2"/>
        <v>2788163.197670138</v>
      </c>
    </row>
    <row r="9" spans="1:9" ht="15.75" customHeight="1" x14ac:dyDescent="0.25">
      <c r="A9" s="5">
        <f t="shared" si="3"/>
        <v>2031</v>
      </c>
      <c r="B9" s="49">
        <v>267854</v>
      </c>
      <c r="C9" s="50">
        <v>633503.5</v>
      </c>
      <c r="D9" s="50">
        <v>939671.5</v>
      </c>
      <c r="E9" s="50">
        <v>868059</v>
      </c>
      <c r="F9" s="50">
        <v>718408</v>
      </c>
      <c r="G9" s="17">
        <f t="shared" si="0"/>
        <v>3159642</v>
      </c>
      <c r="H9" s="17">
        <f t="shared" si="1"/>
        <v>307184.13042161218</v>
      </c>
      <c r="I9" s="17">
        <f t="shared" si="2"/>
        <v>2852457.8695783876</v>
      </c>
    </row>
    <row r="10" spans="1:9" ht="15.75" customHeight="1" x14ac:dyDescent="0.25">
      <c r="A10" s="5">
        <f t="shared" si="3"/>
        <v>2032</v>
      </c>
      <c r="B10" s="49">
        <v>272195</v>
      </c>
      <c r="C10" s="50">
        <v>644187</v>
      </c>
      <c r="D10" s="50">
        <v>962490</v>
      </c>
      <c r="E10" s="50">
        <v>871231</v>
      </c>
      <c r="F10" s="50">
        <v>741777</v>
      </c>
      <c r="G10" s="17">
        <f t="shared" si="0"/>
        <v>3219685</v>
      </c>
      <c r="H10" s="17">
        <f t="shared" si="1"/>
        <v>312162.53772618936</v>
      </c>
      <c r="I10" s="17">
        <f t="shared" si="2"/>
        <v>2907522.4622738105</v>
      </c>
    </row>
    <row r="11" spans="1:9" ht="15.75" customHeight="1" x14ac:dyDescent="0.25">
      <c r="A11" s="5">
        <f t="shared" si="3"/>
        <v>2033</v>
      </c>
      <c r="B11" s="49">
        <v>277329</v>
      </c>
      <c r="C11" s="50">
        <v>648162.5</v>
      </c>
      <c r="D11" s="50">
        <v>993839</v>
      </c>
      <c r="E11" s="50">
        <v>871099.5</v>
      </c>
      <c r="F11" s="50">
        <v>762075.49999999988</v>
      </c>
      <c r="G11" s="17">
        <f t="shared" si="0"/>
        <v>3275176.5</v>
      </c>
      <c r="H11" s="17">
        <f t="shared" si="1"/>
        <v>318050.38455910789</v>
      </c>
      <c r="I11" s="17">
        <f t="shared" si="2"/>
        <v>2957126.1154408921</v>
      </c>
    </row>
    <row r="12" spans="1:9" ht="15.75" customHeight="1" x14ac:dyDescent="0.25">
      <c r="A12" s="5">
        <f t="shared" si="3"/>
        <v>2034</v>
      </c>
      <c r="B12" s="49">
        <v>282783</v>
      </c>
      <c r="C12" s="50">
        <v>645714</v>
      </c>
      <c r="D12" s="50">
        <v>1033837.5000000001</v>
      </c>
      <c r="E12" s="50">
        <v>869105.5</v>
      </c>
      <c r="F12" s="50">
        <v>779285.5</v>
      </c>
      <c r="G12" s="17">
        <f t="shared" si="0"/>
        <v>3327942.5</v>
      </c>
      <c r="H12" s="17">
        <f t="shared" si="1"/>
        <v>324305.21833915025</v>
      </c>
      <c r="I12" s="17">
        <f t="shared" si="2"/>
        <v>3003637.2816608497</v>
      </c>
    </row>
    <row r="13" spans="1:9" ht="15.75" customHeight="1" x14ac:dyDescent="0.25">
      <c r="A13" s="5">
        <f t="shared" si="3"/>
        <v>2035</v>
      </c>
      <c r="B13" s="49">
        <v>288093</v>
      </c>
      <c r="C13" s="50">
        <v>638177</v>
      </c>
      <c r="D13" s="50">
        <v>1079338.5</v>
      </c>
      <c r="E13" s="50">
        <v>867130.5</v>
      </c>
      <c r="F13" s="50">
        <v>793195.99999999988</v>
      </c>
      <c r="G13" s="17">
        <f t="shared" si="0"/>
        <v>3377842</v>
      </c>
      <c r="H13" s="17">
        <f t="shared" si="1"/>
        <v>330394.9079929869</v>
      </c>
      <c r="I13" s="17">
        <f t="shared" si="2"/>
        <v>3047447.092007013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3oFs07oVuCIp3kmB9RnRzHuEueNQguKYbJcHscDKudnp1nH3OmERm00LwFV40E3tyVu02kj7goYipALUKFaxg==" saltValue="NzbBNqTAAmwPic6n8PTnU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3.0741955489755001E-3</v>
      </c>
    </row>
    <row r="4" spans="1:8" ht="15.75" customHeight="1" x14ac:dyDescent="0.25">
      <c r="B4" s="19" t="s">
        <v>116</v>
      </c>
      <c r="C4" s="101">
        <v>4.5714087306233192E-2</v>
      </c>
    </row>
    <row r="5" spans="1:8" ht="15.75" customHeight="1" x14ac:dyDescent="0.25">
      <c r="B5" s="19" t="s">
        <v>114</v>
      </c>
      <c r="C5" s="101">
        <v>6.2934905662831719E-2</v>
      </c>
    </row>
    <row r="6" spans="1:8" ht="15.75" customHeight="1" x14ac:dyDescent="0.25">
      <c r="B6" s="19" t="s">
        <v>110</v>
      </c>
      <c r="C6" s="101">
        <v>0.20706367546229029</v>
      </c>
    </row>
    <row r="7" spans="1:8" ht="15.75" customHeight="1" x14ac:dyDescent="0.25">
      <c r="B7" s="19" t="s">
        <v>115</v>
      </c>
      <c r="C7" s="101">
        <v>0.45319363919792882</v>
      </c>
    </row>
    <row r="8" spans="1:8" ht="15.75" customHeight="1" x14ac:dyDescent="0.25">
      <c r="B8" s="19" t="s">
        <v>117</v>
      </c>
      <c r="C8" s="101">
        <v>3.9374278179925862E-4</v>
      </c>
    </row>
    <row r="9" spans="1:8" ht="15.75" customHeight="1" x14ac:dyDescent="0.25">
      <c r="B9" s="19" t="s">
        <v>111</v>
      </c>
      <c r="C9" s="101">
        <v>0.12922187821010439</v>
      </c>
    </row>
    <row r="10" spans="1:8" ht="15.75" customHeight="1" x14ac:dyDescent="0.25">
      <c r="B10" s="19" t="s">
        <v>113</v>
      </c>
      <c r="C10" s="101">
        <v>9.8403875829836771E-2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121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2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98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107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118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5.4573182999999997E-2</v>
      </c>
    </row>
    <row r="27" spans="1:8" ht="15.75" customHeight="1" x14ac:dyDescent="0.25">
      <c r="B27" s="19" t="s">
        <v>108</v>
      </c>
      <c r="C27" s="101">
        <v>5.9409878999999999E-2</v>
      </c>
    </row>
    <row r="28" spans="1:8" ht="15.75" customHeight="1" x14ac:dyDescent="0.25">
      <c r="B28" s="19" t="s">
        <v>122</v>
      </c>
      <c r="C28" s="101">
        <v>0.12098242100000001</v>
      </c>
    </row>
    <row r="29" spans="1:8" ht="15.75" customHeight="1" x14ac:dyDescent="0.25">
      <c r="B29" s="19" t="s">
        <v>105</v>
      </c>
      <c r="C29" s="101">
        <v>0.13495797500000001</v>
      </c>
    </row>
    <row r="30" spans="1:8" ht="15.75" customHeight="1" x14ac:dyDescent="0.25">
      <c r="B30" s="19" t="s">
        <v>4</v>
      </c>
      <c r="C30" s="101">
        <v>8.1454253000000018E-2</v>
      </c>
    </row>
    <row r="31" spans="1:8" ht="15.75" customHeight="1" x14ac:dyDescent="0.25">
      <c r="B31" s="19" t="s">
        <v>99</v>
      </c>
      <c r="C31" s="101">
        <v>6.5903797E-2</v>
      </c>
    </row>
    <row r="32" spans="1:8" ht="15.75" customHeight="1" x14ac:dyDescent="0.25">
      <c r="B32" s="19" t="s">
        <v>104</v>
      </c>
      <c r="C32" s="101">
        <v>0.13216685</v>
      </c>
    </row>
    <row r="33" spans="2:3" ht="15.75" customHeight="1" x14ac:dyDescent="0.25">
      <c r="B33" s="19" t="s">
        <v>119</v>
      </c>
      <c r="C33" s="101">
        <v>0.12743632599999999</v>
      </c>
    </row>
    <row r="34" spans="2:3" ht="15.75" customHeight="1" x14ac:dyDescent="0.25">
      <c r="B34" s="19" t="s">
        <v>106</v>
      </c>
      <c r="C34" s="101">
        <v>0.22311531600000001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2sPese083Ty8TjmOlTgkb7F3lcO7dDaRtgx170nj2gEFGlIKiHwtQ6fUnfCQVl6wtU6mVvqKh982O/0k6XD8/g==" saltValue="AQlmZLO4e03u/g1OgA4q8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129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125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126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138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0.50674149000000002</v>
      </c>
      <c r="D14" s="54">
        <v>0.482549529468</v>
      </c>
      <c r="E14" s="54">
        <v>0.482549529468</v>
      </c>
      <c r="F14" s="54">
        <v>0.36602033348399998</v>
      </c>
      <c r="G14" s="54">
        <v>0.36602033348399998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0.29758596696846001</v>
      </c>
      <c r="D15" s="52">
        <f t="shared" si="0"/>
        <v>0.28337914137820092</v>
      </c>
      <c r="E15" s="52">
        <f t="shared" si="0"/>
        <v>0.28337914137820092</v>
      </c>
      <c r="F15" s="52">
        <f t="shared" si="0"/>
        <v>0.21494690491981294</v>
      </c>
      <c r="G15" s="52">
        <f t="shared" si="0"/>
        <v>0.21494690491981294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j1QiyyRwyhoUsrn9Oq6Jm/tCXYiIBJspAmaPH8ItzskgXbVm2klubMqClIUdkmJLO0XxEanzXlg9csU8nxbhw==" saltValue="0C5woDVD+qbY20b30VZO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5.6723700000000044E-2</v>
      </c>
      <c r="D5" s="52">
        <f t="shared" si="0"/>
        <v>4.6961999999999948E-2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UQw84uIskckbo9+e/nnBTaIe6fT48nb6EewXZgFaWxBeYtUwOAmp0Zv5IufZbAKIr7zusVoGqkj9y5MaMDTegQ==" saltValue="nW9etbr0+CTcioAQ7xrse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hcAyK3GhsL9klG3OvHJYelTvG0SqI1mttgt+04eynUXZRQMOMADJyAtIV7gwJKBf5tPv+ZjI8WYMRVD6yo+8w==" saltValue="b3S1JC3STstJAyHdkY/gs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1054.1894835881801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0.17865999999999999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0.32600000000000001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8.1272193839505378E-3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96573.966010000004</v>
      </c>
      <c r="C22" s="109">
        <v>96512.598450000005</v>
      </c>
      <c r="D22" s="109">
        <v>96432.035940000002</v>
      </c>
      <c r="E22" s="109">
        <v>96175.076390000002</v>
      </c>
      <c r="F22" s="109">
        <v>95748.808359999995</v>
      </c>
      <c r="G22" s="109">
        <v>95198.344729999997</v>
      </c>
      <c r="H22" s="109">
        <v>94460.213629999998</v>
      </c>
      <c r="I22" s="109">
        <v>93455.357759999999</v>
      </c>
      <c r="J22" s="109">
        <v>92092.716029999996</v>
      </c>
      <c r="K22" s="109">
        <v>90191.900729999994</v>
      </c>
      <c r="L22" s="109">
        <v>87339.930540000001</v>
      </c>
      <c r="M22" s="109">
        <v>82470.904850000006</v>
      </c>
      <c r="N22" s="109">
        <v>74573.654980000007</v>
      </c>
      <c r="O22" s="109">
        <v>62164.626470000003</v>
      </c>
    </row>
  </sheetData>
  <sheetProtection algorithmName="SHA-512" hashValue="BvKCkBcgNfO7xZ3GMQBb6E5MKVtwFYwZVHUQxNE5pad2R+FXNZnVUmqwIW9pGdQF+wdt3a/9fjmmHtQ8xrZPSg==" saltValue="n2u2PvNY0cxBGgMyLTrW8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rTeALupI1sExMxpEC8D2RHxeo3VVO5OayOCI+TlBc7ZaXvzVfNRpRnQRxJdVlsPDRl6cFf0twnbPWIHpEblgVg==" saltValue="Pm9q6iTeFx5/Lg+ICbtJd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zx4dLbMRvZ9+KIiuXq6HySILP/UxiNheHYCZRJ0QO3fh2E1X7H6ihd5B9iu2vnV9GUwXb3whOM5JRigv2GMNJA==" saltValue="YRUoY9LjQEc7IWbzo/C/c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4.2670522006141258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4.2670522006141258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10.488843398157627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0.40525076765609014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2.19022E-2</v>
      </c>
      <c r="C10" s="98">
        <v>0.95</v>
      </c>
      <c r="D10" s="56">
        <v>14.201250215462901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14.201250215462901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14.201250215462901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14.201250215462901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2.19022E-2</v>
      </c>
      <c r="C14" s="98">
        <v>0.95</v>
      </c>
      <c r="D14" s="56">
        <v>14.201250215462901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14.201250215462901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0.31436900000000001</v>
      </c>
      <c r="C18" s="98">
        <v>0.95</v>
      </c>
      <c r="D18" s="56">
        <v>10.488843398157627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0.31436900000000001</v>
      </c>
      <c r="C19" s="98">
        <v>0.95</v>
      </c>
      <c r="D19" s="56">
        <v>1.935478791236098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10.488843398157627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1.96765E-2</v>
      </c>
      <c r="C23" s="98">
        <v>0.95</v>
      </c>
      <c r="D23" s="56">
        <v>4.6661477823845638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0.63038645218564004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0.17199999999999999</v>
      </c>
      <c r="C26" s="98">
        <v>0.95</v>
      </c>
      <c r="D26" s="56">
        <v>6.8296673490276367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9.1419805527123863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0.61705699999999997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0.22507530000000001</v>
      </c>
      <c r="C29" s="98">
        <v>0.95</v>
      </c>
      <c r="D29" s="56">
        <v>64.905462330614313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160.90839303991814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0.93</v>
      </c>
      <c r="C32" s="98">
        <v>0.95</v>
      </c>
      <c r="D32" s="56">
        <v>1.5614073694984649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0.72953559999999995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0.52023419999999998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2.6733799999999999E-2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0.65150499999999989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0.14199999999999999</v>
      </c>
      <c r="C38" s="98">
        <v>0.95</v>
      </c>
      <c r="D38" s="56">
        <v>2.8248362333674519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wCScRRDlldapE0nGhbsRd2mOyo4eyvvaMTa2c8+qDshX5NHn3BWvr72E8+JnT28IRYvSGXTEOtQxZAbSHoIFyg==" saltValue="yvdUbWLVna2vrI9H0H01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6OLsJgzC2p2C6k/1S7vnASPG73v/KdpVXp3Ef2TdPt928n3fh76Gg3jfWD350VEwbUBjACuB9lCnQw08j6gjMQ==" saltValue="JdmHDIHOHWht1E1W9qHe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7QNgFsTFG2Fa0QuAE/qrxdjF+Xj3JOpEUuYYPB8xGlvpxWiVyLQu4JUwFCGiX95WNwFktsflDqPTCC/RegYDA==" saltValue="T0xXcOl7N/eQy67/i/mKl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236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TD6UTF/9iwkIFuoTgfWkLgMfPiL17s7leXz6yAeE4TwiBgbmiKvcAs8yt9zlsI6k7PxZb2xXwZIQvjj0SHAoxQ==" saltValue="CespD2vhL1O99IxlcuBoF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0.49199999999999999</v>
      </c>
      <c r="M24" s="60">
        <f>famplan_unmet_need</f>
        <v>0.49199999999999999</v>
      </c>
      <c r="N24" s="60">
        <f>famplan_unmet_need</f>
        <v>0.49199999999999999</v>
      </c>
      <c r="O24" s="60">
        <f>famplan_unmet_need</f>
        <v>0.49199999999999999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0.10910612301025369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4.6759767004394437E-2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6.2311447631835805E-2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0.78182266235351605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sIdXlJR6ZXHNRvtID0lGiJeGAeqk3E2iyk4usrLIRXWJY5vL2ZcTLHiV0jpCnNKnXH891ROTzMBaLIckq8/Qw==" saltValue="ha+w2zqQchbIH5pn4oCH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ajpMV1fIbIVDCn5e21qKT8IX+pdpRNVMiotJpvXhVGCgpxZv+SGh8t8vGF5hSzvKR5Jg/xYSHigAYHpSefcfyQ==" saltValue="+JIIZPcZVIoqMT6N77+iR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tO+xlXHXUVQusKWqLMlR6hGEKHIK3y/2bkaBkSQHaVbrgZia4lQQ5L5Oqxam3bfw18EEG+M3unZacD5aLtQNg==" saltValue="nkBxgYUlktlXj158yeoM5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tCsdyd6CTN+4DZ568G0DX3Z4yL/CVb4cQC8lCNgPXXoPEl9AtZhT2GqPILqp1wcj60CfDCOMXCw2z7fjEpv4Q==" saltValue="d2YeoqPCoQupfgc0O0vBb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rJ/yIQaJNho8hZrsTwy14w+9J5RABq81q4xpPsNIvswgKBWPuabDs/SdK/7YBsmM2ODwzk4rNkchpsTAkuj9Yw==" saltValue="aq6YSrV78glsAH6Tlccdh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S2/5JYSAIARLKPqIOIIw0wJdHdMe+HFT/mgxZIL6vfCepoa6aJhFSpxArhWjbvxQz0VdPDEe63RsikLyYyutLg==" saltValue="xKk+kMnFoErnj0viSZ8sq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AT8oSRtnyVwlywJnYl/JbIbJzavH/gPR1/JvYxGnMX/0QKrixYRhaPGvHhrFBbPYVFi3jw4GZFwjzRKm2JR8w==" saltValue="2kpABVJwhGXLFDbUP6nNl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+0Va44c5H30RaGPTPm0jhsSwgZFVVIoX5jHZcYdZ0rIuQIy/pBWCvLrckA3IdnrLnBQ7iu0bgT/N3VFQluyMuA==" saltValue="8pJUa8HEMTuYo4aCIMZ2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os6NGo+7JQFO9tNcN4OcBItdK/CdC6GYhxv3UoslIjI0GrUIfSPGarLFSaENAZviYw/btLhEoEJbqSa0qdSeqA==" saltValue="wk0J33FeuGaMhHQljKR4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JcO+XPd5/db2a7tAe4N3BDZJ+FcbaqbFsYo3KtIcAuMpfw7r6UxFfBFcsEgIjsBsb84CAclfMF+/2pAT5pZxQ==" saltValue="rV9JpjXA8xVybAUtyy7g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6uBNif/H5izCLmfg3BkBmCqXvHQCf38Hu8XOE1pY/IbCTniyaXIGgeuHscD43MCL5GnCmuZdBAsHDwFJPaNGQ==" saltValue="HROCmzNMDH5+0WDJjkuO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2DA9IgTLSa72OXA8CVdj7OQFgktr/AVQatMXyZzBZYjkhXDaSkMmcu4X+jz3Qb7fYtoKnFORgoEQ3oRw9X96og==" saltValue="L1P6uQhsxCR5HFb2u1QN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CodJ+1pSWqhvDFDMtYf47Nqbsw4yBH4Jbq0N6+ZZNLxJSo4d5qyfdJA0o4f7rFHCHqK+gEGNz83JlLk4DYMkw==" saltValue="O/Sfzmw+gmpvS326RXnW1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6ZsrxVcueRh+5Tm0JWXKDMS46BlR4wGquSE52uUnEgK7BB56JElWMubLBA9ZrkIMfUNVOufNAte2WNEQdbsdg==" saltValue="gzvuQaasA2Y/GRtiLoh7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62tkIzyL50O1KRFKOwEnl430f1IPxF/kSB/EZxuNwYAg5hxWXwrEM6NjSXTBDMaHQVkBTShR8TSxiwqCBM1Yzw==" saltValue="BHBGFm6TtFW/JC68pikPT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