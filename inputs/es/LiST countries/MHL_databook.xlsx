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5335986A-0FF5-4C32-A588-C28F82187E9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6" i="2"/>
  <c r="A34" i="2"/>
  <c r="A31" i="2"/>
  <c r="A26" i="2"/>
  <c r="A24" i="2"/>
  <c r="A19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40" i="2" l="1"/>
  <c r="I6" i="2"/>
  <c r="I12" i="2"/>
  <c r="A35" i="2"/>
  <c r="I38" i="2"/>
  <c r="A22" i="2"/>
  <c r="I3" i="2"/>
  <c r="I9" i="2"/>
  <c r="A23" i="2"/>
  <c r="I4" i="2"/>
  <c r="A25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<sst xmlns="http://schemas.openxmlformats.org/spreadsheetml/2006/main" count="2169" uniqueCount="373">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</sst>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3702</v>
      </c>
    </row>
    <row r="8" spans="1:3" ht="15" customHeight="1" x14ac:dyDescent="0.25">
      <c r="B8" s="5" t="s">
        <v>63</v>
      </c>
      <c r="C8" s="44">
        <v>7.2000000000000008E-2</v>
      </c>
    </row>
    <row r="9" spans="1:3" ht="15" customHeight="1" x14ac:dyDescent="0.25">
      <c r="B9" s="5" t="s">
        <v>62</v>
      </c>
      <c r="C9" s="45">
        <v>0.9</v>
      </c>
    </row>
    <row r="10" spans="1:3" ht="15" customHeight="1" x14ac:dyDescent="0.25">
      <c r="B10" s="5" t="s">
        <v>75</v>
      </c>
      <c r="C10" s="45">
        <v>0.5842967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3.4700000000000002E-2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0.44009999999999999</v>
      </c>
    </row>
    <row r="26" spans="1:3" ht="15" customHeight="1" x14ac:dyDescent="0.25">
      <c r="B26" s="15" t="s">
        <v>67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0.18152033947509999</v>
      </c>
    </row>
    <row r="30" spans="1:3" ht="14.25" customHeight="1" x14ac:dyDescent="0.25">
      <c r="B30" s="25" t="s">
        <v>82</v>
      </c>
      <c r="C30" s="97">
        <v>6.3697307314517504E-2</v>
      </c>
    </row>
    <row r="31" spans="1:3" ht="14.25" customHeight="1" x14ac:dyDescent="0.25">
      <c r="B31" s="25" t="s">
        <v>29</v>
      </c>
      <c r="C31" s="97">
        <v>0.122289508790448</v>
      </c>
    </row>
    <row r="32" spans="1:3" ht="14.25" customHeight="1" x14ac:dyDescent="0.25">
      <c r="B32" s="25" t="s">
        <v>30</v>
      </c>
      <c r="C32" s="97">
        <v>0.63249284441993503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33.42812</v>
      </c>
    </row>
    <row r="38" spans="1:5" ht="15" customHeight="1" x14ac:dyDescent="0.25">
      <c r="B38" s="11" t="s">
        <v>54</v>
      </c>
      <c r="C38" s="43">
        <v>61.631399999999999</v>
      </c>
      <c r="D38" s="12"/>
      <c r="E38" s="13"/>
    </row>
    <row r="39" spans="1:5" ht="15" customHeight="1" x14ac:dyDescent="0.25">
      <c r="B39" s="11" t="s">
        <v>80</v>
      </c>
      <c r="C39" s="43">
        <v>97.066919999999996</v>
      </c>
      <c r="D39" s="12"/>
      <c r="E39" s="12"/>
    </row>
    <row r="40" spans="1:5" ht="15" customHeight="1" x14ac:dyDescent="0.25">
      <c r="B40" s="11" t="s">
        <v>55</v>
      </c>
      <c r="C40" s="98">
        <v>4.4000000000000004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78</v>
      </c>
      <c r="C47" s="45">
        <v>7.6044899999999999E-2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0.40586299999999997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KZzvPXq0qnvGJxnGNrSXeppK99NJ3VRM+/Q+Q5IZpsDG6LoT+DLs3qtnK3p+aqutXKoJRoCAyJ1qKUXNUmAbQ==" saltValue="Z2r9N2qhy3ohOcl0ORdI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QIhWVGB6NrJWGvbsOM/W1aXdmaEYr6cPhAKDwS1kXEqZwCPtMayHRDSR2cmV6IQYwQftE5+H5bPcq0aanS2Wg==" saltValue="0cZpAd0B+QHvd5KjZsyj3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2.5390799999999981E-2</v>
      </c>
    </row>
    <row r="4" spans="1:8" ht="15.75" customHeight="1" x14ac:dyDescent="0.25">
      <c r="B4" s="19" t="s">
        <v>116</v>
      </c>
      <c r="C4" s="99">
        <v>6.3736599999999907E-2</v>
      </c>
    </row>
    <row r="5" spans="1:8" ht="15.75" customHeight="1" x14ac:dyDescent="0.25">
      <c r="B5" s="19" t="s">
        <v>114</v>
      </c>
      <c r="C5" s="99">
        <v>0.1035504000000001</v>
      </c>
    </row>
    <row r="6" spans="1:8" ht="15.75" customHeight="1" x14ac:dyDescent="0.25">
      <c r="B6" s="19" t="s">
        <v>110</v>
      </c>
      <c r="C6" s="99">
        <v>0.24952009999999991</v>
      </c>
    </row>
    <row r="7" spans="1:8" ht="15.75" customHeight="1" x14ac:dyDescent="0.25">
      <c r="B7" s="19" t="s">
        <v>115</v>
      </c>
      <c r="C7" s="99">
        <v>0.38443950000000021</v>
      </c>
    </row>
    <row r="8" spans="1:8" ht="15.75" customHeight="1" x14ac:dyDescent="0.25">
      <c r="B8" s="19" t="s">
        <v>117</v>
      </c>
      <c r="C8" s="99">
        <v>6.0205000000000067E-3</v>
      </c>
    </row>
    <row r="9" spans="1:8" ht="15.75" customHeight="1" x14ac:dyDescent="0.25">
      <c r="B9" s="19" t="s">
        <v>111</v>
      </c>
      <c r="C9" s="99">
        <v>5.4902399999999983E-2</v>
      </c>
    </row>
    <row r="10" spans="1:8" ht="15.75" customHeight="1" x14ac:dyDescent="0.25">
      <c r="B10" s="19" t="s">
        <v>113</v>
      </c>
      <c r="C10" s="99">
        <v>0.11243969999999991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121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2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109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3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120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98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107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118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8.8798472000000003E-2</v>
      </c>
    </row>
    <row r="27" spans="1:8" ht="15.75" customHeight="1" x14ac:dyDescent="0.25">
      <c r="B27" s="19" t="s">
        <v>108</v>
      </c>
      <c r="C27" s="99">
        <v>8.9405939999999996E-3</v>
      </c>
    </row>
    <row r="28" spans="1:8" ht="15.75" customHeight="1" x14ac:dyDescent="0.25">
      <c r="B28" s="19" t="s">
        <v>122</v>
      </c>
      <c r="C28" s="99">
        <v>0.15585153099999999</v>
      </c>
    </row>
    <row r="29" spans="1:8" ht="15.75" customHeight="1" x14ac:dyDescent="0.25">
      <c r="B29" s="19" t="s">
        <v>105</v>
      </c>
      <c r="C29" s="99">
        <v>0.170199079</v>
      </c>
    </row>
    <row r="30" spans="1:8" ht="15.75" customHeight="1" x14ac:dyDescent="0.25">
      <c r="B30" s="19" t="s">
        <v>4</v>
      </c>
      <c r="C30" s="99">
        <v>0.10628299300000001</v>
      </c>
    </row>
    <row r="31" spans="1:8" ht="15.75" customHeight="1" x14ac:dyDescent="0.25">
      <c r="B31" s="19" t="s">
        <v>99</v>
      </c>
      <c r="C31" s="99">
        <v>0.108972139</v>
      </c>
    </row>
    <row r="32" spans="1:8" ht="15.75" customHeight="1" x14ac:dyDescent="0.25">
      <c r="B32" s="19" t="s">
        <v>104</v>
      </c>
      <c r="C32" s="99">
        <v>1.8807035E-2</v>
      </c>
    </row>
    <row r="33" spans="2:3" ht="15.75" customHeight="1" x14ac:dyDescent="0.25">
      <c r="B33" s="19" t="s">
        <v>119</v>
      </c>
      <c r="C33" s="99">
        <v>8.4353397999999996E-2</v>
      </c>
    </row>
    <row r="34" spans="2:3" ht="15.75" customHeight="1" x14ac:dyDescent="0.25">
      <c r="B34" s="19" t="s">
        <v>106</v>
      </c>
      <c r="C34" s="99">
        <v>0.25779475800000001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UeigahkGmTF72b3/3UZQsfj9oRTTb3EISnUMabSvlcqKoZU8xNsIK8PsxC0ZwTJmvpd0dGua0hhkHQcb59vq4g==" saltValue="r2e9CmdaG2WzNi7+/0JB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129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125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126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8PdCbMmI/egQLDhm9KeNBOOXh1ph3/Ov39uPlCiyDQe35xdRUGlW0pGRC8V9pQYVYYWcfxSmhvtZdq9Xhr0zQ==" saltValue="lOk5rtXX1/yyU52pVEsn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Y2ZGqocGFnb3DUUdG7e5LYX/CxAHs40zZ8rxaFyOCESVtuBCINFzpOdLnDZ/kx2ZPe2wQ/9bn97N//JRd6oLYw==" saltValue="psDeGu1SfIXnl3ABwkMRA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9dix0DyMcpL7h8g6Zdlfb1hb4d6qcHzuhQdacXwKXGkOLI4VH7miJXvWRBButC292bJP975HvqYvEoqBvSF9w==" saltValue="fIf350lL4DAfFnZTBkqn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6225.1792224411502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0.48199999999999998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1.8910499027524799E-2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59902.527269999999</v>
      </c>
      <c r="O22" s="107">
        <v>59902.527269999999</v>
      </c>
    </row>
  </sheetData>
  <sheetProtection algorithmName="SHA-512" hashValue="Ze0o/PfR+37J3ARXC72M0QOyumaMXPg+qBWizjzXHPzQrk92PgMyumHlGetPNEfseKzm06vwz/hPTI1wFaD6fA==" saltValue="Q0Ymm0bzyJvJT/nLTalY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lrcJ62zpGnabZPLP/daPomXThhaFOlvRqJoeNw6bdYo+hLevlkxS1xsqm001kZl82t4BbLMKdW67ZcwaqhiWg==" saltValue="WbtNSpRnwuHS1lStK2gi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i4SVJ9H/dPInDn5utYDXtbctUWpiPQ1SqCl49NrXrggsm1Tsw69JAfOrJxYMipqE3Smyr4aGrLEqVG+GHJhgg==" saltValue="dDzqWXNNfLPogDN6LyVG0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1.1645825935762411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0.28031230000000001</v>
      </c>
      <c r="C10" s="96">
        <v>0.95</v>
      </c>
      <c r="D10" s="56">
        <v>12.99613066460511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12.99613066460511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12.99613066460511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12.99613066460511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0.28031230000000001</v>
      </c>
      <c r="C14" s="96">
        <v>0.95</v>
      </c>
      <c r="D14" s="56">
        <v>12.99613066460511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12.99613066460511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0.7607335999999999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0.12279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0.34721740000000001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0.34721740000000001</v>
      </c>
      <c r="C19" s="96">
        <v>0.95</v>
      </c>
      <c r="D19" s="56">
        <v>3.11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0.85079989999999994</v>
      </c>
      <c r="C23" s="96">
        <v>0.95</v>
      </c>
      <c r="D23" s="56">
        <v>4.2693071752319298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0.47779756487578001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0.21443380000000001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0.2174344</v>
      </c>
      <c r="C29" s="96">
        <v>0.95</v>
      </c>
      <c r="D29" s="56">
        <v>20.363404650299319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0.41820000000000002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0.85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0.17300869999999999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0.64071500000000003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4.764E-3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0.52630830000000006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0.15360070000000001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s/dI8GL/m5yTfmJN7opCLTt9mg+HkDXJHvAlTb64B/62XoR3H7caLaSC4Xqa0p3v4E5ChRLtugetmV9SXnhVeg==" saltValue="JrrbhU4d1wn1gSN9PDLJ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SF0RzlqGsqWU3zVomN1hPcB7kNm5rU0hyi97Yn+9msWYXOIonzH+9hBQLopF+yuRkGMrDelh37CsYyzO4Pg+g==" saltValue="sDJ1x9oozCOnxVX//JNy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cZXUZC2vB/6L2J/IhKBgknlDiAX4fEeGKccpQ6cEi8L5iFavBCVE28OkLefiocrk+btCJRkfmPxKKx++kfLmA==" saltValue="C3kM713Ha9lrZcwzqZo+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236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eBsNPtaqPwLb8KYuF9mHRPqjkwy5B0Ok27dvEz3SVpx1yYuepVRIyZxHJ6bYgsv9LPex2wSMOebG/EoP0MQ0gQ==" saltValue="a14+ZxXBLEy5kbhAefZz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7.2000000000000008E-2</v>
      </c>
      <c r="F2" s="60">
        <f>food_insecure</f>
        <v>7.2000000000000008E-2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7.2000000000000008E-2</v>
      </c>
      <c r="F5" s="60">
        <f>food_insecure</f>
        <v>7.2000000000000008E-2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7.2000000000000008E-2</v>
      </c>
      <c r="F8" s="60">
        <f>food_insecure</f>
        <v>7.2000000000000008E-2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7.2000000000000008E-2</v>
      </c>
      <c r="F9" s="60">
        <f>food_insecure</f>
        <v>7.2000000000000008E-2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7.2000000000000008E-2</v>
      </c>
      <c r="I15" s="60">
        <f t="shared" si="0"/>
        <v>7.2000000000000008E-2</v>
      </c>
      <c r="J15" s="60">
        <f t="shared" si="0"/>
        <v>7.2000000000000008E-2</v>
      </c>
      <c r="K15" s="60">
        <f t="shared" si="0"/>
        <v>7.2000000000000008E-2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7.2000000000000008E-2</v>
      </c>
      <c r="I16" s="60">
        <f t="shared" si="0"/>
        <v>7.2000000000000008E-2</v>
      </c>
      <c r="J16" s="60">
        <f t="shared" si="0"/>
        <v>7.2000000000000008E-2</v>
      </c>
      <c r="K16" s="60">
        <f t="shared" si="0"/>
        <v>7.2000000000000008E-2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0.209980050896</v>
      </c>
      <c r="M25" s="60">
        <f>(1-food_insecure)*(0.49)+food_insecure*(0.7)</f>
        <v>0.50512000000000001</v>
      </c>
      <c r="N25" s="60">
        <f>(1-food_insecure)*(0.49)+food_insecure*(0.7)</f>
        <v>0.50512000000000001</v>
      </c>
      <c r="O25" s="60">
        <f>(1-food_insecure)*(0.49)+food_insecure*(0.7)</f>
        <v>0.50512000000000001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8.9991450383999999E-2</v>
      </c>
      <c r="M26" s="60">
        <f>(1-food_insecure)*(0.21)+food_insecure*(0.3)</f>
        <v>0.21647999999999998</v>
      </c>
      <c r="N26" s="60">
        <f>(1-food_insecure)*(0.21)+food_insecure*(0.3)</f>
        <v>0.21647999999999998</v>
      </c>
      <c r="O26" s="60">
        <f>(1-food_insecure)*(0.21)+food_insecure*(0.3)</f>
        <v>0.21647999999999998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0.11573179871999999</v>
      </c>
      <c r="M27" s="60">
        <f>(1-food_insecure)*(0.3)</f>
        <v>0.27839999999999998</v>
      </c>
      <c r="N27" s="60">
        <f>(1-food_insecure)*(0.3)</f>
        <v>0.27839999999999998</v>
      </c>
      <c r="O27" s="60">
        <f>(1-food_insecure)*(0.3)</f>
        <v>0.27839999999999998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0.5842967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LfISx2BgtYUAoOLkWLBEjQy3XbMR2J7W0v/zCMmp3Fzf0OA1fZCkaLEh0QSssaBrvMYnRaheLauy/eLUapGNQ==" saltValue="enKRsyK02i5M9Jj27EJT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XMSKqiJDwJk045C9Qljn88aBPiVj/c5V0IPFXS/Q5xazWrqIpI4jxCSps/FwvnFx44ux7WVu0FpctGJxaiAtg==" saltValue="uH9IS2NqFvN2e8bgVlXR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NjqwJUq+flr4aDauTKtn6Y4iGaLszOzvOmD0XBCYE9lb8GvVFiXC5qOpv7ul4AeKZxi+dzpCrWNIYluQPJH4A==" saltValue="DIJQHhOe5LlCPkXvfL4DP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2Q2b4RDvmGKB40hues1jOLTwErt/B9PyGBEct3h5UdAvL0k/t6BmtgysOimbQGfGheWM2I5KYsAFTdCM7cBsQ==" saltValue="EASynltLtjr9fRhGltxz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ujz4mBmgS3vsGwNm5oZz2wgGbj6dqCZJV/qkcBD//LqmApWpFKo84QdNVZAPRYwP7o5FJDEVzrrJiJNDrzFA4g==" saltValue="zUsNtIOLKk5RiXWNunqQ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48jppJpRMNe9IuL/V13Wr7kJSJD6PB42hvfRkNj3I2VwaCnoNeHTYNc6YuOgG9zh/TBushwCfrhKQB3FkSjEtA==" saltValue="FRTcBWYEvf/eCajmq9u5+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I33im1BFMfWH54OwzMscEJ9B24V9NE7Cgh3aqjGA9Z28XWpnYjQ+PkcrCB122i8yg+CsVaaPyJLuOPf8t1ogg==" saltValue="HfuU08S8uxSSDneCdHdU/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W3Q4knWb3xTbsPdlb4TSgQnOpfZdQkeEuyGMTiBZBNjRIeCv36zMd0GJuCvVuoJjdwULlfAyEIhftcSwVD6/A==" saltValue="duuTs/lXyI0qO8J94CkX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7SeqrtOQfb4b2RnfaEq90zwS80Gvj8WYYapeAbDPsoVV7qKBkcj54eeB7pj/I56yM8MJFewZRSrwEd2FiLbdA==" saltValue="18YREDyP9HQ1SN6E1Cec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vBdOLLJY7SuaaRlQ3i3ao6X75KjFuehMYsu0IjnNCbN/5eFM6A80mOT5q55K06e/2IsElZVbKquJbu+NmeVGA==" saltValue="DlxgPI2jU8UZx0281Vkm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VFU2u43rvZtcX7XpxBzj6EYIxSHmsvCG8TuEx2qmmmqPyopxRbq/TtbRpNa5+S0CUvVKR/wRGTNv446oZWR8w==" saltValue="9RXrDseUUoBypuTF9NWI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I8eIKZx2VaWcgyyAYPiZ66E46VjTHw5U3H8GtcV7NsOXPhJZbj30v2dA3K+jJ6XNjDBa2g0GeH+r3wjMPgriw==" saltValue="Hdhz6udhq5qGSO+4Vpg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FQS26lmexfLv2/OS6e/SmXItCHHTAyY/B3spzqW3QsN3MQ/A0cv6jdeoMH2Dk6tdLaTTIW3J5VW5gwgT2vkSw==" saltValue="E038aAzF9ajTo7InRY38+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7nNTbNgJlLFF9qfd43ass6D+uDeOAfaWX2ZCl4esL6SLskQpBoVXskGlJ1IfYeFILbr2uRBcpRawLFIHmiSu2A==" saltValue="+UJSs40/y4JHIkfxnj1Z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y4V37ancrJsG95GjJCUnL41bjHuwmF4PfD28F36T2qa71SriSjZfyKQrjEwz3z63YJZX114lMPkAWjaRg0W/w==" saltValue="QPZ3lG3G+Pa92ejTMWr7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