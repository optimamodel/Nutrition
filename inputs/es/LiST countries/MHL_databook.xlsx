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13_ncr:1_{009623F6-7B8C-4C12-A632-B8B79D404D6C}" xr6:coauthVersionLast="47" xr6:coauthVersionMax="47" xr10:uidLastSave="{00000000-0000-0000-0000-000000000000}"/>
  <bookViews>
    <workbookView xWindow="-110" yWindow="-110" windowWidth="19420" windowHeight="10420" tabRatio="961" firstSheet="4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A37" i="2"/>
  <c r="A36" i="2"/>
  <c r="A35" i="2"/>
  <c r="A24" i="2"/>
  <c r="H13" i="2"/>
  <c r="G13" i="2"/>
  <c r="I13" i="2" s="1"/>
  <c r="H12" i="2"/>
  <c r="G12" i="2"/>
  <c r="I12" i="2" s="1"/>
  <c r="H11" i="2"/>
  <c r="G11" i="2"/>
  <c r="H10" i="2"/>
  <c r="G10" i="2"/>
  <c r="H9" i="2"/>
  <c r="G9" i="2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19" i="2" l="1"/>
  <c r="A22" i="2"/>
  <c r="I11" i="2"/>
  <c r="A23" i="2"/>
  <c r="A25" i="2"/>
  <c r="A26" i="2"/>
  <c r="I39" i="2"/>
  <c r="I3" i="2"/>
  <c r="I9" i="2"/>
  <c r="A31" i="2"/>
  <c r="A34" i="2"/>
  <c r="A40" i="2"/>
  <c r="I2" i="2"/>
  <c r="I6" i="2"/>
  <c r="I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<sst xmlns="http://schemas.openxmlformats.org/spreadsheetml/2006/main" count="2159" uniqueCount="372">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</sst>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3702</v>
      </c>
    </row>
    <row r="8" spans="1:3" ht="15" customHeight="1" x14ac:dyDescent="0.25">
      <c r="B8" s="5" t="s">
        <v>63</v>
      </c>
      <c r="C8" s="44">
        <v>7.2000000000000008E-2</v>
      </c>
    </row>
    <row r="9" spans="1:3" ht="15" customHeight="1" x14ac:dyDescent="0.25">
      <c r="B9" s="5" t="s">
        <v>62</v>
      </c>
      <c r="C9" s="45">
        <v>0.9</v>
      </c>
    </row>
    <row r="10" spans="1:3" ht="15" customHeight="1" x14ac:dyDescent="0.25">
      <c r="B10" s="5" t="s">
        <v>75</v>
      </c>
      <c r="C10" s="45">
        <v>0.5842967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8.1000000000000003E-2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3.4700000000000002E-2</v>
      </c>
    </row>
    <row r="24" spans="1:3" ht="15" customHeight="1" x14ac:dyDescent="0.25">
      <c r="B24" s="15" t="s">
        <v>65</v>
      </c>
      <c r="C24" s="45">
        <v>0.47039999999999998</v>
      </c>
    </row>
    <row r="25" spans="1:3" ht="15" customHeight="1" x14ac:dyDescent="0.25">
      <c r="B25" s="15" t="s">
        <v>66</v>
      </c>
      <c r="C25" s="45">
        <v>0.44009999999999999</v>
      </c>
    </row>
    <row r="26" spans="1:3" ht="15" customHeight="1" x14ac:dyDescent="0.25">
      <c r="B26" s="15" t="s">
        <v>67</v>
      </c>
      <c r="C26" s="45">
        <v>5.4799999999999988E-2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0.18152033947509999</v>
      </c>
    </row>
    <row r="30" spans="1:3" ht="14.25" customHeight="1" x14ac:dyDescent="0.25">
      <c r="B30" s="25" t="s">
        <v>82</v>
      </c>
      <c r="C30" s="99">
        <v>6.3697307314517504E-2</v>
      </c>
    </row>
    <row r="31" spans="1:3" ht="14.25" customHeight="1" x14ac:dyDescent="0.25">
      <c r="B31" s="25" t="s">
        <v>29</v>
      </c>
      <c r="C31" s="99">
        <v>0.122289508790448</v>
      </c>
    </row>
    <row r="32" spans="1:3" ht="14.25" customHeight="1" x14ac:dyDescent="0.25">
      <c r="B32" s="25" t="s">
        <v>30</v>
      </c>
      <c r="C32" s="99">
        <v>0.63249284441993503</v>
      </c>
    </row>
    <row r="33" spans="1:5" ht="13.25" customHeight="1" x14ac:dyDescent="0.25">
      <c r="B33" s="27" t="s">
        <v>79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33.42812</v>
      </c>
    </row>
    <row r="38" spans="1:5" ht="15" customHeight="1" x14ac:dyDescent="0.25">
      <c r="B38" s="11" t="s">
        <v>54</v>
      </c>
      <c r="C38" s="43">
        <v>61.631399999999999</v>
      </c>
      <c r="D38" s="12"/>
      <c r="E38" s="13"/>
    </row>
    <row r="39" spans="1:5" ht="15" customHeight="1" x14ac:dyDescent="0.25">
      <c r="B39" s="11" t="s">
        <v>80</v>
      </c>
      <c r="C39" s="43">
        <v>97.066919999999996</v>
      </c>
      <c r="D39" s="12"/>
      <c r="E39" s="12"/>
    </row>
    <row r="40" spans="1:5" ht="15" customHeight="1" x14ac:dyDescent="0.25">
      <c r="B40" s="11" t="s">
        <v>55</v>
      </c>
      <c r="C40" s="100">
        <v>4.4000000000000004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23.383109999999999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5.2124000000000007E-3</v>
      </c>
      <c r="D45" s="12"/>
    </row>
    <row r="46" spans="1:5" ht="15.75" customHeight="1" x14ac:dyDescent="0.25">
      <c r="B46" s="11" t="s">
        <v>70</v>
      </c>
      <c r="C46" s="45">
        <v>5.6006399999999998E-2</v>
      </c>
      <c r="D46" s="12"/>
    </row>
    <row r="47" spans="1:5" ht="15.75" customHeight="1" x14ac:dyDescent="0.25">
      <c r="B47" s="11" t="s">
        <v>78</v>
      </c>
      <c r="C47" s="45">
        <v>7.6044899999999999E-2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3.3</v>
      </c>
      <c r="D51" s="12"/>
    </row>
    <row r="52" spans="1:4" ht="15" customHeight="1" x14ac:dyDescent="0.25">
      <c r="B52" s="11" t="s">
        <v>32</v>
      </c>
      <c r="C52" s="100">
        <v>3.3</v>
      </c>
    </row>
    <row r="53" spans="1:4" ht="15.75" customHeight="1" x14ac:dyDescent="0.25">
      <c r="B53" s="11" t="s">
        <v>35</v>
      </c>
      <c r="C53" s="100">
        <v>3.3</v>
      </c>
    </row>
    <row r="54" spans="1:4" ht="15.75" customHeight="1" x14ac:dyDescent="0.25">
      <c r="B54" s="11" t="s">
        <v>33</v>
      </c>
      <c r="C54" s="100">
        <v>3.3</v>
      </c>
    </row>
    <row r="55" spans="1:4" ht="15.75" customHeight="1" x14ac:dyDescent="0.25">
      <c r="B55" s="11" t="s">
        <v>34</v>
      </c>
      <c r="C55" s="100">
        <v>3.3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0.40586299999999997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3YoBAhwgJApfZMJ/e5gt7LCH2QeGI86QwTmTsFjjvkamX5XBP1Tnm5rMZMfsyGjexeZB6NovDvzElVXkF1Pygg==" saltValue="khVTySzqqMY50hCw3u6C3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756</v>
      </c>
      <c r="C2" s="49">
        <v>2380</v>
      </c>
      <c r="D2" s="49">
        <v>2766</v>
      </c>
      <c r="E2" s="49">
        <v>2982.5</v>
      </c>
      <c r="F2" s="49">
        <v>2682.5</v>
      </c>
      <c r="G2" s="17">
        <f t="shared" ref="G2:G13" si="0">C2+D2+E2+F2</f>
        <v>10811</v>
      </c>
      <c r="H2" s="17">
        <f t="shared" ref="H2:H13" si="1">(B2 + stillbirth*B2/(1000-stillbirth))/(1-abortion)</f>
        <v>879.66009792325951</v>
      </c>
      <c r="I2" s="17">
        <f t="shared" ref="I2:I13" si="2">G2-H2</f>
        <v>9931.3399020767411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751</v>
      </c>
      <c r="C3" s="50">
        <v>2482</v>
      </c>
      <c r="D3" s="50">
        <v>2880.5</v>
      </c>
      <c r="E3" s="50">
        <v>2871</v>
      </c>
      <c r="F3" s="50">
        <v>2753.5</v>
      </c>
      <c r="G3" s="17">
        <f t="shared" si="0"/>
        <v>10987</v>
      </c>
      <c r="H3" s="17">
        <f t="shared" si="1"/>
        <v>873.84224013276173</v>
      </c>
      <c r="I3" s="17">
        <f t="shared" si="2"/>
        <v>10113.157759867237</v>
      </c>
    </row>
    <row r="4" spans="1:9" ht="15.75" customHeight="1" x14ac:dyDescent="0.25">
      <c r="A4" s="5">
        <f t="shared" si="3"/>
        <v>2026</v>
      </c>
      <c r="B4" s="49">
        <v>751</v>
      </c>
      <c r="C4" s="50">
        <v>2569.5</v>
      </c>
      <c r="D4" s="50">
        <v>2997</v>
      </c>
      <c r="E4" s="50">
        <v>2758</v>
      </c>
      <c r="F4" s="50">
        <v>2812.5</v>
      </c>
      <c r="G4" s="17">
        <f t="shared" si="0"/>
        <v>11137</v>
      </c>
      <c r="H4" s="17">
        <f t="shared" si="1"/>
        <v>873.84224013276173</v>
      </c>
      <c r="I4" s="17">
        <f t="shared" si="2"/>
        <v>10263.157759867237</v>
      </c>
    </row>
    <row r="5" spans="1:9" ht="15.75" customHeight="1" x14ac:dyDescent="0.25">
      <c r="A5" s="5">
        <f t="shared" si="3"/>
        <v>2027</v>
      </c>
      <c r="B5" s="49">
        <v>758</v>
      </c>
      <c r="C5" s="50">
        <v>2646</v>
      </c>
      <c r="D5" s="50">
        <v>3108</v>
      </c>
      <c r="E5" s="50">
        <v>2657.5</v>
      </c>
      <c r="F5" s="50">
        <v>2879</v>
      </c>
      <c r="G5" s="17">
        <f t="shared" si="0"/>
        <v>11290.5</v>
      </c>
      <c r="H5" s="17">
        <f t="shared" si="1"/>
        <v>881.98724103945858</v>
      </c>
      <c r="I5" s="17">
        <f t="shared" si="2"/>
        <v>10408.512758960542</v>
      </c>
    </row>
    <row r="6" spans="1:9" ht="15.75" customHeight="1" x14ac:dyDescent="0.25">
      <c r="A6" s="5">
        <f t="shared" si="3"/>
        <v>2028</v>
      </c>
      <c r="B6" s="49">
        <v>764</v>
      </c>
      <c r="C6" s="50">
        <v>2701.5</v>
      </c>
      <c r="D6" s="50">
        <v>3217.5</v>
      </c>
      <c r="E6" s="50">
        <v>2590.5</v>
      </c>
      <c r="F6" s="50">
        <v>2942.5</v>
      </c>
      <c r="G6" s="17">
        <f t="shared" si="0"/>
        <v>11452</v>
      </c>
      <c r="H6" s="17">
        <f t="shared" si="1"/>
        <v>888.96867038805578</v>
      </c>
      <c r="I6" s="17">
        <f t="shared" si="2"/>
        <v>10563.031329611944</v>
      </c>
    </row>
    <row r="7" spans="1:9" ht="15.75" customHeight="1" x14ac:dyDescent="0.25">
      <c r="A7" s="5">
        <f t="shared" si="3"/>
        <v>2029</v>
      </c>
      <c r="B7" s="49">
        <v>772</v>
      </c>
      <c r="C7" s="50">
        <v>2722</v>
      </c>
      <c r="D7" s="50">
        <v>3330.5</v>
      </c>
      <c r="E7" s="50">
        <v>2560</v>
      </c>
      <c r="F7" s="50">
        <v>2969.5</v>
      </c>
      <c r="G7" s="17">
        <f t="shared" si="0"/>
        <v>11582</v>
      </c>
      <c r="H7" s="17">
        <f t="shared" si="1"/>
        <v>898.27724285285228</v>
      </c>
      <c r="I7" s="17">
        <f t="shared" si="2"/>
        <v>10683.722757147149</v>
      </c>
    </row>
    <row r="8" spans="1:9" ht="15.75" customHeight="1" x14ac:dyDescent="0.25">
      <c r="A8" s="5">
        <f t="shared" si="3"/>
        <v>2030</v>
      </c>
      <c r="B8" s="49">
        <v>780</v>
      </c>
      <c r="C8" s="50">
        <v>2709.5</v>
      </c>
      <c r="D8" s="50">
        <v>3462</v>
      </c>
      <c r="E8" s="50">
        <v>2553</v>
      </c>
      <c r="F8" s="50">
        <v>2958</v>
      </c>
      <c r="G8" s="17">
        <f t="shared" si="0"/>
        <v>11682.5</v>
      </c>
      <c r="H8" s="17">
        <f t="shared" si="1"/>
        <v>907.58581531764855</v>
      </c>
      <c r="I8" s="17">
        <f t="shared" si="2"/>
        <v>10774.914184682351</v>
      </c>
    </row>
    <row r="9" spans="1:9" ht="15.75" customHeight="1" x14ac:dyDescent="0.25">
      <c r="A9" s="5">
        <f t="shared" si="3"/>
        <v>2031</v>
      </c>
      <c r="B9" s="49">
        <v>790</v>
      </c>
      <c r="C9" s="50">
        <v>2680</v>
      </c>
      <c r="D9" s="50">
        <v>3629.5</v>
      </c>
      <c r="E9" s="50">
        <v>2553</v>
      </c>
      <c r="F9" s="50">
        <v>2918.5</v>
      </c>
      <c r="G9" s="17">
        <f t="shared" si="0"/>
        <v>11781</v>
      </c>
      <c r="H9" s="17">
        <f t="shared" si="1"/>
        <v>919.22153089864412</v>
      </c>
      <c r="I9" s="17">
        <f t="shared" si="2"/>
        <v>10861.778469101357</v>
      </c>
    </row>
    <row r="10" spans="1:9" ht="15.75" customHeight="1" x14ac:dyDescent="0.25">
      <c r="A10" s="5">
        <f t="shared" si="3"/>
        <v>2032</v>
      </c>
      <c r="B10" s="49">
        <v>802</v>
      </c>
      <c r="C10" s="50">
        <v>2644</v>
      </c>
      <c r="D10" s="50">
        <v>3825.5</v>
      </c>
      <c r="E10" s="50">
        <v>2561.5</v>
      </c>
      <c r="F10" s="50">
        <v>2848</v>
      </c>
      <c r="G10" s="17">
        <f t="shared" si="0"/>
        <v>11879</v>
      </c>
      <c r="H10" s="17">
        <f t="shared" si="1"/>
        <v>933.18438959583875</v>
      </c>
      <c r="I10" s="17">
        <f t="shared" si="2"/>
        <v>10945.815610404161</v>
      </c>
    </row>
    <row r="11" spans="1:9" ht="15.75" customHeight="1" x14ac:dyDescent="0.25">
      <c r="A11" s="5">
        <f t="shared" si="3"/>
        <v>2033</v>
      </c>
      <c r="B11" s="49">
        <v>813</v>
      </c>
      <c r="C11" s="50">
        <v>2604</v>
      </c>
      <c r="D11" s="50">
        <v>4008.5</v>
      </c>
      <c r="E11" s="50">
        <v>2601.5</v>
      </c>
      <c r="F11" s="50">
        <v>2748</v>
      </c>
      <c r="G11" s="17">
        <f t="shared" si="0"/>
        <v>11962</v>
      </c>
      <c r="H11" s="17">
        <f t="shared" si="1"/>
        <v>945.98367673493374</v>
      </c>
      <c r="I11" s="17">
        <f t="shared" si="2"/>
        <v>11016.016323265067</v>
      </c>
    </row>
    <row r="12" spans="1:9" ht="15.75" customHeight="1" x14ac:dyDescent="0.25">
      <c r="A12" s="5">
        <f t="shared" si="3"/>
        <v>2034</v>
      </c>
      <c r="B12" s="49">
        <v>818</v>
      </c>
      <c r="C12" s="50">
        <v>2557</v>
      </c>
      <c r="D12" s="50">
        <v>4139</v>
      </c>
      <c r="E12" s="50">
        <v>2684</v>
      </c>
      <c r="F12" s="50">
        <v>2629</v>
      </c>
      <c r="G12" s="17">
        <f t="shared" si="0"/>
        <v>12009</v>
      </c>
      <c r="H12" s="17">
        <f t="shared" si="1"/>
        <v>951.80153452543152</v>
      </c>
      <c r="I12" s="17">
        <f t="shared" si="2"/>
        <v>11057.198465474568</v>
      </c>
    </row>
    <row r="13" spans="1:9" ht="15.75" customHeight="1" x14ac:dyDescent="0.25">
      <c r="A13" s="5">
        <f t="shared" si="3"/>
        <v>2035</v>
      </c>
      <c r="B13" s="49">
        <v>827</v>
      </c>
      <c r="C13" s="50">
        <v>2501.5</v>
      </c>
      <c r="D13" s="50">
        <v>4221.5</v>
      </c>
      <c r="E13" s="50">
        <v>2797</v>
      </c>
      <c r="F13" s="50">
        <v>2511</v>
      </c>
      <c r="G13" s="17">
        <f t="shared" si="0"/>
        <v>12031</v>
      </c>
      <c r="H13" s="17">
        <f t="shared" si="1"/>
        <v>962.27367854832744</v>
      </c>
      <c r="I13" s="17">
        <f t="shared" si="2"/>
        <v>11068.726321451673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E/yhnryvtotCu1t3nk7GW/v1mXN9TARfxwDzrup1fF+5bYIVpKt5DDjt8TrwRY5zlo1D8dROfxY1ft3XHC3UNA==" saltValue="0/bV9ptJ4UXwphh79UZWl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2.5390799999999981E-2</v>
      </c>
    </row>
    <row r="4" spans="1:8" ht="15.75" customHeight="1" x14ac:dyDescent="0.25">
      <c r="B4" s="19" t="s">
        <v>116</v>
      </c>
      <c r="C4" s="101">
        <v>6.3736599999999907E-2</v>
      </c>
    </row>
    <row r="5" spans="1:8" ht="15.75" customHeight="1" x14ac:dyDescent="0.25">
      <c r="B5" s="19" t="s">
        <v>114</v>
      </c>
      <c r="C5" s="101">
        <v>0.1035504000000001</v>
      </c>
    </row>
    <row r="6" spans="1:8" ht="15.75" customHeight="1" x14ac:dyDescent="0.25">
      <c r="B6" s="19" t="s">
        <v>110</v>
      </c>
      <c r="C6" s="101">
        <v>0.24952009999999991</v>
      </c>
    </row>
    <row r="7" spans="1:8" ht="15.75" customHeight="1" x14ac:dyDescent="0.25">
      <c r="B7" s="19" t="s">
        <v>115</v>
      </c>
      <c r="C7" s="101">
        <v>0.38443950000000021</v>
      </c>
    </row>
    <row r="8" spans="1:8" ht="15.75" customHeight="1" x14ac:dyDescent="0.25">
      <c r="B8" s="19" t="s">
        <v>117</v>
      </c>
      <c r="C8" s="101">
        <v>6.0205000000000067E-3</v>
      </c>
    </row>
    <row r="9" spans="1:8" ht="15.75" customHeight="1" x14ac:dyDescent="0.25">
      <c r="B9" s="19" t="s">
        <v>111</v>
      </c>
      <c r="C9" s="101">
        <v>5.4902399999999983E-2</v>
      </c>
    </row>
    <row r="10" spans="1:8" ht="15.75" customHeight="1" x14ac:dyDescent="0.25">
      <c r="B10" s="19" t="s">
        <v>113</v>
      </c>
      <c r="C10" s="101">
        <v>0.11243969999999991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0.1974429952143161</v>
      </c>
      <c r="D14" s="55">
        <v>0.1974429952143161</v>
      </c>
      <c r="E14" s="55">
        <v>0.1974429952143161</v>
      </c>
      <c r="F14" s="55">
        <v>0.1974429952143161</v>
      </c>
    </row>
    <row r="15" spans="1:8" ht="15.75" customHeight="1" x14ac:dyDescent="0.25">
      <c r="B15" s="19" t="s">
        <v>121</v>
      </c>
      <c r="C15" s="101">
        <v>0.2947634005842989</v>
      </c>
      <c r="D15" s="101">
        <v>0.2947634005842989</v>
      </c>
      <c r="E15" s="101">
        <v>0.2947634005842989</v>
      </c>
      <c r="F15" s="101">
        <v>0.2947634005842989</v>
      </c>
    </row>
    <row r="16" spans="1:8" ht="15.75" customHeight="1" x14ac:dyDescent="0.25">
      <c r="B16" s="19" t="s">
        <v>2</v>
      </c>
      <c r="C16" s="101">
        <v>3.2142176249219757E-2</v>
      </c>
      <c r="D16" s="101">
        <v>3.2142176249219757E-2</v>
      </c>
      <c r="E16" s="101">
        <v>3.2142176249219757E-2</v>
      </c>
      <c r="F16" s="101">
        <v>3.2142176249219757E-2</v>
      </c>
    </row>
    <row r="17" spans="1:8" ht="15.75" customHeight="1" x14ac:dyDescent="0.25">
      <c r="B17" s="19" t="s">
        <v>109</v>
      </c>
      <c r="C17" s="101">
        <v>3.1880501168348979E-2</v>
      </c>
      <c r="D17" s="101">
        <v>3.1880501168348979E-2</v>
      </c>
      <c r="E17" s="101">
        <v>3.1880501168348979E-2</v>
      </c>
      <c r="F17" s="101">
        <v>3.1880501168348979E-2</v>
      </c>
    </row>
    <row r="18" spans="1:8" ht="15.75" customHeight="1" x14ac:dyDescent="0.25">
      <c r="B18" s="19" t="s">
        <v>3</v>
      </c>
      <c r="C18" s="101">
        <v>0.16534944985290101</v>
      </c>
      <c r="D18" s="101">
        <v>0.16534944985290101</v>
      </c>
      <c r="E18" s="101">
        <v>0.16534944985290101</v>
      </c>
      <c r="F18" s="101">
        <v>0.16534944985290101</v>
      </c>
    </row>
    <row r="19" spans="1:8" ht="15.75" customHeight="1" x14ac:dyDescent="0.25">
      <c r="B19" s="19" t="s">
        <v>120</v>
      </c>
      <c r="C19" s="101">
        <v>1.8349752001866389E-2</v>
      </c>
      <c r="D19" s="101">
        <v>1.8349752001866389E-2</v>
      </c>
      <c r="E19" s="101">
        <v>1.8349752001866389E-2</v>
      </c>
      <c r="F19" s="101">
        <v>1.8349752001866389E-2</v>
      </c>
    </row>
    <row r="20" spans="1:8" ht="15.75" customHeight="1" x14ac:dyDescent="0.25">
      <c r="B20" s="19" t="s">
        <v>98</v>
      </c>
      <c r="C20" s="101">
        <v>1.5672880574274729E-2</v>
      </c>
      <c r="D20" s="101">
        <v>1.5672880574274729E-2</v>
      </c>
      <c r="E20" s="101">
        <v>1.5672880574274729E-2</v>
      </c>
      <c r="F20" s="101">
        <v>1.5672880574274729E-2</v>
      </c>
    </row>
    <row r="21" spans="1:8" ht="15.75" customHeight="1" x14ac:dyDescent="0.25">
      <c r="B21" s="19" t="s">
        <v>107</v>
      </c>
      <c r="C21" s="101">
        <v>7.5533540386639578E-2</v>
      </c>
      <c r="D21" s="101">
        <v>7.5533540386639578E-2</v>
      </c>
      <c r="E21" s="101">
        <v>7.5533540386639578E-2</v>
      </c>
      <c r="F21" s="101">
        <v>7.5533540386639578E-2</v>
      </c>
    </row>
    <row r="22" spans="1:8" ht="15.75" customHeight="1" x14ac:dyDescent="0.25">
      <c r="B22" s="19" t="s">
        <v>118</v>
      </c>
      <c r="C22" s="101">
        <v>0.16886530396813459</v>
      </c>
      <c r="D22" s="101">
        <v>0.16886530396813459</v>
      </c>
      <c r="E22" s="101">
        <v>0.16886530396813459</v>
      </c>
      <c r="F22" s="101">
        <v>0.16886530396813459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8.8798472000000003E-2</v>
      </c>
    </row>
    <row r="27" spans="1:8" ht="15.75" customHeight="1" x14ac:dyDescent="0.25">
      <c r="B27" s="19" t="s">
        <v>108</v>
      </c>
      <c r="C27" s="101">
        <v>8.9405939999999996E-3</v>
      </c>
    </row>
    <row r="28" spans="1:8" ht="15.75" customHeight="1" x14ac:dyDescent="0.25">
      <c r="B28" s="19" t="s">
        <v>122</v>
      </c>
      <c r="C28" s="101">
        <v>0.15585153099999999</v>
      </c>
    </row>
    <row r="29" spans="1:8" ht="15.75" customHeight="1" x14ac:dyDescent="0.25">
      <c r="B29" s="19" t="s">
        <v>105</v>
      </c>
      <c r="C29" s="101">
        <v>0.170199079</v>
      </c>
    </row>
    <row r="30" spans="1:8" ht="15.75" customHeight="1" x14ac:dyDescent="0.25">
      <c r="B30" s="19" t="s">
        <v>4</v>
      </c>
      <c r="C30" s="101">
        <v>0.10628299300000001</v>
      </c>
    </row>
    <row r="31" spans="1:8" ht="15.75" customHeight="1" x14ac:dyDescent="0.25">
      <c r="B31" s="19" t="s">
        <v>99</v>
      </c>
      <c r="C31" s="101">
        <v>0.108972139</v>
      </c>
    </row>
    <row r="32" spans="1:8" ht="15.75" customHeight="1" x14ac:dyDescent="0.25">
      <c r="B32" s="19" t="s">
        <v>104</v>
      </c>
      <c r="C32" s="101">
        <v>1.8807035E-2</v>
      </c>
    </row>
    <row r="33" spans="2:3" ht="15.75" customHeight="1" x14ac:dyDescent="0.25">
      <c r="B33" s="19" t="s">
        <v>119</v>
      </c>
      <c r="C33" s="101">
        <v>8.4353397999999996E-2</v>
      </c>
    </row>
    <row r="34" spans="2:3" ht="15.75" customHeight="1" x14ac:dyDescent="0.25">
      <c r="B34" s="19" t="s">
        <v>106</v>
      </c>
      <c r="C34" s="101">
        <v>0.25779475800000001</v>
      </c>
    </row>
    <row r="35" spans="2:3" ht="15.75" customHeight="1" x14ac:dyDescent="0.25">
      <c r="B35" s="27" t="s">
        <v>79</v>
      </c>
      <c r="C35" s="48">
        <f>SUM(C26:C34)</f>
        <v>0.99999999899999992</v>
      </c>
    </row>
  </sheetData>
  <sheetProtection algorithmName="SHA-512" hashValue="sHZmQwniFoNIjCnHT/V5cjcMNTnuoFMcckyudHJVMTnWZ9zDjpXJeuZipCJLdwauvmn/8AdBoskpiiniIDp9Bw==" saltValue="0BVc8XTXJmXuHerglvtEB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0.54739346550137002</v>
      </c>
      <c r="D2" s="52">
        <f>IFERROR(1-_xlfn.NORM.DIST(_xlfn.NORM.INV(SUM(D4:D5), 0, 1) + 1, 0, 1, TRUE), "")</f>
        <v>0.54739346550137002</v>
      </c>
      <c r="E2" s="52">
        <f>IFERROR(1-_xlfn.NORM.DIST(_xlfn.NORM.INV(SUM(E4:E5), 0, 1) + 1, 0, 1, TRUE), "")</f>
        <v>0.50953998493748198</v>
      </c>
      <c r="F2" s="52">
        <f>IFERROR(1-_xlfn.NORM.DIST(_xlfn.NORM.INV(SUM(F4:F5), 0, 1) + 1, 0, 1, TRUE), "")</f>
        <v>0.3111778409419268</v>
      </c>
      <c r="G2" s="52">
        <f>IFERROR(1-_xlfn.NORM.DIST(_xlfn.NORM.INV(SUM(G4:G5), 0, 1) + 1, 0, 1, TRUE), "")</f>
        <v>0.30991657300384834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0.32105323449862999</v>
      </c>
      <c r="D3" s="52">
        <f>IFERROR(_xlfn.NORM.DIST(_xlfn.NORM.INV(SUM(D4:D5), 0, 1) + 1, 0, 1, TRUE) - SUM(D4:D5), "")</f>
        <v>0.32105323449862999</v>
      </c>
      <c r="E3" s="52">
        <f>IFERROR(_xlfn.NORM.DIST(_xlfn.NORM.INV(SUM(E4:E5), 0, 1) + 1, 0, 1, TRUE) - SUM(E4:E5), "")</f>
        <v>0.33752241506251796</v>
      </c>
      <c r="F3" s="52">
        <f>IFERROR(_xlfn.NORM.DIST(_xlfn.NORM.INV(SUM(F4:F5), 0, 1) + 1, 0, 1, TRUE) - SUM(F4:F5), "")</f>
        <v>0.38291505905807321</v>
      </c>
      <c r="G3" s="52">
        <f>IFERROR(_xlfn.NORM.DIST(_xlfn.NORM.INV(SUM(G4:G5), 0, 1) + 1, 0, 1, TRUE) - SUM(G4:G5), "")</f>
        <v>0.38292222699615164</v>
      </c>
    </row>
    <row r="4" spans="1:15" ht="15.75" customHeight="1" x14ac:dyDescent="0.25">
      <c r="B4" s="5" t="s">
        <v>129</v>
      </c>
      <c r="C4" s="45">
        <v>7.3878100000000002E-2</v>
      </c>
      <c r="D4" s="53">
        <v>7.3878100000000002E-2</v>
      </c>
      <c r="E4" s="53">
        <v>0.1012653</v>
      </c>
      <c r="F4" s="53">
        <v>0.1960865</v>
      </c>
      <c r="G4" s="53">
        <v>0.18582750000000001</v>
      </c>
    </row>
    <row r="5" spans="1:15" ht="15.75" customHeight="1" x14ac:dyDescent="0.25">
      <c r="B5" s="5" t="s">
        <v>125</v>
      </c>
      <c r="C5" s="45">
        <v>5.7675200000000003E-2</v>
      </c>
      <c r="D5" s="53">
        <v>5.7675200000000003E-2</v>
      </c>
      <c r="E5" s="53">
        <v>5.1672299999999997E-2</v>
      </c>
      <c r="F5" s="53">
        <v>0.1098206</v>
      </c>
      <c r="G5" s="53">
        <v>0.1213337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0.61419750247711358</v>
      </c>
      <c r="D8" s="52">
        <f>IFERROR(1-_xlfn.NORM.DIST(_xlfn.NORM.INV(SUM(D10:D11), 0, 1) + 1, 0, 1, TRUE), "")</f>
        <v>0.61419750247711358</v>
      </c>
      <c r="E8" s="52">
        <f>IFERROR(1-_xlfn.NORM.DIST(_xlfn.NORM.INV(SUM(E10:E11), 0, 1) + 1, 0, 1, TRUE), "")</f>
        <v>0.49055498576664736</v>
      </c>
      <c r="F8" s="52">
        <f>IFERROR(1-_xlfn.NORM.DIST(_xlfn.NORM.INV(SUM(F10:F11), 0, 1) + 1, 0, 1, TRUE), "")</f>
        <v>0.5397151751639403</v>
      </c>
      <c r="G8" s="52">
        <f>IFERROR(1-_xlfn.NORM.DIST(_xlfn.NORM.INV(SUM(G10:G11), 0, 1) + 1, 0, 1, TRUE), "")</f>
        <v>0.71132217529866593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0.28732509752288643</v>
      </c>
      <c r="D9" s="52">
        <f>IFERROR(_xlfn.NORM.DIST(_xlfn.NORM.INV(SUM(D10:D11), 0, 1) + 1, 0, 1, TRUE) - SUM(D10:D11), "")</f>
        <v>0.28732509752288643</v>
      </c>
      <c r="E9" s="52">
        <f>IFERROR(_xlfn.NORM.DIST(_xlfn.NORM.INV(SUM(E10:E11), 0, 1) + 1, 0, 1, TRUE) - SUM(E10:E11), "")</f>
        <v>0.34499271423335265</v>
      </c>
      <c r="F9" s="52">
        <f>IFERROR(_xlfn.NORM.DIST(_xlfn.NORM.INV(SUM(F10:F11), 0, 1) + 1, 0, 1, TRUE) - SUM(F10:F11), "")</f>
        <v>0.32455692483605969</v>
      </c>
      <c r="G9" s="52">
        <f>IFERROR(_xlfn.NORM.DIST(_xlfn.NORM.INV(SUM(G10:G11), 0, 1) + 1, 0, 1, TRUE) - SUM(G10:G11), "")</f>
        <v>0.22897242470133408</v>
      </c>
    </row>
    <row r="10" spans="1:15" ht="15.75" customHeight="1" x14ac:dyDescent="0.25">
      <c r="B10" s="5" t="s">
        <v>126</v>
      </c>
      <c r="C10" s="45">
        <v>6.5348699999999996E-2</v>
      </c>
      <c r="D10" s="53">
        <v>6.5348699999999996E-2</v>
      </c>
      <c r="E10" s="53">
        <v>0.1254721</v>
      </c>
      <c r="F10" s="53">
        <v>9.1041399999999995E-2</v>
      </c>
      <c r="G10" s="53">
        <v>4.4466099999999988E-2</v>
      </c>
    </row>
    <row r="11" spans="1:15" ht="15.75" customHeight="1" x14ac:dyDescent="0.25">
      <c r="B11" s="5" t="s">
        <v>138</v>
      </c>
      <c r="C11" s="45">
        <v>3.3128699999999997E-2</v>
      </c>
      <c r="D11" s="53">
        <v>3.3128699999999997E-2</v>
      </c>
      <c r="E11" s="53">
        <v>3.89802E-2</v>
      </c>
      <c r="F11" s="53">
        <v>4.4686499999999997E-2</v>
      </c>
      <c r="G11" s="53">
        <v>1.5239300000000001E-2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0.55150138500000001</v>
      </c>
      <c r="D14" s="54">
        <v>0.53403163124999997</v>
      </c>
      <c r="E14" s="54">
        <v>0.53403163124999997</v>
      </c>
      <c r="F14" s="54">
        <v>0.32995192879599999</v>
      </c>
      <c r="G14" s="54">
        <v>0.32995192879599999</v>
      </c>
      <c r="H14" s="45">
        <v>0.58399999999999996</v>
      </c>
      <c r="I14" s="55">
        <v>0.58399999999999996</v>
      </c>
      <c r="J14" s="55">
        <v>0.58399999999999996</v>
      </c>
      <c r="K14" s="55">
        <v>0.58399999999999996</v>
      </c>
      <c r="L14" s="45">
        <v>0.503</v>
      </c>
      <c r="M14" s="55">
        <v>0.503</v>
      </c>
      <c r="N14" s="55">
        <v>0.503</v>
      </c>
      <c r="O14" s="55">
        <v>0.503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0.22383400662025499</v>
      </c>
      <c r="D15" s="52">
        <f t="shared" si="0"/>
        <v>0.21674367995401872</v>
      </c>
      <c r="E15" s="52">
        <f t="shared" si="0"/>
        <v>0.21674367995401872</v>
      </c>
      <c r="F15" s="52">
        <f t="shared" si="0"/>
        <v>0.13391527967693093</v>
      </c>
      <c r="G15" s="52">
        <f t="shared" si="0"/>
        <v>0.13391527967693093</v>
      </c>
      <c r="H15" s="52">
        <f t="shared" si="0"/>
        <v>0.23702399199999996</v>
      </c>
      <c r="I15" s="52">
        <f t="shared" si="0"/>
        <v>0.23702399199999996</v>
      </c>
      <c r="J15" s="52">
        <f t="shared" si="0"/>
        <v>0.23702399199999996</v>
      </c>
      <c r="K15" s="52">
        <f t="shared" si="0"/>
        <v>0.23702399199999996</v>
      </c>
      <c r="L15" s="52">
        <f t="shared" si="0"/>
        <v>0.20414908899999998</v>
      </c>
      <c r="M15" s="52">
        <f t="shared" si="0"/>
        <v>0.20414908899999998</v>
      </c>
      <c r="N15" s="52">
        <f t="shared" si="0"/>
        <v>0.20414908899999998</v>
      </c>
      <c r="O15" s="52">
        <f t="shared" si="0"/>
        <v>0.20414908899999998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c2ujYywT55LpIbU6v1/G5d0qtyrviO6t4KYk/lVPdtLj7y4JU/VbBp7SXHwsPzKk2DbV1BTIEBOtcLA6g6/msw==" saltValue="csnky/APOycbwRjR2Aj76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0.62072270000000007</v>
      </c>
      <c r="D2" s="53">
        <v>0.34721740000000001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0.26756039999999998</v>
      </c>
      <c r="D3" s="53">
        <v>0.48751299999999997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8.3577600000000002E-2</v>
      </c>
      <c r="D4" s="53">
        <v>0.1371406</v>
      </c>
      <c r="E4" s="53">
        <v>0.96463899999999991</v>
      </c>
      <c r="F4" s="53">
        <v>0.78567120000000001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2.8139299999999978E-2</v>
      </c>
      <c r="D5" s="52">
        <f t="shared" si="0"/>
        <v>2.8129000000000071E-2</v>
      </c>
      <c r="E5" s="52">
        <f>1-SUM(E2:E4)</f>
        <v>3.5361000000000087E-2</v>
      </c>
      <c r="F5" s="52">
        <f>1-SUM(F2:F4)</f>
        <v>0.21432879999999999</v>
      </c>
      <c r="G5" s="52">
        <f>1-SUM(G2:G4)</f>
        <v>1</v>
      </c>
    </row>
  </sheetData>
  <sheetProtection algorithmName="SHA-512" hashValue="WEp6AKyyVJScf8Fsv9fNC382Rn279P9YdOn1ESKcLWYYexuxzQ6OatwRqw+8uRhgGzYB7NEPtqVe2h/mVXPYKg==" saltValue="aVCbqodg1Et7THGQWHIjo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JjMb9xhWV7kyafVqBUPxZ0Ez/Fi4PimKyyolmtMkDmPDvq4WrLD7GhdpUGA81KDU4ixBagWGER18t3RjC9MG7w==" saltValue="n8St0+EV1HhJqrU2VdC4L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abSelected="1"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6225.1792224411502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0.48199999999999998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0.74736999999999998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1.8910499027524799E-2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98027.941210000005</v>
      </c>
      <c r="C22" s="109">
        <v>97928.220270000005</v>
      </c>
      <c r="D22" s="109">
        <v>97781.597519999996</v>
      </c>
      <c r="E22" s="109">
        <v>97432.520189999996</v>
      </c>
      <c r="F22" s="109">
        <v>96963.115000000005</v>
      </c>
      <c r="G22" s="109">
        <v>96489.588149999996</v>
      </c>
      <c r="H22" s="109">
        <v>95931.055770000006</v>
      </c>
      <c r="I22" s="109">
        <v>95151.856369999994</v>
      </c>
      <c r="J22" s="109">
        <v>93945.804000000004</v>
      </c>
      <c r="K22" s="109">
        <v>92040.425470000002</v>
      </c>
      <c r="L22" s="109">
        <v>89096.366930000004</v>
      </c>
      <c r="M22" s="109">
        <v>84789.908230000001</v>
      </c>
      <c r="N22" s="109">
        <v>59902.527269999999</v>
      </c>
      <c r="O22" s="109">
        <v>59902.527269999999</v>
      </c>
    </row>
  </sheetData>
  <sheetProtection algorithmName="SHA-512" hashValue="cW6Ifl9Tv264wFoCNO9l20GrzWsWpKdmYYHpdWZSP3eLTihw6Rl9CWJ+72XxTGbTbju9aiLfIF+nqoHiKyJUdg==" saltValue="Ykihcry76DDI205s/+Nre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fE7w6RGzVNBu4nyeTZepKkV6VSgOrj+vE/d3B5IHnym6qf05rMGse2kyvlIC4Iozz+BNBCTHOC/k28vYxqyY7A==" saltValue="Lqc+At/+fUmltGdsyAMNM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wt/Nyb9kdYvAV5At/fBM+a5NT2yuJNmAwcRuBdDq9r5W/YykIKSbCxc9VoCi9pNgRyEmC10Y4djcDOIK2AmEUg==" saltValue="9jB7lj2ysSzBdtTIX/SLB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23.266651740020471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23.266651740020471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0.80999999999999994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1.1645825935762411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0.19283527130965261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1.899427422400078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</v>
      </c>
      <c r="C9" s="98">
        <v>0.95</v>
      </c>
      <c r="D9" s="56">
        <v>0.33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0.28031230000000001</v>
      </c>
      <c r="C10" s="98">
        <v>0.95</v>
      </c>
      <c r="D10" s="56">
        <v>12.99613066460511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12.99613066460511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12.99613066460511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12.99613066460511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0.28031230000000001</v>
      </c>
      <c r="C14" s="98">
        <v>0.95</v>
      </c>
      <c r="D14" s="56">
        <v>12.99613066460511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12.99613066460511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0.7607335999999999</v>
      </c>
      <c r="C16" s="98">
        <v>0.95</v>
      </c>
      <c r="D16" s="56">
        <v>1.57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0.12279</v>
      </c>
      <c r="C17" s="98">
        <v>0.95</v>
      </c>
      <c r="D17" s="56">
        <v>0.1369044839662158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0.34721740000000001</v>
      </c>
      <c r="C18" s="98">
        <v>0.95</v>
      </c>
      <c r="D18" s="56">
        <v>8.0823886898669404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0.34721740000000001</v>
      </c>
      <c r="C19" s="98">
        <v>0.95</v>
      </c>
      <c r="D19" s="56">
        <v>3.11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8.32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0.80999999999999994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0.85079989999999994</v>
      </c>
      <c r="C23" s="98">
        <v>0.95</v>
      </c>
      <c r="D23" s="56">
        <v>4.2693071752319298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0.47779756487578001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8.469314227226203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14.964151740020471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0.21443380000000001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0.2174344</v>
      </c>
      <c r="C29" s="98">
        <v>0.95</v>
      </c>
      <c r="D29" s="56">
        <v>20.363404650299319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53.05041964170676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0.41820000000000002</v>
      </c>
      <c r="C31" s="98">
        <v>0.95</v>
      </c>
      <c r="D31" s="56">
        <v>118.83755373592631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0.85</v>
      </c>
      <c r="C32" s="98">
        <v>0.95</v>
      </c>
      <c r="D32" s="56">
        <v>0.69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0.17300869999999999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0.64071500000000003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4.764E-3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0.52630830000000006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0.15360070000000001</v>
      </c>
      <c r="C38" s="98">
        <v>0.95</v>
      </c>
      <c r="D38" s="56">
        <v>3.45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3.07</v>
      </c>
      <c r="E39" s="56" t="s">
        <v>212</v>
      </c>
      <c r="F39" s="98">
        <v>1</v>
      </c>
      <c r="G39" s="98">
        <v>1</v>
      </c>
    </row>
  </sheetData>
  <sheetProtection algorithmName="SHA-512" hashValue="zqZUHW1kTIub5w7J7dz15i1SfTwjUSFTHPB8WeIjbBMqmypr+F89yv6VtF2tkIIDp+fOxV8d2kldn0Q1oir0tw==" saltValue="K12dyjdrEmCjCxRiHykw4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JXol2ketRjva+IwaRDlRXKoVp/tuesWjJE6Tt499V87Ax9KB7DjJ0g7ubolQc2PUpYiRpGijxUGs/eSD0sUpEQ==" saltValue="27YMUTA/dlAMb1owDwsiO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tEZzdIv02oFaOR7PpjEGESzdnou9FgNj/+JwIHDinLn0W8iGTpgMhM4U8kNn/0ffAr1fQ6MdlIJf4go/LT3eAw==" saltValue="cULQ8epMAwtx5SRxOkO8Y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0.16990662000000001</v>
      </c>
      <c r="C3" s="21">
        <f>frac_mam_1_5months * 2.6</f>
        <v>0.16990662000000001</v>
      </c>
      <c r="D3" s="21">
        <f>frac_mam_6_11months * 2.6</f>
        <v>0.32622746000000002</v>
      </c>
      <c r="E3" s="21">
        <f>frac_mam_12_23months * 2.6</f>
        <v>0.23670764</v>
      </c>
      <c r="F3" s="21">
        <f>frac_mam_24_59months * 2.6</f>
        <v>0.11561185999999997</v>
      </c>
    </row>
    <row r="4" spans="1:6" ht="15.75" customHeight="1" x14ac:dyDescent="0.25">
      <c r="A4" s="3" t="s">
        <v>236</v>
      </c>
      <c r="B4" s="21">
        <f>frac_sam_1month * 2.6</f>
        <v>8.6134619999999995E-2</v>
      </c>
      <c r="C4" s="21">
        <f>frac_sam_1_5months * 2.6</f>
        <v>8.6134619999999995E-2</v>
      </c>
      <c r="D4" s="21">
        <f>frac_sam_6_11months * 2.6</f>
        <v>0.10134852</v>
      </c>
      <c r="E4" s="21">
        <f>frac_sam_12_23months * 2.6</f>
        <v>0.11618489999999999</v>
      </c>
      <c r="F4" s="21">
        <f>frac_sam_24_59months * 2.6</f>
        <v>3.962218E-2</v>
      </c>
    </row>
  </sheetData>
  <sheetProtection algorithmName="SHA-512" hashValue="hFmblcss3W3H1Lo7Ev7cYS9PS80uzJ4aQaBO21Q1OCD+PyjUNWkcUUeyDtHIJwLETwWBuGmYjoaXBukT7V6sQQ==" saltValue="2V8/Z/as52wNyhuNU2rGE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7.2000000000000008E-2</v>
      </c>
      <c r="F2" s="60">
        <f>food_insecure</f>
        <v>7.2000000000000008E-2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7.2000000000000008E-2</v>
      </c>
      <c r="F5" s="60">
        <f>food_insecure</f>
        <v>7.2000000000000008E-2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7.2000000000000008E-2</v>
      </c>
      <c r="F8" s="60">
        <f>food_insecure</f>
        <v>7.2000000000000008E-2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7.2000000000000008E-2</v>
      </c>
      <c r="F9" s="60">
        <f>food_insecure</f>
        <v>7.2000000000000008E-2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7.2000000000000008E-2</v>
      </c>
      <c r="I15" s="60">
        <f t="shared" si="0"/>
        <v>7.2000000000000008E-2</v>
      </c>
      <c r="J15" s="60">
        <f t="shared" si="0"/>
        <v>7.2000000000000008E-2</v>
      </c>
      <c r="K15" s="60">
        <f t="shared" si="0"/>
        <v>7.2000000000000008E-2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7.2000000000000008E-2</v>
      </c>
      <c r="I16" s="60">
        <f t="shared" si="0"/>
        <v>7.2000000000000008E-2</v>
      </c>
      <c r="J16" s="60">
        <f t="shared" si="0"/>
        <v>7.2000000000000008E-2</v>
      </c>
      <c r="K16" s="60">
        <f t="shared" si="0"/>
        <v>7.2000000000000008E-2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</v>
      </c>
      <c r="I19" s="60">
        <f>frac_malaria_risk</f>
        <v>0.9</v>
      </c>
      <c r="J19" s="60">
        <f>frac_malaria_risk</f>
        <v>0.9</v>
      </c>
      <c r="K19" s="60">
        <f>frac_malaria_risk</f>
        <v>0.9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8.1000000000000003E-2</v>
      </c>
      <c r="M24" s="60">
        <f>famplan_unmet_need</f>
        <v>8.1000000000000003E-2</v>
      </c>
      <c r="N24" s="60">
        <f>famplan_unmet_need</f>
        <v>8.1000000000000003E-2</v>
      </c>
      <c r="O24" s="60">
        <f>famplan_unmet_need</f>
        <v>8.1000000000000003E-2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0.209980050896</v>
      </c>
      <c r="M25" s="60">
        <f>(1-food_insecure)*(0.49)+food_insecure*(0.7)</f>
        <v>0.50512000000000001</v>
      </c>
      <c r="N25" s="60">
        <f>(1-food_insecure)*(0.49)+food_insecure*(0.7)</f>
        <v>0.50512000000000001</v>
      </c>
      <c r="O25" s="60">
        <f>(1-food_insecure)*(0.49)+food_insecure*(0.7)</f>
        <v>0.50512000000000001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8.9991450383999999E-2</v>
      </c>
      <c r="M26" s="60">
        <f>(1-food_insecure)*(0.21)+food_insecure*(0.3)</f>
        <v>0.21647999999999998</v>
      </c>
      <c r="N26" s="60">
        <f>(1-food_insecure)*(0.21)+food_insecure*(0.3)</f>
        <v>0.21647999999999998</v>
      </c>
      <c r="O26" s="60">
        <f>(1-food_insecure)*(0.21)+food_insecure*(0.3)</f>
        <v>0.21647999999999998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0.11573179871999999</v>
      </c>
      <c r="M27" s="60">
        <f>(1-food_insecure)*(0.3)</f>
        <v>0.27839999999999998</v>
      </c>
      <c r="N27" s="60">
        <f>(1-food_insecure)*(0.3)</f>
        <v>0.27839999999999998</v>
      </c>
      <c r="O27" s="60">
        <f>(1-food_insecure)*(0.3)</f>
        <v>0.27839999999999998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0.5842967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0.9</v>
      </c>
      <c r="D34" s="60">
        <f t="shared" si="4"/>
        <v>0.9</v>
      </c>
      <c r="E34" s="60">
        <f t="shared" si="4"/>
        <v>0.9</v>
      </c>
      <c r="F34" s="60">
        <f t="shared" si="4"/>
        <v>0.9</v>
      </c>
      <c r="G34" s="60">
        <f t="shared" si="4"/>
        <v>0.9</v>
      </c>
      <c r="H34" s="60">
        <f t="shared" si="4"/>
        <v>0.9</v>
      </c>
      <c r="I34" s="60">
        <f t="shared" si="4"/>
        <v>0.9</v>
      </c>
      <c r="J34" s="60">
        <f t="shared" si="4"/>
        <v>0.9</v>
      </c>
      <c r="K34" s="60">
        <f t="shared" si="4"/>
        <v>0.9</v>
      </c>
      <c r="L34" s="60">
        <f t="shared" si="4"/>
        <v>0.9</v>
      </c>
      <c r="M34" s="60">
        <f t="shared" si="4"/>
        <v>0.9</v>
      </c>
      <c r="N34" s="60">
        <f t="shared" si="4"/>
        <v>0.9</v>
      </c>
      <c r="O34" s="60">
        <f t="shared" si="4"/>
        <v>0.9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kLqoy3b/slzBktz4j8XiMb2eCiHkdvu9SUF+SW1cJ+POI6nnXUti3nTh2K4gAxjUVA+66Mgc7C3lKBPXO8Ighw==" saltValue="l2ASByBYQ+3dq/lN+hG5F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t/Jx7DeyYHzhMcaxrm2uRa7+Wnp9g5HO1sRg0iZHxLlQ/EONvBlgnQPv4HuNEs5b5oHzFGi3ti5eibqOaq8yyg==" saltValue="EecZgNmnbCM8H7IvxAVEw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PyFrcIxqHNHmCpdYCn/9VdmSxYkj653qCrXAoTn3C4pOW72CdaYb08UHOrCJYDYxzbMTlaG0nV57EQ5z7EL+Bg==" saltValue="UcBskmqNz1WkJV0/GWIG1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6syxnbc1/fNu8kx743F3CdTJ8p9ufcZr5BwrELI6lez3Y62+CILG9uoAaIshOL97vJ5IZKdyGHXVRUNoEddl7Q==" saltValue="//v2x421e9FqcBHuR+mhH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wBOpCNgsQPhHwYcN/RNmcMSkR7dN9x0eDpk1WVtzLfh9l5LIr7EFt5D+Mi1CYNJNUtBB46jp1dS/CngLQ3kqsQ==" saltValue="eNgNjhCcMmnJ+0vFLnTwM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tVaPozTOGccVvfpT8sOgOnjI7cyLd5pBl5KgG4JMrCbjRpv7FuIDhMNLFNBidUKnqeL+Ff9/E+uFZ0Zl8slP2g==" saltValue="EGFK8gz1QPqQY5WHuABRx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xC33qulrxnOSu3gPxSsEeDFnm6cER6YvKXM8xCte9et7XB5RfWapW/aHuOecN3HDh6e2ryg2f41Mwyi9hc972g==" saltValue="hWl/Y3V5ieYCrFec+KrZRQ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/7wggSXdJfDxWukkHHvVY1D0jtUwDghZFWLbk1zSPWLr6OnA3Fk5lHt2TQVNsz1UNKnI9K3yUdgftgmIG77k3w==" saltValue="mM3H43LMNbGvopNHCe83r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eDsfHnkTGQXhp6Z5oe2ZS1SuGMdTVSsbOn5tRuPQJ4BSE09fBQLGCf+OVdZJ74H3R+rVpfe83AQnKKQ2IJx37Q==" saltValue="5d9duS9Qam/MMDrfEx53L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7w8InWhCYFxfaAid2mDSLjOKZ3LkB79yfVD1JsugdOcUSFxPWIHqUjdjeAelC4uINtobU0MxwA9UN5MaXJ/cAw==" saltValue="BPHSUPlXkjyx/OIOJf5v+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wUB1Ke41l2EbZFJLCaM0M00a0Cf8aMl32DizWX4JcJe+A4gsr0SGJ+ySSJKydj5Krcs7ml4VqOFFNfLqQr96RA==" saltValue="uGbUkLdlREk/ihwYiuk0o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k1Qc07eB7BzbeU7Ee8Z2lsyQQyFCWvXA+5M4cysYm3mKyZxvROCn1NsfdtfpXAgVwTBdk4xFzPhbE5/tGMRHvw==" saltValue="VmCqsBX6JC2Nl7cLn2zS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3wnzGPNt8jRBtG8yNqanjx72S43PPq30b7gd1e+sSKPeFbkroq/9tHQMhbSl2ozd8AjCwnhmz6LnTA2RrXb0og==" saltValue="Fi1oX9cPM2KwQTedcD1pm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PfFKVsCP4fZvuqbjI23XHzkuVfJX29XDvWGfTq6DkkFJFs9u1Y3lPDwpzv2hfUMsxghNBV40+VYco5TtpRVHA==" saltValue="ZfWYVc7kn9PmNPuEfrxT+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GVjIXR+jxJ4P6vSZ56p1gieAfhhbBB2DWUYJyHeMYeIUOZeebMNhLfpzsR7QC9BT81TLjScQ7oh/32tXC5mewA==" saltValue="LoLgNWAXC2oxR07sj2hNU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2025-07-08T03:28:05Z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