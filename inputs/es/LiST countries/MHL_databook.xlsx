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E082A66-1156-4244-9F10-F68ABC3DBFB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19" i="2" l="1"/>
  <c r="A22" i="2"/>
  <c r="I11" i="2"/>
  <c r="A23" i="2"/>
  <c r="A25" i="2"/>
  <c r="A26" i="2"/>
  <c r="I39" i="2"/>
  <c r="I3" i="2"/>
  <c r="I9" i="2"/>
  <c r="A31" i="2"/>
  <c r="A34" i="2"/>
  <c r="A40" i="2"/>
  <c r="I2" i="2"/>
  <c r="I6" i="2"/>
  <c r="I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<sst xmlns="http://schemas.openxmlformats.org/spreadsheetml/2006/main" count="2159" uniqueCount="372">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</sst>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3702</v>
      </c>
    </row>
    <row r="8" spans="1:3" ht="15" customHeight="1" x14ac:dyDescent="0.25">
      <c r="B8" s="5" t="s">
        <v>63</v>
      </c>
      <c r="C8" s="44">
        <v>7.2000000000000008E-2</v>
      </c>
    </row>
    <row r="9" spans="1:3" ht="15" customHeight="1" x14ac:dyDescent="0.25">
      <c r="B9" s="5" t="s">
        <v>62</v>
      </c>
      <c r="C9" s="45">
        <v>0.9</v>
      </c>
    </row>
    <row r="10" spans="1:3" ht="15" customHeight="1" x14ac:dyDescent="0.25">
      <c r="B10" s="5" t="s">
        <v>75</v>
      </c>
      <c r="C10" s="45">
        <v>0.5842967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3.4700000000000002E-2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0.44009999999999999</v>
      </c>
    </row>
    <row r="26" spans="1:3" ht="15" customHeight="1" x14ac:dyDescent="0.25">
      <c r="B26" s="15" t="s">
        <v>67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0.18152033947509999</v>
      </c>
    </row>
    <row r="30" spans="1:3" ht="14.25" customHeight="1" x14ac:dyDescent="0.25">
      <c r="B30" s="25" t="s">
        <v>82</v>
      </c>
      <c r="C30" s="99">
        <v>6.3697307314517504E-2</v>
      </c>
    </row>
    <row r="31" spans="1:3" ht="14.25" customHeight="1" x14ac:dyDescent="0.25">
      <c r="B31" s="25" t="s">
        <v>29</v>
      </c>
      <c r="C31" s="99">
        <v>0.122289508790448</v>
      </c>
    </row>
    <row r="32" spans="1:3" ht="14.25" customHeight="1" x14ac:dyDescent="0.25">
      <c r="B32" s="25" t="s">
        <v>30</v>
      </c>
      <c r="C32" s="99">
        <v>0.63249284441993503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33.42812</v>
      </c>
    </row>
    <row r="38" spans="1:5" ht="15" customHeight="1" x14ac:dyDescent="0.25">
      <c r="B38" s="11" t="s">
        <v>54</v>
      </c>
      <c r="C38" s="43">
        <v>61.631399999999999</v>
      </c>
      <c r="D38" s="12"/>
      <c r="E38" s="13"/>
    </row>
    <row r="39" spans="1:5" ht="15" customHeight="1" x14ac:dyDescent="0.25">
      <c r="B39" s="11" t="s">
        <v>80</v>
      </c>
      <c r="C39" s="43">
        <v>97.066919999999996</v>
      </c>
      <c r="D39" s="12"/>
      <c r="E39" s="12"/>
    </row>
    <row r="40" spans="1:5" ht="15" customHeight="1" x14ac:dyDescent="0.25">
      <c r="B40" s="11" t="s">
        <v>55</v>
      </c>
      <c r="C40" s="100">
        <v>4.4000000000000004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78</v>
      </c>
      <c r="C47" s="45">
        <v>7.6044899999999999E-2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0.40586299999999997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3YoBAhwgJApfZMJ/e5gt7LCH2QeGI86QwTmTsFjjvkamX5XBP1Tnm5rMZMfsyGjexeZB6NovDvzElVXkF1Pygg==" saltValue="khVTySzqqMY50hCw3u6C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/yhnryvtotCu1t3nk7GW/v1mXN9TARfxwDzrup1fF+5bYIVpKt5DDjt8TrwRY5zlo1D8dROfxY1ft3XHC3UNA==" saltValue="0/bV9ptJ4UXwphh79UZW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2.5390799999999981E-2</v>
      </c>
    </row>
    <row r="4" spans="1:8" ht="15.75" customHeight="1" x14ac:dyDescent="0.25">
      <c r="B4" s="19" t="s">
        <v>116</v>
      </c>
      <c r="C4" s="101">
        <v>6.3736599999999907E-2</v>
      </c>
    </row>
    <row r="5" spans="1:8" ht="15.75" customHeight="1" x14ac:dyDescent="0.25">
      <c r="B5" s="19" t="s">
        <v>114</v>
      </c>
      <c r="C5" s="101">
        <v>0.1035504000000001</v>
      </c>
    </row>
    <row r="6" spans="1:8" ht="15.75" customHeight="1" x14ac:dyDescent="0.25">
      <c r="B6" s="19" t="s">
        <v>110</v>
      </c>
      <c r="C6" s="101">
        <v>0.24952009999999991</v>
      </c>
    </row>
    <row r="7" spans="1:8" ht="15.75" customHeight="1" x14ac:dyDescent="0.25">
      <c r="B7" s="19" t="s">
        <v>115</v>
      </c>
      <c r="C7" s="101">
        <v>0.38443950000000021</v>
      </c>
    </row>
    <row r="8" spans="1:8" ht="15.75" customHeight="1" x14ac:dyDescent="0.25">
      <c r="B8" s="19" t="s">
        <v>117</v>
      </c>
      <c r="C8" s="101">
        <v>6.0205000000000067E-3</v>
      </c>
    </row>
    <row r="9" spans="1:8" ht="15.75" customHeight="1" x14ac:dyDescent="0.25">
      <c r="B9" s="19" t="s">
        <v>111</v>
      </c>
      <c r="C9" s="101">
        <v>5.4902399999999983E-2</v>
      </c>
    </row>
    <row r="10" spans="1:8" ht="15.75" customHeight="1" x14ac:dyDescent="0.25">
      <c r="B10" s="19" t="s">
        <v>113</v>
      </c>
      <c r="C10" s="101">
        <v>0.11243969999999991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121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2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109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3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120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98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107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118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8.8798472000000003E-2</v>
      </c>
    </row>
    <row r="27" spans="1:8" ht="15.75" customHeight="1" x14ac:dyDescent="0.25">
      <c r="B27" s="19" t="s">
        <v>108</v>
      </c>
      <c r="C27" s="101">
        <v>8.9405939999999996E-3</v>
      </c>
    </row>
    <row r="28" spans="1:8" ht="15.75" customHeight="1" x14ac:dyDescent="0.25">
      <c r="B28" s="19" t="s">
        <v>122</v>
      </c>
      <c r="C28" s="101">
        <v>0.15585153099999999</v>
      </c>
    </row>
    <row r="29" spans="1:8" ht="15.75" customHeight="1" x14ac:dyDescent="0.25">
      <c r="B29" s="19" t="s">
        <v>105</v>
      </c>
      <c r="C29" s="101">
        <v>0.170199079</v>
      </c>
    </row>
    <row r="30" spans="1:8" ht="15.75" customHeight="1" x14ac:dyDescent="0.25">
      <c r="B30" s="19" t="s">
        <v>4</v>
      </c>
      <c r="C30" s="101">
        <v>0.10628299300000001</v>
      </c>
    </row>
    <row r="31" spans="1:8" ht="15.75" customHeight="1" x14ac:dyDescent="0.25">
      <c r="B31" s="19" t="s">
        <v>99</v>
      </c>
      <c r="C31" s="101">
        <v>0.108972139</v>
      </c>
    </row>
    <row r="32" spans="1:8" ht="15.75" customHeight="1" x14ac:dyDescent="0.25">
      <c r="B32" s="19" t="s">
        <v>104</v>
      </c>
      <c r="C32" s="101">
        <v>1.8807035E-2</v>
      </c>
    </row>
    <row r="33" spans="2:3" ht="15.75" customHeight="1" x14ac:dyDescent="0.25">
      <c r="B33" s="19" t="s">
        <v>119</v>
      </c>
      <c r="C33" s="101">
        <v>8.4353397999999996E-2</v>
      </c>
    </row>
    <row r="34" spans="2:3" ht="15.75" customHeight="1" x14ac:dyDescent="0.25">
      <c r="B34" s="19" t="s">
        <v>106</v>
      </c>
      <c r="C34" s="101">
        <v>0.25779475800000001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sHZmQwniFoNIjCnHT/V5cjcMNTnuoFMcckyudHJVMTnWZ9zDjpXJeuZipCJLdwauvmn/8AdBoskpiiniIDp9Bw==" saltValue="0BVc8XTXJmXuHerglvtE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129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125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126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2ujYywT55LpIbU6v1/G5d0qtyrviO6t4KYk/lVPdtLj7y4JU/VbBp7SXHwsPzKk2DbV1BTIEBOtcLA6g6/msw==" saltValue="csnky/APOycbwRjR2Aj7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WEp6AKyyVJScf8Fsv9fNC382Rn279P9YdOn1ESKcLWYYexuxzQ6OatwRqw+8uRhgGzYB7NEPtqVe2h/mVXPYKg==" saltValue="aVCbqodg1Et7THGQWHIj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jMb9xhWV7kyafVqBUPxZ0Ez/Fi4PimKyyolmtMkDmPDvq4WrLD7GhdpUGA81KDU4ixBagWGER18t3RjC9MG7w==" saltValue="n8St0+EV1HhJqrU2VdC4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6225.1792224411502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0.48199999999999998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0.74736999999999998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1.8910499027524799E-2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98027.941210000005</v>
      </c>
      <c r="C22" s="109">
        <v>97928.220270000005</v>
      </c>
      <c r="D22" s="109">
        <v>97781.597519999996</v>
      </c>
      <c r="E22" s="109">
        <v>97432.520189999996</v>
      </c>
      <c r="F22" s="109">
        <v>96963.115000000005</v>
      </c>
      <c r="G22" s="109">
        <v>96489.588149999996</v>
      </c>
      <c r="H22" s="109">
        <v>95931.055770000006</v>
      </c>
      <c r="I22" s="109">
        <v>95151.856369999994</v>
      </c>
      <c r="J22" s="109">
        <v>93945.804000000004</v>
      </c>
      <c r="K22" s="109">
        <v>92040.425470000002</v>
      </c>
      <c r="L22" s="109">
        <v>89096.366930000004</v>
      </c>
      <c r="M22" s="109">
        <v>84789.908230000001</v>
      </c>
      <c r="N22" s="109">
        <v>59902.527269999999</v>
      </c>
      <c r="O22" s="109">
        <v>59902.527269999999</v>
      </c>
    </row>
  </sheetData>
  <sheetProtection algorithmName="SHA-512" hashValue="cW6Ifl9Tv264wFoCNO9l20GrzWsWpKdmYYHpdWZSP3eLTihw6Rl9CWJ+72XxTGbTbju9aiLfIF+nqoHiKyJUdg==" saltValue="Ykihcry76DDI205s/+Nre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E7w6RGzVNBu4nyeTZepKkV6VSgOrj+vE/d3B5IHnym6qf05rMGse2kyvlIC4Iozz+BNBCTHOC/k28vYxqyY7A==" saltValue="Lqc+At/+fUmltGdsyAMN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t/Nyb9kdYvAV5At/fBM+a5NT2yuJNmAwcRuBdDq9r5W/YykIKSbCxc9VoCi9pNgRyEmC10Y4djcDOIK2AmEUg==" saltValue="9jB7lj2ysSzBdtTIX/SL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1.1645825935762411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1.899427422400078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0.28031230000000001</v>
      </c>
      <c r="C10" s="98">
        <v>0.95</v>
      </c>
      <c r="D10" s="56">
        <v>12.99613066460511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12.99613066460511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12.99613066460511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12.99613066460511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0.28031230000000001</v>
      </c>
      <c r="C14" s="98">
        <v>0.95</v>
      </c>
      <c r="D14" s="56">
        <v>12.99613066460511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12.99613066460511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0.7607335999999999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0.12279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0.34721740000000001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0.34721740000000001</v>
      </c>
      <c r="C19" s="98">
        <v>0.95</v>
      </c>
      <c r="D19" s="56">
        <v>3.11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0.85079989999999994</v>
      </c>
      <c r="C23" s="98">
        <v>0.95</v>
      </c>
      <c r="D23" s="56">
        <v>4.2693071752319298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0.47779756487578001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0.21443380000000001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0.2174344</v>
      </c>
      <c r="C29" s="98">
        <v>0.95</v>
      </c>
      <c r="D29" s="56">
        <v>20.363404650299319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0.41820000000000002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0.85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0.17300869999999999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0.64071500000000003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4.764E-3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0.52630830000000006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0.15360070000000001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zqZUHW1kTIub5w7J7dz15i1SfTwjUSFTHPB8WeIjbBMqmypr+F89yv6VtF2tkIIDp+fOxV8d2kldn0Q1oir0tw==" saltValue="K12dyjdrEmCjCxRiHykw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Xol2ketRjva+IwaRDlRXKoVp/tuesWjJE6Tt499V87Ax9KB7DjJ0g7ubolQc2PUpYiRpGijxUGs/eSD0sUpEQ==" saltValue="27YMUTA/dlAMb1owDwsi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EZzdIv02oFaOR7PpjEGESzdnou9FgNj/+JwIHDinLn0W8iGTpgMhM4U8kNn/0ffAr1fQ6MdlIJf4go/LT3eAw==" saltValue="cULQ8epMAwtx5SRxOkO8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236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hFmblcss3W3H1Lo7Ev7cYS9PS80uzJ4aQaBO21Q1OCD+PyjUNWkcUUeyDtHIJwLETwWBuGmYjoaXBukT7V6sQQ==" saltValue="2V8/Z/as52wNyhuNU2rG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7.2000000000000008E-2</v>
      </c>
      <c r="F2" s="60">
        <f>food_insecure</f>
        <v>7.2000000000000008E-2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7.2000000000000008E-2</v>
      </c>
      <c r="F5" s="60">
        <f>food_insecure</f>
        <v>7.2000000000000008E-2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7.2000000000000008E-2</v>
      </c>
      <c r="F8" s="60">
        <f>food_insecure</f>
        <v>7.2000000000000008E-2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7.2000000000000008E-2</v>
      </c>
      <c r="F9" s="60">
        <f>food_insecure</f>
        <v>7.2000000000000008E-2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7.2000000000000008E-2</v>
      </c>
      <c r="I15" s="60">
        <f t="shared" si="0"/>
        <v>7.2000000000000008E-2</v>
      </c>
      <c r="J15" s="60">
        <f t="shared" si="0"/>
        <v>7.2000000000000008E-2</v>
      </c>
      <c r="K15" s="60">
        <f t="shared" si="0"/>
        <v>7.2000000000000008E-2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7.2000000000000008E-2</v>
      </c>
      <c r="I16" s="60">
        <f t="shared" si="0"/>
        <v>7.2000000000000008E-2</v>
      </c>
      <c r="J16" s="60">
        <f t="shared" si="0"/>
        <v>7.2000000000000008E-2</v>
      </c>
      <c r="K16" s="60">
        <f t="shared" si="0"/>
        <v>7.2000000000000008E-2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0.209980050896</v>
      </c>
      <c r="M25" s="60">
        <f>(1-food_insecure)*(0.49)+food_insecure*(0.7)</f>
        <v>0.50512000000000001</v>
      </c>
      <c r="N25" s="60">
        <f>(1-food_insecure)*(0.49)+food_insecure*(0.7)</f>
        <v>0.50512000000000001</v>
      </c>
      <c r="O25" s="60">
        <f>(1-food_insecure)*(0.49)+food_insecure*(0.7)</f>
        <v>0.50512000000000001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8.9991450383999999E-2</v>
      </c>
      <c r="M26" s="60">
        <f>(1-food_insecure)*(0.21)+food_insecure*(0.3)</f>
        <v>0.21647999999999998</v>
      </c>
      <c r="N26" s="60">
        <f>(1-food_insecure)*(0.21)+food_insecure*(0.3)</f>
        <v>0.21647999999999998</v>
      </c>
      <c r="O26" s="60">
        <f>(1-food_insecure)*(0.21)+food_insecure*(0.3)</f>
        <v>0.21647999999999998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0.11573179871999999</v>
      </c>
      <c r="M27" s="60">
        <f>(1-food_insecure)*(0.3)</f>
        <v>0.27839999999999998</v>
      </c>
      <c r="N27" s="60">
        <f>(1-food_insecure)*(0.3)</f>
        <v>0.27839999999999998</v>
      </c>
      <c r="O27" s="60">
        <f>(1-food_insecure)*(0.3)</f>
        <v>0.27839999999999998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0.5842967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Lqoy3b/slzBktz4j8XiMb2eCiHkdvu9SUF+SW1cJ+POI6nnXUti3nTh2K4gAxjUVA+66Mgc7C3lKBPXO8Ighw==" saltValue="l2ASByBYQ+3dq/lN+hG5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/Jx7DeyYHzhMcaxrm2uRa7+Wnp9g5HO1sRg0iZHxLlQ/EONvBlgnQPv4HuNEs5b5oHzFGi3ti5eibqOaq8yyg==" saltValue="EecZgNmnbCM8H7IvxAVE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yFrcIxqHNHmCpdYCn/9VdmSxYkj653qCrXAoTn3C4pOW72CdaYb08UHOrCJYDYxzbMTlaG0nV57EQ5z7EL+Bg==" saltValue="UcBskmqNz1WkJV0/GWIG1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syxnbc1/fNu8kx743F3CdTJ8p9ufcZr5BwrELI6lez3Y62+CILG9uoAaIshOL97vJ5IZKdyGHXVRUNoEddl7Q==" saltValue="//v2x421e9FqcBHuR+mh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BOpCNgsQPhHwYcN/RNmcMSkR7dN9x0eDpk1WVtzLfh9l5LIr7EFt5D+Mi1CYNJNUtBB46jp1dS/CngLQ3kqsQ==" saltValue="eNgNjhCcMmnJ+0vFLnTw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tVaPozTOGccVvfpT8sOgOnjI7cyLd5pBl5KgG4JMrCbjRpv7FuIDhMNLFNBidUKnqeL+Ff9/E+uFZ0Zl8slP2g==" saltValue="EGFK8gz1QPqQY5WHuABR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C33qulrxnOSu3gPxSsEeDFnm6cER6YvKXM8xCte9et7XB5RfWapW/aHuOecN3HDh6e2ryg2f41Mwyi9hc972g==" saltValue="hWl/Y3V5ieYCrFec+KrZR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/7wggSXdJfDxWukkHHvVY1D0jtUwDghZFWLbk1zSPWLr6OnA3Fk5lHt2TQVNsz1UNKnI9K3yUdgftgmIG77k3w==" saltValue="mM3H43LMNbGvopNHCe83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DsfHnkTGQXhp6Z5oe2ZS1SuGMdTVSsbOn5tRuPQJ4BSE09fBQLGCf+OVdZJ74H3R+rVpfe83AQnKKQ2IJx37Q==" saltValue="5d9duS9Qam/MMDrfEx53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w8InWhCYFxfaAid2mDSLjOKZ3LkB79yfVD1JsugdOcUSFxPWIHqUjdjeAelC4uINtobU0MxwA9UN5MaXJ/cAw==" saltValue="BPHSUPlXkjyx/OIOJf5v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UB1Ke41l2EbZFJLCaM0M00a0Cf8aMl32DizWX4JcJe+A4gsr0SGJ+ySSJKydj5Krcs7ml4VqOFFNfLqQr96RA==" saltValue="uGbUkLdlREk/ihwYiuk0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1Qc07eB7BzbeU7Ee8Z2lsyQQyFCWvXA+5M4cysYm3mKyZxvROCn1NsfdtfpXAgVwTBdk4xFzPhbE5/tGMRHvw==" saltValue="VmCqsBX6JC2Nl7cLn2zS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wnzGPNt8jRBtG8yNqanjx72S43PPq30b7gd1e+sSKPeFbkroq/9tHQMhbSl2ozd8AjCwnhmz6LnTA2RrXb0og==" saltValue="Fi1oX9cPM2KwQTedcD1p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PfFKVsCP4fZvuqbjI23XHzkuVfJX29XDvWGfTq6DkkFJFs9u1Y3lPDwpzv2hfUMsxghNBV40+VYco5TtpRVHA==" saltValue="ZfWYVc7kn9PmNPuEfrxT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VjIXR+jxJ4P6vSZ56p1gieAfhhbBB2DWUYJyHeMYeIUOZeebMNhLfpzsR7QC9BT81TLjScQ7oh/32tXC5mewA==" saltValue="LoLgNWAXC2oxR07sj2hNU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