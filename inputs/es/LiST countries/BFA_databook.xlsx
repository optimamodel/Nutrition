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7B96F5F-CA7F-4461-B69D-4D82C9C97C5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6" i="2"/>
  <c r="A34" i="2"/>
  <c r="A31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8" i="2" l="1"/>
  <c r="A24" i="2"/>
  <c r="A26" i="2"/>
  <c r="I6" i="2"/>
  <c r="I12" i="2"/>
  <c r="A35" i="2"/>
  <c r="I7" i="2"/>
  <c r="I13" i="2"/>
  <c r="A37" i="2"/>
  <c r="A19" i="2"/>
  <c r="A22" i="2"/>
  <c r="I2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<sst xmlns="http://schemas.openxmlformats.org/spreadsheetml/2006/main" count="2169" uniqueCount="373">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</sst>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3360280</v>
      </c>
    </row>
    <row r="8" spans="1:3" ht="15" customHeight="1" x14ac:dyDescent="0.25">
      <c r="B8" s="5" t="s">
        <v>63</v>
      </c>
      <c r="C8" s="44">
        <v>0.39900000000000002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0.25918239999999998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0.1002</v>
      </c>
    </row>
    <row r="24" spans="1:3" ht="15" customHeight="1" x14ac:dyDescent="0.25">
      <c r="B24" s="15" t="s">
        <v>65</v>
      </c>
      <c r="C24" s="45">
        <v>0.46389999999999998</v>
      </c>
    </row>
    <row r="25" spans="1:3" ht="15" customHeight="1" x14ac:dyDescent="0.25">
      <c r="B25" s="15" t="s">
        <v>66</v>
      </c>
      <c r="C25" s="45">
        <v>0.34920000000000001</v>
      </c>
    </row>
    <row r="26" spans="1:3" ht="15" customHeight="1" x14ac:dyDescent="0.25">
      <c r="B26" s="15" t="s">
        <v>67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0.21763249840316501</v>
      </c>
    </row>
    <row r="30" spans="1:3" ht="14.25" customHeight="1" x14ac:dyDescent="0.25">
      <c r="B30" s="25" t="s">
        <v>82</v>
      </c>
      <c r="C30" s="97">
        <v>2.8261826382030401E-2</v>
      </c>
    </row>
    <row r="31" spans="1:3" ht="14.25" customHeight="1" x14ac:dyDescent="0.25">
      <c r="B31" s="25" t="s">
        <v>29</v>
      </c>
      <c r="C31" s="97">
        <v>5.3921783185132001E-2</v>
      </c>
    </row>
    <row r="32" spans="1:3" ht="14.25" customHeight="1" x14ac:dyDescent="0.25">
      <c r="B32" s="25" t="s">
        <v>30</v>
      </c>
      <c r="C32" s="97">
        <v>0.70018389202967202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25.253029999999999</v>
      </c>
    </row>
    <row r="38" spans="1:5" ht="15" customHeight="1" x14ac:dyDescent="0.25">
      <c r="B38" s="11" t="s">
        <v>54</v>
      </c>
      <c r="C38" s="43">
        <v>51.773859999999999</v>
      </c>
      <c r="D38" s="12"/>
      <c r="E38" s="13"/>
    </row>
    <row r="39" spans="1:5" ht="15" customHeight="1" x14ac:dyDescent="0.25">
      <c r="B39" s="11" t="s">
        <v>80</v>
      </c>
      <c r="C39" s="43">
        <v>82.607579999999999</v>
      </c>
      <c r="D39" s="12"/>
      <c r="E39" s="12"/>
    </row>
    <row r="40" spans="1:5" ht="15" customHeight="1" x14ac:dyDescent="0.25">
      <c r="B40" s="11" t="s">
        <v>55</v>
      </c>
      <c r="C40" s="98">
        <v>2.64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7.9159E-3</v>
      </c>
      <c r="D45" s="12"/>
    </row>
    <row r="46" spans="1:5" ht="15.75" customHeight="1" x14ac:dyDescent="0.25">
      <c r="B46" s="11" t="s">
        <v>70</v>
      </c>
      <c r="C46" s="45">
        <v>8.5054999999999992E-2</v>
      </c>
      <c r="D46" s="12"/>
    </row>
    <row r="47" spans="1:5" ht="15.75" customHeight="1" x14ac:dyDescent="0.25">
      <c r="B47" s="11" t="s">
        <v>78</v>
      </c>
      <c r="C47" s="45">
        <v>7.3472799999999991E-2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3.1459999999999999</v>
      </c>
      <c r="D51" s="12"/>
    </row>
    <row r="52" spans="1:4" ht="15" customHeight="1" x14ac:dyDescent="0.25">
      <c r="B52" s="11" t="s">
        <v>32</v>
      </c>
      <c r="C52" s="98">
        <v>3.1459999999999999</v>
      </c>
    </row>
    <row r="53" spans="1:4" ht="15.75" customHeight="1" x14ac:dyDescent="0.25">
      <c r="B53" s="11" t="s">
        <v>35</v>
      </c>
      <c r="C53" s="98">
        <v>7.6439999999999992</v>
      </c>
    </row>
    <row r="54" spans="1:4" ht="15.75" customHeight="1" x14ac:dyDescent="0.25">
      <c r="B54" s="11" t="s">
        <v>33</v>
      </c>
      <c r="C54" s="98">
        <v>6.1619999999999999</v>
      </c>
    </row>
    <row r="55" spans="1:4" ht="15.75" customHeight="1" x14ac:dyDescent="0.25">
      <c r="B55" s="11" t="s">
        <v>34</v>
      </c>
      <c r="C55" s="98">
        <v>3.0333333333333332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0.41227000000000008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uwwcOxOHcltYfh45/E2MoX/TGPKd5EcWy67wMyisQ2lhmt94E0981oQpYzWoYM0hSzxQfsA39LPnYdWlCwfEdg==" saltValue="B+i1A8tLAMmtucigvjeQ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Hd74C5YD5GcQkWO4pzojRN1CBdu5t/CQqFDDzZBOAwf+CfzUe5sSKGt9UaBbkNok+Q9rhJDYH25wFzhGK6K3w==" saltValue="wEnSBfOeGupX0AtBt+HX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2.0333900000000009E-2</v>
      </c>
    </row>
    <row r="4" spans="1:8" ht="15.75" customHeight="1" x14ac:dyDescent="0.25">
      <c r="B4" s="19" t="s">
        <v>116</v>
      </c>
      <c r="C4" s="99">
        <v>5.8515499999999963E-2</v>
      </c>
    </row>
    <row r="5" spans="1:8" ht="15.75" customHeight="1" x14ac:dyDescent="0.25">
      <c r="B5" s="19" t="s">
        <v>114</v>
      </c>
      <c r="C5" s="99">
        <v>8.584010000000003E-2</v>
      </c>
    </row>
    <row r="6" spans="1:8" ht="15.75" customHeight="1" x14ac:dyDescent="0.25">
      <c r="B6" s="19" t="s">
        <v>110</v>
      </c>
      <c r="C6" s="99">
        <v>0.24612210000000009</v>
      </c>
    </row>
    <row r="7" spans="1:8" ht="15.75" customHeight="1" x14ac:dyDescent="0.25">
      <c r="B7" s="19" t="s">
        <v>115</v>
      </c>
      <c r="C7" s="99">
        <v>0.40482630000000008</v>
      </c>
    </row>
    <row r="8" spans="1:8" ht="15.75" customHeight="1" x14ac:dyDescent="0.25">
      <c r="B8" s="19" t="s">
        <v>117</v>
      </c>
      <c r="C8" s="99">
        <v>2.627099999999999E-3</v>
      </c>
    </row>
    <row r="9" spans="1:8" ht="15.75" customHeight="1" x14ac:dyDescent="0.25">
      <c r="B9" s="19" t="s">
        <v>111</v>
      </c>
      <c r="C9" s="99">
        <v>7.09566999999999E-2</v>
      </c>
    </row>
    <row r="10" spans="1:8" ht="15.75" customHeight="1" x14ac:dyDescent="0.25">
      <c r="B10" s="19" t="s">
        <v>113</v>
      </c>
      <c r="C10" s="99">
        <v>0.1107782999999999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121</v>
      </c>
      <c r="C15" s="99">
        <v>0.19098412290106179</v>
      </c>
      <c r="D15" s="99">
        <v>0.19098412290106179</v>
      </c>
      <c r="E15" s="99">
        <v>0.19098412290106179</v>
      </c>
      <c r="F15" s="99">
        <v>0.19098412290106179</v>
      </c>
    </row>
    <row r="16" spans="1:8" ht="15.75" customHeight="1" x14ac:dyDescent="0.25">
      <c r="B16" s="19" t="s">
        <v>2</v>
      </c>
      <c r="C16" s="99">
        <v>2.6058078020985261E-2</v>
      </c>
      <c r="D16" s="99">
        <v>2.6058078020985261E-2</v>
      </c>
      <c r="E16" s="99">
        <v>2.6058078020985261E-2</v>
      </c>
      <c r="F16" s="99">
        <v>2.6058078020985261E-2</v>
      </c>
    </row>
    <row r="17" spans="1:8" ht="15.75" customHeight="1" x14ac:dyDescent="0.25">
      <c r="B17" s="19" t="s">
        <v>109</v>
      </c>
      <c r="C17" s="99">
        <v>2.5256963390322511E-2</v>
      </c>
      <c r="D17" s="99">
        <v>2.5256963390322511E-2</v>
      </c>
      <c r="E17" s="99">
        <v>2.5256963390322511E-2</v>
      </c>
      <c r="F17" s="99">
        <v>2.5256963390322511E-2</v>
      </c>
    </row>
    <row r="18" spans="1:8" ht="15.75" customHeight="1" x14ac:dyDescent="0.25">
      <c r="B18" s="19" t="s">
        <v>3</v>
      </c>
      <c r="C18" s="99">
        <v>0.41568012984165698</v>
      </c>
      <c r="D18" s="99">
        <v>0.41568012984165698</v>
      </c>
      <c r="E18" s="99">
        <v>0.41568012984165698</v>
      </c>
      <c r="F18" s="99">
        <v>0.41568012984165698</v>
      </c>
    </row>
    <row r="19" spans="1:8" ht="15.75" customHeight="1" x14ac:dyDescent="0.25">
      <c r="B19" s="19" t="s">
        <v>120</v>
      </c>
      <c r="C19" s="99">
        <v>1.2538035018300199E-2</v>
      </c>
      <c r="D19" s="99">
        <v>1.2538035018300199E-2</v>
      </c>
      <c r="E19" s="99">
        <v>1.2538035018300199E-2</v>
      </c>
      <c r="F19" s="99">
        <v>1.2538035018300199E-2</v>
      </c>
    </row>
    <row r="20" spans="1:8" ht="15.75" customHeight="1" x14ac:dyDescent="0.25">
      <c r="B20" s="19" t="s">
        <v>98</v>
      </c>
      <c r="C20" s="99">
        <v>1.0855404083290819E-2</v>
      </c>
      <c r="D20" s="99">
        <v>1.0855404083290819E-2</v>
      </c>
      <c r="E20" s="99">
        <v>1.0855404083290819E-2</v>
      </c>
      <c r="F20" s="99">
        <v>1.0855404083290819E-2</v>
      </c>
    </row>
    <row r="21" spans="1:8" ht="15.75" customHeight="1" x14ac:dyDescent="0.25">
      <c r="B21" s="19" t="s">
        <v>107</v>
      </c>
      <c r="C21" s="99">
        <v>7.773013437261285E-2</v>
      </c>
      <c r="D21" s="99">
        <v>7.773013437261285E-2</v>
      </c>
      <c r="E21" s="99">
        <v>7.773013437261285E-2</v>
      </c>
      <c r="F21" s="99">
        <v>7.773013437261285E-2</v>
      </c>
    </row>
    <row r="22" spans="1:8" ht="15.75" customHeight="1" x14ac:dyDescent="0.25">
      <c r="B22" s="19" t="s">
        <v>118</v>
      </c>
      <c r="C22" s="99">
        <v>0.11449193674951449</v>
      </c>
      <c r="D22" s="99">
        <v>0.11449193674951449</v>
      </c>
      <c r="E22" s="99">
        <v>0.11449193674951449</v>
      </c>
      <c r="F22" s="99">
        <v>0.11449193674951449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8.7586460000000005E-2</v>
      </c>
    </row>
    <row r="27" spans="1:8" ht="15.75" customHeight="1" x14ac:dyDescent="0.25">
      <c r="B27" s="19" t="s">
        <v>108</v>
      </c>
      <c r="C27" s="99">
        <v>8.3866540000000003E-3</v>
      </c>
    </row>
    <row r="28" spans="1:8" ht="15.75" customHeight="1" x14ac:dyDescent="0.25">
      <c r="B28" s="19" t="s">
        <v>122</v>
      </c>
      <c r="C28" s="99">
        <v>0.15511656900000001</v>
      </c>
    </row>
    <row r="29" spans="1:8" ht="15.75" customHeight="1" x14ac:dyDescent="0.25">
      <c r="B29" s="19" t="s">
        <v>105</v>
      </c>
      <c r="C29" s="99">
        <v>0.16688481799999999</v>
      </c>
    </row>
    <row r="30" spans="1:8" ht="15.75" customHeight="1" x14ac:dyDescent="0.25">
      <c r="B30" s="19" t="s">
        <v>4</v>
      </c>
      <c r="C30" s="99">
        <v>0.10560810299999999</v>
      </c>
    </row>
    <row r="31" spans="1:8" ht="15.75" customHeight="1" x14ac:dyDescent="0.25">
      <c r="B31" s="19" t="s">
        <v>99</v>
      </c>
      <c r="C31" s="99">
        <v>0.107401392</v>
      </c>
    </row>
    <row r="32" spans="1:8" ht="15.75" customHeight="1" x14ac:dyDescent="0.25">
      <c r="B32" s="19" t="s">
        <v>104</v>
      </c>
      <c r="C32" s="99">
        <v>1.8908227E-2</v>
      </c>
    </row>
    <row r="33" spans="2:3" ht="15.75" customHeight="1" x14ac:dyDescent="0.25">
      <c r="B33" s="19" t="s">
        <v>119</v>
      </c>
      <c r="C33" s="99">
        <v>8.4811863000000015E-2</v>
      </c>
    </row>
    <row r="34" spans="2:3" ht="15.75" customHeight="1" x14ac:dyDescent="0.25">
      <c r="B34" s="19" t="s">
        <v>106</v>
      </c>
      <c r="C34" s="99">
        <v>0.26529591499999999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vZYPeWH5CSvcqr7hIFpegXz2W1eh0QcECq8BCKaYKCCO4KxJDuKwbedKlkWm01z+W4y7H1BZVzg1W0plSZxJ/Q==" saltValue="iYxFOG+lImgpdjnqYvtet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129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125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126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138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GQkWZ2pr66igQMw1+FLXCYPe5Ts/cIPG8wVUhSSr2YNXMimBFmZ/Gh4xA1lFQgpgIjpeQOAmWqGj00G8Ei//g==" saltValue="CAwOLtfpNhaP53ctZypU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BEPDkLf0oZMhfMuT3Cp+pi9KAxjwhtYcw8UEceWme9coWVwUowUoJp0zlVTfGM0e7fjuaQTqIahHNpaL3vdN0w==" saltValue="Djs5S0pyJb89xYxj+ule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Dondabzi29c5nJOnpXRFHY6ASCYftTQNv+u3qbJkNedgBUTmAPlV1QyHec67W8L4I/0zc5YP8xF6OhAY2CzPg==" saltValue="ATVAYWB++YOK+r8AB1Cd6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830.03715033429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0.51395999999999997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0.59255000000000002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2.4548449236847222E-2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91208.566040000005</v>
      </c>
      <c r="C22" s="107">
        <v>90205.506309999997</v>
      </c>
      <c r="D22" s="107">
        <v>89610.637239999996</v>
      </c>
      <c r="E22" s="107">
        <v>88954.748380000005</v>
      </c>
      <c r="F22" s="107">
        <v>88082.552379999994</v>
      </c>
      <c r="G22" s="107">
        <v>87060.205589999998</v>
      </c>
      <c r="H22" s="107">
        <v>85820.711960000001</v>
      </c>
      <c r="I22" s="107">
        <v>84213.172189999997</v>
      </c>
      <c r="J22" s="107">
        <v>81973.968580000001</v>
      </c>
      <c r="K22" s="107">
        <v>78950.2451</v>
      </c>
      <c r="L22" s="107">
        <v>74595.863949999999</v>
      </c>
      <c r="M22" s="107">
        <v>68776.953930000003</v>
      </c>
      <c r="N22" s="107">
        <v>60827.702940000003</v>
      </c>
      <c r="O22" s="107">
        <v>50971.643470000003</v>
      </c>
    </row>
  </sheetData>
  <sheetProtection algorithmName="SHA-512" hashValue="9MKwYXT3qMaJbaPtM2ZYOH0hBjqiAIeRdEZshdsBPhippq7Hk5/aL0QSYnurR9WXooUez8SAyWtUIPizW8LUMQ==" saltValue="ATMOw1DTtK1xIWcgt7km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B1mrlTSWysAyTLX2Yr1srOWiQuaADsdTs5Z/Q2ssgUslf1g8z4lA8dht/SHXXHBXA8kee6B/sBrxFj9UKDStQ==" saltValue="rN/WewSA9jsfhuFm27y5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1/WIS6EJ0SsqKjGFXEnc1LVLTDUuUWf8GlMo7p4YZoL01h0J6grFQa+Utpy09GFIW6QZuqhSpYMzaPQ5vKusA==" saltValue="8eCpG0IaycZPn4RWTgigv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1.6754856361149111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0.12369357045143639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1.4655480619533601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0.91083447332421352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0.50202689999999994</v>
      </c>
      <c r="C10" s="96">
        <v>0.95</v>
      </c>
      <c r="D10" s="56">
        <v>14.1771259775989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14.1771259775989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14.1771259775989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14.1771259775989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0.50202689999999994</v>
      </c>
      <c r="C14" s="96">
        <v>0.95</v>
      </c>
      <c r="D14" s="56">
        <v>14.1771259775989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14.1771259775989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0.47599999999999998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7.7161999999999994E-2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0.36299999999999999</v>
      </c>
      <c r="C18" s="96">
        <v>0.95</v>
      </c>
      <c r="D18" s="56">
        <v>1.6754856361149111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0.22145599999999999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4.194336525307798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1.6754856361149111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0.753</v>
      </c>
      <c r="C23" s="96">
        <v>0.95</v>
      </c>
      <c r="D23" s="56">
        <v>4.6510701337195632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0.1585419884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0.17</v>
      </c>
      <c r="C26" s="96">
        <v>0.95</v>
      </c>
      <c r="D26" s="56">
        <v>5.363803009575923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0.2117704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5.1927199999999993E-2</v>
      </c>
      <c r="C29" s="96">
        <v>0.95</v>
      </c>
      <c r="D29" s="56">
        <v>55.628302891743601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38.300027359781126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0.26090000000000002</v>
      </c>
      <c r="C31" s="96">
        <v>0.95</v>
      </c>
      <c r="D31" s="56">
        <v>97.279370725034212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0.99</v>
      </c>
      <c r="C32" s="96">
        <v>0.95</v>
      </c>
      <c r="D32" s="56">
        <v>0.16867305061559507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9.1563700000000012E-2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0.20785490000000001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3.8836000000000001E-3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0.31716830000000001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0.17199999999999999</v>
      </c>
      <c r="C38" s="96">
        <v>0.95</v>
      </c>
      <c r="D38" s="56">
        <v>3.5421340629274964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jZWTkYxovr99LEW6Sev3rv9tUwFBvjCQ1MKrjRth8ZcGVoduAFVu29MFs4qb0CNZrtmtiZiXSU4eLPwNUSHYyw==" saltValue="zdKncBt6bMy+XfHAul90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37U1tRwj2PnjZDJzzlycKXIgUfNsKCwD8v1hF1oYqe9JmHHI0dXGcCWOZPkOyuoVGjdodLkso31VtxC7O4dYg==" saltValue="zmWEokaFKj6VlOysHVQj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iRgQE6ehBqv9qH1YjF+nUr5m+a3cGNElTJKE1JeT6KZLOW8SDy6igRv8n99VZMrLFp+1/68Aqg3xzKz2bbhkA==" saltValue="VXPSTz6ViuhARrvne6OYJ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3.1459999999999999</v>
      </c>
      <c r="C2" s="21">
        <f>'Entradas de población-año base'!C52</f>
        <v>3.1459999999999999</v>
      </c>
      <c r="D2" s="21">
        <f>'Entradas de población-año base'!C53</f>
        <v>7.6439999999999992</v>
      </c>
      <c r="E2" s="21">
        <f>'Entradas de población-año base'!C54</f>
        <v>6.1619999999999999</v>
      </c>
      <c r="F2" s="21">
        <f>'Entradas de población-año base'!C55</f>
        <v>3.0333333333333332</v>
      </c>
    </row>
    <row r="3" spans="1:6" ht="15.75" customHeight="1" x14ac:dyDescent="0.25">
      <c r="A3" s="3" t="s">
        <v>6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236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XAsvoD1xnVP8pBVpfUKQkxFHf560dUbOAjuNdiJFwnQXMXYGKH6cd9EM7UvImh7avPuOrSPtZX5y564anbD1ig==" saltValue="QDB/MMnjKOn11CcZl2Lt4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9gLBr1Y7DLDw+m5EBaNItRlTvAof7xcpMbJVB+WVv21uiift2JmP0q5x9nSZcg0dqYSzqDHfPvrO2D00Rtqew==" saltValue="sm9AX9XoyiBVuVUTbXAW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UkrL7mKacUyaiQysFXu6qcrif9jlxB9xnMxvVwrok12+hHHwirSVuQuFSaCjCbadccAjjTL6PkWSbGDqsJtzA==" saltValue="xrH3Ju0hvzpHqFj+zBVx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PKHgRIuwQbKny/OM08Ghk4m+P48tFOefGd1G7XU2W0EnYo8w6Lf8jKPWINQBu1Qj/s4ZxtTvJENjwoGsTPPoQ==" saltValue="yaX6Ho/vWGO7QNGhQrJe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4VWt/1kuesu21vifHGkxXRznCVyBUq1ie3/T29itg5kCSL2x8hKDKUXv4joYL2HhvrSjgSEYRXC5EqXioWMrg==" saltValue="UhVDhyX8tu4xTINlHwNA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gk3BiwLdVq1SSkumli4eb0gxC4sRtw5BvotnWDAKXd5O8+j8nSx7WJHlddGJmzgBuKk5M2Nd0OaZ6W1AQR1WA==" saltValue="6qmYNO9hRwRIxnwPaPWhd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0tGLWo6QI5VGHj45CiiqP5O5jeoVC3r0UprxokKN1r8P/baUsIGLtMXouhjJ82ndVxyoX+yJAOXW+7Vvnri/HA==" saltValue="Zh4lKEbvK9wG7cNntqxj+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3FFnE5iLf8BDvJwzlyo/KVmgOFTI78F+W6ktQUo85yY5051hD1Qmc5DaiPh4fkOz2aL1R/4QXhqTX+4CO3F+Q==" saltValue="q+sSuT0bJCjhzK4/keURW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yot+zx3VHhoxORdyDiyMJjN5AfgLTKtS8bl8U85IaMkn3Ku1eZ0//DN/FX8IUg+toIY4W6hPpKMnu01e8wczg==" saltValue="UWaDQgdjhyFqH9zzbOI+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kuLKiNihhecI6azsTOwkJAQMPi2JiOjWr6GiJwDD7zT65dlmrDDydB+uATA0aAtgHkM86uiflhTa2EMzNGHgg==" saltValue="p5tGBswwQdS/QgJiIC2a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3YGqgZBxfkZj694G8fm1X7h+CdzhgaJGd+1CvIu/gHfmY3TBdP0OpGpWL9/TKWFlxodq1cfRr2wKP6YmoL5Vw==" saltValue="n1CzBXp9jrz9ryY8dmYI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gYOhwCsWIaJBYwab9MQc1WopP9wd7wmsEORw8TS+yhlkbSnXUzJ/8QI+kdaQw7csfMPKocazJo4K6eBjzfvDw==" saltValue="RE09vIQKGjHBzJ3Ygiap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LKXl/HjXsbcoozSF8QlkVYd6haohBk/93El/+v8mcNsDjlH3EI6Xu31btYbmXVMibQY39+oyXESO6KMVx+d2w==" saltValue="JeNz7+O/EQB/Dw+oPH8A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+DwE+gV6fDB+xpmEIXky+xb8BNrpNNL2YzBJu2IVAdgcDSbHXa3uWLNNfvTXqD4YhN3w3bOrNgxKrkD9K9NOA==" saltValue="D9mFCEUr6d/x7S4R6B5W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2WLpXRKDX4W1vBn3WEDB7oNsJdGGttv73NqJ3BMrioqAj9kJQcjCVIdPiNx/1ili23h4jwWHvaiRrvPY5D/joQ==" saltValue="GOwv3vH5D4vay4FdYM35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s8OYJJ676W8lIDa9Rizc945yeq0T+0o7A8czmSuCpRKMGJ2aX04H7HEueuRFW0h4Wy26i8y/m/1/sqcV7aLog==" saltValue="p5nGhuLFdWZvZ9toZSSY4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2026-04-29T01:31:02Z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