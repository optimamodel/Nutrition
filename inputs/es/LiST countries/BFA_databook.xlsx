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D6AD0AC-A82F-44A9-A72D-C4910D26673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36" i="2" s="1"/>
  <c r="C33" i="1"/>
  <c r="C20" i="1"/>
  <c r="A29" i="2" l="1"/>
  <c r="A37" i="2"/>
  <c r="I4" i="2"/>
  <c r="A38" i="2"/>
  <c r="A2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  <c r="A40" i="2"/>
  <c r="A15" i="2"/>
  <c r="A31" i="2"/>
  <c r="A16" i="2"/>
  <c r="A24" i="2"/>
  <c r="A32" i="2"/>
  <c r="A17" i="2"/>
  <c r="A25" i="2"/>
  <c r="A33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<sst xmlns="http://schemas.openxmlformats.org/spreadsheetml/2006/main" count="2101" uniqueCount="341">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</sst>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3718927.21875</v>
      </c>
    </row>
    <row r="8" spans="1:3" ht="15" customHeight="1" x14ac:dyDescent="0.25">
      <c r="B8" s="5" t="s">
        <v>44</v>
      </c>
      <c r="C8" s="44">
        <v>0.43700000000000011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0.29334579467773397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0.1002</v>
      </c>
    </row>
    <row r="24" spans="1:3" ht="15" customHeight="1" x14ac:dyDescent="0.25">
      <c r="B24" s="15" t="s">
        <v>46</v>
      </c>
      <c r="C24" s="45">
        <v>0.46389999999999998</v>
      </c>
    </row>
    <row r="25" spans="1:3" ht="15" customHeight="1" x14ac:dyDescent="0.25">
      <c r="B25" s="15" t="s">
        <v>47</v>
      </c>
      <c r="C25" s="45">
        <v>0.34920000000000001</v>
      </c>
    </row>
    <row r="26" spans="1:3" ht="15" customHeight="1" x14ac:dyDescent="0.25">
      <c r="B26" s="15" t="s">
        <v>48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0.21763249840316501</v>
      </c>
    </row>
    <row r="30" spans="1:3" ht="14.25" customHeight="1" x14ac:dyDescent="0.25">
      <c r="B30" s="25" t="s">
        <v>63</v>
      </c>
      <c r="C30" s="99">
        <v>2.8261826382030401E-2</v>
      </c>
    </row>
    <row r="31" spans="1:3" ht="14.25" customHeight="1" x14ac:dyDescent="0.25">
      <c r="B31" s="25" t="s">
        <v>10</v>
      </c>
      <c r="C31" s="99">
        <v>5.3921783185132001E-2</v>
      </c>
    </row>
    <row r="32" spans="1:3" ht="14.25" customHeight="1" x14ac:dyDescent="0.25">
      <c r="B32" s="25" t="s">
        <v>11</v>
      </c>
      <c r="C32" s="99">
        <v>0.70018389202967202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25.253029999999999</v>
      </c>
    </row>
    <row r="38" spans="1:5" ht="15" customHeight="1" x14ac:dyDescent="0.25">
      <c r="B38" s="11" t="s">
        <v>35</v>
      </c>
      <c r="C38" s="43">
        <v>51.773859999999999</v>
      </c>
      <c r="D38" s="12"/>
      <c r="E38" s="13"/>
    </row>
    <row r="39" spans="1:5" ht="15" customHeight="1" x14ac:dyDescent="0.25">
      <c r="B39" s="11" t="s">
        <v>61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100">
        <v>2.64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7.9159E-3</v>
      </c>
      <c r="D45" s="12"/>
    </row>
    <row r="46" spans="1:5" ht="15.75" customHeight="1" x14ac:dyDescent="0.25">
      <c r="B46" s="11" t="s">
        <v>51</v>
      </c>
      <c r="C46" s="45">
        <v>8.5054999999999992E-2</v>
      </c>
      <c r="D46" s="12"/>
    </row>
    <row r="47" spans="1:5" ht="15.75" customHeight="1" x14ac:dyDescent="0.25">
      <c r="B47" s="11" t="s">
        <v>59</v>
      </c>
      <c r="C47" s="45">
        <v>7.3472799999999991E-2</v>
      </c>
      <c r="D47" s="12"/>
      <c r="E47" s="13"/>
    </row>
    <row r="48" spans="1:5" ht="15" customHeight="1" x14ac:dyDescent="0.25">
      <c r="B48" s="11" t="s">
        <v>58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0.41227000000000008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z461RXrdKc4PQWNzUHfweSV81fmhXMWCvYMf+KjxwxwZLyBhvBzpZkvjWxQA2+9MMv/6x90fyqdaZs47/BKVPw==" saltValue="O4ea8DiqME2CyLI+xnM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810065</v>
      </c>
      <c r="C2" s="49">
        <v>1614385</v>
      </c>
      <c r="D2" s="49">
        <v>1990041.5</v>
      </c>
      <c r="E2" s="49">
        <v>1430003.5</v>
      </c>
      <c r="F2" s="49">
        <v>873738.5</v>
      </c>
      <c r="G2" s="17">
        <f t="shared" ref="G2:G13" si="0">C2+D2+E2+F2</f>
        <v>5908168.5</v>
      </c>
      <c r="H2" s="17">
        <f t="shared" ref="H2:H13" si="1">(B2 + stillbirth*B2/(1000-stillbirth))/(1-abortion)</f>
        <v>939682.63684930699</v>
      </c>
      <c r="I2" s="17">
        <f t="shared" ref="I2:I13" si="2">G2-H2</f>
        <v>4968485.8631506935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819320</v>
      </c>
      <c r="C3" s="50">
        <v>1667263</v>
      </c>
      <c r="D3" s="50">
        <v>2055105</v>
      </c>
      <c r="E3" s="50">
        <v>1466491.5</v>
      </c>
      <c r="F3" s="50">
        <v>909040.5</v>
      </c>
      <c r="G3" s="17">
        <f t="shared" si="0"/>
        <v>6097900</v>
      </c>
      <c r="H3" s="17">
        <f t="shared" si="1"/>
        <v>950418.5195303763</v>
      </c>
      <c r="I3" s="17">
        <f t="shared" si="2"/>
        <v>5147481.4804696236</v>
      </c>
    </row>
    <row r="4" spans="1:9" ht="15.75" customHeight="1" x14ac:dyDescent="0.25">
      <c r="A4" s="5">
        <f t="shared" si="3"/>
        <v>2026</v>
      </c>
      <c r="B4" s="49">
        <v>829433</v>
      </c>
      <c r="C4" s="50">
        <v>1717394.5</v>
      </c>
      <c r="D4" s="50">
        <v>2124671</v>
      </c>
      <c r="E4" s="50">
        <v>1504437</v>
      </c>
      <c r="F4" s="50">
        <v>945033</v>
      </c>
      <c r="G4" s="17">
        <f t="shared" si="0"/>
        <v>6291535.5</v>
      </c>
      <c r="H4" s="17">
        <f t="shared" si="1"/>
        <v>962149.68987652997</v>
      </c>
      <c r="I4" s="17">
        <f t="shared" si="2"/>
        <v>5329385.8101234697</v>
      </c>
    </row>
    <row r="5" spans="1:9" ht="15.75" customHeight="1" x14ac:dyDescent="0.25">
      <c r="A5" s="5">
        <f t="shared" si="3"/>
        <v>2027</v>
      </c>
      <c r="B5" s="49">
        <v>838900</v>
      </c>
      <c r="C5" s="50">
        <v>1764451.5</v>
      </c>
      <c r="D5" s="50">
        <v>2198692</v>
      </c>
      <c r="E5" s="50">
        <v>1544377</v>
      </c>
      <c r="F5" s="50">
        <v>980763.5</v>
      </c>
      <c r="G5" s="17">
        <f t="shared" si="0"/>
        <v>6488284</v>
      </c>
      <c r="H5" s="17">
        <f t="shared" si="1"/>
        <v>973131.49445153621</v>
      </c>
      <c r="I5" s="17">
        <f t="shared" si="2"/>
        <v>5515152.5055484641</v>
      </c>
    </row>
    <row r="6" spans="1:9" ht="15.75" customHeight="1" x14ac:dyDescent="0.25">
      <c r="A6" s="5">
        <f t="shared" si="3"/>
        <v>2028</v>
      </c>
      <c r="B6" s="49">
        <v>847849</v>
      </c>
      <c r="C6" s="50">
        <v>1808540.5</v>
      </c>
      <c r="D6" s="50">
        <v>2276166.5</v>
      </c>
      <c r="E6" s="50">
        <v>1586507.5</v>
      </c>
      <c r="F6" s="50">
        <v>1015073</v>
      </c>
      <c r="G6" s="17">
        <f t="shared" si="0"/>
        <v>6686287.5</v>
      </c>
      <c r="H6" s="17">
        <f t="shared" si="1"/>
        <v>983512.41439890396</v>
      </c>
      <c r="I6" s="17">
        <f t="shared" si="2"/>
        <v>5702775.085601096</v>
      </c>
    </row>
    <row r="7" spans="1:9" ht="15.75" customHeight="1" x14ac:dyDescent="0.25">
      <c r="A7" s="5">
        <f t="shared" si="3"/>
        <v>2029</v>
      </c>
      <c r="B7" s="49">
        <v>859738</v>
      </c>
      <c r="C7" s="50">
        <v>1849047</v>
      </c>
      <c r="D7" s="50">
        <v>2356110</v>
      </c>
      <c r="E7" s="50">
        <v>1631418</v>
      </c>
      <c r="F7" s="50">
        <v>1047668</v>
      </c>
      <c r="G7" s="17">
        <f t="shared" si="0"/>
        <v>6884243</v>
      </c>
      <c r="H7" s="17">
        <f t="shared" si="1"/>
        <v>997303.76061124669</v>
      </c>
      <c r="I7" s="17">
        <f t="shared" si="2"/>
        <v>5886939.2393887537</v>
      </c>
    </row>
    <row r="8" spans="1:9" ht="15.75" customHeight="1" x14ac:dyDescent="0.25">
      <c r="A8" s="5">
        <f t="shared" si="3"/>
        <v>2030</v>
      </c>
      <c r="B8" s="49">
        <v>868480</v>
      </c>
      <c r="C8" s="50">
        <v>1884293</v>
      </c>
      <c r="D8" s="50">
        <v>2437734</v>
      </c>
      <c r="E8" s="50">
        <v>1679331.5</v>
      </c>
      <c r="F8" s="50">
        <v>1078934.5</v>
      </c>
      <c r="G8" s="17">
        <f t="shared" si="0"/>
        <v>7080293</v>
      </c>
      <c r="H8" s="17">
        <f t="shared" si="1"/>
        <v>1007444.5587093458</v>
      </c>
      <c r="I8" s="17">
        <f t="shared" si="2"/>
        <v>6072848.4412906542</v>
      </c>
    </row>
    <row r="9" spans="1:9" ht="15.75" customHeight="1" x14ac:dyDescent="0.25">
      <c r="A9" s="5">
        <f t="shared" si="3"/>
        <v>2031</v>
      </c>
      <c r="B9" s="49">
        <v>877438</v>
      </c>
      <c r="C9" s="50">
        <v>1913035</v>
      </c>
      <c r="D9" s="50">
        <v>2520966.5</v>
      </c>
      <c r="E9" s="50">
        <v>1729757</v>
      </c>
      <c r="F9" s="50">
        <v>1109668.5</v>
      </c>
      <c r="G9" s="17">
        <f t="shared" si="0"/>
        <v>7273427</v>
      </c>
      <c r="H9" s="17">
        <f t="shared" si="1"/>
        <v>1017835.9187371165</v>
      </c>
      <c r="I9" s="17">
        <f t="shared" si="2"/>
        <v>6255591.0812628837</v>
      </c>
    </row>
    <row r="10" spans="1:9" ht="15.75" customHeight="1" x14ac:dyDescent="0.25">
      <c r="A10" s="5">
        <f t="shared" si="3"/>
        <v>2032</v>
      </c>
      <c r="B10" s="49">
        <v>885899</v>
      </c>
      <c r="C10" s="50">
        <v>1937496</v>
      </c>
      <c r="D10" s="50">
        <v>2605389</v>
      </c>
      <c r="E10" s="50">
        <v>1782572.5</v>
      </c>
      <c r="F10" s="50">
        <v>1140558</v>
      </c>
      <c r="G10" s="17">
        <f t="shared" si="0"/>
        <v>7466015.5</v>
      </c>
      <c r="H10" s="17">
        <f t="shared" si="1"/>
        <v>1027650.7543248557</v>
      </c>
      <c r="I10" s="17">
        <f t="shared" si="2"/>
        <v>6438364.7456751447</v>
      </c>
    </row>
    <row r="11" spans="1:9" ht="15.75" customHeight="1" x14ac:dyDescent="0.25">
      <c r="A11" s="5">
        <f t="shared" si="3"/>
        <v>2033</v>
      </c>
      <c r="B11" s="49">
        <v>895298</v>
      </c>
      <c r="C11" s="50">
        <v>1960068.5</v>
      </c>
      <c r="D11" s="50">
        <v>2688922.5</v>
      </c>
      <c r="E11" s="50">
        <v>1839143</v>
      </c>
      <c r="F11" s="50">
        <v>1171704</v>
      </c>
      <c r="G11" s="17">
        <f t="shared" si="0"/>
        <v>7659838</v>
      </c>
      <c r="H11" s="17">
        <f t="shared" si="1"/>
        <v>1038553.6782923727</v>
      </c>
      <c r="I11" s="17">
        <f t="shared" si="2"/>
        <v>6621284.3217076268</v>
      </c>
    </row>
    <row r="12" spans="1:9" ht="15.75" customHeight="1" x14ac:dyDescent="0.25">
      <c r="A12" s="5">
        <f t="shared" si="3"/>
        <v>2034</v>
      </c>
      <c r="B12" s="49">
        <v>902614</v>
      </c>
      <c r="C12" s="50">
        <v>1981544</v>
      </c>
      <c r="D12" s="50">
        <v>2769751.5</v>
      </c>
      <c r="E12" s="50">
        <v>1899610</v>
      </c>
      <c r="F12" s="50">
        <v>1202576.5</v>
      </c>
      <c r="G12" s="17">
        <f t="shared" si="0"/>
        <v>7853482</v>
      </c>
      <c r="H12" s="17">
        <f t="shared" si="1"/>
        <v>1047040.3036510656</v>
      </c>
      <c r="I12" s="17">
        <f t="shared" si="2"/>
        <v>6806441.6963489344</v>
      </c>
    </row>
    <row r="13" spans="1:9" ht="15.75" customHeight="1" x14ac:dyDescent="0.25">
      <c r="A13" s="5">
        <f t="shared" si="3"/>
        <v>2035</v>
      </c>
      <c r="B13" s="49">
        <v>907160</v>
      </c>
      <c r="C13" s="50">
        <v>2003061.5</v>
      </c>
      <c r="D13" s="50">
        <v>2846439</v>
      </c>
      <c r="E13" s="50">
        <v>1963561.5</v>
      </c>
      <c r="F13" s="50">
        <v>1233267.5</v>
      </c>
      <c r="G13" s="17">
        <f t="shared" si="0"/>
        <v>8046329.5</v>
      </c>
      <c r="H13" s="17">
        <f t="shared" si="1"/>
        <v>1052313.7042635065</v>
      </c>
      <c r="I13" s="17">
        <f t="shared" si="2"/>
        <v>6994015.7957364935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werRyo4WY67amSuVNMhbJ3Y0k3TvxeevGBcNtGV49kNXEyj9/y3QecuKjtTjYWxWoPd5AjitMhGXc4CCG2skg==" saltValue="IIcjr69RmUbZ5DKQa3hJI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2.0333900000000009E-2</v>
      </c>
    </row>
    <row r="4" spans="1:8" ht="15.75" customHeight="1" x14ac:dyDescent="0.25">
      <c r="B4" s="19" t="s">
        <v>97</v>
      </c>
      <c r="C4" s="101">
        <v>5.8515499999999963E-2</v>
      </c>
    </row>
    <row r="5" spans="1:8" ht="15.75" customHeight="1" x14ac:dyDescent="0.25">
      <c r="B5" s="19" t="s">
        <v>95</v>
      </c>
      <c r="C5" s="101">
        <v>8.584010000000003E-2</v>
      </c>
    </row>
    <row r="6" spans="1:8" ht="15.75" customHeight="1" x14ac:dyDescent="0.25">
      <c r="B6" s="19" t="s">
        <v>91</v>
      </c>
      <c r="C6" s="101">
        <v>0.24612210000000009</v>
      </c>
    </row>
    <row r="7" spans="1:8" ht="15.75" customHeight="1" x14ac:dyDescent="0.25">
      <c r="B7" s="19" t="s">
        <v>96</v>
      </c>
      <c r="C7" s="101">
        <v>0.40482630000000008</v>
      </c>
    </row>
    <row r="8" spans="1:8" ht="15.75" customHeight="1" x14ac:dyDescent="0.25">
      <c r="B8" s="19" t="s">
        <v>98</v>
      </c>
      <c r="C8" s="101">
        <v>2.627099999999999E-3</v>
      </c>
    </row>
    <row r="9" spans="1:8" ht="15.75" customHeight="1" x14ac:dyDescent="0.25">
      <c r="B9" s="19" t="s">
        <v>92</v>
      </c>
      <c r="C9" s="101">
        <v>7.09566999999999E-2</v>
      </c>
    </row>
    <row r="10" spans="1:8" ht="15.75" customHeight="1" x14ac:dyDescent="0.25">
      <c r="B10" s="19" t="s">
        <v>94</v>
      </c>
      <c r="C10" s="101">
        <v>0.1107782999999999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102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2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90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3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101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79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88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99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8.7586460000000005E-2</v>
      </c>
    </row>
    <row r="27" spans="1:8" ht="15.75" customHeight="1" x14ac:dyDescent="0.25">
      <c r="B27" s="19" t="s">
        <v>89</v>
      </c>
      <c r="C27" s="101">
        <v>8.3866540000000003E-3</v>
      </c>
    </row>
    <row r="28" spans="1:8" ht="15.75" customHeight="1" x14ac:dyDescent="0.25">
      <c r="B28" s="19" t="s">
        <v>103</v>
      </c>
      <c r="C28" s="101">
        <v>0.15511656900000001</v>
      </c>
    </row>
    <row r="29" spans="1:8" ht="15.75" customHeight="1" x14ac:dyDescent="0.25">
      <c r="B29" s="19" t="s">
        <v>86</v>
      </c>
      <c r="C29" s="101">
        <v>0.16688481799999999</v>
      </c>
    </row>
    <row r="30" spans="1:8" ht="15.75" customHeight="1" x14ac:dyDescent="0.25">
      <c r="B30" s="19" t="s">
        <v>4</v>
      </c>
      <c r="C30" s="101">
        <v>0.10560810299999999</v>
      </c>
    </row>
    <row r="31" spans="1:8" ht="15.75" customHeight="1" x14ac:dyDescent="0.25">
      <c r="B31" s="19" t="s">
        <v>80</v>
      </c>
      <c r="C31" s="101">
        <v>0.107401392</v>
      </c>
    </row>
    <row r="32" spans="1:8" ht="15.75" customHeight="1" x14ac:dyDescent="0.25">
      <c r="B32" s="19" t="s">
        <v>85</v>
      </c>
      <c r="C32" s="101">
        <v>1.8908227E-2</v>
      </c>
    </row>
    <row r="33" spans="2:3" ht="15.75" customHeight="1" x14ac:dyDescent="0.25">
      <c r="B33" s="19" t="s">
        <v>100</v>
      </c>
      <c r="C33" s="101">
        <v>8.4811863000000015E-2</v>
      </c>
    </row>
    <row r="34" spans="2:3" ht="15.75" customHeight="1" x14ac:dyDescent="0.25">
      <c r="B34" s="19" t="s">
        <v>87</v>
      </c>
      <c r="C34" s="101">
        <v>0.26529591499999999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Q3jsmaznrGJ47ME88vCWAuyQbANhxRSjomx2ROGRKT4+PT7NuaD2qld7k434FgVHml2RFPCO1ZPHAyVNwlgxxw==" saltValue="raYYd3GaPdtOl4UA4m9L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110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106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107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119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vp2xF/tIpFLbUBKTlXJ0/ZkUScwe5ct15T+QNovZQ+F2RLCZ2ipEYRE2Hre7QxbXw4mcNAndrZgrScvLUYEiA==" saltValue="t+p8fVQjWaI4R8y/pOxs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125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C4hhg3mytqmbD/qe0pUn7y6sT4VBW4yj1QkxBq0dNs4cu43LEVP0RPJ4uwJWezHWJQRsu1F7XYFQgWBWi9MprA==" saltValue="G1+S+TjCZUkPJb7kh1l+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6DJyjAMKE/U1R3Fla/0jTuiynszFAXfUcLcIkP/vV4UVemlqkRL/jRVqHHubaBjaOhSEfyS4/uxXSPG2gLYZg==" saltValue="3DkIkX1/3BNPy2aaSOTq5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NptlQLx62a1DoShHOzryNTnU8rOAQuyMBDA4tIckDkeYOK5+l9iouRNwSuSK8hTWqWyRg/7GquRYLXTpxFJFGA==" saltValue="dxKB9yAv7P5wdJF1M4M7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2Ef386gXEZYfjnZ3MQ2oVjaAlUao+ZlxeuSWq1ngLpcGXMKtjCZmoY2i2plf/qeR5dWoQmgOX60y4+8r+L1eg==" saltValue="5fG5XXO4EHDiB0w1Bt/lK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gaDkyYOj2IBiaI+gww4oWsOjZ7KeDlfFuar7Gl0ealFjBZB6S2xHWcZOkwb5qTXNNT0+6bGfIp6OHnqQp+2WA==" saltValue="avXDNXs7pf0R7FnrF/DI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108.3666777779934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0.26358573908477312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1.4655480619533601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0.89989793277837904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0.50202689999999994</v>
      </c>
      <c r="C10" s="98">
        <v>0.95</v>
      </c>
      <c r="D10" s="56">
        <v>14.1771259775989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14.1771259775989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14.1771259775989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14.1771259775989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0.50202689999999994</v>
      </c>
      <c r="C14" s="98">
        <v>0.95</v>
      </c>
      <c r="D14" s="56">
        <v>14.1771259775989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14.1771259775989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0.47599999999999998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7.7161999999999994E-2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0.36299999999999999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0.22145599999999999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24.160007493407178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0.753</v>
      </c>
      <c r="C23" s="98">
        <v>0.95</v>
      </c>
      <c r="D23" s="56">
        <v>4.6510701337195632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0.1585419884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0.17</v>
      </c>
      <c r="C26" s="98">
        <v>0.95</v>
      </c>
      <c r="D26" s="56">
        <v>5.3637963370450166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0.2117704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5.1927199999999993E-2</v>
      </c>
      <c r="C29" s="98">
        <v>0.95</v>
      </c>
      <c r="D29" s="56">
        <v>55.628302891743601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0.26090000000000002</v>
      </c>
      <c r="C31" s="98">
        <v>0.95</v>
      </c>
      <c r="D31" s="56">
        <v>97.279249710223155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0.99</v>
      </c>
      <c r="C32" s="98">
        <v>0.95</v>
      </c>
      <c r="D32" s="56">
        <v>0.1686728407875791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9.1563700000000012E-2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0.20785490000000001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3.8836000000000001E-3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0.31716830000000001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0.17199999999999999</v>
      </c>
      <c r="C38" s="98">
        <v>0.95</v>
      </c>
      <c r="D38" s="56">
        <v>3.5421296565391618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65yWAhTD3DKlbRga4yo/h8u9kw+ucVabhMw2qP0NSmTu1GfgUXl8g0FEp3OVxbth+GEWJg4IdZiZumqRDCk1ZA==" saltValue="whlh/TZMi7Wag4VcnjAl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DzAnn+j6BcozBO7/+nP+8B3BPmtTAzE5djZsyUnoLfsvxlQgeFkDLf230Pr5jQ5d2yyfnBu9clbhdgeYxH/LA==" saltValue="iBJUAGq13QNdLACcxjy3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cNYhpdD5laHd4VJzQ51jWcIb/ZJOdVTIx3fJkcMFquRxHOMa7lyS2V05tqlbndx+0Baa7js90IJh93e0WcVug==" saltValue="/lurMsHWjVSI7nS/ngPu0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207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Ra8QrDLJzMi0/F/hH+1rFsd/LHcXHBBioqir6oTScp8AcyQvZ+PxB1aFOuwX8H67wjfAJcGBREZQpWRXl367HA==" saltValue="2ttF+yq0TnyVaELhUfla+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tFYiny1T8J1ASuJnUdpDpS006gH/zZHrFvBBJ6xF4T05QYqSxJLBDZ4PRvBSuBi4UzQ6fKGGtwS/XpvV8UgLg==" saltValue="ZDr2rgqKGqdNR+c50h0n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ARfLGhhzD0Y+1b0cfuiZnLZ5sIUukJSm0YNuUHq41d96An/4yZgf/r+TyqQ/Rs0TZzTazVyrgnWmB39C+1GRw==" saltValue="bG0+LVj+dptyacwBn/c4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Y4s3F1qFgRG089eaJJH8j1bjNoxDhTzhpyJBYDjZeHQMXTyQNPEmKGXDFjbsmpfP/dXQ3Rt9SMo7ygRavQMPg==" saltValue="1RVY6S7aKVCs6DiVczC/u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PLICYCxy6ot/LBRPsPUD7+WOVEtHNE2i2LL3imFS2/oAiAGBztQX9EF00ez3qnEGH8Y+ovNEVRxzsFs3fc49w==" saltValue="nQXzE5+6kzvDOkV3XhKP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Dl9ulvAJ/lNL7Lf4RvrFwkrC1vPQJgGvZ5EXn/ju9p32SKpe6Z0li/X8ZjBOCaxRw43OZRITztkTfGAFlWPWw==" saltValue="5EPGK95CUvdPcIvWIO/Fq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Bog6eci7zNrdMG6aWyL6NX8Hspl4OcajCUMD4irghx1Nzzq7zBPhVBI6ji+gbLEooChGVKPuM6UnktDrm4VPQ==" saltValue="eo04XGmYk3TsBeMwmd8H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yczi1+L3S/FQI6JeJQMGlKeE+YAuOaus/gbrHbio/0FPpXNaphkA9JzcqMiSEUSZag4AZUFkg5JY3Wt6h/S9Q==" saltValue="v40Iga37+Ho2lZsFLqf7R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CSOsHCop/d1BpDzcK1Uj0X/pY1OKr+tnaUJtdonGYlKle5N6msUVdThUdv/gBPSf/fjUm+8/cNpj9igXArqTw==" saltValue="vyY3gwgpP8jBS6go0qs6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dwDYpYsCHFvUwudLrP29wmZuvUPJsUHbE86X58mZENzfWKoAg4Sc8EkbwPYR74CrLUnuWT+mc/AcgreunvGmw==" saltValue="zco1v+EYqtayQBnCzeNP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GVfMVvZhd/oU6ji0SEQOyI1T4UCwWIMS7ey+prbyskJ6Ip38Wb8XTSG2vGT3vdC3NwGC71FRdFynKMxivTX6g==" saltValue="4dIGZIPniXXt3xJw3n06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7AS7UrQobn/1T8BsEsHRx3igZGT49gv+QbYhhGCcfb9xr30stqv4WsYiW6B7sQN6wLC0+/fyhW3K/Hcvbgi7A==" saltValue="yq3k/rlU+TmOb7WXqsO2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BFKiph0FLgoX5c2U9y5zYZEnbjdLkFDfVIr53MfFlD2I5DpSh5HcbgVsc9pCvVYp3aeYUjWpiHVm15gFYhYbw==" saltValue="DZyd7Ry79ksnkdHzRcpn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/4gDUy/pojsuWnpXXWh5zwLxLOIVnrGWCbIDXUQDGGZpLFadSXHeP+kMD4/10IJuDWfC9IFprQA7NpC+SpB4w==" saltValue="S7AL0DWX48b7PzueqKZO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9.7416363060856437E-2</v>
      </c>
      <c r="G18" s="90">
        <f>MIN(MAX(1-0.89/(1-frac_sam_12_23months+(frac_sam_12_23months*0.89)),0),1)</f>
        <v>0.1020557661405741</v>
      </c>
      <c r="H18" s="90">
        <f>MIN(MAX(1-0.89/(1-frac_sam_24_59months+(frac_sam_24_59months*0.89)),0),1)</f>
        <v>0.10688447814143665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9.005813074682345E-2</v>
      </c>
      <c r="G20" s="90">
        <f>MIN(MAX(1-0.89/(1-frac_mam_12_23months+(frac_mam_12_23months*0.89)),0),1)</f>
        <v>9.6623615537627217E-2</v>
      </c>
      <c r="H20" s="90">
        <f>MIN(MAX(1-0.89/(1-frac_mam_24_59months+(frac_mam_24_59months*0.89)),0),1)</f>
        <v>0.10415251410079795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8.7436460117265025E-3</v>
      </c>
      <c r="G73" s="90">
        <f>MIN(MAX(1-0.99/(1-frac_sam_12_23months+(frac_sam_12_23months*0.99)),0),1)</f>
        <v>9.20311692889908E-3</v>
      </c>
      <c r="H73" s="90">
        <f>MIN(MAX(1-0.99/(1-frac_sam_24_59months+(frac_sam_24_59months*0.99)),0),1)</f>
        <v>9.6859466558332219E-3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8.023663721753449E-3</v>
      </c>
      <c r="G75" s="90">
        <f>MIN(MAX(1-0.99/(1-frac_mam_12_23months+(frac_mam_12_23months*0.99)),0),1)</f>
        <v>8.6655647166651306E-3</v>
      </c>
      <c r="H75" s="90">
        <f>MIN(MAX(1-0.99/(1-frac_mam_24_59months+(frac_mam_24_59months*0.99)),0),1)</f>
        <v>9.4121921289240795E-3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0.17919360861045597</v>
      </c>
      <c r="G128" s="90">
        <f>MIN(MAX(1-0.8/(1-frac_sam_12_23months+(frac_sam_12_23months*0.8)),0),1)</f>
        <v>0.18692105603099785</v>
      </c>
      <c r="H128" s="90">
        <f>MIN(MAX(1-0.8/(1-frac_sam_24_59months+(frac_sam_24_59months*0.8)),0),1)</f>
        <v>0.1948936127387958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0.16679994395896425</v>
      </c>
      <c r="G130" s="90">
        <f>MIN(MAX(1-0.8/(1-frac_mam_12_23months+(frac_mam_12_23months*0.8)),0),1)</f>
        <v>0.1778665225192636</v>
      </c>
      <c r="H130" s="90">
        <f>MIN(MAX(1-0.8/(1-frac_mam_24_59months+(frac_mam_24_59months*0.8)),0),1)</f>
        <v>0.19039168182506438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D2uoEG69s++QWqRro1sNq5HU21XytRYfgZnxGzUV6bGzrMJcqgWZnVEe2GoBLIykYKKVdlhQhV9D01UNaVdCw==" saltValue="QKYWjEFoXf7WqD0Jjne/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73AhpxiKYqwVasaxmIUKBHxlY5uuRnK/J/AoK9y8zc9JJPsZ3snlMMxFSdICRZ2ziUN32+IdVTcDoKuE/fGLA==" saltValue="AC8JEkMgzf2EYPBWy5SY3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2024-08-06T07:18:43Z</dcterms:modified>
</cp:coreProperties>
</file>