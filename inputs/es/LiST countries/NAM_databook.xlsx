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8_{5C81F30A-B8FD-4434-AC44-E591FFC7E03D}" xr6:coauthVersionLast="47" xr6:coauthVersionMax="47" xr10:uidLastSave="{00000000-0000-0000-0000-000000000000}"/>
  <bookViews>
    <workbookView xWindow="-110" yWindow="-110" windowWidth="19420" windowHeight="1042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59" i="27"/>
  <c r="G159" i="27"/>
  <c r="F159" i="27"/>
  <c r="E159" i="27"/>
  <c r="D159" i="27"/>
  <c r="H142" i="27"/>
  <c r="G142" i="27"/>
  <c r="F142" i="27"/>
  <c r="E142" i="27"/>
  <c r="H141" i="27"/>
  <c r="G141" i="27"/>
  <c r="F141" i="27"/>
  <c r="E141" i="27"/>
  <c r="H140" i="27"/>
  <c r="G140" i="27"/>
  <c r="F140" i="27"/>
  <c r="E140" i="27"/>
  <c r="H139" i="27"/>
  <c r="G139" i="27"/>
  <c r="F139" i="27"/>
  <c r="E139" i="27"/>
  <c r="H138" i="27"/>
  <c r="G138" i="27"/>
  <c r="F138" i="27"/>
  <c r="E138" i="27"/>
  <c r="H137" i="27"/>
  <c r="G137" i="27"/>
  <c r="F137" i="27"/>
  <c r="E137" i="27"/>
  <c r="E136" i="27"/>
  <c r="D136" i="27"/>
  <c r="E135" i="27"/>
  <c r="D135" i="27"/>
  <c r="E134" i="27"/>
  <c r="D134" i="27"/>
  <c r="H133" i="27"/>
  <c r="G133" i="27"/>
  <c r="F133" i="27"/>
  <c r="E133" i="27"/>
  <c r="D133" i="27"/>
  <c r="H130" i="27"/>
  <c r="E130" i="27"/>
  <c r="D130" i="27"/>
  <c r="H129" i="27"/>
  <c r="G129" i="27"/>
  <c r="F129" i="27"/>
  <c r="E129" i="27"/>
  <c r="D129" i="27"/>
  <c r="H128" i="27"/>
  <c r="E128" i="27"/>
  <c r="D128" i="27"/>
  <c r="E118" i="27"/>
  <c r="D118" i="27"/>
  <c r="E117" i="27"/>
  <c r="D117" i="27"/>
  <c r="E116" i="27"/>
  <c r="D116" i="27"/>
  <c r="H101" i="27"/>
  <c r="H158" i="27" s="1"/>
  <c r="G101" i="27"/>
  <c r="G158" i="27" s="1"/>
  <c r="F101" i="27"/>
  <c r="F158" i="27" s="1"/>
  <c r="E101" i="27"/>
  <c r="E158" i="27" s="1"/>
  <c r="D101" i="27"/>
  <c r="D158" i="27" s="1"/>
  <c r="H85" i="27"/>
  <c r="G85" i="27"/>
  <c r="F85" i="27"/>
  <c r="E85" i="27"/>
  <c r="H84" i="27"/>
  <c r="G84" i="27"/>
  <c r="F84" i="27"/>
  <c r="E84" i="27"/>
  <c r="D84" i="27"/>
  <c r="D141" i="27" s="1"/>
  <c r="H83" i="27"/>
  <c r="G83" i="27"/>
  <c r="F83" i="27"/>
  <c r="E83" i="27"/>
  <c r="H82" i="27"/>
  <c r="G82" i="27"/>
  <c r="F82" i="27"/>
  <c r="E82" i="27"/>
  <c r="D82" i="27"/>
  <c r="D139" i="27" s="1"/>
  <c r="H81" i="27"/>
  <c r="G81" i="27"/>
  <c r="F81" i="27"/>
  <c r="E81" i="27"/>
  <c r="H80" i="27"/>
  <c r="G80" i="27"/>
  <c r="F80" i="27"/>
  <c r="E80" i="27"/>
  <c r="D80" i="27"/>
  <c r="D137" i="27" s="1"/>
  <c r="E79" i="27"/>
  <c r="D79" i="27"/>
  <c r="E78" i="27"/>
  <c r="D78" i="27"/>
  <c r="E77" i="27"/>
  <c r="D77" i="27"/>
  <c r="H76" i="27"/>
  <c r="G76" i="27"/>
  <c r="F76" i="27"/>
  <c r="E76" i="27"/>
  <c r="D76" i="27"/>
  <c r="H73" i="27"/>
  <c r="E73" i="27"/>
  <c r="D73" i="27"/>
  <c r="H72" i="27"/>
  <c r="G72" i="27"/>
  <c r="F72" i="27"/>
  <c r="E72" i="27"/>
  <c r="D72" i="27"/>
  <c r="H71" i="27"/>
  <c r="E71" i="27"/>
  <c r="D71" i="27"/>
  <c r="E61" i="27"/>
  <c r="D61" i="27"/>
  <c r="E60" i="27"/>
  <c r="D60" i="27"/>
  <c r="H59" i="27"/>
  <c r="H116" i="27" s="1"/>
  <c r="G59" i="27"/>
  <c r="G116" i="27" s="1"/>
  <c r="F59" i="27"/>
  <c r="F116" i="27" s="1"/>
  <c r="E59" i="27"/>
  <c r="D59" i="27"/>
  <c r="H16" i="14" l="1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H13" i="2"/>
  <c r="G13" i="2"/>
  <c r="I13" i="2" s="1"/>
  <c r="H12" i="2"/>
  <c r="G12" i="2"/>
  <c r="H11" i="2"/>
  <c r="G11" i="2"/>
  <c r="I11" i="2" s="1"/>
  <c r="H10" i="2"/>
  <c r="G10" i="2"/>
  <c r="H9" i="2"/>
  <c r="G9" i="2"/>
  <c r="I9" i="2" s="1"/>
  <c r="H8" i="2"/>
  <c r="G8" i="2"/>
  <c r="H7" i="2"/>
  <c r="G7" i="2"/>
  <c r="I7" i="2" s="1"/>
  <c r="H6" i="2"/>
  <c r="G6" i="2"/>
  <c r="H5" i="2"/>
  <c r="G5" i="2"/>
  <c r="H4" i="2"/>
  <c r="G4" i="2"/>
  <c r="H3" i="2"/>
  <c r="G3" i="2"/>
  <c r="I3" i="2" s="1"/>
  <c r="H2" i="2"/>
  <c r="G2" i="2"/>
  <c r="A2" i="2"/>
  <c r="A39" i="2" s="1"/>
  <c r="C33" i="1"/>
  <c r="C20" i="1"/>
  <c r="A23" i="2" l="1"/>
  <c r="A37" i="2"/>
  <c r="A25" i="2"/>
  <c r="A31" i="2"/>
  <c r="I4" i="2"/>
  <c r="I8" i="2"/>
  <c r="I12" i="2"/>
  <c r="A26" i="2"/>
  <c r="I39" i="2"/>
  <c r="A34" i="2"/>
  <c r="A40" i="2"/>
  <c r="I2" i="2"/>
  <c r="I6" i="2"/>
  <c r="A19" i="2"/>
  <c r="A35" i="2"/>
  <c r="A22" i="2"/>
  <c r="A36" i="2"/>
  <c r="A24" i="2"/>
  <c r="I38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6BB5D3EA-EB2C-4557-A77A-BC3B31DE5A74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8276B184-5391-46AC-9017-CD45ED68E7E2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70662288-9B2B-4D49-A059-B389A408D887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5F99FF59-4E44-4847-82EE-D42B7418AA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F6C9465E-FBDE-45D1-8394-CD6F9C9C252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8724D448-9507-4D14-BCA7-F21B3CAF1BD6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1D086CE7-3639-4C5A-8FD3-DB935503731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1EDBAC82-3035-4B47-8DB4-6C9605D373F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F889FFDD-F5D3-428F-97C9-3FA317F4DEEC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178C61B9-10CF-475E-AE2A-1148BD159501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D1ADD6AA-00B3-496F-889D-6AD9E8EC726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D8A7821F-2C8B-4B9F-B2CF-783B6F1D6ACB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30A88894-D578-48EA-8642-A1FBFF69A3C1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1FC0B5F8-9FC2-4095-AEC3-321F62EB13E4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37243D6-BCDE-4F6B-AFCC-3F94A0DD5E02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DE335ADC-5DD3-496C-A5AC-AAE47036457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2912EBE3-D556-42B6-96D5-24EC21E6156C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4CB9182B-79CD-4596-8295-56AF4E3846AB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0" shapeId="0" xr:uid="{80F6289A-949B-4FAE-AC85-22980BCEA4F4}">
      <text>
        <r>
          <rPr>
            <b/>
            <sz val="9"/>
            <color indexed="81"/>
            <rFont val="Tahoma"/>
            <charset val="1"/>
          </rPr>
          <t>Tharindu Wickramaarachchi:</t>
        </r>
        <r>
          <rPr>
            <sz val="9"/>
            <color indexed="81"/>
            <rFont val="Tahoma"/>
            <charset val="1"/>
          </rPr>
          <t xml:space="preserve">
Until clear effect evidence is found, assume no effect</t>
        </r>
      </text>
    </comment>
    <comment ref="F20" authorId="1" shapeId="0" xr:uid="{96FCBC9B-E5EC-46B8-8DF3-3E8D35EE350D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2" authorId="1" shapeId="0" xr:uid="{93171B53-CE10-41E2-9E96-E27147D4D778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4" authorId="0" shapeId="0" xr:uid="{5FE03E37-E69F-43F4-B94E-7BBC3063A87D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626B60BA-B78A-4BE5-ACC0-D15C014DDDE7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0" shapeId="0" xr:uid="{A6D7FDB2-70C1-4A3F-AE05-E1F583DAC911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30" authorId="1" shapeId="0" xr:uid="{73FE6ADA-DBBD-4E18-9E0A-7E9F1B65F4F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30" authorId="1" shapeId="0" xr:uid="{36DC02C6-7D52-483D-9E4D-A62E1832D1E9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30" authorId="1" shapeId="0" xr:uid="{3A418ECB-CB98-4DAE-914F-181BDF7ED56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30" authorId="1" shapeId="0" xr:uid="{F54E6507-D7CB-4F8D-8BA0-8C678AC8848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30" authorId="1" shapeId="0" xr:uid="{51D136EC-624C-44D3-B5B3-53EE7A4C79F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5" authorId="0" shapeId="0" xr:uid="{0358037B-23C7-469B-B136-BD3C312D371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5" authorId="0" shapeId="0" xr:uid="{83DD7CE2-EBA6-4C72-A5A2-1E7961104F35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5" authorId="0" shapeId="0" xr:uid="{D00C0728-6CE5-4232-9E9D-03298AA7E83F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5" authorId="0" shapeId="0" xr:uid="{DE005C0A-2F8A-418C-851E-64B2B8CFE1FA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5" authorId="0" shapeId="0" xr:uid="{E55324F7-370C-4385-ADBA-E8B0EBEB4BEC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6" authorId="0" shapeId="0" xr:uid="{F53439F8-F18B-45A1-B265-14A4B9BFCA4E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6" authorId="0" shapeId="0" xr:uid="{D3552897-BBD5-4175-B68A-A3F1E4A6E75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6" authorId="0" shapeId="0" xr:uid="{CC47941B-D047-44AD-8609-225A3A1207CF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6" authorId="0" shapeId="0" xr:uid="{0CBE3706-3924-4509-A583-88069D4C21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6" authorId="0" shapeId="0" xr:uid="{A5F6F3D3-D70F-4D04-A795-6D6BF5E34983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9" authorId="0" shapeId="0" xr:uid="{DD598447-A738-4E83-BE84-12132D14A7E3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9" authorId="0" shapeId="0" xr:uid="{AAC1265A-FBA5-4B61-B6FD-C1ADAB02C01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9" authorId="0" shapeId="0" xr:uid="{CB5BEA38-52BE-4279-8999-876D134092DA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9" authorId="0" shapeId="0" xr:uid="{EEC82E46-7238-472F-8156-89C286EC0CC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9" authorId="0" shapeId="0" xr:uid="{9AD99541-38BF-452C-BBDF-30A63672B13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51" authorId="0" shapeId="0" xr:uid="{9F2485E2-4FB1-40DF-95BC-EF307614F38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51" authorId="0" shapeId="0" xr:uid="{5A344499-6486-4E45-BC00-E472735A7CB2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51" authorId="0" shapeId="0" xr:uid="{031BB5AD-8138-4687-BD78-7EBC20A98663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51" authorId="0" shapeId="0" xr:uid="{184A5B5A-1F15-44FE-898C-B90309E01D8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51" authorId="0" shapeId="0" xr:uid="{8ED585B4-389F-460E-8916-C9CBE4D87E3D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3" authorId="0" shapeId="0" xr:uid="{AD24A257-1231-432A-9AC2-49A1BBCFE8E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3" authorId="0" shapeId="0" xr:uid="{A07ED250-D084-453F-8461-66EC0C10E1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3" authorId="0" shapeId="0" xr:uid="{9059BCA8-1FD3-4E64-86A7-3061E1F307E3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3" authorId="0" shapeId="0" xr:uid="{7052734F-4036-424E-8991-EAD18C6FC7C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3" authorId="0" shapeId="0" xr:uid="{9211745A-0C8C-4E89-B62F-2D6F1D5B7D01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5" authorId="1" shapeId="0" xr:uid="{5423B35A-FBAB-43E1-A574-44F7790EAEA1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60" authorId="0" shapeId="0" xr:uid="{9923839E-0345-401E-8DBE-0D84F514E4A9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60" authorId="0" shapeId="0" xr:uid="{BA7FE3E3-08B4-4F16-B01F-05A523005C56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60" authorId="0" shapeId="0" xr:uid="{6D26BBC2-8403-47E0-89A8-CCA5B5E2A63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61" authorId="0" shapeId="0" xr:uid="{4063B8B9-975B-4060-938A-48F03FAEF419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61" authorId="0" shapeId="0" xr:uid="{50660BAB-9FCC-42B5-9F93-0DBB8CA89897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61" authorId="0" shapeId="0" xr:uid="{C6A07F78-8D75-479F-926E-474BA841B234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3" authorId="1" shapeId="0" xr:uid="{FA86AF70-4991-447A-BCAA-1000A44BF256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FD47D524-CA3E-4654-B95C-882313C71EE4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350D10EC-94B3-4790-8891-B0A27313C3E5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5" authorId="1" shapeId="0" xr:uid="{E54F70F0-DBA3-4F25-90EB-D1DFD3641E6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7" authorId="1" shapeId="0" xr:uid="{77363AFB-2A43-477F-8EB8-CC2F7E3ECEA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1109C22-04ED-4FDB-949C-C34810AB2E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1" shapeId="0" xr:uid="{72F3E256-254B-4FFC-9E01-1752BCF475A6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9" authorId="1" shapeId="0" xr:uid="{E057EF81-59F3-42CB-9D3F-907D93019067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71" authorId="0" shapeId="0" xr:uid="{DF457454-4973-4207-9E3D-7D50D7830FDE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71" authorId="0" shapeId="0" xr:uid="{0A31E4B1-743B-4208-AE2B-4146BBD81A93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3" authorId="0" shapeId="0" xr:uid="{BA5122FC-4C8D-49F0-9902-8C88B2457CA4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3" authorId="0" shapeId="0" xr:uid="{EB775666-1A82-4D30-A432-4C033A1A7AED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7" authorId="1" shapeId="0" xr:uid="{98BB8C6D-B30B-4DB6-8B35-7D8DCE93E79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9" authorId="1" shapeId="0" xr:uid="{75544419-0995-4A7F-98E3-CBE19D6471D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81" authorId="0" shapeId="0" xr:uid="{866B3636-D1B7-40EE-A9B3-22FD1891C34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0" shapeId="0" xr:uid="{3C5743BD-EFCC-4AF2-B330-6FDF8775A9D5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5" authorId="0" shapeId="0" xr:uid="{07C4191C-0E34-4B64-AAF8-A7F551741AB2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7" authorId="1" shapeId="0" xr:uid="{419B2D75-98C1-46B5-842D-118FC911FF04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7" authorId="1" shapeId="0" xr:uid="{A1CD6A7F-EF69-49BD-84EA-F060EB24114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7" authorId="1" shapeId="0" xr:uid="{D5825461-688C-438C-8542-BD85D579FDC7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7" authorId="1" shapeId="0" xr:uid="{AF7C92B2-AC28-43C3-9C19-D68E37FF28F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7" authorId="1" shapeId="0" xr:uid="{700142E9-6A7D-415A-8AA2-F2A8B6A75555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03" authorId="0" shapeId="0" xr:uid="{7D67AB3C-983B-47D0-9AFF-DA097636CBA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03" authorId="0" shapeId="0" xr:uid="{38FC6B21-5384-4027-AE29-F2FF12011A26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03" authorId="0" shapeId="0" xr:uid="{EB3D123B-E86C-4173-B872-21E04127707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03" authorId="0" shapeId="0" xr:uid="{C5BAFDF7-3C0B-454A-B8DD-17A5272728F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03" authorId="0" shapeId="0" xr:uid="{BB84B4E6-6EBF-43F8-A27F-ABACD68A728A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6" authorId="0" shapeId="0" xr:uid="{BFD18A89-7D4A-4FA5-8D9C-46BDFC49F7B4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6" authorId="0" shapeId="0" xr:uid="{1ABF9016-F3C2-48B1-BD46-AD89F4003AC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6" authorId="0" shapeId="0" xr:uid="{6A6E8E29-2989-40FF-B168-55803883F0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6" authorId="0" shapeId="0" xr:uid="{48DA76B4-3665-4A45-819A-BFEEFF70E5D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6" authorId="0" shapeId="0" xr:uid="{B80ED8C6-87BC-498B-8629-005BCCE79F4B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8" authorId="0" shapeId="0" xr:uid="{B5F2ED77-4534-4005-9653-3943813A8B2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8" authorId="0" shapeId="0" xr:uid="{76285A74-606B-4904-9089-8C072E19A1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8" authorId="0" shapeId="0" xr:uid="{63134AD8-900C-4178-BB9D-773F5A2AEB3B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8" authorId="0" shapeId="0" xr:uid="{E4550204-DAD5-4F24-9613-4B653BB1BEF9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8" authorId="0" shapeId="0" xr:uid="{8EB04C99-52A7-4C56-9738-8833ED4CF79E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10" authorId="0" shapeId="0" xr:uid="{1E087D6A-9C87-4366-B106-9662D0E9F522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10" authorId="0" shapeId="0" xr:uid="{9524A10F-3B35-4B50-9361-07DEAF9EC66F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10" authorId="0" shapeId="0" xr:uid="{00995C78-B5BF-45A5-8F02-B4D6CB8053C5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10" authorId="0" shapeId="0" xr:uid="{B614B807-4445-457C-8B76-0D078F087764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10" authorId="0" shapeId="0" xr:uid="{4A9ECB14-4CB2-41BF-A402-F7A28029EC1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12" authorId="1" shapeId="0" xr:uid="{B642BE55-802D-4C94-B750-1AEA253BACA7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7" authorId="0" shapeId="0" xr:uid="{CE9B9D72-3B1C-4412-9D79-6D0874D60CEE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7" authorId="0" shapeId="0" xr:uid="{AB5427B8-7880-46F7-8737-0E11C545B3E1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7" authorId="0" shapeId="0" xr:uid="{7DADC3D7-B312-4F80-917D-FD030194B70F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8" authorId="0" shapeId="0" xr:uid="{E932DAA3-B84B-48A0-A350-BB68775D78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8" authorId="0" shapeId="0" xr:uid="{75AFBBA3-C0BF-47C9-96C1-E2BCE0A5518C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8" authorId="0" shapeId="0" xr:uid="{44B4DAC8-1128-45E5-B99C-C84974BBEE0A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20" authorId="1" shapeId="0" xr:uid="{BFC250B8-BAEB-445C-954D-7BE97AABDFDB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0" authorId="1" shapeId="0" xr:uid="{AEC7DAF2-9B1C-4CBB-B735-E9AB7A0CFD03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2" authorId="1" shapeId="0" xr:uid="{5757C298-3224-4FCB-AE44-57AE2804657A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22" authorId="1" shapeId="0" xr:uid="{32018E11-B6CC-4CB9-AD83-CDEAB15CB02F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4" authorId="1" shapeId="0" xr:uid="{548CA939-8049-4A22-8DCF-97B43275D45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4" authorId="1" shapeId="0" xr:uid="{B79D2BBE-1689-4CA2-9F3C-27F21A096995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6" authorId="1" shapeId="0" xr:uid="{521B8842-9FA3-4AE6-9999-7E38BD5734E2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6" authorId="1" shapeId="0" xr:uid="{745C521C-CEC3-4590-B658-F244E03502B3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8" authorId="0" shapeId="0" xr:uid="{48501DF5-33AD-4137-BF61-A1ACEF3712BB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8" authorId="0" shapeId="0" xr:uid="{52DA180B-0E50-41F0-B433-76D057FD32AA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30" authorId="0" shapeId="0" xr:uid="{1827DF80-3E7F-4FAE-B545-321A48A20B7F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30" authorId="0" shapeId="0" xr:uid="{428ADF28-94CB-45A6-B512-653753D79D4A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34" authorId="1" shapeId="0" xr:uid="{E327363C-87BF-426D-8031-8E5B15B868F6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6" authorId="1" shapeId="0" xr:uid="{0FC0F10D-E16C-4929-8C9C-BBCE7D585B2C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8" authorId="0" shapeId="0" xr:uid="{83AA2241-D1A0-473B-BB01-4502DE008F6C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0" authorId="0" shapeId="0" xr:uid="{AB840D19-E9DC-41E5-8B1A-28772D27BB6F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2" authorId="0" shapeId="0" xr:uid="{28DA7237-5B4A-4888-B612-1517D8E4181A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44" authorId="1" shapeId="0" xr:uid="{24B15358-0318-4650-A1D9-ACBF45D6BD86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44" authorId="1" shapeId="0" xr:uid="{3CCBD856-2028-4562-873C-EF798B7CEB0E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44" authorId="1" shapeId="0" xr:uid="{515C103F-DDC3-40D5-AA24-3704C957FBDF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44" authorId="1" shapeId="0" xr:uid="{2B07245A-D9DE-402F-8C94-59F9204780AD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44" authorId="1" shapeId="0" xr:uid="{B09F6ACE-9930-4B23-AC49-D976E3AF6D2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60" authorId="0" shapeId="0" xr:uid="{08D07A70-B0BF-4318-BF4F-F0DBC6170F84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60" authorId="0" shapeId="0" xr:uid="{76EC0005-9898-4CC7-A802-EC15F25448F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60" authorId="0" shapeId="0" xr:uid="{E5FFA232-5153-4095-946B-DFA45A9FBF8C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60" authorId="0" shapeId="0" xr:uid="{AFCCFA07-E0EB-45D3-B7C0-514815792647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60" authorId="0" shapeId="0" xr:uid="{C392BCAD-8C69-4A4C-87EF-377772EECC28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63" authorId="0" shapeId="0" xr:uid="{E3317A10-0BE4-48FF-9352-A01B5BA3FEE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63" authorId="0" shapeId="0" xr:uid="{67EC6033-7BEB-4400-84EE-0A8533A907F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63" authorId="0" shapeId="0" xr:uid="{E94FC89C-5249-427A-BE28-D6BFC2F81758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63" authorId="0" shapeId="0" xr:uid="{AA56A34D-E716-48F4-B898-FA37D2EF7D4D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63" authorId="0" shapeId="0" xr:uid="{90492BA0-E368-47BA-98D1-DF7E39D86EF5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65" authorId="0" shapeId="0" xr:uid="{9CD81021-C7F5-4F80-9E36-5A372FBC35BF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65" authorId="0" shapeId="0" xr:uid="{49DF1121-32A1-4036-AEE8-BCAAA6147B06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65" authorId="0" shapeId="0" xr:uid="{9499DF21-B57E-420A-A749-CC9BF2D4D725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65" authorId="0" shapeId="0" xr:uid="{4524A951-07DC-487B-A233-43D4EAAEC70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65" authorId="0" shapeId="0" xr:uid="{889D9E25-29F0-4C18-931F-58D4600ECBE1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7" authorId="0" shapeId="0" xr:uid="{678FE956-BF94-4DA4-81E3-20DDE72682D7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7" authorId="0" shapeId="0" xr:uid="{6CE9DBC0-F411-450C-ADE5-6FE43AB51348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7" authorId="0" shapeId="0" xr:uid="{F2C8AB55-E76F-4187-99C2-69AB2BD9809A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7" authorId="0" shapeId="0" xr:uid="{D025E63E-9D67-4225-8627-D53B10AA6DB9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7" authorId="0" shapeId="0" xr:uid="{E220EC8B-3A48-4133-BD12-15E3EB9F00B6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9" authorId="1" shapeId="0" xr:uid="{74D29CD4-44A4-4706-B0D2-5EBDC4B70B6C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<sst xmlns="http://schemas.openxmlformats.org/spreadsheetml/2006/main" count="2169" uniqueCount="373">
  <si>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</si>
  <si>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</si>
  <si>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</si>
  <si>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</si>
  <si>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</si>
  <si>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</si>
  <si>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</si>
  <si>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</si>
  <si>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</si>
  <si>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</si>
  <si>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</si>
  <si>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</si>
  <si>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</si>
  <si>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</si>
  <si>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</si>
  <si>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</si>
  <si>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</si>
  <si>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</si>
  <si>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</si>
  <si>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</si>
  <si>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</si>
  <si>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</si>
  <si>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</si>
  <si>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</si>
  <si>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</si>
  <si>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</si>
  <si>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</si>
  <si>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</si>
  <si>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</si>
  <si>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</si>
  <si>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</si>
  <si>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</si>
  <si>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</si>
  <si>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</si>
  <si>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</si>
  <si>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</si>
  <si>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</si>
  <si>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</si>
  <si>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</si>
  <si>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</si>
  <si>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</si>
  <si>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</si>
  <si>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</si>
  <si>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</si>
  <si>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</si>
  <si>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</si>
  <si>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</si>
  <si>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</si>
  <si>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</si>
  <si>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</si>
  <si>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</si>
  <si>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</si>
  <si>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</si>
  <si>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</si>
  <si>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</si>
  <si>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</si>
  <si>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</si>
  <si>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</si>
  <si>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</si>
  <si>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</si>
  <si>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</si>
  <si>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</si>
  <si>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</si>
  <si>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</si>
  <si>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</si>
  <si>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</si>
  <si>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</si>
  <si>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</si>
  <si>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</si>
  <si>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</si>
  <si>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</si>
  <si>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</si>
  <si>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</si>
  <si>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</si>
  <si>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</si>
  <si>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</si>
  <si>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</si>
  <si>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</si>
  <si>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</si>
  <si>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</si>
  <si>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</si>
  <si>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</si>
  <si>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</si>
  <si>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</si>
  <si>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</si>
  <si>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</si>
  <si>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</si>
  <si>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</si>
  <si>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</si>
  <si>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</si>
  <si>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</si>
  <si>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</si>
  <si>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</si>
  <si>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</si>
  <si>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</si>
  <si>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</si>
  <si>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</si>
  <si>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</si>
  <si>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</si>
  <si>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</si>
  <si>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</si>
  <si>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</si>
  <si>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</si>
  <si>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</si>
  <si>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</si>
  <si>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</si>
  <si>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</si>
  <si>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</si>
  <si>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</si>
  <si>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</si>
  <si>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</si>
  <si>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</si>
  <si>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</si>
  <si>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</si>
  <si>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</si>
  <si>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</si>
  <si>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</si>
  <si>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</si>
  <si>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</si>
  <si>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</si>
  <si>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</si>
  <si>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</si>
  <si>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</si>
  <si>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</si>
  <si>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</si>
  <si>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</si>
  <si>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</si>
  <si>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</si>
  <si>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</si>
  <si>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</si>
  <si>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</si>
  <si>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</si>
  <si>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</si>
  <si>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</si>
  <si>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</si>
  <si>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</si>
  <si>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</si>
  <si>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</si>
  <si>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</si>
  <si>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</si>
  <si>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</si>
  <si>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</si>
  <si>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</si>
  <si>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</si>
  <si>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</si>
  <si>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</si>
  <si>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</si>
  <si>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</si>
  <si>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</si>
  <si>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</si>
  <si>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</si>
  <si>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</si>
  <si>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</si>
  <si>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</si>
  <si>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</si>
  <si>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</si>
  <si>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</si>
  <si>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</si>
  <si>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</si>
  <si>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</si>
  <si>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</si>
  <si>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</si>
  <si>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</si>
  <si>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</si>
  <si>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</si>
  <si>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</si>
  <si>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</si>
  <si>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</si>
  <si>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</si>
  <si>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</si>
  <si>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</si>
  <si>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</si>
  <si>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</si>
  <si>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</si>
  <si>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</si>
  <si>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</si>
  <si>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</si>
  <si>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</si>
  <si>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</si>
  <si>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</si>
  <si>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</si>
  <si>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</si>
  <si>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</si>
  <si>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</si>
  <si>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</si>
  <si>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</si>
  <si>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</si>
  <si>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</si>
  <si>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</si>
  <si>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</si>
  <si>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</si>
  <si>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</si>
  <si>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</si>
  <si>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</si>
  <si>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</si>
  <si>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</si>
  <si>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</si>
  <si>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</si>
  <si>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</si>
  <si>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</si>
  <si>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</si>
  <si>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</si>
  <si>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</si>
  <si>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</si>
  <si>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</si>
  <si>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</si>
  <si>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</si>
  <si>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</si>
  <si>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</si>
  <si>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</si>
  <si>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</si>
  <si>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</si>
  <si>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</si>
  <si>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</si>
  <si>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</si>
  <si>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</si>
  <si>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</si>
  <si>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</si>
  <si>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</si>
  <si>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</si>
  <si>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</si>
  <si>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</si>
  <si>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</si>
  <si>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</si>
  <si>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</si>
  <si>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</si>
  <si>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</si>
  <si>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</si>
  <si>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</si>
  <si>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</si>
  <si>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</si>
  <si>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</si>
  <si>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</si>
  <si>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</si>
  <si>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</si>
  <si>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</si>
  <si>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</si>
  <si>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</si>
  <si>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</si>
  <si>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</si>
  <si>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</si>
  <si>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</si>
  <si>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</si>
  <si>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</si>
  <si>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</si>
  <si>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</si>
  <si>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</si>
  <si>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</si>
  <si>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</si>
  <si>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</si>
  <si>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</si>
  <si>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</si>
  <si>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</si>
  <si>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</si>
  <si>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</si>
  <si>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</si>
  <si>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</si>
  <si>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</si>
  <si>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</si>
  <si>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</si>
  <si>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</si>
  <si>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</si>
  <si>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</si>
  <si>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</si>
  <si>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</si>
  <si>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</si>
  <si>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</si>
  <si>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</si>
  <si>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</si>
  <si>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</si>
  <si>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</si>
  <si>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</si>
  <si>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</si>
  <si>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</si>
  <si>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</si>
  <si>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</si>
  <si>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</si>
  <si>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</si>
  <si>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</si>
  <si>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</si>
  <si>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</si>
  <si>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</si>
  <si>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</si>
  <si>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</si>
  <si>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</si>
  <si>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</si>
  <si>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</si>
  <si>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</si>
  <si>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</si>
  <si>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</si>
  <si>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</si>
  <si>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</si>
  <si>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</si>
  <si>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</si>
  <si>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</si>
  <si>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</si>
  <si>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</si>
  <si>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</si>
  <si>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</si>
  <si>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</si>
  <si>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</si>
  <si>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</si>
  <si>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</si>
  <si>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</si>
  <si>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</si>
  <si>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</si>
  <si>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</si>
  <si>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</si>
  <si>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</si>
  <si>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</si>
  <si>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</si>
  <si>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</si>
  <si>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</si>
  <si>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</si>
  <si>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</si>
  <si>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</si>
  <si>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</si>
  <si>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</si>
  <si>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</si>
  <si>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</si>
  <si>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</si>
  <si>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</si>
  <si>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</si>
  <si>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</si>
  <si>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</si>
  <si>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</si>
  <si>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</si>
  <si>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</si>
  <si>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</si>
  <si>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</si>
  <si>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</si>
  <si>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</si>
  <si>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</si>
  <si>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</si>
  <si>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</si>
  <si>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</si>
  <si>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</si>
  <si>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</si>
  <si>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</si>
  <si>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</si>
  <si>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</si>
  <si>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</si>
  <si>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</si>
  <si>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</si>
  <si>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</si>
  <si>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</si>
  <si>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</si>
  <si>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</si>
  <si>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</si>
  <si>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</si>
  <si>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</si>
  <si>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</si>
  <si>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</si>
  <si>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</si>
  <si>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</si>
  <si>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</si>
  <si>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</si>
  <si>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</si>
  <si>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</si>
  <si>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</si>
  <si>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</si>
  <si>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</si>
  <si>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</si>
  <si>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</si>
  <si>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</si>
  <si>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</si>
  <si>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</si>
  <si>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</si>
  <si>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</si>
  <si>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</si>
  <si>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</si>
  <si>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</si>
  <si>
    <t>Todas las causas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</si>
</sst>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4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8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2" fillId="6" borderId="0" xfId="4" applyFont="1" applyFill="1" applyAlignment="1">
      <alignment horizontal="left"/>
    </xf>
    <xf numFmtId="0" fontId="3" fillId="6" borderId="0" xfId="4" applyFont="1" applyFill="1" applyAlignment="1">
      <alignment horizontal="right"/>
    </xf>
    <xf numFmtId="0" fontId="5" fillId="6" borderId="0" xfId="3" applyFill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abSelected="1"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333702.49999999988</v>
      </c>
    </row>
    <row r="8" spans="1:3" ht="15" customHeight="1" x14ac:dyDescent="0.25">
      <c r="B8" s="5" t="s">
        <v>63</v>
      </c>
      <c r="C8" s="44">
        <v>0.17399999999999999</v>
      </c>
    </row>
    <row r="9" spans="1:3" ht="15" customHeight="1" x14ac:dyDescent="0.25">
      <c r="B9" s="5" t="s">
        <v>62</v>
      </c>
      <c r="C9" s="45">
        <v>0.27</v>
      </c>
    </row>
    <row r="10" spans="1:3" ht="15" customHeight="1" x14ac:dyDescent="0.25">
      <c r="B10" s="5" t="s">
        <v>75</v>
      </c>
      <c r="C10" s="45">
        <v>0.32603321079999997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0.1114</v>
      </c>
    </row>
    <row r="24" spans="1:3" ht="15" customHeight="1" x14ac:dyDescent="0.25">
      <c r="B24" s="15" t="s">
        <v>65</v>
      </c>
      <c r="C24" s="45">
        <v>0.47339999999999999</v>
      </c>
    </row>
    <row r="25" spans="1:3" ht="15" customHeight="1" x14ac:dyDescent="0.25">
      <c r="B25" s="15" t="s">
        <v>66</v>
      </c>
      <c r="C25" s="45">
        <v>0.35499999999999998</v>
      </c>
    </row>
    <row r="26" spans="1:3" ht="15" customHeight="1" x14ac:dyDescent="0.25">
      <c r="B26" s="15" t="s">
        <v>67</v>
      </c>
      <c r="C26" s="45">
        <v>6.0199999999999997E-2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0.34290466666442998</v>
      </c>
    </row>
    <row r="30" spans="1:3" ht="14.25" customHeight="1" x14ac:dyDescent="0.25">
      <c r="B30" s="25" t="s">
        <v>82</v>
      </c>
      <c r="C30" s="97">
        <v>3.07454772021977E-2</v>
      </c>
    </row>
    <row r="31" spans="1:3" ht="14.25" customHeight="1" x14ac:dyDescent="0.25">
      <c r="B31" s="25" t="s">
        <v>29</v>
      </c>
      <c r="C31" s="97">
        <v>5.8505816356096703E-2</v>
      </c>
    </row>
    <row r="32" spans="1:3" ht="14.25" customHeight="1" x14ac:dyDescent="0.25">
      <c r="B32" s="25" t="s">
        <v>30</v>
      </c>
      <c r="C32" s="97">
        <v>0.56784403977727504</v>
      </c>
    </row>
    <row r="33" spans="1:5" ht="13.25" customHeight="1" x14ac:dyDescent="0.25">
      <c r="B33" s="27" t="s">
        <v>79</v>
      </c>
      <c r="C33" s="48">
        <f>SUM(C29:C32)</f>
        <v>0.99999999999999944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19.462630000000001</v>
      </c>
    </row>
    <row r="38" spans="1:5" ht="15" customHeight="1" x14ac:dyDescent="0.25">
      <c r="B38" s="11" t="s">
        <v>54</v>
      </c>
      <c r="C38" s="43">
        <v>29.38363</v>
      </c>
      <c r="D38" s="12"/>
      <c r="E38" s="13"/>
    </row>
    <row r="39" spans="1:5" ht="15" customHeight="1" x14ac:dyDescent="0.25">
      <c r="B39" s="11" t="s">
        <v>80</v>
      </c>
      <c r="C39" s="43">
        <v>39.043300000000002</v>
      </c>
      <c r="D39" s="12"/>
      <c r="E39" s="12"/>
    </row>
    <row r="40" spans="1:5" ht="15" customHeight="1" x14ac:dyDescent="0.25">
      <c r="B40" s="11" t="s">
        <v>55</v>
      </c>
      <c r="C40" s="98">
        <v>2.15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17.27824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7.928300000000001E-3</v>
      </c>
      <c r="D45" s="12"/>
    </row>
    <row r="46" spans="1:5" ht="15.75" customHeight="1" x14ac:dyDescent="0.25">
      <c r="B46" s="11" t="s">
        <v>70</v>
      </c>
      <c r="C46" s="45">
        <v>8.5188199999999992E-2</v>
      </c>
      <c r="D46" s="12"/>
    </row>
    <row r="47" spans="1:5" ht="15.75" customHeight="1" x14ac:dyDescent="0.25">
      <c r="B47" s="11" t="s">
        <v>78</v>
      </c>
      <c r="C47" s="45">
        <v>7.3460999999999999E-2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98">
        <v>3.1720000000000002</v>
      </c>
      <c r="D51" s="12"/>
    </row>
    <row r="52" spans="1:4" ht="15" customHeight="1" x14ac:dyDescent="0.25">
      <c r="B52" s="11" t="s">
        <v>32</v>
      </c>
      <c r="C52" s="98">
        <v>3.1720000000000002</v>
      </c>
    </row>
    <row r="53" spans="1:4" ht="15.75" customHeight="1" x14ac:dyDescent="0.25">
      <c r="B53" s="11" t="s">
        <v>35</v>
      </c>
      <c r="C53" s="98">
        <v>7.8519999999999994</v>
      </c>
    </row>
    <row r="54" spans="1:4" ht="15.75" customHeight="1" x14ac:dyDescent="0.25">
      <c r="B54" s="11" t="s">
        <v>33</v>
      </c>
      <c r="C54" s="98">
        <v>7.3060000000000009</v>
      </c>
    </row>
    <row r="55" spans="1:4" ht="15.75" customHeight="1" x14ac:dyDescent="0.25">
      <c r="B55" s="11" t="s">
        <v>34</v>
      </c>
      <c r="C55" s="98">
        <v>3.102666666666666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2.181818181818182E-2</v>
      </c>
    </row>
    <row r="59" spans="1:4" ht="15.75" customHeight="1" x14ac:dyDescent="0.25">
      <c r="B59" s="11" t="s">
        <v>59</v>
      </c>
      <c r="C59" s="45">
        <v>0.53307799999999994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0.15581519429999999</v>
      </c>
    </row>
    <row r="63" spans="1:4" ht="15.75" customHeight="1" x14ac:dyDescent="0.3">
      <c r="A63" s="4"/>
    </row>
  </sheetData>
  <sheetProtection algorithmName="SHA-512" hashValue="FC2uUHnIZycGrFyq4QIltgiPeDpuaHDKgKN7m6CzuIerGdbsAt0x/ljmPk9lwOc96ety0UFRelEJc7ShlqY/jw==" saltValue="hVceY9mjsinc69Yk0/aFX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398920.5</v>
      </c>
      <c r="C2" s="49">
        <v>81994</v>
      </c>
      <c r="D2" s="49">
        <v>194578</v>
      </c>
      <c r="E2" s="49">
        <v>299704.50000000006</v>
      </c>
      <c r="F2" s="49">
        <v>262500</v>
      </c>
      <c r="G2" s="17">
        <f t="shared" ref="G2:G13" si="0">C2+D2+E2+F2</f>
        <v>838776.5</v>
      </c>
      <c r="H2" s="17">
        <f t="shared" ref="H2:H13" si="1">(B2 + stillbirth*B2/(1000-stillbirth))/(1-abortion)</f>
        <v>461289.01226324734</v>
      </c>
      <c r="I2" s="17">
        <f t="shared" ref="I2:I13" si="2">G2-H2</f>
        <v>377487.48773675266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78452</v>
      </c>
      <c r="C3" s="50">
        <v>141543.5</v>
      </c>
      <c r="D3" s="50">
        <v>258837</v>
      </c>
      <c r="E3" s="50">
        <v>227154.49999999997</v>
      </c>
      <c r="F3" s="50">
        <v>151957.5</v>
      </c>
      <c r="G3" s="17">
        <f t="shared" si="0"/>
        <v>779492.5</v>
      </c>
      <c r="H3" s="17">
        <f t="shared" si="1"/>
        <v>90717.437660075826</v>
      </c>
      <c r="I3" s="17">
        <f t="shared" si="2"/>
        <v>688775.06233992416</v>
      </c>
    </row>
    <row r="4" spans="1:9" ht="15.75" customHeight="1" x14ac:dyDescent="0.25">
      <c r="A4" s="5">
        <f t="shared" si="3"/>
        <v>2026</v>
      </c>
      <c r="B4" s="49">
        <v>78688</v>
      </c>
      <c r="C4" s="50">
        <v>146019</v>
      </c>
      <c r="D4" s="50">
        <v>258971.99999999997</v>
      </c>
      <c r="E4" s="50">
        <v>234488</v>
      </c>
      <c r="F4" s="50">
        <v>158065.5</v>
      </c>
      <c r="G4" s="17">
        <f t="shared" si="0"/>
        <v>797544.5</v>
      </c>
      <c r="H4" s="17">
        <f t="shared" si="1"/>
        <v>90990.33465808451</v>
      </c>
      <c r="I4" s="17">
        <f t="shared" si="2"/>
        <v>706554.16534191545</v>
      </c>
    </row>
    <row r="5" spans="1:9" ht="15.75" customHeight="1" x14ac:dyDescent="0.25">
      <c r="A5" s="5">
        <f t="shared" si="3"/>
        <v>2027</v>
      </c>
      <c r="B5" s="49">
        <v>78927</v>
      </c>
      <c r="C5" s="50">
        <v>151270.5</v>
      </c>
      <c r="D5" s="50">
        <v>259418</v>
      </c>
      <c r="E5" s="50">
        <v>241112.00000000003</v>
      </c>
      <c r="F5" s="50">
        <v>164204.99999999997</v>
      </c>
      <c r="G5" s="17">
        <f t="shared" si="0"/>
        <v>816005.5</v>
      </c>
      <c r="H5" s="17">
        <f t="shared" si="1"/>
        <v>91266.700685728923</v>
      </c>
      <c r="I5" s="17">
        <f t="shared" si="2"/>
        <v>724738.79931427108</v>
      </c>
    </row>
    <row r="6" spans="1:9" ht="15.75" customHeight="1" x14ac:dyDescent="0.25">
      <c r="A6" s="5">
        <f t="shared" si="3"/>
        <v>2028</v>
      </c>
      <c r="B6" s="49">
        <v>79141</v>
      </c>
      <c r="C6" s="50">
        <v>155945.5</v>
      </c>
      <c r="D6" s="50">
        <v>260213.5</v>
      </c>
      <c r="E6" s="50">
        <v>247335.5</v>
      </c>
      <c r="F6" s="50">
        <v>170475.5</v>
      </c>
      <c r="G6" s="17">
        <f t="shared" si="0"/>
        <v>833970</v>
      </c>
      <c r="H6" s="17">
        <f t="shared" si="1"/>
        <v>91514.158133075776</v>
      </c>
      <c r="I6" s="17">
        <f t="shared" si="2"/>
        <v>742455.84186692419</v>
      </c>
    </row>
    <row r="7" spans="1:9" ht="15.75" customHeight="1" x14ac:dyDescent="0.25">
      <c r="A7" s="5">
        <f t="shared" si="3"/>
        <v>2029</v>
      </c>
      <c r="B7" s="49">
        <v>79377</v>
      </c>
      <c r="C7" s="50">
        <v>160496</v>
      </c>
      <c r="D7" s="50">
        <v>261438.49999999997</v>
      </c>
      <c r="E7" s="50">
        <v>253058.5</v>
      </c>
      <c r="F7" s="50">
        <v>177185.99999999997</v>
      </c>
      <c r="G7" s="17">
        <f t="shared" si="0"/>
        <v>852179</v>
      </c>
      <c r="H7" s="17">
        <f t="shared" si="1"/>
        <v>91787.055131084475</v>
      </c>
      <c r="I7" s="17">
        <f t="shared" si="2"/>
        <v>760391.94486891548</v>
      </c>
    </row>
    <row r="8" spans="1:9" ht="15.75" customHeight="1" x14ac:dyDescent="0.25">
      <c r="A8" s="5">
        <f t="shared" si="3"/>
        <v>2030</v>
      </c>
      <c r="B8" s="49">
        <v>79563</v>
      </c>
      <c r="C8" s="50">
        <v>165652.5</v>
      </c>
      <c r="D8" s="50">
        <v>262694</v>
      </c>
      <c r="E8" s="50">
        <v>258101.5</v>
      </c>
      <c r="F8" s="50">
        <v>184548</v>
      </c>
      <c r="G8" s="17">
        <f t="shared" si="0"/>
        <v>870996</v>
      </c>
      <c r="H8" s="17">
        <f t="shared" si="1"/>
        <v>92002.134968498096</v>
      </c>
      <c r="I8" s="17">
        <f t="shared" si="2"/>
        <v>778993.86503150186</v>
      </c>
    </row>
    <row r="9" spans="1:9" ht="15.75" customHeight="1" x14ac:dyDescent="0.25">
      <c r="A9" s="5">
        <f t="shared" si="3"/>
        <v>2031</v>
      </c>
      <c r="B9" s="49">
        <v>79751</v>
      </c>
      <c r="C9" s="50">
        <v>170769</v>
      </c>
      <c r="D9" s="50">
        <v>265358.5</v>
      </c>
      <c r="E9" s="50">
        <v>262015</v>
      </c>
      <c r="F9" s="50">
        <v>192623</v>
      </c>
      <c r="G9" s="17">
        <f t="shared" si="0"/>
        <v>890765.5</v>
      </c>
      <c r="H9" s="17">
        <f t="shared" si="1"/>
        <v>92219.527492335546</v>
      </c>
      <c r="I9" s="17">
        <f t="shared" si="2"/>
        <v>798545.97250766447</v>
      </c>
    </row>
    <row r="10" spans="1:9" ht="15.75" customHeight="1" x14ac:dyDescent="0.25">
      <c r="A10" s="5">
        <f t="shared" si="3"/>
        <v>2032</v>
      </c>
      <c r="B10" s="49">
        <v>80163</v>
      </c>
      <c r="C10" s="50">
        <v>175767</v>
      </c>
      <c r="D10" s="50">
        <v>270123</v>
      </c>
      <c r="E10" s="50">
        <v>264140.5</v>
      </c>
      <c r="F10" s="50">
        <v>201257.5</v>
      </c>
      <c r="G10" s="17">
        <f t="shared" si="0"/>
        <v>911288</v>
      </c>
      <c r="H10" s="17">
        <f t="shared" si="1"/>
        <v>92695.940895638836</v>
      </c>
      <c r="I10" s="17">
        <f t="shared" si="2"/>
        <v>818592.05910436111</v>
      </c>
    </row>
    <row r="11" spans="1:9" ht="15.75" customHeight="1" x14ac:dyDescent="0.25">
      <c r="A11" s="5">
        <f t="shared" si="3"/>
        <v>2033</v>
      </c>
      <c r="B11" s="49">
        <v>80561</v>
      </c>
      <c r="C11" s="50">
        <v>181135</v>
      </c>
      <c r="D11" s="50">
        <v>275943.99999999994</v>
      </c>
      <c r="E11" s="50">
        <v>264538.5</v>
      </c>
      <c r="F11" s="50">
        <v>210045.00000000003</v>
      </c>
      <c r="G11" s="17">
        <f t="shared" si="0"/>
        <v>931662.5</v>
      </c>
      <c r="H11" s="17">
        <f t="shared" si="1"/>
        <v>93156.165493975539</v>
      </c>
      <c r="I11" s="17">
        <f t="shared" si="2"/>
        <v>838506.33450602449</v>
      </c>
    </row>
    <row r="12" spans="1:9" ht="15.75" customHeight="1" x14ac:dyDescent="0.25">
      <c r="A12" s="5">
        <f t="shared" si="3"/>
        <v>2034</v>
      </c>
      <c r="B12" s="49">
        <v>81061</v>
      </c>
      <c r="C12" s="50">
        <v>186032</v>
      </c>
      <c r="D12" s="50">
        <v>282773</v>
      </c>
      <c r="E12" s="50">
        <v>263757</v>
      </c>
      <c r="F12" s="50">
        <v>218532.5</v>
      </c>
      <c r="G12" s="17">
        <f t="shared" si="0"/>
        <v>951094.5</v>
      </c>
      <c r="H12" s="17">
        <f t="shared" si="1"/>
        <v>93734.337099926153</v>
      </c>
      <c r="I12" s="17">
        <f t="shared" si="2"/>
        <v>857360.1629000738</v>
      </c>
    </row>
    <row r="13" spans="1:9" ht="15.75" customHeight="1" x14ac:dyDescent="0.25">
      <c r="A13" s="5">
        <f t="shared" si="3"/>
        <v>2035</v>
      </c>
      <c r="B13" s="49">
        <v>81466</v>
      </c>
      <c r="C13" s="50">
        <v>190012</v>
      </c>
      <c r="D13" s="50">
        <v>290690</v>
      </c>
      <c r="E13" s="50">
        <v>262740</v>
      </c>
      <c r="F13" s="50">
        <v>226329</v>
      </c>
      <c r="G13" s="17">
        <f t="shared" si="0"/>
        <v>969771</v>
      </c>
      <c r="H13" s="17">
        <f t="shared" si="1"/>
        <v>94202.656100746157</v>
      </c>
      <c r="I13" s="17">
        <f t="shared" si="2"/>
        <v>875568.34389925387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jhpJm8JdYuvid0/hKyhULlStUQqBNX8opi88yyF9djDipcbXsPoE+3SLAYNoHpDnhQDXhak2P01trIlIZb7ZXQ==" saltValue="Nwe78KN0kIuTxBGDjyhOLQ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1.0223598977640099E-2</v>
      </c>
    </row>
    <row r="4" spans="1:8" ht="15.75" customHeight="1" x14ac:dyDescent="0.25">
      <c r="B4" s="19" t="s">
        <v>116</v>
      </c>
      <c r="C4" s="99">
        <v>5.4527794547220461E-2</v>
      </c>
    </row>
    <row r="5" spans="1:8" ht="15.75" customHeight="1" x14ac:dyDescent="0.25">
      <c r="B5" s="19" t="s">
        <v>114</v>
      </c>
      <c r="C5" s="99">
        <v>6.7976193202380797E-2</v>
      </c>
    </row>
    <row r="6" spans="1:8" ht="15.75" customHeight="1" x14ac:dyDescent="0.25">
      <c r="B6" s="19" t="s">
        <v>110</v>
      </c>
      <c r="C6" s="99">
        <v>0.23703687629631159</v>
      </c>
    </row>
    <row r="7" spans="1:8" ht="15.75" customHeight="1" x14ac:dyDescent="0.25">
      <c r="B7" s="19" t="s">
        <v>115</v>
      </c>
      <c r="C7" s="99">
        <v>0.43144785685521458</v>
      </c>
    </row>
    <row r="8" spans="1:8" ht="15.75" customHeight="1" x14ac:dyDescent="0.25">
      <c r="B8" s="19" t="s">
        <v>117</v>
      </c>
      <c r="C8" s="99">
        <v>1.472199852780015E-3</v>
      </c>
    </row>
    <row r="9" spans="1:8" ht="15.75" customHeight="1" x14ac:dyDescent="0.25">
      <c r="B9" s="19" t="s">
        <v>111</v>
      </c>
      <c r="C9" s="99">
        <v>8.8945991105401023E-2</v>
      </c>
    </row>
    <row r="10" spans="1:8" ht="15.75" customHeight="1" x14ac:dyDescent="0.25">
      <c r="B10" s="19" t="s">
        <v>113</v>
      </c>
      <c r="C10" s="99">
        <v>0.1083694891630512</v>
      </c>
    </row>
    <row r="11" spans="1:8" ht="15.75" customHeight="1" x14ac:dyDescent="0.25">
      <c r="B11" s="27" t="s">
        <v>79</v>
      </c>
      <c r="C11" s="48">
        <f>SUM(C3:C10)</f>
        <v>0.99999999999999978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0" t="s">
        <v>93</v>
      </c>
      <c r="D13" s="100" t="s">
        <v>96</v>
      </c>
      <c r="E13" s="100" t="s">
        <v>94</v>
      </c>
      <c r="F13" s="100" t="s">
        <v>95</v>
      </c>
      <c r="G13" s="19"/>
    </row>
    <row r="14" spans="1:8" ht="15.75" customHeight="1" x14ac:dyDescent="0.25">
      <c r="B14" s="19" t="s">
        <v>103</v>
      </c>
      <c r="C14" s="55">
        <v>0.154195409812344</v>
      </c>
      <c r="D14" s="55">
        <v>0.154195409812344</v>
      </c>
      <c r="E14" s="55">
        <v>0.154195409812344</v>
      </c>
      <c r="F14" s="55">
        <v>0.154195409812344</v>
      </c>
    </row>
    <row r="15" spans="1:8" ht="15.75" customHeight="1" x14ac:dyDescent="0.25">
      <c r="B15" s="19" t="s">
        <v>121</v>
      </c>
      <c r="C15" s="99">
        <v>0.1773419466739668</v>
      </c>
      <c r="D15" s="99">
        <v>0.1773419466739668</v>
      </c>
      <c r="E15" s="99">
        <v>0.1773419466739668</v>
      </c>
      <c r="F15" s="99">
        <v>0.1773419466739668</v>
      </c>
    </row>
    <row r="16" spans="1:8" ht="15.75" customHeight="1" x14ac:dyDescent="0.25">
      <c r="B16" s="19" t="s">
        <v>2</v>
      </c>
      <c r="C16" s="99">
        <v>2.0708961417743449E-2</v>
      </c>
      <c r="D16" s="99">
        <v>2.0708961417743449E-2</v>
      </c>
      <c r="E16" s="99">
        <v>2.0708961417743449E-2</v>
      </c>
      <c r="F16" s="99">
        <v>2.0708961417743449E-2</v>
      </c>
    </row>
    <row r="17" spans="1:8" ht="15.75" customHeight="1" x14ac:dyDescent="0.25">
      <c r="B17" s="19" t="s">
        <v>109</v>
      </c>
      <c r="C17" s="99">
        <v>1.200938691340392E-3</v>
      </c>
      <c r="D17" s="99">
        <v>1.200938691340392E-3</v>
      </c>
      <c r="E17" s="99">
        <v>1.200938691340392E-3</v>
      </c>
      <c r="F17" s="99">
        <v>1.200938691340392E-3</v>
      </c>
    </row>
    <row r="18" spans="1:8" ht="15.75" customHeight="1" x14ac:dyDescent="0.25">
      <c r="B18" s="19" t="s">
        <v>3</v>
      </c>
      <c r="C18" s="99">
        <v>2.0036074469009621E-3</v>
      </c>
      <c r="D18" s="99">
        <v>2.0036074469009621E-3</v>
      </c>
      <c r="E18" s="99">
        <v>2.0036074469009621E-3</v>
      </c>
      <c r="F18" s="99">
        <v>2.0036074469009621E-3</v>
      </c>
    </row>
    <row r="19" spans="1:8" ht="15.75" customHeight="1" x14ac:dyDescent="0.25">
      <c r="B19" s="19" t="s">
        <v>120</v>
      </c>
      <c r="C19" s="99">
        <v>3.8478101476373552E-2</v>
      </c>
      <c r="D19" s="99">
        <v>3.8478101476373552E-2</v>
      </c>
      <c r="E19" s="99">
        <v>3.8478101476373552E-2</v>
      </c>
      <c r="F19" s="99">
        <v>3.8478101476373552E-2</v>
      </c>
    </row>
    <row r="20" spans="1:8" ht="15.75" customHeight="1" x14ac:dyDescent="0.25">
      <c r="B20" s="19" t="s">
        <v>98</v>
      </c>
      <c r="C20" s="99">
        <v>0.28831162427767509</v>
      </c>
      <c r="D20" s="99">
        <v>0.28831162427767509</v>
      </c>
      <c r="E20" s="99">
        <v>0.28831162427767509</v>
      </c>
      <c r="F20" s="99">
        <v>0.28831162427767509</v>
      </c>
    </row>
    <row r="21" spans="1:8" ht="15.75" customHeight="1" x14ac:dyDescent="0.25">
      <c r="B21" s="19" t="s">
        <v>107</v>
      </c>
      <c r="C21" s="99">
        <v>0.1149372196793608</v>
      </c>
      <c r="D21" s="99">
        <v>0.1149372196793608</v>
      </c>
      <c r="E21" s="99">
        <v>0.1149372196793608</v>
      </c>
      <c r="F21" s="99">
        <v>0.1149372196793608</v>
      </c>
    </row>
    <row r="22" spans="1:8" ht="15.75" customHeight="1" x14ac:dyDescent="0.25">
      <c r="B22" s="19" t="s">
        <v>118</v>
      </c>
      <c r="C22" s="99">
        <v>0.2028221905242949</v>
      </c>
      <c r="D22" s="99">
        <v>0.2028221905242949</v>
      </c>
      <c r="E22" s="99">
        <v>0.2028221905242949</v>
      </c>
      <c r="F22" s="99">
        <v>0.2028221905242949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7.6914598000000015E-2</v>
      </c>
    </row>
    <row r="27" spans="1:8" ht="15.75" customHeight="1" x14ac:dyDescent="0.25">
      <c r="B27" s="19" t="s">
        <v>108</v>
      </c>
      <c r="C27" s="99">
        <v>7.5643810000000002E-3</v>
      </c>
    </row>
    <row r="28" spans="1:8" ht="15.75" customHeight="1" x14ac:dyDescent="0.25">
      <c r="B28" s="19" t="s">
        <v>122</v>
      </c>
      <c r="C28" s="99">
        <v>0.13334979499999999</v>
      </c>
    </row>
    <row r="29" spans="1:8" ht="15.75" customHeight="1" x14ac:dyDescent="0.25">
      <c r="B29" s="19" t="s">
        <v>105</v>
      </c>
      <c r="C29" s="99">
        <v>0.14638231299999999</v>
      </c>
    </row>
    <row r="30" spans="1:8" ht="15.75" customHeight="1" x14ac:dyDescent="0.25">
      <c r="B30" s="19" t="s">
        <v>4</v>
      </c>
      <c r="C30" s="99">
        <v>9.1820059999999995E-2</v>
      </c>
    </row>
    <row r="31" spans="1:8" ht="15.75" customHeight="1" x14ac:dyDescent="0.25">
      <c r="B31" s="19" t="s">
        <v>99</v>
      </c>
      <c r="C31" s="99">
        <v>9.6547411000000014E-2</v>
      </c>
    </row>
    <row r="32" spans="1:8" ht="15.75" customHeight="1" x14ac:dyDescent="0.25">
      <c r="B32" s="19" t="s">
        <v>104</v>
      </c>
      <c r="C32" s="99">
        <v>1.6333001E-2</v>
      </c>
    </row>
    <row r="33" spans="2:3" ht="15.75" customHeight="1" x14ac:dyDescent="0.25">
      <c r="B33" s="19" t="s">
        <v>119</v>
      </c>
      <c r="C33" s="99">
        <v>7.2137805999999999E-2</v>
      </c>
    </row>
    <row r="34" spans="2:3" ht="15.75" customHeight="1" x14ac:dyDescent="0.25">
      <c r="B34" s="19" t="s">
        <v>106</v>
      </c>
      <c r="C34" s="99">
        <v>0.35895063599999999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fxLEq+4gEp9MFA7NBM9NaGS3Atv7Xr42Vtme2VnLIGt71LmRTS1ALAPYYqRBuM8wZQxpiYWL4o8G40QV3l6yAQ==" saltValue="tAsMEhz2n9EIIPgnnPu+ng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0.58727534154332206</v>
      </c>
      <c r="D2" s="52">
        <f>IFERROR(1-_xlfn.NORM.DIST(_xlfn.NORM.INV(SUM(D4:D5), 0, 1) + 1, 0, 1, TRUE), "")</f>
        <v>0.58727534154332206</v>
      </c>
      <c r="E2" s="52">
        <f>IFERROR(1-_xlfn.NORM.DIST(_xlfn.NORM.INV(SUM(E4:E5), 0, 1) + 1, 0, 1, TRUE), "")</f>
        <v>0.66143111471626548</v>
      </c>
      <c r="F2" s="52">
        <f>IFERROR(1-_xlfn.NORM.DIST(_xlfn.NORM.INV(SUM(F4:F5), 0, 1) + 1, 0, 1, TRUE), "")</f>
        <v>0.37983838867177266</v>
      </c>
      <c r="G2" s="52">
        <f>IFERROR(1-_xlfn.NORM.DIST(_xlfn.NORM.INV(SUM(G4:G5), 0, 1) + 1, 0, 1, TRUE), "")</f>
        <v>0.35436617816929417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0.30159485845667788</v>
      </c>
      <c r="D3" s="52">
        <f>IFERROR(_xlfn.NORM.DIST(_xlfn.NORM.INV(SUM(D4:D5), 0, 1) + 1, 0, 1, TRUE) - SUM(D4:D5), "")</f>
        <v>0.30159485845667788</v>
      </c>
      <c r="E3" s="52">
        <f>IFERROR(_xlfn.NORM.DIST(_xlfn.NORM.INV(SUM(E4:E5), 0, 1) + 1, 0, 1, TRUE) - SUM(E4:E5), "")</f>
        <v>0.26023558528373447</v>
      </c>
      <c r="F3" s="52">
        <f>IFERROR(_xlfn.NORM.DIST(_xlfn.NORM.INV(SUM(F4:F5), 0, 1) + 1, 0, 1, TRUE) - SUM(F4:F5), "")</f>
        <v>0.37635021132822732</v>
      </c>
      <c r="G3" s="52">
        <f>IFERROR(_xlfn.NORM.DIST(_xlfn.NORM.INV(SUM(G4:G5), 0, 1) + 1, 0, 1, TRUE) - SUM(G4:G5), "")</f>
        <v>0.38012092183070584</v>
      </c>
    </row>
    <row r="4" spans="1:15" ht="15.75" customHeight="1" x14ac:dyDescent="0.25">
      <c r="B4" s="5" t="s">
        <v>129</v>
      </c>
      <c r="C4" s="45">
        <v>6.3812099999999997E-2</v>
      </c>
      <c r="D4" s="53">
        <v>6.3812099999999997E-2</v>
      </c>
      <c r="E4" s="53">
        <v>5.8292099999999999E-2</v>
      </c>
      <c r="F4" s="53">
        <v>0.15700729999999999</v>
      </c>
      <c r="G4" s="53">
        <v>0.17223169999999999</v>
      </c>
    </row>
    <row r="5" spans="1:15" ht="15.75" customHeight="1" x14ac:dyDescent="0.25">
      <c r="B5" s="5" t="s">
        <v>125</v>
      </c>
      <c r="C5" s="45">
        <v>4.7317699999999997E-2</v>
      </c>
      <c r="D5" s="53">
        <v>4.7317699999999997E-2</v>
      </c>
      <c r="E5" s="53">
        <v>2.0041199999999999E-2</v>
      </c>
      <c r="F5" s="53">
        <v>8.6804099999999995E-2</v>
      </c>
      <c r="G5" s="53">
        <v>9.3281200000000009E-2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0.56315453149286132</v>
      </c>
      <c r="D8" s="52">
        <f>IFERROR(1-_xlfn.NORM.DIST(_xlfn.NORM.INV(SUM(D10:D11), 0, 1) + 1, 0, 1, TRUE), "")</f>
        <v>0.56315453149286132</v>
      </c>
      <c r="E8" s="52">
        <f>IFERROR(1-_xlfn.NORM.DIST(_xlfn.NORM.INV(SUM(E10:E11), 0, 1) + 1, 0, 1, TRUE), "")</f>
        <v>0.49605465255960557</v>
      </c>
      <c r="F8" s="52">
        <f>IFERROR(1-_xlfn.NORM.DIST(_xlfn.NORM.INV(SUM(F10:F11), 0, 1) + 1, 0, 1, TRUE), "")</f>
        <v>0.63695278058115035</v>
      </c>
      <c r="G8" s="52">
        <f>IFERROR(1-_xlfn.NORM.DIST(_xlfn.NORM.INV(SUM(G10:G11), 0, 1) + 1, 0, 1, TRUE), "")</f>
        <v>0.76600329429899094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0.31361166850713867</v>
      </c>
      <c r="D9" s="52">
        <f>IFERROR(_xlfn.NORM.DIST(_xlfn.NORM.INV(SUM(D10:D11), 0, 1) + 1, 0, 1, TRUE) - SUM(D10:D11), "")</f>
        <v>0.31361166850713867</v>
      </c>
      <c r="E9" s="52">
        <f>IFERROR(_xlfn.NORM.DIST(_xlfn.NORM.INV(SUM(E10:E11), 0, 1) + 1, 0, 1, TRUE) - SUM(E10:E11), "")</f>
        <v>0.34288524744039445</v>
      </c>
      <c r="F9" s="52">
        <f>IFERROR(_xlfn.NORM.DIST(_xlfn.NORM.INV(SUM(F10:F11), 0, 1) + 1, 0, 1, TRUE) - SUM(F10:F11), "")</f>
        <v>0.27459141941884957</v>
      </c>
      <c r="G9" s="52">
        <f>IFERROR(_xlfn.NORM.DIST(_xlfn.NORM.INV(SUM(G10:G11), 0, 1) + 1, 0, 1, TRUE) - SUM(G10:G11), "")</f>
        <v>0.19180030570100901</v>
      </c>
    </row>
    <row r="10" spans="1:15" ht="15.75" customHeight="1" x14ac:dyDescent="0.25">
      <c r="B10" s="5" t="s">
        <v>126</v>
      </c>
      <c r="C10" s="45">
        <v>4.8994000000000003E-2</v>
      </c>
      <c r="D10" s="53">
        <v>4.8994000000000003E-2</v>
      </c>
      <c r="E10" s="53">
        <v>0.1010281</v>
      </c>
      <c r="F10" s="53">
        <v>4.47619E-2</v>
      </c>
      <c r="G10" s="53">
        <v>3.2328599999999999E-2</v>
      </c>
    </row>
    <row r="11" spans="1:15" ht="15.75" customHeight="1" x14ac:dyDescent="0.25">
      <c r="B11" s="5" t="s">
        <v>138</v>
      </c>
      <c r="C11" s="45">
        <v>7.4239800000000009E-2</v>
      </c>
      <c r="D11" s="53">
        <v>7.4239800000000009E-2</v>
      </c>
      <c r="E11" s="53">
        <v>6.0032000000000002E-2</v>
      </c>
      <c r="F11" s="53">
        <v>4.3693900000000001E-2</v>
      </c>
      <c r="G11" s="53">
        <v>9.8677999999999995E-3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0.66914178675000002</v>
      </c>
      <c r="D14" s="54">
        <v>0.63932800009000001</v>
      </c>
      <c r="E14" s="54">
        <v>0.63932800009000001</v>
      </c>
      <c r="F14" s="54">
        <v>0.49151955144800008</v>
      </c>
      <c r="G14" s="54">
        <v>0.49151955144800008</v>
      </c>
      <c r="H14" s="45">
        <v>0.27100000000000002</v>
      </c>
      <c r="I14" s="55">
        <v>0.27100000000000002</v>
      </c>
      <c r="J14" s="55">
        <v>0.27100000000000002</v>
      </c>
      <c r="K14" s="55">
        <v>0.27100000000000002</v>
      </c>
      <c r="L14" s="45">
        <v>0.23</v>
      </c>
      <c r="M14" s="55">
        <v>0.23</v>
      </c>
      <c r="N14" s="55">
        <v>0.23</v>
      </c>
      <c r="O14" s="55">
        <v>0.23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0.35670476539711649</v>
      </c>
      <c r="D15" s="52">
        <f t="shared" si="0"/>
        <v>0.340811691631977</v>
      </c>
      <c r="E15" s="52">
        <f t="shared" si="0"/>
        <v>0.340811691631977</v>
      </c>
      <c r="F15" s="52">
        <f t="shared" si="0"/>
        <v>0.26201825944679696</v>
      </c>
      <c r="G15" s="52">
        <f t="shared" si="0"/>
        <v>0.26201825944679696</v>
      </c>
      <c r="H15" s="52">
        <f t="shared" si="0"/>
        <v>0.14446413799999999</v>
      </c>
      <c r="I15" s="52">
        <f t="shared" si="0"/>
        <v>0.14446413799999999</v>
      </c>
      <c r="J15" s="52">
        <f t="shared" si="0"/>
        <v>0.14446413799999999</v>
      </c>
      <c r="K15" s="52">
        <f t="shared" si="0"/>
        <v>0.14446413799999999</v>
      </c>
      <c r="L15" s="52">
        <f t="shared" si="0"/>
        <v>0.12260794</v>
      </c>
      <c r="M15" s="52">
        <f t="shared" si="0"/>
        <v>0.12260794</v>
      </c>
      <c r="N15" s="52">
        <f t="shared" si="0"/>
        <v>0.12260794</v>
      </c>
      <c r="O15" s="52">
        <f t="shared" si="0"/>
        <v>0.12260794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3Kf181VwtVTDx35qjPs1rehfXsEC8uAoA7iF1FfWkeCo4OsjEl6snjTo0/ZN+VDb5qlYc+f67FBiebAV7LTUiA==" saltValue="oYSB35ZhiaW0Bf/LuLsvp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0.72007639999999995</v>
      </c>
      <c r="D2" s="53">
        <v>0.45918130000000001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0.1422108</v>
      </c>
      <c r="D3" s="53">
        <v>0.20233039999999999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0.11423510000000001</v>
      </c>
      <c r="D4" s="53">
        <v>0.2529962</v>
      </c>
      <c r="E4" s="53">
        <v>0.77814710000000009</v>
      </c>
      <c r="F4" s="53">
        <v>0.46696870000000001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2.3477700000000046E-2</v>
      </c>
      <c r="D5" s="52">
        <f t="shared" si="0"/>
        <v>8.549209999999996E-2</v>
      </c>
      <c r="E5" s="52">
        <f>1-SUM(E2:E4)</f>
        <v>0.22185289999999991</v>
      </c>
      <c r="F5" s="52">
        <f>1-SUM(F2:F4)</f>
        <v>0.53303129999999999</v>
      </c>
      <c r="G5" s="52">
        <f>1-SUM(G2:G4)</f>
        <v>1</v>
      </c>
    </row>
  </sheetData>
  <sheetProtection algorithmName="SHA-512" hashValue="17H8RlL5SSG0lldRqbYSGuZeB8oBN4EPxLmTsXx0F/E0CtaIxLl9I7L1b+oYCo1KZxHEv7aqnYWM1vwkH0rN4Q==" saltValue="P2m7cqjx5Gd23xUIzXtfd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HYjKUgSaDg0Uxc3hudZOTLkxEoxwy5ps7CqazkL+lGsgPr+xNmEdJCqdFBnUESHumoYjeckak9ZtAS33N0IUEg==" saltValue="GpTxAdQz2vPfpr6MFSZg3w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3" t="s">
        <v>10</v>
      </c>
      <c r="B1" s="103" t="s">
        <v>11</v>
      </c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</row>
    <row r="2" spans="1:15" x14ac:dyDescent="0.25">
      <c r="A2" t="s">
        <v>160</v>
      </c>
      <c r="B2" s="107">
        <v>5031.11503011478</v>
      </c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  <c r="N2" s="104"/>
      <c r="O2" s="104"/>
    </row>
    <row r="3" spans="1:15" x14ac:dyDescent="0.25">
      <c r="A3" t="s">
        <v>159</v>
      </c>
      <c r="B3" s="108">
        <v>0.03</v>
      </c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</row>
    <row r="4" spans="1:15" x14ac:dyDescent="0.25">
      <c r="A4" t="s">
        <v>170</v>
      </c>
      <c r="B4" s="108">
        <v>0.51737999999999995</v>
      </c>
      <c r="C4" s="104"/>
      <c r="D4" s="104"/>
      <c r="E4" s="104"/>
      <c r="F4" s="104"/>
      <c r="G4" s="104"/>
      <c r="H4" s="104"/>
      <c r="I4" s="104"/>
      <c r="J4" s="104"/>
      <c r="K4" s="104"/>
      <c r="L4" s="104"/>
      <c r="M4" s="104"/>
      <c r="N4" s="104"/>
      <c r="O4" s="104"/>
    </row>
    <row r="5" spans="1:15" x14ac:dyDescent="0.25">
      <c r="A5" t="s">
        <v>161</v>
      </c>
      <c r="B5" s="108">
        <v>0.03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</row>
    <row r="6" spans="1:15" x14ac:dyDescent="0.25">
      <c r="A6" t="s">
        <v>162</v>
      </c>
      <c r="B6" s="108">
        <v>0.03</v>
      </c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</row>
    <row r="7" spans="1:15" x14ac:dyDescent="0.25">
      <c r="A7" t="s">
        <v>165</v>
      </c>
      <c r="B7" s="109">
        <v>18</v>
      </c>
      <c r="C7" s="104"/>
      <c r="D7" s="104"/>
      <c r="E7" s="104"/>
      <c r="F7" s="104"/>
      <c r="G7" s="104"/>
      <c r="H7" s="104"/>
      <c r="I7" s="104"/>
      <c r="J7" s="104"/>
      <c r="K7" s="104"/>
      <c r="L7" s="104"/>
      <c r="M7" s="104"/>
      <c r="N7" s="104"/>
      <c r="O7" s="104"/>
    </row>
    <row r="8" spans="1:15" x14ac:dyDescent="0.25">
      <c r="A8" t="s">
        <v>164</v>
      </c>
      <c r="B8" s="109">
        <v>65</v>
      </c>
      <c r="C8" s="104"/>
      <c r="D8" s="104"/>
      <c r="E8" s="104"/>
      <c r="F8" s="104"/>
      <c r="G8" s="104"/>
      <c r="H8" s="104"/>
      <c r="I8" s="104"/>
      <c r="J8" s="104"/>
      <c r="K8" s="104"/>
      <c r="L8" s="104"/>
      <c r="M8" s="104"/>
      <c r="N8" s="104"/>
      <c r="O8" s="104"/>
    </row>
    <row r="9" spans="1:15" x14ac:dyDescent="0.25">
      <c r="A9" t="s">
        <v>166</v>
      </c>
      <c r="B9" s="108">
        <v>0.56798000000000004</v>
      </c>
      <c r="C9" s="104"/>
      <c r="D9" s="104"/>
      <c r="E9" s="104"/>
      <c r="F9" s="104"/>
      <c r="G9" s="104"/>
      <c r="H9" s="104"/>
      <c r="I9" s="104"/>
      <c r="J9" s="104"/>
      <c r="K9" s="104"/>
      <c r="L9" s="104"/>
      <c r="M9" s="104"/>
      <c r="N9" s="104"/>
      <c r="O9" s="104"/>
    </row>
    <row r="10" spans="1:15" x14ac:dyDescent="0.25">
      <c r="A10" t="s">
        <v>163</v>
      </c>
      <c r="B10" s="108">
        <v>0.9</v>
      </c>
      <c r="C10" s="104"/>
      <c r="D10" s="104"/>
      <c r="E10" s="104"/>
      <c r="F10" s="104"/>
      <c r="G10" s="104"/>
      <c r="H10" s="104"/>
      <c r="I10" s="104"/>
      <c r="J10" s="104"/>
      <c r="K10" s="104"/>
      <c r="L10" s="104"/>
      <c r="M10" s="104"/>
      <c r="N10" s="104"/>
      <c r="O10" s="104"/>
    </row>
    <row r="11" spans="1:15" x14ac:dyDescent="0.25">
      <c r="A11" t="s">
        <v>171</v>
      </c>
      <c r="B11" s="108">
        <v>0.66</v>
      </c>
      <c r="C11" s="104"/>
      <c r="D11" s="104"/>
      <c r="E11" s="104"/>
      <c r="F11" s="104"/>
      <c r="G11" s="104"/>
      <c r="H11" s="104"/>
      <c r="I11" s="104"/>
      <c r="J11" s="104"/>
      <c r="K11" s="104"/>
      <c r="L11" s="104"/>
      <c r="M11" s="104"/>
      <c r="N11" s="104"/>
      <c r="O11" s="104"/>
    </row>
    <row r="12" spans="1:15" x14ac:dyDescent="0.25">
      <c r="A12" t="s">
        <v>172</v>
      </c>
      <c r="B12" s="108">
        <v>2.5000000000000001E-2</v>
      </c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</row>
    <row r="13" spans="1:15" x14ac:dyDescent="0.25">
      <c r="A13" t="s">
        <v>173</v>
      </c>
      <c r="B13" s="108">
        <v>7.4999999999999997E-2</v>
      </c>
      <c r="C13" s="104"/>
      <c r="D13" s="104"/>
      <c r="E13" s="104"/>
      <c r="F13" s="104"/>
      <c r="G13" s="104"/>
      <c r="H13" s="104"/>
      <c r="I13" s="104"/>
      <c r="J13" s="104"/>
      <c r="K13" s="104"/>
      <c r="L13" s="104"/>
      <c r="M13" s="104"/>
      <c r="N13" s="104"/>
      <c r="O13" s="104"/>
    </row>
    <row r="14" spans="1:15" x14ac:dyDescent="0.25">
      <c r="A14" t="s">
        <v>174</v>
      </c>
      <c r="B14" s="110">
        <v>1.5925949897969933E-2</v>
      </c>
      <c r="C14" s="104"/>
      <c r="D14" s="104"/>
      <c r="E14" s="104"/>
      <c r="F14" s="104"/>
      <c r="G14" s="104"/>
      <c r="H14" s="104"/>
      <c r="I14" s="104"/>
      <c r="J14" s="104"/>
      <c r="K14" s="104"/>
      <c r="L14" s="104"/>
      <c r="M14" s="104"/>
      <c r="N14" s="104"/>
      <c r="O14" s="104"/>
    </row>
    <row r="15" spans="1:15" x14ac:dyDescent="0.25">
      <c r="A15" t="s">
        <v>167</v>
      </c>
      <c r="B15" s="109">
        <v>0.5</v>
      </c>
      <c r="C15" s="104"/>
      <c r="D15" s="104"/>
      <c r="E15" s="104"/>
      <c r="F15" s="104"/>
      <c r="G15" s="104"/>
      <c r="H15" s="104"/>
      <c r="I15" s="104"/>
      <c r="J15" s="104"/>
      <c r="K15" s="104"/>
      <c r="L15" s="104"/>
      <c r="M15" s="104"/>
      <c r="N15" s="104"/>
      <c r="O15" s="104"/>
    </row>
    <row r="16" spans="1:15" x14ac:dyDescent="0.25">
      <c r="A16" t="s">
        <v>168</v>
      </c>
      <c r="B16" s="109">
        <v>0.8</v>
      </c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</row>
    <row r="17" spans="1:15" x14ac:dyDescent="0.25">
      <c r="A17" t="s">
        <v>169</v>
      </c>
      <c r="B17" s="111">
        <v>1.0666666666666666E-2</v>
      </c>
      <c r="C17" s="104"/>
      <c r="D17" s="104"/>
      <c r="E17" s="104"/>
      <c r="F17" s="104"/>
      <c r="G17" s="104"/>
      <c r="H17" s="104"/>
      <c r="I17" s="104"/>
      <c r="J17" s="104"/>
      <c r="K17" s="104"/>
      <c r="L17" s="104"/>
      <c r="M17" s="104"/>
      <c r="N17" s="104"/>
      <c r="O17" s="104"/>
    </row>
    <row r="18" spans="1:15" x14ac:dyDescent="0.25">
      <c r="A18" t="s">
        <v>175</v>
      </c>
      <c r="B18" s="108">
        <v>0</v>
      </c>
      <c r="C18" s="104"/>
      <c r="D18" s="104"/>
      <c r="E18" s="104"/>
      <c r="F18" s="104"/>
      <c r="G18" s="104"/>
      <c r="H18" s="104"/>
      <c r="I18" s="104"/>
      <c r="J18" s="104"/>
      <c r="K18" s="104"/>
      <c r="L18" s="104"/>
      <c r="M18" s="104"/>
      <c r="N18" s="104"/>
      <c r="O18" s="104"/>
    </row>
    <row r="19" spans="1:15" x14ac:dyDescent="0.25">
      <c r="A19" s="104"/>
      <c r="B19" s="104"/>
      <c r="C19" s="104"/>
      <c r="D19" s="104"/>
      <c r="E19" s="104"/>
      <c r="F19" s="104"/>
      <c r="G19" s="104"/>
      <c r="H19" s="104"/>
      <c r="I19" s="104"/>
      <c r="J19" s="104"/>
      <c r="K19" s="104"/>
      <c r="L19" s="104"/>
      <c r="M19" s="104"/>
      <c r="N19" s="104"/>
      <c r="O19" s="104"/>
    </row>
    <row r="20" spans="1:15" x14ac:dyDescent="0.25">
      <c r="A20" s="104"/>
      <c r="B20" s="104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</row>
    <row r="21" spans="1:15" ht="13" x14ac:dyDescent="0.3">
      <c r="A21" s="105" t="s">
        <v>12</v>
      </c>
      <c r="B21" s="106" t="s">
        <v>13</v>
      </c>
      <c r="C21" s="106" t="s">
        <v>14</v>
      </c>
      <c r="D21" s="106" t="s">
        <v>15</v>
      </c>
      <c r="E21" s="106" t="s">
        <v>16</v>
      </c>
      <c r="F21" s="106" t="s">
        <v>17</v>
      </c>
      <c r="G21" s="106" t="s">
        <v>18</v>
      </c>
      <c r="H21" s="106" t="s">
        <v>19</v>
      </c>
      <c r="I21" s="106" t="s">
        <v>20</v>
      </c>
      <c r="J21" s="106" t="s">
        <v>21</v>
      </c>
      <c r="K21" s="106" t="s">
        <v>22</v>
      </c>
      <c r="L21" s="106" t="s">
        <v>23</v>
      </c>
      <c r="M21" s="106" t="s">
        <v>24</v>
      </c>
      <c r="N21" s="106" t="s">
        <v>25</v>
      </c>
      <c r="O21" s="106" t="s">
        <v>26</v>
      </c>
    </row>
    <row r="22" spans="1:15" x14ac:dyDescent="0.25">
      <c r="A22" s="106" t="s">
        <v>176</v>
      </c>
      <c r="B22" s="107">
        <v>95802.909700000004</v>
      </c>
      <c r="C22" s="107">
        <v>95231.704559999998</v>
      </c>
      <c r="D22" s="107">
        <v>94736.234509999995</v>
      </c>
      <c r="E22" s="107">
        <v>93963.133660000007</v>
      </c>
      <c r="F22" s="107">
        <v>93027.028210000004</v>
      </c>
      <c r="G22" s="107">
        <v>91832.462050000002</v>
      </c>
      <c r="H22" s="107">
        <v>90037.579700000002</v>
      </c>
      <c r="I22" s="107">
        <v>87382.673089999997</v>
      </c>
      <c r="J22" s="107">
        <v>83701.483229999998</v>
      </c>
      <c r="K22" s="107">
        <v>79075.091570000004</v>
      </c>
      <c r="L22" s="107">
        <v>73410.135949999996</v>
      </c>
      <c r="M22" s="107">
        <v>67040.048869999999</v>
      </c>
      <c r="N22" s="107">
        <v>59526.43159</v>
      </c>
      <c r="O22" s="107">
        <v>50523.108370000002</v>
      </c>
    </row>
  </sheetData>
  <sheetProtection algorithmName="SHA-512" hashValue="VVpI+47LrB+Bv39WVKwxuX2nQNA2BEb3btu0vPJ+GCTo6V61NWZZG/gp6TfeohaC6IG/B0+fgX41VVUQ8DHrEQ==" saltValue="lLJroeLLFRqmvvRY/392O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/rxf3kKpYHpfJ9Sw9mIqqRreBxn5H0fOMIUXcjN85c3vDdszFy8qnqhktrpUC7T5ukbqVs7cXSJ+Poy0Nl2L8w==" saltValue="Tz7c2mBXofQ6nyUls82pp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x9Xw5H8IG20Q9dfaUTWK7Evp6XGhCAYjAUMHTAOJX2dODDmfeKRjFEH5vCmL7VCeYrMbvSrPXF0HNn9I4l5/AA==" saltValue="2oKIZsX2M9YfxaEr9Xvo6A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6">
        <v>0.95</v>
      </c>
      <c r="D2" s="56">
        <v>19.75</v>
      </c>
      <c r="E2" s="56" t="s">
        <v>212</v>
      </c>
      <c r="F2" s="96">
        <v>1</v>
      </c>
      <c r="G2" s="96">
        <v>1</v>
      </c>
    </row>
    <row r="3" spans="1:7" ht="15.75" customHeight="1" x14ac:dyDescent="0.25">
      <c r="A3" s="5" t="s">
        <v>195</v>
      </c>
      <c r="B3" s="45">
        <v>0</v>
      </c>
      <c r="C3" s="96">
        <v>0.95</v>
      </c>
      <c r="D3" s="56">
        <v>19.75</v>
      </c>
      <c r="E3" s="56" t="s">
        <v>212</v>
      </c>
      <c r="F3" s="96">
        <v>1</v>
      </c>
      <c r="G3" s="96">
        <v>1</v>
      </c>
    </row>
    <row r="4" spans="1:7" ht="15.75" customHeight="1" x14ac:dyDescent="0.25">
      <c r="A4" s="5" t="s">
        <v>196</v>
      </c>
      <c r="B4" s="96">
        <v>0</v>
      </c>
      <c r="C4" s="96">
        <v>0.95</v>
      </c>
      <c r="D4" s="56">
        <v>6.8747382117628364</v>
      </c>
      <c r="E4" s="56" t="s">
        <v>212</v>
      </c>
      <c r="F4" s="96">
        <v>1</v>
      </c>
      <c r="G4" s="96">
        <v>1</v>
      </c>
    </row>
    <row r="5" spans="1:7" ht="15.75" customHeight="1" x14ac:dyDescent="0.25">
      <c r="A5" s="5" t="s">
        <v>198</v>
      </c>
      <c r="B5" s="96">
        <v>0</v>
      </c>
      <c r="C5" s="96">
        <v>0.95</v>
      </c>
      <c r="D5" s="56">
        <v>2.1291837256908908</v>
      </c>
      <c r="E5" s="56" t="s">
        <v>212</v>
      </c>
      <c r="F5" s="96">
        <v>1</v>
      </c>
      <c r="G5" s="96">
        <v>1</v>
      </c>
    </row>
    <row r="6" spans="1:7" ht="15.75" customHeight="1" x14ac:dyDescent="0.25">
      <c r="A6" s="5" t="s">
        <v>199</v>
      </c>
      <c r="B6" s="96">
        <v>0</v>
      </c>
      <c r="C6" s="96">
        <v>0.95</v>
      </c>
      <c r="D6" s="56">
        <v>99.99</v>
      </c>
      <c r="E6" s="56" t="s">
        <v>212</v>
      </c>
      <c r="F6" s="96">
        <v>1</v>
      </c>
      <c r="G6" s="96">
        <v>1</v>
      </c>
    </row>
    <row r="7" spans="1:7" ht="15.75" customHeight="1" x14ac:dyDescent="0.25">
      <c r="A7" s="5" t="s">
        <v>200</v>
      </c>
      <c r="B7" s="96">
        <v>0</v>
      </c>
      <c r="C7" s="96">
        <v>0.95</v>
      </c>
      <c r="D7" s="56">
        <v>0.2139553248340432</v>
      </c>
      <c r="E7" s="56" t="s">
        <v>212</v>
      </c>
      <c r="F7" s="96">
        <v>1</v>
      </c>
      <c r="G7" s="96">
        <v>1</v>
      </c>
    </row>
    <row r="8" spans="1:7" ht="15.75" customHeight="1" x14ac:dyDescent="0.25">
      <c r="A8" s="5" t="s">
        <v>201</v>
      </c>
      <c r="B8" s="96">
        <v>0</v>
      </c>
      <c r="C8" s="96">
        <v>0.95</v>
      </c>
      <c r="D8" s="56">
        <v>0.78848199824391296</v>
      </c>
      <c r="E8" s="56" t="s">
        <v>212</v>
      </c>
      <c r="F8" s="96">
        <v>1</v>
      </c>
      <c r="G8" s="96">
        <v>1</v>
      </c>
    </row>
    <row r="9" spans="1:7" ht="15.75" customHeight="1" x14ac:dyDescent="0.25">
      <c r="A9" s="5" t="s">
        <v>202</v>
      </c>
      <c r="B9" s="96">
        <v>0</v>
      </c>
      <c r="C9" s="96">
        <v>0.95</v>
      </c>
      <c r="D9" s="56">
        <v>0.22197642864885933</v>
      </c>
      <c r="E9" s="56" t="s">
        <v>212</v>
      </c>
      <c r="F9" s="96">
        <v>1</v>
      </c>
      <c r="G9" s="96">
        <v>1</v>
      </c>
    </row>
    <row r="10" spans="1:7" ht="15.75" customHeight="1" x14ac:dyDescent="0.25">
      <c r="A10" s="11" t="s">
        <v>203</v>
      </c>
      <c r="B10" s="45">
        <v>0.38645259999999998</v>
      </c>
      <c r="C10" s="96">
        <v>0.95</v>
      </c>
      <c r="D10" s="56">
        <v>13.05116778302235</v>
      </c>
      <c r="E10" s="56" t="s">
        <v>212</v>
      </c>
      <c r="F10" s="96">
        <v>1</v>
      </c>
      <c r="G10" s="96">
        <v>1</v>
      </c>
    </row>
    <row r="11" spans="1:7" ht="15.75" customHeight="1" x14ac:dyDescent="0.25">
      <c r="A11" s="11" t="s">
        <v>204</v>
      </c>
      <c r="B11" s="96">
        <v>0</v>
      </c>
      <c r="C11" s="96">
        <v>0.95</v>
      </c>
      <c r="D11" s="56">
        <v>13.05116778302235</v>
      </c>
      <c r="E11" s="56" t="s">
        <v>212</v>
      </c>
      <c r="F11" s="96">
        <v>1</v>
      </c>
      <c r="G11" s="96">
        <v>1</v>
      </c>
    </row>
    <row r="12" spans="1:7" ht="15.75" customHeight="1" x14ac:dyDescent="0.25">
      <c r="A12" s="11" t="s">
        <v>205</v>
      </c>
      <c r="B12" s="96">
        <v>0</v>
      </c>
      <c r="C12" s="96">
        <v>0.95</v>
      </c>
      <c r="D12" s="56">
        <v>13.05116778302235</v>
      </c>
      <c r="E12" s="56" t="s">
        <v>212</v>
      </c>
      <c r="F12" s="96">
        <v>1</v>
      </c>
      <c r="G12" s="96">
        <v>1</v>
      </c>
    </row>
    <row r="13" spans="1:7" ht="15.75" customHeight="1" x14ac:dyDescent="0.25">
      <c r="A13" s="11" t="s">
        <v>206</v>
      </c>
      <c r="B13" s="96">
        <v>0</v>
      </c>
      <c r="C13" s="96">
        <v>0.95</v>
      </c>
      <c r="D13" s="56">
        <v>13.05116778302235</v>
      </c>
      <c r="E13" s="56" t="s">
        <v>212</v>
      </c>
      <c r="F13" s="96">
        <v>1</v>
      </c>
      <c r="G13" s="96">
        <v>1</v>
      </c>
    </row>
    <row r="14" spans="1:7" ht="15.75" customHeight="1" x14ac:dyDescent="0.25">
      <c r="A14" s="5" t="s">
        <v>207</v>
      </c>
      <c r="B14" s="45">
        <v>0.31330000000000002</v>
      </c>
      <c r="C14" s="96">
        <v>0.95</v>
      </c>
      <c r="D14" s="56">
        <v>2.7509100930955666</v>
      </c>
      <c r="E14" s="56" t="s">
        <v>212</v>
      </c>
      <c r="F14" s="96">
        <v>1</v>
      </c>
      <c r="G14" s="96">
        <v>1</v>
      </c>
    </row>
    <row r="15" spans="1:7" ht="15.75" customHeight="1" x14ac:dyDescent="0.25">
      <c r="A15" s="5" t="s">
        <v>208</v>
      </c>
      <c r="B15" s="96">
        <v>0</v>
      </c>
      <c r="C15" s="96">
        <v>0.95</v>
      </c>
      <c r="D15" s="56">
        <v>13.05116778302235</v>
      </c>
      <c r="E15" s="56" t="s">
        <v>212</v>
      </c>
      <c r="F15" s="96">
        <v>1</v>
      </c>
      <c r="G15" s="96">
        <v>1</v>
      </c>
    </row>
    <row r="16" spans="1:7" ht="15.75" customHeight="1" x14ac:dyDescent="0.25">
      <c r="A16" s="5" t="s">
        <v>209</v>
      </c>
      <c r="B16" s="45">
        <v>4.9176999999999998E-2</v>
      </c>
      <c r="C16" s="96">
        <v>0.95</v>
      </c>
      <c r="D16" s="56">
        <v>2.1562548532894295</v>
      </c>
      <c r="E16" s="56" t="s">
        <v>212</v>
      </c>
      <c r="F16" s="96">
        <v>1</v>
      </c>
      <c r="G16" s="96">
        <v>1</v>
      </c>
    </row>
    <row r="17" spans="1:7" ht="15.75" customHeight="1" x14ac:dyDescent="0.25">
      <c r="A17" s="5" t="s">
        <v>210</v>
      </c>
      <c r="B17" s="96">
        <v>0</v>
      </c>
      <c r="C17" s="96">
        <v>0.95</v>
      </c>
      <c r="D17" s="56">
        <v>0.58636119533868591</v>
      </c>
      <c r="E17" s="56" t="s">
        <v>212</v>
      </c>
      <c r="F17" s="96">
        <v>1</v>
      </c>
      <c r="G17" s="96">
        <v>1</v>
      </c>
    </row>
    <row r="18" spans="1:7" ht="15.9" customHeight="1" x14ac:dyDescent="0.25">
      <c r="A18" s="5" t="s">
        <v>180</v>
      </c>
      <c r="B18" s="96">
        <v>0.67200000000000004</v>
      </c>
      <c r="C18" s="96">
        <v>0.95</v>
      </c>
      <c r="D18" s="56">
        <v>6.8747382117628364</v>
      </c>
      <c r="E18" s="56" t="s">
        <v>212</v>
      </c>
      <c r="F18" s="96">
        <v>1</v>
      </c>
      <c r="G18" s="96">
        <v>1</v>
      </c>
    </row>
    <row r="19" spans="1:7" ht="15.75" customHeight="1" x14ac:dyDescent="0.25">
      <c r="A19" s="5" t="s">
        <v>181</v>
      </c>
      <c r="B19" s="96">
        <v>0.45918130000000001</v>
      </c>
      <c r="C19" s="96">
        <v>0.95</v>
      </c>
      <c r="D19" s="56">
        <v>10.16995323631398</v>
      </c>
      <c r="E19" s="56" t="s">
        <v>212</v>
      </c>
      <c r="F19" s="96">
        <v>1</v>
      </c>
      <c r="G19" s="96">
        <v>1</v>
      </c>
    </row>
    <row r="20" spans="1:7" ht="15.75" customHeight="1" x14ac:dyDescent="0.25">
      <c r="A20" s="5" t="s">
        <v>182</v>
      </c>
      <c r="B20" s="96">
        <v>0</v>
      </c>
      <c r="C20" s="96">
        <v>0.95</v>
      </c>
      <c r="D20" s="56">
        <v>99.99</v>
      </c>
      <c r="E20" s="56" t="s">
        <v>212</v>
      </c>
      <c r="F20" s="96">
        <v>1</v>
      </c>
      <c r="G20" s="96">
        <v>1</v>
      </c>
    </row>
    <row r="21" spans="1:7" ht="15.75" customHeight="1" x14ac:dyDescent="0.25">
      <c r="A21" s="5" t="s">
        <v>211</v>
      </c>
      <c r="B21" s="45">
        <v>0</v>
      </c>
      <c r="C21" s="96">
        <v>0.95</v>
      </c>
      <c r="D21" s="56">
        <v>7.2638561333206297</v>
      </c>
      <c r="E21" s="56" t="s">
        <v>212</v>
      </c>
      <c r="F21" s="96">
        <v>1</v>
      </c>
      <c r="G21" s="96">
        <v>1</v>
      </c>
    </row>
    <row r="22" spans="1:7" ht="15.75" customHeight="1" x14ac:dyDescent="0.25">
      <c r="A22" s="5" t="s">
        <v>213</v>
      </c>
      <c r="B22" s="96">
        <v>0</v>
      </c>
      <c r="C22" s="96">
        <v>0.95</v>
      </c>
      <c r="D22" s="56">
        <v>6.8747382117628364</v>
      </c>
      <c r="E22" s="56" t="s">
        <v>212</v>
      </c>
      <c r="F22" s="96">
        <v>1</v>
      </c>
      <c r="G22" s="96">
        <v>1</v>
      </c>
    </row>
    <row r="23" spans="1:7" ht="15.75" customHeight="1" x14ac:dyDescent="0.25">
      <c r="A23" s="5" t="s">
        <v>214</v>
      </c>
      <c r="B23" s="96">
        <v>0.22748450000000001</v>
      </c>
      <c r="C23" s="96">
        <v>0.95</v>
      </c>
      <c r="D23" s="56">
        <v>4.3037053742427069</v>
      </c>
      <c r="E23" s="56" t="s">
        <v>212</v>
      </c>
      <c r="F23" s="96">
        <v>1</v>
      </c>
      <c r="G23" s="96">
        <v>1</v>
      </c>
    </row>
    <row r="24" spans="1:7" ht="15.75" customHeight="1" x14ac:dyDescent="0.25">
      <c r="A24" s="5" t="s">
        <v>217</v>
      </c>
      <c r="B24" s="45">
        <v>0.85985686684090001</v>
      </c>
      <c r="C24" s="96">
        <v>0.95</v>
      </c>
      <c r="D24" s="56">
        <v>99.99</v>
      </c>
      <c r="E24" s="56" t="s">
        <v>212</v>
      </c>
      <c r="F24" s="96">
        <v>1</v>
      </c>
      <c r="G24" s="96">
        <v>1</v>
      </c>
    </row>
    <row r="25" spans="1:7" ht="15.75" customHeight="1" x14ac:dyDescent="0.25">
      <c r="A25" s="5" t="s">
        <v>218</v>
      </c>
      <c r="B25" s="96">
        <v>0</v>
      </c>
      <c r="C25" s="96">
        <v>0.95</v>
      </c>
      <c r="D25" s="56">
        <v>99.99</v>
      </c>
      <c r="E25" s="56" t="s">
        <v>212</v>
      </c>
      <c r="F25" s="96">
        <v>1</v>
      </c>
      <c r="G25" s="96">
        <v>1</v>
      </c>
    </row>
    <row r="26" spans="1:7" ht="15.75" customHeight="1" x14ac:dyDescent="0.25">
      <c r="A26" s="5" t="s">
        <v>219</v>
      </c>
      <c r="B26" s="45">
        <v>0</v>
      </c>
      <c r="C26" s="96">
        <v>0.95</v>
      </c>
      <c r="D26" s="56">
        <v>4.4432147531692987</v>
      </c>
      <c r="E26" s="56" t="s">
        <v>212</v>
      </c>
      <c r="F26" s="96">
        <v>1</v>
      </c>
      <c r="G26" s="96">
        <v>1</v>
      </c>
    </row>
    <row r="27" spans="1:7" ht="15.75" customHeight="1" x14ac:dyDescent="0.25">
      <c r="A27" s="5" t="s">
        <v>220</v>
      </c>
      <c r="B27" s="45">
        <v>0</v>
      </c>
      <c r="C27" s="96">
        <v>0.95</v>
      </c>
      <c r="D27" s="56">
        <v>8.8360724993186164</v>
      </c>
      <c r="E27" s="56" t="s">
        <v>212</v>
      </c>
      <c r="F27" s="96">
        <v>1</v>
      </c>
      <c r="G27" s="96">
        <v>1</v>
      </c>
    </row>
    <row r="28" spans="1:7" ht="15.75" customHeight="1" x14ac:dyDescent="0.25">
      <c r="A28" s="5" t="s">
        <v>221</v>
      </c>
      <c r="B28" s="45">
        <v>0.71619929999999998</v>
      </c>
      <c r="C28" s="96">
        <v>0.95</v>
      </c>
      <c r="D28" s="56">
        <v>99.99</v>
      </c>
      <c r="E28" s="56" t="s">
        <v>212</v>
      </c>
      <c r="F28" s="96">
        <v>1</v>
      </c>
      <c r="G28" s="96">
        <v>1</v>
      </c>
    </row>
    <row r="29" spans="1:7" ht="15.75" customHeight="1" x14ac:dyDescent="0.25">
      <c r="A29" s="5" t="s">
        <v>222</v>
      </c>
      <c r="B29" s="45">
        <v>0.24890229999999999</v>
      </c>
      <c r="C29" s="96">
        <v>0.95</v>
      </c>
      <c r="D29" s="56">
        <v>88.005851455993124</v>
      </c>
      <c r="E29" s="56" t="s">
        <v>212</v>
      </c>
      <c r="F29" s="96">
        <v>1</v>
      </c>
      <c r="G29" s="96">
        <v>1</v>
      </c>
    </row>
    <row r="30" spans="1:7" ht="15.75" customHeight="1" x14ac:dyDescent="0.25">
      <c r="A30" s="5" t="s">
        <v>233</v>
      </c>
      <c r="B30" s="96">
        <v>0</v>
      </c>
      <c r="C30" s="96">
        <v>0.95</v>
      </c>
      <c r="D30" s="56">
        <v>57.448392612859095</v>
      </c>
      <c r="E30" s="56" t="s">
        <v>212</v>
      </c>
      <c r="F30" s="96">
        <v>1</v>
      </c>
      <c r="G30" s="96">
        <v>1</v>
      </c>
    </row>
    <row r="31" spans="1:7" ht="15.75" customHeight="1" x14ac:dyDescent="0.25">
      <c r="A31" s="5" t="s">
        <v>193</v>
      </c>
      <c r="B31" s="45">
        <v>0</v>
      </c>
      <c r="C31" s="96">
        <v>0.95</v>
      </c>
      <c r="D31" s="56">
        <v>125.66324080233395</v>
      </c>
      <c r="E31" s="56" t="s">
        <v>212</v>
      </c>
      <c r="F31" s="96">
        <v>1</v>
      </c>
      <c r="G31" s="96">
        <v>1</v>
      </c>
    </row>
    <row r="32" spans="1:7" ht="15.75" customHeight="1" x14ac:dyDescent="0.25">
      <c r="A32" s="5" t="s">
        <v>225</v>
      </c>
      <c r="B32" s="45">
        <v>0.83599999999999997</v>
      </c>
      <c r="C32" s="96">
        <v>0.95</v>
      </c>
      <c r="D32" s="56">
        <v>0.65</v>
      </c>
      <c r="E32" s="56" t="s">
        <v>212</v>
      </c>
      <c r="F32" s="96">
        <v>1</v>
      </c>
      <c r="G32" s="96">
        <v>1</v>
      </c>
    </row>
    <row r="33" spans="1:7" ht="15.75" customHeight="1" x14ac:dyDescent="0.25">
      <c r="A33" s="5" t="s">
        <v>226</v>
      </c>
      <c r="B33" s="45">
        <v>0.44599899999999998</v>
      </c>
      <c r="C33" s="96">
        <v>0.95</v>
      </c>
      <c r="D33" s="56">
        <v>99.99</v>
      </c>
      <c r="E33" s="56" t="s">
        <v>212</v>
      </c>
      <c r="F33" s="96">
        <v>1</v>
      </c>
      <c r="G33" s="96">
        <v>1</v>
      </c>
    </row>
    <row r="34" spans="1:7" ht="15.75" customHeight="1" x14ac:dyDescent="0.25">
      <c r="A34" s="5" t="s">
        <v>227</v>
      </c>
      <c r="B34" s="45">
        <v>0.125864</v>
      </c>
      <c r="C34" s="96">
        <v>0.95</v>
      </c>
      <c r="D34" s="56">
        <v>99.99</v>
      </c>
      <c r="E34" s="56" t="s">
        <v>212</v>
      </c>
      <c r="F34" s="96">
        <v>1</v>
      </c>
      <c r="G34" s="96">
        <v>1</v>
      </c>
    </row>
    <row r="35" spans="1:7" ht="15.75" customHeight="1" x14ac:dyDescent="0.25">
      <c r="A35" s="5" t="s">
        <v>228</v>
      </c>
      <c r="B35" s="96">
        <v>0</v>
      </c>
      <c r="C35" s="96">
        <v>0.95</v>
      </c>
      <c r="D35" s="56">
        <v>99.99</v>
      </c>
      <c r="E35" s="56" t="s">
        <v>212</v>
      </c>
      <c r="F35" s="96">
        <v>1</v>
      </c>
      <c r="G35" s="96">
        <v>1</v>
      </c>
    </row>
    <row r="36" spans="1:7" ht="15.75" customHeight="1" x14ac:dyDescent="0.25">
      <c r="A36" s="5" t="s">
        <v>229</v>
      </c>
      <c r="B36" s="45">
        <v>8.1373999999999995E-3</v>
      </c>
      <c r="C36" s="96">
        <v>0.95</v>
      </c>
      <c r="D36" s="56">
        <v>99.99</v>
      </c>
      <c r="E36" s="56" t="s">
        <v>212</v>
      </c>
      <c r="F36" s="96">
        <v>1</v>
      </c>
      <c r="G36" s="96">
        <v>1</v>
      </c>
    </row>
    <row r="37" spans="1:7" ht="15.75" customHeight="1" x14ac:dyDescent="0.25">
      <c r="A37" s="5" t="s">
        <v>230</v>
      </c>
      <c r="B37" s="45">
        <v>0.83701589999999992</v>
      </c>
      <c r="C37" s="96">
        <v>0.95</v>
      </c>
      <c r="D37" s="56">
        <v>99.99</v>
      </c>
      <c r="E37" s="56" t="s">
        <v>212</v>
      </c>
      <c r="F37" s="96">
        <v>1</v>
      </c>
      <c r="G37" s="96">
        <v>1</v>
      </c>
    </row>
    <row r="38" spans="1:7" ht="15.75" customHeight="1" x14ac:dyDescent="0.25">
      <c r="A38" s="5" t="s">
        <v>231</v>
      </c>
      <c r="B38" s="45">
        <v>2E-3</v>
      </c>
      <c r="C38" s="96">
        <v>0.95</v>
      </c>
      <c r="D38" s="56">
        <v>2.2145073762257557</v>
      </c>
      <c r="E38" s="56" t="s">
        <v>212</v>
      </c>
      <c r="F38" s="96">
        <v>1</v>
      </c>
      <c r="G38" s="96">
        <v>1</v>
      </c>
    </row>
    <row r="39" spans="1:7" ht="15.75" customHeight="1" x14ac:dyDescent="0.25">
      <c r="A39" s="5" t="s">
        <v>232</v>
      </c>
      <c r="B39" s="45">
        <v>0</v>
      </c>
      <c r="C39" s="96">
        <v>0.95</v>
      </c>
      <c r="D39" s="56">
        <v>5.8497136845734818</v>
      </c>
      <c r="E39" s="56" t="s">
        <v>212</v>
      </c>
      <c r="F39" s="96">
        <v>1</v>
      </c>
      <c r="G39" s="96">
        <v>1</v>
      </c>
    </row>
  </sheetData>
  <sheetProtection algorithmName="SHA-512" hashValue="zQQ62unc27PYjt4AXzILtMJIuJyJkhTlALjoS6T2kfTx21qAQCKXe2s3sFKSkkwfYSpNgqvDKztYr2LC4ogXIw==" saltValue="Z0PhhMsfgkco/K4dGEfWN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li5YmxP7hLyOKQk/fnSlWrJ/ORz+nRntRvGRPUUn2EPnlAopGvh0QFLyh+3G4GB+GDU8K0w37HsL/TS67IHU8g==" saltValue="MM8rrYmqpTUDxSiH67Dc6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Q5UxamOQGj7uxF0jxpsATk9Y62ufEfrSFx5+UaZHWq1nIo5T4ChOmWqjDuHb+dal7ALTJVYmX9eH0c5g3CWwDw==" saltValue="0C/fSysOStaBFI2bkXTCd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3.1720000000000002</v>
      </c>
      <c r="C2" s="21">
        <f>'Entradas de población-año base'!C52</f>
        <v>3.1720000000000002</v>
      </c>
      <c r="D2" s="21">
        <f>'Entradas de población-año base'!C53</f>
        <v>7.8519999999999994</v>
      </c>
      <c r="E2" s="21">
        <f>'Entradas de población-año base'!C54</f>
        <v>7.3060000000000009</v>
      </c>
      <c r="F2" s="21">
        <f>'Entradas de población-año base'!C55</f>
        <v>3.102666666666666</v>
      </c>
    </row>
    <row r="3" spans="1:6" ht="15.75" customHeight="1" x14ac:dyDescent="0.25">
      <c r="A3" s="3" t="s">
        <v>6</v>
      </c>
      <c r="B3" s="21">
        <f>frac_mam_1month * 2.6</f>
        <v>0.12738440000000001</v>
      </c>
      <c r="C3" s="21">
        <f>frac_mam_1_5months * 2.6</f>
        <v>0.12738440000000001</v>
      </c>
      <c r="D3" s="21">
        <f>frac_mam_6_11months * 2.6</f>
        <v>0.26267306000000001</v>
      </c>
      <c r="E3" s="21">
        <f>frac_mam_12_23months * 2.6</f>
        <v>0.11638094</v>
      </c>
      <c r="F3" s="21">
        <f>frac_mam_24_59months * 2.6</f>
        <v>8.4054359999999995E-2</v>
      </c>
    </row>
    <row r="4" spans="1:6" ht="15.75" customHeight="1" x14ac:dyDescent="0.25">
      <c r="A4" s="3" t="s">
        <v>236</v>
      </c>
      <c r="B4" s="21">
        <f>frac_sam_1month * 2.6</f>
        <v>0.19302348000000003</v>
      </c>
      <c r="C4" s="21">
        <f>frac_sam_1_5months * 2.6</f>
        <v>0.19302348000000003</v>
      </c>
      <c r="D4" s="21">
        <f>frac_sam_6_11months * 2.6</f>
        <v>0.15608320000000001</v>
      </c>
      <c r="E4" s="21">
        <f>frac_sam_12_23months * 2.6</f>
        <v>0.11360414000000001</v>
      </c>
      <c r="F4" s="21">
        <f>frac_sam_24_59months * 2.6</f>
        <v>2.565628E-2</v>
      </c>
    </row>
  </sheetData>
  <sheetProtection algorithmName="SHA-512" hashValue="JMzTpjOkyEphkSi7M+/TtA9U0n4eQDc1oUGaA+AjH+shlh3TImsw82GpkpwqfCbw4oltaU+HnD/dJbuaD+8UKA==" saltValue="2LBPTf4byzNGskhzxc4Xw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0.17399999999999999</v>
      </c>
      <c r="F2" s="60">
        <f>food_insecure</f>
        <v>0.17399999999999999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0.17399999999999999</v>
      </c>
      <c r="F5" s="60">
        <f>food_insecure</f>
        <v>0.17399999999999999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6.9207272727272742E-2</v>
      </c>
      <c r="D7" s="60">
        <f>diarrhoea_1_5mo*frac_diarrhea_severe</f>
        <v>6.9207272727272742E-2</v>
      </c>
      <c r="E7" s="60">
        <f>diarrhoea_6_11mo*frac_diarrhea_severe</f>
        <v>0.17131636363636363</v>
      </c>
      <c r="F7" s="60">
        <f>diarrhoea_12_23mo*frac_diarrhea_severe</f>
        <v>0.15940363636363639</v>
      </c>
      <c r="G7" s="60">
        <f>diarrhoea_24_59mo*frac_diarrhea_severe</f>
        <v>6.7694545454545452E-2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0.17399999999999999</v>
      </c>
      <c r="F8" s="60">
        <f>food_insecure</f>
        <v>0.17399999999999999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0.17399999999999999</v>
      </c>
      <c r="F9" s="60">
        <f>food_insecure</f>
        <v>0.17399999999999999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6.9207272727272742E-2</v>
      </c>
      <c r="D12" s="60">
        <f>diarrhoea_1_5mo*frac_diarrhea_severe</f>
        <v>6.9207272727272742E-2</v>
      </c>
      <c r="E12" s="60">
        <f>diarrhoea_6_11mo*frac_diarrhea_severe</f>
        <v>0.17131636363636363</v>
      </c>
      <c r="F12" s="60">
        <f>diarrhoea_12_23mo*frac_diarrhea_severe</f>
        <v>0.15940363636363639</v>
      </c>
      <c r="G12" s="60">
        <f>diarrhoea_24_59mo*frac_diarrhea_severe</f>
        <v>6.7694545454545452E-2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0.17399999999999999</v>
      </c>
      <c r="I15" s="60">
        <f t="shared" si="0"/>
        <v>0.17399999999999999</v>
      </c>
      <c r="J15" s="60">
        <f t="shared" si="0"/>
        <v>0.17399999999999999</v>
      </c>
      <c r="K15" s="60">
        <f t="shared" si="0"/>
        <v>0.17399999999999999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0.17399999999999999</v>
      </c>
      <c r="I16" s="60">
        <f t="shared" si="0"/>
        <v>0.17399999999999999</v>
      </c>
      <c r="J16" s="60">
        <f t="shared" si="0"/>
        <v>0.17399999999999999</v>
      </c>
      <c r="K16" s="60">
        <f t="shared" si="0"/>
        <v>0.17399999999999999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0.27</v>
      </c>
      <c r="I19" s="60">
        <f>frac_malaria_risk</f>
        <v>0.27</v>
      </c>
      <c r="J19" s="60">
        <f>frac_malaria_risk</f>
        <v>0.27</v>
      </c>
      <c r="K19" s="60">
        <f>frac_malaria_risk</f>
        <v>0.27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0.35487047318536802</v>
      </c>
      <c r="M25" s="60">
        <f>(1-food_insecure)*(0.49)+food_insecure*(0.7)</f>
        <v>0.52654000000000001</v>
      </c>
      <c r="N25" s="60">
        <f>(1-food_insecure)*(0.49)+food_insecure*(0.7)</f>
        <v>0.52654000000000001</v>
      </c>
      <c r="O25" s="60">
        <f>(1-food_insecure)*(0.49)+food_insecure*(0.7)</f>
        <v>0.52654000000000001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0.15208734565087201</v>
      </c>
      <c r="M26" s="60">
        <f>(1-food_insecure)*(0.21)+food_insecure*(0.3)</f>
        <v>0.22566</v>
      </c>
      <c r="N26" s="60">
        <f>(1-food_insecure)*(0.21)+food_insecure*(0.3)</f>
        <v>0.22566</v>
      </c>
      <c r="O26" s="60">
        <f>(1-food_insecure)*(0.21)+food_insecure*(0.3)</f>
        <v>0.22566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0.16700897036376003</v>
      </c>
      <c r="M27" s="60">
        <f>(1-food_insecure)*(0.3)</f>
        <v>0.24780000000000002</v>
      </c>
      <c r="N27" s="60">
        <f>(1-food_insecure)*(0.3)</f>
        <v>0.24780000000000002</v>
      </c>
      <c r="O27" s="60">
        <f>(1-food_insecure)*(0.3)</f>
        <v>0.24780000000000002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0.32603321079999997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0.27</v>
      </c>
      <c r="D34" s="60">
        <f t="shared" si="4"/>
        <v>0.27</v>
      </c>
      <c r="E34" s="60">
        <f t="shared" si="4"/>
        <v>0.27</v>
      </c>
      <c r="F34" s="60">
        <f t="shared" si="4"/>
        <v>0.27</v>
      </c>
      <c r="G34" s="60">
        <f t="shared" si="4"/>
        <v>0.27</v>
      </c>
      <c r="H34" s="60">
        <f t="shared" si="4"/>
        <v>0.27</v>
      </c>
      <c r="I34" s="60">
        <f t="shared" si="4"/>
        <v>0.27</v>
      </c>
      <c r="J34" s="60">
        <f t="shared" si="4"/>
        <v>0.27</v>
      </c>
      <c r="K34" s="60">
        <f t="shared" si="4"/>
        <v>0.27</v>
      </c>
      <c r="L34" s="60">
        <f t="shared" si="4"/>
        <v>0.27</v>
      </c>
      <c r="M34" s="60">
        <f t="shared" si="4"/>
        <v>0.27</v>
      </c>
      <c r="N34" s="60">
        <f t="shared" si="4"/>
        <v>0.27</v>
      </c>
      <c r="O34" s="60">
        <f t="shared" si="4"/>
        <v>0.27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dc62NC0pnqZCEVg3MK/uFPy/Iue34vsb1KN2YyAI7mJLdogn8yH4w74pM3JNLgwGpIilPzryQ+WMh1zdcNgnPQ==" saltValue="JIOIBxdgGmhdqebSBbj8a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CpXGjNsEdd36IZSfirHH7Ese0Hux1YpHtK7xSSDaa1iP4APTqTPpXvfA1ej32+5svEXLg6T3GwVVP4mtGLmzqw==" saltValue="1RpSA61/eZhGvn/4zKb4Kg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QMudC6xkp4UYirRgaeRWsdSxeOFf+miyZjmX+HTJizGRyuICyUiVOXXZcyV7Oo/wH2BPJqhEC2/Zz9sn+j3QaQ==" saltValue="x6JLS8TBHSkrSWiisqKkN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BBOVjb/KvgTxyu07qp5foOeOYPpY2YMBFYHxiHNGizL9/TrIpLkTSq2EOKwdNEX3FjxbHbiUdVNicyBGZHTLjQ==" saltValue="+KZugttVpF9kG2gw5y7fUA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topLeftCell="A12" workbookViewId="0">
      <selection activeCell="D2" sqref="D2"/>
    </sheetView>
  </sheetViews>
  <sheetFormatPr defaultColWidth="12.7265625" defaultRowHeight="12.5" x14ac:dyDescent="0.25"/>
  <cols>
    <col min="1" max="1" width="58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192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13" t="s">
        <v>194</v>
      </c>
      <c r="B2" s="114"/>
      <c r="C2" s="114"/>
      <c r="D2" s="114"/>
      <c r="E2" s="114"/>
      <c r="F2" s="114"/>
      <c r="G2" s="114"/>
      <c r="H2" s="114"/>
      <c r="I2" s="114" t="s">
        <v>5</v>
      </c>
      <c r="J2" s="114"/>
      <c r="K2" s="114"/>
      <c r="L2" s="114"/>
    </row>
    <row r="3" spans="1:12" x14ac:dyDescent="0.25">
      <c r="A3" s="113" t="s">
        <v>195</v>
      </c>
      <c r="B3" s="114"/>
      <c r="C3" s="114"/>
      <c r="D3" s="114"/>
      <c r="E3" s="114"/>
      <c r="F3" s="114"/>
      <c r="G3" s="114"/>
      <c r="H3" s="114" t="s">
        <v>5</v>
      </c>
      <c r="I3" s="114" t="s">
        <v>5</v>
      </c>
      <c r="J3" s="114"/>
      <c r="K3" s="114"/>
      <c r="L3" s="114"/>
    </row>
    <row r="4" spans="1:12" x14ac:dyDescent="0.25">
      <c r="A4" s="113" t="s">
        <v>196</v>
      </c>
      <c r="B4" s="114" t="s">
        <v>5</v>
      </c>
      <c r="C4" s="114"/>
      <c r="D4" s="114" t="s">
        <v>5</v>
      </c>
      <c r="E4" s="114"/>
      <c r="F4" s="114"/>
      <c r="G4" s="114"/>
      <c r="H4" s="114"/>
      <c r="I4" s="114"/>
      <c r="J4" s="114"/>
      <c r="K4" s="114"/>
      <c r="L4" s="114"/>
    </row>
    <row r="5" spans="1:12" x14ac:dyDescent="0.25">
      <c r="A5" s="113" t="s">
        <v>198</v>
      </c>
      <c r="B5" s="114"/>
      <c r="C5" s="114" t="s">
        <v>5</v>
      </c>
      <c r="D5" s="114"/>
      <c r="E5" s="114"/>
      <c r="F5" s="114"/>
      <c r="G5" s="114"/>
      <c r="H5" s="114"/>
      <c r="I5" s="114"/>
      <c r="J5" s="114"/>
      <c r="K5" s="114"/>
      <c r="L5" s="114"/>
    </row>
    <row r="6" spans="1:12" x14ac:dyDescent="0.25">
      <c r="A6" s="113" t="s">
        <v>199</v>
      </c>
      <c r="B6" s="114"/>
      <c r="C6" s="114"/>
      <c r="D6" s="114"/>
      <c r="E6" s="114"/>
      <c r="F6" s="114"/>
      <c r="G6" s="114"/>
      <c r="H6" s="114"/>
      <c r="I6" s="114"/>
      <c r="J6" s="114" t="s">
        <v>5</v>
      </c>
      <c r="K6" s="114" t="s">
        <v>5</v>
      </c>
      <c r="L6" s="114"/>
    </row>
    <row r="7" spans="1:12" x14ac:dyDescent="0.25">
      <c r="A7" s="113" t="s">
        <v>200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/>
      <c r="J7" s="114"/>
      <c r="K7" s="114"/>
      <c r="L7" s="114"/>
    </row>
    <row r="8" spans="1:12" x14ac:dyDescent="0.25">
      <c r="A8" s="113" t="s">
        <v>201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/>
      <c r="J8" s="114"/>
      <c r="K8" s="114"/>
      <c r="L8" s="114"/>
    </row>
    <row r="9" spans="1:12" x14ac:dyDescent="0.25">
      <c r="A9" s="113" t="s">
        <v>202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/>
      <c r="J9" s="114"/>
      <c r="K9" s="114"/>
      <c r="L9" s="114"/>
    </row>
    <row r="10" spans="1:12" x14ac:dyDescent="0.25">
      <c r="A10" s="113" t="s">
        <v>203</v>
      </c>
      <c r="B10" s="114"/>
      <c r="C10" s="114" t="s">
        <v>5</v>
      </c>
      <c r="D10" s="114"/>
      <c r="E10" s="114"/>
      <c r="F10" s="114"/>
      <c r="G10" s="114"/>
      <c r="H10" s="114"/>
      <c r="I10" s="114"/>
      <c r="J10" s="114"/>
      <c r="K10" s="114"/>
      <c r="L10" s="114"/>
    </row>
    <row r="11" spans="1:12" x14ac:dyDescent="0.25">
      <c r="A11" s="113" t="s">
        <v>204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/>
      <c r="K11" s="114"/>
      <c r="L11" s="114"/>
    </row>
    <row r="12" spans="1:12" x14ac:dyDescent="0.25">
      <c r="A12" s="113" t="s">
        <v>205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/>
      <c r="L12" s="114"/>
    </row>
    <row r="13" spans="1:12" x14ac:dyDescent="0.25">
      <c r="A13" s="113" t="s">
        <v>206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/>
      <c r="L13" s="114"/>
    </row>
    <row r="14" spans="1:12" x14ac:dyDescent="0.25">
      <c r="A14" s="115" t="s">
        <v>207</v>
      </c>
      <c r="B14" s="114"/>
      <c r="C14" s="114" t="s">
        <v>5</v>
      </c>
      <c r="D14" s="114"/>
      <c r="E14" s="114"/>
      <c r="F14" s="114"/>
      <c r="G14" s="114"/>
      <c r="H14" s="114"/>
      <c r="I14" s="114" t="s">
        <v>5</v>
      </c>
      <c r="J14" s="114"/>
      <c r="K14" s="114"/>
      <c r="L14" s="114"/>
    </row>
    <row r="15" spans="1:12" x14ac:dyDescent="0.25">
      <c r="A15" s="115" t="s">
        <v>208</v>
      </c>
      <c r="B15" s="114"/>
      <c r="C15" s="114" t="s">
        <v>5</v>
      </c>
      <c r="D15" s="114"/>
      <c r="E15" s="114"/>
      <c r="F15" s="114"/>
      <c r="G15" s="114"/>
      <c r="H15" s="114"/>
      <c r="I15" s="114" t="s">
        <v>5</v>
      </c>
      <c r="J15" s="114"/>
      <c r="K15" s="114"/>
      <c r="L15" s="114"/>
    </row>
    <row r="16" spans="1:12" x14ac:dyDescent="0.25">
      <c r="A16" s="113" t="s">
        <v>209</v>
      </c>
      <c r="B16" s="114"/>
      <c r="C16" s="114" t="s">
        <v>5</v>
      </c>
      <c r="D16" s="114"/>
      <c r="E16" s="114"/>
      <c r="F16" s="114"/>
      <c r="G16" s="114"/>
      <c r="H16" s="114" t="s">
        <v>5</v>
      </c>
      <c r="I16" s="114" t="s">
        <v>5</v>
      </c>
      <c r="J16" s="114"/>
      <c r="K16" s="114"/>
      <c r="L16" s="114"/>
    </row>
    <row r="17" spans="1:12" x14ac:dyDescent="0.25">
      <c r="A17" s="113" t="s">
        <v>210</v>
      </c>
      <c r="B17" s="114"/>
      <c r="C17" s="114" t="s">
        <v>5</v>
      </c>
      <c r="D17" s="114"/>
      <c r="E17" s="114"/>
      <c r="F17" s="114"/>
      <c r="G17" s="114"/>
      <c r="H17" s="114"/>
      <c r="I17" s="114"/>
      <c r="J17" s="114"/>
      <c r="K17" s="114"/>
      <c r="L17" s="114"/>
    </row>
    <row r="18" spans="1:12" x14ac:dyDescent="0.25">
      <c r="A18" s="113" t="s">
        <v>180</v>
      </c>
      <c r="B18" s="114" t="s">
        <v>5</v>
      </c>
      <c r="C18" s="114"/>
      <c r="D18" s="114"/>
      <c r="E18" s="114"/>
      <c r="F18" s="114" t="s">
        <v>5</v>
      </c>
      <c r="G18" s="114"/>
      <c r="H18" s="114"/>
      <c r="I18" s="114"/>
      <c r="J18" s="114"/>
      <c r="K18" s="114"/>
      <c r="L18" s="114"/>
    </row>
    <row r="19" spans="1:12" x14ac:dyDescent="0.25">
      <c r="A19" s="113" t="s">
        <v>181</v>
      </c>
      <c r="B19" s="114" t="s">
        <v>5</v>
      </c>
      <c r="C19" s="114"/>
      <c r="D19" s="114"/>
      <c r="E19" s="114"/>
      <c r="F19" s="114" t="s">
        <v>5</v>
      </c>
      <c r="G19" s="114"/>
      <c r="H19" s="114"/>
      <c r="I19" s="114"/>
      <c r="J19" s="114"/>
      <c r="K19" s="114"/>
      <c r="L19" s="114"/>
    </row>
    <row r="20" spans="1:12" x14ac:dyDescent="0.25">
      <c r="A20" s="113" t="s">
        <v>182</v>
      </c>
      <c r="B20" s="114" t="s">
        <v>5</v>
      </c>
      <c r="C20" s="114"/>
      <c r="D20" s="114"/>
      <c r="E20" s="114"/>
      <c r="F20" s="114" t="s">
        <v>5</v>
      </c>
      <c r="G20" s="114"/>
      <c r="H20" s="114"/>
      <c r="I20" s="114"/>
      <c r="J20" s="114"/>
      <c r="K20" s="114"/>
      <c r="L20" s="114"/>
    </row>
    <row r="21" spans="1:12" x14ac:dyDescent="0.25">
      <c r="A21" s="113" t="s">
        <v>211</v>
      </c>
      <c r="B21" s="114"/>
      <c r="C21" s="114"/>
      <c r="D21" s="114"/>
      <c r="E21" s="114"/>
      <c r="F21" s="114"/>
      <c r="G21" s="114"/>
      <c r="H21" s="114" t="s">
        <v>5</v>
      </c>
      <c r="I21" s="114" t="s">
        <v>5</v>
      </c>
      <c r="J21" s="114"/>
      <c r="K21" s="114"/>
      <c r="L21" s="114"/>
    </row>
    <row r="22" spans="1:12" x14ac:dyDescent="0.25">
      <c r="A22" s="113" t="s">
        <v>213</v>
      </c>
      <c r="B22" s="114" t="s">
        <v>5</v>
      </c>
      <c r="C22" s="114" t="s">
        <v>5</v>
      </c>
      <c r="D22" s="114" t="s">
        <v>5</v>
      </c>
      <c r="E22" s="114"/>
      <c r="F22" s="114"/>
      <c r="G22" s="114"/>
      <c r="H22" s="114"/>
      <c r="I22" s="114"/>
      <c r="J22" s="114"/>
      <c r="K22" s="114"/>
      <c r="L22" s="114"/>
    </row>
    <row r="23" spans="1:12" x14ac:dyDescent="0.25">
      <c r="A23" s="113" t="s">
        <v>214</v>
      </c>
      <c r="B23" s="114"/>
      <c r="C23" s="114" t="s">
        <v>5</v>
      </c>
      <c r="D23" s="114"/>
      <c r="E23" s="114"/>
      <c r="F23" s="114"/>
      <c r="G23" s="114"/>
      <c r="H23" s="114"/>
      <c r="I23" s="114" t="s">
        <v>5</v>
      </c>
      <c r="J23" s="114"/>
      <c r="K23" s="114"/>
      <c r="L23" s="114"/>
    </row>
    <row r="24" spans="1:12" x14ac:dyDescent="0.25">
      <c r="A24" s="113" t="s">
        <v>217</v>
      </c>
      <c r="B24" s="114"/>
      <c r="C24" s="114"/>
      <c r="D24" s="114"/>
      <c r="E24" s="114"/>
      <c r="F24" s="114"/>
      <c r="G24" s="114"/>
      <c r="H24" s="114" t="s">
        <v>5</v>
      </c>
      <c r="I24" s="114"/>
      <c r="J24" s="114"/>
      <c r="K24" s="114"/>
      <c r="L24" s="114"/>
    </row>
    <row r="25" spans="1:12" x14ac:dyDescent="0.25">
      <c r="A25" s="113" t="s">
        <v>218</v>
      </c>
      <c r="B25" s="114"/>
      <c r="C25" s="114"/>
      <c r="D25" s="114"/>
      <c r="E25" s="114"/>
      <c r="F25" s="114"/>
      <c r="G25" s="114"/>
      <c r="H25" s="114" t="s">
        <v>5</v>
      </c>
      <c r="I25" s="114"/>
      <c r="J25" s="114"/>
      <c r="K25" s="114"/>
      <c r="L25" s="114"/>
    </row>
    <row r="26" spans="1:12" x14ac:dyDescent="0.25">
      <c r="A26" s="113" t="s">
        <v>219</v>
      </c>
      <c r="B26" s="114"/>
      <c r="C26" s="114" t="s">
        <v>5</v>
      </c>
      <c r="D26" s="114"/>
      <c r="E26" s="114"/>
      <c r="F26" s="114"/>
      <c r="G26" s="114"/>
      <c r="H26" s="114"/>
      <c r="I26" s="114"/>
      <c r="J26" s="114"/>
      <c r="K26" s="114"/>
      <c r="L26" s="114"/>
    </row>
    <row r="27" spans="1:12" x14ac:dyDescent="0.25">
      <c r="A27" s="113" t="s">
        <v>220</v>
      </c>
      <c r="B27" s="114"/>
      <c r="C27" s="114" t="s">
        <v>5</v>
      </c>
      <c r="D27" s="114"/>
      <c r="E27" s="114"/>
      <c r="F27" s="114"/>
      <c r="G27" s="114"/>
      <c r="H27" s="114"/>
      <c r="I27" s="114" t="s">
        <v>5</v>
      </c>
      <c r="J27" s="114"/>
      <c r="K27" s="114"/>
      <c r="L27" s="114" t="s">
        <v>5</v>
      </c>
    </row>
    <row r="28" spans="1:12" x14ac:dyDescent="0.25">
      <c r="A28" s="113" t="s">
        <v>221</v>
      </c>
      <c r="B28" s="114"/>
      <c r="C28" s="114"/>
      <c r="D28" s="114"/>
      <c r="E28" s="114"/>
      <c r="F28" s="114"/>
      <c r="G28" s="114"/>
      <c r="H28" s="114" t="s">
        <v>5</v>
      </c>
      <c r="I28" s="114"/>
      <c r="J28" s="114"/>
      <c r="K28" s="114"/>
      <c r="L28" s="114"/>
    </row>
    <row r="29" spans="1:12" x14ac:dyDescent="0.25">
      <c r="A29" s="113" t="s">
        <v>222</v>
      </c>
      <c r="B29" s="114" t="s">
        <v>5</v>
      </c>
      <c r="C29" s="114"/>
      <c r="D29" s="114" t="s">
        <v>5</v>
      </c>
      <c r="E29" s="114"/>
      <c r="F29" s="114"/>
      <c r="G29" s="114"/>
      <c r="H29" s="114"/>
      <c r="I29" s="114"/>
      <c r="J29" s="114"/>
      <c r="K29" s="114"/>
      <c r="L29" s="114"/>
    </row>
    <row r="30" spans="1:12" x14ac:dyDescent="0.25">
      <c r="A30" s="113" t="s">
        <v>233</v>
      </c>
      <c r="B30" s="114" t="s">
        <v>5</v>
      </c>
      <c r="C30" s="114" t="s">
        <v>5</v>
      </c>
      <c r="D30" s="114" t="s">
        <v>5</v>
      </c>
      <c r="E30" s="114"/>
      <c r="F30" s="114"/>
      <c r="G30" s="114"/>
      <c r="H30" s="114" t="s">
        <v>5</v>
      </c>
      <c r="I30" s="114"/>
      <c r="J30" s="114"/>
      <c r="K30" s="114"/>
      <c r="L30" s="114"/>
    </row>
    <row r="31" spans="1:12" x14ac:dyDescent="0.25">
      <c r="A31" s="113" t="s">
        <v>193</v>
      </c>
      <c r="B31" s="114"/>
      <c r="C31" s="114"/>
      <c r="D31" s="114"/>
      <c r="E31" s="114" t="s">
        <v>5</v>
      </c>
      <c r="F31" s="114"/>
      <c r="G31" s="114"/>
      <c r="H31" s="114"/>
      <c r="I31" s="114"/>
      <c r="J31" s="114"/>
      <c r="K31" s="114"/>
      <c r="L31" s="114"/>
    </row>
    <row r="32" spans="1:12" x14ac:dyDescent="0.25">
      <c r="A32" s="113" t="s">
        <v>225</v>
      </c>
      <c r="B32" s="114"/>
      <c r="C32" s="114"/>
      <c r="D32" s="114"/>
      <c r="E32" s="114"/>
      <c r="F32" s="114"/>
      <c r="G32" s="114" t="s">
        <v>5</v>
      </c>
      <c r="H32" s="114" t="s">
        <v>5</v>
      </c>
      <c r="I32" s="114"/>
      <c r="J32" s="114"/>
      <c r="K32" s="114"/>
      <c r="L32" s="114"/>
    </row>
    <row r="33" spans="1:12" x14ac:dyDescent="0.25">
      <c r="A33" s="113" t="s">
        <v>226</v>
      </c>
      <c r="B33" s="114"/>
      <c r="C33" s="114"/>
      <c r="D33" s="114"/>
      <c r="E33" s="114"/>
      <c r="F33" s="114"/>
      <c r="G33" s="114" t="s">
        <v>5</v>
      </c>
      <c r="H33" s="114" t="s">
        <v>5</v>
      </c>
      <c r="I33" s="114"/>
      <c r="J33" s="114"/>
      <c r="K33" s="114"/>
      <c r="L33" s="114"/>
    </row>
    <row r="34" spans="1:12" x14ac:dyDescent="0.25">
      <c r="A34" s="113" t="s">
        <v>227</v>
      </c>
      <c r="B34" s="114"/>
      <c r="C34" s="114"/>
      <c r="D34" s="114"/>
      <c r="E34" s="114"/>
      <c r="F34" s="114"/>
      <c r="G34" s="114" t="s">
        <v>5</v>
      </c>
      <c r="H34" s="114" t="s">
        <v>5</v>
      </c>
      <c r="I34" s="114"/>
      <c r="J34" s="114"/>
      <c r="K34" s="114"/>
      <c r="L34" s="114"/>
    </row>
    <row r="35" spans="1:12" x14ac:dyDescent="0.25">
      <c r="A35" s="113" t="s">
        <v>228</v>
      </c>
      <c r="B35" s="114"/>
      <c r="C35" s="114"/>
      <c r="D35" s="114"/>
      <c r="E35" s="114"/>
      <c r="F35" s="114"/>
      <c r="G35" s="114" t="s">
        <v>5</v>
      </c>
      <c r="H35" s="114" t="s">
        <v>5</v>
      </c>
      <c r="I35" s="114"/>
      <c r="J35" s="114"/>
      <c r="K35" s="114"/>
      <c r="L35" s="114"/>
    </row>
    <row r="36" spans="1:12" x14ac:dyDescent="0.25">
      <c r="A36" s="113" t="s">
        <v>229</v>
      </c>
      <c r="B36" s="114"/>
      <c r="C36" s="114"/>
      <c r="D36" s="114"/>
      <c r="E36" s="114"/>
      <c r="F36" s="114"/>
      <c r="G36" s="114" t="s">
        <v>5</v>
      </c>
      <c r="H36" s="114" t="s">
        <v>5</v>
      </c>
      <c r="I36" s="114"/>
      <c r="J36" s="114"/>
      <c r="K36" s="114"/>
      <c r="L36" s="114"/>
    </row>
    <row r="37" spans="1:12" x14ac:dyDescent="0.25">
      <c r="A37" s="113" t="s">
        <v>230</v>
      </c>
      <c r="B37" s="114"/>
      <c r="C37" s="114"/>
      <c r="D37" s="114"/>
      <c r="E37" s="114"/>
      <c r="F37" s="114"/>
      <c r="G37" s="114" t="s">
        <v>5</v>
      </c>
      <c r="H37" s="114" t="s">
        <v>5</v>
      </c>
      <c r="I37" s="114"/>
      <c r="J37" s="114"/>
      <c r="K37" s="114"/>
      <c r="L37" s="114"/>
    </row>
    <row r="38" spans="1:12" x14ac:dyDescent="0.25">
      <c r="A38" s="113" t="s">
        <v>231</v>
      </c>
      <c r="B38" s="114"/>
      <c r="C38" s="114"/>
      <c r="D38" s="114"/>
      <c r="E38" s="114"/>
      <c r="F38" s="114"/>
      <c r="G38" s="114"/>
      <c r="H38" s="114" t="s">
        <v>5</v>
      </c>
      <c r="I38" s="114"/>
      <c r="J38" s="114"/>
      <c r="K38" s="114"/>
      <c r="L38" s="114"/>
    </row>
    <row r="39" spans="1:12" x14ac:dyDescent="0.25">
      <c r="A39" s="113" t="s">
        <v>232</v>
      </c>
      <c r="B39" s="114" t="s">
        <v>5</v>
      </c>
      <c r="C39" s="114"/>
      <c r="D39" s="114"/>
      <c r="E39" s="114"/>
      <c r="F39" s="114"/>
      <c r="G39" s="114" t="s">
        <v>5</v>
      </c>
      <c r="H39" s="114" t="s">
        <v>5</v>
      </c>
      <c r="I39" s="114"/>
      <c r="J39" s="114"/>
      <c r="K39" s="114"/>
      <c r="L39" s="114"/>
    </row>
  </sheetData>
  <sheetProtection algorithmName="SHA-512" hashValue="ZuvfSVos8b4MG+z4KX0qmMBdakT9z6QaGZKOwr7XkxUOlFVx9Bw9Mkii8oj/Vo2PKee43mw6N2doAA8edOoheA==" saltValue="DN01BmGmHDQVGnilTDtHk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4" bestFit="1" customWidth="1"/>
    <col min="2" max="2" width="8.7265625" style="104" bestFit="1" customWidth="1"/>
    <col min="3" max="3" width="8.81640625" style="104" bestFit="1" customWidth="1"/>
    <col min="4" max="4" width="18.26953125" style="104" bestFit="1" customWidth="1"/>
    <col min="5" max="5" width="17.453125" style="104" bestFit="1" customWidth="1"/>
    <col min="6" max="6" width="13.54296875" style="104" bestFit="1" customWidth="1"/>
    <col min="7" max="7" width="9.7265625" style="104" bestFit="1" customWidth="1"/>
    <col min="8" max="8" width="8.81640625" style="104" bestFit="1" customWidth="1"/>
    <col min="9" max="9" width="14.7265625" style="104" bestFit="1" customWidth="1"/>
    <col min="10" max="10" width="15.26953125" style="104" bestFit="1" customWidth="1"/>
    <col min="11" max="16384" width="12.7265625" style="104"/>
  </cols>
  <sheetData>
    <row r="1" spans="1:12" ht="13" x14ac:dyDescent="0.3">
      <c r="A1" s="103" t="s">
        <v>264</v>
      </c>
      <c r="B1" s="106" t="s">
        <v>260</v>
      </c>
      <c r="C1" s="106" t="s">
        <v>124</v>
      </c>
      <c r="D1" s="106" t="s">
        <v>261</v>
      </c>
      <c r="E1" s="106" t="s">
        <v>262</v>
      </c>
      <c r="F1" s="106" t="s">
        <v>142</v>
      </c>
      <c r="G1" s="106" t="s">
        <v>103</v>
      </c>
      <c r="H1" s="106" t="s">
        <v>56</v>
      </c>
      <c r="I1" s="106" t="s">
        <v>259</v>
      </c>
      <c r="J1" s="106" t="s">
        <v>41</v>
      </c>
      <c r="K1" s="106" t="s">
        <v>258</v>
      </c>
      <c r="L1" s="106" t="s">
        <v>263</v>
      </c>
    </row>
    <row r="2" spans="1:12" x14ac:dyDescent="0.25">
      <c r="A2" s="106" t="s">
        <v>97</v>
      </c>
      <c r="B2" s="114" t="s">
        <v>5</v>
      </c>
      <c r="C2" s="114" t="s">
        <v>5</v>
      </c>
      <c r="D2" s="114" t="s">
        <v>5</v>
      </c>
      <c r="E2" s="114" t="s">
        <v>5</v>
      </c>
      <c r="F2" s="114" t="s">
        <v>5</v>
      </c>
      <c r="G2" s="114" t="s">
        <v>5</v>
      </c>
      <c r="H2" s="114" t="s">
        <v>5</v>
      </c>
      <c r="I2" s="114"/>
      <c r="J2" s="114"/>
      <c r="K2" s="114"/>
      <c r="L2" s="114"/>
    </row>
    <row r="3" spans="1:12" x14ac:dyDescent="0.25">
      <c r="A3" s="106" t="s">
        <v>93</v>
      </c>
      <c r="B3" s="114" t="s">
        <v>5</v>
      </c>
      <c r="C3" s="114" t="s">
        <v>5</v>
      </c>
      <c r="D3" s="114" t="s">
        <v>5</v>
      </c>
      <c r="E3" s="114" t="s">
        <v>5</v>
      </c>
      <c r="F3" s="114" t="s">
        <v>5</v>
      </c>
      <c r="G3" s="114" t="s">
        <v>5</v>
      </c>
      <c r="H3" s="114" t="s">
        <v>5</v>
      </c>
      <c r="I3" s="114"/>
      <c r="J3" s="114"/>
      <c r="K3" s="114"/>
      <c r="L3" s="114"/>
    </row>
    <row r="4" spans="1:12" x14ac:dyDescent="0.25">
      <c r="A4" s="106" t="s">
        <v>96</v>
      </c>
      <c r="B4" s="114" t="s">
        <v>5</v>
      </c>
      <c r="C4" s="114" t="s">
        <v>5</v>
      </c>
      <c r="D4" s="114" t="s">
        <v>5</v>
      </c>
      <c r="E4" s="114" t="s">
        <v>5</v>
      </c>
      <c r="F4" s="114" t="s">
        <v>5</v>
      </c>
      <c r="G4" s="114" t="s">
        <v>5</v>
      </c>
      <c r="H4" s="114" t="s">
        <v>5</v>
      </c>
      <c r="I4" s="114"/>
      <c r="J4" s="114"/>
      <c r="K4" s="114"/>
      <c r="L4" s="114"/>
    </row>
    <row r="5" spans="1:12" x14ac:dyDescent="0.25">
      <c r="A5" s="106" t="s">
        <v>94</v>
      </c>
      <c r="B5" s="114" t="s">
        <v>5</v>
      </c>
      <c r="C5" s="114" t="s">
        <v>5</v>
      </c>
      <c r="D5" s="114" t="s">
        <v>5</v>
      </c>
      <c r="E5" s="114" t="s">
        <v>5</v>
      </c>
      <c r="F5" s="114" t="s">
        <v>5</v>
      </c>
      <c r="G5" s="114" t="s">
        <v>5</v>
      </c>
      <c r="H5" s="114" t="s">
        <v>5</v>
      </c>
      <c r="I5" s="114"/>
      <c r="J5" s="114"/>
      <c r="K5" s="114"/>
      <c r="L5" s="114"/>
    </row>
    <row r="6" spans="1:12" x14ac:dyDescent="0.25">
      <c r="A6" s="106" t="s">
        <v>95</v>
      </c>
      <c r="B6" s="114" t="s">
        <v>5</v>
      </c>
      <c r="C6" s="114" t="s">
        <v>5</v>
      </c>
      <c r="D6" s="114" t="s">
        <v>5</v>
      </c>
      <c r="E6" s="114" t="s">
        <v>5</v>
      </c>
      <c r="F6" s="114" t="s">
        <v>5</v>
      </c>
      <c r="G6" s="114" t="s">
        <v>5</v>
      </c>
      <c r="H6" s="114" t="s">
        <v>5</v>
      </c>
      <c r="I6" s="114"/>
      <c r="J6" s="114"/>
      <c r="K6" s="114"/>
      <c r="L6" s="114"/>
    </row>
    <row r="7" spans="1:12" x14ac:dyDescent="0.25">
      <c r="A7" s="106" t="s">
        <v>132</v>
      </c>
      <c r="B7" s="114"/>
      <c r="C7" s="114" t="s">
        <v>5</v>
      </c>
      <c r="D7" s="114"/>
      <c r="E7" s="114"/>
      <c r="F7" s="114"/>
      <c r="G7" s="114"/>
      <c r="H7" s="114" t="s">
        <v>5</v>
      </c>
      <c r="I7" s="114" t="s">
        <v>5</v>
      </c>
      <c r="J7" s="114"/>
      <c r="K7" s="114"/>
      <c r="L7" s="114" t="s">
        <v>5</v>
      </c>
    </row>
    <row r="8" spans="1:12" x14ac:dyDescent="0.25">
      <c r="A8" s="106" t="s">
        <v>133</v>
      </c>
      <c r="B8" s="114"/>
      <c r="C8" s="114" t="s">
        <v>5</v>
      </c>
      <c r="D8" s="114"/>
      <c r="E8" s="114"/>
      <c r="F8" s="114"/>
      <c r="G8" s="114"/>
      <c r="H8" s="114" t="s">
        <v>5</v>
      </c>
      <c r="I8" s="114" t="s">
        <v>5</v>
      </c>
      <c r="J8" s="114"/>
      <c r="K8" s="114"/>
      <c r="L8" s="114" t="s">
        <v>5</v>
      </c>
    </row>
    <row r="9" spans="1:12" x14ac:dyDescent="0.25">
      <c r="A9" s="106" t="s">
        <v>134</v>
      </c>
      <c r="B9" s="114"/>
      <c r="C9" s="114" t="s">
        <v>5</v>
      </c>
      <c r="D9" s="114"/>
      <c r="E9" s="114"/>
      <c r="F9" s="114"/>
      <c r="G9" s="114"/>
      <c r="H9" s="114" t="s">
        <v>5</v>
      </c>
      <c r="I9" s="114" t="s">
        <v>5</v>
      </c>
      <c r="J9" s="114"/>
      <c r="K9" s="114"/>
      <c r="L9" s="114" t="s">
        <v>5</v>
      </c>
    </row>
    <row r="10" spans="1:12" x14ac:dyDescent="0.25">
      <c r="A10" s="106" t="s">
        <v>135</v>
      </c>
      <c r="B10" s="114"/>
      <c r="C10" s="114" t="s">
        <v>5</v>
      </c>
      <c r="D10" s="114"/>
      <c r="E10" s="114"/>
      <c r="F10" s="114"/>
      <c r="G10" s="114"/>
      <c r="H10" s="114" t="s">
        <v>5</v>
      </c>
      <c r="I10" s="114" t="s">
        <v>5</v>
      </c>
      <c r="J10" s="114"/>
      <c r="K10" s="114"/>
      <c r="L10" s="114" t="s">
        <v>5</v>
      </c>
    </row>
    <row r="11" spans="1:12" x14ac:dyDescent="0.25">
      <c r="A11" s="106" t="s">
        <v>87</v>
      </c>
      <c r="B11" s="114"/>
      <c r="C11" s="114" t="s">
        <v>5</v>
      </c>
      <c r="D11" s="114"/>
      <c r="E11" s="114"/>
      <c r="F11" s="114"/>
      <c r="G11" s="114"/>
      <c r="H11" s="114"/>
      <c r="I11" s="114"/>
      <c r="J11" s="114" t="s">
        <v>5</v>
      </c>
      <c r="K11" s="114" t="s">
        <v>5</v>
      </c>
      <c r="L11" s="114"/>
    </row>
    <row r="12" spans="1:12" x14ac:dyDescent="0.25">
      <c r="A12" s="106" t="s">
        <v>88</v>
      </c>
      <c r="B12" s="114"/>
      <c r="C12" s="114" t="s">
        <v>5</v>
      </c>
      <c r="D12" s="114"/>
      <c r="E12" s="114"/>
      <c r="F12" s="114"/>
      <c r="G12" s="114"/>
      <c r="H12" s="114"/>
      <c r="I12" s="114"/>
      <c r="J12" s="114"/>
      <c r="K12" s="114" t="s">
        <v>5</v>
      </c>
      <c r="L12" s="114"/>
    </row>
    <row r="13" spans="1:12" x14ac:dyDescent="0.25">
      <c r="A13" s="106" t="s">
        <v>89</v>
      </c>
      <c r="B13" s="114"/>
      <c r="C13" s="114" t="s">
        <v>5</v>
      </c>
      <c r="D13" s="114"/>
      <c r="E13" s="114"/>
      <c r="F13" s="114"/>
      <c r="G13" s="114"/>
      <c r="H13" s="114"/>
      <c r="I13" s="114"/>
      <c r="J13" s="114"/>
      <c r="K13" s="114" t="s">
        <v>5</v>
      </c>
      <c r="L13" s="114"/>
    </row>
    <row r="14" spans="1:12" x14ac:dyDescent="0.25">
      <c r="A14" s="106" t="s">
        <v>90</v>
      </c>
      <c r="B14" s="114"/>
      <c r="C14" s="114" t="s">
        <v>5</v>
      </c>
      <c r="D14" s="114"/>
      <c r="E14" s="114"/>
      <c r="F14" s="114"/>
      <c r="G14" s="114"/>
      <c r="H14" s="114"/>
      <c r="I14" s="114"/>
      <c r="J14" s="114"/>
      <c r="K14" s="114" t="s">
        <v>5</v>
      </c>
      <c r="L14" s="114"/>
    </row>
  </sheetData>
  <sheetProtection algorithmName="SHA-512" hashValue="4L+xQ9xgaI9DChj5y4xNeKzUhEffMG7Cael87HkE0cA9EXiAmb4zOQJv1jARSkWeY1S7Obj1LEAh9rczlHnhMA==" saltValue="SPojLpxkk/vtfExDWyvEz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6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7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7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6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7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7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6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7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7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6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7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7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6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7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7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6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7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7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6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7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7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6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7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7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6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7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7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6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7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7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6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7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7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6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7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7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6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7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7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6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7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7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6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7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7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6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7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7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6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7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7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6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7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7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6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7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7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6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7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7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6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7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7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6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7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7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6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7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7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6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7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7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6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7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7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6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7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7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6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7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7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6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7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7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6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7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7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6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7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7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6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7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7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6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7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7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6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7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7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6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7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7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6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7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7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6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7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7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6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7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7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6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7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7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6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7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7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6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7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7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6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7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7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6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7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7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6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7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7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6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7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7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6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7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7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WrxHZ2EIg7IwhqUwU17YJ2TezLZg2K3RvP1cUBJXOhGmQTQt6Ck07yWuxyO1xaQSwfuqlxlLu1zRCQxCyCxnqQ==" saltValue="o/z8I6D3zsa5cVp34XAsow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4" customWidth="1"/>
    <col min="2" max="2" width="44.453125" style="104" customWidth="1"/>
    <col min="3" max="3" width="17.7265625" style="104" customWidth="1"/>
    <col min="4" max="4" width="17.54296875" style="104" customWidth="1"/>
    <col min="5" max="5" width="17.26953125" style="104" customWidth="1"/>
    <col min="6" max="6" width="15" style="104" customWidth="1"/>
    <col min="7" max="7" width="13.7265625" style="104" customWidth="1"/>
    <col min="8" max="16384" width="12.7265625" style="104"/>
  </cols>
  <sheetData>
    <row r="1" spans="1:7" s="119" customFormat="1" ht="14.25" customHeight="1" x14ac:dyDescent="0.3">
      <c r="A1" s="118" t="s">
        <v>307</v>
      </c>
    </row>
    <row r="2" spans="1:7" ht="14.25" customHeight="1" x14ac:dyDescent="0.3">
      <c r="A2" s="120" t="s">
        <v>237</v>
      </c>
      <c r="B2" s="105"/>
      <c r="C2" s="103" t="s">
        <v>97</v>
      </c>
      <c r="D2" s="103" t="s">
        <v>93</v>
      </c>
      <c r="E2" s="103" t="s">
        <v>96</v>
      </c>
      <c r="F2" s="103" t="s">
        <v>94</v>
      </c>
      <c r="G2" s="103" t="s">
        <v>95</v>
      </c>
    </row>
    <row r="3" spans="1:7" ht="14.25" customHeight="1" x14ac:dyDescent="0.25">
      <c r="B3" s="115" t="s">
        <v>294</v>
      </c>
      <c r="C3" s="116" t="s">
        <v>8</v>
      </c>
      <c r="D3" s="116">
        <v>45</v>
      </c>
      <c r="E3" s="116">
        <v>361.6</v>
      </c>
      <c r="F3" s="116">
        <v>174.7</v>
      </c>
      <c r="G3" s="116">
        <v>174.7</v>
      </c>
    </row>
    <row r="4" spans="1:7" ht="14.25" customHeight="1" x14ac:dyDescent="0.3">
      <c r="A4" s="103"/>
      <c r="B4" s="115" t="s">
        <v>280</v>
      </c>
      <c r="C4" s="116">
        <v>1.0249999999999999</v>
      </c>
      <c r="D4" s="116">
        <v>1.0249999999999999</v>
      </c>
      <c r="E4" s="116">
        <v>1.0249999999999999</v>
      </c>
      <c r="F4" s="116">
        <v>1.0249999999999999</v>
      </c>
      <c r="G4" s="116">
        <v>1.0249999999999999</v>
      </c>
    </row>
    <row r="5" spans="1:7" ht="14.25" customHeight="1" x14ac:dyDescent="0.3">
      <c r="A5" s="121" t="s">
        <v>277</v>
      </c>
    </row>
    <row r="6" spans="1:7" ht="14.25" customHeight="1" x14ac:dyDescent="0.25">
      <c r="B6" s="115" t="s">
        <v>222</v>
      </c>
      <c r="C6" s="116">
        <v>1</v>
      </c>
      <c r="D6" s="116">
        <v>1</v>
      </c>
      <c r="E6" s="116">
        <v>0.89</v>
      </c>
      <c r="F6" s="116">
        <v>0.89</v>
      </c>
      <c r="G6" s="116">
        <v>1</v>
      </c>
    </row>
    <row r="7" spans="1:7" ht="14.25" customHeight="1" x14ac:dyDescent="0.25">
      <c r="B7" s="115" t="s">
        <v>213</v>
      </c>
      <c r="C7" s="116">
        <v>1</v>
      </c>
      <c r="D7" s="116">
        <v>1</v>
      </c>
      <c r="E7" s="116">
        <v>0.88</v>
      </c>
      <c r="F7" s="116">
        <v>0.88</v>
      </c>
      <c r="G7" s="116">
        <v>1</v>
      </c>
    </row>
    <row r="8" spans="1:7" ht="14.25" customHeight="1" x14ac:dyDescent="0.25">
      <c r="B8" s="115" t="s">
        <v>196</v>
      </c>
      <c r="C8" s="116">
        <v>1</v>
      </c>
      <c r="D8" s="116">
        <v>1</v>
      </c>
      <c r="E8" s="116">
        <v>1</v>
      </c>
      <c r="F8" s="116">
        <v>0.80800000000000005</v>
      </c>
      <c r="G8" s="116">
        <v>0.80800000000000005</v>
      </c>
    </row>
    <row r="9" spans="1:7" ht="14.25" customHeight="1" x14ac:dyDescent="0.25">
      <c r="B9" s="115" t="s">
        <v>233</v>
      </c>
      <c r="C9" s="116">
        <v>1</v>
      </c>
      <c r="D9" s="116">
        <v>1</v>
      </c>
      <c r="E9" s="116">
        <v>0.88</v>
      </c>
      <c r="F9" s="116">
        <v>0.88</v>
      </c>
      <c r="G9" s="116">
        <v>1</v>
      </c>
    </row>
    <row r="10" spans="1:7" ht="14.25" customHeight="1" x14ac:dyDescent="0.25">
      <c r="B10" s="115" t="s">
        <v>232</v>
      </c>
      <c r="C10" s="116">
        <v>1</v>
      </c>
      <c r="D10" s="116">
        <v>1</v>
      </c>
      <c r="E10" s="116">
        <v>1</v>
      </c>
      <c r="F10" s="116">
        <v>1</v>
      </c>
      <c r="G10" s="116">
        <v>1</v>
      </c>
    </row>
    <row r="11" spans="1:7" ht="14.25" customHeight="1" x14ac:dyDescent="0.25">
      <c r="B11" s="115"/>
      <c r="C11" s="115"/>
      <c r="D11" s="115"/>
      <c r="E11" s="115"/>
      <c r="F11" s="115"/>
      <c r="G11" s="115"/>
    </row>
    <row r="12" spans="1:7" s="119" customFormat="1" ht="14.25" customHeight="1" x14ac:dyDescent="0.3">
      <c r="A12" s="118" t="s">
        <v>301</v>
      </c>
    </row>
    <row r="13" spans="1:7" ht="14.25" customHeight="1" x14ac:dyDescent="0.3">
      <c r="A13" s="121"/>
      <c r="B13" s="115" t="s">
        <v>211</v>
      </c>
      <c r="C13" s="116">
        <v>1</v>
      </c>
      <c r="D13" s="116">
        <v>1.39</v>
      </c>
      <c r="E13" s="116">
        <v>1</v>
      </c>
      <c r="F13" s="116">
        <v>1</v>
      </c>
      <c r="G13" s="116">
        <v>1</v>
      </c>
    </row>
    <row r="14" spans="1:7" ht="14.25" customHeight="1" x14ac:dyDescent="0.3">
      <c r="A14" s="121"/>
      <c r="B14" s="112"/>
    </row>
    <row r="15" spans="1:7" s="119" customFormat="1" ht="14.25" customHeight="1" x14ac:dyDescent="0.3">
      <c r="A15" s="118" t="s">
        <v>308</v>
      </c>
    </row>
    <row r="16" spans="1:7" ht="14.25" customHeight="1" x14ac:dyDescent="0.3">
      <c r="A16" s="120" t="s">
        <v>311</v>
      </c>
      <c r="B16" s="115" t="s">
        <v>288</v>
      </c>
      <c r="C16" s="116">
        <v>1.024</v>
      </c>
      <c r="D16" s="116">
        <v>1.024</v>
      </c>
      <c r="E16" s="116">
        <v>1.024</v>
      </c>
      <c r="F16" s="116">
        <v>1.024</v>
      </c>
      <c r="G16" s="116">
        <v>1.024</v>
      </c>
    </row>
    <row r="17" spans="1:7" ht="14.25" customHeight="1" x14ac:dyDescent="0.3">
      <c r="A17" s="103"/>
      <c r="B17" s="115" t="s">
        <v>285</v>
      </c>
      <c r="C17" s="116">
        <v>1.024</v>
      </c>
      <c r="D17" s="116">
        <v>1.024</v>
      </c>
      <c r="E17" s="116">
        <v>1.024</v>
      </c>
      <c r="F17" s="116">
        <v>1.024</v>
      </c>
      <c r="G17" s="116">
        <v>1.024</v>
      </c>
    </row>
    <row r="18" spans="1:7" ht="14.25" customHeight="1" x14ac:dyDescent="0.3">
      <c r="A18" s="120" t="s">
        <v>124</v>
      </c>
      <c r="B18" s="115" t="s">
        <v>291</v>
      </c>
      <c r="C18" s="116">
        <v>1</v>
      </c>
      <c r="D18" s="116">
        <v>1</v>
      </c>
      <c r="E18" s="116">
        <v>1</v>
      </c>
      <c r="F18" s="116">
        <v>1</v>
      </c>
      <c r="G18" s="116">
        <v>1</v>
      </c>
    </row>
    <row r="19" spans="1:7" ht="14.25" customHeight="1" x14ac:dyDescent="0.25"/>
    <row r="20" spans="1:7" s="119" customFormat="1" ht="14.25" customHeight="1" x14ac:dyDescent="0.3">
      <c r="A20" s="118" t="s">
        <v>304</v>
      </c>
    </row>
    <row r="21" spans="1:7" s="121" customFormat="1" ht="14.25" customHeight="1" x14ac:dyDescent="0.3">
      <c r="C21" s="122" t="s">
        <v>87</v>
      </c>
      <c r="D21" s="122" t="s">
        <v>88</v>
      </c>
      <c r="E21" s="122" t="s">
        <v>89</v>
      </c>
      <c r="F21" s="122" t="s">
        <v>90</v>
      </c>
    </row>
    <row r="22" spans="1:7" x14ac:dyDescent="0.25">
      <c r="B22" s="115" t="s">
        <v>199</v>
      </c>
      <c r="C22" s="116">
        <v>1.52</v>
      </c>
      <c r="D22" s="116">
        <v>1</v>
      </c>
      <c r="E22" s="116">
        <v>1</v>
      </c>
      <c r="F22" s="116">
        <v>1</v>
      </c>
    </row>
    <row r="24" spans="1:7" s="117" customFormat="1" ht="13" x14ac:dyDescent="0.3">
      <c r="A24" s="117" t="s">
        <v>266</v>
      </c>
    </row>
    <row r="25" spans="1:7" ht="13" x14ac:dyDescent="0.3">
      <c r="A25" s="118" t="s">
        <v>307</v>
      </c>
      <c r="B25" s="119"/>
      <c r="C25" s="119"/>
      <c r="D25" s="119"/>
      <c r="E25" s="119"/>
      <c r="F25" s="119"/>
      <c r="G25" s="119"/>
    </row>
    <row r="26" spans="1:7" ht="13" x14ac:dyDescent="0.3">
      <c r="A26" s="120" t="s">
        <v>237</v>
      </c>
      <c r="B26" s="105"/>
      <c r="C26" s="103" t="s">
        <v>97</v>
      </c>
      <c r="D26" s="103" t="s">
        <v>93</v>
      </c>
      <c r="E26" s="103" t="s">
        <v>96</v>
      </c>
      <c r="F26" s="103" t="s">
        <v>94</v>
      </c>
      <c r="G26" s="103" t="s">
        <v>95</v>
      </c>
    </row>
    <row r="27" spans="1:7" x14ac:dyDescent="0.25">
      <c r="B27" s="115" t="s">
        <v>295</v>
      </c>
      <c r="C27" s="116" t="s">
        <v>8</v>
      </c>
      <c r="D27" s="116">
        <f t="shared" ref="D27:G27" si="0">D3*0.9</f>
        <v>40.5</v>
      </c>
      <c r="E27" s="116">
        <f t="shared" si="0"/>
        <v>325.44000000000005</v>
      </c>
      <c r="F27" s="116">
        <f t="shared" si="0"/>
        <v>157.22999999999999</v>
      </c>
      <c r="G27" s="116">
        <f t="shared" si="0"/>
        <v>157.22999999999999</v>
      </c>
    </row>
    <row r="28" spans="1:7" ht="13" x14ac:dyDescent="0.3">
      <c r="A28" s="103"/>
      <c r="B28" s="115" t="s">
        <v>281</v>
      </c>
      <c r="C28" s="116">
        <v>1.014</v>
      </c>
      <c r="D28" s="116">
        <v>1.014</v>
      </c>
      <c r="E28" s="116">
        <v>1.014</v>
      </c>
      <c r="F28" s="116">
        <v>1.014</v>
      </c>
      <c r="G28" s="116">
        <v>1.014</v>
      </c>
    </row>
    <row r="29" spans="1:7" ht="13" x14ac:dyDescent="0.3">
      <c r="A29" s="121" t="s">
        <v>278</v>
      </c>
    </row>
    <row r="30" spans="1:7" x14ac:dyDescent="0.25">
      <c r="B30" s="115" t="s">
        <v>309</v>
      </c>
      <c r="C30" s="116">
        <f>IF(C6=1,1,C6*0.9)</f>
        <v>1</v>
      </c>
      <c r="D30" s="116">
        <f t="shared" ref="D30:G30" si="1">IF(D6=1,1,D6*0.9)</f>
        <v>1</v>
      </c>
      <c r="E30" s="116">
        <f>E6*0.9</f>
        <v>0.80100000000000005</v>
      </c>
      <c r="F30" s="116">
        <f>F6*0.9</f>
        <v>0.80100000000000005</v>
      </c>
      <c r="G30" s="116">
        <f t="shared" si="1"/>
        <v>1</v>
      </c>
    </row>
    <row r="31" spans="1:7" x14ac:dyDescent="0.25">
      <c r="B31" s="115" t="s">
        <v>299</v>
      </c>
      <c r="C31" s="116">
        <f>IF(C7=1,1,C7*0.9)</f>
        <v>1</v>
      </c>
      <c r="D31" s="116">
        <f>IF(D7=1,1,D7*0.9)</f>
        <v>1</v>
      </c>
      <c r="E31" s="116">
        <v>0.85</v>
      </c>
      <c r="F31" s="116">
        <v>0.85</v>
      </c>
      <c r="G31" s="116">
        <f>IF(G7=1,1,G7*0.9)</f>
        <v>1</v>
      </c>
    </row>
    <row r="32" spans="1:7" x14ac:dyDescent="0.25">
      <c r="B32" s="115" t="s">
        <v>27</v>
      </c>
      <c r="C32" s="116">
        <f>IF(C8=1,1,C8*0.9)</f>
        <v>1</v>
      </c>
      <c r="D32" s="116">
        <f>IF(D8=1,1,D8*0.9)</f>
        <v>1</v>
      </c>
      <c r="E32" s="116">
        <v>1</v>
      </c>
      <c r="F32" s="90">
        <v>0.39500000000000002</v>
      </c>
      <c r="G32" s="90">
        <v>0.39500000000000002</v>
      </c>
    </row>
    <row r="33" spans="1:7" x14ac:dyDescent="0.25">
      <c r="B33" s="115" t="s">
        <v>314</v>
      </c>
      <c r="C33" s="116">
        <f t="shared" ref="C33:G33" si="2">IF(C9=1,1,C9*0.9)</f>
        <v>1</v>
      </c>
      <c r="D33" s="116">
        <f t="shared" si="2"/>
        <v>1</v>
      </c>
      <c r="E33" s="116">
        <v>0.85</v>
      </c>
      <c r="F33" s="116">
        <v>0.85</v>
      </c>
      <c r="G33" s="116">
        <f t="shared" si="2"/>
        <v>1</v>
      </c>
    </row>
    <row r="34" spans="1:7" x14ac:dyDescent="0.25">
      <c r="B34" s="115" t="s">
        <v>312</v>
      </c>
      <c r="C34" s="116">
        <f>IF(C10=1,1,C10*0.9)</f>
        <v>1</v>
      </c>
      <c r="D34" s="116">
        <f>IF(D10=1,1,D10*0.9)</f>
        <v>1</v>
      </c>
      <c r="E34" s="116">
        <f>IF(E10=1,1,E10*0.9)</f>
        <v>1</v>
      </c>
      <c r="F34" s="116">
        <f>IF(F10=1,1,F10*0.9)</f>
        <v>1</v>
      </c>
      <c r="G34" s="116">
        <f>IF(G10=1,1,G10*0.9)</f>
        <v>1</v>
      </c>
    </row>
    <row r="35" spans="1:7" x14ac:dyDescent="0.25">
      <c r="B35" s="115"/>
      <c r="C35" s="115"/>
      <c r="D35" s="115"/>
      <c r="E35" s="115"/>
      <c r="F35" s="115"/>
      <c r="G35" s="115"/>
    </row>
    <row r="36" spans="1:7" ht="13" x14ac:dyDescent="0.3">
      <c r="A36" s="118" t="s">
        <v>302</v>
      </c>
      <c r="B36" s="119"/>
      <c r="C36" s="119"/>
      <c r="D36" s="119"/>
      <c r="E36" s="119"/>
      <c r="F36" s="119"/>
      <c r="G36" s="119"/>
    </row>
    <row r="37" spans="1:7" ht="13" x14ac:dyDescent="0.3">
      <c r="A37" s="121"/>
      <c r="B37" s="115" t="s">
        <v>297</v>
      </c>
      <c r="C37" s="116">
        <v>1</v>
      </c>
      <c r="D37" s="116">
        <v>1.1100000000000001</v>
      </c>
      <c r="E37" s="116">
        <v>1</v>
      </c>
      <c r="F37" s="116">
        <v>1</v>
      </c>
      <c r="G37" s="116">
        <v>1</v>
      </c>
    </row>
    <row r="38" spans="1:7" ht="13" x14ac:dyDescent="0.3">
      <c r="A38" s="121"/>
      <c r="B38" s="112"/>
    </row>
    <row r="39" spans="1:7" ht="13" x14ac:dyDescent="0.3">
      <c r="A39" s="118" t="s">
        <v>308</v>
      </c>
      <c r="B39" s="119"/>
      <c r="C39" s="119"/>
      <c r="D39" s="119"/>
      <c r="E39" s="119"/>
      <c r="F39" s="119"/>
      <c r="G39" s="119"/>
    </row>
    <row r="40" spans="1:7" ht="13" x14ac:dyDescent="0.3">
      <c r="A40" s="120" t="s">
        <v>311</v>
      </c>
      <c r="B40" s="115" t="s">
        <v>289</v>
      </c>
      <c r="C40" s="116">
        <v>1.016</v>
      </c>
      <c r="D40" s="116">
        <v>1.016</v>
      </c>
      <c r="E40" s="116">
        <v>1.016</v>
      </c>
      <c r="F40" s="116">
        <v>1.016</v>
      </c>
      <c r="G40" s="116">
        <v>1.016</v>
      </c>
    </row>
    <row r="41" spans="1:7" ht="13" x14ac:dyDescent="0.3">
      <c r="A41" s="103"/>
      <c r="B41" s="115" t="s">
        <v>286</v>
      </c>
      <c r="C41" s="116">
        <v>1.016</v>
      </c>
      <c r="D41" s="116">
        <v>1.016</v>
      </c>
      <c r="E41" s="116">
        <v>1.016</v>
      </c>
      <c r="F41" s="116">
        <v>1.016</v>
      </c>
      <c r="G41" s="116">
        <v>1.016</v>
      </c>
    </row>
    <row r="42" spans="1:7" ht="13" x14ac:dyDescent="0.3">
      <c r="A42" s="120" t="s">
        <v>124</v>
      </c>
      <c r="B42" s="115" t="s">
        <v>292</v>
      </c>
      <c r="C42" s="116">
        <f t="shared" ref="C42:G42" si="3">IF(C18=1,1,C18*0.9)</f>
        <v>1</v>
      </c>
      <c r="D42" s="116">
        <f t="shared" si="3"/>
        <v>1</v>
      </c>
      <c r="E42" s="116">
        <f t="shared" si="3"/>
        <v>1</v>
      </c>
      <c r="F42" s="116">
        <f t="shared" si="3"/>
        <v>1</v>
      </c>
      <c r="G42" s="116">
        <f t="shared" si="3"/>
        <v>1</v>
      </c>
    </row>
    <row r="44" spans="1:7" ht="13" x14ac:dyDescent="0.3">
      <c r="A44" s="118" t="s">
        <v>305</v>
      </c>
      <c r="B44" s="119"/>
      <c r="C44" s="119"/>
      <c r="D44" s="119"/>
      <c r="E44" s="119"/>
      <c r="F44" s="119"/>
      <c r="G44" s="119"/>
    </row>
    <row r="45" spans="1:7" ht="13" x14ac:dyDescent="0.3">
      <c r="A45" s="121"/>
      <c r="B45" s="121"/>
      <c r="C45" s="122" t="s">
        <v>87</v>
      </c>
      <c r="D45" s="122" t="s">
        <v>88</v>
      </c>
      <c r="E45" s="122" t="s">
        <v>89</v>
      </c>
      <c r="F45" s="122" t="s">
        <v>90</v>
      </c>
      <c r="G45" s="121"/>
    </row>
    <row r="46" spans="1:7" x14ac:dyDescent="0.25">
      <c r="B46" s="115" t="s">
        <v>283</v>
      </c>
      <c r="C46" s="116">
        <f>C22*0.9</f>
        <v>1.3680000000000001</v>
      </c>
      <c r="D46" s="116">
        <v>1</v>
      </c>
      <c r="E46" s="116">
        <v>1</v>
      </c>
      <c r="F46" s="116">
        <v>1</v>
      </c>
    </row>
    <row r="48" spans="1:7" s="117" customFormat="1" ht="13" x14ac:dyDescent="0.3">
      <c r="A48" s="117" t="s">
        <v>276</v>
      </c>
    </row>
    <row r="49" spans="1:7" ht="13" x14ac:dyDescent="0.3">
      <c r="A49" s="118" t="s">
        <v>307</v>
      </c>
      <c r="B49" s="119"/>
      <c r="C49" s="119"/>
      <c r="D49" s="119"/>
      <c r="E49" s="119"/>
      <c r="F49" s="119"/>
      <c r="G49" s="119"/>
    </row>
    <row r="50" spans="1:7" ht="13" x14ac:dyDescent="0.3">
      <c r="A50" s="120" t="s">
        <v>237</v>
      </c>
      <c r="B50" s="105"/>
      <c r="C50" s="103" t="s">
        <v>97</v>
      </c>
      <c r="D50" s="103" t="s">
        <v>93</v>
      </c>
      <c r="E50" s="103" t="s">
        <v>96</v>
      </c>
      <c r="F50" s="103" t="s">
        <v>94</v>
      </c>
      <c r="G50" s="103" t="s">
        <v>95</v>
      </c>
    </row>
    <row r="51" spans="1:7" x14ac:dyDescent="0.25">
      <c r="B51" s="115" t="s">
        <v>296</v>
      </c>
      <c r="C51" s="116" t="s">
        <v>8</v>
      </c>
      <c r="D51" s="116">
        <f t="shared" ref="D51:G51" si="4">D3*1.05</f>
        <v>47.25</v>
      </c>
      <c r="E51" s="116">
        <f t="shared" si="4"/>
        <v>379.68000000000006</v>
      </c>
      <c r="F51" s="116">
        <f t="shared" si="4"/>
        <v>183.435</v>
      </c>
      <c r="G51" s="116">
        <f t="shared" si="4"/>
        <v>183.435</v>
      </c>
    </row>
    <row r="52" spans="1:7" ht="13" x14ac:dyDescent="0.3">
      <c r="A52" s="103"/>
      <c r="B52" s="115" t="s">
        <v>282</v>
      </c>
      <c r="C52" s="116">
        <v>1.0349999999999999</v>
      </c>
      <c r="D52" s="116">
        <v>1.0349999999999999</v>
      </c>
      <c r="E52" s="116">
        <v>1.0349999999999999</v>
      </c>
      <c r="F52" s="116">
        <v>1.0349999999999999</v>
      </c>
      <c r="G52" s="116">
        <v>1.0349999999999999</v>
      </c>
    </row>
    <row r="53" spans="1:7" ht="13" x14ac:dyDescent="0.3">
      <c r="A53" s="121" t="s">
        <v>279</v>
      </c>
    </row>
    <row r="54" spans="1:7" x14ac:dyDescent="0.25">
      <c r="B54" s="115" t="s">
        <v>310</v>
      </c>
      <c r="C54" s="116">
        <f>IF(C6=1,1,C6*1.1)</f>
        <v>1</v>
      </c>
      <c r="D54" s="116">
        <f t="shared" ref="D54:G54" si="5">IF(D6=1,1,D6*1.1)</f>
        <v>1</v>
      </c>
      <c r="E54" s="116">
        <f>E6*1.05</f>
        <v>0.93450000000000011</v>
      </c>
      <c r="F54" s="116">
        <f>F6*1.05</f>
        <v>0.93450000000000011</v>
      </c>
      <c r="G54" s="116">
        <f t="shared" si="5"/>
        <v>1</v>
      </c>
    </row>
    <row r="55" spans="1:7" x14ac:dyDescent="0.25">
      <c r="B55" s="115" t="s">
        <v>300</v>
      </c>
      <c r="C55" s="116">
        <f>IF(C7=1,1,C7*1.1)</f>
        <v>1</v>
      </c>
      <c r="D55" s="116">
        <f>IF(D7=1,1,D7*1.1)</f>
        <v>1</v>
      </c>
      <c r="E55" s="116">
        <v>0.91</v>
      </c>
      <c r="F55" s="116">
        <v>0.91</v>
      </c>
      <c r="G55" s="116">
        <f>IF(G7=1,1,G7*1.1)</f>
        <v>1</v>
      </c>
    </row>
    <row r="56" spans="1:7" x14ac:dyDescent="0.25">
      <c r="B56" s="115" t="s">
        <v>28</v>
      </c>
      <c r="C56" s="116">
        <f>IF(C8=1,1,C8*1.1)</f>
        <v>1</v>
      </c>
      <c r="D56" s="116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5" t="s">
        <v>315</v>
      </c>
      <c r="C57" s="116">
        <f t="shared" ref="C57:G58" si="6">IF(C9=1,1,C9*1.1)</f>
        <v>1</v>
      </c>
      <c r="D57" s="116">
        <f t="shared" si="6"/>
        <v>1</v>
      </c>
      <c r="E57" s="116">
        <v>0.91</v>
      </c>
      <c r="F57" s="116">
        <v>0.91</v>
      </c>
      <c r="G57" s="116">
        <f t="shared" si="6"/>
        <v>1</v>
      </c>
    </row>
    <row r="58" spans="1:7" x14ac:dyDescent="0.25">
      <c r="B58" s="115" t="s">
        <v>313</v>
      </c>
      <c r="C58" s="116">
        <f t="shared" si="6"/>
        <v>1</v>
      </c>
      <c r="D58" s="116">
        <f t="shared" si="6"/>
        <v>1</v>
      </c>
      <c r="E58" s="116">
        <f t="shared" si="6"/>
        <v>1</v>
      </c>
      <c r="F58" s="116">
        <f t="shared" si="6"/>
        <v>1</v>
      </c>
      <c r="G58" s="116">
        <f t="shared" si="6"/>
        <v>1</v>
      </c>
    </row>
    <row r="59" spans="1:7" x14ac:dyDescent="0.25">
      <c r="B59" s="115"/>
      <c r="C59" s="115"/>
      <c r="D59" s="115"/>
      <c r="E59" s="115"/>
      <c r="F59" s="115"/>
      <c r="G59" s="115"/>
    </row>
    <row r="60" spans="1:7" ht="13" x14ac:dyDescent="0.3">
      <c r="A60" s="118" t="s">
        <v>303</v>
      </c>
      <c r="B60" s="119"/>
      <c r="C60" s="119"/>
      <c r="D60" s="119"/>
      <c r="E60" s="119"/>
      <c r="F60" s="119"/>
      <c r="G60" s="119"/>
    </row>
    <row r="61" spans="1:7" ht="13" x14ac:dyDescent="0.3">
      <c r="A61" s="121"/>
      <c r="B61" s="115" t="s">
        <v>298</v>
      </c>
      <c r="C61" s="116">
        <v>1</v>
      </c>
      <c r="D61" s="116">
        <v>1.74</v>
      </c>
      <c r="E61" s="116">
        <v>1</v>
      </c>
      <c r="F61" s="116">
        <v>1</v>
      </c>
      <c r="G61" s="116">
        <v>1</v>
      </c>
    </row>
    <row r="62" spans="1:7" ht="13" x14ac:dyDescent="0.3">
      <c r="A62" s="121"/>
      <c r="B62" s="112"/>
    </row>
    <row r="63" spans="1:7" ht="13" x14ac:dyDescent="0.3">
      <c r="A63" s="118" t="s">
        <v>308</v>
      </c>
      <c r="B63" s="119"/>
      <c r="C63" s="119"/>
      <c r="D63" s="119"/>
      <c r="E63" s="119"/>
      <c r="F63" s="119"/>
      <c r="G63" s="119"/>
    </row>
    <row r="64" spans="1:7" ht="13" x14ac:dyDescent="0.3">
      <c r="A64" s="120" t="s">
        <v>311</v>
      </c>
      <c r="B64" s="115" t="s">
        <v>290</v>
      </c>
      <c r="C64" s="116">
        <v>1.0309999999999999</v>
      </c>
      <c r="D64" s="116">
        <v>1.0309999999999999</v>
      </c>
      <c r="E64" s="116">
        <v>1.0309999999999999</v>
      </c>
      <c r="F64" s="116">
        <v>1.0309999999999999</v>
      </c>
      <c r="G64" s="116">
        <v>1.0309999999999999</v>
      </c>
    </row>
    <row r="65" spans="1:7" ht="13" x14ac:dyDescent="0.3">
      <c r="A65" s="103"/>
      <c r="B65" s="115" t="s">
        <v>287</v>
      </c>
      <c r="C65" s="116">
        <v>1.0309999999999999</v>
      </c>
      <c r="D65" s="116">
        <v>1.0309999999999999</v>
      </c>
      <c r="E65" s="116">
        <v>1.0309999999999999</v>
      </c>
      <c r="F65" s="116">
        <v>1.0309999999999999</v>
      </c>
      <c r="G65" s="116">
        <v>1.0309999999999999</v>
      </c>
    </row>
    <row r="66" spans="1:7" ht="13" x14ac:dyDescent="0.3">
      <c r="A66" s="120" t="s">
        <v>124</v>
      </c>
      <c r="B66" s="115" t="s">
        <v>293</v>
      </c>
      <c r="C66" s="116">
        <f t="shared" ref="C66:G66" si="7">IF(C18=1,1,C18*1.1)</f>
        <v>1</v>
      </c>
      <c r="D66" s="116">
        <f t="shared" si="7"/>
        <v>1</v>
      </c>
      <c r="E66" s="116">
        <f t="shared" si="7"/>
        <v>1</v>
      </c>
      <c r="F66" s="116">
        <f t="shared" si="7"/>
        <v>1</v>
      </c>
      <c r="G66" s="116">
        <f t="shared" si="7"/>
        <v>1</v>
      </c>
    </row>
    <row r="68" spans="1:7" ht="13" x14ac:dyDescent="0.3">
      <c r="A68" s="118" t="s">
        <v>306</v>
      </c>
      <c r="B68" s="119"/>
      <c r="C68" s="119"/>
      <c r="D68" s="119"/>
      <c r="E68" s="119"/>
      <c r="F68" s="119"/>
      <c r="G68" s="119"/>
    </row>
    <row r="69" spans="1:7" ht="13" x14ac:dyDescent="0.3">
      <c r="A69" s="121"/>
      <c r="B69" s="121"/>
      <c r="C69" s="122" t="s">
        <v>87</v>
      </c>
      <c r="D69" s="122" t="s">
        <v>88</v>
      </c>
      <c r="E69" s="122" t="s">
        <v>89</v>
      </c>
      <c r="F69" s="122" t="s">
        <v>90</v>
      </c>
      <c r="G69" s="121"/>
    </row>
    <row r="70" spans="1:7" x14ac:dyDescent="0.25">
      <c r="B70" s="115" t="s">
        <v>284</v>
      </c>
      <c r="C70" s="116">
        <f>C22*1.1</f>
        <v>1.6720000000000002</v>
      </c>
      <c r="D70" s="116">
        <v>1</v>
      </c>
      <c r="E70" s="116">
        <v>1</v>
      </c>
      <c r="F70" s="116">
        <v>1</v>
      </c>
    </row>
  </sheetData>
  <sheetProtection algorithmName="SHA-512" hashValue="IzfATo8EIW+y9UqU4UWIAR82Wf0WhI5NmbgBO/iwvhnFIbd5cTbxkAHrnI4mioZLEe9Z0SwYhVwOc1Q7DcVx3w==" saltValue="PMzBwQ+2y4tQ1U5kXfAE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4" customWidth="1"/>
    <col min="2" max="6" width="16.1796875" style="104"/>
    <col min="7" max="7" width="17.26953125" style="104" customWidth="1"/>
    <col min="8" max="8" width="16.1796875" style="104" customWidth="1"/>
    <col min="9" max="16384" width="16.1796875" style="104"/>
  </cols>
  <sheetData>
    <row r="1" spans="1:6" ht="15.75" customHeight="1" x14ac:dyDescent="0.3">
      <c r="A1" s="105" t="s">
        <v>192</v>
      </c>
      <c r="B1" s="103"/>
      <c r="C1" s="103" t="s">
        <v>71</v>
      </c>
      <c r="D1" s="103" t="s">
        <v>78</v>
      </c>
      <c r="E1" s="103" t="s">
        <v>70</v>
      </c>
      <c r="F1" s="105" t="s">
        <v>77</v>
      </c>
    </row>
    <row r="2" spans="1:6" ht="15.75" customHeight="1" x14ac:dyDescent="0.25">
      <c r="A2" s="115" t="s">
        <v>194</v>
      </c>
      <c r="B2" s="115" t="s">
        <v>317</v>
      </c>
      <c r="C2" s="116">
        <v>0.28999999999999998</v>
      </c>
      <c r="D2" s="116">
        <v>0.28999999999999998</v>
      </c>
      <c r="E2" s="116">
        <v>0</v>
      </c>
      <c r="F2" s="116">
        <v>0</v>
      </c>
    </row>
    <row r="3" spans="1:6" ht="15.75" customHeight="1" x14ac:dyDescent="0.25">
      <c r="A3" s="115"/>
      <c r="B3" s="115" t="s">
        <v>316</v>
      </c>
      <c r="C3" s="116">
        <v>1</v>
      </c>
      <c r="D3" s="116">
        <v>1</v>
      </c>
      <c r="E3" s="116">
        <v>1</v>
      </c>
      <c r="F3" s="116">
        <v>1</v>
      </c>
    </row>
    <row r="4" spans="1:6" ht="15.75" customHeight="1" x14ac:dyDescent="0.25">
      <c r="A4" s="115" t="s">
        <v>195</v>
      </c>
      <c r="B4" s="115" t="s">
        <v>317</v>
      </c>
      <c r="C4" s="116">
        <f>1-0.76</f>
        <v>0.24</v>
      </c>
      <c r="D4" s="116">
        <v>0</v>
      </c>
      <c r="E4" s="116">
        <f>1-0.76</f>
        <v>0.24</v>
      </c>
      <c r="F4" s="116">
        <v>0</v>
      </c>
    </row>
    <row r="5" spans="1:6" ht="15.75" customHeight="1" x14ac:dyDescent="0.25">
      <c r="A5" s="115"/>
      <c r="B5" s="115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5" t="s">
        <v>207</v>
      </c>
      <c r="B6" s="115" t="s">
        <v>317</v>
      </c>
      <c r="C6" s="116">
        <v>0.61</v>
      </c>
      <c r="D6" s="116">
        <v>0.61</v>
      </c>
      <c r="E6" s="116">
        <v>0</v>
      </c>
      <c r="F6" s="116">
        <v>0</v>
      </c>
    </row>
    <row r="7" spans="1:6" ht="15.75" customHeight="1" x14ac:dyDescent="0.25">
      <c r="A7" s="115"/>
      <c r="B7" s="115" t="s">
        <v>316</v>
      </c>
      <c r="C7" s="116">
        <v>1</v>
      </c>
      <c r="D7" s="116">
        <v>1</v>
      </c>
      <c r="E7" s="116">
        <v>1</v>
      </c>
      <c r="F7" s="116">
        <v>1</v>
      </c>
    </row>
    <row r="8" spans="1:6" ht="15.75" customHeight="1" x14ac:dyDescent="0.25">
      <c r="A8" s="115" t="s">
        <v>208</v>
      </c>
      <c r="B8" s="115" t="s">
        <v>317</v>
      </c>
      <c r="C8" s="116">
        <v>0.61</v>
      </c>
      <c r="D8" s="116">
        <v>0.61</v>
      </c>
      <c r="E8" s="116">
        <v>0</v>
      </c>
      <c r="F8" s="116">
        <v>0</v>
      </c>
    </row>
    <row r="9" spans="1:6" ht="15.75" customHeight="1" x14ac:dyDescent="0.25">
      <c r="A9" s="115"/>
      <c r="B9" s="115" t="s">
        <v>316</v>
      </c>
      <c r="C9" s="116">
        <v>1</v>
      </c>
      <c r="D9" s="116">
        <v>1</v>
      </c>
      <c r="E9" s="116">
        <v>1</v>
      </c>
      <c r="F9" s="116">
        <v>1</v>
      </c>
    </row>
    <row r="10" spans="1:6" ht="15.75" customHeight="1" x14ac:dyDescent="0.25">
      <c r="A10" s="115" t="s">
        <v>209</v>
      </c>
      <c r="B10" s="115" t="s">
        <v>317</v>
      </c>
      <c r="C10" s="116">
        <v>0.35</v>
      </c>
      <c r="D10" s="116">
        <v>0.35</v>
      </c>
      <c r="E10" s="116">
        <v>0</v>
      </c>
      <c r="F10" s="116">
        <v>0</v>
      </c>
    </row>
    <row r="11" spans="1:6" ht="15.75" customHeight="1" x14ac:dyDescent="0.25">
      <c r="A11" s="115"/>
      <c r="B11" s="115" t="s">
        <v>316</v>
      </c>
      <c r="C11" s="116">
        <v>1</v>
      </c>
      <c r="D11" s="116">
        <v>1</v>
      </c>
      <c r="E11" s="116">
        <v>0</v>
      </c>
      <c r="F11" s="116">
        <v>0</v>
      </c>
    </row>
    <row r="12" spans="1:6" ht="15.75" customHeight="1" x14ac:dyDescent="0.25">
      <c r="A12" s="115" t="s">
        <v>214</v>
      </c>
      <c r="B12" s="115" t="s">
        <v>317</v>
      </c>
      <c r="C12" s="116">
        <v>0.35</v>
      </c>
      <c r="D12" s="116">
        <v>0.35</v>
      </c>
      <c r="E12" s="116">
        <v>0</v>
      </c>
      <c r="F12" s="116">
        <v>0</v>
      </c>
    </row>
    <row r="13" spans="1:6" ht="15.75" customHeight="1" x14ac:dyDescent="0.25">
      <c r="A13" s="115"/>
      <c r="B13" s="115" t="s">
        <v>316</v>
      </c>
      <c r="C13" s="116">
        <v>1</v>
      </c>
      <c r="D13" s="116">
        <v>1</v>
      </c>
      <c r="E13" s="116">
        <v>0</v>
      </c>
      <c r="F13" s="116">
        <v>0</v>
      </c>
    </row>
    <row r="14" spans="1:6" ht="15.75" customHeight="1" x14ac:dyDescent="0.25">
      <c r="A14" s="115" t="s">
        <v>220</v>
      </c>
      <c r="B14" s="115" t="s">
        <v>317</v>
      </c>
      <c r="C14" s="116">
        <f>1-0.9*0.39</f>
        <v>0.64900000000000002</v>
      </c>
      <c r="D14" s="116">
        <f>1-0.9*0.39</f>
        <v>0.64900000000000002</v>
      </c>
      <c r="E14" s="116">
        <v>0</v>
      </c>
      <c r="F14" s="116">
        <v>0</v>
      </c>
    </row>
    <row r="15" spans="1:6" ht="15.75" customHeight="1" x14ac:dyDescent="0.25">
      <c r="A15" s="115"/>
      <c r="B15" s="115" t="s">
        <v>316</v>
      </c>
      <c r="C15" s="116">
        <v>1</v>
      </c>
      <c r="D15" s="116">
        <v>1</v>
      </c>
      <c r="E15" s="116">
        <v>1</v>
      </c>
      <c r="F15" s="116">
        <v>1</v>
      </c>
    </row>
    <row r="17" spans="1:6" s="117" customFormat="1" ht="15.75" customHeight="1" x14ac:dyDescent="0.3">
      <c r="A17" s="117" t="s">
        <v>266</v>
      </c>
    </row>
    <row r="18" spans="1:6" ht="15.75" customHeight="1" x14ac:dyDescent="0.3">
      <c r="A18" s="105" t="s">
        <v>192</v>
      </c>
      <c r="B18" s="103"/>
      <c r="C18" s="103" t="s">
        <v>71</v>
      </c>
      <c r="D18" s="103" t="s">
        <v>78</v>
      </c>
      <c r="E18" s="103" t="s">
        <v>70</v>
      </c>
      <c r="F18" s="105" t="s">
        <v>77</v>
      </c>
    </row>
    <row r="19" spans="1:6" ht="15.75" customHeight="1" x14ac:dyDescent="0.25">
      <c r="A19" s="115" t="s">
        <v>194</v>
      </c>
      <c r="B19" s="115" t="s">
        <v>317</v>
      </c>
      <c r="C19" s="116">
        <f>1-0.94</f>
        <v>6.0000000000000053E-2</v>
      </c>
      <c r="D19" s="116">
        <f>1-0.94</f>
        <v>6.0000000000000053E-2</v>
      </c>
      <c r="E19" s="116">
        <f t="shared" ref="E19:F19" si="0">E2*0.9</f>
        <v>0</v>
      </c>
      <c r="F19" s="116">
        <f t="shared" si="0"/>
        <v>0</v>
      </c>
    </row>
    <row r="20" spans="1:6" ht="15.75" customHeight="1" x14ac:dyDescent="0.25">
      <c r="A20" s="115"/>
      <c r="B20" s="115" t="s">
        <v>316</v>
      </c>
      <c r="C20" s="116">
        <v>1</v>
      </c>
      <c r="D20" s="116">
        <v>1</v>
      </c>
      <c r="E20" s="116">
        <v>1</v>
      </c>
      <c r="F20" s="116">
        <v>1</v>
      </c>
    </row>
    <row r="21" spans="1:6" ht="15.75" customHeight="1" x14ac:dyDescent="0.25">
      <c r="A21" s="115" t="s">
        <v>195</v>
      </c>
      <c r="B21" s="115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5"/>
      <c r="B22" s="115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5" t="s">
        <v>207</v>
      </c>
      <c r="B23" s="115" t="s">
        <v>317</v>
      </c>
      <c r="C23" s="116">
        <f>1-0.86</f>
        <v>0.14000000000000001</v>
      </c>
      <c r="D23" s="116">
        <f>1-0.86</f>
        <v>0.14000000000000001</v>
      </c>
      <c r="E23" s="116">
        <f t="shared" ref="E23:F23" si="1">E6*0.9</f>
        <v>0</v>
      </c>
      <c r="F23" s="116">
        <f t="shared" si="1"/>
        <v>0</v>
      </c>
    </row>
    <row r="24" spans="1:6" ht="15.75" customHeight="1" x14ac:dyDescent="0.25">
      <c r="A24" s="115"/>
      <c r="B24" s="115" t="s">
        <v>316</v>
      </c>
      <c r="C24" s="116">
        <v>1</v>
      </c>
      <c r="D24" s="116">
        <v>1</v>
      </c>
      <c r="E24" s="116">
        <v>1</v>
      </c>
      <c r="F24" s="116">
        <v>1</v>
      </c>
    </row>
    <row r="25" spans="1:6" ht="15.75" customHeight="1" x14ac:dyDescent="0.25">
      <c r="A25" s="115" t="s">
        <v>208</v>
      </c>
      <c r="B25" s="115" t="s">
        <v>317</v>
      </c>
      <c r="C25" s="116">
        <f>1-0.86</f>
        <v>0.14000000000000001</v>
      </c>
      <c r="D25" s="116">
        <f>1-0.86</f>
        <v>0.14000000000000001</v>
      </c>
      <c r="E25" s="116">
        <f t="shared" ref="E25:F25" si="2">E8*0.9</f>
        <v>0</v>
      </c>
      <c r="F25" s="116">
        <f t="shared" si="2"/>
        <v>0</v>
      </c>
    </row>
    <row r="26" spans="1:6" ht="15.75" customHeight="1" x14ac:dyDescent="0.25">
      <c r="A26" s="115"/>
      <c r="B26" s="115" t="s">
        <v>316</v>
      </c>
      <c r="C26" s="116">
        <v>1</v>
      </c>
      <c r="D26" s="116">
        <v>1</v>
      </c>
      <c r="E26" s="116">
        <v>1</v>
      </c>
      <c r="F26" s="116">
        <v>1</v>
      </c>
    </row>
    <row r="27" spans="1:6" ht="15.75" customHeight="1" x14ac:dyDescent="0.25">
      <c r="A27" s="115" t="s">
        <v>209</v>
      </c>
      <c r="B27" s="115" t="s">
        <v>317</v>
      </c>
      <c r="C27" s="116">
        <f>1-0.77</f>
        <v>0.22999999999999998</v>
      </c>
      <c r="D27" s="116">
        <f>1-0.77</f>
        <v>0.22999999999999998</v>
      </c>
      <c r="E27" s="116">
        <f t="shared" ref="E27:F27" si="3">E12*0.9</f>
        <v>0</v>
      </c>
      <c r="F27" s="116">
        <f t="shared" si="3"/>
        <v>0</v>
      </c>
    </row>
    <row r="28" spans="1:6" ht="15.75" customHeight="1" x14ac:dyDescent="0.25">
      <c r="A28" s="115"/>
      <c r="B28" s="115" t="s">
        <v>316</v>
      </c>
      <c r="C28" s="116">
        <v>1</v>
      </c>
      <c r="D28" s="116">
        <v>1</v>
      </c>
      <c r="E28" s="116">
        <v>1</v>
      </c>
      <c r="F28" s="116">
        <v>1</v>
      </c>
    </row>
    <row r="29" spans="1:6" ht="15.75" customHeight="1" x14ac:dyDescent="0.25">
      <c r="A29" s="115" t="s">
        <v>214</v>
      </c>
      <c r="B29" s="115" t="s">
        <v>317</v>
      </c>
      <c r="C29" s="116">
        <f>1-0.77</f>
        <v>0.22999999999999998</v>
      </c>
      <c r="D29" s="116">
        <f>1-0.77</f>
        <v>0.22999999999999998</v>
      </c>
      <c r="E29" s="116">
        <f t="shared" ref="E29:F29" si="4">E12*0.9</f>
        <v>0</v>
      </c>
      <c r="F29" s="116">
        <f t="shared" si="4"/>
        <v>0</v>
      </c>
    </row>
    <row r="30" spans="1:6" ht="15.75" customHeight="1" x14ac:dyDescent="0.25">
      <c r="A30" s="115"/>
      <c r="B30" s="115" t="s">
        <v>316</v>
      </c>
      <c r="C30" s="116">
        <v>1</v>
      </c>
      <c r="D30" s="116">
        <v>1</v>
      </c>
      <c r="E30" s="116">
        <v>1</v>
      </c>
      <c r="F30" s="116">
        <v>1</v>
      </c>
    </row>
    <row r="31" spans="1:6" ht="15.75" customHeight="1" x14ac:dyDescent="0.25">
      <c r="A31" s="115" t="s">
        <v>220</v>
      </c>
      <c r="B31" s="115" t="s">
        <v>317</v>
      </c>
      <c r="C31" s="116">
        <f>1-0.96*0.86</f>
        <v>0.1744</v>
      </c>
      <c r="D31" s="116">
        <f>1-0.96*0.86</f>
        <v>0.1744</v>
      </c>
      <c r="E31" s="116">
        <f t="shared" ref="E31:F31" si="5">E14*0.9</f>
        <v>0</v>
      </c>
      <c r="F31" s="116">
        <f t="shared" si="5"/>
        <v>0</v>
      </c>
    </row>
    <row r="32" spans="1:6" ht="15.75" customHeight="1" x14ac:dyDescent="0.25">
      <c r="A32" s="115"/>
      <c r="B32" s="115" t="s">
        <v>316</v>
      </c>
      <c r="C32" s="116">
        <v>1</v>
      </c>
      <c r="D32" s="116">
        <v>1</v>
      </c>
      <c r="E32" s="116">
        <v>1</v>
      </c>
      <c r="F32" s="116">
        <v>1</v>
      </c>
    </row>
    <row r="34" spans="1:6" s="117" customFormat="1" ht="15.75" customHeight="1" x14ac:dyDescent="0.3">
      <c r="A34" s="117" t="s">
        <v>276</v>
      </c>
    </row>
    <row r="35" spans="1:6" ht="15.75" customHeight="1" x14ac:dyDescent="0.3">
      <c r="A35" s="105" t="s">
        <v>192</v>
      </c>
      <c r="B35" s="103"/>
      <c r="C35" s="103" t="s">
        <v>71</v>
      </c>
      <c r="D35" s="103" t="s">
        <v>78</v>
      </c>
      <c r="E35" s="103" t="s">
        <v>70</v>
      </c>
      <c r="F35" s="105" t="s">
        <v>77</v>
      </c>
    </row>
    <row r="36" spans="1:6" ht="15.75" customHeight="1" x14ac:dyDescent="0.25">
      <c r="A36" s="115" t="s">
        <v>194</v>
      </c>
      <c r="B36" s="115" t="s">
        <v>317</v>
      </c>
      <c r="C36" s="116">
        <f>1-0.54</f>
        <v>0.45999999999999996</v>
      </c>
      <c r="D36" s="116">
        <f>1-0.54</f>
        <v>0.45999999999999996</v>
      </c>
      <c r="E36" s="116">
        <f t="shared" ref="E36:F36" si="6">E2*1.1</f>
        <v>0</v>
      </c>
      <c r="F36" s="116">
        <f t="shared" si="6"/>
        <v>0</v>
      </c>
    </row>
    <row r="37" spans="1:6" ht="15.75" customHeight="1" x14ac:dyDescent="0.25">
      <c r="A37" s="115"/>
      <c r="B37" s="115" t="s">
        <v>316</v>
      </c>
      <c r="C37" s="116">
        <v>1</v>
      </c>
      <c r="D37" s="116">
        <v>1</v>
      </c>
      <c r="E37" s="116">
        <v>1</v>
      </c>
      <c r="F37" s="116">
        <v>1</v>
      </c>
    </row>
    <row r="38" spans="1:6" ht="15.75" customHeight="1" x14ac:dyDescent="0.25">
      <c r="A38" s="115" t="s">
        <v>195</v>
      </c>
      <c r="B38" s="115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5"/>
      <c r="B39" s="115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5" t="s">
        <v>207</v>
      </c>
      <c r="B40" s="115" t="s">
        <v>317</v>
      </c>
      <c r="C40" s="116">
        <f>1-0.17</f>
        <v>0.83</v>
      </c>
      <c r="D40" s="116">
        <f>1-0.17</f>
        <v>0.83</v>
      </c>
      <c r="E40" s="116">
        <f t="shared" ref="E40:F40" si="7">E6*1.1</f>
        <v>0</v>
      </c>
      <c r="F40" s="116">
        <f t="shared" si="7"/>
        <v>0</v>
      </c>
    </row>
    <row r="41" spans="1:6" ht="15.75" customHeight="1" x14ac:dyDescent="0.25">
      <c r="A41" s="115"/>
      <c r="B41" s="115" t="s">
        <v>316</v>
      </c>
      <c r="C41" s="116">
        <v>1</v>
      </c>
      <c r="D41" s="116">
        <v>1</v>
      </c>
      <c r="E41" s="116">
        <v>1</v>
      </c>
      <c r="F41" s="116">
        <v>1</v>
      </c>
    </row>
    <row r="42" spans="1:6" ht="15.75" customHeight="1" x14ac:dyDescent="0.25">
      <c r="A42" s="115" t="s">
        <v>208</v>
      </c>
      <c r="B42" s="115" t="s">
        <v>317</v>
      </c>
      <c r="C42" s="116">
        <f>1-0.17</f>
        <v>0.83</v>
      </c>
      <c r="D42" s="116">
        <f>1-0.17</f>
        <v>0.83</v>
      </c>
      <c r="E42" s="116">
        <f t="shared" ref="E42:F42" si="8">E8*1.1</f>
        <v>0</v>
      </c>
      <c r="F42" s="116">
        <f t="shared" si="8"/>
        <v>0</v>
      </c>
    </row>
    <row r="43" spans="1:6" ht="15.75" customHeight="1" x14ac:dyDescent="0.25">
      <c r="A43" s="115"/>
      <c r="B43" s="115" t="s">
        <v>316</v>
      </c>
      <c r="C43" s="116">
        <v>1</v>
      </c>
      <c r="D43" s="116">
        <v>1</v>
      </c>
      <c r="E43" s="116">
        <v>1</v>
      </c>
      <c r="F43" s="116">
        <v>1</v>
      </c>
    </row>
    <row r="44" spans="1:6" ht="15.75" customHeight="1" x14ac:dyDescent="0.25">
      <c r="A44" s="115" t="s">
        <v>209</v>
      </c>
      <c r="B44" s="115" t="s">
        <v>317</v>
      </c>
      <c r="C44" s="116">
        <f>1-0.55</f>
        <v>0.44999999999999996</v>
      </c>
      <c r="D44" s="116">
        <f>1-0.55</f>
        <v>0.44999999999999996</v>
      </c>
      <c r="E44" s="116">
        <f t="shared" ref="E44:F44" si="9">E10*1.1</f>
        <v>0</v>
      </c>
      <c r="F44" s="116">
        <f t="shared" si="9"/>
        <v>0</v>
      </c>
    </row>
    <row r="45" spans="1:6" ht="15.75" customHeight="1" x14ac:dyDescent="0.25">
      <c r="A45" s="115"/>
      <c r="B45" s="115" t="s">
        <v>316</v>
      </c>
      <c r="C45" s="116">
        <v>1</v>
      </c>
      <c r="D45" s="116">
        <v>1</v>
      </c>
      <c r="E45" s="116">
        <v>1</v>
      </c>
      <c r="F45" s="116">
        <v>1</v>
      </c>
    </row>
    <row r="46" spans="1:6" ht="15.75" customHeight="1" x14ac:dyDescent="0.25">
      <c r="A46" s="115" t="s">
        <v>214</v>
      </c>
      <c r="B46" s="115" t="s">
        <v>317</v>
      </c>
      <c r="C46" s="116">
        <f>1-0.55</f>
        <v>0.44999999999999996</v>
      </c>
      <c r="D46" s="116">
        <f>1-0.55</f>
        <v>0.44999999999999996</v>
      </c>
      <c r="E46" s="116">
        <f t="shared" ref="E46:F46" si="10">E12*1.1</f>
        <v>0</v>
      </c>
      <c r="F46" s="116">
        <f t="shared" si="10"/>
        <v>0</v>
      </c>
    </row>
    <row r="47" spans="1:6" ht="15.75" customHeight="1" x14ac:dyDescent="0.25">
      <c r="A47" s="115"/>
      <c r="B47" s="115" t="s">
        <v>316</v>
      </c>
      <c r="C47" s="116">
        <v>1</v>
      </c>
      <c r="D47" s="116">
        <v>1</v>
      </c>
      <c r="E47" s="116">
        <v>1</v>
      </c>
      <c r="F47" s="116">
        <v>1</v>
      </c>
    </row>
    <row r="48" spans="1:6" ht="15.75" customHeight="1" x14ac:dyDescent="0.25">
      <c r="A48" s="115" t="s">
        <v>220</v>
      </c>
      <c r="B48" s="115" t="s">
        <v>317</v>
      </c>
      <c r="C48" s="116">
        <f>1-0.84*0.17</f>
        <v>0.85719999999999996</v>
      </c>
      <c r="D48" s="116">
        <f>1-0.84*0.17</f>
        <v>0.85719999999999996</v>
      </c>
      <c r="E48" s="116">
        <f t="shared" ref="E48:F48" si="11">E14*1.1</f>
        <v>0</v>
      </c>
      <c r="F48" s="116">
        <f t="shared" si="11"/>
        <v>0</v>
      </c>
    </row>
    <row r="49" spans="1:6" ht="15.75" customHeight="1" x14ac:dyDescent="0.25">
      <c r="A49" s="115"/>
      <c r="B49" s="115" t="s">
        <v>316</v>
      </c>
      <c r="C49" s="116">
        <v>1</v>
      </c>
      <c r="D49" s="116">
        <v>1</v>
      </c>
      <c r="E49" s="116">
        <v>1</v>
      </c>
      <c r="F49" s="116">
        <v>1</v>
      </c>
    </row>
  </sheetData>
  <sheetProtection algorithmName="SHA-512" hashValue="CieE0FU6Ci2HKQp/ptxARPmGpheXDpjj3u3+KNL8PHwLDfRhGVZmzBDyKGTc3x0sqJOl63MrY1XrfBX3xpxPfA==" saltValue="AS60ZiEV17wORZDgf0lhe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b7TTgOyfceFOsFlCRY1XWclZDnC0o3a4jPFclYNFKR4ByofzWJLH2IgiUrVGNEiwYBvgINbTJ79VetLSts0Cw==" saltValue="gJZLimcDEjp7HRztopnPm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RnCQKrjq2dGo5K+GF+bc7l4fx9uMzMOIy5buk9o0s/SY0x/rPOTwT1bSfFKJJskWjR7kvgaLymacA5mV2n8TbA==" saltValue="ly4XwVrrjDf8T0xWIQEi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1" t="s">
        <v>213</v>
      </c>
      <c r="C11" s="102">
        <v>1</v>
      </c>
      <c r="D11" s="102">
        <v>1</v>
      </c>
      <c r="E11" s="102">
        <v>1</v>
      </c>
      <c r="F11" s="102">
        <v>1</v>
      </c>
      <c r="G11" s="102">
        <v>1</v>
      </c>
      <c r="H11" s="102">
        <v>1</v>
      </c>
      <c r="I11" s="102">
        <v>1</v>
      </c>
      <c r="J11" s="102">
        <v>1</v>
      </c>
      <c r="K11" s="102">
        <v>1</v>
      </c>
      <c r="L11" s="102">
        <v>1</v>
      </c>
      <c r="M11" s="102">
        <v>1</v>
      </c>
      <c r="N11" s="102">
        <v>1</v>
      </c>
      <c r="O11" s="102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P4iaqem4mOsFIZoffbTmcRTUkeILLbLKoRCYPKu/+uBXMPHNMplzXRKoBzLvOnP41PpwcSc3zaA6ubpnMRRnoA==" saltValue="9dSRAI4sUSku5Z9jm6GF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iGSI/Q5Zx8mtc6MCCmcwb8iNPn5qGxZ9Sf30xi4RI8RGVRNlSg6Xb6wnt9IsAQYdNrUqeb36rV3+Qstiw910sw==" saltValue="nCsm34R0UFi0D6YJhRbHr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9"/>
  <sheetViews>
    <sheetView zoomScale="70" zoomScaleNormal="70" workbookViewId="0">
      <selection activeCell="D2" sqref="D2"/>
    </sheetView>
  </sheetViews>
  <sheetFormatPr defaultColWidth="12.7265625" defaultRowHeight="12.5" x14ac:dyDescent="0.25"/>
  <cols>
    <col min="1" max="1" width="53" style="113" customWidth="1"/>
    <col min="2" max="2" width="30.54296875" style="113" customWidth="1"/>
    <col min="3" max="3" width="24.7265625" style="113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6384" width="12.7265625" style="104"/>
  </cols>
  <sheetData>
    <row r="1" spans="1:8" ht="13" x14ac:dyDescent="0.3">
      <c r="A1" s="103" t="s">
        <v>192</v>
      </c>
      <c r="B1" s="103" t="s">
        <v>371</v>
      </c>
      <c r="C1" s="120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113" t="s">
        <v>225</v>
      </c>
      <c r="B2" s="113" t="s">
        <v>103</v>
      </c>
      <c r="C2" s="113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113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113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113" t="s">
        <v>222</v>
      </c>
      <c r="B5" s="113" t="s">
        <v>236</v>
      </c>
      <c r="C5" s="113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113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113" t="s">
        <v>6</v>
      </c>
      <c r="C7" s="113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113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113" t="s">
        <v>213</v>
      </c>
      <c r="B9" s="113" t="s">
        <v>236</v>
      </c>
      <c r="C9" s="113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113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113" t="s">
        <v>6</v>
      </c>
      <c r="C11" s="113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113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113" t="s">
        <v>233</v>
      </c>
      <c r="B13" s="113" t="s">
        <v>236</v>
      </c>
      <c r="C13" s="113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113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113" t="s">
        <v>6</v>
      </c>
      <c r="C15" s="113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113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B17" s="113" t="s">
        <v>372</v>
      </c>
      <c r="C17" s="113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0</v>
      </c>
    </row>
    <row r="18" spans="1:8" x14ac:dyDescent="0.25">
      <c r="C18" s="113" t="s">
        <v>370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A19" s="113" t="s">
        <v>196</v>
      </c>
      <c r="B19" s="113" t="s">
        <v>236</v>
      </c>
      <c r="C19" s="113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113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B21" s="113" t="s">
        <v>6</v>
      </c>
      <c r="C21" s="113" t="s">
        <v>368</v>
      </c>
      <c r="D21" s="90">
        <v>0</v>
      </c>
      <c r="E21" s="90">
        <v>0</v>
      </c>
      <c r="F21" s="90">
        <v>1</v>
      </c>
      <c r="G21" s="90">
        <v>1</v>
      </c>
      <c r="H21" s="90">
        <v>1</v>
      </c>
    </row>
    <row r="22" spans="1:8" x14ac:dyDescent="0.25">
      <c r="C22" s="113" t="s">
        <v>369</v>
      </c>
      <c r="D22" s="90">
        <v>0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113" t="s">
        <v>202</v>
      </c>
      <c r="B23" s="113" t="s">
        <v>111</v>
      </c>
      <c r="C23" s="113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113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113" t="s">
        <v>200</v>
      </c>
      <c r="B25" s="113" t="s">
        <v>111</v>
      </c>
      <c r="C25" s="113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113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113" t="s">
        <v>201</v>
      </c>
      <c r="B27" s="113" t="s">
        <v>111</v>
      </c>
      <c r="C27" s="113" t="s">
        <v>368</v>
      </c>
      <c r="D27" s="90">
        <v>1</v>
      </c>
      <c r="E27" s="90">
        <v>0</v>
      </c>
      <c r="F27" s="90">
        <v>0</v>
      </c>
      <c r="G27" s="90">
        <v>0</v>
      </c>
      <c r="H27" s="90">
        <v>0</v>
      </c>
    </row>
    <row r="28" spans="1:8" x14ac:dyDescent="0.25">
      <c r="C28" s="113" t="s">
        <v>370</v>
      </c>
      <c r="D28" s="90">
        <v>0.13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A29" s="113" t="s">
        <v>229</v>
      </c>
      <c r="B29" s="113" t="s">
        <v>103</v>
      </c>
      <c r="C29" s="113" t="s">
        <v>368</v>
      </c>
      <c r="D29" s="90">
        <v>1</v>
      </c>
      <c r="E29" s="90">
        <v>1</v>
      </c>
      <c r="F29" s="90">
        <v>1</v>
      </c>
      <c r="G29" s="90">
        <v>1</v>
      </c>
      <c r="H29" s="90">
        <v>1</v>
      </c>
    </row>
    <row r="30" spans="1:8" x14ac:dyDescent="0.25">
      <c r="C30" s="113" t="s">
        <v>370</v>
      </c>
      <c r="D30" s="90">
        <v>0.3</v>
      </c>
      <c r="E30" s="90">
        <v>0.3</v>
      </c>
      <c r="F30" s="90">
        <v>0.3</v>
      </c>
      <c r="G30" s="90">
        <v>0.3</v>
      </c>
      <c r="H30" s="90">
        <v>0.3</v>
      </c>
    </row>
    <row r="31" spans="1:8" x14ac:dyDescent="0.25">
      <c r="C31" s="113" t="s">
        <v>369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A32" s="113" t="s">
        <v>230</v>
      </c>
      <c r="B32" s="113" t="s">
        <v>103</v>
      </c>
      <c r="C32" s="113" t="s">
        <v>368</v>
      </c>
      <c r="D32" s="90">
        <v>1</v>
      </c>
      <c r="E32" s="90">
        <v>1</v>
      </c>
      <c r="F32" s="90">
        <v>1</v>
      </c>
      <c r="G32" s="90">
        <v>1</v>
      </c>
      <c r="H32" s="90">
        <v>1</v>
      </c>
    </row>
    <row r="33" spans="1:8" x14ac:dyDescent="0.25">
      <c r="C33" s="113" t="s">
        <v>370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</row>
    <row r="34" spans="1:8" x14ac:dyDescent="0.25">
      <c r="C34" s="113" t="s">
        <v>369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A35" s="113" t="s">
        <v>228</v>
      </c>
      <c r="B35" s="113" t="s">
        <v>103</v>
      </c>
      <c r="C35" s="113" t="s">
        <v>368</v>
      </c>
      <c r="D35" s="90">
        <v>1</v>
      </c>
      <c r="E35" s="90">
        <v>1</v>
      </c>
      <c r="F35" s="90">
        <v>1</v>
      </c>
      <c r="G35" s="90">
        <v>1</v>
      </c>
      <c r="H35" s="90">
        <v>1</v>
      </c>
    </row>
    <row r="36" spans="1:8" x14ac:dyDescent="0.25">
      <c r="C36" s="113" t="s">
        <v>370</v>
      </c>
      <c r="D36" s="90">
        <v>0</v>
      </c>
      <c r="E36" s="90">
        <v>0</v>
      </c>
      <c r="F36" s="90">
        <v>0</v>
      </c>
      <c r="G36" s="90">
        <v>0</v>
      </c>
      <c r="H36" s="90">
        <v>0</v>
      </c>
    </row>
    <row r="37" spans="1:8" x14ac:dyDescent="0.25">
      <c r="C37" s="113" t="s">
        <v>369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A38" s="113" t="s">
        <v>227</v>
      </c>
      <c r="B38" s="113" t="s">
        <v>103</v>
      </c>
      <c r="C38" s="113" t="s">
        <v>368</v>
      </c>
      <c r="D38" s="90">
        <v>1</v>
      </c>
      <c r="E38" s="90">
        <v>1</v>
      </c>
      <c r="F38" s="90">
        <v>1</v>
      </c>
      <c r="G38" s="90">
        <v>1</v>
      </c>
      <c r="H38" s="90">
        <v>1</v>
      </c>
    </row>
    <row r="39" spans="1:8" x14ac:dyDescent="0.25">
      <c r="C39" s="113" t="s">
        <v>370</v>
      </c>
      <c r="D39" s="90">
        <v>0</v>
      </c>
      <c r="E39" s="90">
        <v>0</v>
      </c>
      <c r="F39" s="90">
        <v>0</v>
      </c>
      <c r="G39" s="90">
        <v>0</v>
      </c>
      <c r="H39" s="90">
        <v>0</v>
      </c>
    </row>
    <row r="40" spans="1:8" x14ac:dyDescent="0.25">
      <c r="C40" s="113" t="s">
        <v>369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A41" s="113" t="s">
        <v>226</v>
      </c>
      <c r="B41" s="113" t="s">
        <v>103</v>
      </c>
      <c r="C41" s="113" t="s">
        <v>368</v>
      </c>
      <c r="D41" s="90">
        <v>1</v>
      </c>
      <c r="E41" s="90">
        <v>1</v>
      </c>
      <c r="F41" s="90">
        <v>1</v>
      </c>
      <c r="G41" s="90">
        <v>1</v>
      </c>
      <c r="H41" s="90">
        <v>1</v>
      </c>
    </row>
    <row r="42" spans="1:8" x14ac:dyDescent="0.25">
      <c r="C42" s="113" t="s">
        <v>370</v>
      </c>
      <c r="D42" s="90">
        <v>0</v>
      </c>
      <c r="E42" s="90">
        <v>0</v>
      </c>
      <c r="F42" s="90">
        <v>0</v>
      </c>
      <c r="G42" s="90">
        <v>0</v>
      </c>
      <c r="H42" s="90">
        <v>0</v>
      </c>
    </row>
    <row r="43" spans="1:8" x14ac:dyDescent="0.25">
      <c r="C43" s="113" t="s">
        <v>369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A44" s="113" t="s">
        <v>232</v>
      </c>
      <c r="B44" s="113" t="s">
        <v>103</v>
      </c>
      <c r="C44" s="113" t="s">
        <v>368</v>
      </c>
      <c r="D44" s="90">
        <v>0</v>
      </c>
      <c r="E44" s="90">
        <v>1</v>
      </c>
      <c r="F44" s="90">
        <v>1</v>
      </c>
      <c r="G44" s="90">
        <v>1</v>
      </c>
      <c r="H44" s="90">
        <v>1</v>
      </c>
    </row>
    <row r="45" spans="1:8" x14ac:dyDescent="0.25">
      <c r="C45" s="113" t="s">
        <v>370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</row>
    <row r="46" spans="1:8" x14ac:dyDescent="0.25">
      <c r="C46" s="113" t="s">
        <v>369</v>
      </c>
      <c r="D46" s="90">
        <v>0.09</v>
      </c>
      <c r="E46" s="90">
        <v>0.09</v>
      </c>
      <c r="F46" s="90">
        <v>0.09</v>
      </c>
      <c r="G46" s="90">
        <v>0.09</v>
      </c>
      <c r="H46" s="90">
        <v>0.09</v>
      </c>
    </row>
    <row r="47" spans="1:8" x14ac:dyDescent="0.25">
      <c r="B47" s="113" t="s">
        <v>121</v>
      </c>
      <c r="C47" s="113" t="s">
        <v>368</v>
      </c>
      <c r="D47" s="90">
        <v>0</v>
      </c>
      <c r="E47" s="90">
        <v>1</v>
      </c>
      <c r="F47" s="90">
        <v>1</v>
      </c>
      <c r="G47" s="90">
        <v>1</v>
      </c>
      <c r="H47" s="90">
        <v>1</v>
      </c>
    </row>
    <row r="48" spans="1:8" x14ac:dyDescent="0.25">
      <c r="C48" s="113" t="s">
        <v>370</v>
      </c>
      <c r="D48" s="90">
        <v>0</v>
      </c>
      <c r="E48" s="90">
        <v>0</v>
      </c>
      <c r="F48" s="90">
        <v>0</v>
      </c>
      <c r="G48" s="90">
        <v>0</v>
      </c>
      <c r="H48" s="90">
        <v>0</v>
      </c>
    </row>
    <row r="49" spans="1:8" x14ac:dyDescent="0.25">
      <c r="C49" s="113" t="s">
        <v>369</v>
      </c>
      <c r="D49" s="90">
        <v>0</v>
      </c>
      <c r="E49" s="90">
        <v>0</v>
      </c>
      <c r="F49" s="90">
        <v>0</v>
      </c>
      <c r="G49" s="90">
        <v>0</v>
      </c>
      <c r="H49" s="90">
        <v>0</v>
      </c>
    </row>
    <row r="50" spans="1:8" x14ac:dyDescent="0.25">
      <c r="A50" s="113" t="s">
        <v>221</v>
      </c>
      <c r="B50" s="113" t="s">
        <v>103</v>
      </c>
      <c r="C50" s="113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113" t="s">
        <v>370</v>
      </c>
      <c r="D51" s="90">
        <v>0.69</v>
      </c>
      <c r="E51" s="90">
        <v>0.69</v>
      </c>
      <c r="F51" s="90">
        <v>0.69</v>
      </c>
      <c r="G51" s="90">
        <v>0.69</v>
      </c>
      <c r="H51" s="90">
        <v>0.69</v>
      </c>
    </row>
    <row r="52" spans="1:8" x14ac:dyDescent="0.25">
      <c r="A52" s="113" t="s">
        <v>231</v>
      </c>
      <c r="B52" s="113" t="s">
        <v>103</v>
      </c>
      <c r="C52" s="113" t="s">
        <v>368</v>
      </c>
      <c r="D52" s="90">
        <v>1</v>
      </c>
      <c r="E52" s="90">
        <v>1</v>
      </c>
      <c r="F52" s="90">
        <v>1</v>
      </c>
      <c r="G52" s="90">
        <v>1</v>
      </c>
      <c r="H52" s="90">
        <v>1</v>
      </c>
    </row>
    <row r="53" spans="1:8" x14ac:dyDescent="0.25">
      <c r="C53" s="113" t="s">
        <v>370</v>
      </c>
      <c r="D53" s="90">
        <v>0.76</v>
      </c>
      <c r="E53" s="90">
        <v>0.76</v>
      </c>
      <c r="F53" s="90">
        <v>0.76</v>
      </c>
      <c r="G53" s="90">
        <v>0.76</v>
      </c>
      <c r="H53" s="90">
        <v>0.76</v>
      </c>
    </row>
    <row r="54" spans="1:8" x14ac:dyDescent="0.25">
      <c r="A54" s="113" t="s">
        <v>211</v>
      </c>
      <c r="B54" s="113" t="s">
        <v>115</v>
      </c>
      <c r="C54" s="113" t="s">
        <v>368</v>
      </c>
      <c r="D54" s="90">
        <v>1</v>
      </c>
      <c r="E54" s="90">
        <v>0</v>
      </c>
      <c r="F54" s="90">
        <v>0</v>
      </c>
      <c r="G54" s="90">
        <v>0</v>
      </c>
      <c r="H54" s="90">
        <v>0</v>
      </c>
    </row>
    <row r="55" spans="1:8" x14ac:dyDescent="0.25">
      <c r="C55" s="113" t="s">
        <v>370</v>
      </c>
      <c r="D55" s="90">
        <v>0.32</v>
      </c>
      <c r="E55" s="90">
        <v>0</v>
      </c>
      <c r="F55" s="90">
        <v>0</v>
      </c>
      <c r="G55" s="90">
        <v>0</v>
      </c>
      <c r="H55" s="90">
        <v>0</v>
      </c>
    </row>
    <row r="57" spans="1:8" s="125" customFormat="1" ht="13" x14ac:dyDescent="0.3">
      <c r="A57" s="123" t="s">
        <v>360</v>
      </c>
      <c r="B57" s="124"/>
      <c r="C57" s="124"/>
      <c r="D57" s="93"/>
      <c r="E57" s="93"/>
      <c r="F57" s="93"/>
      <c r="G57" s="93"/>
      <c r="H57" s="93"/>
    </row>
    <row r="58" spans="1:8" ht="13" x14ac:dyDescent="0.3">
      <c r="A58" s="103" t="s">
        <v>192</v>
      </c>
      <c r="B58" s="103" t="s">
        <v>371</v>
      </c>
      <c r="C58" s="120" t="s">
        <v>9</v>
      </c>
      <c r="D58" s="4" t="s">
        <v>97</v>
      </c>
      <c r="E58" s="4" t="s">
        <v>93</v>
      </c>
      <c r="F58" s="4" t="s">
        <v>96</v>
      </c>
      <c r="G58" s="4" t="s">
        <v>94</v>
      </c>
      <c r="H58" s="4" t="s">
        <v>95</v>
      </c>
    </row>
    <row r="59" spans="1:8" x14ac:dyDescent="0.25">
      <c r="A59" s="113" t="s">
        <v>225</v>
      </c>
      <c r="B59" s="113" t="s">
        <v>103</v>
      </c>
      <c r="C59" s="113" t="s">
        <v>368</v>
      </c>
      <c r="D59" s="90">
        <f>IF($C2="Affected fraction",D2,IF(D2=1,1,D2*0.9))</f>
        <v>0</v>
      </c>
      <c r="E59" s="90">
        <f>IF($C2="Affected fraction",E2,IF(E2=1,1,E2*0.9))</f>
        <v>0</v>
      </c>
      <c r="F59" s="90">
        <f>IF($C2="Affected fraction",F2,IF(F2=1,1,F2*0.9))</f>
        <v>1</v>
      </c>
      <c r="G59" s="90">
        <f>IF($C2="Affected fraction",G2,IF(G2=1,1,G2*0.9))</f>
        <v>1</v>
      </c>
      <c r="H59" s="90">
        <f>IF($C2="Affected fraction",H2,IF(H2=1,1,H2*0.9))</f>
        <v>1</v>
      </c>
    </row>
    <row r="60" spans="1:8" x14ac:dyDescent="0.25">
      <c r="C60" s="113" t="s">
        <v>370</v>
      </c>
      <c r="D60" s="90">
        <f>IF($C3="Affected fraction",D3,IF(D3=1,1,D3*0.9))</f>
        <v>0</v>
      </c>
      <c r="E60" s="90">
        <f>IF($C3="Affected fraction",E3,IF(E3=1,1,E3*0.9))</f>
        <v>0</v>
      </c>
      <c r="F60" s="90">
        <v>0.02</v>
      </c>
      <c r="G60" s="90">
        <v>0.02</v>
      </c>
      <c r="H60" s="90">
        <v>0.02</v>
      </c>
    </row>
    <row r="61" spans="1:8" x14ac:dyDescent="0.25">
      <c r="C61" s="113" t="s">
        <v>369</v>
      </c>
      <c r="D61" s="90">
        <f>IF($C4="Affected fraction",D4,IF(D4=1,1,D4*0.9))</f>
        <v>0</v>
      </c>
      <c r="E61" s="90">
        <f>IF($C4="Affected fraction",E4,IF(E4=1,1,E4*0.9))</f>
        <v>0</v>
      </c>
      <c r="F61" s="90">
        <v>0.13</v>
      </c>
      <c r="G61" s="90">
        <v>0.13</v>
      </c>
      <c r="H61" s="90">
        <v>0.13</v>
      </c>
    </row>
    <row r="62" spans="1:8" x14ac:dyDescent="0.25">
      <c r="A62" s="113" t="s">
        <v>222</v>
      </c>
      <c r="B62" s="113" t="s">
        <v>236</v>
      </c>
      <c r="C62" s="113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113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B64" s="113" t="s">
        <v>6</v>
      </c>
      <c r="C64" s="113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113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A66" s="113" t="s">
        <v>213</v>
      </c>
      <c r="B66" s="113" t="s">
        <v>236</v>
      </c>
      <c r="C66" s="113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113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B68" s="113" t="s">
        <v>6</v>
      </c>
      <c r="C68" s="113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113" t="s">
        <v>369</v>
      </c>
      <c r="D69" s="90">
        <v>0</v>
      </c>
      <c r="E69" s="90">
        <v>0</v>
      </c>
      <c r="F69" s="90">
        <v>0</v>
      </c>
      <c r="G69" s="90">
        <v>0</v>
      </c>
      <c r="H69" s="90">
        <v>0</v>
      </c>
    </row>
    <row r="70" spans="1:8" x14ac:dyDescent="0.25">
      <c r="A70" s="113" t="s">
        <v>233</v>
      </c>
      <c r="B70" s="113" t="s">
        <v>236</v>
      </c>
      <c r="C70" s="113" t="s">
        <v>368</v>
      </c>
      <c r="D70" s="90">
        <v>0</v>
      </c>
      <c r="E70" s="90">
        <v>0</v>
      </c>
      <c r="F70" s="90">
        <v>1</v>
      </c>
      <c r="G70" s="90">
        <v>1</v>
      </c>
      <c r="H70" s="90">
        <v>0</v>
      </c>
    </row>
    <row r="71" spans="1:8" x14ac:dyDescent="0.25">
      <c r="C71" s="113" t="s">
        <v>369</v>
      </c>
      <c r="D71" s="90">
        <f t="shared" ref="D71:E73" si="0">IF($C14="Affected fraction",D14,IF(D14=1,1,D14*0.9))</f>
        <v>0</v>
      </c>
      <c r="E71" s="90">
        <f t="shared" si="0"/>
        <v>0</v>
      </c>
      <c r="F71" s="90">
        <v>0.14000000000000001</v>
      </c>
      <c r="G71" s="90">
        <v>0.14000000000000001</v>
      </c>
      <c r="H71" s="90">
        <f>IF($C14="Affected fraction",H14,IF(H14=1,1,H14*0.9))</f>
        <v>0</v>
      </c>
    </row>
    <row r="72" spans="1:8" x14ac:dyDescent="0.25">
      <c r="B72" s="113" t="s">
        <v>6</v>
      </c>
      <c r="C72" s="113" t="s">
        <v>368</v>
      </c>
      <c r="D72" s="90">
        <f t="shared" si="0"/>
        <v>0</v>
      </c>
      <c r="E72" s="90">
        <f t="shared" si="0"/>
        <v>0</v>
      </c>
      <c r="F72" s="90">
        <f>IF($C15="Affected fraction",F15,IF(F15=1,1,F15*0.9))</f>
        <v>1</v>
      </c>
      <c r="G72" s="90">
        <f>IF($C15="Affected fraction",G15,IF(G15=1,1,G15*0.9))</f>
        <v>1</v>
      </c>
      <c r="H72" s="90">
        <f>IF($C15="Affected fraction",H15,IF(H15=1,1,H15*0.9))</f>
        <v>0</v>
      </c>
    </row>
    <row r="73" spans="1:8" x14ac:dyDescent="0.25">
      <c r="C73" s="113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f>IF($C16="Affected fraction",H16,IF(H16=1,1,H16*0.9))</f>
        <v>0</v>
      </c>
    </row>
    <row r="74" spans="1:8" x14ac:dyDescent="0.25">
      <c r="B74" s="113" t="s">
        <v>372</v>
      </c>
      <c r="C74" s="113" t="s">
        <v>368</v>
      </c>
      <c r="D74" s="90">
        <v>0</v>
      </c>
      <c r="E74" s="90">
        <v>0</v>
      </c>
      <c r="F74" s="90">
        <v>1</v>
      </c>
      <c r="G74" s="90">
        <v>1</v>
      </c>
      <c r="H74" s="90">
        <v>0</v>
      </c>
    </row>
    <row r="75" spans="1:8" x14ac:dyDescent="0.25">
      <c r="C75" s="113" t="s">
        <v>370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</row>
    <row r="76" spans="1:8" x14ac:dyDescent="0.25">
      <c r="A76" s="113" t="s">
        <v>196</v>
      </c>
      <c r="B76" s="113" t="s">
        <v>236</v>
      </c>
      <c r="C76" s="113" t="s">
        <v>368</v>
      </c>
      <c r="D76" s="90">
        <f>IF($C19="Affected fraction",D19,IF(D19=1,1,D19*0.9))</f>
        <v>0</v>
      </c>
      <c r="E76" s="90">
        <f>IF($C19="Affected fraction",E19,IF(E19=1,1,E19*0.9))</f>
        <v>0</v>
      </c>
      <c r="F76" s="90">
        <f>IF($C19="Affected fraction",F19,IF(F19=1,1,F19*0.9))</f>
        <v>1</v>
      </c>
      <c r="G76" s="90">
        <f>IF($C19="Affected fraction",G19,IF(G19=1,1,G19*0.9))</f>
        <v>1</v>
      </c>
      <c r="H76" s="90">
        <f>IF($C19="Affected fraction",H19,IF(H19=1,1,H19*0.9))</f>
        <v>1</v>
      </c>
    </row>
    <row r="77" spans="1:8" x14ac:dyDescent="0.25">
      <c r="C77" s="113" t="s">
        <v>369</v>
      </c>
      <c r="D77" s="90">
        <f t="shared" ref="D77:H85" si="1">IF($C20="Affected fraction",D20,IF(D20=1,1,D20*0.9))</f>
        <v>0</v>
      </c>
      <c r="E77" s="90">
        <f t="shared" si="1"/>
        <v>0</v>
      </c>
      <c r="F77" s="90">
        <v>0</v>
      </c>
      <c r="G77" s="90">
        <v>0</v>
      </c>
      <c r="H77" s="90">
        <v>0</v>
      </c>
    </row>
    <row r="78" spans="1:8" x14ac:dyDescent="0.25">
      <c r="B78" s="113" t="s">
        <v>6</v>
      </c>
      <c r="C78" s="113" t="s">
        <v>368</v>
      </c>
      <c r="D78" s="90">
        <f t="shared" si="1"/>
        <v>0</v>
      </c>
      <c r="E78" s="90">
        <f t="shared" si="1"/>
        <v>0</v>
      </c>
      <c r="F78" s="90">
        <v>1</v>
      </c>
      <c r="G78" s="90">
        <v>1</v>
      </c>
      <c r="H78" s="90">
        <v>1</v>
      </c>
    </row>
    <row r="79" spans="1:8" x14ac:dyDescent="0.25">
      <c r="C79" s="113" t="s">
        <v>369</v>
      </c>
      <c r="D79" s="90">
        <f t="shared" si="1"/>
        <v>0</v>
      </c>
      <c r="E79" s="90">
        <f t="shared" si="1"/>
        <v>0</v>
      </c>
      <c r="F79" s="90">
        <v>0</v>
      </c>
      <c r="G79" s="90">
        <v>0</v>
      </c>
      <c r="H79" s="90">
        <v>0</v>
      </c>
    </row>
    <row r="80" spans="1:8" x14ac:dyDescent="0.25">
      <c r="A80" s="113" t="s">
        <v>202</v>
      </c>
      <c r="B80" s="113" t="s">
        <v>111</v>
      </c>
      <c r="C80" s="113" t="s">
        <v>368</v>
      </c>
      <c r="D80" s="90">
        <f t="shared" si="1"/>
        <v>1</v>
      </c>
      <c r="E80" s="90">
        <f t="shared" si="1"/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113" t="s">
        <v>370</v>
      </c>
      <c r="D81" s="90">
        <v>0.11</v>
      </c>
      <c r="E81" s="90">
        <f>IF($C24="Affected fraction",E24,IF(E24=1,1,E24*0.9))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113" t="s">
        <v>200</v>
      </c>
      <c r="B82" s="113" t="s">
        <v>111</v>
      </c>
      <c r="C82" s="113" t="s">
        <v>368</v>
      </c>
      <c r="D82" s="90">
        <f>IF($C25="Affected fraction",D25,IF(D25=1,1,D25*0.9))</f>
        <v>1</v>
      </c>
      <c r="E82" s="90">
        <f>IF($C25="Affected fraction",E25,IF(E25=1,1,E25*0.9))</f>
        <v>0</v>
      </c>
      <c r="F82" s="90">
        <f t="shared" si="1"/>
        <v>0</v>
      </c>
      <c r="G82" s="90">
        <f t="shared" si="1"/>
        <v>0</v>
      </c>
      <c r="H82" s="90">
        <f t="shared" si="1"/>
        <v>0</v>
      </c>
    </row>
    <row r="83" spans="1:8" x14ac:dyDescent="0.25">
      <c r="C83" s="113" t="s">
        <v>370</v>
      </c>
      <c r="D83" s="90">
        <v>0.11</v>
      </c>
      <c r="E83" s="90">
        <f>IF($C26="Affected fraction",E26,IF(E26=1,1,E26*0.9))</f>
        <v>0</v>
      </c>
      <c r="F83" s="90">
        <f t="shared" si="1"/>
        <v>0</v>
      </c>
      <c r="G83" s="90">
        <f t="shared" si="1"/>
        <v>0</v>
      </c>
      <c r="H83" s="90">
        <f t="shared" si="1"/>
        <v>0</v>
      </c>
    </row>
    <row r="84" spans="1:8" x14ac:dyDescent="0.25">
      <c r="A84" s="113" t="s">
        <v>201</v>
      </c>
      <c r="B84" s="113" t="s">
        <v>111</v>
      </c>
      <c r="C84" s="113" t="s">
        <v>368</v>
      </c>
      <c r="D84" s="90">
        <f>IF($C27="Affected fraction",D27,IF(D27=1,1,D27*0.9))</f>
        <v>1</v>
      </c>
      <c r="E84" s="90">
        <f>IF($C27="Affected fraction",E27,IF(E27=1,1,E27*0.9))</f>
        <v>0</v>
      </c>
      <c r="F84" s="90">
        <f t="shared" si="1"/>
        <v>0</v>
      </c>
      <c r="G84" s="90">
        <f t="shared" si="1"/>
        <v>0</v>
      </c>
      <c r="H84" s="90">
        <f t="shared" si="1"/>
        <v>0</v>
      </c>
    </row>
    <row r="85" spans="1:8" x14ac:dyDescent="0.25">
      <c r="C85" s="113" t="s">
        <v>370</v>
      </c>
      <c r="D85" s="90">
        <v>0.11</v>
      </c>
      <c r="E85" s="90">
        <f>IF($C28="Affected fraction",E28,IF(E28=1,1,E28*0.9))</f>
        <v>0</v>
      </c>
      <c r="F85" s="90">
        <f t="shared" si="1"/>
        <v>0</v>
      </c>
      <c r="G85" s="90">
        <f t="shared" si="1"/>
        <v>0</v>
      </c>
      <c r="H85" s="90">
        <f t="shared" si="1"/>
        <v>0</v>
      </c>
    </row>
    <row r="86" spans="1:8" x14ac:dyDescent="0.25">
      <c r="A86" s="113" t="s">
        <v>229</v>
      </c>
      <c r="B86" s="113" t="s">
        <v>103</v>
      </c>
      <c r="C86" s="113" t="s">
        <v>368</v>
      </c>
      <c r="D86" s="90">
        <v>1</v>
      </c>
      <c r="E86" s="90">
        <v>1</v>
      </c>
      <c r="F86" s="90">
        <v>1</v>
      </c>
      <c r="G86" s="90">
        <v>1</v>
      </c>
      <c r="H86" s="90">
        <v>1</v>
      </c>
    </row>
    <row r="87" spans="1:8" x14ac:dyDescent="0.25">
      <c r="C87" s="113" t="s">
        <v>370</v>
      </c>
      <c r="D87" s="90">
        <v>7.0000000000000007E-2</v>
      </c>
      <c r="E87" s="90">
        <v>7.0000000000000007E-2</v>
      </c>
      <c r="F87" s="90">
        <v>7.0000000000000007E-2</v>
      </c>
      <c r="G87" s="90">
        <v>7.0000000000000007E-2</v>
      </c>
      <c r="H87" s="90">
        <v>7.0000000000000007E-2</v>
      </c>
    </row>
    <row r="88" spans="1:8" x14ac:dyDescent="0.25">
      <c r="C88" s="113" t="s">
        <v>369</v>
      </c>
      <c r="D88" s="90">
        <v>0</v>
      </c>
      <c r="E88" s="90">
        <v>0</v>
      </c>
      <c r="F88" s="90">
        <v>0</v>
      </c>
      <c r="G88" s="90">
        <v>0</v>
      </c>
      <c r="H88" s="90">
        <v>0</v>
      </c>
    </row>
    <row r="89" spans="1:8" x14ac:dyDescent="0.25">
      <c r="A89" s="113" t="s">
        <v>230</v>
      </c>
      <c r="B89" s="113" t="s">
        <v>103</v>
      </c>
      <c r="C89" s="113" t="s">
        <v>368</v>
      </c>
      <c r="D89" s="90">
        <v>1</v>
      </c>
      <c r="E89" s="90">
        <v>1</v>
      </c>
      <c r="F89" s="90">
        <v>1</v>
      </c>
      <c r="G89" s="90">
        <v>1</v>
      </c>
      <c r="H89" s="90">
        <v>1</v>
      </c>
    </row>
    <row r="90" spans="1:8" x14ac:dyDescent="0.25">
      <c r="C90" s="113" t="s">
        <v>370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C91" s="113" t="s">
        <v>369</v>
      </c>
      <c r="D91" s="90">
        <v>0</v>
      </c>
      <c r="E91" s="90">
        <v>0</v>
      </c>
      <c r="F91" s="90">
        <v>0</v>
      </c>
      <c r="G91" s="90">
        <v>0</v>
      </c>
      <c r="H91" s="90">
        <v>0</v>
      </c>
    </row>
    <row r="92" spans="1:8" x14ac:dyDescent="0.25">
      <c r="A92" s="113" t="s">
        <v>228</v>
      </c>
      <c r="B92" s="113" t="s">
        <v>103</v>
      </c>
      <c r="C92" s="113" t="s">
        <v>368</v>
      </c>
      <c r="D92" s="90">
        <v>1</v>
      </c>
      <c r="E92" s="90">
        <v>1</v>
      </c>
      <c r="F92" s="90">
        <v>1</v>
      </c>
      <c r="G92" s="90">
        <v>1</v>
      </c>
      <c r="H92" s="90">
        <v>1</v>
      </c>
    </row>
    <row r="93" spans="1:8" x14ac:dyDescent="0.25">
      <c r="C93" s="113" t="s">
        <v>370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C94" s="113" t="s">
        <v>369</v>
      </c>
      <c r="D94" s="90">
        <v>0</v>
      </c>
      <c r="E94" s="90">
        <v>0</v>
      </c>
      <c r="F94" s="90">
        <v>0</v>
      </c>
      <c r="G94" s="90">
        <v>0</v>
      </c>
      <c r="H94" s="90">
        <v>0</v>
      </c>
    </row>
    <row r="95" spans="1:8" x14ac:dyDescent="0.25">
      <c r="A95" s="113" t="s">
        <v>227</v>
      </c>
      <c r="B95" s="113" t="s">
        <v>103</v>
      </c>
      <c r="C95" s="113" t="s">
        <v>368</v>
      </c>
      <c r="D95" s="90">
        <v>1</v>
      </c>
      <c r="E95" s="90">
        <v>1</v>
      </c>
      <c r="F95" s="90">
        <v>1</v>
      </c>
      <c r="G95" s="90">
        <v>1</v>
      </c>
      <c r="H95" s="90">
        <v>1</v>
      </c>
    </row>
    <row r="96" spans="1:8" x14ac:dyDescent="0.25">
      <c r="C96" s="113" t="s">
        <v>370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C97" s="113" t="s">
        <v>369</v>
      </c>
      <c r="D97" s="90">
        <v>0</v>
      </c>
      <c r="E97" s="90">
        <v>0</v>
      </c>
      <c r="F97" s="90">
        <v>0</v>
      </c>
      <c r="G97" s="90">
        <v>0</v>
      </c>
      <c r="H97" s="90">
        <v>0</v>
      </c>
    </row>
    <row r="98" spans="1:8" x14ac:dyDescent="0.25">
      <c r="A98" s="113" t="s">
        <v>226</v>
      </c>
      <c r="B98" s="113" t="s">
        <v>103</v>
      </c>
      <c r="C98" s="113" t="s">
        <v>368</v>
      </c>
      <c r="D98" s="90">
        <v>1</v>
      </c>
      <c r="E98" s="90">
        <v>1</v>
      </c>
      <c r="F98" s="90">
        <v>1</v>
      </c>
      <c r="G98" s="90">
        <v>1</v>
      </c>
      <c r="H98" s="90">
        <v>1</v>
      </c>
    </row>
    <row r="99" spans="1:8" x14ac:dyDescent="0.25">
      <c r="C99" s="113" t="s">
        <v>370</v>
      </c>
      <c r="D99" s="90">
        <v>0</v>
      </c>
      <c r="E99" s="90">
        <v>0</v>
      </c>
      <c r="F99" s="90">
        <v>0</v>
      </c>
      <c r="G99" s="90">
        <v>0</v>
      </c>
      <c r="H99" s="90">
        <v>0</v>
      </c>
    </row>
    <row r="100" spans="1:8" x14ac:dyDescent="0.25">
      <c r="C100" s="113" t="s">
        <v>369</v>
      </c>
      <c r="D100" s="90">
        <v>0</v>
      </c>
      <c r="E100" s="90">
        <v>0</v>
      </c>
      <c r="F100" s="90">
        <v>0</v>
      </c>
      <c r="G100" s="90">
        <v>0</v>
      </c>
      <c r="H100" s="90">
        <v>0</v>
      </c>
    </row>
    <row r="101" spans="1:8" x14ac:dyDescent="0.25">
      <c r="A101" s="113" t="s">
        <v>232</v>
      </c>
      <c r="B101" s="113" t="s">
        <v>103</v>
      </c>
      <c r="C101" s="113" t="s">
        <v>368</v>
      </c>
      <c r="D101" s="90">
        <f>IF($C44="Affected fraction",D44,IF(D44=1,1,D44*0.9))</f>
        <v>0</v>
      </c>
      <c r="E101" s="90">
        <f>IF($C44="Affected fraction",E44,IF(E44=1,1,E44*0.9))</f>
        <v>1</v>
      </c>
      <c r="F101" s="90">
        <f>IF($C44="Affected fraction",F44,IF(F44=1,1,F44*0.9))</f>
        <v>1</v>
      </c>
      <c r="G101" s="90">
        <f>IF($C44="Affected fraction",G44,IF(G44=1,1,G44*0.9))</f>
        <v>1</v>
      </c>
      <c r="H101" s="90">
        <f>IF($C44="Affected fraction",H44,IF(H44=1,1,H44*0.9))</f>
        <v>1</v>
      </c>
    </row>
    <row r="102" spans="1:8" x14ac:dyDescent="0.25">
      <c r="C102" s="113" t="s">
        <v>370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C103" s="113" t="s">
        <v>369</v>
      </c>
      <c r="D103" s="90">
        <v>7.0000000000000007E-2</v>
      </c>
      <c r="E103" s="90">
        <v>7.0000000000000007E-2</v>
      </c>
      <c r="F103" s="90">
        <v>7.0000000000000007E-2</v>
      </c>
      <c r="G103" s="90">
        <v>7.0000000000000007E-2</v>
      </c>
      <c r="H103" s="90">
        <v>7.0000000000000007E-2</v>
      </c>
    </row>
    <row r="104" spans="1:8" x14ac:dyDescent="0.25">
      <c r="B104" s="113" t="s">
        <v>121</v>
      </c>
      <c r="C104" s="113" t="s">
        <v>368</v>
      </c>
      <c r="D104" s="90">
        <v>0</v>
      </c>
      <c r="E104" s="90">
        <v>1</v>
      </c>
      <c r="F104" s="90">
        <v>1</v>
      </c>
      <c r="G104" s="90">
        <v>1</v>
      </c>
      <c r="H104" s="90">
        <v>1</v>
      </c>
    </row>
    <row r="105" spans="1:8" x14ac:dyDescent="0.25">
      <c r="C105" s="113" t="s">
        <v>370</v>
      </c>
      <c r="D105" s="90">
        <v>0</v>
      </c>
      <c r="E105" s="90">
        <v>0</v>
      </c>
      <c r="F105" s="90">
        <v>0</v>
      </c>
      <c r="G105" s="90">
        <v>0</v>
      </c>
      <c r="H105" s="90">
        <v>0</v>
      </c>
    </row>
    <row r="106" spans="1:8" x14ac:dyDescent="0.25">
      <c r="C106" s="113" t="s">
        <v>369</v>
      </c>
      <c r="D106" s="90">
        <v>0</v>
      </c>
      <c r="E106" s="90">
        <v>0</v>
      </c>
      <c r="F106" s="90">
        <v>0</v>
      </c>
      <c r="G106" s="90">
        <v>0</v>
      </c>
      <c r="H106" s="90">
        <v>0</v>
      </c>
    </row>
    <row r="107" spans="1:8" x14ac:dyDescent="0.25">
      <c r="A107" s="113" t="s">
        <v>221</v>
      </c>
      <c r="B107" s="113" t="s">
        <v>103</v>
      </c>
      <c r="C107" s="113" t="s">
        <v>368</v>
      </c>
      <c r="D107" s="90">
        <v>1</v>
      </c>
      <c r="E107" s="90">
        <v>1</v>
      </c>
      <c r="F107" s="90">
        <v>1</v>
      </c>
      <c r="G107" s="90">
        <v>1</v>
      </c>
      <c r="H107" s="90">
        <v>1</v>
      </c>
    </row>
    <row r="108" spans="1:8" x14ac:dyDescent="0.25">
      <c r="C108" s="113" t="s">
        <v>370</v>
      </c>
      <c r="D108" s="90">
        <v>0.51</v>
      </c>
      <c r="E108" s="90">
        <v>0.51</v>
      </c>
      <c r="F108" s="90">
        <v>0.51</v>
      </c>
      <c r="G108" s="90">
        <v>0.51</v>
      </c>
      <c r="H108" s="90">
        <v>0.51</v>
      </c>
    </row>
    <row r="109" spans="1:8" x14ac:dyDescent="0.25">
      <c r="A109" s="113" t="s">
        <v>231</v>
      </c>
      <c r="B109" s="113" t="s">
        <v>103</v>
      </c>
      <c r="C109" s="113" t="s">
        <v>368</v>
      </c>
      <c r="D109" s="90">
        <v>1</v>
      </c>
      <c r="E109" s="90">
        <v>1</v>
      </c>
      <c r="F109" s="90">
        <v>1</v>
      </c>
      <c r="G109" s="90">
        <v>1</v>
      </c>
      <c r="H109" s="90">
        <v>1</v>
      </c>
    </row>
    <row r="110" spans="1:8" x14ac:dyDescent="0.25">
      <c r="C110" s="113" t="s">
        <v>370</v>
      </c>
      <c r="D110" s="90">
        <v>0.62</v>
      </c>
      <c r="E110" s="90">
        <v>0.62</v>
      </c>
      <c r="F110" s="90">
        <v>0.62</v>
      </c>
      <c r="G110" s="90">
        <v>0.62</v>
      </c>
      <c r="H110" s="90">
        <v>0.62</v>
      </c>
    </row>
    <row r="111" spans="1:8" x14ac:dyDescent="0.25">
      <c r="A111" s="113" t="s">
        <v>211</v>
      </c>
      <c r="B111" s="113" t="s">
        <v>115</v>
      </c>
      <c r="C111" s="113" t="s">
        <v>368</v>
      </c>
      <c r="D111" s="90">
        <v>1</v>
      </c>
      <c r="E111" s="90">
        <v>0</v>
      </c>
      <c r="F111" s="90">
        <v>0</v>
      </c>
      <c r="G111" s="90">
        <v>0</v>
      </c>
      <c r="H111" s="90">
        <v>0</v>
      </c>
    </row>
    <row r="112" spans="1:8" x14ac:dyDescent="0.25">
      <c r="C112" s="113" t="s">
        <v>370</v>
      </c>
      <c r="D112" s="90">
        <v>0.14000000000000001</v>
      </c>
      <c r="E112" s="90">
        <v>0</v>
      </c>
      <c r="F112" s="90">
        <v>0</v>
      </c>
      <c r="G112" s="90">
        <v>0</v>
      </c>
      <c r="H112" s="90">
        <v>0</v>
      </c>
    </row>
    <row r="114" spans="1:8" s="125" customFormat="1" ht="13" x14ac:dyDescent="0.3">
      <c r="A114" s="123" t="s">
        <v>367</v>
      </c>
      <c r="B114" s="124"/>
      <c r="C114" s="124"/>
      <c r="D114" s="93"/>
      <c r="E114" s="93"/>
      <c r="F114" s="93"/>
      <c r="G114" s="93"/>
      <c r="H114" s="93"/>
    </row>
    <row r="115" spans="1:8" ht="13" x14ac:dyDescent="0.3">
      <c r="A115" s="103" t="s">
        <v>192</v>
      </c>
      <c r="B115" s="103" t="s">
        <v>371</v>
      </c>
      <c r="C115" s="120" t="s">
        <v>9</v>
      </c>
      <c r="D115" s="4" t="s">
        <v>97</v>
      </c>
      <c r="E115" s="4" t="s">
        <v>93</v>
      </c>
      <c r="F115" s="4" t="s">
        <v>96</v>
      </c>
      <c r="G115" s="4" t="s">
        <v>94</v>
      </c>
      <c r="H115" s="4" t="s">
        <v>95</v>
      </c>
    </row>
    <row r="116" spans="1:8" x14ac:dyDescent="0.25">
      <c r="A116" s="113" t="s">
        <v>225</v>
      </c>
      <c r="B116" s="113" t="s">
        <v>103</v>
      </c>
      <c r="C116" s="113" t="s">
        <v>368</v>
      </c>
      <c r="D116" s="90">
        <f t="shared" ref="D116:E118" si="2">IF($C2="Affected fraction",D2,IF(D2=1,1,D2*1.05))</f>
        <v>0</v>
      </c>
      <c r="E116" s="90">
        <f t="shared" si="2"/>
        <v>0</v>
      </c>
      <c r="F116" s="90">
        <f>IF($C59="Affected fraction",F59,IF(F59=1,1,F59*0.9))</f>
        <v>1</v>
      </c>
      <c r="G116" s="90">
        <f>IF($C59="Affected fraction",G59,IF(G59=1,1,G59*0.9))</f>
        <v>1</v>
      </c>
      <c r="H116" s="90">
        <f>IF($C59="Affected fraction",H59,IF(H59=1,1,H59*0.9))</f>
        <v>1</v>
      </c>
    </row>
    <row r="117" spans="1:8" x14ac:dyDescent="0.25">
      <c r="C117" s="113" t="s">
        <v>370</v>
      </c>
      <c r="D117" s="90">
        <f t="shared" si="2"/>
        <v>0</v>
      </c>
      <c r="E117" s="90">
        <f t="shared" si="2"/>
        <v>0</v>
      </c>
      <c r="F117" s="90">
        <v>0.21</v>
      </c>
      <c r="G117" s="90">
        <v>0.21</v>
      </c>
      <c r="H117" s="90">
        <v>0.21</v>
      </c>
    </row>
    <row r="118" spans="1:8" x14ac:dyDescent="0.25">
      <c r="C118" s="113" t="s">
        <v>369</v>
      </c>
      <c r="D118" s="90">
        <f t="shared" si="2"/>
        <v>0</v>
      </c>
      <c r="E118" s="90">
        <f t="shared" si="2"/>
        <v>0</v>
      </c>
      <c r="F118" s="90">
        <v>0.18</v>
      </c>
      <c r="G118" s="90">
        <v>0.18</v>
      </c>
      <c r="H118" s="90">
        <v>0.18</v>
      </c>
    </row>
    <row r="119" spans="1:8" x14ac:dyDescent="0.25">
      <c r="A119" s="113" t="s">
        <v>222</v>
      </c>
      <c r="B119" s="113" t="s">
        <v>236</v>
      </c>
      <c r="C119" s="113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113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113" t="s">
        <v>6</v>
      </c>
      <c r="C121" s="113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113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113" t="s">
        <v>213</v>
      </c>
      <c r="B123" s="113" t="s">
        <v>236</v>
      </c>
      <c r="C123" s="113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113" t="s">
        <v>369</v>
      </c>
      <c r="D124" s="90">
        <v>0</v>
      </c>
      <c r="E124" s="90">
        <v>0</v>
      </c>
      <c r="F124" s="90">
        <v>0</v>
      </c>
      <c r="G124" s="90">
        <v>0</v>
      </c>
      <c r="H124" s="90">
        <v>0</v>
      </c>
    </row>
    <row r="125" spans="1:8" x14ac:dyDescent="0.25">
      <c r="B125" s="113" t="s">
        <v>6</v>
      </c>
      <c r="C125" s="113" t="s">
        <v>368</v>
      </c>
      <c r="D125" s="90">
        <v>0</v>
      </c>
      <c r="E125" s="90">
        <v>0</v>
      </c>
      <c r="F125" s="90">
        <v>1</v>
      </c>
      <c r="G125" s="90">
        <v>1</v>
      </c>
      <c r="H125" s="90">
        <v>0</v>
      </c>
    </row>
    <row r="126" spans="1:8" x14ac:dyDescent="0.25">
      <c r="C126" s="113" t="s">
        <v>369</v>
      </c>
      <c r="D126" s="90">
        <v>0</v>
      </c>
      <c r="E126" s="90">
        <v>0</v>
      </c>
      <c r="F126" s="90">
        <v>0</v>
      </c>
      <c r="G126" s="90">
        <v>0</v>
      </c>
      <c r="H126" s="90">
        <v>0</v>
      </c>
    </row>
    <row r="127" spans="1:8" x14ac:dyDescent="0.25">
      <c r="A127" s="113" t="s">
        <v>233</v>
      </c>
      <c r="B127" s="113" t="s">
        <v>236</v>
      </c>
      <c r="C127" s="113" t="s">
        <v>368</v>
      </c>
      <c r="D127" s="90">
        <v>0</v>
      </c>
      <c r="E127" s="90">
        <v>0</v>
      </c>
      <c r="F127" s="90">
        <v>1</v>
      </c>
      <c r="G127" s="90">
        <v>1</v>
      </c>
      <c r="H127" s="90">
        <v>0</v>
      </c>
    </row>
    <row r="128" spans="1:8" x14ac:dyDescent="0.25">
      <c r="C128" s="113" t="s">
        <v>369</v>
      </c>
      <c r="D128" s="90">
        <f t="shared" ref="D128:E130" si="3">IF($C14="Affected fraction",D14,IF(D14=1,1,D14*1.05))</f>
        <v>0</v>
      </c>
      <c r="E128" s="90">
        <f t="shared" si="3"/>
        <v>0</v>
      </c>
      <c r="F128" s="90">
        <v>0.45</v>
      </c>
      <c r="G128" s="90">
        <v>0.45</v>
      </c>
      <c r="H128" s="90">
        <f>IF($C14="Affected fraction",H14,IF(H14=1,1,H14*1.05))</f>
        <v>0</v>
      </c>
    </row>
    <row r="129" spans="1:8" x14ac:dyDescent="0.25">
      <c r="B129" s="113" t="s">
        <v>6</v>
      </c>
      <c r="C129" s="113" t="s">
        <v>368</v>
      </c>
      <c r="D129" s="90">
        <f t="shared" si="3"/>
        <v>0</v>
      </c>
      <c r="E129" s="90">
        <f t="shared" si="3"/>
        <v>0</v>
      </c>
      <c r="F129" s="90">
        <f>IF($C15="Affected fraction",F15,IF(F15=1,1,F15*1.05))</f>
        <v>1</v>
      </c>
      <c r="G129" s="90">
        <f>IF($C15="Affected fraction",G15,IF(G15=1,1,G15*1.05))</f>
        <v>1</v>
      </c>
      <c r="H129" s="90">
        <f>IF($C15="Affected fraction",H15,IF(H15=1,1,H15*1.05))</f>
        <v>0</v>
      </c>
    </row>
    <row r="130" spans="1:8" x14ac:dyDescent="0.25">
      <c r="C130" s="113" t="s">
        <v>369</v>
      </c>
      <c r="D130" s="90">
        <f t="shared" si="3"/>
        <v>0</v>
      </c>
      <c r="E130" s="90">
        <f t="shared" si="3"/>
        <v>0</v>
      </c>
      <c r="F130" s="90">
        <v>0.2</v>
      </c>
      <c r="G130" s="90">
        <v>0.2</v>
      </c>
      <c r="H130" s="90">
        <f>IF($C16="Affected fraction",H16,IF(H16=1,1,H16*1.05))</f>
        <v>0</v>
      </c>
    </row>
    <row r="131" spans="1:8" x14ac:dyDescent="0.25">
      <c r="B131" s="113" t="s">
        <v>372</v>
      </c>
      <c r="C131" s="113" t="s">
        <v>368</v>
      </c>
      <c r="D131" s="90">
        <v>0</v>
      </c>
      <c r="E131" s="90">
        <v>0</v>
      </c>
      <c r="F131" s="90">
        <v>1</v>
      </c>
      <c r="G131" s="90">
        <v>1</v>
      </c>
      <c r="H131" s="90">
        <v>0</v>
      </c>
    </row>
    <row r="132" spans="1:8" x14ac:dyDescent="0.25">
      <c r="C132" s="113" t="s">
        <v>370</v>
      </c>
      <c r="D132" s="90">
        <v>0</v>
      </c>
      <c r="E132" s="90">
        <v>0</v>
      </c>
      <c r="F132" s="90">
        <v>0</v>
      </c>
      <c r="G132" s="90">
        <v>0</v>
      </c>
      <c r="H132" s="90">
        <v>0</v>
      </c>
    </row>
    <row r="133" spans="1:8" x14ac:dyDescent="0.25">
      <c r="A133" s="113" t="s">
        <v>196</v>
      </c>
      <c r="B133" s="113" t="s">
        <v>236</v>
      </c>
      <c r="C133" s="113" t="s">
        <v>368</v>
      </c>
      <c r="D133" s="90">
        <f>IF($C19="Affected fraction",D19,IF(D19=1,1,D19*1.05))</f>
        <v>0</v>
      </c>
      <c r="E133" s="90">
        <f>IF($C19="Affected fraction",E19,IF(E19=1,1,E19*1.05))</f>
        <v>0</v>
      </c>
      <c r="F133" s="90">
        <f>IF($C19="Affected fraction",F19,IF(F19=1,1,F19*1.05))</f>
        <v>1</v>
      </c>
      <c r="G133" s="90">
        <f>IF($C19="Affected fraction",G19,IF(G19=1,1,G19*1.05))</f>
        <v>1</v>
      </c>
      <c r="H133" s="90">
        <f>IF($C19="Affected fraction",H19,IF(H19=1,1,H19*1.05))</f>
        <v>1</v>
      </c>
    </row>
    <row r="134" spans="1:8" x14ac:dyDescent="0.25">
      <c r="C134" s="113" t="s">
        <v>369</v>
      </c>
      <c r="D134" s="90">
        <f t="shared" ref="D134:H142" si="4">IF($C20="Affected fraction",D20,IF(D20=1,1,D20*1.05))</f>
        <v>0</v>
      </c>
      <c r="E134" s="90">
        <f t="shared" si="4"/>
        <v>0</v>
      </c>
      <c r="F134" s="90">
        <v>0</v>
      </c>
      <c r="G134" s="90">
        <v>0</v>
      </c>
      <c r="H134" s="90">
        <v>0</v>
      </c>
    </row>
    <row r="135" spans="1:8" x14ac:dyDescent="0.25">
      <c r="B135" s="113" t="s">
        <v>6</v>
      </c>
      <c r="C135" s="113" t="s">
        <v>368</v>
      </c>
      <c r="D135" s="90">
        <f t="shared" si="4"/>
        <v>0</v>
      </c>
      <c r="E135" s="90">
        <f t="shared" si="4"/>
        <v>0</v>
      </c>
      <c r="F135" s="90">
        <v>1</v>
      </c>
      <c r="G135" s="90">
        <v>1</v>
      </c>
      <c r="H135" s="90">
        <v>1</v>
      </c>
    </row>
    <row r="136" spans="1:8" x14ac:dyDescent="0.25">
      <c r="C136" s="113" t="s">
        <v>369</v>
      </c>
      <c r="D136" s="90">
        <f t="shared" si="4"/>
        <v>0</v>
      </c>
      <c r="E136" s="90">
        <f t="shared" si="4"/>
        <v>0</v>
      </c>
      <c r="F136" s="90">
        <v>0</v>
      </c>
      <c r="G136" s="90">
        <v>0</v>
      </c>
      <c r="H136" s="90">
        <v>0</v>
      </c>
    </row>
    <row r="137" spans="1:8" x14ac:dyDescent="0.25">
      <c r="A137" s="113" t="s">
        <v>202</v>
      </c>
      <c r="B137" s="113" t="s">
        <v>111</v>
      </c>
      <c r="C137" s="113" t="s">
        <v>368</v>
      </c>
      <c r="D137" s="90">
        <f>IF($C80="Affected fraction",D80,IF(D80=1,1,D80*0.9))</f>
        <v>1</v>
      </c>
      <c r="E137" s="90">
        <f t="shared" si="4"/>
        <v>0</v>
      </c>
      <c r="F137" s="90">
        <f t="shared" si="4"/>
        <v>0</v>
      </c>
      <c r="G137" s="90">
        <f t="shared" si="4"/>
        <v>0</v>
      </c>
      <c r="H137" s="90">
        <f t="shared" si="4"/>
        <v>0</v>
      </c>
    </row>
    <row r="138" spans="1:8" x14ac:dyDescent="0.25">
      <c r="C138" s="113" t="s">
        <v>370</v>
      </c>
      <c r="D138" s="90">
        <v>0.16</v>
      </c>
      <c r="E138" s="90">
        <f t="shared" si="4"/>
        <v>0</v>
      </c>
      <c r="F138" s="90">
        <f t="shared" si="4"/>
        <v>0</v>
      </c>
      <c r="G138" s="90">
        <f t="shared" si="4"/>
        <v>0</v>
      </c>
      <c r="H138" s="90">
        <f t="shared" si="4"/>
        <v>0</v>
      </c>
    </row>
    <row r="139" spans="1:8" x14ac:dyDescent="0.25">
      <c r="A139" s="113" t="s">
        <v>200</v>
      </c>
      <c r="B139" s="113" t="s">
        <v>111</v>
      </c>
      <c r="C139" s="113" t="s">
        <v>368</v>
      </c>
      <c r="D139" s="90">
        <f>IF($C82="Affected fraction",D82,IF(D82=1,1,D82*0.9))</f>
        <v>1</v>
      </c>
      <c r="E139" s="90">
        <f t="shared" si="4"/>
        <v>0</v>
      </c>
      <c r="F139" s="90">
        <f t="shared" si="4"/>
        <v>0</v>
      </c>
      <c r="G139" s="90">
        <f t="shared" si="4"/>
        <v>0</v>
      </c>
      <c r="H139" s="90">
        <f t="shared" si="4"/>
        <v>0</v>
      </c>
    </row>
    <row r="140" spans="1:8" x14ac:dyDescent="0.25">
      <c r="C140" s="113" t="s">
        <v>370</v>
      </c>
      <c r="D140" s="90">
        <v>0.16</v>
      </c>
      <c r="E140" s="90">
        <f t="shared" si="4"/>
        <v>0</v>
      </c>
      <c r="F140" s="90">
        <f t="shared" si="4"/>
        <v>0</v>
      </c>
      <c r="G140" s="90">
        <f t="shared" si="4"/>
        <v>0</v>
      </c>
      <c r="H140" s="90">
        <f t="shared" si="4"/>
        <v>0</v>
      </c>
    </row>
    <row r="141" spans="1:8" x14ac:dyDescent="0.25">
      <c r="A141" s="113" t="s">
        <v>201</v>
      </c>
      <c r="B141" s="113" t="s">
        <v>111</v>
      </c>
      <c r="C141" s="113" t="s">
        <v>368</v>
      </c>
      <c r="D141" s="90">
        <f>IF($C84="Affected fraction",D84,IF(D84=1,1,D84*0.9))</f>
        <v>1</v>
      </c>
      <c r="E141" s="90">
        <f t="shared" si="4"/>
        <v>0</v>
      </c>
      <c r="F141" s="90">
        <f t="shared" si="4"/>
        <v>0</v>
      </c>
      <c r="G141" s="90">
        <f t="shared" si="4"/>
        <v>0</v>
      </c>
      <c r="H141" s="90">
        <f t="shared" si="4"/>
        <v>0</v>
      </c>
    </row>
    <row r="142" spans="1:8" x14ac:dyDescent="0.25">
      <c r="C142" s="113" t="s">
        <v>370</v>
      </c>
      <c r="D142" s="90">
        <v>0.16</v>
      </c>
      <c r="E142" s="90">
        <f t="shared" si="4"/>
        <v>0</v>
      </c>
      <c r="F142" s="90">
        <f t="shared" si="4"/>
        <v>0</v>
      </c>
      <c r="G142" s="90">
        <f t="shared" si="4"/>
        <v>0</v>
      </c>
      <c r="H142" s="90">
        <f t="shared" si="4"/>
        <v>0</v>
      </c>
    </row>
    <row r="143" spans="1:8" x14ac:dyDescent="0.25">
      <c r="A143" s="113" t="s">
        <v>229</v>
      </c>
      <c r="B143" s="113" t="s">
        <v>103</v>
      </c>
      <c r="C143" s="113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113" t="s">
        <v>370</v>
      </c>
      <c r="D144" s="90">
        <v>0.51</v>
      </c>
      <c r="E144" s="90">
        <v>0.51</v>
      </c>
      <c r="F144" s="90">
        <v>0.51</v>
      </c>
      <c r="G144" s="90">
        <v>0.51</v>
      </c>
      <c r="H144" s="90">
        <v>0.51</v>
      </c>
    </row>
    <row r="145" spans="1:8" x14ac:dyDescent="0.25">
      <c r="C145" s="113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113" t="s">
        <v>230</v>
      </c>
      <c r="B146" s="113" t="s">
        <v>103</v>
      </c>
      <c r="C146" s="113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113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113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113" t="s">
        <v>228</v>
      </c>
      <c r="B149" s="113" t="s">
        <v>103</v>
      </c>
      <c r="C149" s="113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113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113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113" t="s">
        <v>227</v>
      </c>
      <c r="B152" s="113" t="s">
        <v>103</v>
      </c>
      <c r="C152" s="113" t="s">
        <v>368</v>
      </c>
      <c r="D152" s="90">
        <v>1</v>
      </c>
      <c r="E152" s="90">
        <v>1</v>
      </c>
      <c r="F152" s="90">
        <v>1</v>
      </c>
      <c r="G152" s="90">
        <v>1</v>
      </c>
      <c r="H152" s="90">
        <v>1</v>
      </c>
    </row>
    <row r="153" spans="1:8" x14ac:dyDescent="0.25">
      <c r="C153" s="113" t="s">
        <v>370</v>
      </c>
      <c r="D153" s="90">
        <v>0</v>
      </c>
      <c r="E153" s="90">
        <v>0</v>
      </c>
      <c r="F153" s="90">
        <v>0</v>
      </c>
      <c r="G153" s="90">
        <v>0</v>
      </c>
      <c r="H153" s="90">
        <v>0</v>
      </c>
    </row>
    <row r="154" spans="1:8" x14ac:dyDescent="0.25">
      <c r="C154" s="113" t="s">
        <v>369</v>
      </c>
      <c r="D154" s="90">
        <v>0</v>
      </c>
      <c r="E154" s="90">
        <v>0</v>
      </c>
      <c r="F154" s="90">
        <v>0</v>
      </c>
      <c r="G154" s="90">
        <v>0</v>
      </c>
      <c r="H154" s="90">
        <v>0</v>
      </c>
    </row>
    <row r="155" spans="1:8" x14ac:dyDescent="0.25">
      <c r="A155" s="113" t="s">
        <v>226</v>
      </c>
      <c r="B155" s="113" t="s">
        <v>103</v>
      </c>
      <c r="C155" s="113" t="s">
        <v>368</v>
      </c>
      <c r="D155" s="90">
        <v>1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113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113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113" t="s">
        <v>232</v>
      </c>
      <c r="B158" s="113" t="s">
        <v>103</v>
      </c>
      <c r="C158" s="113" t="s">
        <v>368</v>
      </c>
      <c r="D158" s="90">
        <f t="shared" ref="D158:H159" si="5">IF($C101="Affected fraction",D101,IF(D101=1,1,D101*0.9))</f>
        <v>0</v>
      </c>
      <c r="E158" s="90">
        <f t="shared" si="5"/>
        <v>1</v>
      </c>
      <c r="F158" s="90">
        <f t="shared" si="5"/>
        <v>1</v>
      </c>
      <c r="G158" s="90">
        <f t="shared" si="5"/>
        <v>1</v>
      </c>
      <c r="H158" s="90">
        <f t="shared" si="5"/>
        <v>1</v>
      </c>
    </row>
    <row r="159" spans="1:8" x14ac:dyDescent="0.25">
      <c r="C159" s="113" t="s">
        <v>370</v>
      </c>
      <c r="D159" s="90">
        <f t="shared" si="5"/>
        <v>0</v>
      </c>
      <c r="E159" s="90">
        <f t="shared" si="5"/>
        <v>0</v>
      </c>
      <c r="F159" s="90">
        <f t="shared" si="5"/>
        <v>0</v>
      </c>
      <c r="G159" s="90">
        <f t="shared" si="5"/>
        <v>0</v>
      </c>
      <c r="H159" s="90">
        <f t="shared" si="5"/>
        <v>0</v>
      </c>
    </row>
    <row r="160" spans="1:8" x14ac:dyDescent="0.25">
      <c r="C160" s="113" t="s">
        <v>369</v>
      </c>
      <c r="D160" s="90">
        <v>0.1</v>
      </c>
      <c r="E160" s="90">
        <v>0.1</v>
      </c>
      <c r="F160" s="90">
        <v>0.1</v>
      </c>
      <c r="G160" s="90">
        <v>0.1</v>
      </c>
      <c r="H160" s="90">
        <v>0.1</v>
      </c>
    </row>
    <row r="161" spans="1:8" x14ac:dyDescent="0.25">
      <c r="B161" s="113" t="s">
        <v>121</v>
      </c>
      <c r="C161" s="113" t="s">
        <v>368</v>
      </c>
      <c r="D161" s="90">
        <v>0</v>
      </c>
      <c r="E161" s="90">
        <v>1</v>
      </c>
      <c r="F161" s="90">
        <v>1</v>
      </c>
      <c r="G161" s="90">
        <v>1</v>
      </c>
      <c r="H161" s="90">
        <v>1</v>
      </c>
    </row>
    <row r="162" spans="1:8" x14ac:dyDescent="0.25">
      <c r="C162" s="113" t="s">
        <v>370</v>
      </c>
      <c r="D162" s="90">
        <v>0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113" t="s">
        <v>369</v>
      </c>
      <c r="D163" s="90">
        <v>0</v>
      </c>
      <c r="E163" s="90">
        <v>0</v>
      </c>
      <c r="F163" s="90">
        <v>0</v>
      </c>
      <c r="G163" s="90">
        <v>0</v>
      </c>
      <c r="H163" s="90">
        <v>0</v>
      </c>
    </row>
    <row r="164" spans="1:8" x14ac:dyDescent="0.25">
      <c r="A164" s="113" t="s">
        <v>221</v>
      </c>
      <c r="B164" s="113" t="s">
        <v>103</v>
      </c>
      <c r="C164" s="113" t="s">
        <v>368</v>
      </c>
      <c r="D164" s="90">
        <v>1</v>
      </c>
      <c r="E164" s="90">
        <v>1</v>
      </c>
      <c r="F164" s="90">
        <v>1</v>
      </c>
      <c r="G164" s="90">
        <v>1</v>
      </c>
      <c r="H164" s="90">
        <v>1</v>
      </c>
    </row>
    <row r="165" spans="1:8" x14ac:dyDescent="0.25">
      <c r="C165" s="113" t="s">
        <v>370</v>
      </c>
      <c r="D165" s="90">
        <v>0.8</v>
      </c>
      <c r="E165" s="90">
        <v>0.8</v>
      </c>
      <c r="F165" s="90">
        <v>0.8</v>
      </c>
      <c r="G165" s="90">
        <v>0.8</v>
      </c>
      <c r="H165" s="90">
        <v>0.8</v>
      </c>
    </row>
    <row r="166" spans="1:8" x14ac:dyDescent="0.25">
      <c r="A166" s="113" t="s">
        <v>231</v>
      </c>
      <c r="B166" s="113" t="s">
        <v>103</v>
      </c>
      <c r="C166" s="113" t="s">
        <v>368</v>
      </c>
      <c r="D166" s="90">
        <v>1</v>
      </c>
      <c r="E166" s="90">
        <v>1</v>
      </c>
      <c r="F166" s="90">
        <v>1</v>
      </c>
      <c r="G166" s="90">
        <v>1</v>
      </c>
      <c r="H166" s="90">
        <v>1</v>
      </c>
    </row>
    <row r="167" spans="1:8" x14ac:dyDescent="0.25">
      <c r="C167" s="113" t="s">
        <v>370</v>
      </c>
      <c r="D167" s="90">
        <v>0.85</v>
      </c>
      <c r="E167" s="90">
        <v>0.85</v>
      </c>
      <c r="F167" s="90">
        <v>0.85</v>
      </c>
      <c r="G167" s="90">
        <v>0.85</v>
      </c>
      <c r="H167" s="90">
        <v>0.85</v>
      </c>
    </row>
    <row r="168" spans="1:8" x14ac:dyDescent="0.25">
      <c r="A168" s="113" t="s">
        <v>211</v>
      </c>
      <c r="B168" s="113" t="s">
        <v>115</v>
      </c>
      <c r="C168" s="113" t="s">
        <v>368</v>
      </c>
      <c r="D168" s="90">
        <v>1</v>
      </c>
      <c r="E168" s="90">
        <v>0</v>
      </c>
      <c r="F168" s="90">
        <v>0</v>
      </c>
      <c r="G168" s="90">
        <v>0</v>
      </c>
      <c r="H168" s="90">
        <v>0</v>
      </c>
    </row>
    <row r="169" spans="1:8" x14ac:dyDescent="0.25">
      <c r="C169" s="113" t="s">
        <v>370</v>
      </c>
      <c r="D169" s="90">
        <v>0.47</v>
      </c>
      <c r="E169" s="90">
        <v>0</v>
      </c>
      <c r="F169" s="90">
        <v>0</v>
      </c>
      <c r="G169" s="90">
        <v>0</v>
      </c>
      <c r="H169" s="90">
        <v>0</v>
      </c>
    </row>
  </sheetData>
  <sheetProtection algorithmName="SHA-512" hashValue="NHf24GolbCoItpVCiAGWEBWj0YOqToH9SkMapZaeBh4CPCxMtw2lb0xDtvYx9e+bgNsFAJ6XxQhejeSLhlIA9g==" saltValue="Ulnrfq71gCvl6xYRWzV9Q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6">
        <v>1</v>
      </c>
      <c r="E8" s="116">
        <v>1</v>
      </c>
      <c r="F8" s="116">
        <v>1</v>
      </c>
      <c r="G8" s="116">
        <v>1</v>
      </c>
      <c r="H8" s="3"/>
    </row>
    <row r="9" spans="1:8" x14ac:dyDescent="0.25">
      <c r="A9" s="3"/>
      <c r="B9" s="3"/>
      <c r="C9" s="3" t="s">
        <v>246</v>
      </c>
      <c r="D9" s="116">
        <v>0.09</v>
      </c>
      <c r="E9" s="116">
        <v>0.09</v>
      </c>
      <c r="F9" s="116">
        <v>0.09</v>
      </c>
      <c r="G9" s="116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6">
        <f t="shared" si="0"/>
        <v>1</v>
      </c>
      <c r="E19" s="116">
        <f t="shared" si="0"/>
        <v>1</v>
      </c>
      <c r="F19" s="116">
        <f t="shared" si="0"/>
        <v>1</v>
      </c>
      <c r="G19" s="116">
        <f t="shared" si="0"/>
        <v>1</v>
      </c>
    </row>
    <row r="20" spans="1:7" x14ac:dyDescent="0.25">
      <c r="A20" s="3"/>
      <c r="B20" s="3"/>
      <c r="C20" s="3" t="s">
        <v>246</v>
      </c>
      <c r="D20" s="116">
        <v>0.02</v>
      </c>
      <c r="E20" s="116">
        <v>0.02</v>
      </c>
      <c r="F20" s="116">
        <v>0.02</v>
      </c>
      <c r="G20" s="116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6">
        <f t="shared" ref="D30:G30" si="1">IF($C8="Affected fraction",D8,IF(D8=1,1,D8*1.05))</f>
        <v>1</v>
      </c>
      <c r="E30" s="116">
        <f t="shared" si="1"/>
        <v>1</v>
      </c>
      <c r="F30" s="116">
        <f t="shared" si="1"/>
        <v>1</v>
      </c>
      <c r="G30" s="116">
        <f t="shared" si="1"/>
        <v>1</v>
      </c>
    </row>
    <row r="31" spans="1:7" x14ac:dyDescent="0.25">
      <c r="A31" s="3"/>
      <c r="B31" s="3"/>
      <c r="C31" s="3" t="s">
        <v>246</v>
      </c>
      <c r="D31" s="116">
        <v>0.14000000000000001</v>
      </c>
      <c r="E31" s="116">
        <v>0.14000000000000001</v>
      </c>
      <c r="F31" s="116">
        <v>0.14000000000000001</v>
      </c>
      <c r="G31" s="116">
        <v>0.14000000000000001</v>
      </c>
    </row>
  </sheetData>
  <sheetProtection algorithmName="SHA-512" hashValue="riEByvNlZNczJKo56w+ZDOGJeGnMbyaD+ZWVs4Hk33+v50ruRaHF0nYHSC7bD0ptqN5cyHeA8FsrUK484m1tyA==" saltValue="7/3H5Xs+psvUeJrw1+hwcg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2025-07-30T00:46:42Z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