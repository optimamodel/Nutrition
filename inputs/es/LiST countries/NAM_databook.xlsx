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5905799-18E4-4022-B646-092455DB013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A39" i="2"/>
  <c r="H38" i="2"/>
  <c r="G38" i="2"/>
  <c r="I38" i="2" s="1"/>
  <c r="A34" i="2"/>
  <c r="A33" i="2"/>
  <c r="A32" i="2"/>
  <c r="A31" i="2"/>
  <c r="A28" i="2"/>
  <c r="A23" i="2"/>
  <c r="A20" i="2"/>
  <c r="A18" i="2"/>
  <c r="A17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5" i="2" l="1"/>
  <c r="A24" i="2"/>
  <c r="A36" i="2"/>
  <c r="I6" i="2"/>
  <c r="I10" i="2"/>
  <c r="A15" i="2"/>
  <c r="A26" i="2"/>
  <c r="A19" i="2"/>
  <c r="A27" i="2"/>
  <c r="A35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<sst xmlns="http://schemas.openxmlformats.org/spreadsheetml/2006/main" count="2101" uniqueCount="341">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</sst>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334619.72265625</v>
      </c>
    </row>
    <row r="8" spans="1:3" ht="15" customHeight="1" x14ac:dyDescent="0.25">
      <c r="B8" s="5" t="s">
        <v>44</v>
      </c>
      <c r="C8" s="44">
        <v>0.13400000000000001</v>
      </c>
    </row>
    <row r="9" spans="1:3" ht="15" customHeight="1" x14ac:dyDescent="0.25">
      <c r="B9" s="5" t="s">
        <v>43</v>
      </c>
      <c r="C9" s="45">
        <v>0.27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0.1114</v>
      </c>
    </row>
    <row r="24" spans="1:3" ht="15" customHeight="1" x14ac:dyDescent="0.25">
      <c r="B24" s="15" t="s">
        <v>46</v>
      </c>
      <c r="C24" s="45">
        <v>0.47339999999999999</v>
      </c>
    </row>
    <row r="25" spans="1:3" ht="15" customHeight="1" x14ac:dyDescent="0.25">
      <c r="B25" s="15" t="s">
        <v>47</v>
      </c>
      <c r="C25" s="45">
        <v>0.35499999999999998</v>
      </c>
    </row>
    <row r="26" spans="1:3" ht="15" customHeight="1" x14ac:dyDescent="0.25">
      <c r="B26" s="15" t="s">
        <v>48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0.34290466666442998</v>
      </c>
    </row>
    <row r="30" spans="1:3" ht="14.25" customHeight="1" x14ac:dyDescent="0.25">
      <c r="B30" s="25" t="s">
        <v>63</v>
      </c>
      <c r="C30" s="99">
        <v>3.07454772021977E-2</v>
      </c>
    </row>
    <row r="31" spans="1:3" ht="14.25" customHeight="1" x14ac:dyDescent="0.25">
      <c r="B31" s="25" t="s">
        <v>10</v>
      </c>
      <c r="C31" s="99">
        <v>5.8505816356096703E-2</v>
      </c>
    </row>
    <row r="32" spans="1:3" ht="14.25" customHeight="1" x14ac:dyDescent="0.25">
      <c r="B32" s="25" t="s">
        <v>11</v>
      </c>
      <c r="C32" s="99">
        <v>0.56784403977727504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19.462630000000001</v>
      </c>
    </row>
    <row r="38" spans="1:5" ht="15" customHeight="1" x14ac:dyDescent="0.25">
      <c r="B38" s="11" t="s">
        <v>35</v>
      </c>
      <c r="C38" s="43">
        <v>29.38363</v>
      </c>
      <c r="D38" s="12"/>
      <c r="E38" s="13"/>
    </row>
    <row r="39" spans="1:5" ht="15" customHeight="1" x14ac:dyDescent="0.25">
      <c r="B39" s="11" t="s">
        <v>61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7.928300000000001E-3</v>
      </c>
      <c r="D45" s="12"/>
    </row>
    <row r="46" spans="1:5" ht="15.75" customHeight="1" x14ac:dyDescent="0.25">
      <c r="B46" s="11" t="s">
        <v>51</v>
      </c>
      <c r="C46" s="45">
        <v>8.5188199999999992E-2</v>
      </c>
      <c r="D46" s="12"/>
    </row>
    <row r="47" spans="1:5" ht="15.75" customHeight="1" x14ac:dyDescent="0.25">
      <c r="B47" s="11" t="s">
        <v>59</v>
      </c>
      <c r="C47" s="45">
        <v>7.3460999999999999E-2</v>
      </c>
      <c r="D47" s="12"/>
      <c r="E47" s="13"/>
    </row>
    <row r="48" spans="1:5" ht="15" customHeight="1" x14ac:dyDescent="0.25">
      <c r="B48" s="11" t="s">
        <v>58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0.53307799999999994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0.15525137</v>
      </c>
    </row>
    <row r="63" spans="1:4" ht="15.75" customHeight="1" x14ac:dyDescent="0.3">
      <c r="A63" s="4"/>
    </row>
  </sheetData>
  <sheetProtection algorithmName="SHA-512" hashValue="0HYA5dKMuN3kj9sEoSaOQfeVK7NQo7MTfiOFKWr8WfZj2Kv0Ne/OakAn0EDU7KG3hW7uF489ED2MWOmMttbjZQ==" saltValue="nv/Ys7c/eEl5/px5gAsn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69037</v>
      </c>
      <c r="C2" s="49">
        <v>155982.5</v>
      </c>
      <c r="D2" s="49">
        <v>232190.5</v>
      </c>
      <c r="E2" s="49">
        <v>202284.5</v>
      </c>
      <c r="F2" s="49">
        <v>116032</v>
      </c>
      <c r="G2" s="17">
        <f t="shared" ref="G2:G13" si="0">C2+D2+E2+F2</f>
        <v>706489.5</v>
      </c>
      <c r="H2" s="17">
        <f t="shared" ref="H2:H13" si="1">(B2 + stillbirth*B2/(1000-stillbirth))/(1-abortion)</f>
        <v>79830.466320025676</v>
      </c>
      <c r="I2" s="17">
        <f t="shared" ref="I2:I13" si="2">G2-H2</f>
        <v>626659.03367997427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68964</v>
      </c>
      <c r="C3" s="50">
        <v>160686</v>
      </c>
      <c r="D3" s="50">
        <v>231955</v>
      </c>
      <c r="E3" s="50">
        <v>208214.5</v>
      </c>
      <c r="F3" s="50">
        <v>118485.5</v>
      </c>
      <c r="G3" s="17">
        <f t="shared" si="0"/>
        <v>719341</v>
      </c>
      <c r="H3" s="17">
        <f t="shared" si="1"/>
        <v>79746.053265556882</v>
      </c>
      <c r="I3" s="17">
        <f t="shared" si="2"/>
        <v>639594.94673444307</v>
      </c>
    </row>
    <row r="4" spans="1:9" ht="15.75" customHeight="1" x14ac:dyDescent="0.25">
      <c r="A4" s="5">
        <f t="shared" si="3"/>
        <v>2026</v>
      </c>
      <c r="B4" s="49">
        <v>68892</v>
      </c>
      <c r="C4" s="50">
        <v>165800.5</v>
      </c>
      <c r="D4" s="50">
        <v>232799.5</v>
      </c>
      <c r="E4" s="50">
        <v>212898.5</v>
      </c>
      <c r="F4" s="50">
        <v>121303.5</v>
      </c>
      <c r="G4" s="17">
        <f t="shared" si="0"/>
        <v>732802</v>
      </c>
      <c r="H4" s="17">
        <f t="shared" si="1"/>
        <v>79662.796554300003</v>
      </c>
      <c r="I4" s="17">
        <f t="shared" si="2"/>
        <v>653139.2034457</v>
      </c>
    </row>
    <row r="5" spans="1:9" ht="15.75" customHeight="1" x14ac:dyDescent="0.25">
      <c r="A5" s="5">
        <f t="shared" si="3"/>
        <v>2027</v>
      </c>
      <c r="B5" s="49">
        <v>69182</v>
      </c>
      <c r="C5" s="50">
        <v>170948</v>
      </c>
      <c r="D5" s="50">
        <v>234513.5</v>
      </c>
      <c r="E5" s="50">
        <v>216608.5</v>
      </c>
      <c r="F5" s="50">
        <v>124542</v>
      </c>
      <c r="G5" s="17">
        <f t="shared" si="0"/>
        <v>746612</v>
      </c>
      <c r="H5" s="17">
        <f t="shared" si="1"/>
        <v>79998.136085751365</v>
      </c>
      <c r="I5" s="17">
        <f t="shared" si="2"/>
        <v>666613.86391424865</v>
      </c>
    </row>
    <row r="6" spans="1:9" ht="15.75" customHeight="1" x14ac:dyDescent="0.25">
      <c r="A6" s="5">
        <f t="shared" si="3"/>
        <v>2028</v>
      </c>
      <c r="B6" s="49">
        <v>69005</v>
      </c>
      <c r="C6" s="50">
        <v>175718.5</v>
      </c>
      <c r="D6" s="50">
        <v>236825</v>
      </c>
      <c r="E6" s="50">
        <v>219783.5</v>
      </c>
      <c r="F6" s="50">
        <v>128299.5</v>
      </c>
      <c r="G6" s="17">
        <f t="shared" si="0"/>
        <v>760626.5</v>
      </c>
      <c r="H6" s="17">
        <f t="shared" si="1"/>
        <v>79793.463337244844</v>
      </c>
      <c r="I6" s="17">
        <f t="shared" si="2"/>
        <v>680833.03666275518</v>
      </c>
    </row>
    <row r="7" spans="1:9" ht="15.75" customHeight="1" x14ac:dyDescent="0.25">
      <c r="A7" s="5">
        <f t="shared" si="3"/>
        <v>2029</v>
      </c>
      <c r="B7" s="49">
        <v>69277</v>
      </c>
      <c r="C7" s="50">
        <v>180001</v>
      </c>
      <c r="D7" s="50">
        <v>239743.5</v>
      </c>
      <c r="E7" s="50">
        <v>222369.5</v>
      </c>
      <c r="F7" s="50">
        <v>132803</v>
      </c>
      <c r="G7" s="17">
        <f t="shared" si="0"/>
        <v>774917</v>
      </c>
      <c r="H7" s="17">
        <f t="shared" si="1"/>
        <v>80107.98869088199</v>
      </c>
      <c r="I7" s="17">
        <f t="shared" si="2"/>
        <v>694809.01130911801</v>
      </c>
    </row>
    <row r="8" spans="1:9" ht="15.75" customHeight="1" x14ac:dyDescent="0.25">
      <c r="A8" s="5">
        <f t="shared" si="3"/>
        <v>2030</v>
      </c>
      <c r="B8" s="49">
        <v>69334</v>
      </c>
      <c r="C8" s="50">
        <v>183782</v>
      </c>
      <c r="D8" s="50">
        <v>243525.5</v>
      </c>
      <c r="E8" s="50">
        <v>223437</v>
      </c>
      <c r="F8" s="50">
        <v>138108</v>
      </c>
      <c r="G8" s="17">
        <f t="shared" si="0"/>
        <v>788852.5</v>
      </c>
      <c r="H8" s="17">
        <f t="shared" si="1"/>
        <v>80173.900253960339</v>
      </c>
      <c r="I8" s="17">
        <f t="shared" si="2"/>
        <v>708678.5997460396</v>
      </c>
    </row>
    <row r="9" spans="1:9" ht="15.75" customHeight="1" x14ac:dyDescent="0.25">
      <c r="A9" s="5">
        <f t="shared" si="3"/>
        <v>2031</v>
      </c>
      <c r="B9" s="49">
        <v>69307</v>
      </c>
      <c r="C9" s="50">
        <v>186967</v>
      </c>
      <c r="D9" s="50">
        <v>248483</v>
      </c>
      <c r="E9" s="50">
        <v>222962.5</v>
      </c>
      <c r="F9" s="50">
        <v>144692.5</v>
      </c>
      <c r="G9" s="17">
        <f t="shared" si="0"/>
        <v>803105</v>
      </c>
      <c r="H9" s="17">
        <f t="shared" si="1"/>
        <v>80142.678987239007</v>
      </c>
      <c r="I9" s="17">
        <f t="shared" si="2"/>
        <v>722962.32101276098</v>
      </c>
    </row>
    <row r="10" spans="1:9" ht="15.75" customHeight="1" x14ac:dyDescent="0.25">
      <c r="A10" s="5">
        <f t="shared" si="3"/>
        <v>2032</v>
      </c>
      <c r="B10" s="49">
        <v>69727</v>
      </c>
      <c r="C10" s="50">
        <v>189458.5</v>
      </c>
      <c r="D10" s="50">
        <v>254620</v>
      </c>
      <c r="E10" s="50">
        <v>221975</v>
      </c>
      <c r="F10" s="50">
        <v>152420.5</v>
      </c>
      <c r="G10" s="17">
        <f t="shared" si="0"/>
        <v>818474</v>
      </c>
      <c r="H10" s="17">
        <f t="shared" si="1"/>
        <v>80628.343136237541</v>
      </c>
      <c r="I10" s="17">
        <f t="shared" si="2"/>
        <v>737845.65686376242</v>
      </c>
    </row>
    <row r="11" spans="1:9" ht="15.75" customHeight="1" x14ac:dyDescent="0.25">
      <c r="A11" s="5">
        <f t="shared" si="3"/>
        <v>2033</v>
      </c>
      <c r="B11" s="49">
        <v>70148</v>
      </c>
      <c r="C11" s="50">
        <v>191454.5</v>
      </c>
      <c r="D11" s="50">
        <v>261530</v>
      </c>
      <c r="E11" s="50">
        <v>220935</v>
      </c>
      <c r="F11" s="50">
        <v>160072.5</v>
      </c>
      <c r="G11" s="17">
        <f t="shared" si="0"/>
        <v>833992</v>
      </c>
      <c r="H11" s="17">
        <f t="shared" si="1"/>
        <v>81115.163628447946</v>
      </c>
      <c r="I11" s="17">
        <f t="shared" si="2"/>
        <v>752876.83637155208</v>
      </c>
    </row>
    <row r="12" spans="1:9" ht="15.75" customHeight="1" x14ac:dyDescent="0.25">
      <c r="A12" s="5">
        <f t="shared" si="3"/>
        <v>2034</v>
      </c>
      <c r="B12" s="49">
        <v>70432</v>
      </c>
      <c r="C12" s="50">
        <v>193035.5</v>
      </c>
      <c r="D12" s="50">
        <v>268807.5</v>
      </c>
      <c r="E12" s="50">
        <v>220241.5</v>
      </c>
      <c r="F12" s="50">
        <v>167101</v>
      </c>
      <c r="G12" s="17">
        <f t="shared" si="0"/>
        <v>849185.5</v>
      </c>
      <c r="H12" s="17">
        <f t="shared" si="1"/>
        <v>81443.565100627908</v>
      </c>
      <c r="I12" s="17">
        <f t="shared" si="2"/>
        <v>767741.93489937205</v>
      </c>
    </row>
    <row r="13" spans="1:9" ht="15.75" customHeight="1" x14ac:dyDescent="0.25">
      <c r="A13" s="5">
        <f t="shared" si="3"/>
        <v>2035</v>
      </c>
      <c r="B13" s="49">
        <v>70913</v>
      </c>
      <c r="C13" s="50">
        <v>194247</v>
      </c>
      <c r="D13" s="50">
        <v>276169.5</v>
      </c>
      <c r="E13" s="50">
        <v>220352</v>
      </c>
      <c r="F13" s="50">
        <v>173328</v>
      </c>
      <c r="G13" s="17">
        <f t="shared" si="0"/>
        <v>864096.5</v>
      </c>
      <c r="H13" s="17">
        <f t="shared" si="1"/>
        <v>81999.766185552406</v>
      </c>
      <c r="I13" s="17">
        <f t="shared" si="2"/>
        <v>782096.73381444765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7y3a9qt+SbGDWPE1mk0waBXQEIG6Jmitbe/8HkhZ/WaSxT3OqxJPHhD2BF2MiwXa2mV0e9AA4VcLRYJCYmwaA==" saltValue="z+VRevLKXRofNLoW/022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1.0223598977640099E-2</v>
      </c>
    </row>
    <row r="4" spans="1:8" ht="15.75" customHeight="1" x14ac:dyDescent="0.25">
      <c r="B4" s="19" t="s">
        <v>97</v>
      </c>
      <c r="C4" s="101">
        <v>5.4527794547220461E-2</v>
      </c>
    </row>
    <row r="5" spans="1:8" ht="15.75" customHeight="1" x14ac:dyDescent="0.25">
      <c r="B5" s="19" t="s">
        <v>95</v>
      </c>
      <c r="C5" s="101">
        <v>6.7976193202380797E-2</v>
      </c>
    </row>
    <row r="6" spans="1:8" ht="15.75" customHeight="1" x14ac:dyDescent="0.25">
      <c r="B6" s="19" t="s">
        <v>91</v>
      </c>
      <c r="C6" s="101">
        <v>0.23703687629631159</v>
      </c>
    </row>
    <row r="7" spans="1:8" ht="15.75" customHeight="1" x14ac:dyDescent="0.25">
      <c r="B7" s="19" t="s">
        <v>96</v>
      </c>
      <c r="C7" s="101">
        <v>0.43144785685521458</v>
      </c>
    </row>
    <row r="8" spans="1:8" ht="15.75" customHeight="1" x14ac:dyDescent="0.25">
      <c r="B8" s="19" t="s">
        <v>98</v>
      </c>
      <c r="C8" s="101">
        <v>1.472199852780015E-3</v>
      </c>
    </row>
    <row r="9" spans="1:8" ht="15.75" customHeight="1" x14ac:dyDescent="0.25">
      <c r="B9" s="19" t="s">
        <v>92</v>
      </c>
      <c r="C9" s="101">
        <v>8.8945991105401023E-2</v>
      </c>
    </row>
    <row r="10" spans="1:8" ht="15.75" customHeight="1" x14ac:dyDescent="0.25">
      <c r="B10" s="19" t="s">
        <v>94</v>
      </c>
      <c r="C10" s="101">
        <v>0.1083694891630512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102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2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90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3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101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79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99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7.6914598000000015E-2</v>
      </c>
    </row>
    <row r="27" spans="1:8" ht="15.75" customHeight="1" x14ac:dyDescent="0.25">
      <c r="B27" s="19" t="s">
        <v>89</v>
      </c>
      <c r="C27" s="101">
        <v>7.5643810000000002E-3</v>
      </c>
    </row>
    <row r="28" spans="1:8" ht="15.75" customHeight="1" x14ac:dyDescent="0.25">
      <c r="B28" s="19" t="s">
        <v>103</v>
      </c>
      <c r="C28" s="101">
        <v>0.13334979499999999</v>
      </c>
    </row>
    <row r="29" spans="1:8" ht="15.75" customHeight="1" x14ac:dyDescent="0.25">
      <c r="B29" s="19" t="s">
        <v>86</v>
      </c>
      <c r="C29" s="101">
        <v>0.14638231299999999</v>
      </c>
    </row>
    <row r="30" spans="1:8" ht="15.75" customHeight="1" x14ac:dyDescent="0.25">
      <c r="B30" s="19" t="s">
        <v>4</v>
      </c>
      <c r="C30" s="101">
        <v>9.1820059999999995E-2</v>
      </c>
    </row>
    <row r="31" spans="1:8" ht="15.75" customHeight="1" x14ac:dyDescent="0.25">
      <c r="B31" s="19" t="s">
        <v>80</v>
      </c>
      <c r="C31" s="101">
        <v>9.6547411000000014E-2</v>
      </c>
    </row>
    <row r="32" spans="1:8" ht="15.75" customHeight="1" x14ac:dyDescent="0.25">
      <c r="B32" s="19" t="s">
        <v>85</v>
      </c>
      <c r="C32" s="101">
        <v>1.6333001E-2</v>
      </c>
    </row>
    <row r="33" spans="2:3" ht="15.75" customHeight="1" x14ac:dyDescent="0.25">
      <c r="B33" s="19" t="s">
        <v>100</v>
      </c>
      <c r="C33" s="101">
        <v>7.2137805999999999E-2</v>
      </c>
    </row>
    <row r="34" spans="2:3" ht="15.75" customHeight="1" x14ac:dyDescent="0.25">
      <c r="B34" s="19" t="s">
        <v>87</v>
      </c>
      <c r="C34" s="101">
        <v>0.35895063599999999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3QQbfJ8Iwdd8abyoqx8M+52CFpQLjOTNEdkD1ks/ShvkdFafO0SdY/kHSVbXYnuXlrgC7LcDiW5MoYVKZU6Q5A==" saltValue="V+QNMCiPxQOCj7rEWxJW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110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106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107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119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LTPsmnSeF5mMpM4BsO/ko1eTZuL2IqhXRg75sCaGjh0tlRMVEsC5j8bkAQ19dLWAReH+uFVU5NoZAl9A9XamQ==" saltValue="CDEQEu1vwDcBOdcvCb78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125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Me/uSNL+wpbMKYkJ3z0SIowkn8fCUO1lnR9W8iRUt+WQYlxM8vqh72URkbX+2qDRRj1xhWoS/J5kX03vqfHgig==" saltValue="daaPsVaJSpB5HzhfzbIu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it4YFajdk3kvHlbG7/q3+1tjz9IHefJotb7MZGt7Cy7cdcGbM7pzUM7JAp2F9A8rRHsa3OILy4TtgqAl6oq7Q==" saltValue="aEdftyR1TkX8hx3b7yf5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cvLWKXeF4F6/3VIACwx2QgIz4D0Xvv6NsPoaeYyqu71hzwGbCogtjrSIMHa49L6rt0ib+IvbX68o/z9BDzuW9Q==" saltValue="CtRKHwdbn45HoAvpW7ayk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26SxpwlS/6Z5LZm+J0KUxhowGQFiX/OrK8IWAglvlc/317/kTpUT+mGk98NQ3uNcqFrHsbtGkzczXVZUmB3KHg==" saltValue="w4up5lhBECCgOeRc12zj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JTvY4x41o+0bF/7lEaQKtVHhKSXdWn6kBsX0a2TM1NskoBc3rN8Pwqd3OCaB9tDws5b1E+YtUbj06rQejzi0Q==" saltValue="Y46b5Qj9kBP/tQyxfaZJ8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1.5590045024359589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0.38645259999999998</v>
      </c>
      <c r="C10" s="98">
        <v>0.95</v>
      </c>
      <c r="D10" s="56">
        <v>13.05116778302235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13.05116778302235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13.05116778302235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13.05116778302235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0.38645259999999998</v>
      </c>
      <c r="C14" s="98">
        <v>0.95</v>
      </c>
      <c r="D14" s="56">
        <v>13.05116778302235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13.05116778302235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4.9176999999999998E-2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0.67200000000000004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0.45918130000000001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22.54259034226105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0.22748450000000001</v>
      </c>
      <c r="C23" s="98">
        <v>0.95</v>
      </c>
      <c r="D23" s="56">
        <v>4.3037053742427069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0.85985686684090001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0.38645259999999998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0.71619929999999998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0.24890229999999999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0.59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0.44599899999999998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0.125864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8.1373999999999995E-3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0.83701589999999992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2E-3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HOzwSbTiW93xDvTaJOi3qGoLDrdwpmWIADDocg+D0f0WvWDsgFEk3s3T6rBtz24Xhj7jfyhvW0Btpp2TPqoukQ==" saltValue="yYkZ8v835jTgqLV62DiO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9TE8fXzL4ZFnZ3arbdSjEHCQ9ShuVT2RnetRhXrDzB12RhrKTMQIqYoKnmqKo+yColAj0iwf1eaV2d4DSrM8Q==" saltValue="THUUduLx1LqNvnpNxwKQ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aucp8WZKsvSFlYkNX+4HqGyqtmOu/eTZpo7SAWz6tlvWsX1e3i/jSq94CrxOPdSTlOmkm6jO7y0l/ODNaHdf7A==" saltValue="mCBTzo/Lf8Xu2jyvdDDU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207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0/O1CoIge1ttZwAcjWrRk9gTjp+qFwtWM6C+m8Jseo/Iov3rWUaVAb2q5SvLEvp1ZPdoP4H3nSBJ7Vw9Kt2ojQ==" saltValue="DlaE6jpwFY0LK61p4bXlB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0qkQvQkvwJkwec5BxYsZ/b93/MQXEk877G+aACfqhgLUBYTknYS1mCrBspgbYuSEPBSRQV2NG+12c8y8n2Kig==" saltValue="s/zsLEUV8ls4d9uocy+G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A7PmJlU1XKNJ7iAIF0HyFZZMXcx2EWTKiB5CV++X+nm6g45Nl55lFJKnstHkLpWCTR1XPdXCvA6FYGXhT50yvA==" saltValue="vO3y1lxAGv+fDQfqgIuY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B/nW+AwMwzigdLMtCAHDiw1LMPxVVVoywrPFLAZhFDVpBONsXhB5HrwnMF7yWv//s4dM49oySyb3dLlLzYDtw==" saltValue="p/oxcgO/wG2HtHEQ2DRm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P8Z09cavD7siVAyvsIR7I1nsNDjqxUViG8kLxwGd7Nu292Jw6oRMNCGA4RQn9F3zJ4SfoyZztNDZqaj9GvWcQ==" saltValue="dVB3iD7VNeWFIA4VyyE/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Z4FbXmlVZht/1jsHh/drGikSJVdRAEWnnnTiCWSjwvBVvJo8MeprqPOUsSIyJs2f3s6VLMk1lxmlKbxpu82kA==" saltValue="MwpQ77bPKx68EUCPfF/M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zj8jXwsSQVG2XcNMRVpruicmNqJIAPY+nVfGM2H1biBMSIbX3Me/rna4oGtnFmJlF3li0vMo7YPYAmW0+J6Ig==" saltValue="lnAfVz4rxkD0Q11ZQnAD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gNVQM6AZCMFEMLGICtVrG71YZvEBd3r5xdsV75FiMpJpIcWXyxvknJF+ZF2J7SGcEfNxelQNk570esTJjm27A==" saltValue="eCNRBIrN2pSZ8vt/w8oX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g+7wWaXO55JaSE7RhbIPysvygfmrmpwbY0Q61IFHuguIZanTFTAaeDWGq3RMRDiBz63NUuDKkYTxRYvIwhqbw==" saltValue="P6OFuX8pwZ+7X4CkgWSm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Z5XmHRKK6p40V6HlN9QaX+hgTKMS/5GnyBfaf3lBSkM6jAsl67eS9FGLEEs7oEZrbLPUL+GjiXzqfj2bzPB8w==" saltValue="fNqO5+D+ALYEIDbD1kER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n7IxG3M1SzWVV7VOuG+Nm03+w1PDMa4te/86rPkDuTa7OD9a4TNqP7wF/2u75HtO8ttZw7HjMflUrZXIoI+Tg==" saltValue="8wxkfOu6ZWHISxFpAiSq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oXEep7Mm0Y7t89AtqD/qmrFirhTvHAcYZuzNQJS+nxh1mRH28xtdKxg9Ld1V6xI/RBrUlUy5E3+3jgSNa/Ing==" saltValue="Vn+cZE/Yrq79waTtG5Lj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9jBi8LIG0bEu+gVS2/mzeTxSvbPVTh7awGgudd+rLbNSzJfDVzwfl+m1NBR5N20/upF+wg9ATOdEg9McSLsIg==" saltValue="rU6kCcuada5ytStPlOCD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+f3kCFiAocvHqzXzx8HVS1VBoneSBq3wCuzoHhKrIQjmoovvDnl5uzTu87LSTy6mQRQ7hLKqQqT8M4KygQR2g==" saltValue="BjmetMKym3I1t1EXX1no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0.10408379945135304</v>
      </c>
      <c r="G18" s="90">
        <f>MIN(MAX(1-0.89/(1-frac_sam_12_23months+(frac_sam_12_23months*0.89)),0),1)</f>
        <v>0.10570170818540103</v>
      </c>
      <c r="H18" s="90">
        <f>MIN(MAX(1-0.89/(1-frac_sam_24_59months+(frac_sam_24_59months*0.89)),0),1)</f>
        <v>0.10903289262556359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9.9998198075044065E-2</v>
      </c>
      <c r="G20" s="90">
        <f>MIN(MAX(1-0.89/(1-frac_mam_12_23months+(frac_mam_12_23months*0.89)),0),1)</f>
        <v>0.10559612615633363</v>
      </c>
      <c r="H20" s="90">
        <f>MIN(MAX(1-0.89/(1-frac_mam_24_59months+(frac_mam_24_59months*0.89)),0),1)</f>
        <v>0.10682373479720408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9.4053262054276665E-3</v>
      </c>
      <c r="G73" s="90">
        <f>MIN(MAX(1-0.99/(1-frac_sam_12_23months+(frac_sam_12_23months*0.99)),0),1)</f>
        <v>9.5672413008467405E-3</v>
      </c>
      <c r="H73" s="90">
        <f>MIN(MAX(1-0.99/(1-frac_sam_24_59months+(frac_sam_24_59months*0.99)),0),1)</f>
        <v>9.9022991390744775E-3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8.9988103270960407E-3</v>
      </c>
      <c r="G75" s="90">
        <f>MIN(MAX(1-0.99/(1-frac_mam_12_23months+(frac_mam_12_23months*0.99)),0),1)</f>
        <v>9.5566587420294891E-3</v>
      </c>
      <c r="H75" s="90">
        <f>MIN(MAX(1-0.99/(1-frac_mam_24_59months+(frac_mam_24_59months*0.99)),0),1)</f>
        <v>9.6798433578396681E-3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0.19027815564797179</v>
      </c>
      <c r="G128" s="90">
        <f>MIN(MAX(1-0.8/(1-frac_sam_12_23months+(frac_sam_12_23months*0.8)),0),1)</f>
        <v>0.19294734439424555</v>
      </c>
      <c r="H128" s="90">
        <f>MIN(MAX(1-0.8/(1-frac_sam_24_59months+(frac_sam_24_59months*0.8)),0),1)</f>
        <v>0.19841802988706392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0.18350215480925702</v>
      </c>
      <c r="G130" s="90">
        <f>MIN(MAX(1-0.8/(1-frac_mam_12_23months+(frac_mam_12_23months*0.8)),0),1)</f>
        <v>0.19277340073729254</v>
      </c>
      <c r="H130" s="90">
        <f>MIN(MAX(1-0.8/(1-frac_mam_24_59months+(frac_mam_24_59months*0.8)),0),1)</f>
        <v>0.19479376192233644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zX5v90Uapbk/j2eipU3ioH+/RBuSy/7Hm/ga4nOtBpcZ2y5y43cos1Sev+crcWdeXNSTF0gOW7lwhyWDCGS6A==" saltValue="PJBoWazHVJnoY0IvgT0R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LId7dBawNS2s8cNgkuWaNMxC6FO1fZy+0zmWKvoqQZmCM+/UUE4lkPvLlzOKmIFo3r/Tmscs1537DySM85eVw==" saltValue="75B3kehXj/DEBMi0s6da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2024-08-06T08:04:59Z</dcterms:modified>
</cp:coreProperties>
</file>