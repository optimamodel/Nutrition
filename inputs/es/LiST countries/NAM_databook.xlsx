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6305514-6F29-4AFB-8416-7611ECB0B10B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19" i="2" l="1"/>
  <c r="A22" i="2"/>
  <c r="A24" i="2"/>
  <c r="A31" i="2"/>
  <c r="I4" i="2"/>
  <c r="I8" i="2"/>
  <c r="I12" i="2"/>
  <c r="A25" i="2"/>
  <c r="A26" i="2"/>
  <c r="I39" i="2"/>
  <c r="I2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<sst xmlns="http://schemas.openxmlformats.org/spreadsheetml/2006/main" count="2159" uniqueCount="372">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</sst>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333702.49999999988</v>
      </c>
    </row>
    <row r="8" spans="1:3" ht="15" customHeight="1" x14ac:dyDescent="0.25">
      <c r="B8" s="5" t="s">
        <v>63</v>
      </c>
      <c r="C8" s="44">
        <v>0.17399999999999999</v>
      </c>
    </row>
    <row r="9" spans="1:3" ht="15" customHeight="1" x14ac:dyDescent="0.25">
      <c r="B9" s="5" t="s">
        <v>62</v>
      </c>
      <c r="C9" s="45">
        <v>0.27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0.1114</v>
      </c>
    </row>
    <row r="24" spans="1:3" ht="15" customHeight="1" x14ac:dyDescent="0.25">
      <c r="B24" s="15" t="s">
        <v>65</v>
      </c>
      <c r="C24" s="45">
        <v>0.47339999999999999</v>
      </c>
    </row>
    <row r="25" spans="1:3" ht="15" customHeight="1" x14ac:dyDescent="0.25">
      <c r="B25" s="15" t="s">
        <v>66</v>
      </c>
      <c r="C25" s="45">
        <v>0.35499999999999998</v>
      </c>
    </row>
    <row r="26" spans="1:3" ht="15" customHeight="1" x14ac:dyDescent="0.25">
      <c r="B26" s="15" t="s">
        <v>67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0.34290466666442998</v>
      </c>
    </row>
    <row r="30" spans="1:3" ht="14.25" customHeight="1" x14ac:dyDescent="0.25">
      <c r="B30" s="25" t="s">
        <v>82</v>
      </c>
      <c r="C30" s="99">
        <v>3.07454772021977E-2</v>
      </c>
    </row>
    <row r="31" spans="1:3" ht="14.25" customHeight="1" x14ac:dyDescent="0.25">
      <c r="B31" s="25" t="s">
        <v>29</v>
      </c>
      <c r="C31" s="99">
        <v>5.8505816356096703E-2</v>
      </c>
    </row>
    <row r="32" spans="1:3" ht="14.25" customHeight="1" x14ac:dyDescent="0.25">
      <c r="B32" s="25" t="s">
        <v>30</v>
      </c>
      <c r="C32" s="99">
        <v>0.56784403977727504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19.462630000000001</v>
      </c>
    </row>
    <row r="38" spans="1:5" ht="15" customHeight="1" x14ac:dyDescent="0.25">
      <c r="B38" s="11" t="s">
        <v>54</v>
      </c>
      <c r="C38" s="43">
        <v>29.38363</v>
      </c>
      <c r="D38" s="12"/>
      <c r="E38" s="13"/>
    </row>
    <row r="39" spans="1:5" ht="15" customHeight="1" x14ac:dyDescent="0.25">
      <c r="B39" s="11" t="s">
        <v>80</v>
      </c>
      <c r="C39" s="43">
        <v>39.043300000000002</v>
      </c>
      <c r="D39" s="12"/>
      <c r="E39" s="12"/>
    </row>
    <row r="40" spans="1:5" ht="15" customHeight="1" x14ac:dyDescent="0.25">
      <c r="B40" s="11" t="s">
        <v>55</v>
      </c>
      <c r="C40" s="100">
        <v>2.15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7.928300000000001E-3</v>
      </c>
      <c r="D45" s="12"/>
    </row>
    <row r="46" spans="1:5" ht="15.75" customHeight="1" x14ac:dyDescent="0.25">
      <c r="B46" s="11" t="s">
        <v>70</v>
      </c>
      <c r="C46" s="45">
        <v>8.5188199999999992E-2</v>
      </c>
      <c r="D46" s="12"/>
    </row>
    <row r="47" spans="1:5" ht="15.75" customHeight="1" x14ac:dyDescent="0.25">
      <c r="B47" s="11" t="s">
        <v>78</v>
      </c>
      <c r="C47" s="45">
        <v>7.3460999999999999E-2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3.1720000000000002</v>
      </c>
      <c r="D51" s="12"/>
    </row>
    <row r="52" spans="1:4" ht="15" customHeight="1" x14ac:dyDescent="0.25">
      <c r="B52" s="11" t="s">
        <v>32</v>
      </c>
      <c r="C52" s="100">
        <v>3.1720000000000002</v>
      </c>
    </row>
    <row r="53" spans="1:4" ht="15.75" customHeight="1" x14ac:dyDescent="0.25">
      <c r="B53" s="11" t="s">
        <v>35</v>
      </c>
      <c r="C53" s="100">
        <v>7.8519999999999994</v>
      </c>
    </row>
    <row r="54" spans="1:4" ht="15.75" customHeight="1" x14ac:dyDescent="0.25">
      <c r="B54" s="11" t="s">
        <v>33</v>
      </c>
      <c r="C54" s="100">
        <v>7.3060000000000009</v>
      </c>
    </row>
    <row r="55" spans="1:4" ht="15.75" customHeight="1" x14ac:dyDescent="0.25">
      <c r="B55" s="11" t="s">
        <v>34</v>
      </c>
      <c r="C55" s="100">
        <v>3.102666666666666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0.53307799999999994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Q/PR56B9nlaRnb8GuwIPP9mbULCS5GOpCspwLL8aabsouSg2+MWOPHSETZXEbAH0jvBe0mSGLnT/cx7tt5iVLQ==" saltValue="pBTWdNW+n8ZbVjltU6+S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398920.5</v>
      </c>
      <c r="C2" s="49">
        <v>81994</v>
      </c>
      <c r="D2" s="49">
        <v>194578</v>
      </c>
      <c r="E2" s="49">
        <v>299704.50000000006</v>
      </c>
      <c r="F2" s="49">
        <v>262500</v>
      </c>
      <c r="G2" s="17">
        <f t="shared" ref="G2:G13" si="0">C2+D2+E2+F2</f>
        <v>838776.5</v>
      </c>
      <c r="H2" s="17">
        <f t="shared" ref="H2:H13" si="1">(B2 + stillbirth*B2/(1000-stillbirth))/(1-abortion)</f>
        <v>461289.01226324734</v>
      </c>
      <c r="I2" s="17">
        <f t="shared" ref="I2:I13" si="2">G2-H2</f>
        <v>377487.48773675266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78452</v>
      </c>
      <c r="C3" s="50">
        <v>141543.5</v>
      </c>
      <c r="D3" s="50">
        <v>258837</v>
      </c>
      <c r="E3" s="50">
        <v>227154.49999999997</v>
      </c>
      <c r="F3" s="50">
        <v>151957.5</v>
      </c>
      <c r="G3" s="17">
        <f t="shared" si="0"/>
        <v>779492.5</v>
      </c>
      <c r="H3" s="17">
        <f t="shared" si="1"/>
        <v>90717.437660075826</v>
      </c>
      <c r="I3" s="17">
        <f t="shared" si="2"/>
        <v>688775.06233992416</v>
      </c>
    </row>
    <row r="4" spans="1:9" ht="15.75" customHeight="1" x14ac:dyDescent="0.25">
      <c r="A4" s="5">
        <f t="shared" si="3"/>
        <v>2026</v>
      </c>
      <c r="B4" s="49">
        <v>78688</v>
      </c>
      <c r="C4" s="50">
        <v>146019</v>
      </c>
      <c r="D4" s="50">
        <v>258971.99999999997</v>
      </c>
      <c r="E4" s="50">
        <v>234488</v>
      </c>
      <c r="F4" s="50">
        <v>158065.5</v>
      </c>
      <c r="G4" s="17">
        <f t="shared" si="0"/>
        <v>797544.5</v>
      </c>
      <c r="H4" s="17">
        <f t="shared" si="1"/>
        <v>90990.33465808451</v>
      </c>
      <c r="I4" s="17">
        <f t="shared" si="2"/>
        <v>706554.16534191545</v>
      </c>
    </row>
    <row r="5" spans="1:9" ht="15.75" customHeight="1" x14ac:dyDescent="0.25">
      <c r="A5" s="5">
        <f t="shared" si="3"/>
        <v>2027</v>
      </c>
      <c r="B5" s="49">
        <v>78927</v>
      </c>
      <c r="C5" s="50">
        <v>151270.5</v>
      </c>
      <c r="D5" s="50">
        <v>259418</v>
      </c>
      <c r="E5" s="50">
        <v>241112.00000000003</v>
      </c>
      <c r="F5" s="50">
        <v>164204.99999999997</v>
      </c>
      <c r="G5" s="17">
        <f t="shared" si="0"/>
        <v>816005.5</v>
      </c>
      <c r="H5" s="17">
        <f t="shared" si="1"/>
        <v>91266.700685728923</v>
      </c>
      <c r="I5" s="17">
        <f t="shared" si="2"/>
        <v>724738.79931427108</v>
      </c>
    </row>
    <row r="6" spans="1:9" ht="15.75" customHeight="1" x14ac:dyDescent="0.25">
      <c r="A6" s="5">
        <f t="shared" si="3"/>
        <v>2028</v>
      </c>
      <c r="B6" s="49">
        <v>79141</v>
      </c>
      <c r="C6" s="50">
        <v>155945.5</v>
      </c>
      <c r="D6" s="50">
        <v>260213.5</v>
      </c>
      <c r="E6" s="50">
        <v>247335.5</v>
      </c>
      <c r="F6" s="50">
        <v>170475.5</v>
      </c>
      <c r="G6" s="17">
        <f t="shared" si="0"/>
        <v>833970</v>
      </c>
      <c r="H6" s="17">
        <f t="shared" si="1"/>
        <v>91514.158133075776</v>
      </c>
      <c r="I6" s="17">
        <f t="shared" si="2"/>
        <v>742455.84186692419</v>
      </c>
    </row>
    <row r="7" spans="1:9" ht="15.75" customHeight="1" x14ac:dyDescent="0.25">
      <c r="A7" s="5">
        <f t="shared" si="3"/>
        <v>2029</v>
      </c>
      <c r="B7" s="49">
        <v>79377</v>
      </c>
      <c r="C7" s="50">
        <v>160496</v>
      </c>
      <c r="D7" s="50">
        <v>261438.49999999997</v>
      </c>
      <c r="E7" s="50">
        <v>253058.5</v>
      </c>
      <c r="F7" s="50">
        <v>177185.99999999997</v>
      </c>
      <c r="G7" s="17">
        <f t="shared" si="0"/>
        <v>852179</v>
      </c>
      <c r="H7" s="17">
        <f t="shared" si="1"/>
        <v>91787.055131084475</v>
      </c>
      <c r="I7" s="17">
        <f t="shared" si="2"/>
        <v>760391.94486891548</v>
      </c>
    </row>
    <row r="8" spans="1:9" ht="15.75" customHeight="1" x14ac:dyDescent="0.25">
      <c r="A8" s="5">
        <f t="shared" si="3"/>
        <v>2030</v>
      </c>
      <c r="B8" s="49">
        <v>79563</v>
      </c>
      <c r="C8" s="50">
        <v>165652.5</v>
      </c>
      <c r="D8" s="50">
        <v>262694</v>
      </c>
      <c r="E8" s="50">
        <v>258101.5</v>
      </c>
      <c r="F8" s="50">
        <v>184548</v>
      </c>
      <c r="G8" s="17">
        <f t="shared" si="0"/>
        <v>870996</v>
      </c>
      <c r="H8" s="17">
        <f t="shared" si="1"/>
        <v>92002.134968498096</v>
      </c>
      <c r="I8" s="17">
        <f t="shared" si="2"/>
        <v>778993.86503150186</v>
      </c>
    </row>
    <row r="9" spans="1:9" ht="15.75" customHeight="1" x14ac:dyDescent="0.25">
      <c r="A9" s="5">
        <f t="shared" si="3"/>
        <v>2031</v>
      </c>
      <c r="B9" s="49">
        <v>79751</v>
      </c>
      <c r="C9" s="50">
        <v>170769</v>
      </c>
      <c r="D9" s="50">
        <v>265358.5</v>
      </c>
      <c r="E9" s="50">
        <v>262015</v>
      </c>
      <c r="F9" s="50">
        <v>192623</v>
      </c>
      <c r="G9" s="17">
        <f t="shared" si="0"/>
        <v>890765.5</v>
      </c>
      <c r="H9" s="17">
        <f t="shared" si="1"/>
        <v>92219.527492335546</v>
      </c>
      <c r="I9" s="17">
        <f t="shared" si="2"/>
        <v>798545.97250766447</v>
      </c>
    </row>
    <row r="10" spans="1:9" ht="15.75" customHeight="1" x14ac:dyDescent="0.25">
      <c r="A10" s="5">
        <f t="shared" si="3"/>
        <v>2032</v>
      </c>
      <c r="B10" s="49">
        <v>80163</v>
      </c>
      <c r="C10" s="50">
        <v>175767</v>
      </c>
      <c r="D10" s="50">
        <v>270123</v>
      </c>
      <c r="E10" s="50">
        <v>264140.5</v>
      </c>
      <c r="F10" s="50">
        <v>201257.5</v>
      </c>
      <c r="G10" s="17">
        <f t="shared" si="0"/>
        <v>911288</v>
      </c>
      <c r="H10" s="17">
        <f t="shared" si="1"/>
        <v>92695.940895638836</v>
      </c>
      <c r="I10" s="17">
        <f t="shared" si="2"/>
        <v>818592.05910436111</v>
      </c>
    </row>
    <row r="11" spans="1:9" ht="15.75" customHeight="1" x14ac:dyDescent="0.25">
      <c r="A11" s="5">
        <f t="shared" si="3"/>
        <v>2033</v>
      </c>
      <c r="B11" s="49">
        <v>80561</v>
      </c>
      <c r="C11" s="50">
        <v>181135</v>
      </c>
      <c r="D11" s="50">
        <v>275943.99999999994</v>
      </c>
      <c r="E11" s="50">
        <v>264538.5</v>
      </c>
      <c r="F11" s="50">
        <v>210045.00000000003</v>
      </c>
      <c r="G11" s="17">
        <f t="shared" si="0"/>
        <v>931662.5</v>
      </c>
      <c r="H11" s="17">
        <f t="shared" si="1"/>
        <v>93156.165493975539</v>
      </c>
      <c r="I11" s="17">
        <f t="shared" si="2"/>
        <v>838506.33450602449</v>
      </c>
    </row>
    <row r="12" spans="1:9" ht="15.75" customHeight="1" x14ac:dyDescent="0.25">
      <c r="A12" s="5">
        <f t="shared" si="3"/>
        <v>2034</v>
      </c>
      <c r="B12" s="49">
        <v>81061</v>
      </c>
      <c r="C12" s="50">
        <v>186032</v>
      </c>
      <c r="D12" s="50">
        <v>282773</v>
      </c>
      <c r="E12" s="50">
        <v>263757</v>
      </c>
      <c r="F12" s="50">
        <v>218532.5</v>
      </c>
      <c r="G12" s="17">
        <f t="shared" si="0"/>
        <v>951094.5</v>
      </c>
      <c r="H12" s="17">
        <f t="shared" si="1"/>
        <v>93734.337099926153</v>
      </c>
      <c r="I12" s="17">
        <f t="shared" si="2"/>
        <v>857360.1629000738</v>
      </c>
    </row>
    <row r="13" spans="1:9" ht="15.75" customHeight="1" x14ac:dyDescent="0.25">
      <c r="A13" s="5">
        <f t="shared" si="3"/>
        <v>2035</v>
      </c>
      <c r="B13" s="49">
        <v>81466</v>
      </c>
      <c r="C13" s="50">
        <v>190012</v>
      </c>
      <c r="D13" s="50">
        <v>290690</v>
      </c>
      <c r="E13" s="50">
        <v>262740</v>
      </c>
      <c r="F13" s="50">
        <v>226329</v>
      </c>
      <c r="G13" s="17">
        <f t="shared" si="0"/>
        <v>969771</v>
      </c>
      <c r="H13" s="17">
        <f t="shared" si="1"/>
        <v>94202.656100746157</v>
      </c>
      <c r="I13" s="17">
        <f t="shared" si="2"/>
        <v>875568.34389925387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qgMO/J4yc3kjAwNmKU/c56aUvhavmKxYdioLRYAXP0/i4wd610wQpUUIahc0Q7nz5xAbiQG8cS5wrbWI2+HFg==" saltValue="4Ne9t0dmYGK7uVGac8JK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1.0223598977640099E-2</v>
      </c>
    </row>
    <row r="4" spans="1:8" ht="15.75" customHeight="1" x14ac:dyDescent="0.25">
      <c r="B4" s="19" t="s">
        <v>116</v>
      </c>
      <c r="C4" s="101">
        <v>5.4527794547220461E-2</v>
      </c>
    </row>
    <row r="5" spans="1:8" ht="15.75" customHeight="1" x14ac:dyDescent="0.25">
      <c r="B5" s="19" t="s">
        <v>114</v>
      </c>
      <c r="C5" s="101">
        <v>6.7976193202380797E-2</v>
      </c>
    </row>
    <row r="6" spans="1:8" ht="15.75" customHeight="1" x14ac:dyDescent="0.25">
      <c r="B6" s="19" t="s">
        <v>110</v>
      </c>
      <c r="C6" s="101">
        <v>0.23703687629631159</v>
      </c>
    </row>
    <row r="7" spans="1:8" ht="15.75" customHeight="1" x14ac:dyDescent="0.25">
      <c r="B7" s="19" t="s">
        <v>115</v>
      </c>
      <c r="C7" s="101">
        <v>0.43144785685521458</v>
      </c>
    </row>
    <row r="8" spans="1:8" ht="15.75" customHeight="1" x14ac:dyDescent="0.25">
      <c r="B8" s="19" t="s">
        <v>117</v>
      </c>
      <c r="C8" s="101">
        <v>1.472199852780015E-3</v>
      </c>
    </row>
    <row r="9" spans="1:8" ht="15.75" customHeight="1" x14ac:dyDescent="0.25">
      <c r="B9" s="19" t="s">
        <v>111</v>
      </c>
      <c r="C9" s="101">
        <v>8.8945991105401023E-2</v>
      </c>
    </row>
    <row r="10" spans="1:8" ht="15.75" customHeight="1" x14ac:dyDescent="0.25">
      <c r="B10" s="19" t="s">
        <v>113</v>
      </c>
      <c r="C10" s="101">
        <v>0.1083694891630512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121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2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109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3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120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98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107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118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7.6914598000000015E-2</v>
      </c>
    </row>
    <row r="27" spans="1:8" ht="15.75" customHeight="1" x14ac:dyDescent="0.25">
      <c r="B27" s="19" t="s">
        <v>108</v>
      </c>
      <c r="C27" s="101">
        <v>7.5643810000000002E-3</v>
      </c>
    </row>
    <row r="28" spans="1:8" ht="15.75" customHeight="1" x14ac:dyDescent="0.25">
      <c r="B28" s="19" t="s">
        <v>122</v>
      </c>
      <c r="C28" s="101">
        <v>0.13334979499999999</v>
      </c>
    </row>
    <row r="29" spans="1:8" ht="15.75" customHeight="1" x14ac:dyDescent="0.25">
      <c r="B29" s="19" t="s">
        <v>105</v>
      </c>
      <c r="C29" s="101">
        <v>0.14638231299999999</v>
      </c>
    </row>
    <row r="30" spans="1:8" ht="15.75" customHeight="1" x14ac:dyDescent="0.25">
      <c r="B30" s="19" t="s">
        <v>4</v>
      </c>
      <c r="C30" s="101">
        <v>9.1820059999999995E-2</v>
      </c>
    </row>
    <row r="31" spans="1:8" ht="15.75" customHeight="1" x14ac:dyDescent="0.25">
      <c r="B31" s="19" t="s">
        <v>99</v>
      </c>
      <c r="C31" s="101">
        <v>9.6547411000000014E-2</v>
      </c>
    </row>
    <row r="32" spans="1:8" ht="15.75" customHeight="1" x14ac:dyDescent="0.25">
      <c r="B32" s="19" t="s">
        <v>104</v>
      </c>
      <c r="C32" s="101">
        <v>1.6333001E-2</v>
      </c>
    </row>
    <row r="33" spans="2:3" ht="15.75" customHeight="1" x14ac:dyDescent="0.25">
      <c r="B33" s="19" t="s">
        <v>119</v>
      </c>
      <c r="C33" s="101">
        <v>7.2137805999999999E-2</v>
      </c>
    </row>
    <row r="34" spans="2:3" ht="15.75" customHeight="1" x14ac:dyDescent="0.25">
      <c r="B34" s="19" t="s">
        <v>106</v>
      </c>
      <c r="C34" s="101">
        <v>0.35895063599999999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GWy7bBwPwcX69dBRdVV44krHAoyXGtnXAqso38zvl1zWv9h7D2GfUwfkxUDfq7cVQc02LrJuihEe8oFZCDcQA==" saltValue="Rtr46U3ZX8+c/9pyHS7V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129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125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126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138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518qjhJ04Oq9RsrR8GrrR4RuRj0HjSGeaNAry0SwA7gTZUwGgGuW0F2apfxW/VO+/zCObuELnZ6N9dEXV1nEg==" saltValue="XdmI9DsroiNraLLJd4QV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0GjevAJ9y9zOfWDCxYjx5fsar/OW/TpzxCbX+HmiQYNfWC9nWVze2j0MCbHc85yjL4faNQmiVgRYdxNfA0NaDg==" saltValue="NmAp0QgqM4pjZLZ1GJ/2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IaCUhuHlwEWXcuYdTKFQWxMPfUTW6KeKRbRIKtiqCqDNUC9KtuctDj1eP4dr2uYg6BH+wANrvZ8TWdB0Tzdlg==" saltValue="65QYxSOJOhgZOVQziBVq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5031.11503011478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0.51737999999999995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0.56798000000000004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1.5925949897969933E-2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95802.909700000004</v>
      </c>
      <c r="C22" s="109">
        <v>95231.704559999998</v>
      </c>
      <c r="D22" s="109">
        <v>94736.234509999995</v>
      </c>
      <c r="E22" s="109">
        <v>93963.133660000007</v>
      </c>
      <c r="F22" s="109">
        <v>93027.028210000004</v>
      </c>
      <c r="G22" s="109">
        <v>91832.462050000002</v>
      </c>
      <c r="H22" s="109">
        <v>90037.579700000002</v>
      </c>
      <c r="I22" s="109">
        <v>87382.673089999997</v>
      </c>
      <c r="J22" s="109">
        <v>83701.483229999998</v>
      </c>
      <c r="K22" s="109">
        <v>79075.091570000004</v>
      </c>
      <c r="L22" s="109">
        <v>73410.135949999996</v>
      </c>
      <c r="M22" s="109">
        <v>67040.048869999999</v>
      </c>
      <c r="N22" s="109">
        <v>59526.43159</v>
      </c>
      <c r="O22" s="109">
        <v>50523.108370000002</v>
      </c>
    </row>
  </sheetData>
  <sheetProtection algorithmName="SHA-512" hashValue="9ZPYKEQNDOHyDEpZ31GY+zWfg+Y+HOkFWEvJ55YVD71wvaxskaujdAHsyFQ985PKRdIIGtB2P51Ci8mlsEcTYw==" saltValue="tpYkjr8CjBGSsok9dM0b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BWQiZQlsBm2NDRoM+yc6z3Tv0M4xU9gR+Wo22JoB2rFjr/+eb/XUVuHsTFpi1FEs5SegXxJwOdK8ek2MMZ+tA==" saltValue="NxA2tRc6o1OM/XTz2A0E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e6KdiIycCyLVEPYOskI1jI/navHmLIrftZcNX1SU/xPhdKyoHxWBKg+5F5AKp9XeurTmyEK98VlOE/IywR6CA==" saltValue="xG9pvGj294dtX6gZrn0F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0.38645259999999998</v>
      </c>
      <c r="C10" s="98">
        <v>0.95</v>
      </c>
      <c r="D10" s="56">
        <v>13.05116778302235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13.05116778302235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13.05116778302235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13.05116778302235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13.05116778302235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4.9176999999999998E-2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0.67200000000000004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0.45918130000000001</v>
      </c>
      <c r="C19" s="98">
        <v>0.95</v>
      </c>
      <c r="D19" s="56">
        <v>10.16995323631398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0.22748450000000001</v>
      </c>
      <c r="C23" s="98">
        <v>0.95</v>
      </c>
      <c r="D23" s="56">
        <v>4.3037053742427069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0.85985686684090001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0.71619929999999998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0.24890229999999999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0.83599999999999997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0.44599899999999998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0.125864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8.1373999999999995E-3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0.83701589999999992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2E-3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pV4j2fduTxIfeWlJIE5pxDQs4TN2OuOLo8Esoz8qkzwIT97PL5Ssy4/nPI0K55Kr45FQ4HhsLqqDIDgHVOdD5Q==" saltValue="nXuWOdhEOHXZdfv46x8e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tcROqnoU8AT/ZYzxk8HfSQi4Q69wHhRSeX0myOqxASRyc4/mzj552laWICZ6DhsbxXZuAvIV6KF50riDOvc3Q==" saltValue="w409IPCcU8cIFHQaDg+h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m0cmOQ+d0ltFec2glVjOL5zTzSbUGnigxrDMek+BcUYPzLabzOecy7qavdiF7kkieAr7UlR8a6bHAMa5WN+BQ==" saltValue="+pgHs3+SpulRYTLTlAb+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3.1720000000000002</v>
      </c>
      <c r="C2" s="21">
        <f>'Entradas de población-año base'!C52</f>
        <v>3.1720000000000002</v>
      </c>
      <c r="D2" s="21">
        <f>'Entradas de población-año base'!C53</f>
        <v>7.8519999999999994</v>
      </c>
      <c r="E2" s="21">
        <f>'Entradas de población-año base'!C54</f>
        <v>7.3060000000000009</v>
      </c>
      <c r="F2" s="21">
        <f>'Entradas de población-año base'!C55</f>
        <v>3.102666666666666</v>
      </c>
    </row>
    <row r="3" spans="1:6" ht="15.75" customHeight="1" x14ac:dyDescent="0.25">
      <c r="A3" s="3" t="s">
        <v>6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236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d2ynsaekz+Urzpk27Q9p/Q0ZgbTTPVe+PGpdchQ7BTcDWF3YnjxcUsbWVZuQDAHHbe/q/1LtJr67GfTS1o9ODQ==" saltValue="LyfXIhLTQAA+3lmasyOy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/amGx23HsCd68nhJljqqpOrBvUQixy3Jkk9BDUCUJ4t2gvjHiYJ5Xj8IyQX+saDc+4QGfSICX8x3TneVeiwug==" saltValue="HB9MIgpeFkumMyGJX6SF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QUQSuYM0XrJOTgWfIgZPAa9XH8kKS0JEwBYqhiX2TjhP3u+rtTb4NliPUa3gS3jQaeIP0QtUZSitPmMxtVVpw==" saltValue="HP4a1aOGlMWqW+ltTvvQ7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0lJmQQZ9Bqn7ksXznJtmUZjI7T4KigphDb1l3Ox4WILBt5XGZlpLztG5YBE79jXDGu+fAgjPGtHNY1kw7cbvw==" saltValue="2uI/i63YoKPCLIEVyoPG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pOzIh9dJg4+lSWyAXz0ZQtFDoWey5fR7VreXYwsKvLN0O/KyiG1EAIQkmWDi2vmA/ojKTuj7rNE/B+AfuhRNg==" saltValue="/ObWXvt6R7yX64ny7NHN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nkuPCPqCQh7/VK8/5x9hkqNCy9rpVs5HizbFgSDrNCnuRwjGeWFAca2u89RZv9FQBN2ckQqV+zgpJVLiyu0cQ==" saltValue="stECIEDqvAF3n0LNRab+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fFoPK8qNoFhFJ7AKlu6HLJgwKcI3wieJX1WRQKuCRXtxMZOrmNIETt5kYtegSuBc6lMnnkSwG1lCKLlCfgaQ3Q==" saltValue="0gNJn1tr34tlEyKhk43q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9gYYHOG03qn2cdC/RTqBun+sLFN73HAe1XtSkvw+en12fyu7XiXyq7r554MenHNg6rEcG6fZmk1Zhu2flPNLA==" saltValue="9yf+RiOfbKr7aF7bknRff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S/WW9ZBmtF3q8nlMnvEHRldpRAX1RH7NTDjYTAwK5+LnFxmYVzBSm8WQF+50ikSWVqSJ34inFGInqwp9XP2oA==" saltValue="vs1HaMbMXvDofpbvVNhG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BOHKycrfpD3N8fVav3eHTIAdhqRdzAO6qAVEirzYioiqlxoUVisH8jbKwBSJFzzf5nd8sHMQFV3Lpqj9hZcpw==" saltValue="8A+ztQyyoemGI5NCARk5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ZKhh9Jjro8yLkExXBZndUNZ14R0MJo7zxi+f+6wZOTR1wnS4R7m7ReFdI/V+TlfnYlrA/pNxU9naU64OFen8g==" saltValue="f+8zSY30oWRxpxdAW/ov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c8dqfR6QdVEBxAFRiZN7dxOzd4jyVqWTg5Tm57Myv+NOT/gab9bxhLp0kKlUOkNPy6UwWfpxI26fbSAirHGeQ==" saltValue="lGA1aOYW7izF/KizWD3a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lk7oFOAsp+yDrHcYgtUQFeVF8uOnLAixM+9bJ0pj3Ulmmxxh36iBCRmO4fqKOL75hlS8b7kSxVgtP/3Ip0L7g==" saltValue="zsTINVi/TbCMkTG0lYKM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IEgbrxFqOUV/C1C6Mdyawqv+uR5usevI37mgP0iudoTo8jOtbjsbKdaCQ3IGHqRtj6Q1UIkU4QtVoj6zezSpg==" saltValue="by+qhZcjE3N19KjCDmGZ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KswUVpWkUgwN8viZz/eEarfatp+k8wOXoWIjvdgVDjcXTAfBtuHyI4PbfzXjax0qkHwaoWZqP8kGmq8cQnffQ==" saltValue="2T3Db1GBxbBBRNqH5qnw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PLc6YrPcS5HOxKHxy8En4Ozm/Z9cJpCj11sVBovKL+35rROQuAWxahGB/qUDwqxcAhS4et+TP5SSosijEgBGw==" saltValue="PkxggMaF0HK622GIOzQj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