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511E2241-92E7-4762-9101-E633ECB6F721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<sst xmlns="http://schemas.openxmlformats.org/spreadsheetml/2006/main" count="2102" uniqueCount="341">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</sst>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1331818.34375</v>
      </c>
    </row>
    <row r="8" spans="1:3" ht="15" customHeight="1" x14ac:dyDescent="0.25">
      <c r="B8" s="5" t="s">
        <v>44</v>
      </c>
      <c r="C8" s="44">
        <v>0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0.86682701110839799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8.8000000000000009E-2</v>
      </c>
    </row>
    <row r="24" spans="1:3" ht="15" customHeight="1" x14ac:dyDescent="0.25">
      <c r="B24" s="15" t="s">
        <v>46</v>
      </c>
      <c r="C24" s="45">
        <v>0.56720000000000004</v>
      </c>
    </row>
    <row r="25" spans="1:3" ht="15" customHeight="1" x14ac:dyDescent="0.25">
      <c r="B25" s="15" t="s">
        <v>47</v>
      </c>
      <c r="C25" s="45">
        <v>0.32450000000000001</v>
      </c>
    </row>
    <row r="26" spans="1:3" ht="15" customHeight="1" x14ac:dyDescent="0.25">
      <c r="B26" s="15" t="s">
        <v>48</v>
      </c>
      <c r="C26" s="45">
        <v>2.0299999999999999E-2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0.57290349526853401</v>
      </c>
    </row>
    <row r="30" spans="1:3" ht="14.25" customHeight="1" x14ac:dyDescent="0.25">
      <c r="B30" s="25" t="s">
        <v>63</v>
      </c>
      <c r="C30" s="99">
        <v>2.97816918362898E-2</v>
      </c>
    </row>
    <row r="31" spans="1:3" ht="14.25" customHeight="1" x14ac:dyDescent="0.25">
      <c r="B31" s="25" t="s">
        <v>10</v>
      </c>
      <c r="C31" s="99">
        <v>2.5306962187057899E-2</v>
      </c>
    </row>
    <row r="32" spans="1:3" ht="14.25" customHeight="1" x14ac:dyDescent="0.25">
      <c r="B32" s="25" t="s">
        <v>11</v>
      </c>
      <c r="C32" s="99">
        <v>0.37200785070811798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4.8260399999999999</v>
      </c>
    </row>
    <row r="38" spans="1:5" ht="15" customHeight="1" x14ac:dyDescent="0.25">
      <c r="B38" s="11" t="s">
        <v>35</v>
      </c>
      <c r="C38" s="43">
        <v>7.0373799999999997</v>
      </c>
      <c r="D38" s="12"/>
      <c r="E38" s="13"/>
    </row>
    <row r="39" spans="1:5" ht="15" customHeight="1" x14ac:dyDescent="0.25">
      <c r="B39" s="11" t="s">
        <v>61</v>
      </c>
      <c r="C39" s="43">
        <v>8.2232299999999992</v>
      </c>
      <c r="D39" s="12"/>
      <c r="E39" s="12"/>
    </row>
    <row r="40" spans="1:5" ht="15" customHeight="1" x14ac:dyDescent="0.25">
      <c r="B40" s="11" t="s">
        <v>36</v>
      </c>
      <c r="C40" s="100">
        <v>0.17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4.9424900000000003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5.9396000000000006E-3</v>
      </c>
      <c r="D45" s="12"/>
    </row>
    <row r="46" spans="1:5" ht="15.75" customHeight="1" x14ac:dyDescent="0.25">
      <c r="B46" s="11" t="s">
        <v>51</v>
      </c>
      <c r="C46" s="45">
        <v>6.3820600000000005E-2</v>
      </c>
      <c r="D46" s="12"/>
    </row>
    <row r="47" spans="1:5" ht="15.75" customHeight="1" x14ac:dyDescent="0.25">
      <c r="B47" s="11" t="s">
        <v>59</v>
      </c>
      <c r="C47" s="45">
        <v>7.5353000000000003E-2</v>
      </c>
      <c r="D47" s="12"/>
      <c r="E47" s="13"/>
    </row>
    <row r="48" spans="1:5" ht="15" customHeight="1" x14ac:dyDescent="0.25">
      <c r="B48" s="11" t="s">
        <v>58</v>
      </c>
      <c r="C48" s="46">
        <v>0.85488680000000006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0.64658700000000002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5.6338878000000002E-2</v>
      </c>
    </row>
    <row r="63" spans="1:4" ht="15.75" customHeight="1" x14ac:dyDescent="0.3">
      <c r="A63" s="4"/>
    </row>
  </sheetData>
  <sheetProtection algorithmName="SHA-512" hashValue="Iiru1x4zl7ixDLKG6MXYd/8x9sHHTzn69X2CGWePte3ZbpzR43iUqAhe66YPMsz2zPwF1zY/7ruuasGZHUFNig==" saltValue="2DoPBj78vUq+ONzi16G0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214410</v>
      </c>
      <c r="C2" s="49">
        <v>1217649.5</v>
      </c>
      <c r="D2" s="49">
        <v>1246723.5</v>
      </c>
      <c r="E2" s="49">
        <v>2693524.5</v>
      </c>
      <c r="F2" s="49">
        <v>2826256</v>
      </c>
      <c r="G2" s="17">
        <f t="shared" ref="G2:G13" si="0">C2+D2+E2+F2</f>
        <v>7984153.5</v>
      </c>
      <c r="H2" s="17">
        <f t="shared" ref="H2:H13" si="1">(B2 + stillbirth*B2/(1000-stillbirth))/(1-abortion)</f>
        <v>244857.9351687193</v>
      </c>
      <c r="I2" s="17">
        <f t="shared" ref="I2:I13" si="2">G2-H2</f>
        <v>7739295.5648312811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237722</v>
      </c>
      <c r="C3" s="50">
        <v>1362299.5</v>
      </c>
      <c r="D3" s="50">
        <v>1457424</v>
      </c>
      <c r="E3" s="50">
        <v>2642679.5</v>
      </c>
      <c r="F3" s="50">
        <v>2903412.5</v>
      </c>
      <c r="G3" s="17">
        <f t="shared" si="0"/>
        <v>8365815.5</v>
      </c>
      <c r="H3" s="17">
        <f t="shared" si="1"/>
        <v>271480.42565262021</v>
      </c>
      <c r="I3" s="17">
        <f t="shared" si="2"/>
        <v>8094335.0743473796</v>
      </c>
    </row>
    <row r="4" spans="1:9" ht="15.75" customHeight="1" x14ac:dyDescent="0.25">
      <c r="A4" s="5">
        <f t="shared" si="3"/>
        <v>2026</v>
      </c>
      <c r="B4" s="49">
        <v>254121</v>
      </c>
      <c r="C4" s="50">
        <v>1446733</v>
      </c>
      <c r="D4" s="50">
        <v>1602840</v>
      </c>
      <c r="E4" s="50">
        <v>2535339</v>
      </c>
      <c r="F4" s="50">
        <v>2949903</v>
      </c>
      <c r="G4" s="17">
        <f t="shared" si="0"/>
        <v>8534815</v>
      </c>
      <c r="H4" s="17">
        <f t="shared" si="1"/>
        <v>290208.21483610896</v>
      </c>
      <c r="I4" s="17">
        <f t="shared" si="2"/>
        <v>8244606.7851638906</v>
      </c>
    </row>
    <row r="5" spans="1:9" ht="15.75" customHeight="1" x14ac:dyDescent="0.25">
      <c r="A5" s="5">
        <f t="shared" si="3"/>
        <v>2027</v>
      </c>
      <c r="B5" s="49">
        <v>261123</v>
      </c>
      <c r="C5" s="50">
        <v>1478044.5</v>
      </c>
      <c r="D5" s="50">
        <v>1706463</v>
      </c>
      <c r="E5" s="50">
        <v>2384197.5</v>
      </c>
      <c r="F5" s="50">
        <v>2989180</v>
      </c>
      <c r="G5" s="17">
        <f t="shared" si="0"/>
        <v>8557885</v>
      </c>
      <c r="H5" s="17">
        <f t="shared" si="1"/>
        <v>298204.55484847486</v>
      </c>
      <c r="I5" s="17">
        <f t="shared" si="2"/>
        <v>8259680.4451515255</v>
      </c>
    </row>
    <row r="6" spans="1:9" ht="15.75" customHeight="1" x14ac:dyDescent="0.25">
      <c r="A6" s="5">
        <f t="shared" si="3"/>
        <v>2028</v>
      </c>
      <c r="B6" s="49">
        <v>264431</v>
      </c>
      <c r="C6" s="50">
        <v>1471822</v>
      </c>
      <c r="D6" s="50">
        <v>1805841.5</v>
      </c>
      <c r="E6" s="50">
        <v>2223611</v>
      </c>
      <c r="F6" s="50">
        <v>3019077.5</v>
      </c>
      <c r="G6" s="17">
        <f t="shared" si="0"/>
        <v>8520352</v>
      </c>
      <c r="H6" s="17">
        <f t="shared" si="1"/>
        <v>301982.31731075799</v>
      </c>
      <c r="I6" s="17">
        <f t="shared" si="2"/>
        <v>8218369.6826892421</v>
      </c>
    </row>
    <row r="7" spans="1:9" ht="15.75" customHeight="1" x14ac:dyDescent="0.25">
      <c r="A7" s="5">
        <f t="shared" si="3"/>
        <v>2029</v>
      </c>
      <c r="B7" s="49">
        <v>266854</v>
      </c>
      <c r="C7" s="50">
        <v>1432587.5</v>
      </c>
      <c r="D7" s="50">
        <v>1913673.5</v>
      </c>
      <c r="E7" s="50">
        <v>2066883</v>
      </c>
      <c r="F7" s="50">
        <v>3023946</v>
      </c>
      <c r="G7" s="17">
        <f t="shared" si="0"/>
        <v>8437090</v>
      </c>
      <c r="H7" s="17">
        <f t="shared" si="1"/>
        <v>304749.40269350039</v>
      </c>
      <c r="I7" s="17">
        <f t="shared" si="2"/>
        <v>8132340.5973064993</v>
      </c>
    </row>
    <row r="8" spans="1:9" ht="15.75" customHeight="1" x14ac:dyDescent="0.25">
      <c r="A8" s="5">
        <f t="shared" si="3"/>
        <v>2030</v>
      </c>
      <c r="B8" s="49">
        <v>269312</v>
      </c>
      <c r="C8" s="50">
        <v>1378091</v>
      </c>
      <c r="D8" s="50">
        <v>2021948.5</v>
      </c>
      <c r="E8" s="50">
        <v>1925464.5</v>
      </c>
      <c r="F8" s="50">
        <v>3002286</v>
      </c>
      <c r="G8" s="17">
        <f t="shared" si="0"/>
        <v>8327790</v>
      </c>
      <c r="H8" s="17">
        <f t="shared" si="1"/>
        <v>307556.4583562247</v>
      </c>
      <c r="I8" s="17">
        <f t="shared" si="2"/>
        <v>8020233.5416437751</v>
      </c>
    </row>
    <row r="9" spans="1:9" ht="15.75" customHeight="1" x14ac:dyDescent="0.25">
      <c r="A9" s="5">
        <f t="shared" si="3"/>
        <v>2031</v>
      </c>
      <c r="B9" s="49">
        <v>272672</v>
      </c>
      <c r="C9" s="50">
        <v>1315415</v>
      </c>
      <c r="D9" s="50">
        <v>2124610</v>
      </c>
      <c r="E9" s="50">
        <v>1801472.5</v>
      </c>
      <c r="F9" s="50">
        <v>2956105.5</v>
      </c>
      <c r="G9" s="17">
        <f t="shared" si="0"/>
        <v>8197603</v>
      </c>
      <c r="H9" s="17">
        <f t="shared" si="1"/>
        <v>311393.60523448081</v>
      </c>
      <c r="I9" s="17">
        <f t="shared" si="2"/>
        <v>7886209.3947655195</v>
      </c>
    </row>
    <row r="10" spans="1:9" ht="15.75" customHeight="1" x14ac:dyDescent="0.25">
      <c r="A10" s="5">
        <f t="shared" si="3"/>
        <v>2032</v>
      </c>
      <c r="B10" s="49">
        <v>275427</v>
      </c>
      <c r="C10" s="50">
        <v>1233812</v>
      </c>
      <c r="D10" s="50">
        <v>2221921.5</v>
      </c>
      <c r="E10" s="50">
        <v>1703576.5</v>
      </c>
      <c r="F10" s="50">
        <v>2894109</v>
      </c>
      <c r="G10" s="17">
        <f t="shared" si="0"/>
        <v>8053419</v>
      </c>
      <c r="H10" s="17">
        <f t="shared" si="1"/>
        <v>314539.83727305091</v>
      </c>
      <c r="I10" s="17">
        <f t="shared" si="2"/>
        <v>7738879.162726949</v>
      </c>
    </row>
    <row r="11" spans="1:9" ht="15.75" customHeight="1" x14ac:dyDescent="0.25">
      <c r="A11" s="5">
        <f t="shared" si="3"/>
        <v>2033</v>
      </c>
      <c r="B11" s="49">
        <v>279081</v>
      </c>
      <c r="C11" s="50">
        <v>1145618.5</v>
      </c>
      <c r="D11" s="50">
        <v>2299995.5</v>
      </c>
      <c r="E11" s="50">
        <v>1642955</v>
      </c>
      <c r="F11" s="50">
        <v>2793500</v>
      </c>
      <c r="G11" s="17">
        <f t="shared" si="0"/>
        <v>7882069</v>
      </c>
      <c r="H11" s="17">
        <f t="shared" si="1"/>
        <v>318712.73450315447</v>
      </c>
      <c r="I11" s="17">
        <f t="shared" si="2"/>
        <v>7563356.2654968454</v>
      </c>
    </row>
    <row r="12" spans="1:9" ht="15.75" customHeight="1" x14ac:dyDescent="0.25">
      <c r="A12" s="5">
        <f t="shared" si="3"/>
        <v>2034</v>
      </c>
      <c r="B12" s="49">
        <v>282726</v>
      </c>
      <c r="C12" s="50">
        <v>1060136</v>
      </c>
      <c r="D12" s="50">
        <v>2350997</v>
      </c>
      <c r="E12" s="50">
        <v>1619498.5</v>
      </c>
      <c r="F12" s="50">
        <v>2658849.5</v>
      </c>
      <c r="G12" s="17">
        <f t="shared" si="0"/>
        <v>7689481</v>
      </c>
      <c r="H12" s="17">
        <f t="shared" si="1"/>
        <v>322875.35366126266</v>
      </c>
      <c r="I12" s="17">
        <f t="shared" si="2"/>
        <v>7366605.6463387376</v>
      </c>
    </row>
    <row r="13" spans="1:9" ht="15.75" customHeight="1" x14ac:dyDescent="0.25">
      <c r="A13" s="5">
        <f t="shared" si="3"/>
        <v>2035</v>
      </c>
      <c r="B13" s="49">
        <v>287795</v>
      </c>
      <c r="C13" s="50">
        <v>985884.49999999988</v>
      </c>
      <c r="D13" s="50">
        <v>2370537.5</v>
      </c>
      <c r="E13" s="50">
        <v>1622593</v>
      </c>
      <c r="F13" s="50">
        <v>2514085.5</v>
      </c>
      <c r="G13" s="17">
        <f t="shared" si="0"/>
        <v>7493100.5</v>
      </c>
      <c r="H13" s="17">
        <f t="shared" si="1"/>
        <v>328664.19221063185</v>
      </c>
      <c r="I13" s="17">
        <f t="shared" si="2"/>
        <v>7164436.3077893686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IYIYOhtNqZhMAJvhnQKNi4DEMo6T1hULsGIacXlRUx50PM0Ag3FYgmOhUGxxLIbtvwFtYAxWD/nZqSCbb5OCPw==" saltValue="BJYc6fxHhBRjRfGJBVF19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5.505921618550734E-2</v>
      </c>
    </row>
    <row r="5" spans="1:8" ht="15.75" customHeight="1" x14ac:dyDescent="0.25">
      <c r="B5" s="19" t="s">
        <v>95</v>
      </c>
      <c r="C5" s="101">
        <v>3.1744383940946891E-2</v>
      </c>
    </row>
    <row r="6" spans="1:8" ht="15.75" customHeight="1" x14ac:dyDescent="0.25">
      <c r="B6" s="19" t="s">
        <v>91</v>
      </c>
      <c r="C6" s="101">
        <v>0.1737396152025559</v>
      </c>
    </row>
    <row r="7" spans="1:8" ht="15.75" customHeight="1" x14ac:dyDescent="0.25">
      <c r="B7" s="19" t="s">
        <v>96</v>
      </c>
      <c r="C7" s="101">
        <v>0.38069658064395451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0.2666497047516671</v>
      </c>
    </row>
    <row r="10" spans="1:8" ht="15.75" customHeight="1" x14ac:dyDescent="0.25">
      <c r="B10" s="19" t="s">
        <v>94</v>
      </c>
      <c r="C10" s="101">
        <v>9.2110499275368213E-2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8.5700179765477169E-3</v>
      </c>
      <c r="D14" s="55">
        <v>8.5700179765477169E-3</v>
      </c>
      <c r="E14" s="55">
        <v>8.5700179765477169E-3</v>
      </c>
      <c r="F14" s="55">
        <v>8.5700179765477169E-3</v>
      </c>
    </row>
    <row r="15" spans="1:8" ht="15.75" customHeight="1" x14ac:dyDescent="0.25">
      <c r="B15" s="19" t="s">
        <v>102</v>
      </c>
      <c r="C15" s="101">
        <v>0.16312824572178389</v>
      </c>
      <c r="D15" s="101">
        <v>0.16312824572178389</v>
      </c>
      <c r="E15" s="101">
        <v>0.16312824572178389</v>
      </c>
      <c r="F15" s="101">
        <v>0.16312824572178389</v>
      </c>
    </row>
    <row r="16" spans="1:8" ht="15.75" customHeight="1" x14ac:dyDescent="0.25">
      <c r="B16" s="19" t="s">
        <v>2</v>
      </c>
      <c r="C16" s="101">
        <v>1.043185977361526E-2</v>
      </c>
      <c r="D16" s="101">
        <v>1.043185977361526E-2</v>
      </c>
      <c r="E16" s="101">
        <v>1.043185977361526E-2</v>
      </c>
      <c r="F16" s="101">
        <v>1.043185977361526E-2</v>
      </c>
    </row>
    <row r="17" spans="1:8" ht="15.75" customHeight="1" x14ac:dyDescent="0.25">
      <c r="B17" s="19" t="s">
        <v>90</v>
      </c>
      <c r="C17" s="101">
        <v>5.610694382909396E-2</v>
      </c>
      <c r="D17" s="101">
        <v>5.610694382909396E-2</v>
      </c>
      <c r="E17" s="101">
        <v>5.610694382909396E-2</v>
      </c>
      <c r="F17" s="101">
        <v>5.610694382909396E-2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7.3411218117903063E-2</v>
      </c>
      <c r="D19" s="101">
        <v>7.3411218117903063E-2</v>
      </c>
      <c r="E19" s="101">
        <v>7.3411218117903063E-2</v>
      </c>
      <c r="F19" s="101">
        <v>7.3411218117903063E-2</v>
      </c>
    </row>
    <row r="20" spans="1:8" ht="15.75" customHeight="1" x14ac:dyDescent="0.25">
      <c r="B20" s="19" t="s">
        <v>79</v>
      </c>
      <c r="C20" s="101">
        <v>0.2483207157957853</v>
      </c>
      <c r="D20" s="101">
        <v>0.2483207157957853</v>
      </c>
      <c r="E20" s="101">
        <v>0.2483207157957853</v>
      </c>
      <c r="F20" s="101">
        <v>0.2483207157957853</v>
      </c>
    </row>
    <row r="21" spans="1:8" ht="15.75" customHeight="1" x14ac:dyDescent="0.25">
      <c r="B21" s="19" t="s">
        <v>88</v>
      </c>
      <c r="C21" s="101">
        <v>0.2568545372870949</v>
      </c>
      <c r="D21" s="101">
        <v>0.2568545372870949</v>
      </c>
      <c r="E21" s="101">
        <v>0.2568545372870949</v>
      </c>
      <c r="F21" s="101">
        <v>0.2568545372870949</v>
      </c>
    </row>
    <row r="22" spans="1:8" ht="15.75" customHeight="1" x14ac:dyDescent="0.25">
      <c r="B22" s="19" t="s">
        <v>99</v>
      </c>
      <c r="C22" s="101">
        <v>0.1831764614981759</v>
      </c>
      <c r="D22" s="101">
        <v>0.1831764614981759</v>
      </c>
      <c r="E22" s="101">
        <v>0.1831764614981759</v>
      </c>
      <c r="F22" s="101">
        <v>0.1831764614981759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4.9599230000000001E-2</v>
      </c>
    </row>
    <row r="27" spans="1:8" ht="15.75" customHeight="1" x14ac:dyDescent="0.25">
      <c r="B27" s="19" t="s">
        <v>89</v>
      </c>
      <c r="C27" s="101">
        <v>5.3032503999999987E-2</v>
      </c>
    </row>
    <row r="28" spans="1:8" ht="15.75" customHeight="1" x14ac:dyDescent="0.25">
      <c r="B28" s="19" t="s">
        <v>103</v>
      </c>
      <c r="C28" s="101">
        <v>0.110220151</v>
      </c>
    </row>
    <row r="29" spans="1:8" ht="15.75" customHeight="1" x14ac:dyDescent="0.25">
      <c r="B29" s="19" t="s">
        <v>86</v>
      </c>
      <c r="C29" s="101">
        <v>0.122891953</v>
      </c>
    </row>
    <row r="30" spans="1:8" ht="15.75" customHeight="1" x14ac:dyDescent="0.25">
      <c r="B30" s="19" t="s">
        <v>4</v>
      </c>
      <c r="C30" s="101">
        <v>7.3900320000000005E-2</v>
      </c>
    </row>
    <row r="31" spans="1:8" ht="15.75" customHeight="1" x14ac:dyDescent="0.25">
      <c r="B31" s="19" t="s">
        <v>80</v>
      </c>
      <c r="C31" s="101">
        <v>5.9789176999999999E-2</v>
      </c>
    </row>
    <row r="32" spans="1:8" ht="15.75" customHeight="1" x14ac:dyDescent="0.25">
      <c r="B32" s="19" t="s">
        <v>85</v>
      </c>
      <c r="C32" s="101">
        <v>0.12020602599999999</v>
      </c>
    </row>
    <row r="33" spans="2:3" ht="15.75" customHeight="1" x14ac:dyDescent="0.25">
      <c r="B33" s="19" t="s">
        <v>100</v>
      </c>
      <c r="C33" s="101">
        <v>0.11539405899999999</v>
      </c>
    </row>
    <row r="34" spans="2:3" ht="15.75" customHeight="1" x14ac:dyDescent="0.25">
      <c r="B34" s="19" t="s">
        <v>87</v>
      </c>
      <c r="C34" s="101">
        <v>0.29496657999999998</v>
      </c>
    </row>
    <row r="35" spans="2:3" ht="15.75" customHeight="1" x14ac:dyDescent="0.25">
      <c r="B35" s="27" t="s">
        <v>60</v>
      </c>
      <c r="C35" s="48">
        <f>SUM(C26:C34)</f>
        <v>0.99999999999999989</v>
      </c>
    </row>
  </sheetData>
  <sheetProtection algorithmName="SHA-512" hashValue="RGSwkNml9BUx1BCnqSIZg2d3stCKIbilvC4Gk4uGXF4fKZuk5/LpBvxuJAqcOJNxUwFvXiP85pSabfUGo2rQww==" saltValue="cMlmY4UJDBJoEh1naaZcv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110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106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107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119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0.40111343449999998</v>
      </c>
      <c r="D14" s="54">
        <v>0.364943678725</v>
      </c>
      <c r="E14" s="54">
        <v>0.364943678725</v>
      </c>
      <c r="F14" s="54">
        <v>0.146891302015</v>
      </c>
      <c r="G14" s="54">
        <v>0.146891302015</v>
      </c>
      <c r="H14" s="45">
        <v>0.248</v>
      </c>
      <c r="I14" s="55">
        <v>0.248</v>
      </c>
      <c r="J14" s="55">
        <v>0.248</v>
      </c>
      <c r="K14" s="55">
        <v>0.248</v>
      </c>
      <c r="L14" s="45">
        <v>0.23499999999999999</v>
      </c>
      <c r="M14" s="55">
        <v>0.23499999999999999</v>
      </c>
      <c r="N14" s="55">
        <v>0.23499999999999999</v>
      </c>
      <c r="O14" s="55">
        <v>0.23499999999999999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0.2593547322730515</v>
      </c>
      <c r="D15" s="52">
        <f t="shared" si="0"/>
        <v>0.23596783839576158</v>
      </c>
      <c r="E15" s="52">
        <f t="shared" si="0"/>
        <v>0.23596783839576158</v>
      </c>
      <c r="F15" s="52">
        <f t="shared" si="0"/>
        <v>9.4978006295972806E-2</v>
      </c>
      <c r="G15" s="52">
        <f t="shared" si="0"/>
        <v>9.4978006295972806E-2</v>
      </c>
      <c r="H15" s="52">
        <f t="shared" si="0"/>
        <v>0.160353576</v>
      </c>
      <c r="I15" s="52">
        <f t="shared" si="0"/>
        <v>0.160353576</v>
      </c>
      <c r="J15" s="52">
        <f t="shared" si="0"/>
        <v>0.160353576</v>
      </c>
      <c r="K15" s="52">
        <f t="shared" si="0"/>
        <v>0.160353576</v>
      </c>
      <c r="L15" s="52">
        <f t="shared" si="0"/>
        <v>0.151947945</v>
      </c>
      <c r="M15" s="52">
        <f t="shared" si="0"/>
        <v>0.151947945</v>
      </c>
      <c r="N15" s="52">
        <f t="shared" si="0"/>
        <v>0.151947945</v>
      </c>
      <c r="O15" s="52">
        <f t="shared" si="0"/>
        <v>0.151947945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qgpW9CHZ5Ej8+R/J1z8p44urhQhMGuj8NoLqbys2F66WBtqvTBMokj2MBNt88NYWLucmNTZZtew/lSfKZwGtw==" saltValue="32OnmP6C5IxfDnvkT83K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0.3332405</v>
      </c>
      <c r="D2" s="53">
        <v>0.18352399999999999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0.48439080000000001</v>
      </c>
      <c r="D3" s="53">
        <v>0.32418390000000002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8.9775800000000003E-2</v>
      </c>
      <c r="D4" s="53">
        <v>0.36902190000000001</v>
      </c>
      <c r="E4" s="53">
        <v>0.56530579999999997</v>
      </c>
      <c r="F4" s="53">
        <v>0.30857899999999999</v>
      </c>
      <c r="G4" s="53">
        <v>0</v>
      </c>
    </row>
    <row r="5" spans="1:7" x14ac:dyDescent="0.25">
      <c r="B5" s="3" t="s">
        <v>125</v>
      </c>
      <c r="C5" s="52">
        <v>9.2592900000000006E-2</v>
      </c>
      <c r="D5" s="52">
        <v>0.12327009999999999</v>
      </c>
      <c r="E5" s="52">
        <f>1-SUM(E2:E4)</f>
        <v>0.43469420000000003</v>
      </c>
      <c r="F5" s="52">
        <f>1-SUM(F2:F4)</f>
        <v>0.69142100000000006</v>
      </c>
      <c r="G5" s="52">
        <f>1-SUM(G2:G4)</f>
        <v>1</v>
      </c>
    </row>
  </sheetData>
  <sheetProtection algorithmName="SHA-512" hashValue="BjNwGX9+apSP5q1HmXCN7N6nEb5+NAiJ1C5/0Ycv/At4n6ZfL96uyjnsilfKEIyDlTjpee1+M8Vp0dcu84jVYA==" saltValue="hEc0GmMLNuH6nXgUr8CvO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AHE13pc+tGJDaIaZzdjvm/MDsT76xMKmW2Q/J4ObAtvsetNO8GUjL86m9Un8SVpPn9buF8zbnKtF+uEsou+Ig==" saltValue="huBhxRjkNvFTyAQ0UywDZ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e3Pxr1tCmmnpUf6AM8KrUFCTg5oB+0VlUStj+DCGiBx/H2IhQOai5i7fwYEoglHIMFKIo6b52eH7wQWHRZOnmQ==" saltValue="dEblA72bUrEJupxA7IZkP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kCSAK8vi2h/O/Lqkpd5Tom/8ewdI2aUeZStooqiovRZ6kkeFpRsqaW0mWUA00mnPPxSp5E61eXcOu6ryXAnuDw==" saltValue="tsZBxHHFBFVf8TLWsBLlH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JNFA3LPp3O88Zxmpk1UT20mzSiapPe5LbP/Udo+tatoV2iV6Ze8TNqOI30WSKvgA8QPyQ5apieHpTOYxCOimWQ==" saltValue="JcZ+aE6GivqS/luWmcaUO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45.538469166818018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0.24387949941879999</v>
      </c>
      <c r="C3" s="98">
        <v>0.95</v>
      </c>
      <c r="D3" s="56">
        <v>42.692246247747647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218.572803066435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9.5296125674998819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3.4021799999999998E-2</v>
      </c>
      <c r="C10" s="98">
        <v>0.95</v>
      </c>
      <c r="D10" s="56">
        <v>13.70995814776825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3.4021799999999998E-2</v>
      </c>
      <c r="C11" s="98">
        <v>0.95</v>
      </c>
      <c r="D11" s="56">
        <v>13.70995814776825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3.4021799999999998E-2</v>
      </c>
      <c r="C12" s="98">
        <v>0.95</v>
      </c>
      <c r="D12" s="56">
        <v>13.70995814776825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3.4021799999999998E-2</v>
      </c>
      <c r="C13" s="98">
        <v>0.95</v>
      </c>
      <c r="D13" s="56">
        <v>13.70995814776825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3.4021799999999998E-2</v>
      </c>
      <c r="C14" s="98">
        <v>0.95</v>
      </c>
      <c r="D14" s="56">
        <v>13.70995814776825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3.4021799999999998E-2</v>
      </c>
      <c r="C15" s="98">
        <v>0.95</v>
      </c>
      <c r="D15" s="56">
        <v>13.70995814776825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0.44919677959070559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0.12451569696742</v>
      </c>
      <c r="C18" s="98">
        <v>0.95</v>
      </c>
      <c r="D18" s="56">
        <v>5.0978270834575747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0.97745300000000002</v>
      </c>
      <c r="C19" s="98">
        <v>0.95</v>
      </c>
      <c r="D19" s="56">
        <v>5.0978270834575747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0.62716769999999999</v>
      </c>
      <c r="C21" s="98">
        <v>0.95</v>
      </c>
      <c r="D21" s="56">
        <v>93.973155012451954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23.487909719040388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4.5674458261497017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0.9435388978290401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3.4021799999999998E-2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19.711165685025641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0.7399211048616201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85.139330298277699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3.1374405621372272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0.93094042298659452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0.58499999999999996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0.59233060000000004</v>
      </c>
      <c r="C38" s="98">
        <v>0.95</v>
      </c>
      <c r="D38" s="56">
        <v>1.380272503608452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KI2Z9XYa2QZkL2Y/oWQ5mVcDlBCYq4TUX7HtE8t0NglvqhGnPATETYijCCVfhLuDFAyCMRB7SvA7aQKOoqmQvA==" saltValue="lzntMy6PfVPYru1wKVla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21TDjEy3HJynU8u2tWy+b/HeEZ93zVpDYu6eQCmmlu5GshKj8lbn3DNoT97obGbhfL7vz1P1bCFv3ItF80g/3A==" saltValue="CZIt+j4qs5jeeivADc+3W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jrTeZT9LOqaYvcAX1x6nVD8TfXcmvrjjd2NdQnN0TpuW/ZNiOaxGgfymCBmfYbd5jvFsZ6Nwz6zHHbVaPe0AA==" saltValue="w5dRr6PjXFd0cNW7pLhPy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207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TFH/UPDHSXI7H2Z82Q30tiUc6A2uh518dbFhtX6QOswvif8EVhJsXuM3r/AAN3s9hroofYREnlebQKFx3ShZSg==" saltValue="ZzZ82H6/oqFuTxzhBou/C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0.32</v>
      </c>
      <c r="M24" s="60">
        <f>famplan_unmet_need</f>
        <v>0.32</v>
      </c>
      <c r="N24" s="60">
        <f>famplan_unmet_need</f>
        <v>0.32</v>
      </c>
      <c r="O24" s="60">
        <f>famplan_unmet_need</f>
        <v>0.32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6.5254764556884975E-2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2.7966327667236422E-2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3.9951896667480599E-2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0.86682701110839799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cPfaSXz354gbvWO6ppi5nysDobThaWG0SCfkp/wpJbHK9J33MOD4zIY3EE4NRewaEaw1648GVjNkDvR8osPug==" saltValue="CRhrNhRjAMDtgi5eH/MPh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aj1XSEeiIk84+JzimvoG53X3+eUwg9aFWl3XnLrz95a7D4+HTU3vKkJGjChg+h1D+MVp7D0CwA7HUuEhI1Tw+g==" saltValue="J/MHA5UA0cKh3RaT4Rcd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wdL79USS4BjF4Pax+Jgyb9g697OiWpndU7tRVxlEyHFHogdgHB41vbvZ5TfRgdK9dgwsBgLtqrcm+qtK0oEug==" saltValue="ZNsavcxofPyW0mDoDI1w4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bbQPqS/WiK1q/EfXXacLLyJ9TlKOTw6UXxtrVMIY1zCDco6PaAPX1L1kP+nGEd26ekb4zDZAMotipDIWYu7gA==" saltValue="HVCym75hni0s1s1cGo9dD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sDKc0BSlcIMFFcjCR/PX59GU7B37bKsDGYgs4m5c6EA9hHqaSk1S2H416391OsZL9k4osiI+3oQ8icRsGDXMdA==" saltValue="8ScikZj8Fbnwp1iZJDPIB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h3lGbDRceHO0nbLkEbmA7OupYqYbFuWXmju9gOKcr1gPCByiygc9twQxHYrFh8GKD7oEeX/tDCCQWOaoN2WC1Q==" saltValue="//7LhqIjfwR6HWOnROYzL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XuHF3RTZTORQA9/dP9iEI2lYtvzUmd2nIJMmXl+nbJl6tRjrsN1ewNuLp1SibHLaqpSTsYnmxVum/yrQkchNOw==" saltValue="nYjLD8GsqHf/lnA+LrxFE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WHMWfJBvPLPVyvtphetB4u+u/Uz2bkCfJgCjNwFNTWXtkFERONpzy0ea1GqShl9Tp1V17523f2ZCgZpb5Er+3A==" saltValue="5zgmTezKMLyPlt7mioB0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/C7dot7W0VSqAANVmbadNjMbKSGp/1JU4T7DH548+UEtJ/XAcr3QTOqdQrpM9ovM3P6gx2V4xksf74AbwqqyQ==" saltValue="yXqOgWfJ6S34D3+4ANFu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CCF1wjsnZfjNE/JGFU/UimpzA2LFsOunwk59VWtpcmk8OeZjt58ULwCq00XpCtHEfMzeHi2rZfrSbRBR8Ch5YQ==" saltValue="pL7TRimF+wGN64F5gc8M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vmShago1I/xaFp2fqVcxS3bm2Z5M+Vqrz8Xf/FtCotPMXOlz104oKJOXTxZ8nlmEFIGurVEK73w74AyrdsnDQ==" saltValue="EkrL6J1zc7H3SqfJ1Wt5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/bbDpBghOIuhKI76fQYGQAIp4bbUOjOKaEV7BcOhaPlGO8PnLU1PGeqEwerYW+rGCr/0sjrmRYjwoL1WNZGQyw==" saltValue="2Lc0SXGL6PgD+llxa6lU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FOcPbGVwUcxsesO0MySwiJJ+ZbskGD6msmE9vZ05ofkbphY1n5dZ1eyq3ZH3LKKjX+tmS56BwuJJNYaSR1tpQ==" saltValue="hMryGhMIUG1NFU0Wnkay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uP7bzhwpcE4jryREzCDDuBJb5VWqkE5fzq86ltW5hltffTVN4mk6YWpCPZkNYEkvbddyhcHbqZ25jcPhm7o33Q==" saltValue="2TZZ+gYA9WWm2C0JxYse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2zViGlPAtT89qHA6e8c2uLOr4Z9Dpv0g1V0f5EeTtmMb6F9L8Ff1HqPVrTITbCUVZL6BWrcmyMDJEzxDLHCCEg==" saltValue="iZ47/h/RVa+Po/ROMpZ3b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2024-05-17T00:04:33Z</dcterms:modified>
</cp:coreProperties>
</file>