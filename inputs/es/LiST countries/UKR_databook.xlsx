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350460DC-F871-45D7-BD45-3FB104AA228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I38" i="2" s="1"/>
  <c r="A33" i="2"/>
  <c r="A32" i="2"/>
  <c r="A31" i="2"/>
  <c r="A29" i="2"/>
  <c r="A24" i="2"/>
  <c r="A23" i="2"/>
  <c r="A21" i="2"/>
  <c r="A20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I9" i="2"/>
  <c r="H9" i="2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6" i="2" l="1"/>
  <c r="A25" i="2"/>
  <c r="A34" i="2"/>
  <c r="A17" i="2"/>
  <c r="A26" i="2"/>
  <c r="A35" i="2"/>
  <c r="A18" i="2"/>
  <c r="A27" i="2"/>
  <c r="A36" i="2"/>
  <c r="A3" i="2"/>
  <c r="I6" i="2"/>
  <c r="A19" i="2"/>
  <c r="A28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<sst xmlns="http://schemas.openxmlformats.org/spreadsheetml/2006/main" count="2101" uniqueCount="341">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</sst>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1331818.34375</v>
      </c>
    </row>
    <row r="8" spans="1:3" ht="15" customHeight="1" x14ac:dyDescent="0.25">
      <c r="B8" s="5" t="s">
        <v>44</v>
      </c>
      <c r="C8" s="44">
        <v>0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0.86682701110839799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8.8000000000000009E-2</v>
      </c>
    </row>
    <row r="24" spans="1:3" ht="15" customHeight="1" x14ac:dyDescent="0.25">
      <c r="B24" s="15" t="s">
        <v>46</v>
      </c>
      <c r="C24" s="45">
        <v>0.56720000000000004</v>
      </c>
    </row>
    <row r="25" spans="1:3" ht="15" customHeight="1" x14ac:dyDescent="0.25">
      <c r="B25" s="15" t="s">
        <v>47</v>
      </c>
      <c r="C25" s="45">
        <v>0.32450000000000001</v>
      </c>
    </row>
    <row r="26" spans="1:3" ht="15" customHeight="1" x14ac:dyDescent="0.25">
      <c r="B26" s="15" t="s">
        <v>48</v>
      </c>
      <c r="C26" s="45">
        <v>2.0299999999999999E-2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0.57290349526853401</v>
      </c>
    </row>
    <row r="30" spans="1:3" ht="14.25" customHeight="1" x14ac:dyDescent="0.25">
      <c r="B30" s="25" t="s">
        <v>63</v>
      </c>
      <c r="C30" s="99">
        <v>2.97816918362898E-2</v>
      </c>
    </row>
    <row r="31" spans="1:3" ht="14.25" customHeight="1" x14ac:dyDescent="0.25">
      <c r="B31" s="25" t="s">
        <v>10</v>
      </c>
      <c r="C31" s="99">
        <v>2.5306962187057899E-2</v>
      </c>
    </row>
    <row r="32" spans="1:3" ht="14.25" customHeight="1" x14ac:dyDescent="0.25">
      <c r="B32" s="25" t="s">
        <v>11</v>
      </c>
      <c r="C32" s="99">
        <v>0.37200785070811798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4.8260399999999999</v>
      </c>
    </row>
    <row r="38" spans="1:5" ht="15" customHeight="1" x14ac:dyDescent="0.25">
      <c r="B38" s="11" t="s">
        <v>35</v>
      </c>
      <c r="C38" s="43">
        <v>7.0373799999999997</v>
      </c>
      <c r="D38" s="12"/>
      <c r="E38" s="13"/>
    </row>
    <row r="39" spans="1:5" ht="15" customHeight="1" x14ac:dyDescent="0.25">
      <c r="B39" s="11" t="s">
        <v>61</v>
      </c>
      <c r="C39" s="43">
        <v>8.2232299999999992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4.9424900000000003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5.9396000000000006E-3</v>
      </c>
      <c r="D45" s="12"/>
    </row>
    <row r="46" spans="1:5" ht="15.75" customHeight="1" x14ac:dyDescent="0.25">
      <c r="B46" s="11" t="s">
        <v>51</v>
      </c>
      <c r="C46" s="45">
        <v>6.3820600000000005E-2</v>
      </c>
      <c r="D46" s="12"/>
    </row>
    <row r="47" spans="1:5" ht="15.75" customHeight="1" x14ac:dyDescent="0.25">
      <c r="B47" s="11" t="s">
        <v>59</v>
      </c>
      <c r="C47" s="45">
        <v>7.5353000000000003E-2</v>
      </c>
      <c r="D47" s="12"/>
      <c r="E47" s="13"/>
    </row>
    <row r="48" spans="1:5" ht="15" customHeight="1" x14ac:dyDescent="0.25">
      <c r="B48" s="11" t="s">
        <v>58</v>
      </c>
      <c r="C48" s="46">
        <v>0.85488680000000006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0.64658700000000002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5.6338878000000002E-2</v>
      </c>
    </row>
    <row r="63" spans="1:4" ht="15.75" customHeight="1" x14ac:dyDescent="0.3">
      <c r="A63" s="4"/>
    </row>
  </sheetData>
  <sheetProtection algorithmName="SHA-512" hashValue="6gz22ov/bi3jA8MnJYdo56RwydTHJiDY/E8iH3WQI8zwOyGON0cLBCPlYT8xCnMbJDumLle2IftGeJeEbfYVWA==" saltValue="oK2YTFe6z21kv5ClLX1X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214410</v>
      </c>
      <c r="C2" s="49">
        <v>1217649.5</v>
      </c>
      <c r="D2" s="49">
        <v>1246723.5</v>
      </c>
      <c r="E2" s="49">
        <v>2693524.5</v>
      </c>
      <c r="F2" s="49">
        <v>2826256</v>
      </c>
      <c r="G2" s="17">
        <f t="shared" ref="G2:G13" si="0">C2+D2+E2+F2</f>
        <v>7984153.5</v>
      </c>
      <c r="H2" s="17">
        <f t="shared" ref="H2:H13" si="1">(B2 + stillbirth*B2/(1000-stillbirth))/(1-abortion)</f>
        <v>244857.9351687193</v>
      </c>
      <c r="I2" s="17">
        <f t="shared" ref="I2:I13" si="2">G2-H2</f>
        <v>7739295.5648312811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237722</v>
      </c>
      <c r="C3" s="50">
        <v>1362299.5</v>
      </c>
      <c r="D3" s="50">
        <v>1457424</v>
      </c>
      <c r="E3" s="50">
        <v>2642679.5</v>
      </c>
      <c r="F3" s="50">
        <v>2903412.5</v>
      </c>
      <c r="G3" s="17">
        <f t="shared" si="0"/>
        <v>8365815.5</v>
      </c>
      <c r="H3" s="17">
        <f t="shared" si="1"/>
        <v>271480.42565262021</v>
      </c>
      <c r="I3" s="17">
        <f t="shared" si="2"/>
        <v>8094335.0743473796</v>
      </c>
    </row>
    <row r="4" spans="1:9" ht="15.75" customHeight="1" x14ac:dyDescent="0.25">
      <c r="A4" s="5">
        <f t="shared" si="3"/>
        <v>2026</v>
      </c>
      <c r="B4" s="49">
        <v>254121</v>
      </c>
      <c r="C4" s="50">
        <v>1446733</v>
      </c>
      <c r="D4" s="50">
        <v>1602840</v>
      </c>
      <c r="E4" s="50">
        <v>2535339</v>
      </c>
      <c r="F4" s="50">
        <v>2949903</v>
      </c>
      <c r="G4" s="17">
        <f t="shared" si="0"/>
        <v>8534815</v>
      </c>
      <c r="H4" s="17">
        <f t="shared" si="1"/>
        <v>290208.21483610896</v>
      </c>
      <c r="I4" s="17">
        <f t="shared" si="2"/>
        <v>8244606.7851638906</v>
      </c>
    </row>
    <row r="5" spans="1:9" ht="15.75" customHeight="1" x14ac:dyDescent="0.25">
      <c r="A5" s="5">
        <f t="shared" si="3"/>
        <v>2027</v>
      </c>
      <c r="B5" s="49">
        <v>261123</v>
      </c>
      <c r="C5" s="50">
        <v>1478044.5</v>
      </c>
      <c r="D5" s="50">
        <v>1706463</v>
      </c>
      <c r="E5" s="50">
        <v>2384197.5</v>
      </c>
      <c r="F5" s="50">
        <v>2989180</v>
      </c>
      <c r="G5" s="17">
        <f t="shared" si="0"/>
        <v>8557885</v>
      </c>
      <c r="H5" s="17">
        <f t="shared" si="1"/>
        <v>298204.55484847486</v>
      </c>
      <c r="I5" s="17">
        <f t="shared" si="2"/>
        <v>8259680.4451515255</v>
      </c>
    </row>
    <row r="6" spans="1:9" ht="15.75" customHeight="1" x14ac:dyDescent="0.25">
      <c r="A6" s="5">
        <f t="shared" si="3"/>
        <v>2028</v>
      </c>
      <c r="B6" s="49">
        <v>264431</v>
      </c>
      <c r="C6" s="50">
        <v>1471822</v>
      </c>
      <c r="D6" s="50">
        <v>1805841.5</v>
      </c>
      <c r="E6" s="50">
        <v>2223611</v>
      </c>
      <c r="F6" s="50">
        <v>3019077.5</v>
      </c>
      <c r="G6" s="17">
        <f t="shared" si="0"/>
        <v>8520352</v>
      </c>
      <c r="H6" s="17">
        <f t="shared" si="1"/>
        <v>301982.31731075799</v>
      </c>
      <c r="I6" s="17">
        <f t="shared" si="2"/>
        <v>8218369.6826892421</v>
      </c>
    </row>
    <row r="7" spans="1:9" ht="15.75" customHeight="1" x14ac:dyDescent="0.25">
      <c r="A7" s="5">
        <f t="shared" si="3"/>
        <v>2029</v>
      </c>
      <c r="B7" s="49">
        <v>266854</v>
      </c>
      <c r="C7" s="50">
        <v>1432587.5</v>
      </c>
      <c r="D7" s="50">
        <v>1913673.5</v>
      </c>
      <c r="E7" s="50">
        <v>2066883</v>
      </c>
      <c r="F7" s="50">
        <v>3023946</v>
      </c>
      <c r="G7" s="17">
        <f t="shared" si="0"/>
        <v>8437090</v>
      </c>
      <c r="H7" s="17">
        <f t="shared" si="1"/>
        <v>304749.40269350039</v>
      </c>
      <c r="I7" s="17">
        <f t="shared" si="2"/>
        <v>8132340.5973064993</v>
      </c>
    </row>
    <row r="8" spans="1:9" ht="15.75" customHeight="1" x14ac:dyDescent="0.25">
      <c r="A8" s="5">
        <f t="shared" si="3"/>
        <v>2030</v>
      </c>
      <c r="B8" s="49">
        <v>269312</v>
      </c>
      <c r="C8" s="50">
        <v>1378091</v>
      </c>
      <c r="D8" s="50">
        <v>2021948.5</v>
      </c>
      <c r="E8" s="50">
        <v>1925464.5</v>
      </c>
      <c r="F8" s="50">
        <v>3002286</v>
      </c>
      <c r="G8" s="17">
        <f t="shared" si="0"/>
        <v>8327790</v>
      </c>
      <c r="H8" s="17">
        <f t="shared" si="1"/>
        <v>307556.4583562247</v>
      </c>
      <c r="I8" s="17">
        <f t="shared" si="2"/>
        <v>8020233.5416437751</v>
      </c>
    </row>
    <row r="9" spans="1:9" ht="15.75" customHeight="1" x14ac:dyDescent="0.25">
      <c r="A9" s="5">
        <f t="shared" si="3"/>
        <v>2031</v>
      </c>
      <c r="B9" s="49">
        <v>272672</v>
      </c>
      <c r="C9" s="50">
        <v>1315415</v>
      </c>
      <c r="D9" s="50">
        <v>2124610</v>
      </c>
      <c r="E9" s="50">
        <v>1801472.5</v>
      </c>
      <c r="F9" s="50">
        <v>2956105.5</v>
      </c>
      <c r="G9" s="17">
        <f t="shared" si="0"/>
        <v>8197603</v>
      </c>
      <c r="H9" s="17">
        <f t="shared" si="1"/>
        <v>311393.60523448081</v>
      </c>
      <c r="I9" s="17">
        <f t="shared" si="2"/>
        <v>7886209.3947655195</v>
      </c>
    </row>
    <row r="10" spans="1:9" ht="15.75" customHeight="1" x14ac:dyDescent="0.25">
      <c r="A10" s="5">
        <f t="shared" si="3"/>
        <v>2032</v>
      </c>
      <c r="B10" s="49">
        <v>275427</v>
      </c>
      <c r="C10" s="50">
        <v>1233812</v>
      </c>
      <c r="D10" s="50">
        <v>2221921.5</v>
      </c>
      <c r="E10" s="50">
        <v>1703576.5</v>
      </c>
      <c r="F10" s="50">
        <v>2894109</v>
      </c>
      <c r="G10" s="17">
        <f t="shared" si="0"/>
        <v>8053419</v>
      </c>
      <c r="H10" s="17">
        <f t="shared" si="1"/>
        <v>314539.83727305091</v>
      </c>
      <c r="I10" s="17">
        <f t="shared" si="2"/>
        <v>7738879.162726949</v>
      </c>
    </row>
    <row r="11" spans="1:9" ht="15.75" customHeight="1" x14ac:dyDescent="0.25">
      <c r="A11" s="5">
        <f t="shared" si="3"/>
        <v>2033</v>
      </c>
      <c r="B11" s="49">
        <v>279081</v>
      </c>
      <c r="C11" s="50">
        <v>1145618.5</v>
      </c>
      <c r="D11" s="50">
        <v>2299995.5</v>
      </c>
      <c r="E11" s="50">
        <v>1642955</v>
      </c>
      <c r="F11" s="50">
        <v>2793500</v>
      </c>
      <c r="G11" s="17">
        <f t="shared" si="0"/>
        <v>7882069</v>
      </c>
      <c r="H11" s="17">
        <f t="shared" si="1"/>
        <v>318712.73450315447</v>
      </c>
      <c r="I11" s="17">
        <f t="shared" si="2"/>
        <v>7563356.2654968454</v>
      </c>
    </row>
    <row r="12" spans="1:9" ht="15.75" customHeight="1" x14ac:dyDescent="0.25">
      <c r="A12" s="5">
        <f t="shared" si="3"/>
        <v>2034</v>
      </c>
      <c r="B12" s="49">
        <v>282726</v>
      </c>
      <c r="C12" s="50">
        <v>1060136</v>
      </c>
      <c r="D12" s="50">
        <v>2350997</v>
      </c>
      <c r="E12" s="50">
        <v>1619498.5</v>
      </c>
      <c r="F12" s="50">
        <v>2658849.5</v>
      </c>
      <c r="G12" s="17">
        <f t="shared" si="0"/>
        <v>7689481</v>
      </c>
      <c r="H12" s="17">
        <f t="shared" si="1"/>
        <v>322875.35366126266</v>
      </c>
      <c r="I12" s="17">
        <f t="shared" si="2"/>
        <v>7366605.6463387376</v>
      </c>
    </row>
    <row r="13" spans="1:9" ht="15.75" customHeight="1" x14ac:dyDescent="0.25">
      <c r="A13" s="5">
        <f t="shared" si="3"/>
        <v>2035</v>
      </c>
      <c r="B13" s="49">
        <v>287795</v>
      </c>
      <c r="C13" s="50">
        <v>985884.49999999988</v>
      </c>
      <c r="D13" s="50">
        <v>2370537.5</v>
      </c>
      <c r="E13" s="50">
        <v>1622593</v>
      </c>
      <c r="F13" s="50">
        <v>2514085.5</v>
      </c>
      <c r="G13" s="17">
        <f t="shared" si="0"/>
        <v>7493100.5</v>
      </c>
      <c r="H13" s="17">
        <f t="shared" si="1"/>
        <v>328664.19221063185</v>
      </c>
      <c r="I13" s="17">
        <f t="shared" si="2"/>
        <v>7164436.3077893686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8GzXAY23KTkuA84F9viZvhxGplRykM5yTIiBI9uyfCcvHeaEktNo4X/w9tfJOYECPzkTkEXAi94Q/7QhD/zUw==" saltValue="lQi+gaj60Sekg8RABz64M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5.505921618550734E-2</v>
      </c>
    </row>
    <row r="5" spans="1:8" ht="15.75" customHeight="1" x14ac:dyDescent="0.25">
      <c r="B5" s="19" t="s">
        <v>95</v>
      </c>
      <c r="C5" s="101">
        <v>3.1744383940946891E-2</v>
      </c>
    </row>
    <row r="6" spans="1:8" ht="15.75" customHeight="1" x14ac:dyDescent="0.25">
      <c r="B6" s="19" t="s">
        <v>91</v>
      </c>
      <c r="C6" s="101">
        <v>0.1737396152025559</v>
      </c>
    </row>
    <row r="7" spans="1:8" ht="15.75" customHeight="1" x14ac:dyDescent="0.25">
      <c r="B7" s="19" t="s">
        <v>96</v>
      </c>
      <c r="C7" s="101">
        <v>0.38069658064395451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0.2666497047516671</v>
      </c>
    </row>
    <row r="10" spans="1:8" ht="15.75" customHeight="1" x14ac:dyDescent="0.25">
      <c r="B10" s="19" t="s">
        <v>94</v>
      </c>
      <c r="C10" s="101">
        <v>9.2110499275368213E-2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8.5700179765477169E-3</v>
      </c>
      <c r="D14" s="55">
        <v>8.5700179765477169E-3</v>
      </c>
      <c r="E14" s="55">
        <v>8.5700179765477169E-3</v>
      </c>
      <c r="F14" s="55">
        <v>8.5700179765477169E-3</v>
      </c>
    </row>
    <row r="15" spans="1:8" ht="15.75" customHeight="1" x14ac:dyDescent="0.25">
      <c r="B15" s="19" t="s">
        <v>102</v>
      </c>
      <c r="C15" s="101">
        <v>0.16312824572178389</v>
      </c>
      <c r="D15" s="101">
        <v>0.16312824572178389</v>
      </c>
      <c r="E15" s="101">
        <v>0.16312824572178389</v>
      </c>
      <c r="F15" s="101">
        <v>0.16312824572178389</v>
      </c>
    </row>
    <row r="16" spans="1:8" ht="15.75" customHeight="1" x14ac:dyDescent="0.25">
      <c r="B16" s="19" t="s">
        <v>2</v>
      </c>
      <c r="C16" s="101">
        <v>1.043185977361526E-2</v>
      </c>
      <c r="D16" s="101">
        <v>1.043185977361526E-2</v>
      </c>
      <c r="E16" s="101">
        <v>1.043185977361526E-2</v>
      </c>
      <c r="F16" s="101">
        <v>1.043185977361526E-2</v>
      </c>
    </row>
    <row r="17" spans="1:8" ht="15.75" customHeight="1" x14ac:dyDescent="0.25">
      <c r="B17" s="19" t="s">
        <v>90</v>
      </c>
      <c r="C17" s="101">
        <v>5.610694382909396E-2</v>
      </c>
      <c r="D17" s="101">
        <v>5.610694382909396E-2</v>
      </c>
      <c r="E17" s="101">
        <v>5.610694382909396E-2</v>
      </c>
      <c r="F17" s="101">
        <v>5.610694382909396E-2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7.3411218117903063E-2</v>
      </c>
      <c r="D19" s="101">
        <v>7.3411218117903063E-2</v>
      </c>
      <c r="E19" s="101">
        <v>7.3411218117903063E-2</v>
      </c>
      <c r="F19" s="101">
        <v>7.3411218117903063E-2</v>
      </c>
    </row>
    <row r="20" spans="1:8" ht="15.75" customHeight="1" x14ac:dyDescent="0.25">
      <c r="B20" s="19" t="s">
        <v>79</v>
      </c>
      <c r="C20" s="101">
        <v>0.2483207157957853</v>
      </c>
      <c r="D20" s="101">
        <v>0.2483207157957853</v>
      </c>
      <c r="E20" s="101">
        <v>0.2483207157957853</v>
      </c>
      <c r="F20" s="101">
        <v>0.2483207157957853</v>
      </c>
    </row>
    <row r="21" spans="1:8" ht="15.75" customHeight="1" x14ac:dyDescent="0.25">
      <c r="B21" s="19" t="s">
        <v>88</v>
      </c>
      <c r="C21" s="101">
        <v>0.2568545372870949</v>
      </c>
      <c r="D21" s="101">
        <v>0.2568545372870949</v>
      </c>
      <c r="E21" s="101">
        <v>0.2568545372870949</v>
      </c>
      <c r="F21" s="101">
        <v>0.2568545372870949</v>
      </c>
    </row>
    <row r="22" spans="1:8" ht="15.75" customHeight="1" x14ac:dyDescent="0.25">
      <c r="B22" s="19" t="s">
        <v>99</v>
      </c>
      <c r="C22" s="101">
        <v>0.1831764614981759</v>
      </c>
      <c r="D22" s="101">
        <v>0.1831764614981759</v>
      </c>
      <c r="E22" s="101">
        <v>0.1831764614981759</v>
      </c>
      <c r="F22" s="101">
        <v>0.1831764614981759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4.9599230000000001E-2</v>
      </c>
    </row>
    <row r="27" spans="1:8" ht="15.75" customHeight="1" x14ac:dyDescent="0.25">
      <c r="B27" s="19" t="s">
        <v>89</v>
      </c>
      <c r="C27" s="101">
        <v>5.3032503999999987E-2</v>
      </c>
    </row>
    <row r="28" spans="1:8" ht="15.75" customHeight="1" x14ac:dyDescent="0.25">
      <c r="B28" s="19" t="s">
        <v>103</v>
      </c>
      <c r="C28" s="101">
        <v>0.110220151</v>
      </c>
    </row>
    <row r="29" spans="1:8" ht="15.75" customHeight="1" x14ac:dyDescent="0.25">
      <c r="B29" s="19" t="s">
        <v>86</v>
      </c>
      <c r="C29" s="101">
        <v>0.122891953</v>
      </c>
    </row>
    <row r="30" spans="1:8" ht="15.75" customHeight="1" x14ac:dyDescent="0.25">
      <c r="B30" s="19" t="s">
        <v>4</v>
      </c>
      <c r="C30" s="101">
        <v>7.3900320000000005E-2</v>
      </c>
    </row>
    <row r="31" spans="1:8" ht="15.75" customHeight="1" x14ac:dyDescent="0.25">
      <c r="B31" s="19" t="s">
        <v>80</v>
      </c>
      <c r="C31" s="101">
        <v>5.9789176999999999E-2</v>
      </c>
    </row>
    <row r="32" spans="1:8" ht="15.75" customHeight="1" x14ac:dyDescent="0.25">
      <c r="B32" s="19" t="s">
        <v>85</v>
      </c>
      <c r="C32" s="101">
        <v>0.12020602599999999</v>
      </c>
    </row>
    <row r="33" spans="2:3" ht="15.75" customHeight="1" x14ac:dyDescent="0.25">
      <c r="B33" s="19" t="s">
        <v>100</v>
      </c>
      <c r="C33" s="101">
        <v>0.11539405899999999</v>
      </c>
    </row>
    <row r="34" spans="2:3" ht="15.75" customHeight="1" x14ac:dyDescent="0.25">
      <c r="B34" s="19" t="s">
        <v>87</v>
      </c>
      <c r="C34" s="101">
        <v>0.29496657999999998</v>
      </c>
    </row>
    <row r="35" spans="2:3" ht="15.75" customHeight="1" x14ac:dyDescent="0.25">
      <c r="B35" s="27" t="s">
        <v>60</v>
      </c>
      <c r="C35" s="48">
        <f>SUM(C26:C34)</f>
        <v>0.99999999999999989</v>
      </c>
    </row>
  </sheetData>
  <sheetProtection algorithmName="SHA-512" hashValue="O+9p1mD4pL+KRZlTp/oiyoUgdhWI17TypYixC9fpXzz8ryGVTswDbnmVhA0Lt7Xoao5pK6IYWInJa49tXZirhA==" saltValue="WA2ihukOr0u5bVCzHCpDF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110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106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107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119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0.40111343449999998</v>
      </c>
      <c r="D14" s="54">
        <v>0.364943678725</v>
      </c>
      <c r="E14" s="54">
        <v>0.364943678725</v>
      </c>
      <c r="F14" s="54">
        <v>0.146891302015</v>
      </c>
      <c r="G14" s="54">
        <v>0.146891302015</v>
      </c>
      <c r="H14" s="45">
        <v>0.248</v>
      </c>
      <c r="I14" s="55">
        <v>0.248</v>
      </c>
      <c r="J14" s="55">
        <v>0.248</v>
      </c>
      <c r="K14" s="55">
        <v>0.248</v>
      </c>
      <c r="L14" s="45">
        <v>0.23499999999999999</v>
      </c>
      <c r="M14" s="55">
        <v>0.23499999999999999</v>
      </c>
      <c r="N14" s="55">
        <v>0.23499999999999999</v>
      </c>
      <c r="O14" s="55">
        <v>0.23499999999999999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0.2593547322730515</v>
      </c>
      <c r="D15" s="52">
        <f t="shared" si="0"/>
        <v>0.23596783839576158</v>
      </c>
      <c r="E15" s="52">
        <f t="shared" si="0"/>
        <v>0.23596783839576158</v>
      </c>
      <c r="F15" s="52">
        <f t="shared" si="0"/>
        <v>9.4978006295972806E-2</v>
      </c>
      <c r="G15" s="52">
        <f t="shared" si="0"/>
        <v>9.4978006295972806E-2</v>
      </c>
      <c r="H15" s="52">
        <f t="shared" si="0"/>
        <v>0.160353576</v>
      </c>
      <c r="I15" s="52">
        <f t="shared" si="0"/>
        <v>0.160353576</v>
      </c>
      <c r="J15" s="52">
        <f t="shared" si="0"/>
        <v>0.160353576</v>
      </c>
      <c r="K15" s="52">
        <f t="shared" si="0"/>
        <v>0.160353576</v>
      </c>
      <c r="L15" s="52">
        <f t="shared" si="0"/>
        <v>0.151947945</v>
      </c>
      <c r="M15" s="52">
        <f t="shared" si="0"/>
        <v>0.151947945</v>
      </c>
      <c r="N15" s="52">
        <f t="shared" si="0"/>
        <v>0.151947945</v>
      </c>
      <c r="O15" s="52">
        <f t="shared" si="0"/>
        <v>0.151947945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2qTfON2Q+luVoIS3ORulLpUWu91+nUHLwITaDqpCbcc9n58rO2RRtbBCO2oumD8LG6y3PxjzgqZY8fc6eecSQ==" saltValue="5dn06NqwObV7/1F30Vk+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0.3332405</v>
      </c>
      <c r="D2" s="53">
        <v>0.18352399999999999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0.48439080000000001</v>
      </c>
      <c r="D3" s="53">
        <v>0.32418390000000002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8.9775800000000003E-2</v>
      </c>
      <c r="D4" s="53">
        <v>0.36902190000000001</v>
      </c>
      <c r="E4" s="53">
        <v>0.56530579999999997</v>
      </c>
      <c r="F4" s="53">
        <v>0.30857899999999999</v>
      </c>
      <c r="G4" s="53">
        <v>0</v>
      </c>
    </row>
    <row r="5" spans="1:7" x14ac:dyDescent="0.25">
      <c r="B5" s="3" t="s">
        <v>125</v>
      </c>
      <c r="C5" s="52">
        <v>9.2592900000000006E-2</v>
      </c>
      <c r="D5" s="52">
        <v>0.12327009999999999</v>
      </c>
      <c r="E5" s="52">
        <f>1-SUM(E2:E4)</f>
        <v>0.43469420000000003</v>
      </c>
      <c r="F5" s="52">
        <f>1-SUM(F2:F4)</f>
        <v>0.69142100000000006</v>
      </c>
      <c r="G5" s="52">
        <f>1-SUM(G2:G4)</f>
        <v>1</v>
      </c>
    </row>
  </sheetData>
  <sheetProtection algorithmName="SHA-512" hashValue="U9j/7oxjktfo7hH8beVaq3a10ZCXaeAFxvdIPKbDcOYRIVdw86DgSyHWe4jgi+DIatxOY8qXCKnqF+/iVyHkUw==" saltValue="QJKZHdHvsLudhuwo6I71u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m5W6ZSf1DJf+z0+iBzSNRL2EALtqVZLWxtnE/XYhHLsUmB2+cLFEtOL7TCQwh/OLxNILYXBaFTyZnNSSUQOiw==" saltValue="CLTxuXhyzjwVOHkzDmAUO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4tjfYZgvh372MyS1lXzNzmc6pKuftCFa01paAtW3nNQqdCNfnWm7HBP9f3iIuiaEnuq3WeAKyxyilkc1rWFH0A==" saltValue="BH38HH6CguQMI90zELB59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B5SxCS4BkkLdUzK+WVFnHaRTiCIUqvCTDRyUbSJnEDOv3LGKjicEEzygxLLj5StVNZiZ9hlKDQc9Hb9bOtqGxA==" saltValue="EVPxPctj0lnQO7kJA0BN/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3F5AFshc1Xqly1xCd8mOC8sQbtPhPJjslIrqPYwkS9aWS0UWgt5RHxXPdgcKzijxOVMaLvALvLiQ8e+qoz6CWQ==" saltValue="0IsAMcApelA6okMvxmBum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45.538469166818018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42.692246247747647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218.572803066435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9.5296125674998819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3.4021799999999998E-2</v>
      </c>
      <c r="C10" s="98">
        <v>0.95</v>
      </c>
      <c r="D10" s="56">
        <v>13.70995814776825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13.70995814776825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13.70995814776825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13.70995814776825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3.4021799999999998E-2</v>
      </c>
      <c r="C14" s="98">
        <v>0.95</v>
      </c>
      <c r="D14" s="56">
        <v>13.70995814776825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13.70995814776825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0.41105120000000001</v>
      </c>
      <c r="C16" s="98">
        <v>0.95</v>
      </c>
      <c r="D16" s="56">
        <v>0.44919677959070559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0.18352399999999999</v>
      </c>
      <c r="C18" s="98">
        <v>0.95</v>
      </c>
      <c r="D18" s="56">
        <v>5.0978270834575747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0.18352399999999999</v>
      </c>
      <c r="C19" s="98">
        <v>0.95</v>
      </c>
      <c r="D19" s="56">
        <v>5.0978270834575747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93.973155012451954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23.487909719040388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4.5674458261497017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0.70703173875388003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3.4021799999999998E-2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19.711165685025641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0.59233060000000004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0.58499999999999996</v>
      </c>
      <c r="C29" s="98">
        <v>0.95</v>
      </c>
      <c r="D29" s="56">
        <v>85.139330298277699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3.1374405621372272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0.93094042298659452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0.27220169999999999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0.62716769999999999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1.380272503608452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7/04BoTYDbMRANBw5YXMttcTt1tI/vT0CUpMYRpY3not7CK9inT9tq0KLl1YmptzpfQQC+juI9asqMWo6MTY9w==" saltValue="d0wXa0XjEG09wdiFdEaE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cP/JSQVqVNjOw9Oa5syZm0GTnfz1YN9uy7YDBke7Z4Ay5OH2W9jH0jFvhnqiB+kotzFd0JBLVoYRqMPnnSnbdQ==" saltValue="WmsZa8A0e+Hz1CrMXLYs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M6mJtXOtNABeox5jmziHyzwFyhaZ/KtG4qFzvsDla+S9LG+keGlRepS2+GFD8O4ttbVS+fkd0M2eBBbbUQq9Iw==" saltValue="koCQ8PJBWLVRUVAHnyzuL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207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sheetProtection algorithmName="SHA-512" hashValue="OQDq+tiWdVv2L69nhdm+O6ypH4o1w1LoV+0FyypoK/U7ijkgT7UNEhLvLB/pXBaNh0uKOoa4DcM7gvlc6hnmQQ==" saltValue="SEJYk+rFLI0z4VN6vYeEJ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0.32</v>
      </c>
      <c r="M24" s="60">
        <f>famplan_unmet_need</f>
        <v>0.32</v>
      </c>
      <c r="N24" s="60">
        <f>famplan_unmet_need</f>
        <v>0.32</v>
      </c>
      <c r="O24" s="60">
        <f>famplan_unmet_need</f>
        <v>0.32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6.5254764556884975E-2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2.7966327667236422E-2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3.9951896667480599E-2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0.86682701110839799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DSXk557W3lHhhObg5BDwdQPyEMgn6ftgrvq0/d1+ssAYjmJYUHdCFG+EjXZov5sDS14jC1IE5bJ/Pe3KkS5iA==" saltValue="J+cNbKaHPL+mSGrHlvM5W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/tOuHXjJcvqSFh91YP/WuwOMdS362m8PfWaTRrFEkZ59VljO/hoQqgRMEO0Z6e3SSuHGOCxUgRSMK3Ns0XTiHA==" saltValue="g+Hmcxo42nFdYlHLtL/xj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/MQAOW6tZ/0VsLoVyCcjUEIMBvq6AYy5adbNLMMuMTAIjGEPn8Ugm/srRy92qP9SCY+mnW4zMSoGKMrsr5j6pA==" saltValue="Xol4YsYT55xR6MuSwfOsc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EGtv0PbH7mzFLTuSGF66JbsbyRwwUrX5VtG7znsTWTSZrLwNp0v5sCqwSnKVU5lOQynbvGJGX2nASsIdA7M/g==" saltValue="Jl5zIJWtFXgeSlAEYhrTE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BvKhtEZ2Ijl7tVK5pE/f3QkVfvPhcfpFwhXBnCZ4+BdZFJQsXrPnYUycg9Oc5/R6Mg1v4gaRjTlEkPoUZFzdA==" saltValue="ZUt5PltRNKW67viTcbv1Q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BW4Fpu4AgUsCt0e8ffFE3UQLUQj1eHxIOQzlnjk1xPYCmPryhagN6c6d8YwaVsZUOzQRaC3oQn1m2SbdS3RlZw==" saltValue="CbOtBP9bmHs6Mf5LyLwFr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ZwB2fnva9zssnTmCCjs18kUgbDHwIKrj0hDQv6tE0Q4ftOUvSl56m74UXMc+E+2AT7QaWzRkizzSR+gCIGKY0g==" saltValue="kQaj2Mxd0/NaP8VzirMFc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XfL5RmwhzRz4EEI2+P0sM9mAySOQeE5DsDua1AAIGXtCDU5HjhUtMkJ4KXN16me03zdHBh4w1i5j/C92RWayQ==" saltValue="m2WZp0+Ets3ByVrIXEsU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OaEWP8QqvslGX5/WGyGM/yhSoTWzlKHSJwapHZtiXzWhMeHhHDCtBXU0W2EFzbrZMIBm6pL0IiDABkw8cJfHw==" saltValue="OEONK1gcgeIhsK5WTj7C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nMBVU+zNr5ylb9qDhU6Gx15bR8aB8pUNyWZ6WtnbAvahEpqmx+mw4m7LEX8ZAPZ7cL1tso/x6ijhBC6IZUqPWw==" saltValue="T+C4kDbuMb77RlxagwXe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9UpLcVYSElrIi9wuoSywCFQhHkFvsn8eoffqsFwYg0EE+KEdgEkQg3+cyXgdTk4pJKdt18T8FuUZTjq0PGbzg==" saltValue="fb45m1FIkxWqy9vwOgKZ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fX3ZuSRrZ0Bus5M+iRVKi6R08yzC2n9eL/1RTdAATrKX0TkNX7rAqLiiICSaqD1bsa9NzizJsCoDWMQU09eJA==" saltValue="0HNHi+ovypHpef2/pELy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F8ZQoF0ycgovnhTK4g2s6qW+WMsYeiLGB14rKbb4mLOS7rrLycO8Q55wovDr22QLg8/twBZacwo6N2o0knWqw==" saltValue="byXbxxfNai1BqYgkCjPK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0.1079880875647985</v>
      </c>
      <c r="G18" s="90">
        <f>MIN(MAX(1-0.89/(1-frac_sam_12_23months+(frac_sam_12_23months*0.89)),0),1)</f>
        <v>0.10866172855078449</v>
      </c>
      <c r="H18" s="90">
        <f>MIN(MAX(1-0.89/(1-frac_sam_24_59months+(frac_sam_24_59months*0.89)),0),1)</f>
        <v>0.10878793029974732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0.1060244776503797</v>
      </c>
      <c r="G20" s="90">
        <f>MIN(MAX(1-0.89/(1-frac_mam_12_23months+(frac_mam_12_23months*0.89)),0),1)</f>
        <v>0.1079067636550467</v>
      </c>
      <c r="H20" s="90">
        <f>MIN(MAX(1-0.89/(1-frac_mam_24_59months+(frac_mam_24_59months*0.89)),0),1)</f>
        <v>0.10824369863569794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9.7969654307351606E-3</v>
      </c>
      <c r="G73" s="90">
        <f>MIN(MAX(1-0.99/(1-frac_sam_12_23months+(frac_sam_12_23months*0.99)),0),1)</f>
        <v>9.8648539210078878E-3</v>
      </c>
      <c r="H73" s="90">
        <f>MIN(MAX(1-0.99/(1-frac_sam_24_59months+(frac_sam_24_59months*0.99)),0),1)</f>
        <v>9.8775827149713002E-3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9.5996068023427306E-3</v>
      </c>
      <c r="G75" s="90">
        <f>MIN(MAX(1-0.99/(1-frac_mam_12_23months+(frac_mam_12_23months*0.99)),0),1)</f>
        <v>9.7887760403665425E-3</v>
      </c>
      <c r="H75" s="90">
        <f>MIN(MAX(1-0.99/(1-frac_mam_24_59months+(frac_mam_24_59months*0.99)),0),1)</f>
        <v>9.8227145369098601E-3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0.1967057969565037</v>
      </c>
      <c r="G128" s="90">
        <f>MIN(MAX(1-0.8/(1-frac_sam_12_23months+(frac_sam_12_23months*0.8)),0),1)</f>
        <v>0.1978101410808506</v>
      </c>
      <c r="H128" s="90">
        <f>MIN(MAX(1-0.8/(1-frac_sam_24_59months+(frac_sam_24_59months*0.8)),0),1)</f>
        <v>0.19801687963994419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0.1934788885584835</v>
      </c>
      <c r="G130" s="90">
        <f>MIN(MAX(1-0.8/(1-frac_mam_12_23months+(frac_mam_12_23months*0.8)),0),1)</f>
        <v>0.19657238459637316</v>
      </c>
      <c r="H130" s="90">
        <f>MIN(MAX(1-0.8/(1-frac_mam_24_59months+(frac_mam_24_59months*0.8)),0),1)</f>
        <v>0.19712499835008013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zEES/G6Qjc7GCikmovOCRzEiIXHexFMA2phm6Yjmp4PsZ7ud0TVtVpJO05F0On/CTUfDC/sbB49+3ICzni8Lw==" saltValue="8g8Cm72Muc3grJj5+a4K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NneS173E/oo0jYsDFpvMUihRJoLyvPz110n5BOfhHjWh9w3xYkE/fBYkU8QO3bgq8EmJzyGKEtMGRx0r5tvOFA==" saltValue="8Tn0uAtDmEovghJyXOw6K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2024-08-06T08:29:59Z</dcterms:modified>
</cp:coreProperties>
</file>