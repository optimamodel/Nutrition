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0B1C87BC-6901-408C-99E5-06A3EF1FA2F5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A40" i="2"/>
  <c r="H39" i="2"/>
  <c r="G39" i="2"/>
  <c r="H38" i="2"/>
  <c r="G38" i="2"/>
  <c r="A35" i="2"/>
  <c r="A34" i="2"/>
  <c r="A24" i="2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H7" i="2"/>
  <c r="G7" i="2"/>
  <c r="H6" i="2"/>
  <c r="G6" i="2"/>
  <c r="I6" i="2" s="1"/>
  <c r="H5" i="2"/>
  <c r="G5" i="2"/>
  <c r="H4" i="2"/>
  <c r="G4" i="2"/>
  <c r="H3" i="2"/>
  <c r="G3" i="2"/>
  <c r="H2" i="2"/>
  <c r="G2" i="2"/>
  <c r="A2" i="2"/>
  <c r="A39" i="2" s="1"/>
  <c r="C33" i="1"/>
  <c r="C20" i="1"/>
  <c r="I2" i="2" l="1"/>
  <c r="I8" i="2"/>
  <c r="A19" i="2"/>
  <c r="A36" i="2"/>
  <c r="I7" i="2"/>
  <c r="I13" i="2"/>
  <c r="A37" i="2"/>
  <c r="I38" i="2"/>
  <c r="A22" i="2"/>
  <c r="I39" i="2"/>
  <c r="I3" i="2"/>
  <c r="I9" i="2"/>
  <c r="A23" i="2"/>
  <c r="I4" i="2"/>
  <c r="A25" i="2"/>
  <c r="A26" i="2"/>
  <c r="I11" i="2"/>
  <c r="A31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<sst xmlns="http://schemas.openxmlformats.org/spreadsheetml/2006/main" count="2169" uniqueCount="373">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</sst>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11547.5</v>
      </c>
    </row>
    <row r="8" spans="1:3" ht="15" customHeight="1" x14ac:dyDescent="0.25">
      <c r="B8" s="5" t="s">
        <v>63</v>
      </c>
      <c r="C8" s="44">
        <v>0.01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0.78687103271484404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0.52100000000000002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2.0899999999999998E-2</v>
      </c>
    </row>
    <row r="24" spans="1:3" ht="15" customHeight="1" x14ac:dyDescent="0.25">
      <c r="B24" s="15" t="s">
        <v>65</v>
      </c>
      <c r="C24" s="45">
        <v>0.42159999999999997</v>
      </c>
    </row>
    <row r="25" spans="1:3" ht="15" customHeight="1" x14ac:dyDescent="0.25">
      <c r="B25" s="15" t="s">
        <v>66</v>
      </c>
      <c r="C25" s="45">
        <v>0.4854</v>
      </c>
    </row>
    <row r="26" spans="1:3" ht="15" customHeight="1" x14ac:dyDescent="0.25">
      <c r="B26" s="15" t="s">
        <v>67</v>
      </c>
      <c r="C26" s="45">
        <v>7.2099999999999997E-2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0.35185775257007201</v>
      </c>
    </row>
    <row r="30" spans="1:3" ht="14.25" customHeight="1" x14ac:dyDescent="0.25">
      <c r="B30" s="25" t="s">
        <v>82</v>
      </c>
      <c r="C30" s="97">
        <v>2.3858720907234902E-2</v>
      </c>
    </row>
    <row r="31" spans="1:3" ht="14.25" customHeight="1" x14ac:dyDescent="0.25">
      <c r="B31" s="25" t="s">
        <v>29</v>
      </c>
      <c r="C31" s="97">
        <v>3.4342930038455802E-2</v>
      </c>
    </row>
    <row r="32" spans="1:3" ht="14.25" customHeight="1" x14ac:dyDescent="0.25">
      <c r="B32" s="25" t="s">
        <v>30</v>
      </c>
      <c r="C32" s="97">
        <v>0.58994059648423802</v>
      </c>
    </row>
    <row r="33" spans="1:5" ht="13.25" customHeight="1" x14ac:dyDescent="0.25">
      <c r="B33" s="27" t="s">
        <v>79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4.8672399999999998</v>
      </c>
    </row>
    <row r="38" spans="1:5" ht="15" customHeight="1" x14ac:dyDescent="0.25">
      <c r="B38" s="11" t="s">
        <v>54</v>
      </c>
      <c r="C38" s="43">
        <v>9.5718099999999993</v>
      </c>
      <c r="D38" s="12"/>
      <c r="E38" s="13"/>
    </row>
    <row r="39" spans="1:5" ht="15" customHeight="1" x14ac:dyDescent="0.25">
      <c r="B39" s="11" t="s">
        <v>80</v>
      </c>
      <c r="C39" s="43">
        <v>11.13988</v>
      </c>
      <c r="D39" s="12"/>
      <c r="E39" s="12"/>
    </row>
    <row r="40" spans="1:5" ht="15" customHeight="1" x14ac:dyDescent="0.25">
      <c r="B40" s="11" t="s">
        <v>55</v>
      </c>
      <c r="C40" s="98">
        <v>1.26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6.4813700000000001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6.1345000000000002E-3</v>
      </c>
      <c r="D45" s="12"/>
    </row>
    <row r="46" spans="1:5" ht="15.75" customHeight="1" x14ac:dyDescent="0.25">
      <c r="B46" s="11" t="s">
        <v>70</v>
      </c>
      <c r="C46" s="45">
        <v>6.5914E-2</v>
      </c>
      <c r="D46" s="12"/>
    </row>
    <row r="47" spans="1:5" ht="15.75" customHeight="1" x14ac:dyDescent="0.25">
      <c r="B47" s="11" t="s">
        <v>78</v>
      </c>
      <c r="C47" s="45">
        <v>7.5167600000000001E-2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2.2000000000000002</v>
      </c>
      <c r="D51" s="12"/>
    </row>
    <row r="52" spans="1:4" ht="15" customHeight="1" x14ac:dyDescent="0.25">
      <c r="B52" s="11" t="s">
        <v>32</v>
      </c>
      <c r="C52" s="98">
        <v>2.2000000000000002</v>
      </c>
    </row>
    <row r="53" spans="1:4" ht="15.75" customHeight="1" x14ac:dyDescent="0.25">
      <c r="B53" s="11" t="s">
        <v>35</v>
      </c>
      <c r="C53" s="98">
        <v>2.2000000000000002</v>
      </c>
    </row>
    <row r="54" spans="1:4" ht="15.75" customHeight="1" x14ac:dyDescent="0.25">
      <c r="B54" s="11" t="s">
        <v>33</v>
      </c>
      <c r="C54" s="98">
        <v>2.2000000000000002</v>
      </c>
    </row>
    <row r="55" spans="1:4" ht="15.75" customHeight="1" x14ac:dyDescent="0.25">
      <c r="B55" s="11" t="s">
        <v>34</v>
      </c>
      <c r="C55" s="98">
        <v>2.2000000000000002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2.1363636363636359E-2</v>
      </c>
    </row>
    <row r="59" spans="1:4" ht="15.75" customHeight="1" x14ac:dyDescent="0.25">
      <c r="B59" s="11" t="s">
        <v>59</v>
      </c>
      <c r="C59" s="45">
        <v>0.58581800000000006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0VbyENS3hIRyLNPOtjnnDGzQ7uotU27xaHtzSP00sWVgflGSveDSQlDj8cxMvW3DKvv+7q1mhuqfXPHLdbb5Ig==" saltValue="jRcxxeqeu52i/+XXF/Gy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2400</v>
      </c>
      <c r="C2" s="49">
        <v>5786.5</v>
      </c>
      <c r="D2" s="49">
        <v>8754</v>
      </c>
      <c r="E2" s="49">
        <v>6414.5</v>
      </c>
      <c r="F2" s="49">
        <v>5685.4999999999991</v>
      </c>
      <c r="G2" s="17">
        <f t="shared" ref="G2:G13" si="0">C2+D2+E2+F2</f>
        <v>26640.5</v>
      </c>
      <c r="H2" s="17">
        <f t="shared" ref="H2:H13" si="1">(B2 + stillbirth*B2/(1000-stillbirth))/(1-abortion)</f>
        <v>2745.0645060100455</v>
      </c>
      <c r="I2" s="17">
        <f t="shared" ref="I2:I13" si="2">G2-H2</f>
        <v>23895.435493989953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2365</v>
      </c>
      <c r="C3" s="50">
        <v>5776.5</v>
      </c>
      <c r="D3" s="50">
        <v>8803.5</v>
      </c>
      <c r="E3" s="50">
        <v>6255</v>
      </c>
      <c r="F3" s="50">
        <v>5744</v>
      </c>
      <c r="G3" s="17">
        <f t="shared" si="0"/>
        <v>26579</v>
      </c>
      <c r="H3" s="17">
        <f t="shared" si="1"/>
        <v>2705.0323152973992</v>
      </c>
      <c r="I3" s="17">
        <f t="shared" si="2"/>
        <v>23873.967684702602</v>
      </c>
    </row>
    <row r="4" spans="1:9" ht="15.75" customHeight="1" x14ac:dyDescent="0.25">
      <c r="A4" s="5">
        <f t="shared" si="3"/>
        <v>2026</v>
      </c>
      <c r="B4" s="49">
        <v>2339</v>
      </c>
      <c r="C4" s="50">
        <v>5812</v>
      </c>
      <c r="D4" s="50">
        <v>8857.5</v>
      </c>
      <c r="E4" s="50">
        <v>6092.0000000000009</v>
      </c>
      <c r="F4" s="50">
        <v>5781.4999999999991</v>
      </c>
      <c r="G4" s="17">
        <f t="shared" si="0"/>
        <v>26543</v>
      </c>
      <c r="H4" s="17">
        <f t="shared" si="1"/>
        <v>2675.2941164822905</v>
      </c>
      <c r="I4" s="17">
        <f t="shared" si="2"/>
        <v>23867.705883517709</v>
      </c>
    </row>
    <row r="5" spans="1:9" ht="15.75" customHeight="1" x14ac:dyDescent="0.25">
      <c r="A5" s="5">
        <f t="shared" si="3"/>
        <v>2027</v>
      </c>
      <c r="B5" s="49">
        <v>2304</v>
      </c>
      <c r="C5" s="50">
        <v>5868</v>
      </c>
      <c r="D5" s="50">
        <v>8994.5</v>
      </c>
      <c r="E5" s="50">
        <v>5912</v>
      </c>
      <c r="F5" s="50">
        <v>5782</v>
      </c>
      <c r="G5" s="17">
        <f t="shared" si="0"/>
        <v>26556.5</v>
      </c>
      <c r="H5" s="17">
        <f t="shared" si="1"/>
        <v>2635.2619257696438</v>
      </c>
      <c r="I5" s="17">
        <f t="shared" si="2"/>
        <v>23921.238074230358</v>
      </c>
    </row>
    <row r="6" spans="1:9" ht="15.75" customHeight="1" x14ac:dyDescent="0.25">
      <c r="A6" s="5">
        <f t="shared" si="3"/>
        <v>2028</v>
      </c>
      <c r="B6" s="49">
        <v>2290</v>
      </c>
      <c r="C6" s="50">
        <v>5939</v>
      </c>
      <c r="D6" s="50">
        <v>9155.5</v>
      </c>
      <c r="E6" s="50">
        <v>5788.5000000000009</v>
      </c>
      <c r="F6" s="50">
        <v>5734</v>
      </c>
      <c r="G6" s="17">
        <f t="shared" si="0"/>
        <v>26617</v>
      </c>
      <c r="H6" s="17">
        <f t="shared" si="1"/>
        <v>2619.2490494845852</v>
      </c>
      <c r="I6" s="17">
        <f t="shared" si="2"/>
        <v>23997.750950515416</v>
      </c>
    </row>
    <row r="7" spans="1:9" ht="15.75" customHeight="1" x14ac:dyDescent="0.25">
      <c r="A7" s="5">
        <f t="shared" si="3"/>
        <v>2029</v>
      </c>
      <c r="B7" s="49">
        <v>2284</v>
      </c>
      <c r="C7" s="50">
        <v>6014.5</v>
      </c>
      <c r="D7" s="50">
        <v>9303.5</v>
      </c>
      <c r="E7" s="50">
        <v>5705</v>
      </c>
      <c r="F7" s="50">
        <v>5656.5</v>
      </c>
      <c r="G7" s="17">
        <f t="shared" si="0"/>
        <v>26679.5</v>
      </c>
      <c r="H7" s="17">
        <f t="shared" si="1"/>
        <v>2612.3863882195601</v>
      </c>
      <c r="I7" s="17">
        <f t="shared" si="2"/>
        <v>24067.113611780442</v>
      </c>
    </row>
    <row r="8" spans="1:9" ht="15.75" customHeight="1" x14ac:dyDescent="0.25">
      <c r="A8" s="5">
        <f t="shared" si="3"/>
        <v>2030</v>
      </c>
      <c r="B8" s="49">
        <v>2276</v>
      </c>
      <c r="C8" s="50">
        <v>6051</v>
      </c>
      <c r="D8" s="50">
        <v>9434.0000000000018</v>
      </c>
      <c r="E8" s="50">
        <v>5673</v>
      </c>
      <c r="F8" s="50">
        <v>5578.5</v>
      </c>
      <c r="G8" s="17">
        <f t="shared" si="0"/>
        <v>26736.5</v>
      </c>
      <c r="H8" s="17">
        <f t="shared" si="1"/>
        <v>2603.2361731995265</v>
      </c>
      <c r="I8" s="17">
        <f t="shared" si="2"/>
        <v>24133.263826800474</v>
      </c>
    </row>
    <row r="9" spans="1:9" ht="15.75" customHeight="1" x14ac:dyDescent="0.25">
      <c r="A9" s="5">
        <f t="shared" si="3"/>
        <v>2031</v>
      </c>
      <c r="B9" s="49">
        <v>2283</v>
      </c>
      <c r="C9" s="50">
        <v>6000.5</v>
      </c>
      <c r="D9" s="50">
        <v>9580.5</v>
      </c>
      <c r="E9" s="50">
        <v>5687</v>
      </c>
      <c r="F9" s="50">
        <v>5488</v>
      </c>
      <c r="G9" s="17">
        <f t="shared" si="0"/>
        <v>26756</v>
      </c>
      <c r="H9" s="17">
        <f t="shared" si="1"/>
        <v>2611.2426113420561</v>
      </c>
      <c r="I9" s="17">
        <f t="shared" si="2"/>
        <v>24144.757388657945</v>
      </c>
    </row>
    <row r="10" spans="1:9" ht="15.75" customHeight="1" x14ac:dyDescent="0.25">
      <c r="A10" s="5">
        <f t="shared" si="3"/>
        <v>2032</v>
      </c>
      <c r="B10" s="49">
        <v>2285</v>
      </c>
      <c r="C10" s="50">
        <v>5856</v>
      </c>
      <c r="D10" s="50">
        <v>9742.5</v>
      </c>
      <c r="E10" s="50">
        <v>5755</v>
      </c>
      <c r="F10" s="50">
        <v>5361.4999999999991</v>
      </c>
      <c r="G10" s="17">
        <f t="shared" si="0"/>
        <v>26715</v>
      </c>
      <c r="H10" s="17">
        <f t="shared" si="1"/>
        <v>2613.5301650970641</v>
      </c>
      <c r="I10" s="17">
        <f t="shared" si="2"/>
        <v>24101.469834902935</v>
      </c>
    </row>
    <row r="11" spans="1:9" ht="15.75" customHeight="1" x14ac:dyDescent="0.25">
      <c r="A11" s="5">
        <f t="shared" si="3"/>
        <v>2033</v>
      </c>
      <c r="B11" s="49">
        <v>2296</v>
      </c>
      <c r="C11" s="50">
        <v>5645.5</v>
      </c>
      <c r="D11" s="50">
        <v>9870.9999999999982</v>
      </c>
      <c r="E11" s="50">
        <v>5880</v>
      </c>
      <c r="F11" s="50">
        <v>5220.4999999999991</v>
      </c>
      <c r="G11" s="17">
        <f t="shared" si="0"/>
        <v>26617</v>
      </c>
      <c r="H11" s="17">
        <f t="shared" si="1"/>
        <v>2626.1117107496102</v>
      </c>
      <c r="I11" s="17">
        <f t="shared" si="2"/>
        <v>23990.88828925039</v>
      </c>
    </row>
    <row r="12" spans="1:9" ht="15.75" customHeight="1" x14ac:dyDescent="0.25">
      <c r="A12" s="5">
        <f t="shared" si="3"/>
        <v>2034</v>
      </c>
      <c r="B12" s="49">
        <v>2306</v>
      </c>
      <c r="C12" s="50">
        <v>5413</v>
      </c>
      <c r="D12" s="50">
        <v>9962</v>
      </c>
      <c r="E12" s="50">
        <v>6034.4999999999991</v>
      </c>
      <c r="F12" s="50">
        <v>5068.5</v>
      </c>
      <c r="G12" s="17">
        <f t="shared" si="0"/>
        <v>26478</v>
      </c>
      <c r="H12" s="17">
        <f t="shared" si="1"/>
        <v>2637.5494795246523</v>
      </c>
      <c r="I12" s="17">
        <f t="shared" si="2"/>
        <v>23840.450520475348</v>
      </c>
    </row>
    <row r="13" spans="1:9" ht="15.75" customHeight="1" x14ac:dyDescent="0.25">
      <c r="A13" s="5">
        <f t="shared" si="3"/>
        <v>2035</v>
      </c>
      <c r="B13" s="49">
        <v>2314</v>
      </c>
      <c r="C13" s="50">
        <v>5184</v>
      </c>
      <c r="D13" s="50">
        <v>10037.500000000002</v>
      </c>
      <c r="E13" s="50">
        <v>6165</v>
      </c>
      <c r="F13" s="50">
        <v>4951.0000000000009</v>
      </c>
      <c r="G13" s="17">
        <f t="shared" si="0"/>
        <v>26337.5</v>
      </c>
      <c r="H13" s="17">
        <f t="shared" si="1"/>
        <v>2646.6996945446858</v>
      </c>
      <c r="I13" s="17">
        <f t="shared" si="2"/>
        <v>23690.800305455316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kL+ExPbcLPlByodMjJIqC2mVCsp3usw0leHRp3j1qC8qllBf7/YCW2agb3UPGlogDVm+WCTCbubut6UuMNqK4Q==" saltValue="tQ4tEG3my293KRTZwR6hL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99">
        <v>6.3251500000000099E-2</v>
      </c>
    </row>
    <row r="5" spans="1:8" ht="15.75" customHeight="1" x14ac:dyDescent="0.25">
      <c r="B5" s="19" t="s">
        <v>114</v>
      </c>
      <c r="C5" s="99">
        <v>3.6355999999999992E-2</v>
      </c>
    </row>
    <row r="6" spans="1:8" ht="15.75" customHeight="1" x14ac:dyDescent="0.25">
      <c r="B6" s="19" t="s">
        <v>110</v>
      </c>
      <c r="C6" s="99">
        <v>0.15888490000000019</v>
      </c>
    </row>
    <row r="7" spans="1:8" ht="15.75" customHeight="1" x14ac:dyDescent="0.25">
      <c r="B7" s="19" t="s">
        <v>115</v>
      </c>
      <c r="C7" s="99">
        <v>0.4589065999999995</v>
      </c>
    </row>
    <row r="8" spans="1:8" ht="15.75" customHeight="1" x14ac:dyDescent="0.25">
      <c r="B8" s="19" t="s">
        <v>117</v>
      </c>
      <c r="C8" s="99">
        <v>0</v>
      </c>
    </row>
    <row r="9" spans="1:8" ht="15.75" customHeight="1" x14ac:dyDescent="0.25">
      <c r="B9" s="19" t="s">
        <v>111</v>
      </c>
      <c r="C9" s="99">
        <v>0.19383930000000019</v>
      </c>
    </row>
    <row r="10" spans="1:8" ht="15.75" customHeight="1" x14ac:dyDescent="0.25">
      <c r="B10" s="19" t="s">
        <v>113</v>
      </c>
      <c r="C10" s="99">
        <v>8.8761700000000138E-2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6.481529830288231E-2</v>
      </c>
      <c r="D14" s="55">
        <v>6.481529830288231E-2</v>
      </c>
      <c r="E14" s="55">
        <v>6.481529830288231E-2</v>
      </c>
      <c r="F14" s="55">
        <v>6.481529830288231E-2</v>
      </c>
    </row>
    <row r="15" spans="1:8" ht="15.75" customHeight="1" x14ac:dyDescent="0.25">
      <c r="B15" s="19" t="s">
        <v>121</v>
      </c>
      <c r="C15" s="99">
        <v>0.5316438865047407</v>
      </c>
      <c r="D15" s="99">
        <v>0.5316438865047407</v>
      </c>
      <c r="E15" s="99">
        <v>0.5316438865047407</v>
      </c>
      <c r="F15" s="99">
        <v>0.5316438865047407</v>
      </c>
    </row>
    <row r="16" spans="1:8" ht="15.75" customHeight="1" x14ac:dyDescent="0.25">
      <c r="B16" s="19" t="s">
        <v>2</v>
      </c>
      <c r="C16" s="99">
        <v>4.864881800014479E-2</v>
      </c>
      <c r="D16" s="99">
        <v>4.864881800014479E-2</v>
      </c>
      <c r="E16" s="99">
        <v>4.864881800014479E-2</v>
      </c>
      <c r="F16" s="99">
        <v>4.864881800014479E-2</v>
      </c>
    </row>
    <row r="17" spans="1:8" ht="15.75" customHeight="1" x14ac:dyDescent="0.25">
      <c r="B17" s="19" t="s">
        <v>109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3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120</v>
      </c>
      <c r="C19" s="99">
        <v>0</v>
      </c>
      <c r="D19" s="99">
        <v>0</v>
      </c>
      <c r="E19" s="99">
        <v>0</v>
      </c>
      <c r="F19" s="99">
        <v>0</v>
      </c>
    </row>
    <row r="20" spans="1:8" ht="15.75" customHeight="1" x14ac:dyDescent="0.25">
      <c r="B20" s="19" t="s">
        <v>98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107</v>
      </c>
      <c r="C21" s="99">
        <v>0.31387260017589541</v>
      </c>
      <c r="D21" s="99">
        <v>0.31387260017589541</v>
      </c>
      <c r="E21" s="99">
        <v>0.31387260017589541</v>
      </c>
      <c r="F21" s="99">
        <v>0.31387260017589541</v>
      </c>
    </row>
    <row r="22" spans="1:8" ht="15.75" customHeight="1" x14ac:dyDescent="0.25">
      <c r="B22" s="19" t="s">
        <v>118</v>
      </c>
      <c r="C22" s="99">
        <v>4.1019397016336938E-2</v>
      </c>
      <c r="D22" s="99">
        <v>4.1019397016336938E-2</v>
      </c>
      <c r="E22" s="99">
        <v>4.1019397016336938E-2</v>
      </c>
      <c r="F22" s="99">
        <v>4.1019397016336938E-2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4.7850161000000002E-2</v>
      </c>
    </row>
    <row r="27" spans="1:8" ht="15.75" customHeight="1" x14ac:dyDescent="0.25">
      <c r="B27" s="19" t="s">
        <v>108</v>
      </c>
      <c r="C27" s="99">
        <v>1.8526506000000002E-2</v>
      </c>
    </row>
    <row r="28" spans="1:8" ht="15.75" customHeight="1" x14ac:dyDescent="0.25">
      <c r="B28" s="19" t="s">
        <v>122</v>
      </c>
      <c r="C28" s="99">
        <v>0.23087115</v>
      </c>
    </row>
    <row r="29" spans="1:8" ht="15.75" customHeight="1" x14ac:dyDescent="0.25">
      <c r="B29" s="19" t="s">
        <v>105</v>
      </c>
      <c r="C29" s="99">
        <v>0.13941172099999999</v>
      </c>
    </row>
    <row r="30" spans="1:8" ht="15.75" customHeight="1" x14ac:dyDescent="0.25">
      <c r="B30" s="19" t="s">
        <v>4</v>
      </c>
      <c r="C30" s="99">
        <v>5.0655509000000001E-2</v>
      </c>
    </row>
    <row r="31" spans="1:8" ht="15.75" customHeight="1" x14ac:dyDescent="0.25">
      <c r="B31" s="19" t="s">
        <v>99</v>
      </c>
      <c r="C31" s="99">
        <v>7.1104772999999982E-2</v>
      </c>
    </row>
    <row r="32" spans="1:8" ht="15.75" customHeight="1" x14ac:dyDescent="0.25">
      <c r="B32" s="19" t="s">
        <v>104</v>
      </c>
      <c r="C32" s="99">
        <v>0.14682545</v>
      </c>
    </row>
    <row r="33" spans="2:3" ht="15.75" customHeight="1" x14ac:dyDescent="0.25">
      <c r="B33" s="19" t="s">
        <v>119</v>
      </c>
      <c r="C33" s="99">
        <v>0.122179683</v>
      </c>
    </row>
    <row r="34" spans="2:3" ht="15.75" customHeight="1" x14ac:dyDescent="0.25">
      <c r="B34" s="19" t="s">
        <v>106</v>
      </c>
      <c r="C34" s="99">
        <v>0.17257504600000001</v>
      </c>
    </row>
    <row r="35" spans="2:3" ht="15.75" customHeight="1" x14ac:dyDescent="0.25">
      <c r="B35" s="27" t="s">
        <v>79</v>
      </c>
      <c r="C35" s="48">
        <f>SUM(C26:C34)</f>
        <v>0.99999999900000014</v>
      </c>
    </row>
  </sheetData>
  <sheetProtection algorithmName="SHA-512" hashValue="bCOx7bO51qQMoQAW1PrbyhyJJzTuB6H52ZGox1V35DNqPFCmv7We3a6w7XcZwhNf4AMW5ZnUwq3s6NL6MQsK8Q==" saltValue="UXIwgILz6pEenwA7xY0fO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0.87938992953684847</v>
      </c>
      <c r="D2" s="52">
        <f>IFERROR(1-_xlfn.NORM.DIST(_xlfn.NORM.INV(SUM(D4:D5), 0, 1) + 1, 0, 1, TRUE), "")</f>
        <v>0.87938992953684847</v>
      </c>
      <c r="E2" s="52">
        <f>IFERROR(1-_xlfn.NORM.DIST(_xlfn.NORM.INV(SUM(E4:E5), 0, 1) + 1, 0, 1, TRUE), "")</f>
        <v>0.95438422391314237</v>
      </c>
      <c r="F2" s="52">
        <f>IFERROR(1-_xlfn.NORM.DIST(_xlfn.NORM.INV(SUM(F4:F5), 0, 1) + 1, 0, 1, TRUE), "")</f>
        <v>0.79829449737942704</v>
      </c>
      <c r="G2" s="52">
        <f>IFERROR(1-_xlfn.NORM.DIST(_xlfn.NORM.INV(SUM(G4:G5), 0, 1) + 1, 0, 1, TRUE), "")</f>
        <v>0.84520119103464975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0.10568007046315152</v>
      </c>
      <c r="D3" s="52">
        <f>IFERROR(_xlfn.NORM.DIST(_xlfn.NORM.INV(SUM(D4:D5), 0, 1) + 1, 0, 1, TRUE) - SUM(D4:D5), "")</f>
        <v>0.10568007046315152</v>
      </c>
      <c r="E3" s="52">
        <f>IFERROR(_xlfn.NORM.DIST(_xlfn.NORM.INV(SUM(E4:E5), 0, 1) + 1, 0, 1, TRUE) - SUM(E4:E5), "")</f>
        <v>4.2031776086857577E-2</v>
      </c>
      <c r="F3" s="52">
        <f>IFERROR(_xlfn.NORM.DIST(_xlfn.NORM.INV(SUM(F4:F5), 0, 1) + 1, 0, 1, TRUE) - SUM(F4:F5), "")</f>
        <v>0.16849300262057293</v>
      </c>
      <c r="G3" s="52">
        <f>IFERROR(_xlfn.NORM.DIST(_xlfn.NORM.INV(SUM(G4:G5), 0, 1) + 1, 0, 1, TRUE) - SUM(G4:G5), "")</f>
        <v>0.13290230896535032</v>
      </c>
    </row>
    <row r="4" spans="1:15" ht="15.75" customHeight="1" x14ac:dyDescent="0.25">
      <c r="B4" s="5" t="s">
        <v>129</v>
      </c>
      <c r="C4" s="45">
        <v>7.4650000000000003E-3</v>
      </c>
      <c r="D4" s="53">
        <v>7.4650000000000003E-3</v>
      </c>
      <c r="E4" s="53">
        <v>0</v>
      </c>
      <c r="F4" s="53">
        <v>2.0824599999999999E-2</v>
      </c>
      <c r="G4" s="53">
        <v>1.18183E-2</v>
      </c>
    </row>
    <row r="5" spans="1:15" ht="15.75" customHeight="1" x14ac:dyDescent="0.25">
      <c r="B5" s="5" t="s">
        <v>125</v>
      </c>
      <c r="C5" s="45">
        <v>7.4650000000000003E-3</v>
      </c>
      <c r="D5" s="53">
        <v>7.4650000000000003E-3</v>
      </c>
      <c r="E5" s="53">
        <v>3.5839999999999999E-3</v>
      </c>
      <c r="F5" s="53">
        <v>1.23879E-2</v>
      </c>
      <c r="G5" s="53">
        <v>1.0078200000000001E-2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0.84474574356711774</v>
      </c>
      <c r="D8" s="52">
        <f>IFERROR(1-_xlfn.NORM.DIST(_xlfn.NORM.INV(SUM(D10:D11), 0, 1) + 1, 0, 1, TRUE), "")</f>
        <v>0.84474574356711774</v>
      </c>
      <c r="E8" s="52">
        <f>IFERROR(1-_xlfn.NORM.DIST(_xlfn.NORM.INV(SUM(E10:E11), 0, 1) + 1, 0, 1, TRUE), "")</f>
        <v>0.83951432003878668</v>
      </c>
      <c r="F8" s="52" t="str">
        <f>IFERROR(1-_xlfn.NORM.DIST(_xlfn.NORM.INV(SUM(F10:F11), 0, 1) + 1, 0, 1, TRUE), "")</f>
        <v/>
      </c>
      <c r="G8" s="52">
        <f>IFERROR(1-_xlfn.NORM.DIST(_xlfn.NORM.INV(SUM(G10:G11), 0, 1) + 1, 0, 1, TRUE), "")</f>
        <v>0.905622063656631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0.13325765643288232</v>
      </c>
      <c r="D9" s="52">
        <f>IFERROR(_xlfn.NORM.DIST(_xlfn.NORM.INV(SUM(D10:D11), 0, 1) + 1, 0, 1, TRUE) - SUM(D10:D11), "")</f>
        <v>0.13325765643288232</v>
      </c>
      <c r="E9" s="52">
        <f>IFERROR(_xlfn.NORM.DIST(_xlfn.NORM.INV(SUM(E10:E11), 0, 1) + 1, 0, 1, TRUE) - SUM(E10:E11), "")</f>
        <v>0.13732557996121328</v>
      </c>
      <c r="F9" s="52" t="str">
        <f>IFERROR(_xlfn.NORM.DIST(_xlfn.NORM.INV(SUM(F10:F11), 0, 1) + 1, 0, 1, TRUE) - SUM(F10:F11), "")</f>
        <v/>
      </c>
      <c r="G9" s="52">
        <f>IFERROR(_xlfn.NORM.DIST(_xlfn.NORM.INV(SUM(G10:G11), 0, 1) + 1, 0, 1, TRUE) - SUM(G10:G11), "")</f>
        <v>8.4051436343369007E-2</v>
      </c>
    </row>
    <row r="10" spans="1:15" ht="15.75" customHeight="1" x14ac:dyDescent="0.25">
      <c r="B10" s="5" t="s">
        <v>126</v>
      </c>
      <c r="C10" s="45">
        <v>2.1996600000000002E-2</v>
      </c>
      <c r="D10" s="53">
        <v>2.1996600000000002E-2</v>
      </c>
      <c r="E10" s="53">
        <v>2.3160099999999999E-2</v>
      </c>
      <c r="F10" s="53">
        <v>0</v>
      </c>
      <c r="G10" s="53">
        <v>4.6043999999999998E-3</v>
      </c>
    </row>
    <row r="11" spans="1:15" ht="15.75" customHeight="1" x14ac:dyDescent="0.25">
      <c r="B11" s="5" t="s">
        <v>138</v>
      </c>
      <c r="C11" s="45">
        <v>0</v>
      </c>
      <c r="D11" s="53">
        <v>0</v>
      </c>
      <c r="E11" s="53">
        <v>0</v>
      </c>
      <c r="F11" s="53">
        <v>0</v>
      </c>
      <c r="G11" s="53">
        <v>5.7220999999999999E-3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0.32033981174999998</v>
      </c>
      <c r="D14" s="54">
        <v>0.31614712435300002</v>
      </c>
      <c r="E14" s="54">
        <v>0.31614712435300002</v>
      </c>
      <c r="F14" s="54">
        <v>0.15880290981799999</v>
      </c>
      <c r="G14" s="54">
        <v>0.15880290981799999</v>
      </c>
      <c r="H14" s="45">
        <v>0.28799999999999998</v>
      </c>
      <c r="I14" s="55">
        <v>0.28799999999999998</v>
      </c>
      <c r="J14" s="55">
        <v>0.28799999999999998</v>
      </c>
      <c r="K14" s="55">
        <v>0.28799999999999998</v>
      </c>
      <c r="L14" s="45">
        <v>0.20799999999999999</v>
      </c>
      <c r="M14" s="55">
        <v>0.20799999999999999</v>
      </c>
      <c r="N14" s="55">
        <v>0.20799999999999999</v>
      </c>
      <c r="O14" s="55">
        <v>0.20799999999999999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0.18766082783976151</v>
      </c>
      <c r="D15" s="52">
        <f t="shared" si="0"/>
        <v>0.18520467609422578</v>
      </c>
      <c r="E15" s="52">
        <f t="shared" si="0"/>
        <v>0.18520467609422578</v>
      </c>
      <c r="F15" s="52">
        <f t="shared" si="0"/>
        <v>9.3029603023761134E-2</v>
      </c>
      <c r="G15" s="52">
        <f t="shared" si="0"/>
        <v>9.3029603023761134E-2</v>
      </c>
      <c r="H15" s="52">
        <f t="shared" si="0"/>
        <v>0.168715584</v>
      </c>
      <c r="I15" s="52">
        <f t="shared" si="0"/>
        <v>0.168715584</v>
      </c>
      <c r="J15" s="52">
        <f t="shared" si="0"/>
        <v>0.168715584</v>
      </c>
      <c r="K15" s="52">
        <f t="shared" si="0"/>
        <v>0.168715584</v>
      </c>
      <c r="L15" s="52">
        <f t="shared" si="0"/>
        <v>0.12185014400000001</v>
      </c>
      <c r="M15" s="52">
        <f t="shared" si="0"/>
        <v>0.12185014400000001</v>
      </c>
      <c r="N15" s="52">
        <f t="shared" si="0"/>
        <v>0.12185014400000001</v>
      </c>
      <c r="O15" s="52">
        <f t="shared" si="0"/>
        <v>0.12185014400000001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scQbj1a4c4H7F1y5aL6rvLu7Oklw8e4HbHz9a7y3jeA2MuhMdm0OhlWxlThalU3tcfUT3tK1KGd2BWl63HMm5Q==" saltValue="lvgeuO/Usyg+0hLrc5an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0.62880749999999996</v>
      </c>
      <c r="D2" s="53">
        <v>0.35571920000000001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2.2373400000000002E-2</v>
      </c>
      <c r="D3" s="53">
        <v>6.3059799999999999E-2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0.28091640000000001</v>
      </c>
      <c r="D4" s="53">
        <v>0.3799498</v>
      </c>
      <c r="E4" s="53">
        <v>0.59910560000000002</v>
      </c>
      <c r="F4" s="53">
        <v>0.34869080000000002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6.7902700000000094E-2</v>
      </c>
      <c r="D5" s="52">
        <f t="shared" si="0"/>
        <v>0.20127119999999998</v>
      </c>
      <c r="E5" s="52">
        <f>1-SUM(E2:E4)</f>
        <v>0.40089439999999998</v>
      </c>
      <c r="F5" s="52">
        <f>1-SUM(F2:F4)</f>
        <v>0.65130920000000003</v>
      </c>
      <c r="G5" s="52">
        <f>1-SUM(G2:G4)</f>
        <v>1</v>
      </c>
    </row>
  </sheetData>
  <sheetProtection algorithmName="SHA-512" hashValue="dESQgfmFEVnFR1CGtAqvljFAse1Yk6b4ILg5DIS0rmSCQrAVNgnyp2Q/2SjYhx6qVl84H/UTZLgoMFQwsdDhrg==" saltValue="fD7tUabC289bQJ6Y1Ctag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CD+zGL4Pyl1EAwoqTcRlB02+5JwCYUUhLU41YnwNq+AB0C6P3CrC6tZYN03mK+NH2v6eM9fFX1cthJFlR7AHkQ==" saltValue="/UR53XiDVaL0zneZgbs4T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4425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0.4284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0.45245999999999997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1.767708695303977E-2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98310.202260000005</v>
      </c>
      <c r="C22" s="107">
        <v>98157.074970000001</v>
      </c>
      <c r="D22" s="107">
        <v>98076.137100000007</v>
      </c>
      <c r="E22" s="107">
        <v>97749.323680000001</v>
      </c>
      <c r="F22" s="107">
        <v>97258.193759999995</v>
      </c>
      <c r="G22" s="107">
        <v>96700.432990000001</v>
      </c>
      <c r="H22" s="107">
        <v>95960.473639999997</v>
      </c>
      <c r="I22" s="107">
        <v>94931.21286</v>
      </c>
      <c r="J22" s="107">
        <v>93332.69644</v>
      </c>
      <c r="K22" s="107">
        <v>90933.106350000002</v>
      </c>
      <c r="L22" s="107">
        <v>87361.148029999997</v>
      </c>
      <c r="M22" s="107">
        <v>82059.29075</v>
      </c>
      <c r="N22" s="107">
        <v>75000.800130000003</v>
      </c>
      <c r="O22" s="107">
        <v>65512.94498</v>
      </c>
    </row>
  </sheetData>
  <sheetProtection algorithmName="SHA-512" hashValue="JheluAbco1DSdWzY1YiWLrlxEAZsZf3/0+w/AuBTy+JVCW9Qt/aMLAFDynRXXl07xfKJ37imKTeiSh025/6Img==" saltValue="DuQgmQlJr54PZxOnbkKIc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YTZOIWkWYM4IJmS0besEjbS4e92/kt4daktbgVFS2HEMXNnARgAErkatmvVGNnQjg2/kT4rqX6SkxiqzuSRVEg==" saltValue="sXRyNSFvDbwZ2X9BpVhM0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mVbwQ82CgJ7/t/JfoOPv07DywZCSO3VJag0q+E0mqTUq5Fm9qlMBQttJBwOCL4P2Im2NT4mXVkn5IrxNkoyrAA==" saltValue="dXdI4xIcwFe+U+LoVgPq7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23.266651740020471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23.266651740020471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0.80999999999999994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2.286454056738934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</v>
      </c>
      <c r="C9" s="96">
        <v>0.95</v>
      </c>
      <c r="D9" s="56">
        <v>0.33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</v>
      </c>
      <c r="C10" s="96">
        <v>0.95</v>
      </c>
      <c r="D10" s="56">
        <v>12.95590405687226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12.95590405687226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12.95590405687226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12.95590405687226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</v>
      </c>
      <c r="C14" s="96">
        <v>0.95</v>
      </c>
      <c r="D14" s="56">
        <v>12.95590405687226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12.95590405687226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1.57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0.1369044839662158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0.35571920000000001</v>
      </c>
      <c r="C18" s="96">
        <v>0.95</v>
      </c>
      <c r="D18" s="56">
        <v>8.0823886898669404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0.35571920000000001</v>
      </c>
      <c r="C19" s="96">
        <v>0.95</v>
      </c>
      <c r="D19" s="56">
        <v>8.6538627513423272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8.32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0.80999999999999994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4.2441655453988991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0.69818419053219993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8.469314227226203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14.964151740020471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0.63037770000000004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0.53491379999999999</v>
      </c>
      <c r="C29" s="96">
        <v>0.95</v>
      </c>
      <c r="D29" s="56">
        <v>107.8921549536976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118.83755373592631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</v>
      </c>
      <c r="C32" s="96">
        <v>0.95</v>
      </c>
      <c r="D32" s="56">
        <v>0.69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0.69543660000000007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5.3412599999999998E-2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1.7857000000000001E-2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0.98544960000000004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4.0758000000000003E-2</v>
      </c>
      <c r="C38" s="96">
        <v>0.95</v>
      </c>
      <c r="D38" s="56">
        <v>3.45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3.07</v>
      </c>
      <c r="E39" s="56" t="s">
        <v>212</v>
      </c>
      <c r="F39" s="96">
        <v>1</v>
      </c>
      <c r="G39" s="96">
        <v>1</v>
      </c>
    </row>
  </sheetData>
  <sheetProtection algorithmName="SHA-512" hashValue="ycuvfSN3YiIEt2CtMHfLv+QvpwGYj3gAQxSalaIN6BSrSpeGv0wrfX+HYgimj0a3vSpgOBUQWTccbK53+ckHwg==" saltValue="XvQCJpPnURQhA3YR0f59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Z3nNz92sqfYwp2Y069eWEWZDAjrU6iAnwAXXZg9276TyEwnbcz4iSdkYlUBx2HeDzmEhNpvh5vIxKFh1kyYBgw==" saltValue="1WS5F4tobSytyzXMkwBC2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9Pq3233Zk5rv9wk2ws2KXS60bkv+UqpRICAOHcTw1BQWBNkkEQZwo+kgGUdMSJOWzrqeIjDyDe3BcXz0YgQCkQ==" saltValue="fy3Jmlf2HAQL262CTo1ug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2.2000000000000002</v>
      </c>
      <c r="C2" s="21">
        <f>'Entradas de población-año base'!C52</f>
        <v>2.2000000000000002</v>
      </c>
      <c r="D2" s="21">
        <f>'Entradas de población-año base'!C53</f>
        <v>2.2000000000000002</v>
      </c>
      <c r="E2" s="21">
        <f>'Entradas de población-año base'!C54</f>
        <v>2.2000000000000002</v>
      </c>
      <c r="F2" s="21">
        <f>'Entradas de población-año base'!C55</f>
        <v>2.2000000000000002</v>
      </c>
    </row>
    <row r="3" spans="1:6" ht="15.75" customHeight="1" x14ac:dyDescent="0.25">
      <c r="A3" s="3" t="s">
        <v>6</v>
      </c>
      <c r="B3" s="21">
        <f>frac_mam_1month * 2.6</f>
        <v>5.7191160000000005E-2</v>
      </c>
      <c r="C3" s="21">
        <f>frac_mam_1_5months * 2.6</f>
        <v>5.7191160000000005E-2</v>
      </c>
      <c r="D3" s="21">
        <f>frac_mam_6_11months * 2.6</f>
        <v>6.0216260000000001E-2</v>
      </c>
      <c r="E3" s="21">
        <f>frac_mam_12_23months * 2.6</f>
        <v>0</v>
      </c>
      <c r="F3" s="21">
        <f>frac_mam_24_59months * 2.6</f>
        <v>1.197144E-2</v>
      </c>
    </row>
    <row r="4" spans="1:6" ht="15.75" customHeight="1" x14ac:dyDescent="0.25">
      <c r="A4" s="3" t="s">
        <v>236</v>
      </c>
      <c r="B4" s="21">
        <f>frac_sam_1month * 2.6</f>
        <v>0</v>
      </c>
      <c r="C4" s="21">
        <f>frac_sam_1_5months * 2.6</f>
        <v>0</v>
      </c>
      <c r="D4" s="21">
        <f>frac_sam_6_11months * 2.6</f>
        <v>0</v>
      </c>
      <c r="E4" s="21">
        <f>frac_sam_12_23months * 2.6</f>
        <v>0</v>
      </c>
      <c r="F4" s="21">
        <f>frac_sam_24_59months * 2.6</f>
        <v>1.487746E-2</v>
      </c>
    </row>
  </sheetData>
  <sheetProtection algorithmName="SHA-512" hashValue="thXSL8Wuqbf6Nvwe1jBwsHu1EXw1ENzOnkubv2UbiihJcSSxDuHi827wWN5FOW7kpQP4AZxHiPCJT0P2jS2gEA==" saltValue="PrBndrgK3oe7dzLNUFJ9/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0.52100000000000002</v>
      </c>
      <c r="M24" s="60">
        <f>famplan_unmet_need</f>
        <v>0.52100000000000002</v>
      </c>
      <c r="N24" s="60">
        <f>famplan_unmet_need</f>
        <v>0.52100000000000002</v>
      </c>
      <c r="O24" s="60">
        <f>famplan_unmet_need</f>
        <v>0.52100000000000002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0.10488076480102523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4.4948899200439395E-2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6.3299303283691322E-2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0.78687103271484404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WjYhvF7jVfBIDKEwzOokrbFqmMQNlW0O6yWBv+iVfs6eYEDbIXUy5o+8uPamUpqGkjGH2evjofVo7UoJ8IcFA==" saltValue="SKmBrj9fHCUVTERWk09EI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2ge6vE52MzhmfqS5B5v/uq03kiXfi/UrhQ1r47x1tbfm4XHyF9qQqJ8bP4gPGCkSLFjHsqTTZMnfkoitY+cP1g==" saltValue="vpKEXE4yFZpkgBo+09tMm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9yJByYjiPEOTYtvFloNrcgmJ9DXsSs8IjBzWOqonLCYAVl9WDUvP6ntmD7RORExIl5VWoUpRK/LqhprqaYYnbA==" saltValue="613VLqvTQEFpRdaSWa9fr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FvHyOed7qb3xD6s+z8e6D7glFDf8N1YGyxz9Twdx4Q0X00EhcLptLrrHoILa3ESokkACMZQuvBr7VVxT9HzW8w==" saltValue="o+QCkkIWSBHHURSypUS5h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rb/mat8uOk+bSUMRfUF5fpnNIRxMDV+iNWQzVcXzpWtl+MklfLnIwpI5Zs0EkS+X5gmdLn+G6YIUxvFgQg2GxQ==" saltValue="iz31LWhc/hunnUrAc4MH0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FlWZnw7RrzyGqlX/0mU7aHPxbBNQhm6IIkwiD6ZxKbYiKwsgk/D0wnjsTUWpWPbnODrueFmc++O7QY6kh2cDbA==" saltValue="nzKsD+wVpgRA4KEXVCHBG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PqXEKASIvUFaAOhzplnw6YubwqS1/GdGaa53GXPvde++UjcAze6BtsF6BlPyeeIBorhKinZesBICQQqHMSGBsQ==" saltValue="xQGgG8Uiili9wtCsv+Qbo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IRIEfBf9uOJJAVjYiB4Wb4QH8/wup8qs5uI4cGnspznCMFjRN0wXtYIFugS/xwELv3Cogn6jtud4Y2QHhRWiJw==" saltValue="YY5F2HZOt1yp57/bTuwG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Z/EVsHwHok3lijWqmsgNkyoEG+XA/CtcEhaZ/Ks+vlpOezDALPsrPYqL4e3kE36k9vGoMoOUoiQ1wVgHHRsxiQ==" saltValue="2JgYbZZMaBqr20fxf8mD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S2s5rpV3C3NMB9chd0TcX0dCtAQje60I0pQltjESJXBSauI3MQlW4R3NSZuucRfKaxfN/qh0JUhgrdQjCW3d1w==" saltValue="za/YO6b3Inshbws/zEg5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C6l7G58jZky9says3NQwTbzarq3gmW9+BGRZ+GK3ygGykXvP67J2ZfDjuHa02w/o4Wte9Hj279X8X2b1I06c4Q==" saltValue="UuvuD94QxmQWA6a/zula0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7fPTEjWr6Ys5Uxb0VcdGZuqp6LjnAG7R548MovzWWK0wfpCjx+D8KJfmTZubEHTmIOWqoWnXwgiUZo72D+haxw==" saltValue="mjhK3kshUrd13oQA0J5+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AzxA0wzbUfgOrIh/hJWxPFVdnXpKYntjChsi8T0n4HsqlfmTCNmMBTFrVpHOeXjQahg/oEsRNijr/So3cDCh7w==" saltValue="J7n3kldQD2VLJijoJwmnA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npNwR/R2OuW0xD0fJlofEiz4BgvhzktebKDi6Z+eGUQ5zwPMl2tv6BtY+yJgLeZrr/1u3GZKdRKAbSTgbodQTg==" saltValue="9bqzugKoD4yXwp+NCdtnK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Snf3Qa0AuAF61Ef3+//d+APGO7jcdU74go2TPUicjntsoSB0jE5W7OgRIxQC61l5WN7+5nVrtakhrICaMRbZA==" saltValue="M78MFekQe0Crw2Dg0Ze2G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2026-04-29T03:59:33Z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