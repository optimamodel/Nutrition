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58D7D8C-D791-41DA-B0CC-F09128F04A1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4" i="2"/>
  <c r="A33" i="2"/>
  <c r="A32" i="2"/>
  <c r="A31" i="2"/>
  <c r="A26" i="2"/>
  <c r="A24" i="2"/>
  <c r="A23" i="2"/>
  <c r="A18" i="2"/>
  <c r="A17" i="2"/>
  <c r="A16" i="2"/>
  <c r="A15" i="2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I5" i="2" l="1"/>
  <c r="I9" i="2"/>
  <c r="I13" i="2"/>
  <c r="A25" i="2"/>
  <c r="A39" i="2"/>
  <c r="A20" i="2"/>
  <c r="A28" i="2"/>
  <c r="A36" i="2"/>
  <c r="A19" i="2"/>
  <c r="A27" i="2"/>
  <c r="A35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<sst xmlns="http://schemas.openxmlformats.org/spreadsheetml/2006/main" count="2101" uniqueCount="341">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</sst>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12172.88745117188</v>
      </c>
    </row>
    <row r="8" spans="1:3" ht="15" customHeight="1" x14ac:dyDescent="0.25">
      <c r="B8" s="5" t="s">
        <v>44</v>
      </c>
      <c r="C8" s="44">
        <v>0.01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0.78687103271484404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2.0899999999999998E-2</v>
      </c>
    </row>
    <row r="24" spans="1:3" ht="15" customHeight="1" x14ac:dyDescent="0.25">
      <c r="B24" s="15" t="s">
        <v>46</v>
      </c>
      <c r="C24" s="45">
        <v>0.42159999999999997</v>
      </c>
    </row>
    <row r="25" spans="1:3" ht="15" customHeight="1" x14ac:dyDescent="0.25">
      <c r="B25" s="15" t="s">
        <v>47</v>
      </c>
      <c r="C25" s="45">
        <v>0.4854</v>
      </c>
    </row>
    <row r="26" spans="1:3" ht="15" customHeight="1" x14ac:dyDescent="0.25">
      <c r="B26" s="15" t="s">
        <v>48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4.8672399999999998</v>
      </c>
    </row>
    <row r="38" spans="1:5" ht="15" customHeight="1" x14ac:dyDescent="0.25">
      <c r="B38" s="11" t="s">
        <v>35</v>
      </c>
      <c r="C38" s="43">
        <v>9.5718099999999993</v>
      </c>
      <c r="D38" s="12"/>
      <c r="E38" s="13"/>
    </row>
    <row r="39" spans="1:5" ht="15" customHeight="1" x14ac:dyDescent="0.25">
      <c r="B39" s="11" t="s">
        <v>61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0</v>
      </c>
      <c r="D45" s="12"/>
    </row>
    <row r="46" spans="1:5" ht="15.75" customHeight="1" x14ac:dyDescent="0.25">
      <c r="B46" s="11" t="s">
        <v>51</v>
      </c>
      <c r="C46" s="45">
        <v>0</v>
      </c>
      <c r="D46" s="12"/>
    </row>
    <row r="47" spans="1:5" ht="15.75" customHeight="1" x14ac:dyDescent="0.25">
      <c r="B47" s="11" t="s">
        <v>59</v>
      </c>
      <c r="C47" s="45">
        <v>0</v>
      </c>
      <c r="D47" s="12"/>
      <c r="E47" s="13"/>
    </row>
    <row r="48" spans="1:5" ht="15" customHeight="1" x14ac:dyDescent="0.25">
      <c r="B48" s="11" t="s">
        <v>58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0</v>
      </c>
      <c r="D51" s="12"/>
    </row>
    <row r="52" spans="1:4" ht="15" customHeight="1" x14ac:dyDescent="0.25">
      <c r="B52" s="11" t="s">
        <v>13</v>
      </c>
      <c r="C52" s="100">
        <v>0</v>
      </c>
    </row>
    <row r="53" spans="1:4" ht="15.75" customHeight="1" x14ac:dyDescent="0.25">
      <c r="B53" s="11" t="s">
        <v>16</v>
      </c>
      <c r="C53" s="100">
        <v>0</v>
      </c>
    </row>
    <row r="54" spans="1:4" ht="15.75" customHeight="1" x14ac:dyDescent="0.25">
      <c r="B54" s="11" t="s">
        <v>14</v>
      </c>
      <c r="C54" s="100">
        <v>0</v>
      </c>
    </row>
    <row r="55" spans="1:4" ht="15.75" customHeight="1" x14ac:dyDescent="0.25">
      <c r="B55" s="11" t="s">
        <v>15</v>
      </c>
      <c r="C55" s="100">
        <v>0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0</v>
      </c>
    </row>
    <row r="59" spans="1:4" ht="15.75" customHeight="1" x14ac:dyDescent="0.25">
      <c r="B59" s="11" t="s">
        <v>40</v>
      </c>
      <c r="C59" s="45">
        <v>0.58581800000000006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88xSmNv7TKJAfU9PQtr0VAThfPMa7L9HhePa78lZFDuLBGjmJyt/mXoc6QRqoQBEjO9kOf9MTIusVzrOXLwHQ==" saltValue="Wcr9eOSIWZ/o28ZAeIIO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McLX+DCXOkup2DjkxoHgU/Hc5MB3DhE47CJMCw63MyFlYlIK0RKimMHT8NsIUVWMUCXUATAgOKAScJ542jReA==" saltValue="s9skdauWl5ipnAibKkIy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6.3251500000000099E-2</v>
      </c>
    </row>
    <row r="5" spans="1:8" ht="15.75" customHeight="1" x14ac:dyDescent="0.25">
      <c r="B5" s="19" t="s">
        <v>95</v>
      </c>
      <c r="C5" s="101">
        <v>3.6355999999999992E-2</v>
      </c>
    </row>
    <row r="6" spans="1:8" ht="15.75" customHeight="1" x14ac:dyDescent="0.25">
      <c r="B6" s="19" t="s">
        <v>91</v>
      </c>
      <c r="C6" s="101">
        <v>0.15888490000000019</v>
      </c>
    </row>
    <row r="7" spans="1:8" ht="15.75" customHeight="1" x14ac:dyDescent="0.25">
      <c r="B7" s="19" t="s">
        <v>96</v>
      </c>
      <c r="C7" s="101">
        <v>0.4589065999999995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0.19383930000000019</v>
      </c>
    </row>
    <row r="10" spans="1:8" ht="15.75" customHeight="1" x14ac:dyDescent="0.25">
      <c r="B10" s="19" t="s">
        <v>94</v>
      </c>
      <c r="C10" s="101">
        <v>8.8761700000000138E-2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102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2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99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4.7850161000000002E-2</v>
      </c>
    </row>
    <row r="27" spans="1:8" ht="15.75" customHeight="1" x14ac:dyDescent="0.25">
      <c r="B27" s="19" t="s">
        <v>89</v>
      </c>
      <c r="C27" s="101">
        <v>1.8526506000000002E-2</v>
      </c>
    </row>
    <row r="28" spans="1:8" ht="15.75" customHeight="1" x14ac:dyDescent="0.25">
      <c r="B28" s="19" t="s">
        <v>103</v>
      </c>
      <c r="C28" s="101">
        <v>0.23087115</v>
      </c>
    </row>
    <row r="29" spans="1:8" ht="15.75" customHeight="1" x14ac:dyDescent="0.25">
      <c r="B29" s="19" t="s">
        <v>86</v>
      </c>
      <c r="C29" s="101">
        <v>0.13941172099999999</v>
      </c>
    </row>
    <row r="30" spans="1:8" ht="15.75" customHeight="1" x14ac:dyDescent="0.25">
      <c r="B30" s="19" t="s">
        <v>4</v>
      </c>
      <c r="C30" s="101">
        <v>5.0655509000000001E-2</v>
      </c>
    </row>
    <row r="31" spans="1:8" ht="15.75" customHeight="1" x14ac:dyDescent="0.25">
      <c r="B31" s="19" t="s">
        <v>80</v>
      </c>
      <c r="C31" s="101">
        <v>7.1104772999999982E-2</v>
      </c>
    </row>
    <row r="32" spans="1:8" ht="15.75" customHeight="1" x14ac:dyDescent="0.25">
      <c r="B32" s="19" t="s">
        <v>85</v>
      </c>
      <c r="C32" s="101">
        <v>0.14682545</v>
      </c>
    </row>
    <row r="33" spans="2:3" ht="15.75" customHeight="1" x14ac:dyDescent="0.25">
      <c r="B33" s="19" t="s">
        <v>100</v>
      </c>
      <c r="C33" s="101">
        <v>0.122179683</v>
      </c>
    </row>
    <row r="34" spans="2:3" ht="15.75" customHeight="1" x14ac:dyDescent="0.25">
      <c r="B34" s="19" t="s">
        <v>87</v>
      </c>
      <c r="C34" s="101">
        <v>0.17257504600000001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TfMAzoNCrN06/2fiT+hKEScwJaIDApejLWzHhgQWsZQrrxgFvGyg2RxNFJYLOzIuK7FcXB+H3tEDSZ5EKarmCQ==" saltValue="uOdwicpJB+jScuTWfUtdR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110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106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107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119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aMiKvhCecYFV0ixf6Zsx6MSU9fL622jjd6YQhHaKv2bfciBPukp2rDdxeRogF6LefGxJ92hi9wB5MUIBQj1ww==" saltValue="NnylOGjw14niAiNTcERG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125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fOs/BKMM2QveH/Y/LNj1PtO1bDyVh3vaYfqWtBLH0fIhKY7vo6XojZp26tvKGbtOsPgdwga3dHGiS9CGfqUUmw==" saltValue="WtL+rQJoquBa/v2eQJqU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i9jbbxfzxv62t+Dw0u6MaOp/SVLhZYZGNd+5/4yOwVwtK/k8lR2IjFxg5H3ln0H6m6xGHWoDKHW2ZPhIvDKpw==" saltValue="rdQRhQm3Y/Ya99QeO42o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dvunD+UP3YebLh90ldi/QfOtCSDhDTVZJ/AV158tt8cHZr7ttLIELA1ONPcBNxbqk5ucOFdqNVuU8x6xzEJEZA==" saltValue="R5WaSizN+Su+HoDTSY//n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auH/inpGdU1BBlHMIhR1riBmcr+yO90GOkB5HlJq3OMj7pTQdfg+KySS1MOEdMcBOnrUKI2y/jw+btzs9pI7Q==" saltValue="ZhL3TahjVnoHJ3sAfc0N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vM5d9Rzn818wLsc/2GaDLAoZhaRpyw18gqJIw2OqzzQCc0sc+yJz6iD/Su6fpe+aTakribRkE+L+Svys+POcw==" saltValue="DuseQsF81g0VBftMWJy2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55.507503876711553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39.823604613076341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374.86417937488761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2.286454056738934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12.95590405687226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12.95590405687226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12.95590405687226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12.95590405687226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12.95590405687226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12.95590405687226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0.6626698567676067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0.35571920000000001</v>
      </c>
      <c r="C18" s="98">
        <v>0.95</v>
      </c>
      <c r="D18" s="56">
        <v>8.6538627513423272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0.35571920000000001</v>
      </c>
      <c r="C19" s="98">
        <v>0.95</v>
      </c>
      <c r="D19" s="56">
        <v>8.6538627513423272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28.257105296829788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0.69818419053219993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18.814934548265089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0.63037770000000004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0.53491379999999999</v>
      </c>
      <c r="C29" s="98">
        <v>0.95</v>
      </c>
      <c r="D29" s="56">
        <v>107.8921549536976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2.1129719322902618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1.417065121738269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0.69543660000000007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5.3412599999999998E-2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1.7857000000000001E-2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0.98544960000000004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4.0758000000000003E-2</v>
      </c>
      <c r="C38" s="98">
        <v>0.95</v>
      </c>
      <c r="D38" s="56">
        <v>4.9685392525961998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3DC39B2EKQediH7eRfI85JbMmRerllabiGUunPJRCN5zWrxz3ZNQZaBSAmVFO5H7bKo+vABwuKIem6khpcDUg==" saltValue="frfkD/xWuBaFKRfT74Dd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BAgA7pTdDdG+ogAv9Ry4gMXPDnlPa3yNn7shbaFGMr+bid3/RATZWfkZOLwCGxCc9ENqmMNPHg02AKugxbk0Q==" saltValue="yT/ITI/MF55cLMB+JR5s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0J5oufPJVbaSmiAsjp060I1DqNhjuS7DW3nRcbRIZsGs0CQy/laDSQDzQG6WoGmHrjrYZgC5zqNiuRxxV7bTgQ==" saltValue="CukNEOdhquVkMJt2/LPw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6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ZheBaCNX4y7MthmTWqIB8khr5bWlq4g8ENI6z0JdRR1//OPLzp/kuAFx/OASOpQ7kASKkzAUB0iKprcVCrHlYw==" saltValue="Lsr6B3SPwAFsLAs73Z/m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GlfVdHebuAYLiiKZ/J4ej2J+j4ZXMigWtksz3GhsGe7u6bbniy0gQINNgRYBf/qoVpzzDzy8aOqr7UoNoqTBQ==" saltValue="2ago135eRmeyE1ZDndEs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84gDL3Iyv0GiuaMbb69UvPYZdKuFhRK6XcdX7thvXhR6kpq7Co8INIasvY1QgRCHDEGwMfODn63j7avuBBb8A==" saltValue="QP4pZuyxzWfTiCs/abnFL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tvN4O7S4lp82v7E+Ak4J+VIDsGsVNXH+UL1qG1FEUakTFqoMnkpyUlq016QCUrLkIq7wt9N28HglJDthied5A==" saltValue="p6d7TBJZQg3Q6URyaVSo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rSxVZ0hRnFOWQDWCBOzlXaU0+/IMImmwQQFeA8+HZvVREji8brsL/kRzpdaRkga/YafW1CSCrSeit5kO5e0ng==" saltValue="miUtCEnSXJW6F0KkW+UN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oGuWTqhgZn99okNi46O/c5D+oR/C46IB3BPkJvj2NC1HniwrNRPtbTfk9A7mbXNeSh7hUOfBXTzUnRSmw+lkQ==" saltValue="+96pRMHEk9H7xukGscXk/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IkamOee7ZlKRU3Zx+k/JWcmW5TlUTH58YDFSf3BNfRD0+6P/TV5MLcnEGgs3G1qnH/ijvwxhZbtEwIgZY9X8g==" saltValue="RqTA3B/Mq6/J3Wby56sK2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L+SkKTZs7l+MFKaOmwxn4W34OsSf2RSisx4BPMY6GwuBojbOyhZDQ0G3HT24x8WY2w1jkk6g5Lxelqk5Bi2pA==" saltValue="PxJ8yKTYkJtBG9kludXo2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YfLN1hjr4/WwIIIImXOen4iAj6ct3CfOAo25C1yOge1C1VLG1k61RwYCr8Ev6sMpVYbnOVuM492pm1tyX4I9Q==" saltValue="fp9lG12VGxNdFxDsRC4P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Am+VINJh3127zEwmHnxAAsl1UWacPiPAR6K9hNh+leXs0qaZ4RUGuDG6FhixANGbeSeM+XxE3oe2q46ABvzNQ==" saltValue="8Tk0JljAhN7hFczVuJ/P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W1uP4GtSBfHWx3gYOlpD+oQptOtu8IrmHFhwiTd6w9OcZ5V0DdWzvFTVYN/XpPu7jzsbGx8mC763ciPxj3FOg==" saltValue="oF0/fyKgcrfsTeohvbB4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49mVafPKb0D5ECvSrMmOUsnTFfOn0tf0by8ZDLxf3rpfMqLnEIQkq50kBFDhu9bAGYBM4E/Jmf0iVuucFxJacg==" saltValue="7SBS5Q85kb6ShvC2MMMY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FOeN+4xsU9SF8fTyOqOaJ83U1z2jDLsCMxIpw6EKI0qCh3oWOb/E4/i3FSi+Cs/95yjkMZRghWfn0OARH8sQA==" saltValue="BN2ep06H3UhKDKrqJz6Q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5SjI5HReacT13MyGWlH0ghpv7NlTYV1eCkjV3Jz7Cjvc27GAEcwt9LSOz33Qe2SYFcu+pn/J4N95z3mRYPwoQ==" saltValue="ghjE61L2c0I7/5LBxAur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0.1094394535847093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0.10772683507001957</v>
      </c>
      <c r="G20" s="90">
        <f>MIN(MAX(1-0.89/(1-frac_mam_12_23months+(frac_mam_12_23months*0.89)),0),1)</f>
        <v>0.10999999999999999</v>
      </c>
      <c r="H20" s="90">
        <f>MIN(MAX(1-0.89/(1-frac_mam_24_59months+(frac_mam_24_59months*0.89)),0),1)</f>
        <v>0.10954900081612939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9.9433479683141979E-3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9.770661895065591E-3</v>
      </c>
      <c r="G75" s="90">
        <f>MIN(MAX(1-0.99/(1-frac_mam_12_23months+(frac_mam_12_23months*0.99)),0),1)</f>
        <v>1.0000000000000009E-2</v>
      </c>
      <c r="H75" s="90">
        <f>MIN(MAX(1-0.99/(1-frac_mam_24_59months+(frac_mam_24_59months*0.99)),0),1)</f>
        <v>9.9544143410539299E-3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0.19908341504184224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0.19627713963633819</v>
      </c>
      <c r="G130" s="90">
        <f>MIN(MAX(1-0.8/(1-frac_mam_12_23months+(frac_mam_12_23months*0.8)),0),1)</f>
        <v>0.19999999999999996</v>
      </c>
      <c r="H130" s="90">
        <f>MIN(MAX(1-0.8/(1-frac_mam_24_59months+(frac_mam_24_59months*0.8)),0),1)</f>
        <v>0.19926261695870495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QFv32ytUTjNEHAGwG7yalKT/9rV0EUm+HvOjEl+Ad7pEptpQQw1eLNPDxZ6ZNgmjO3kxf2cXZoJGyJCrpKnuw==" saltValue="Ap9gSDo2+bALzOD/+mMQ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oY0Ejv6bDM1pHQAepR2CFOni+xy6kjQzHWw4NUdA3sGSVHPzUBrqQKTwyNaDiKZI7YUCuDDTyCY5aRz8hWTjQ==" saltValue="hToefnztNhYn8bqEWX/gG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2024-08-06T08:26:19Z</dcterms:modified>
</cp:coreProperties>
</file>