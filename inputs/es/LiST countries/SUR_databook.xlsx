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C570671-58F7-4F88-8F42-BDA5D2A422B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A28" i="2"/>
  <c r="A26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39" i="2" l="1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4" i="2"/>
  <c r="A20" i="2"/>
  <c r="A36" i="2"/>
  <c r="A15" i="2"/>
  <c r="A31" i="2"/>
  <c r="A21" i="2"/>
  <c r="A37" i="2"/>
  <c r="I4" i="2"/>
  <c r="I8" i="2"/>
  <c r="I12" i="2"/>
  <c r="A23" i="2"/>
  <c r="I38" i="2"/>
  <c r="A16" i="2"/>
  <c r="A24" i="2"/>
  <c r="A32" i="2"/>
  <c r="A17" i="2"/>
  <c r="A25" i="2"/>
  <c r="A33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<sst xmlns="http://schemas.openxmlformats.org/spreadsheetml/2006/main" count="2101" uniqueCount="341">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</sst>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54304.55419921875</v>
      </c>
    </row>
    <row r="8" spans="1:3" ht="15" customHeight="1" x14ac:dyDescent="0.25">
      <c r="B8" s="5" t="s">
        <v>44</v>
      </c>
      <c r="C8" s="44">
        <v>0.23400000000000001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0.64718109130859403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9.8800000000000013E-2</v>
      </c>
    </row>
    <row r="24" spans="1:3" ht="15" customHeight="1" x14ac:dyDescent="0.25">
      <c r="B24" s="15" t="s">
        <v>46</v>
      </c>
      <c r="C24" s="45">
        <v>0.50419999999999998</v>
      </c>
    </row>
    <row r="25" spans="1:3" ht="15" customHeight="1" x14ac:dyDescent="0.25">
      <c r="B25" s="15" t="s">
        <v>47</v>
      </c>
      <c r="C25" s="45">
        <v>0.33889999999999998</v>
      </c>
    </row>
    <row r="26" spans="1:3" ht="15" customHeight="1" x14ac:dyDescent="0.25">
      <c r="B26" s="15" t="s">
        <v>48</v>
      </c>
      <c r="C26" s="45">
        <v>5.8099999999999999E-2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0.34994163924792399</v>
      </c>
    </row>
    <row r="30" spans="1:3" ht="14.25" customHeight="1" x14ac:dyDescent="0.25">
      <c r="B30" s="25" t="s">
        <v>63</v>
      </c>
      <c r="C30" s="99">
        <v>0.10516916316476101</v>
      </c>
    </row>
    <row r="31" spans="1:3" ht="14.25" customHeight="1" x14ac:dyDescent="0.25">
      <c r="B31" s="25" t="s">
        <v>10</v>
      </c>
      <c r="C31" s="99">
        <v>8.4505866375242988E-2</v>
      </c>
    </row>
    <row r="32" spans="1:3" ht="14.25" customHeight="1" x14ac:dyDescent="0.25">
      <c r="B32" s="25" t="s">
        <v>11</v>
      </c>
      <c r="C32" s="99">
        <v>0.46038333121207198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10.659739999999999</v>
      </c>
    </row>
    <row r="38" spans="1:5" ht="15" customHeight="1" x14ac:dyDescent="0.25">
      <c r="B38" s="11" t="s">
        <v>35</v>
      </c>
      <c r="C38" s="43">
        <v>15.35069</v>
      </c>
      <c r="D38" s="12"/>
      <c r="E38" s="13"/>
    </row>
    <row r="39" spans="1:5" ht="15" customHeight="1" x14ac:dyDescent="0.25">
      <c r="B39" s="11" t="s">
        <v>61</v>
      </c>
      <c r="C39" s="43">
        <v>17.175809999999998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1.09351E-2</v>
      </c>
      <c r="D45" s="12"/>
    </row>
    <row r="46" spans="1:5" ht="15.75" customHeight="1" x14ac:dyDescent="0.25">
      <c r="B46" s="11" t="s">
        <v>51</v>
      </c>
      <c r="C46" s="45">
        <v>0.1174965</v>
      </c>
      <c r="D46" s="12"/>
    </row>
    <row r="47" spans="1:5" ht="15.75" customHeight="1" x14ac:dyDescent="0.25">
      <c r="B47" s="11" t="s">
        <v>59</v>
      </c>
      <c r="C47" s="45">
        <v>7.0600399999999994E-2</v>
      </c>
      <c r="D47" s="12"/>
      <c r="E47" s="13"/>
    </row>
    <row r="48" spans="1:5" ht="15" customHeight="1" x14ac:dyDescent="0.25">
      <c r="B48" s="11" t="s">
        <v>58</v>
      </c>
      <c r="C48" s="46">
        <v>0.80096800000000001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0.54960799999999999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0.14658528000000001</v>
      </c>
    </row>
    <row r="63" spans="1:4" ht="15.75" customHeight="1" x14ac:dyDescent="0.3">
      <c r="A63" s="4"/>
    </row>
  </sheetData>
  <sheetProtection algorithmName="SHA-512" hashValue="IkTcHvPMFVcIq256EtE16BL6n9eKI4YvKXxZ4oWbrzUk17N68s8N3kKy4pKzcffCahLceuzVTS9GBPFsq8FtSA==" saltValue="GNQ/FNpEAzBx4GJr7Fq7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11075</v>
      </c>
      <c r="C2" s="49">
        <v>32188.5</v>
      </c>
      <c r="D2" s="49">
        <v>51575.5</v>
      </c>
      <c r="E2" s="49">
        <v>43214.5</v>
      </c>
      <c r="F2" s="49">
        <v>33646</v>
      </c>
      <c r="G2" s="17">
        <f t="shared" ref="G2:G13" si="0">C2+D2+E2+F2</f>
        <v>160624.5</v>
      </c>
      <c r="H2" s="17">
        <f t="shared" ref="H2:H13" si="1">(B2 + stillbirth*B2/(1000-stillbirth))/(1-abortion)</f>
        <v>12724.455207741126</v>
      </c>
      <c r="I2" s="17">
        <f t="shared" ref="I2:I13" si="2">G2-H2</f>
        <v>147900.04479225888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11029</v>
      </c>
      <c r="C3" s="50">
        <v>31998</v>
      </c>
      <c r="D3" s="50">
        <v>52140.5</v>
      </c>
      <c r="E3" s="50">
        <v>43450.5</v>
      </c>
      <c r="F3" s="50">
        <v>34272.999999999993</v>
      </c>
      <c r="G3" s="17">
        <f t="shared" si="0"/>
        <v>161862</v>
      </c>
      <c r="H3" s="17">
        <f t="shared" si="1"/>
        <v>12671.604197397462</v>
      </c>
      <c r="I3" s="17">
        <f t="shared" si="2"/>
        <v>149190.39580260255</v>
      </c>
    </row>
    <row r="4" spans="1:9" ht="15.75" customHeight="1" x14ac:dyDescent="0.25">
      <c r="A4" s="5">
        <f t="shared" si="3"/>
        <v>2026</v>
      </c>
      <c r="B4" s="49">
        <v>10995</v>
      </c>
      <c r="C4" s="50">
        <v>31830</v>
      </c>
      <c r="D4" s="50">
        <v>52531</v>
      </c>
      <c r="E4" s="50">
        <v>43860</v>
      </c>
      <c r="F4" s="50">
        <v>34976.5</v>
      </c>
      <c r="G4" s="17">
        <f t="shared" si="0"/>
        <v>163197.5</v>
      </c>
      <c r="H4" s="17">
        <f t="shared" si="1"/>
        <v>12632.540407143448</v>
      </c>
      <c r="I4" s="17">
        <f t="shared" si="2"/>
        <v>150564.95959285655</v>
      </c>
    </row>
    <row r="5" spans="1:9" ht="15.75" customHeight="1" x14ac:dyDescent="0.25">
      <c r="A5" s="5">
        <f t="shared" si="3"/>
        <v>2027</v>
      </c>
      <c r="B5" s="49">
        <v>10952</v>
      </c>
      <c r="C5" s="50">
        <v>31690</v>
      </c>
      <c r="D5" s="50">
        <v>52767</v>
      </c>
      <c r="E5" s="50">
        <v>44426</v>
      </c>
      <c r="F5" s="50">
        <v>35633.5</v>
      </c>
      <c r="G5" s="17">
        <f t="shared" si="0"/>
        <v>164516.5</v>
      </c>
      <c r="H5" s="17">
        <f t="shared" si="1"/>
        <v>12583.136201822195</v>
      </c>
      <c r="I5" s="17">
        <f t="shared" si="2"/>
        <v>151933.3637981778</v>
      </c>
    </row>
    <row r="6" spans="1:9" ht="15.75" customHeight="1" x14ac:dyDescent="0.25">
      <c r="A6" s="5">
        <f t="shared" si="3"/>
        <v>2028</v>
      </c>
      <c r="B6" s="49">
        <v>10917</v>
      </c>
      <c r="C6" s="50">
        <v>31585</v>
      </c>
      <c r="D6" s="50">
        <v>52848.5</v>
      </c>
      <c r="E6" s="50">
        <v>45121</v>
      </c>
      <c r="F6" s="50">
        <v>36177.5</v>
      </c>
      <c r="G6" s="17">
        <f t="shared" si="0"/>
        <v>165732</v>
      </c>
      <c r="H6" s="17">
        <f t="shared" si="1"/>
        <v>12542.923476560711</v>
      </c>
      <c r="I6" s="17">
        <f t="shared" si="2"/>
        <v>153189.07652343929</v>
      </c>
    </row>
    <row r="7" spans="1:9" ht="15.75" customHeight="1" x14ac:dyDescent="0.25">
      <c r="A7" s="5">
        <f t="shared" si="3"/>
        <v>2029</v>
      </c>
      <c r="B7" s="49">
        <v>10912</v>
      </c>
      <c r="C7" s="50">
        <v>31516.5</v>
      </c>
      <c r="D7" s="50">
        <v>52797</v>
      </c>
      <c r="E7" s="50">
        <v>45909.5</v>
      </c>
      <c r="F7" s="50">
        <v>36634.5</v>
      </c>
      <c r="G7" s="17">
        <f t="shared" si="0"/>
        <v>166857.5</v>
      </c>
      <c r="H7" s="17">
        <f t="shared" si="1"/>
        <v>12537.178801523356</v>
      </c>
      <c r="I7" s="17">
        <f t="shared" si="2"/>
        <v>154320.32119847665</v>
      </c>
    </row>
    <row r="8" spans="1:9" ht="15.75" customHeight="1" x14ac:dyDescent="0.25">
      <c r="A8" s="5">
        <f t="shared" si="3"/>
        <v>2030</v>
      </c>
      <c r="B8" s="49">
        <v>10889</v>
      </c>
      <c r="C8" s="50">
        <v>31475.5</v>
      </c>
      <c r="D8" s="50">
        <v>52677</v>
      </c>
      <c r="E8" s="50">
        <v>46737</v>
      </c>
      <c r="F8" s="50">
        <v>37004.5</v>
      </c>
      <c r="G8" s="17">
        <f t="shared" si="0"/>
        <v>167894</v>
      </c>
      <c r="H8" s="17">
        <f t="shared" si="1"/>
        <v>12510.753296351522</v>
      </c>
      <c r="I8" s="17">
        <f t="shared" si="2"/>
        <v>155383.24670364847</v>
      </c>
    </row>
    <row r="9" spans="1:9" ht="15.75" customHeight="1" x14ac:dyDescent="0.25">
      <c r="A9" s="5">
        <f t="shared" si="3"/>
        <v>2031</v>
      </c>
      <c r="B9" s="49">
        <v>10833</v>
      </c>
      <c r="C9" s="50">
        <v>31459</v>
      </c>
      <c r="D9" s="50">
        <v>52537.5</v>
      </c>
      <c r="E9" s="50">
        <v>47564</v>
      </c>
      <c r="F9" s="50">
        <v>37271.5</v>
      </c>
      <c r="G9" s="17">
        <f t="shared" si="0"/>
        <v>168832</v>
      </c>
      <c r="H9" s="17">
        <f t="shared" si="1"/>
        <v>12446.412935933149</v>
      </c>
      <c r="I9" s="17">
        <f t="shared" si="2"/>
        <v>156385.58706406684</v>
      </c>
    </row>
    <row r="10" spans="1:9" ht="15.75" customHeight="1" x14ac:dyDescent="0.25">
      <c r="A10" s="5">
        <f t="shared" si="3"/>
        <v>2032</v>
      </c>
      <c r="B10" s="49">
        <v>10803</v>
      </c>
      <c r="C10" s="50">
        <v>31464.5</v>
      </c>
      <c r="D10" s="50">
        <v>52367</v>
      </c>
      <c r="E10" s="50">
        <v>48399</v>
      </c>
      <c r="F10" s="50">
        <v>37411</v>
      </c>
      <c r="G10" s="17">
        <f t="shared" si="0"/>
        <v>169641.5</v>
      </c>
      <c r="H10" s="17">
        <f t="shared" si="1"/>
        <v>12411.944885709019</v>
      </c>
      <c r="I10" s="17">
        <f t="shared" si="2"/>
        <v>157229.55511429097</v>
      </c>
    </row>
    <row r="11" spans="1:9" ht="15.75" customHeight="1" x14ac:dyDescent="0.25">
      <c r="A11" s="5">
        <f t="shared" si="3"/>
        <v>2033</v>
      </c>
      <c r="B11" s="49">
        <v>10747</v>
      </c>
      <c r="C11" s="50">
        <v>31485.5</v>
      </c>
      <c r="D11" s="50">
        <v>52167.5</v>
      </c>
      <c r="E11" s="50">
        <v>49210</v>
      </c>
      <c r="F11" s="50">
        <v>37429</v>
      </c>
      <c r="G11" s="17">
        <f t="shared" si="0"/>
        <v>170292</v>
      </c>
      <c r="H11" s="17">
        <f t="shared" si="1"/>
        <v>12347.604525290644</v>
      </c>
      <c r="I11" s="17">
        <f t="shared" si="2"/>
        <v>157944.39547470937</v>
      </c>
    </row>
    <row r="12" spans="1:9" ht="15.75" customHeight="1" x14ac:dyDescent="0.25">
      <c r="A12" s="5">
        <f t="shared" si="3"/>
        <v>2034</v>
      </c>
      <c r="B12" s="49">
        <v>10703</v>
      </c>
      <c r="C12" s="50">
        <v>31525</v>
      </c>
      <c r="D12" s="50">
        <v>51953.5</v>
      </c>
      <c r="E12" s="50">
        <v>49929</v>
      </c>
      <c r="F12" s="50">
        <v>37427</v>
      </c>
      <c r="G12" s="17">
        <f t="shared" si="0"/>
        <v>170834.5</v>
      </c>
      <c r="H12" s="17">
        <f t="shared" si="1"/>
        <v>12297.051384961922</v>
      </c>
      <c r="I12" s="17">
        <f t="shared" si="2"/>
        <v>158537.44861503807</v>
      </c>
    </row>
    <row r="13" spans="1:9" ht="15.75" customHeight="1" x14ac:dyDescent="0.25">
      <c r="A13" s="5">
        <f t="shared" si="3"/>
        <v>2035</v>
      </c>
      <c r="B13" s="49">
        <v>10639</v>
      </c>
      <c r="C13" s="50">
        <v>31582.5</v>
      </c>
      <c r="D13" s="50">
        <v>51749</v>
      </c>
      <c r="E13" s="50">
        <v>50493</v>
      </c>
      <c r="F13" s="50">
        <v>37524</v>
      </c>
      <c r="G13" s="17">
        <f t="shared" si="0"/>
        <v>171348.5</v>
      </c>
      <c r="H13" s="17">
        <f t="shared" si="1"/>
        <v>12223.519544483779</v>
      </c>
      <c r="I13" s="17">
        <f t="shared" si="2"/>
        <v>159124.98045551623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WurbGPqs9TBfO+mwJATvxRDCUj6MCWENSZ64Dt5k8QW/TbJUyAMAZUP0iH+zaWdVn4DrCkdrmtg+pXxc7iwjw==" saltValue="VXzU4/NFs3nD3HuLDfBwj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0.15451909999999969</v>
      </c>
    </row>
    <row r="5" spans="1:8" ht="15.75" customHeight="1" x14ac:dyDescent="0.25">
      <c r="B5" s="19" t="s">
        <v>95</v>
      </c>
      <c r="C5" s="101">
        <v>4.2198999999999926E-3</v>
      </c>
    </row>
    <row r="6" spans="1:8" ht="15.75" customHeight="1" x14ac:dyDescent="0.25">
      <c r="B6" s="19" t="s">
        <v>91</v>
      </c>
      <c r="C6" s="101">
        <v>0.19492200000000021</v>
      </c>
    </row>
    <row r="7" spans="1:8" ht="15.75" customHeight="1" x14ac:dyDescent="0.25">
      <c r="B7" s="19" t="s">
        <v>96</v>
      </c>
      <c r="C7" s="101">
        <v>0.42669009999999979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0.16146820000000039</v>
      </c>
    </row>
    <row r="10" spans="1:8" ht="15.75" customHeight="1" x14ac:dyDescent="0.25">
      <c r="B10" s="19" t="s">
        <v>94</v>
      </c>
      <c r="C10" s="101">
        <v>5.8180699999999898E-2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102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2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88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99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5.7343604999999999E-2</v>
      </c>
    </row>
    <row r="27" spans="1:8" ht="15.75" customHeight="1" x14ac:dyDescent="0.25">
      <c r="B27" s="19" t="s">
        <v>89</v>
      </c>
      <c r="C27" s="101">
        <v>1.4167997E-2</v>
      </c>
    </row>
    <row r="28" spans="1:8" ht="15.75" customHeight="1" x14ac:dyDescent="0.25">
      <c r="B28" s="19" t="s">
        <v>103</v>
      </c>
      <c r="C28" s="101">
        <v>0.101559973</v>
      </c>
    </row>
    <row r="29" spans="1:8" ht="15.75" customHeight="1" x14ac:dyDescent="0.25">
      <c r="B29" s="19" t="s">
        <v>86</v>
      </c>
      <c r="C29" s="101">
        <v>0.21960849700000001</v>
      </c>
    </row>
    <row r="30" spans="1:8" ht="15.75" customHeight="1" x14ac:dyDescent="0.25">
      <c r="B30" s="19" t="s">
        <v>4</v>
      </c>
      <c r="C30" s="101">
        <v>5.5062585999999997E-2</v>
      </c>
    </row>
    <row r="31" spans="1:8" ht="15.75" customHeight="1" x14ac:dyDescent="0.25">
      <c r="B31" s="19" t="s">
        <v>80</v>
      </c>
      <c r="C31" s="101">
        <v>0.14229177300000001</v>
      </c>
    </row>
    <row r="32" spans="1:8" ht="15.75" customHeight="1" x14ac:dyDescent="0.25">
      <c r="B32" s="19" t="s">
        <v>85</v>
      </c>
      <c r="C32" s="101">
        <v>3.0837276E-2</v>
      </c>
    </row>
    <row r="33" spans="2:3" ht="15.75" customHeight="1" x14ac:dyDescent="0.25">
      <c r="B33" s="19" t="s">
        <v>100</v>
      </c>
      <c r="C33" s="101">
        <v>8.2024560999999996E-2</v>
      </c>
    </row>
    <row r="34" spans="2:3" ht="15.75" customHeight="1" x14ac:dyDescent="0.25">
      <c r="B34" s="19" t="s">
        <v>87</v>
      </c>
      <c r="C34" s="101">
        <v>0.29710373299999998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n1yfNejivyBUeFaLWPqbNtbjAnDOc8lXf5oQ//0qhXRKoYx/+f5naAx/MS/4rRKQSQ2GfAMg+O5Vg/IzzWe0lQ==" saltValue="fGywSzgxzxOBuil82BM+C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110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106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107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119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0.40415045649999998</v>
      </c>
      <c r="D14" s="54">
        <v>0.37718054182999999</v>
      </c>
      <c r="E14" s="54">
        <v>0.37718054182999999</v>
      </c>
      <c r="F14" s="54">
        <v>0.19508714863900001</v>
      </c>
      <c r="G14" s="54">
        <v>0.19508714863900001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0.22212432409605198</v>
      </c>
      <c r="D15" s="52">
        <f t="shared" si="0"/>
        <v>0.20730144323410263</v>
      </c>
      <c r="E15" s="52">
        <f t="shared" si="0"/>
        <v>0.20730144323410263</v>
      </c>
      <c r="F15" s="52">
        <f t="shared" si="0"/>
        <v>0.10722145758918351</v>
      </c>
      <c r="G15" s="52">
        <f t="shared" si="0"/>
        <v>0.10722145758918351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1+NPOLxVQ1LxtySb5BD5aNLZtcO2ewuJQZlIwGwCJy5WvIaMt+Z8tMbQx3nS+BDv82SCGcTFAgexo89Wu6ktw==" saltValue="4zr5vTRSHJI8ZJBddsN5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125</v>
      </c>
      <c r="C5" s="52">
        <v>0.1882762</v>
      </c>
      <c r="D5" s="52">
        <v>0.28117150000000002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0ymtu+YGT/TLSdijXvvyTNoIRCFVIFaMk87akgR+RnURJv442OD1VeM2tUlkBP1RAk37tiKKUEAjazz498qQRA==" saltValue="JD1Nfi4SVP/aL4HmqGbcX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1ABtrDQvGKv78FNkLiPDTc45Xe8yZmSM8hHZITdwc2kIBBoKQDPs0TNHPu4CEbDlmUKm4n++j/1pBRDhmyzvQ==" saltValue="TQsh5X85DCvT/KHTXIMbn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BiqPRK+d3a1hiJrBtOwBXg+DCNdK9bYFpynU27HC6mD38ZGMa0lbnSWWE8vH1InIwZq0pS2MB6nmDDJ9IyMLpw==" saltValue="jJ33fYCNWVrBdLHkM7mj/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zXiS/oEpZSOlo79z8V8wuJX7LCDSs4ZrvoRZ8bnlsQD6Neq0NGEgv5GBp58D4mIUQYsBDkEzBs/IfiESLZiumA==" saltValue="AExA/KtPEEGlwNMjYgkdg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qetZr5CfF648MjoEe2EfkSB8cBngdtGMJeo0SM8S/7xRM40ALkoUvtp9vY0q/kRTZwRGboVug/vBs4OMLpiFbw==" saltValue="rGYtYVnIkfF4bCRvbYsih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154.17725521634259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36.544834772694642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1.559716229638761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0.44994896638918952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1.516970800969268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0.83347689488283194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13.25939284886182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13.25939284886182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13.25939284886182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13.25939284886182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13.25939284886182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13.25939284886182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7.8606899999999993E-2</v>
      </c>
      <c r="C16" s="98">
        <v>0.95</v>
      </c>
      <c r="D16" s="56">
        <v>5.8835597567123799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0.32122916666666701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7.7588900000000002E-2</v>
      </c>
      <c r="C18" s="98">
        <v>0.95</v>
      </c>
      <c r="D18" s="56">
        <v>36.544834772694642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7.7588900000000002E-2</v>
      </c>
      <c r="C19" s="98">
        <v>0.95</v>
      </c>
      <c r="D19" s="56">
        <v>36.544834772694642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17.588891180900539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23.01109674039985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3.9129999999999998E-3</v>
      </c>
      <c r="C23" s="98">
        <v>0.95</v>
      </c>
      <c r="D23" s="56">
        <v>4.4338460403923747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0.66624536519805999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8.1464668622096941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5.5181659343385068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0.45581739999999998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0.23215369999999999</v>
      </c>
      <c r="C29" s="98">
        <v>0.95</v>
      </c>
      <c r="D29" s="56">
        <v>206.81375092158379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65.176827828224631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3.8695611109470298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0.72116230000000003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0.12046129999999999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5.8989100000000003E-2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0.80314839999999998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5.754815016497699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8.0553075689406626</v>
      </c>
      <c r="E39" s="56" t="s">
        <v>183</v>
      </c>
      <c r="F39" s="98">
        <v>1</v>
      </c>
      <c r="G39" s="98">
        <v>1</v>
      </c>
    </row>
  </sheetData>
  <sheetProtection algorithmName="SHA-512" hashValue="88Vfju5nQ2QWDoCn9C8jDPAvwKHsx61ah2KFn0jTCxVdnDSwiFIBhLnyG4riNNXOIFcLuVhIe1yvVuslnKyk+g==" saltValue="q8XgCBtT4VaQJmcKcNXS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rtBJbSeC4O3IpARX4zWXnkUUCl97n51q2VL2fltpAkMxivxrkge2PmwkHGw+Cozbvy5GZPTdiJxDsZbksDkRaA==" saltValue="bRZG9bKWPAXuIrXR7orS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d25HqU5hg52m3YYaiJSk4y8uD2MNywX9WOZjediEs18GommWweCHPyPZ2g/feGPnQGwTIa90JRJZHoHKQ+nIxQ==" saltValue="+lnfk7Fbfn6gN2vUzHKf3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207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tEUf/xlDRw37O/chchLZKV4R9Jg3WPzDvYvH/qXNqXqBYn2f5ksJKYsTGoD4HaY5dJ5Wk6HKU7EZIigkMoQVSQ==" saltValue="PZKIFH4LIwP4m7iTChwwO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0.23400000000000001</v>
      </c>
      <c r="E2" s="60">
        <f>food_insecure</f>
        <v>0.23400000000000001</v>
      </c>
      <c r="F2" s="60">
        <f>food_insecure</f>
        <v>0.23400000000000001</v>
      </c>
      <c r="G2" s="60">
        <f>food_insecure</f>
        <v>0.23400000000000001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0.23400000000000001</v>
      </c>
      <c r="I15" s="60">
        <f>food_insecure</f>
        <v>0.23400000000000001</v>
      </c>
      <c r="J15" s="60">
        <f>food_insecure</f>
        <v>0.23400000000000001</v>
      </c>
      <c r="K15" s="60">
        <f>food_insecure</f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0.19021878643188461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8.152233704223627E-2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8.1077785217285092E-2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0.64718109130859403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+D0wIiYMiFPHvjJY2XZU93AXQuPAQEFdjaUpPTWmvzLbX0Od4TEy6HIhEphMhsqPfKASGZMKkpehJ448d+tEg==" saltValue="o4q0JqRZg7MVY21ow6rqT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UGeAbHhVZLqb/XMDoG1r9Pn2W1miVrz7vC8GaYd7+cdu+3CpeTskG/djLYwLF3tdl7/54Fi5jkwZEuh2HUdfzA==" saltValue="nZyHCtp9TtMWlW+3/SGK/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dY1gITvb/PjZiG1stnmJ7BbuaAfuKSBYT7VjfrIzsa6mxiE12fsLTBIGVBp89dGLKkXLDHLvmZcPt8JhfrurQ==" saltValue="1DuTJNgpHDF7Ve/9t1fHs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CQ+0zbUORot0nA9T648RzSYZm9x+rrh4Z1o9u0fF2PN5C/BEMJFvbzl2ydHtq5EmJjqpf6eAFsvulB0k3XyEg==" saltValue="ZAGowtbW/ljPh7PshjBfE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M8jG6c904bqzB5j8BhWIg6chREVg97iDkzYYcInU0o3FK7QRJZ6W7CJbjkowgHT+j5M7mVIj0fTkTj+EEFWhw==" saltValue="oBgjSi4JtThN8+IXx5hyM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OLRKaKB1ATyt/rpMmB9gH/q3KWb1oAtrmJmyui8ofHmhjYdh9eSjMu1gtnY/fREIy4UZHrluy1Raw5LpcsL+aA==" saltValue="ThJvBF0cUxw/whU7uHlx9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rvJK6ScZ4LUJb8Pd67bQ2bMxEMQQR7bZg9+tJPFj3VOsStsca8PKYF7DoVmKQLxyve2/ZdJPfGkgZmS/1WtgQ==" saltValue="qse7ERZ89pf5RTzhLyIfl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+BTyEnBKvY8bs47MR5S4MqzLwAP5pE/af3SpdJ11N1Iiws8oorPk5IqYwJqNpPnZVds3HVZSlL8KsWGyjmi6Q==" saltValue="Wr4KI/1AW4Ntlq097Eo5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x8LTOTZA3KXMfRuyX3rMj/qG/rhC9YEbZ/SkMYDQkk8Duyiy4mzwirFbVrd58emmCiGKzbC7b6o99UeuqVj0A==" saltValue="u2DyznLoWIgRb4hYPNc0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RVI8FfZp5CKzD0ueIu0Oz4kX8wLj+pBt6DGV01uSyIsws7ZtQ/xiqQpZ2s+ywQCUpBfUFT2PM6epTUH40V5aZg==" saltValue="97qrUQATHL3VtxNKos8j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K5gGWsgpfvKyMjcfKI5wXDsUaspc6A69377XEx0Bp37tHzz2B/6MF+mVAmSUtZZJxslXuyCYZkQzpg/pVyJ8yQ==" saltValue="3J4Ox9PcVYxuUPvzFeN9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1cwogYXZQjDd5WnPTZtDXJgUCsnf0T5Zsi3hT3HWvFi8XNcg1u4EhiK23VCsBp7pinCVdLPDjDr+ifRLgWm0Ew==" saltValue="21zSgDlNle4PKbU2oxZD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c7ywvxIGiNP5U0tvqoIfeFUmLy9Da/8Jon3o8f/+TBxB9zAozOBz+FBZc9LEtLFyPyhJWIV0UyPd4HPIarFZw==" saltValue="OM+6V5OZOcOcYg2Xqjsyx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0.10931371107271459</v>
      </c>
      <c r="G18" s="90">
        <f>MIN(MAX(1-0.89/(1-frac_sam_12_23months+(frac_sam_12_23months*0.89)),0),1)</f>
        <v>0.10819103507575045</v>
      </c>
      <c r="H18" s="90">
        <f>MIN(MAX(1-0.89/(1-frac_sam_24_59months+(frac_sam_24_59months*0.89)),0),1)</f>
        <v>0.10934904726622252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0.10235156587109062</v>
      </c>
      <c r="G20" s="90">
        <f>MIN(MAX(1-0.89/(1-frac_mam_12_23months+(frac_mam_12_23months*0.89)),0),1)</f>
        <v>0.1052274811290691</v>
      </c>
      <c r="H20" s="90">
        <f>MIN(MAX(1-0.89/(1-frac_mam_24_59months+(frac_mam_24_59months*0.89)),0),1)</f>
        <v>0.10624060847171513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9.9306486121433224E-3</v>
      </c>
      <c r="G73" s="90">
        <f>MIN(MAX(1-0.99/(1-frac_sam_12_23months+(frac_sam_12_23months*0.99)),0),1)</f>
        <v>9.8174083497344355E-3</v>
      </c>
      <c r="H73" s="90">
        <f>MIN(MAX(1-0.99/(1-frac_sam_24_59months+(frac_sam_24_59months*0.99)),0),1)</f>
        <v>9.9342170591840695E-3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9.2325584751669076E-3</v>
      </c>
      <c r="G75" s="90">
        <f>MIN(MAX(1-0.99/(1-frac_mam_12_23months+(frac_mam_12_23months*0.99)),0),1)</f>
        <v>9.5197270109106391E-3</v>
      </c>
      <c r="H75" s="90">
        <f>MIN(MAX(1-0.99/(1-frac_mam_24_59months+(frac_mam_24_59months*0.99)),0),1)</f>
        <v>9.6212910662482054E-3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0.19887767569098247</v>
      </c>
      <c r="G128" s="90">
        <f>MIN(MAX(1-0.8/(1-frac_sam_12_23months+(frac_sam_12_23months*0.8)),0),1)</f>
        <v>0.19703864640950408</v>
      </c>
      <c r="H128" s="90">
        <f>MIN(MAX(1-0.8/(1-frac_sam_24_59months+(frac_sam_24_59months*0.8)),0),1)</f>
        <v>0.19893549742510819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0.18741149260584067</v>
      </c>
      <c r="G130" s="90">
        <f>MIN(MAX(1-0.8/(1-frac_mam_12_23months+(frac_mam_12_23months*0.8)),0),1)</f>
        <v>0.19216580166810082</v>
      </c>
      <c r="H130" s="90">
        <f>MIN(MAX(1-0.8/(1-frac_mam_24_59months+(frac_mam_24_59months*0.8)),0),1)</f>
        <v>0.19383464081262103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6tjoj1g/L3H/CCvHity5N9H5oJYglghbgxuW/KnOXGtp2PTz/1Fv+4r5muhbMTcGO13NYR/F9HwxQD6vKTFyTA==" saltValue="00QLv8bZvMyW+/H+i+Fy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w+bcb4xHBt6GJc4clSFdlM60LL78CbyWL0mUGsk8XXGOW0y/YyPPBX9OKPF6WaDAotF3UwVto8Vl+YuSCxsZyA==" saltValue="JHXsnASrAQPI6PNvMhOC4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2024-08-06T08:20:36Z</dcterms:modified>
</cp:coreProperties>
</file>