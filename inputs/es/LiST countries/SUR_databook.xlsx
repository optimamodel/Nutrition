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FC33066C-20C4-4455-AA01-20C8E7E6BA11}" xr6:coauthVersionLast="47" xr6:coauthVersionMax="47" xr10:uidLastSave="{00000000-0000-0000-0000-000000000000}"/>
  <bookViews>
    <workbookView xWindow="-110" yWindow="-110" windowWidth="19420" windowHeight="10420" tabRatio="961" firstSheet="4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I6" i="2" s="1"/>
  <c r="H5" i="2"/>
  <c r="G5" i="2"/>
  <c r="H4" i="2"/>
  <c r="G4" i="2"/>
  <c r="H3" i="2"/>
  <c r="G3" i="2"/>
  <c r="H2" i="2"/>
  <c r="G2" i="2"/>
  <c r="I2" i="2" s="1"/>
  <c r="A2" i="2"/>
  <c r="A39" i="2" s="1"/>
  <c r="C33" i="1"/>
  <c r="C20" i="1"/>
  <c r="A24" i="2" l="1"/>
  <c r="I38" i="2"/>
  <c r="A19" i="2"/>
  <c r="A35" i="2"/>
  <c r="I4" i="2"/>
  <c r="I8" i="2"/>
  <c r="I12" i="2"/>
  <c r="A25" i="2"/>
  <c r="A26" i="2"/>
  <c r="I39" i="2"/>
  <c r="A31" i="2"/>
  <c r="A34" i="2"/>
  <c r="A40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<sst xmlns="http://schemas.openxmlformats.org/spreadsheetml/2006/main" count="2159" uniqueCount="372">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</sst>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53370</v>
      </c>
    </row>
    <row r="8" spans="1:3" ht="15" customHeight="1" x14ac:dyDescent="0.25">
      <c r="B8" s="5" t="s">
        <v>63</v>
      </c>
      <c r="C8" s="44">
        <v>0.23400000000000001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0.63960079999999997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0.28432334450000002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9.8800000000000013E-2</v>
      </c>
    </row>
    <row r="24" spans="1:3" ht="15" customHeight="1" x14ac:dyDescent="0.25">
      <c r="B24" s="15" t="s">
        <v>65</v>
      </c>
      <c r="C24" s="45">
        <v>0.50419999999999998</v>
      </c>
    </row>
    <row r="25" spans="1:3" ht="15" customHeight="1" x14ac:dyDescent="0.25">
      <c r="B25" s="15" t="s">
        <v>66</v>
      </c>
      <c r="C25" s="45">
        <v>0.33889999999999998</v>
      </c>
    </row>
    <row r="26" spans="1:3" ht="15" customHeight="1" x14ac:dyDescent="0.25">
      <c r="B26" s="15" t="s">
        <v>67</v>
      </c>
      <c r="C26" s="45">
        <v>5.8099999999999999E-2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0.34994163924792399</v>
      </c>
    </row>
    <row r="30" spans="1:3" ht="14.25" customHeight="1" x14ac:dyDescent="0.25">
      <c r="B30" s="25" t="s">
        <v>82</v>
      </c>
      <c r="C30" s="99">
        <v>0.10516916316476101</v>
      </c>
    </row>
    <row r="31" spans="1:3" ht="14.25" customHeight="1" x14ac:dyDescent="0.25">
      <c r="B31" s="25" t="s">
        <v>29</v>
      </c>
      <c r="C31" s="99">
        <v>8.4505866375242988E-2</v>
      </c>
    </row>
    <row r="32" spans="1:3" ht="14.25" customHeight="1" x14ac:dyDescent="0.25">
      <c r="B32" s="25" t="s">
        <v>30</v>
      </c>
      <c r="C32" s="99">
        <v>0.46038333121207198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10.659739999999999</v>
      </c>
    </row>
    <row r="38" spans="1:5" ht="15" customHeight="1" x14ac:dyDescent="0.25">
      <c r="B38" s="11" t="s">
        <v>54</v>
      </c>
      <c r="C38" s="43">
        <v>15.35069</v>
      </c>
      <c r="D38" s="12"/>
      <c r="E38" s="13"/>
    </row>
    <row r="39" spans="1:5" ht="15" customHeight="1" x14ac:dyDescent="0.25">
      <c r="B39" s="11" t="s">
        <v>80</v>
      </c>
      <c r="C39" s="43">
        <v>17.175809999999998</v>
      </c>
      <c r="D39" s="12"/>
      <c r="E39" s="12"/>
    </row>
    <row r="40" spans="1:5" ht="15" customHeight="1" x14ac:dyDescent="0.25">
      <c r="B40" s="11" t="s">
        <v>55</v>
      </c>
      <c r="C40" s="100">
        <v>0.96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1.09351E-2</v>
      </c>
      <c r="D45" s="12"/>
    </row>
    <row r="46" spans="1:5" ht="15.75" customHeight="1" x14ac:dyDescent="0.25">
      <c r="B46" s="11" t="s">
        <v>70</v>
      </c>
      <c r="C46" s="45">
        <v>0.1174965</v>
      </c>
      <c r="D46" s="12"/>
    </row>
    <row r="47" spans="1:5" ht="15.75" customHeight="1" x14ac:dyDescent="0.25">
      <c r="B47" s="11" t="s">
        <v>78</v>
      </c>
      <c r="C47" s="45">
        <v>7.0600399999999994E-2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3.2</v>
      </c>
      <c r="D51" s="12"/>
    </row>
    <row r="52" spans="1:4" ht="15" customHeight="1" x14ac:dyDescent="0.25">
      <c r="B52" s="11" t="s">
        <v>32</v>
      </c>
      <c r="C52" s="100">
        <v>3.2</v>
      </c>
    </row>
    <row r="53" spans="1:4" ht="15.75" customHeight="1" x14ac:dyDescent="0.25">
      <c r="B53" s="11" t="s">
        <v>35</v>
      </c>
      <c r="C53" s="100">
        <v>3.2</v>
      </c>
    </row>
    <row r="54" spans="1:4" ht="15.75" customHeight="1" x14ac:dyDescent="0.25">
      <c r="B54" s="11" t="s">
        <v>33</v>
      </c>
      <c r="C54" s="100">
        <v>3.2</v>
      </c>
    </row>
    <row r="55" spans="1:4" ht="15.75" customHeight="1" x14ac:dyDescent="0.25">
      <c r="B55" s="11" t="s">
        <v>34</v>
      </c>
      <c r="C55" s="100">
        <v>3.2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1.9375E-2</v>
      </c>
    </row>
    <row r="59" spans="1:4" ht="15.75" customHeight="1" x14ac:dyDescent="0.25">
      <c r="B59" s="11" t="s">
        <v>59</v>
      </c>
      <c r="C59" s="45">
        <v>0.54960799999999999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0.1646447838</v>
      </c>
    </row>
    <row r="63" spans="1:4" ht="15.75" customHeight="1" x14ac:dyDescent="0.3">
      <c r="A63" s="4"/>
    </row>
  </sheetData>
  <sheetProtection algorithmName="SHA-512" hashValue="LU7IDGNvuY8ZQGZIPrDPgwgvdCXGsKTaGLjWe84dv7zVHq+6qIDyHtFM0QdmOp+FBGNPF/YX/oZyTbUUD99/aw==" saltValue="02tpFS3qL6i2pyVv2Nll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10882</v>
      </c>
      <c r="C2" s="49">
        <v>26824.5</v>
      </c>
      <c r="D2" s="49">
        <v>52665</v>
      </c>
      <c r="E2" s="49">
        <v>42921</v>
      </c>
      <c r="F2" s="49">
        <v>37573.5</v>
      </c>
      <c r="G2" s="17">
        <f t="shared" ref="G2:G13" si="0">C2+D2+E2+F2</f>
        <v>159984</v>
      </c>
      <c r="H2" s="17">
        <f t="shared" ref="H2:H13" si="1">(B2 + stillbirth*B2/(1000-stillbirth))/(1-abortion)</f>
        <v>12502.710751299228</v>
      </c>
      <c r="I2" s="17">
        <f t="shared" ref="I2:I13" si="2">G2-H2</f>
        <v>147481.28924870078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10856</v>
      </c>
      <c r="C3" s="50">
        <v>26888.5</v>
      </c>
      <c r="D3" s="50">
        <v>52995.5</v>
      </c>
      <c r="E3" s="50">
        <v>43207.499999999993</v>
      </c>
      <c r="F3" s="50">
        <v>38182</v>
      </c>
      <c r="G3" s="17">
        <f t="shared" si="0"/>
        <v>161273.5</v>
      </c>
      <c r="H3" s="17">
        <f t="shared" si="1"/>
        <v>12472.838441104981</v>
      </c>
      <c r="I3" s="17">
        <f t="shared" si="2"/>
        <v>148800.66155889502</v>
      </c>
    </row>
    <row r="4" spans="1:9" ht="15.75" customHeight="1" x14ac:dyDescent="0.25">
      <c r="A4" s="5">
        <f t="shared" si="3"/>
        <v>2026</v>
      </c>
      <c r="B4" s="49">
        <v>10815</v>
      </c>
      <c r="C4" s="50">
        <v>26929.5</v>
      </c>
      <c r="D4" s="50">
        <v>53173.500000000007</v>
      </c>
      <c r="E4" s="50">
        <v>43715.5</v>
      </c>
      <c r="F4" s="50">
        <v>38834.5</v>
      </c>
      <c r="G4" s="17">
        <f t="shared" si="0"/>
        <v>162653</v>
      </c>
      <c r="H4" s="17">
        <f t="shared" si="1"/>
        <v>12425.73210579867</v>
      </c>
      <c r="I4" s="17">
        <f t="shared" si="2"/>
        <v>150227.26789420133</v>
      </c>
    </row>
    <row r="5" spans="1:9" ht="15.75" customHeight="1" x14ac:dyDescent="0.25">
      <c r="A5" s="5">
        <f t="shared" si="3"/>
        <v>2027</v>
      </c>
      <c r="B5" s="49">
        <v>10769</v>
      </c>
      <c r="C5" s="50">
        <v>26940</v>
      </c>
      <c r="D5" s="50">
        <v>53242.999999999993</v>
      </c>
      <c r="E5" s="50">
        <v>44423.500000000007</v>
      </c>
      <c r="F5" s="50">
        <v>39442</v>
      </c>
      <c r="G5" s="17">
        <f t="shared" si="0"/>
        <v>164048.5</v>
      </c>
      <c r="H5" s="17">
        <f t="shared" si="1"/>
        <v>12372.881095455006</v>
      </c>
      <c r="I5" s="17">
        <f t="shared" si="2"/>
        <v>151675.618904545</v>
      </c>
    </row>
    <row r="6" spans="1:9" ht="15.75" customHeight="1" x14ac:dyDescent="0.25">
      <c r="A6" s="5">
        <f t="shared" si="3"/>
        <v>2028</v>
      </c>
      <c r="B6" s="49">
        <v>10735</v>
      </c>
      <c r="C6" s="50">
        <v>26951</v>
      </c>
      <c r="D6" s="50">
        <v>53200.500000000007</v>
      </c>
      <c r="E6" s="50">
        <v>45284</v>
      </c>
      <c r="F6" s="50">
        <v>39975.5</v>
      </c>
      <c r="G6" s="17">
        <f t="shared" si="0"/>
        <v>165411</v>
      </c>
      <c r="H6" s="17">
        <f t="shared" si="1"/>
        <v>12333.817305200992</v>
      </c>
      <c r="I6" s="17">
        <f t="shared" si="2"/>
        <v>153077.182694799</v>
      </c>
    </row>
    <row r="7" spans="1:9" ht="15.75" customHeight="1" x14ac:dyDescent="0.25">
      <c r="A7" s="5">
        <f t="shared" si="3"/>
        <v>2029</v>
      </c>
      <c r="B7" s="49">
        <v>10710</v>
      </c>
      <c r="C7" s="50">
        <v>26957</v>
      </c>
      <c r="D7" s="50">
        <v>53024.5</v>
      </c>
      <c r="E7" s="50">
        <v>46252</v>
      </c>
      <c r="F7" s="50">
        <v>40431</v>
      </c>
      <c r="G7" s="17">
        <f t="shared" si="0"/>
        <v>166664.5</v>
      </c>
      <c r="H7" s="17">
        <f t="shared" si="1"/>
        <v>12305.093930014218</v>
      </c>
      <c r="I7" s="17">
        <f t="shared" si="2"/>
        <v>154359.40606998579</v>
      </c>
    </row>
    <row r="8" spans="1:9" ht="15.75" customHeight="1" x14ac:dyDescent="0.25">
      <c r="A8" s="5">
        <f t="shared" si="3"/>
        <v>2030</v>
      </c>
      <c r="B8" s="49">
        <v>10671</v>
      </c>
      <c r="C8" s="50">
        <v>26949</v>
      </c>
      <c r="D8" s="50">
        <v>52743</v>
      </c>
      <c r="E8" s="50">
        <v>47311</v>
      </c>
      <c r="F8" s="50">
        <v>40799.499999999993</v>
      </c>
      <c r="G8" s="17">
        <f t="shared" si="0"/>
        <v>167802.5</v>
      </c>
      <c r="H8" s="17">
        <f t="shared" si="1"/>
        <v>12260.285464722849</v>
      </c>
      <c r="I8" s="17">
        <f t="shared" si="2"/>
        <v>155542.21453527716</v>
      </c>
    </row>
    <row r="9" spans="1:9" ht="15.75" customHeight="1" x14ac:dyDescent="0.25">
      <c r="A9" s="5">
        <f t="shared" si="3"/>
        <v>2031</v>
      </c>
      <c r="B9" s="49">
        <v>10640</v>
      </c>
      <c r="C9" s="50">
        <v>26889</v>
      </c>
      <c r="D9" s="50">
        <v>52425.5</v>
      </c>
      <c r="E9" s="50">
        <v>48403.000000000007</v>
      </c>
      <c r="F9" s="50">
        <v>41077.5</v>
      </c>
      <c r="G9" s="17">
        <f t="shared" si="0"/>
        <v>168795</v>
      </c>
      <c r="H9" s="17">
        <f t="shared" si="1"/>
        <v>12224.668479491249</v>
      </c>
      <c r="I9" s="17">
        <f t="shared" si="2"/>
        <v>156570.33152050874</v>
      </c>
    </row>
    <row r="10" spans="1:9" ht="15.75" customHeight="1" x14ac:dyDescent="0.25">
      <c r="A10" s="5">
        <f t="shared" si="3"/>
        <v>2032</v>
      </c>
      <c r="B10" s="49">
        <v>10599</v>
      </c>
      <c r="C10" s="50">
        <v>26722.5</v>
      </c>
      <c r="D10" s="50">
        <v>52178</v>
      </c>
      <c r="E10" s="50">
        <v>49415.000000000007</v>
      </c>
      <c r="F10" s="50">
        <v>41251.999999999993</v>
      </c>
      <c r="G10" s="17">
        <f t="shared" si="0"/>
        <v>169567.5</v>
      </c>
      <c r="H10" s="17">
        <f t="shared" si="1"/>
        <v>12177.56214418494</v>
      </c>
      <c r="I10" s="17">
        <f t="shared" si="2"/>
        <v>157389.93785581505</v>
      </c>
    </row>
    <row r="11" spans="1:9" ht="15.75" customHeight="1" x14ac:dyDescent="0.25">
      <c r="A11" s="5">
        <f t="shared" si="3"/>
        <v>2033</v>
      </c>
      <c r="B11" s="49">
        <v>10551</v>
      </c>
      <c r="C11" s="50">
        <v>26460.5</v>
      </c>
      <c r="D11" s="50">
        <v>52074.5</v>
      </c>
      <c r="E11" s="50">
        <v>50231.5</v>
      </c>
      <c r="F11" s="50">
        <v>41356.5</v>
      </c>
      <c r="G11" s="17">
        <f t="shared" si="0"/>
        <v>170123</v>
      </c>
      <c r="H11" s="17">
        <f t="shared" si="1"/>
        <v>12122.413263826333</v>
      </c>
      <c r="I11" s="17">
        <f t="shared" si="2"/>
        <v>158000.58673617366</v>
      </c>
    </row>
    <row r="12" spans="1:9" ht="15.75" customHeight="1" x14ac:dyDescent="0.25">
      <c r="A12" s="5">
        <f t="shared" si="3"/>
        <v>2034</v>
      </c>
      <c r="B12" s="49">
        <v>10507</v>
      </c>
      <c r="C12" s="50">
        <v>26168</v>
      </c>
      <c r="D12" s="50">
        <v>52095.5</v>
      </c>
      <c r="E12" s="50">
        <v>50808.499999999993</v>
      </c>
      <c r="F12" s="50">
        <v>41503.5</v>
      </c>
      <c r="G12" s="17">
        <f t="shared" si="0"/>
        <v>170575.5</v>
      </c>
      <c r="H12" s="17">
        <f t="shared" si="1"/>
        <v>12071.860123497609</v>
      </c>
      <c r="I12" s="17">
        <f t="shared" si="2"/>
        <v>158503.63987650239</v>
      </c>
    </row>
    <row r="13" spans="1:9" ht="15.75" customHeight="1" x14ac:dyDescent="0.25">
      <c r="A13" s="5">
        <f t="shared" si="3"/>
        <v>2035</v>
      </c>
      <c r="B13" s="49">
        <v>10464</v>
      </c>
      <c r="C13" s="50">
        <v>25897.5</v>
      </c>
      <c r="D13" s="50">
        <v>52168.499999999993</v>
      </c>
      <c r="E13" s="50">
        <v>51164.500000000007</v>
      </c>
      <c r="F13" s="50">
        <v>41812</v>
      </c>
      <c r="G13" s="17">
        <f t="shared" si="0"/>
        <v>171042.5</v>
      </c>
      <c r="H13" s="17">
        <f t="shared" si="1"/>
        <v>12022.455918176356</v>
      </c>
      <c r="I13" s="17">
        <f t="shared" si="2"/>
        <v>159020.04408182364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IIaIZ4RvjzH+Ld16M3BPGxDiDf4cAsja5gRmDFcXBLP5w7SAEBilmEgWWoYV9dH+cDw7HKZj8uDyO0dnYL3uA==" saltValue="7JpAd6wVp6OTKG58AHDer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0.15451909999999969</v>
      </c>
    </row>
    <row r="5" spans="1:8" ht="15.75" customHeight="1" x14ac:dyDescent="0.25">
      <c r="B5" s="19" t="s">
        <v>114</v>
      </c>
      <c r="C5" s="101">
        <v>4.2198999999999926E-3</v>
      </c>
    </row>
    <row r="6" spans="1:8" ht="15.75" customHeight="1" x14ac:dyDescent="0.25">
      <c r="B6" s="19" t="s">
        <v>110</v>
      </c>
      <c r="C6" s="101">
        <v>0.19492200000000021</v>
      </c>
    </row>
    <row r="7" spans="1:8" ht="15.75" customHeight="1" x14ac:dyDescent="0.25">
      <c r="B7" s="19" t="s">
        <v>115</v>
      </c>
      <c r="C7" s="101">
        <v>0.42669009999999979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0.16146820000000039</v>
      </c>
    </row>
    <row r="10" spans="1:8" ht="15.75" customHeight="1" x14ac:dyDescent="0.25">
      <c r="B10" s="19" t="s">
        <v>113</v>
      </c>
      <c r="C10" s="101">
        <v>5.8180699999999898E-2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121</v>
      </c>
      <c r="C15" s="101">
        <v>0.29688997844133608</v>
      </c>
      <c r="D15" s="101">
        <v>0.29688997844133608</v>
      </c>
      <c r="E15" s="101">
        <v>0.29688997844133608</v>
      </c>
      <c r="F15" s="101">
        <v>0.29688997844133608</v>
      </c>
    </row>
    <row r="16" spans="1:8" ht="15.75" customHeight="1" x14ac:dyDescent="0.25">
      <c r="B16" s="19" t="s">
        <v>2</v>
      </c>
      <c r="C16" s="101">
        <v>5.627712966098989E-2</v>
      </c>
      <c r="D16" s="101">
        <v>5.627712966098989E-2</v>
      </c>
      <c r="E16" s="101">
        <v>5.627712966098989E-2</v>
      </c>
      <c r="F16" s="101">
        <v>5.627712966098989E-2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98</v>
      </c>
      <c r="C20" s="101">
        <v>6.7017783841196291E-2</v>
      </c>
      <c r="D20" s="101">
        <v>6.7017783841196291E-2</v>
      </c>
      <c r="E20" s="101">
        <v>6.7017783841196291E-2</v>
      </c>
      <c r="F20" s="101">
        <v>6.7017783841196291E-2</v>
      </c>
    </row>
    <row r="21" spans="1:8" ht="15.75" customHeight="1" x14ac:dyDescent="0.25">
      <c r="B21" s="19" t="s">
        <v>107</v>
      </c>
      <c r="C21" s="101">
        <v>0.38511254926272848</v>
      </c>
      <c r="D21" s="101">
        <v>0.38511254926272848</v>
      </c>
      <c r="E21" s="101">
        <v>0.38511254926272848</v>
      </c>
      <c r="F21" s="101">
        <v>0.38511254926272848</v>
      </c>
    </row>
    <row r="22" spans="1:8" ht="15.75" customHeight="1" x14ac:dyDescent="0.25">
      <c r="B22" s="19" t="s">
        <v>118</v>
      </c>
      <c r="C22" s="101">
        <v>0.13258606647106591</v>
      </c>
      <c r="D22" s="101">
        <v>0.13258606647106591</v>
      </c>
      <c r="E22" s="101">
        <v>0.13258606647106591</v>
      </c>
      <c r="F22" s="101">
        <v>0.13258606647106591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5.7343604999999999E-2</v>
      </c>
    </row>
    <row r="27" spans="1:8" ht="15.75" customHeight="1" x14ac:dyDescent="0.25">
      <c r="B27" s="19" t="s">
        <v>108</v>
      </c>
      <c r="C27" s="101">
        <v>1.4167997E-2</v>
      </c>
    </row>
    <row r="28" spans="1:8" ht="15.75" customHeight="1" x14ac:dyDescent="0.25">
      <c r="B28" s="19" t="s">
        <v>122</v>
      </c>
      <c r="C28" s="101">
        <v>0.101559973</v>
      </c>
    </row>
    <row r="29" spans="1:8" ht="15.75" customHeight="1" x14ac:dyDescent="0.25">
      <c r="B29" s="19" t="s">
        <v>105</v>
      </c>
      <c r="C29" s="101">
        <v>0.21960849700000001</v>
      </c>
    </row>
    <row r="30" spans="1:8" ht="15.75" customHeight="1" x14ac:dyDescent="0.25">
      <c r="B30" s="19" t="s">
        <v>4</v>
      </c>
      <c r="C30" s="101">
        <v>5.5062585999999997E-2</v>
      </c>
    </row>
    <row r="31" spans="1:8" ht="15.75" customHeight="1" x14ac:dyDescent="0.25">
      <c r="B31" s="19" t="s">
        <v>99</v>
      </c>
      <c r="C31" s="101">
        <v>0.14229177300000001</v>
      </c>
    </row>
    <row r="32" spans="1:8" ht="15.75" customHeight="1" x14ac:dyDescent="0.25">
      <c r="B32" s="19" t="s">
        <v>104</v>
      </c>
      <c r="C32" s="101">
        <v>3.0837276E-2</v>
      </c>
    </row>
    <row r="33" spans="2:3" ht="15.75" customHeight="1" x14ac:dyDescent="0.25">
      <c r="B33" s="19" t="s">
        <v>119</v>
      </c>
      <c r="C33" s="101">
        <v>8.2024560999999996E-2</v>
      </c>
    </row>
    <row r="34" spans="2:3" ht="15.75" customHeight="1" x14ac:dyDescent="0.25">
      <c r="B34" s="19" t="s">
        <v>106</v>
      </c>
      <c r="C34" s="101">
        <v>0.29710373299999998</v>
      </c>
    </row>
    <row r="35" spans="2:3" ht="15.75" customHeight="1" x14ac:dyDescent="0.25">
      <c r="B35" s="27" t="s">
        <v>79</v>
      </c>
      <c r="C35" s="48">
        <f>SUM(C26:C34)</f>
        <v>1.0000000010000001</v>
      </c>
    </row>
  </sheetData>
  <sheetProtection algorithmName="SHA-512" hashValue="MzN6LAuUdV2avb8YtM6HvCasRv9b+/VmO4AVGHqKmuDsbppLec5NkdiuKUmouB5+s7XRH+FirBbUhn0J7bjIWg==" saltValue="DWSplAJh3+CQUeMfQo+UG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129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125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126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138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0.40415045649999998</v>
      </c>
      <c r="D14" s="54">
        <v>0.37718054182999999</v>
      </c>
      <c r="E14" s="54">
        <v>0.37718054182999999</v>
      </c>
      <c r="F14" s="54">
        <v>0.19508714863900001</v>
      </c>
      <c r="G14" s="54">
        <v>0.19508714863900001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0.22212432409605198</v>
      </c>
      <c r="D15" s="52">
        <f t="shared" si="0"/>
        <v>0.20730144323410263</v>
      </c>
      <c r="E15" s="52">
        <f t="shared" si="0"/>
        <v>0.20730144323410263</v>
      </c>
      <c r="F15" s="52">
        <f t="shared" si="0"/>
        <v>0.10722145758918351</v>
      </c>
      <c r="G15" s="52">
        <f t="shared" si="0"/>
        <v>0.10722145758918351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IfSJ09aXkZNJMoekngvjYaEDhd993XK3waogoP7L8UHGc6hOmkO79NW11dqthX/RnFec6gdfEnIhh5Ti0anyw==" saltValue="xQ86z829XXUotsa2YU3S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0.18827609999999995</v>
      </c>
      <c r="D5" s="52">
        <f t="shared" si="0"/>
        <v>0.28117159999999997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OyD1Crh69HH/HqLLFnbVY6davAW5kpR9z621/Mv8cKHqOWbJg3r4zl8Y8avwz4UoNB+lr5ytyqJYiTrjJGzqqw==" saltValue="hDObTAQY7nu4ALwjy6Hxs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Dr2boGchUpOTQ75C7g1Ci+Erqna2+atJGfKnKYDFGPt7M0QBwHNKVSHsuLAZdJX0lsqAOd7ckQ4tOIhj5CZJ/Q==" saltValue="d6yqTrkC1lUFnwbcQSAMb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5858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0.49323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0.4975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1.5073370616963193E-2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98187.516879999996</v>
      </c>
      <c r="C22" s="109">
        <v>98063.925740000006</v>
      </c>
      <c r="D22" s="109">
        <v>97899.079700000002</v>
      </c>
      <c r="E22" s="109">
        <v>97512.601219999997</v>
      </c>
      <c r="F22" s="109">
        <v>97109.91532</v>
      </c>
      <c r="G22" s="109">
        <v>96197.344419999994</v>
      </c>
      <c r="H22" s="109">
        <v>94988.565659999993</v>
      </c>
      <c r="I22" s="109">
        <v>93916.249500000005</v>
      </c>
      <c r="J22" s="109">
        <v>92430.936029999997</v>
      </c>
      <c r="K22" s="109">
        <v>90047.200519999999</v>
      </c>
      <c r="L22" s="109">
        <v>86944.829240000006</v>
      </c>
      <c r="M22" s="109">
        <v>80406.875700000004</v>
      </c>
      <c r="N22" s="109">
        <v>73005.100420000002</v>
      </c>
      <c r="O22" s="109">
        <v>64385.958550000003</v>
      </c>
    </row>
  </sheetData>
  <sheetProtection algorithmName="SHA-512" hashValue="bsmramaJ8+5CBpF4hNHoiUsrNHBhaTNKEQIGL03fo5og+JlnwYDIWK2jPg0wM8osqRf4ryPTMR88VA0CTfydPA==" saltValue="FpFJ/9WF/eeBM1GciUatj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Zz+fGZbbAsK38f4KpiJsdQ4i89Nf3vVWOnTigGEZfCreBzcFXZ/3cNDgKmVNUOeTjis9rcxb2pPbiZBGoG75Tw==" saltValue="9LNUf0SlSOqbPsfdLZ0dL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c2WMX78zeXTlDkWex3vVEs3SXJI+7OQP2+cBdnf+jo/RoB/D8uwVVURF2anTUWKsmMLz6JeokzNFlvDj8BfNXA==" saltValue="VeQphG1TNxuD+TDrLybCK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21.195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0.44994896638918952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1.516970800969268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0.32855565777368906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13.25939284886182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13.25939284886182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13.25939284886182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13.25939284886182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13.25939284886182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13.25939284886182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5.8835597567123799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0.32122916666666701</v>
      </c>
      <c r="C17" s="98">
        <v>0.95</v>
      </c>
      <c r="D17" s="56">
        <v>0.14000000000000001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7.7588900000000002E-2</v>
      </c>
      <c r="C18" s="98">
        <v>0.95</v>
      </c>
      <c r="D18" s="56">
        <v>21.195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7.7588900000000002E-2</v>
      </c>
      <c r="C19" s="98">
        <v>0.95</v>
      </c>
      <c r="D19" s="56">
        <v>13.483785833565429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21.195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3.9129999999999998E-3</v>
      </c>
      <c r="C23" s="98">
        <v>0.95</v>
      </c>
      <c r="D23" s="56">
        <v>4.4338460403923747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0.66624536519805999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4.4421306161984946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9.2958524157825622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0.45581739999999998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0.23215369999999999</v>
      </c>
      <c r="C29" s="98">
        <v>0.95</v>
      </c>
      <c r="D29" s="56">
        <v>206.81375092158379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124.66848615801089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123.05968780269725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1.5917274986535743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0.72116230000000003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0.12046129999999999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5.8989100000000003E-2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0.80314839999999998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2.4500000000000002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JDwUH1PlCKf4m2BDk6JKmN62EACxmEdG/nVnybsKP/Iar6nlEfZJnR0Q2ymO2CThFPaWctgt7L5j4A9zf3j5mg==" saltValue="aoqo3pH7yEk4CM0Cds7q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qoHYeUr40YVUdrUu6lX4/O4siwoRTsHpmu8gW0iP+7IaaCaiSzcPbXmEdXr7eqP2P5h+C1kIN40z4dwqSLrKNg==" saltValue="/N9+n1jiGadwt4S4ytYpp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cO0MGowTakM8yQH2fz8bb/ZhDzTCxshgChonW5igK9A54UKmWOW5gb935Tryz5kJ5tt8LKVTQAdfXt/P0ZX5Cw==" saltValue="+xCVtLWEkTByJNwQca/QX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3.2</v>
      </c>
      <c r="C2" s="21">
        <f>'Entradas de población-año base'!C52</f>
        <v>3.2</v>
      </c>
      <c r="D2" s="21">
        <f>'Entradas de población-año base'!C53</f>
        <v>3.2</v>
      </c>
      <c r="E2" s="21">
        <f>'Entradas de población-año base'!C54</f>
        <v>3.2</v>
      </c>
      <c r="F2" s="21">
        <f>'Entradas de población-año base'!C55</f>
        <v>3.2</v>
      </c>
    </row>
    <row r="3" spans="1:6" ht="15.75" customHeight="1" x14ac:dyDescent="0.25">
      <c r="A3" s="3" t="s">
        <v>6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236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sheetProtection algorithmName="SHA-512" hashValue="NJush5YFFodVa9T+OSKiATAufd/eJnAntLpqdn96IehIRqGO3oOES9prsBApO2jeUJj9yDynqKj6rI74zlO4kw==" saltValue="z/YBmCUSTEVuQB02flIlZ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0.23400000000000001</v>
      </c>
      <c r="F2" s="60">
        <f>food_insecure</f>
        <v>0.23400000000000001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0.23400000000000001</v>
      </c>
      <c r="I15" s="60">
        <f t="shared" si="0"/>
        <v>0.23400000000000001</v>
      </c>
      <c r="J15" s="60">
        <f t="shared" si="0"/>
        <v>0.23400000000000001</v>
      </c>
      <c r="K15" s="60">
        <f t="shared" si="0"/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0.23400000000000001</v>
      </c>
      <c r="I16" s="60">
        <f t="shared" si="0"/>
        <v>0.23400000000000001</v>
      </c>
      <c r="J16" s="60">
        <f t="shared" si="0"/>
        <v>0.23400000000000001</v>
      </c>
      <c r="K16" s="60">
        <f t="shared" si="0"/>
        <v>0.23400000000000001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0.28432334450000002</v>
      </c>
      <c r="M24" s="60">
        <f>famplan_unmet_need</f>
        <v>0.28432334450000002</v>
      </c>
      <c r="N24" s="60">
        <f>famplan_unmet_need</f>
        <v>0.28432334450000002</v>
      </c>
      <c r="O24" s="60">
        <f>famplan_unmet_need</f>
        <v>0.28432334450000002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0.194305624688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8.3273839152000012E-2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8.2819736160000004E-2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0.63960079999999997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oYPNGUSWBpi+udNT1+lG150671WaZ/bM530coTZkSop8ZKfsiQVhn0BkhkdrJBM8lhkSyfOsXPDZx8aDo8mAg==" saltValue="Yt2Cvd37z3EFpWw/tKZCY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mVFuzYPNYpYz5YtTYHIFE+/SyUjuQfG+1KPxI9kVRSM846FEm6BgZfxvFne3BWPfR/kyNAaWU2D2bGC6ZndMPA==" saltValue="9p4/YqyDtle/xwzOG0ypS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SNRFE9StNNZJ0eAuieYUizaRpRlf0MBz/Rk5GhQpr+w4N6fD70pWLe35L9dRK7FuupHEhdv3l0NOj4iyG+qO7A==" saltValue="9X5OdthDCu26+GAPB+xtc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K/PY4gmii+ZAOSMoEBZ0wLWWRQp8T+AfLZvfi2yzyh7EB2oqAQsir99zTEaXFTVzzgvD/7pcx+9TSVubBalTw==" saltValue="IdFPoANX/I10YoIJJedEW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Fp5cKYVYgqfgA/3zLjMgCG1NHZ0nkpIyP14B+7v94Slw1nJafXS4RkHdLsp8uKq/xVzCL6rMuVoP6l3JzHtqmQ==" saltValue="svB6yaQnt3LGbd1VPsarY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VSjzyI47jckqG6A2qxoouEb5X9r/c+RCFgvo6GnKZanm17YIXBqnC/M2EDMyQP/6rJpI42UNiKOy1T71ap+NDw==" saltValue="zn3q+V2mw7YVYKZ+IshtO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WUZYa0uKQzMIpNidOpty7emAToA4uTiA/YarHm8pdlVQPyPcUiN3OowJ1KFopxh3ZqwA+wc3e6CITKJFYtwuw==" saltValue="nejc9MUqEhFZF5JmpTq4n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9RFsgKMmDKb+kEafD8TBdOdMh69X6wbdVgPjQwe+bJlHjrJ+AS6mPGmjzFBNubHUZMwnHlEamwZBaEC/WT/XYw==" saltValue="5Fxwr0MWAZ4cWWQ4aNGW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rNGHhG5tTPE7ayEKTc8Ja1DxK/lUIjsU8hqj+efe7TPAMKwzzlUBtCrYSAJ4vMDwNvtQtYN80V/HY3ftoGvrgQ==" saltValue="qY57yv608hQAN9c2hzXo3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TNLiyL5zzTT/r1Q6QEH8Q93UVJcAdHFY8QTXAn2dqOvOKCQ4acL82VWr68p6r2XAmSORunqlH1HrJ8TvwBPrOg==" saltValue="BkC/n63GkECl3ItptVt8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oNjG0044ie+Z0Du1cQmo6EcTslYEJCkJh5wt6JGk9oxKmE8MjLNyZXKZl+3l+szAHLuqFC15BKFF2eTBUUkrA==" saltValue="MBMTCMGX1gEi+OOXyRYI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sOV1curfUAOFk6ry3U41084EHwltHFFE2Z+dIw6K8YGKvG80z7xdZOjWZHmRddUK5BAo25PILBgQQfUxZFKDw==" saltValue="KlqfXMmuuYtldawyfj2X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deIllEbKXC1I2CVi9HaqOY41PHw9M5XF3NtAu+qWJrXqqLPGawMMfwdVJJod9T5myZ8YMrsAjnE/tTkoAzqOQ==" saltValue="9038fGPZU+FPy3gBJZiWt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m1d1hPY0TESJ0STbrDULNnDMJoxuS1ek9NcnyLYOIj38xa6PJK8t5xYJ6QVOkOEQmdLjYAYw+o/RpueeT0Qbg==" saltValue="25CSvAAcfIWP4jnozPGH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A/PR+BUZIqm6RwW/wSPT/0lq36ftgThESX05pYEGt4HsGeyiGVuPI6O0NAJhX4tvVAuPNYA/TT39H+aIul1u4Q==" saltValue="RRAV8hr5jwcQjc1+hpQ9s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2025-07-08T03:39:32Z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