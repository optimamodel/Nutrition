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7795B8F0-506C-42B5-A375-81268D3ED2EA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<sst xmlns="http://schemas.openxmlformats.org/spreadsheetml/2006/main" count="2102" uniqueCount="341">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</sst>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54304.55419921875</v>
      </c>
    </row>
    <row r="8" spans="1:3" ht="15" customHeight="1" x14ac:dyDescent="0.25">
      <c r="B8" s="5" t="s">
        <v>44</v>
      </c>
      <c r="C8" s="44">
        <v>0.23400000000000001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0.64718109130859403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0.26800000000000002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9.8800000000000013E-2</v>
      </c>
    </row>
    <row r="24" spans="1:3" ht="15" customHeight="1" x14ac:dyDescent="0.25">
      <c r="B24" s="15" t="s">
        <v>46</v>
      </c>
      <c r="C24" s="45">
        <v>0.50419999999999998</v>
      </c>
    </row>
    <row r="25" spans="1:3" ht="15" customHeight="1" x14ac:dyDescent="0.25">
      <c r="B25" s="15" t="s">
        <v>47</v>
      </c>
      <c r="C25" s="45">
        <v>0.33889999999999998</v>
      </c>
    </row>
    <row r="26" spans="1:3" ht="15" customHeight="1" x14ac:dyDescent="0.25">
      <c r="B26" s="15" t="s">
        <v>48</v>
      </c>
      <c r="C26" s="45">
        <v>5.8099999999999999E-2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0.34994163924792399</v>
      </c>
    </row>
    <row r="30" spans="1:3" ht="14.25" customHeight="1" x14ac:dyDescent="0.25">
      <c r="B30" s="25" t="s">
        <v>63</v>
      </c>
      <c r="C30" s="99">
        <v>0.10516916316476101</v>
      </c>
    </row>
    <row r="31" spans="1:3" ht="14.25" customHeight="1" x14ac:dyDescent="0.25">
      <c r="B31" s="25" t="s">
        <v>10</v>
      </c>
      <c r="C31" s="99">
        <v>8.4505866375242988E-2</v>
      </c>
    </row>
    <row r="32" spans="1:3" ht="14.25" customHeight="1" x14ac:dyDescent="0.25">
      <c r="B32" s="25" t="s">
        <v>11</v>
      </c>
      <c r="C32" s="99">
        <v>0.46038333121207198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10.659739999999999</v>
      </c>
    </row>
    <row r="38" spans="1:5" ht="15" customHeight="1" x14ac:dyDescent="0.25">
      <c r="B38" s="11" t="s">
        <v>35</v>
      </c>
      <c r="C38" s="43">
        <v>15.35069</v>
      </c>
      <c r="D38" s="12"/>
      <c r="E38" s="13"/>
    </row>
    <row r="39" spans="1:5" ht="15" customHeight="1" x14ac:dyDescent="0.25">
      <c r="B39" s="11" t="s">
        <v>61</v>
      </c>
      <c r="C39" s="43">
        <v>17.175809999999998</v>
      </c>
      <c r="D39" s="12"/>
      <c r="E39" s="12"/>
    </row>
    <row r="40" spans="1:5" ht="15" customHeight="1" x14ac:dyDescent="0.25">
      <c r="B40" s="11" t="s">
        <v>36</v>
      </c>
      <c r="C40" s="100">
        <v>0.96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10.94176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1.09351E-2</v>
      </c>
      <c r="D45" s="12"/>
    </row>
    <row r="46" spans="1:5" ht="15.75" customHeight="1" x14ac:dyDescent="0.25">
      <c r="B46" s="11" t="s">
        <v>51</v>
      </c>
      <c r="C46" s="45">
        <v>0.1174965</v>
      </c>
      <c r="D46" s="12"/>
    </row>
    <row r="47" spans="1:5" ht="15.75" customHeight="1" x14ac:dyDescent="0.25">
      <c r="B47" s="11" t="s">
        <v>59</v>
      </c>
      <c r="C47" s="45">
        <v>7.0600399999999994E-2</v>
      </c>
      <c r="D47" s="12"/>
      <c r="E47" s="13"/>
    </row>
    <row r="48" spans="1:5" ht="15" customHeight="1" x14ac:dyDescent="0.25">
      <c r="B48" s="11" t="s">
        <v>58</v>
      </c>
      <c r="C48" s="46">
        <v>0.80096800000000001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0.54960799999999999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0.14658528000000001</v>
      </c>
    </row>
    <row r="63" spans="1:4" ht="15.75" customHeight="1" x14ac:dyDescent="0.3">
      <c r="A63" s="4"/>
    </row>
  </sheetData>
  <sheetProtection algorithmName="SHA-512" hashValue="ST2otHRV7A7WY+cY3oyAnV0zTQQHl6EADfTf7FRINSb1nhIK0S6TkyX7uZeFXTFo40UA3+2dZn1PTlzXycjg6g==" saltValue="gaxuV61d8RijJTW0LQQN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11075</v>
      </c>
      <c r="C2" s="49">
        <v>32188.5</v>
      </c>
      <c r="D2" s="49">
        <v>51575.5</v>
      </c>
      <c r="E2" s="49">
        <v>43214.5</v>
      </c>
      <c r="F2" s="49">
        <v>33646</v>
      </c>
      <c r="G2" s="17">
        <f t="shared" ref="G2:G13" si="0">C2+D2+E2+F2</f>
        <v>160624.5</v>
      </c>
      <c r="H2" s="17">
        <f t="shared" ref="H2:H13" si="1">(B2 + stillbirth*B2/(1000-stillbirth))/(1-abortion)</f>
        <v>12724.455207741126</v>
      </c>
      <c r="I2" s="17">
        <f t="shared" ref="I2:I13" si="2">G2-H2</f>
        <v>147900.04479225888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11029</v>
      </c>
      <c r="C3" s="50">
        <v>31998</v>
      </c>
      <c r="D3" s="50">
        <v>52140.5</v>
      </c>
      <c r="E3" s="50">
        <v>43450.5</v>
      </c>
      <c r="F3" s="50">
        <v>34272.999999999993</v>
      </c>
      <c r="G3" s="17">
        <f t="shared" si="0"/>
        <v>161862</v>
      </c>
      <c r="H3" s="17">
        <f t="shared" si="1"/>
        <v>12671.604197397462</v>
      </c>
      <c r="I3" s="17">
        <f t="shared" si="2"/>
        <v>149190.39580260255</v>
      </c>
    </row>
    <row r="4" spans="1:9" ht="15.75" customHeight="1" x14ac:dyDescent="0.25">
      <c r="A4" s="5">
        <f t="shared" si="3"/>
        <v>2026</v>
      </c>
      <c r="B4" s="49">
        <v>10995</v>
      </c>
      <c r="C4" s="50">
        <v>31830</v>
      </c>
      <c r="D4" s="50">
        <v>52531</v>
      </c>
      <c r="E4" s="50">
        <v>43860</v>
      </c>
      <c r="F4" s="50">
        <v>34976.5</v>
      </c>
      <c r="G4" s="17">
        <f t="shared" si="0"/>
        <v>163197.5</v>
      </c>
      <c r="H4" s="17">
        <f t="shared" si="1"/>
        <v>12632.540407143448</v>
      </c>
      <c r="I4" s="17">
        <f t="shared" si="2"/>
        <v>150564.95959285655</v>
      </c>
    </row>
    <row r="5" spans="1:9" ht="15.75" customHeight="1" x14ac:dyDescent="0.25">
      <c r="A5" s="5">
        <f t="shared" si="3"/>
        <v>2027</v>
      </c>
      <c r="B5" s="49">
        <v>10952</v>
      </c>
      <c r="C5" s="50">
        <v>31690</v>
      </c>
      <c r="D5" s="50">
        <v>52767</v>
      </c>
      <c r="E5" s="50">
        <v>44426</v>
      </c>
      <c r="F5" s="50">
        <v>35633.5</v>
      </c>
      <c r="G5" s="17">
        <f t="shared" si="0"/>
        <v>164516.5</v>
      </c>
      <c r="H5" s="17">
        <f t="shared" si="1"/>
        <v>12583.136201822195</v>
      </c>
      <c r="I5" s="17">
        <f t="shared" si="2"/>
        <v>151933.3637981778</v>
      </c>
    </row>
    <row r="6" spans="1:9" ht="15.75" customHeight="1" x14ac:dyDescent="0.25">
      <c r="A6" s="5">
        <f t="shared" si="3"/>
        <v>2028</v>
      </c>
      <c r="B6" s="49">
        <v>10917</v>
      </c>
      <c r="C6" s="50">
        <v>31585</v>
      </c>
      <c r="D6" s="50">
        <v>52848.5</v>
      </c>
      <c r="E6" s="50">
        <v>45121</v>
      </c>
      <c r="F6" s="50">
        <v>36177.5</v>
      </c>
      <c r="G6" s="17">
        <f t="shared" si="0"/>
        <v>165732</v>
      </c>
      <c r="H6" s="17">
        <f t="shared" si="1"/>
        <v>12542.923476560711</v>
      </c>
      <c r="I6" s="17">
        <f t="shared" si="2"/>
        <v>153189.07652343929</v>
      </c>
    </row>
    <row r="7" spans="1:9" ht="15.75" customHeight="1" x14ac:dyDescent="0.25">
      <c r="A7" s="5">
        <f t="shared" si="3"/>
        <v>2029</v>
      </c>
      <c r="B7" s="49">
        <v>10912</v>
      </c>
      <c r="C7" s="50">
        <v>31516.5</v>
      </c>
      <c r="D7" s="50">
        <v>52797</v>
      </c>
      <c r="E7" s="50">
        <v>45909.5</v>
      </c>
      <c r="F7" s="50">
        <v>36634.5</v>
      </c>
      <c r="G7" s="17">
        <f t="shared" si="0"/>
        <v>166857.5</v>
      </c>
      <c r="H7" s="17">
        <f t="shared" si="1"/>
        <v>12537.178801523356</v>
      </c>
      <c r="I7" s="17">
        <f t="shared" si="2"/>
        <v>154320.32119847665</v>
      </c>
    </row>
    <row r="8" spans="1:9" ht="15.75" customHeight="1" x14ac:dyDescent="0.25">
      <c r="A8" s="5">
        <f t="shared" si="3"/>
        <v>2030</v>
      </c>
      <c r="B8" s="49">
        <v>10889</v>
      </c>
      <c r="C8" s="50">
        <v>31475.5</v>
      </c>
      <c r="D8" s="50">
        <v>52677</v>
      </c>
      <c r="E8" s="50">
        <v>46737</v>
      </c>
      <c r="F8" s="50">
        <v>37004.5</v>
      </c>
      <c r="G8" s="17">
        <f t="shared" si="0"/>
        <v>167894</v>
      </c>
      <c r="H8" s="17">
        <f t="shared" si="1"/>
        <v>12510.753296351522</v>
      </c>
      <c r="I8" s="17">
        <f t="shared" si="2"/>
        <v>155383.24670364847</v>
      </c>
    </row>
    <row r="9" spans="1:9" ht="15.75" customHeight="1" x14ac:dyDescent="0.25">
      <c r="A9" s="5">
        <f t="shared" si="3"/>
        <v>2031</v>
      </c>
      <c r="B9" s="49">
        <v>10833</v>
      </c>
      <c r="C9" s="50">
        <v>31459</v>
      </c>
      <c r="D9" s="50">
        <v>52537.5</v>
      </c>
      <c r="E9" s="50">
        <v>47564</v>
      </c>
      <c r="F9" s="50">
        <v>37271.5</v>
      </c>
      <c r="G9" s="17">
        <f t="shared" si="0"/>
        <v>168832</v>
      </c>
      <c r="H9" s="17">
        <f t="shared" si="1"/>
        <v>12446.412935933149</v>
      </c>
      <c r="I9" s="17">
        <f t="shared" si="2"/>
        <v>156385.58706406684</v>
      </c>
    </row>
    <row r="10" spans="1:9" ht="15.75" customHeight="1" x14ac:dyDescent="0.25">
      <c r="A10" s="5">
        <f t="shared" si="3"/>
        <v>2032</v>
      </c>
      <c r="B10" s="49">
        <v>10803</v>
      </c>
      <c r="C10" s="50">
        <v>31464.5</v>
      </c>
      <c r="D10" s="50">
        <v>52367</v>
      </c>
      <c r="E10" s="50">
        <v>48399</v>
      </c>
      <c r="F10" s="50">
        <v>37411</v>
      </c>
      <c r="G10" s="17">
        <f t="shared" si="0"/>
        <v>169641.5</v>
      </c>
      <c r="H10" s="17">
        <f t="shared" si="1"/>
        <v>12411.944885709019</v>
      </c>
      <c r="I10" s="17">
        <f t="shared" si="2"/>
        <v>157229.55511429097</v>
      </c>
    </row>
    <row r="11" spans="1:9" ht="15.75" customHeight="1" x14ac:dyDescent="0.25">
      <c r="A11" s="5">
        <f t="shared" si="3"/>
        <v>2033</v>
      </c>
      <c r="B11" s="49">
        <v>10747</v>
      </c>
      <c r="C11" s="50">
        <v>31485.5</v>
      </c>
      <c r="D11" s="50">
        <v>52167.5</v>
      </c>
      <c r="E11" s="50">
        <v>49210</v>
      </c>
      <c r="F11" s="50">
        <v>37429</v>
      </c>
      <c r="G11" s="17">
        <f t="shared" si="0"/>
        <v>170292</v>
      </c>
      <c r="H11" s="17">
        <f t="shared" si="1"/>
        <v>12347.604525290644</v>
      </c>
      <c r="I11" s="17">
        <f t="shared" si="2"/>
        <v>157944.39547470937</v>
      </c>
    </row>
    <row r="12" spans="1:9" ht="15.75" customHeight="1" x14ac:dyDescent="0.25">
      <c r="A12" s="5">
        <f t="shared" si="3"/>
        <v>2034</v>
      </c>
      <c r="B12" s="49">
        <v>10703</v>
      </c>
      <c r="C12" s="50">
        <v>31525</v>
      </c>
      <c r="D12" s="50">
        <v>51953.5</v>
      </c>
      <c r="E12" s="50">
        <v>49929</v>
      </c>
      <c r="F12" s="50">
        <v>37427</v>
      </c>
      <c r="G12" s="17">
        <f t="shared" si="0"/>
        <v>170834.5</v>
      </c>
      <c r="H12" s="17">
        <f t="shared" si="1"/>
        <v>12297.051384961922</v>
      </c>
      <c r="I12" s="17">
        <f t="shared" si="2"/>
        <v>158537.44861503807</v>
      </c>
    </row>
    <row r="13" spans="1:9" ht="15.75" customHeight="1" x14ac:dyDescent="0.25">
      <c r="A13" s="5">
        <f t="shared" si="3"/>
        <v>2035</v>
      </c>
      <c r="B13" s="49">
        <v>10639</v>
      </c>
      <c r="C13" s="50">
        <v>31582.5</v>
      </c>
      <c r="D13" s="50">
        <v>51749</v>
      </c>
      <c r="E13" s="50">
        <v>50493</v>
      </c>
      <c r="F13" s="50">
        <v>37524</v>
      </c>
      <c r="G13" s="17">
        <f t="shared" si="0"/>
        <v>171348.5</v>
      </c>
      <c r="H13" s="17">
        <f t="shared" si="1"/>
        <v>12223.519544483779</v>
      </c>
      <c r="I13" s="17">
        <f t="shared" si="2"/>
        <v>159124.98045551623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Uk5SbRW48+0232j8iEoD3R88mAuNJ+dUstj+zxgDQM62VE9cgHQm8CVpx6rI0CAxb6yQ7Pe205dIqPS682Z5w==" saltValue="tV4pU4ZWAceXEAqO0F3Nq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0.15451909999999969</v>
      </c>
    </row>
    <row r="5" spans="1:8" ht="15.75" customHeight="1" x14ac:dyDescent="0.25">
      <c r="B5" s="19" t="s">
        <v>95</v>
      </c>
      <c r="C5" s="101">
        <v>4.2198999999999926E-3</v>
      </c>
    </row>
    <row r="6" spans="1:8" ht="15.75" customHeight="1" x14ac:dyDescent="0.25">
      <c r="B6" s="19" t="s">
        <v>91</v>
      </c>
      <c r="C6" s="101">
        <v>0.19492200000000021</v>
      </c>
    </row>
    <row r="7" spans="1:8" ht="15.75" customHeight="1" x14ac:dyDescent="0.25">
      <c r="B7" s="19" t="s">
        <v>96</v>
      </c>
      <c r="C7" s="101">
        <v>0.42669009999999979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0.16146820000000039</v>
      </c>
    </row>
    <row r="10" spans="1:8" ht="15.75" customHeight="1" x14ac:dyDescent="0.25">
      <c r="B10" s="19" t="s">
        <v>94</v>
      </c>
      <c r="C10" s="101">
        <v>5.8180699999999898E-2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6.2116492322683313E-2</v>
      </c>
      <c r="D14" s="55">
        <v>6.2116492322683313E-2</v>
      </c>
      <c r="E14" s="55">
        <v>6.2116492322683313E-2</v>
      </c>
      <c r="F14" s="55">
        <v>6.2116492322683313E-2</v>
      </c>
    </row>
    <row r="15" spans="1:8" ht="15.75" customHeight="1" x14ac:dyDescent="0.25">
      <c r="B15" s="19" t="s">
        <v>102</v>
      </c>
      <c r="C15" s="101">
        <v>0.29688997844133608</v>
      </c>
      <c r="D15" s="101">
        <v>0.29688997844133608</v>
      </c>
      <c r="E15" s="101">
        <v>0.29688997844133608</v>
      </c>
      <c r="F15" s="101">
        <v>0.29688997844133608</v>
      </c>
    </row>
    <row r="16" spans="1:8" ht="15.75" customHeight="1" x14ac:dyDescent="0.25">
      <c r="B16" s="19" t="s">
        <v>2</v>
      </c>
      <c r="C16" s="101">
        <v>5.627712966098989E-2</v>
      </c>
      <c r="D16" s="101">
        <v>5.627712966098989E-2</v>
      </c>
      <c r="E16" s="101">
        <v>5.627712966098989E-2</v>
      </c>
      <c r="F16" s="101">
        <v>5.627712966098989E-2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79</v>
      </c>
      <c r="C20" s="101">
        <v>6.7017783841196291E-2</v>
      </c>
      <c r="D20" s="101">
        <v>6.7017783841196291E-2</v>
      </c>
      <c r="E20" s="101">
        <v>6.7017783841196291E-2</v>
      </c>
      <c r="F20" s="101">
        <v>6.7017783841196291E-2</v>
      </c>
    </row>
    <row r="21" spans="1:8" ht="15.75" customHeight="1" x14ac:dyDescent="0.25">
      <c r="B21" s="19" t="s">
        <v>88</v>
      </c>
      <c r="C21" s="101">
        <v>0.38511254926272848</v>
      </c>
      <c r="D21" s="101">
        <v>0.38511254926272848</v>
      </c>
      <c r="E21" s="101">
        <v>0.38511254926272848</v>
      </c>
      <c r="F21" s="101">
        <v>0.38511254926272848</v>
      </c>
    </row>
    <row r="22" spans="1:8" ht="15.75" customHeight="1" x14ac:dyDescent="0.25">
      <c r="B22" s="19" t="s">
        <v>99</v>
      </c>
      <c r="C22" s="101">
        <v>0.13258606647106591</v>
      </c>
      <c r="D22" s="101">
        <v>0.13258606647106591</v>
      </c>
      <c r="E22" s="101">
        <v>0.13258606647106591</v>
      </c>
      <c r="F22" s="101">
        <v>0.13258606647106591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5.7343604999999999E-2</v>
      </c>
    </row>
    <row r="27" spans="1:8" ht="15.75" customHeight="1" x14ac:dyDescent="0.25">
      <c r="B27" s="19" t="s">
        <v>89</v>
      </c>
      <c r="C27" s="101">
        <v>1.4167997E-2</v>
      </c>
    </row>
    <row r="28" spans="1:8" ht="15.75" customHeight="1" x14ac:dyDescent="0.25">
      <c r="B28" s="19" t="s">
        <v>103</v>
      </c>
      <c r="C28" s="101">
        <v>0.101559973</v>
      </c>
    </row>
    <row r="29" spans="1:8" ht="15.75" customHeight="1" x14ac:dyDescent="0.25">
      <c r="B29" s="19" t="s">
        <v>86</v>
      </c>
      <c r="C29" s="101">
        <v>0.21960849700000001</v>
      </c>
    </row>
    <row r="30" spans="1:8" ht="15.75" customHeight="1" x14ac:dyDescent="0.25">
      <c r="B30" s="19" t="s">
        <v>4</v>
      </c>
      <c r="C30" s="101">
        <v>5.5062585999999997E-2</v>
      </c>
    </row>
    <row r="31" spans="1:8" ht="15.75" customHeight="1" x14ac:dyDescent="0.25">
      <c r="B31" s="19" t="s">
        <v>80</v>
      </c>
      <c r="C31" s="101">
        <v>0.14229177300000001</v>
      </c>
    </row>
    <row r="32" spans="1:8" ht="15.75" customHeight="1" x14ac:dyDescent="0.25">
      <c r="B32" s="19" t="s">
        <v>85</v>
      </c>
      <c r="C32" s="101">
        <v>3.0837276E-2</v>
      </c>
    </row>
    <row r="33" spans="2:3" ht="15.75" customHeight="1" x14ac:dyDescent="0.25">
      <c r="B33" s="19" t="s">
        <v>100</v>
      </c>
      <c r="C33" s="101">
        <v>8.2024560999999996E-2</v>
      </c>
    </row>
    <row r="34" spans="2:3" ht="15.75" customHeight="1" x14ac:dyDescent="0.25">
      <c r="B34" s="19" t="s">
        <v>87</v>
      </c>
      <c r="C34" s="101">
        <v>0.29710373299999998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0V0N6sJxtRIz38s5sTgcSfXVeHfwCriRN3tWuHIOAjZLng/CKHqk9WPOQimdrtw7vfsjYzFQfF47cjdEo88Dkg==" saltValue="H7cKCu+cfILutDBwPlLee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0.71787283692135273</v>
      </c>
      <c r="D2" s="52">
        <f>IFERROR(1-_xlfn.NORM.DIST(_xlfn.NORM.INV(SUM(D4:D5), 0, 1) + 1, 0, 1, TRUE), "")</f>
        <v>0.71787283692135273</v>
      </c>
      <c r="E2" s="52">
        <f>IFERROR(1-_xlfn.NORM.DIST(_xlfn.NORM.INV(SUM(E4:E5), 0, 1) + 1, 0, 1, TRUE), "")</f>
        <v>0.78835830343249902</v>
      </c>
      <c r="F2" s="52">
        <f>IFERROR(1-_xlfn.NORM.DIST(_xlfn.NORM.INV(SUM(F4:F5), 0, 1) + 1, 0, 1, TRUE), "")</f>
        <v>0.66194727070227766</v>
      </c>
      <c r="G2" s="52">
        <f>IFERROR(1-_xlfn.NORM.DIST(_xlfn.NORM.INV(SUM(G4:G5), 0, 1) + 1, 0, 1, TRUE), "")</f>
        <v>0.61735896378344113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0.22467576307864728</v>
      </c>
      <c r="D3" s="52">
        <f>IFERROR(_xlfn.NORM.DIST(_xlfn.NORM.INV(SUM(D4:D5), 0, 1) + 1, 0, 1, TRUE) - SUM(D4:D5), "")</f>
        <v>0.22467576307864728</v>
      </c>
      <c r="E3" s="52">
        <f>IFERROR(_xlfn.NORM.DIST(_xlfn.NORM.INV(SUM(E4:E5), 0, 1) + 1, 0, 1, TRUE) - SUM(E4:E5), "")</f>
        <v>0.17576959656750102</v>
      </c>
      <c r="F3" s="52">
        <f>IFERROR(_xlfn.NORM.DIST(_xlfn.NORM.INV(SUM(F4:F5), 0, 1) + 1, 0, 1, TRUE) - SUM(F4:F5), "")</f>
        <v>0.25992572929772234</v>
      </c>
      <c r="G3" s="52">
        <f>IFERROR(_xlfn.NORM.DIST(_xlfn.NORM.INV(SUM(G4:G5), 0, 1) + 1, 0, 1, TRUE) - SUM(G4:G5), "")</f>
        <v>0.28559213621655893</v>
      </c>
    </row>
    <row r="4" spans="1:15" ht="15.75" customHeight="1" x14ac:dyDescent="0.25">
      <c r="B4" s="5" t="s">
        <v>110</v>
      </c>
      <c r="C4" s="45">
        <v>4.59643E-2</v>
      </c>
      <c r="D4" s="53">
        <v>4.59643E-2</v>
      </c>
      <c r="E4" s="53">
        <v>1.7641E-2</v>
      </c>
      <c r="F4" s="53">
        <v>6.0780500000000001E-2</v>
      </c>
      <c r="G4" s="53">
        <v>7.2927099999999995E-2</v>
      </c>
    </row>
    <row r="5" spans="1:15" ht="15.75" customHeight="1" x14ac:dyDescent="0.25">
      <c r="B5" s="5" t="s">
        <v>106</v>
      </c>
      <c r="C5" s="45">
        <v>1.14871E-2</v>
      </c>
      <c r="D5" s="53">
        <v>1.14871E-2</v>
      </c>
      <c r="E5" s="53">
        <v>1.82311E-2</v>
      </c>
      <c r="F5" s="53">
        <v>1.7346500000000001E-2</v>
      </c>
      <c r="G5" s="53">
        <v>2.4121799999999999E-2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0.69811782303108516</v>
      </c>
      <c r="D8" s="52">
        <f>IFERROR(1-_xlfn.NORM.DIST(_xlfn.NORM.INV(SUM(D10:D11), 0, 1) + 1, 0, 1, TRUE), "")</f>
        <v>0.69811782303108516</v>
      </c>
      <c r="E8" s="52">
        <f>IFERROR(1-_xlfn.NORM.DIST(_xlfn.NORM.INV(SUM(E10:E11), 0, 1) + 1, 0, 1, TRUE), "")</f>
        <v>0.64641386601512119</v>
      </c>
      <c r="F8" s="52">
        <f>IFERROR(1-_xlfn.NORM.DIST(_xlfn.NORM.INV(SUM(F10:F11), 0, 1) + 1, 0, 1, TRUE), "")</f>
        <v>0.69113126197764607</v>
      </c>
      <c r="G8" s="52">
        <f>IFERROR(1-_xlfn.NORM.DIST(_xlfn.NORM.INV(SUM(G10:G11), 0, 1) + 1, 0, 1, TRUE), "")</f>
        <v>0.75698353047258626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0.23750027696891479</v>
      </c>
      <c r="D9" s="52">
        <f>IFERROR(_xlfn.NORM.DIST(_xlfn.NORM.INV(SUM(D10:D11), 0, 1) + 1, 0, 1, TRUE) - SUM(D10:D11), "")</f>
        <v>0.23750027696891479</v>
      </c>
      <c r="E9" s="52">
        <f>IFERROR(_xlfn.NORM.DIST(_xlfn.NORM.INV(SUM(E10:E11), 0, 1) + 1, 0, 1, TRUE) - SUM(E10:E11), "")</f>
        <v>0.26912213398487883</v>
      </c>
      <c r="F9" s="52">
        <f>IFERROR(_xlfn.NORM.DIST(_xlfn.NORM.INV(SUM(F10:F11), 0, 1) + 1, 0, 1, TRUE) - SUM(F10:F11), "")</f>
        <v>0.24193963802235391</v>
      </c>
      <c r="G9" s="52">
        <f>IFERROR(_xlfn.NORM.DIST(_xlfn.NORM.INV(SUM(G10:G11), 0, 1) + 1, 0, 1, TRUE) - SUM(G10:G11), "")</f>
        <v>0.19813336952741373</v>
      </c>
    </row>
    <row r="10" spans="1:15" ht="15.75" customHeight="1" x14ac:dyDescent="0.25">
      <c r="B10" s="5" t="s">
        <v>107</v>
      </c>
      <c r="C10" s="45">
        <v>4.1086900000000003E-2</v>
      </c>
      <c r="D10" s="53">
        <v>4.1086900000000003E-2</v>
      </c>
      <c r="E10" s="53">
        <v>7.7459300000000009E-2</v>
      </c>
      <c r="F10" s="53">
        <v>4.8488900000000001E-2</v>
      </c>
      <c r="G10" s="53">
        <v>3.8238800000000003E-2</v>
      </c>
    </row>
    <row r="11" spans="1:15" ht="15.75" customHeight="1" x14ac:dyDescent="0.25">
      <c r="B11" s="5" t="s">
        <v>119</v>
      </c>
      <c r="C11" s="45">
        <v>2.3295E-2</v>
      </c>
      <c r="D11" s="53">
        <v>2.3295E-2</v>
      </c>
      <c r="E11" s="53">
        <v>7.0047E-3</v>
      </c>
      <c r="F11" s="53">
        <v>1.84402E-2</v>
      </c>
      <c r="G11" s="53">
        <v>6.6442999999999997E-3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0.40415045649999998</v>
      </c>
      <c r="D14" s="54">
        <v>0.37718054182999999</v>
      </c>
      <c r="E14" s="54">
        <v>0.37718054182999999</v>
      </c>
      <c r="F14" s="54">
        <v>0.19508714863900001</v>
      </c>
      <c r="G14" s="54">
        <v>0.19508714863900001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0.23799999999999999</v>
      </c>
      <c r="M14" s="55">
        <v>0.23799999999999999</v>
      </c>
      <c r="N14" s="55">
        <v>0.23799999999999999</v>
      </c>
      <c r="O14" s="55">
        <v>0.23799999999999999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0.22212432409605198</v>
      </c>
      <c r="D15" s="52">
        <f t="shared" si="0"/>
        <v>0.20730144323410263</v>
      </c>
      <c r="E15" s="52">
        <f t="shared" si="0"/>
        <v>0.20730144323410263</v>
      </c>
      <c r="F15" s="52">
        <f t="shared" si="0"/>
        <v>0.10722145758918351</v>
      </c>
      <c r="G15" s="52">
        <f t="shared" si="0"/>
        <v>0.10722145758918351</v>
      </c>
      <c r="H15" s="52">
        <f t="shared" si="0"/>
        <v>0.16653122399999998</v>
      </c>
      <c r="I15" s="52">
        <f t="shared" si="0"/>
        <v>0.16653122399999998</v>
      </c>
      <c r="J15" s="52">
        <f t="shared" si="0"/>
        <v>0.16653122399999998</v>
      </c>
      <c r="K15" s="52">
        <f t="shared" si="0"/>
        <v>0.16653122399999998</v>
      </c>
      <c r="L15" s="52">
        <f t="shared" si="0"/>
        <v>0.130806704</v>
      </c>
      <c r="M15" s="52">
        <f t="shared" si="0"/>
        <v>0.130806704</v>
      </c>
      <c r="N15" s="52">
        <f t="shared" si="0"/>
        <v>0.130806704</v>
      </c>
      <c r="O15" s="52">
        <f t="shared" si="0"/>
        <v>0.130806704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NEgh+LK9xBAxY3uNjzevXHshodiweq1bDDBzWXTcjU4vD4FSs7r7m5S4UaS0DjgTTPbvANC5oXb45UWCOwBwkQ==" saltValue="B2KPxEcp4pxWLihowreI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0.16455739999999999</v>
      </c>
      <c r="D2" s="53">
        <v>7.7588900000000002E-2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0.2648297</v>
      </c>
      <c r="D3" s="53">
        <v>0.15188209999999999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0.38233679999999998</v>
      </c>
      <c r="D4" s="53">
        <v>0.48935740000000011</v>
      </c>
      <c r="E4" s="53">
        <v>0.47310200000000002</v>
      </c>
      <c r="F4" s="53">
        <v>0.22597100000000001</v>
      </c>
      <c r="G4" s="53">
        <v>0</v>
      </c>
    </row>
    <row r="5" spans="1:7" x14ac:dyDescent="0.25">
      <c r="B5" s="3" t="s">
        <v>125</v>
      </c>
      <c r="C5" s="52">
        <v>0.1882762</v>
      </c>
      <c r="D5" s="52">
        <v>0.28117150000000002</v>
      </c>
      <c r="E5" s="52">
        <f>1-SUM(E2:E4)</f>
        <v>0.52689799999999998</v>
      </c>
      <c r="F5" s="52">
        <f>1-SUM(F2:F4)</f>
        <v>0.77402899999999997</v>
      </c>
      <c r="G5" s="52">
        <f>1-SUM(G2:G4)</f>
        <v>1</v>
      </c>
    </row>
  </sheetData>
  <sheetProtection algorithmName="SHA-512" hashValue="dPVJaTOQLCe7quwFzCSRTP1uy1smbh23shEm6FlOEydtOuyCRfyshpo+t2Fe7rOrNNNTyn8MKyWpjKncQfbYhA==" saltValue="PgDsFd39cd0kFHThXRg7e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yLXNW+EAJcJQ0dUi4rR3wlfw3hreiQrhqaNU+1QUK+kbAUq7gBKumZ1mKFjjODFzG1h+xIjqzkUFEExyi+7jA==" saltValue="XDvo3dxWAoPnpVdYXl31r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i6NPvEe63NjkWuFAamqo2po93NYs+RaO/G5H0T39bVCxJdKLWAIwYDgyGnDHpXSgOeW1KJPzXl+j6m75RtZsUw==" saltValue="5Npf/FKfjqjoM9l6j00gm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+j6G7Z0gRj5W74lMA6uxKZB8QlWVCD7LPSAGBqyB7RdNj2kt96CJfKi+8kny3UKGXaSMA8/Zh98mARcBy5vx8w==" saltValue="KlTkWHTknQj0cS+uTSalV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tUYRkOtoWz0BJfqDBBDo9J3o8rn6uRUfFirmbmDbsJazwRGKUWHQUj8eLYlGvPjXT4+VjBzTc7UBP2DE3rtMKg==" saltValue="8taCGwoCdchkDJDsklVCI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69.047770440302898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0.2066742856206</v>
      </c>
      <c r="C3" s="98">
        <v>0.95</v>
      </c>
      <c r="D3" s="56">
        <v>40.127093405065906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587.14420029876032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1.559716229638761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13.25939284886182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13.25939284886182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13.25939284886182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13.25939284886182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13.25939284886182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13.25939284886182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0.95</v>
      </c>
      <c r="C16" s="98">
        <v>0.95</v>
      </c>
      <c r="D16" s="56">
        <v>0.96615864875716684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0.32122916666666701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0.11733278925379</v>
      </c>
      <c r="C18" s="98">
        <v>0.95</v>
      </c>
      <c r="D18" s="56">
        <v>13.483785833565429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0.89972340000000006</v>
      </c>
      <c r="C19" s="98">
        <v>0.95</v>
      </c>
      <c r="D19" s="56">
        <v>13.483785833565429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0.80314839999999998</v>
      </c>
      <c r="C21" s="98">
        <v>0.95</v>
      </c>
      <c r="D21" s="56">
        <v>17.016109940848349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23.01109674039985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4.4338460403923747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0.88910919143547995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18.750061042134512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0.69723745018169003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138.79578001614141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1.831259781706825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2.09991490371478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0.23215369999999999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0.45581739999999998</v>
      </c>
      <c r="C38" s="98">
        <v>0.95</v>
      </c>
      <c r="D38" s="56">
        <v>1.959170672500506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EOzJmpHbYkDythVHWBM3Z2Ywb+HJSyTFGTg/vjsE1FxDBnkRN9hptivQizvLS/j5iInsr79p0GWDVsgdEIe08g==" saltValue="YRUqiBiOBAfTQvfFDwek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KKnAWKKW7LxCiHS/OAKMrch74PDZ7MV7y0f75gFCBYida9tmN+bQnzp2kFzw22KjZTTlq/G3QuQbdNfW6r6Y9A==" saltValue="d09VNbMto49bUWU811luM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lJnRu3zi8XFwhSyH+elSuJLgxnWlOwTv4mMAPYu0tw6bQ5S+xROvFDQHnAZ3U4uK9q1u9Ksm5Rg66Dn0s/IeQ==" saltValue="bYK8NRSDZDzcb/ck4XF6r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0.10682594000000001</v>
      </c>
      <c r="C3" s="21">
        <f>frac_mam_1_5months * 2.6</f>
        <v>0.10682594000000001</v>
      </c>
      <c r="D3" s="21">
        <f>frac_mam_6_11months * 2.6</f>
        <v>0.20139418000000003</v>
      </c>
      <c r="E3" s="21">
        <f>frac_mam_12_23months * 2.6</f>
        <v>0.12607114</v>
      </c>
      <c r="F3" s="21">
        <f>frac_mam_24_59months * 2.6</f>
        <v>9.9420880000000017E-2</v>
      </c>
    </row>
    <row r="4" spans="1:6" ht="15.75" customHeight="1" x14ac:dyDescent="0.25">
      <c r="A4" s="3" t="s">
        <v>207</v>
      </c>
      <c r="B4" s="21">
        <f>frac_sam_1month * 2.6</f>
        <v>6.0567000000000003E-2</v>
      </c>
      <c r="C4" s="21">
        <f>frac_sam_1_5months * 2.6</f>
        <v>6.0567000000000003E-2</v>
      </c>
      <c r="D4" s="21">
        <f>frac_sam_6_11months * 2.6</f>
        <v>1.8212220000000001E-2</v>
      </c>
      <c r="E4" s="21">
        <f>frac_sam_12_23months * 2.6</f>
        <v>4.7944520000000004E-2</v>
      </c>
      <c r="F4" s="21">
        <f>frac_sam_24_59months * 2.6</f>
        <v>1.7275180000000001E-2</v>
      </c>
    </row>
  </sheetData>
  <sheetProtection algorithmName="SHA-512" hashValue="e9cYuqN2F+87htdjRokMQvVABL98g7kF2NLrvmRhGx/CMJx+hoR6DlNCpdvqX1Z8MSLb0WTPAMZe5xooLRc6vA==" saltValue="N6Thv6SaLQw8uWGtFZayL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0.23400000000000001</v>
      </c>
      <c r="E2" s="60">
        <f>food_insecure</f>
        <v>0.23400000000000001</v>
      </c>
      <c r="F2" s="60">
        <f>food_insecure</f>
        <v>0.23400000000000001</v>
      </c>
      <c r="G2" s="60">
        <f>food_insecure</f>
        <v>0.23400000000000001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0.23400000000000001</v>
      </c>
      <c r="F5" s="60">
        <f>food_insecure</f>
        <v>0.23400000000000001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0.23400000000000001</v>
      </c>
      <c r="F8" s="60">
        <f>food_insecure</f>
        <v>0.23400000000000001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0.23400000000000001</v>
      </c>
      <c r="F9" s="60">
        <f>food_insecure</f>
        <v>0.23400000000000001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0.23400000000000001</v>
      </c>
      <c r="I15" s="60">
        <f>food_insecure</f>
        <v>0.23400000000000001</v>
      </c>
      <c r="J15" s="60">
        <f>food_insecure</f>
        <v>0.23400000000000001</v>
      </c>
      <c r="K15" s="60">
        <f>food_insecure</f>
        <v>0.23400000000000001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0.26800000000000002</v>
      </c>
      <c r="M24" s="60">
        <f>famplan_unmet_need</f>
        <v>0.26800000000000002</v>
      </c>
      <c r="N24" s="60">
        <f>famplan_unmet_need</f>
        <v>0.26800000000000002</v>
      </c>
      <c r="O24" s="60">
        <f>famplan_unmet_need</f>
        <v>0.26800000000000002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0.19021878643188461</v>
      </c>
      <c r="M25" s="60">
        <f>(1-food_insecure)*(0.49)+food_insecure*(0.7)</f>
        <v>0.53913999999999995</v>
      </c>
      <c r="N25" s="60">
        <f>(1-food_insecure)*(0.49)+food_insecure*(0.7)</f>
        <v>0.53913999999999995</v>
      </c>
      <c r="O25" s="60">
        <f>(1-food_insecure)*(0.49)+food_insecure*(0.7)</f>
        <v>0.53913999999999995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8.152233704223627E-2</v>
      </c>
      <c r="M26" s="60">
        <f>(1-food_insecure)*(0.21)+food_insecure*(0.3)</f>
        <v>0.23105999999999999</v>
      </c>
      <c r="N26" s="60">
        <f>(1-food_insecure)*(0.21)+food_insecure*(0.3)</f>
        <v>0.23105999999999999</v>
      </c>
      <c r="O26" s="60">
        <f>(1-food_insecure)*(0.21)+food_insecure*(0.3)</f>
        <v>0.23105999999999999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8.1077785217285092E-2</v>
      </c>
      <c r="M27" s="60">
        <f>(1-food_insecure)*(0.3)</f>
        <v>0.2298</v>
      </c>
      <c r="N27" s="60">
        <f>(1-food_insecure)*(0.3)</f>
        <v>0.2298</v>
      </c>
      <c r="O27" s="60">
        <f>(1-food_insecure)*(0.3)</f>
        <v>0.2298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0.64718109130859403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KwBrDUZtb7MpqcD+xKhK+btyrxscErLJBOgSl0N9ZBL3N+HRu3HzyPdbZ1BdigtRmodS1vRO4Ef1z5RFKCFgw==" saltValue="3AL2sXIGPCeSFQh88qaNq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GrQEzSWxXgBKfE6ZwSou86Gk6njCUAB3ynH+4KDgWultznWL1PqUhGWexf1iezgB4LPC/POq9jhE884o2q4Ndw==" saltValue="x2oYBiHlTq4qcw6R5IOz5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e3xgsbmGtQD2QSlf9rxLyLccykpiRTnUJYroyeukvZlANgKkuDCRIouHtO2IJ+B3wOJWfxaZ6kMhMkUF+1oJA==" saltValue="oD4zaaLnABeGA95aKnoWO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3aMv4zIhQdw2F8Tf/xPtwRcmSINhGiC09ZjItPCBSgDFhhIpnf3tHttKi9whZUXEKWaRmPVxE0LAdCLMyIuWg==" saltValue="n/sTybJQUUTJrWdruPVXu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Li+6Mnz9HlUxDPv/RQgNcfjdBnjm7FboVan23wdTt7FV34FgBIOVDY0XmgFsbFMWYM2h4rMS44bDPJC+b3XvfA==" saltValue="yyWVayURvY2wP9hpoMVvi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mKqbj7gjOP2e/8YXaFB+hituNqr73Zj+Jud8zIL0ZayQXYdxVHaIxXw8WWm/2c0leWYeqk0u7BI+JTNiC/CLCw==" saltValue="0xgTLs0Ls6OW2/vJfeRsj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8X1xAvmBFUiv7kxVrD4EvaMJFhXDiBnYmCl4tcTTtFeFMm3StCD0CpUhCsPcMB7K2lSPnzW8lcw4PEN1jS4oYA==" saltValue="P5VvF3Cp4RVYaO2hJN2li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RosRe+2CcvinrHyBlBVq0HtBf/w1rlag+uYD0WOEBwfwVaKTlR5gGop+koMc3nugyGKmkOFZi+HhgXskco2og==" saltValue="A+YpcY0f6Zx74Y3B3d0+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dqpyt9SBseK5yGr3D60/e4q9NSfOgpx9e/bSP0YHPnw6f+8eEXFrvrtCn/tQCw1mLYsTTUAL9HpFSTQo8kYHQ==" saltValue="j57D9WeX0P0saXVnWmbN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VQS7ofLMmm4+44Q7KLZr1Ncpt9tsgMe2VWJHCv5aAAdd3/7aJToTuNrAf+74BVfgTlYSDjICnTx/A33xvBGqaw==" saltValue="fqs3IPtOnMxMpxMu9sF8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GPSm9PhIcWpOL/xNFWiCobndGwXHgLRUvrOOxcUCu24cj6ZLS6iOUQAXuzc2tUIdUlVL+ahqr42R53mLbj+Fzw==" saltValue="+uL2wqnDu3mv64PY4SR9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+2o6Um3bXvH2K7lZyfYkzeLNuFfSs+wh+Bep5DEA0JX0qYPLRn3pbFCALCb+0x4011hbmhzwPXJEVsTCNe0w1w==" saltValue="CzcBnLSEwlAQNL6YMN50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IzYZRmzOFVbqsWKyWKaSkHaIDs3mrskMqbocNvvXbGbNmDggkwfZWe6dx2tKFgFEKQeePzKcmY93Ju6hgVFvwg==" saltValue="AP/7ogu/e5BwrB1qbhSwa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UCiBQMddxyDaaaIWpDeVT2ZbYUZkhmzifmQhrOmJLDiBdxFNswbFFxVElwapi6kikJAgp5XDW+Pr9GquYBBVg==" saltValue="iMRbuat9sEABkj21Zu0a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Awwcld0X2SLKEH0ZeLaaCy+pi7VKeoXVWbTnG9op+1Q1swBqooGC1OjVqLHeDeSeNYy0wEFk86Iz80IdOzGV0A==" saltValue="E9YQuVhm3iJGrwLYZeXhl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2024-05-17T00:00:12Z</dcterms:modified>
</cp:coreProperties>
</file>