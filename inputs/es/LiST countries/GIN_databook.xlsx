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4DB05E1A-1746-43D9-931D-0842ED147A0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1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38" i="2" l="1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<sst xmlns="http://schemas.openxmlformats.org/spreadsheetml/2006/main" count="2169" uniqueCount="373">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</sst>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2220484</v>
      </c>
    </row>
    <row r="8" spans="1:3" ht="15" customHeight="1" x14ac:dyDescent="0.25">
      <c r="B8" s="5" t="s">
        <v>63</v>
      </c>
      <c r="C8" s="44">
        <v>0.35299999999999998</v>
      </c>
    </row>
    <row r="9" spans="1:3" ht="15" customHeight="1" x14ac:dyDescent="0.25">
      <c r="B9" s="5" t="s">
        <v>62</v>
      </c>
      <c r="C9" s="45">
        <v>0.99</v>
      </c>
    </row>
    <row r="10" spans="1:3" ht="15" customHeight="1" x14ac:dyDescent="0.25">
      <c r="B10" s="5" t="s">
        <v>75</v>
      </c>
      <c r="C10" s="45">
        <v>0.2556081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0.14269999999999999</v>
      </c>
    </row>
    <row r="24" spans="1:3" ht="15" customHeight="1" x14ac:dyDescent="0.25">
      <c r="B24" s="15" t="s">
        <v>65</v>
      </c>
      <c r="C24" s="45">
        <v>0.42099999999999987</v>
      </c>
    </row>
    <row r="25" spans="1:3" ht="15" customHeight="1" x14ac:dyDescent="0.25">
      <c r="B25" s="15" t="s">
        <v>66</v>
      </c>
      <c r="C25" s="45">
        <v>0.33529999999999999</v>
      </c>
    </row>
    <row r="26" spans="1:3" ht="15" customHeight="1" x14ac:dyDescent="0.25">
      <c r="B26" s="15" t="s">
        <v>67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0.20134766316932501</v>
      </c>
    </row>
    <row r="30" spans="1:3" ht="14.25" customHeight="1" x14ac:dyDescent="0.25">
      <c r="B30" s="25" t="s">
        <v>82</v>
      </c>
      <c r="C30" s="97">
        <v>3.7040067899888597E-2</v>
      </c>
    </row>
    <row r="31" spans="1:3" ht="14.25" customHeight="1" x14ac:dyDescent="0.25">
      <c r="B31" s="25" t="s">
        <v>29</v>
      </c>
      <c r="C31" s="97">
        <v>9.42970158051466E-2</v>
      </c>
    </row>
    <row r="32" spans="1:3" ht="14.25" customHeight="1" x14ac:dyDescent="0.25">
      <c r="B32" s="25" t="s">
        <v>30</v>
      </c>
      <c r="C32" s="97">
        <v>0.66731525312564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31.108440000000002</v>
      </c>
    </row>
    <row r="38" spans="1:5" ht="15" customHeight="1" x14ac:dyDescent="0.25">
      <c r="B38" s="11" t="s">
        <v>54</v>
      </c>
      <c r="C38" s="43">
        <v>63.776989999999998</v>
      </c>
      <c r="D38" s="12"/>
      <c r="E38" s="13"/>
    </row>
    <row r="39" spans="1:5" ht="15" customHeight="1" x14ac:dyDescent="0.25">
      <c r="B39" s="11" t="s">
        <v>80</v>
      </c>
      <c r="C39" s="43">
        <v>98.726939999999999</v>
      </c>
      <c r="D39" s="12"/>
      <c r="E39" s="12"/>
    </row>
    <row r="40" spans="1:5" ht="15" customHeight="1" x14ac:dyDescent="0.25">
      <c r="B40" s="11" t="s">
        <v>55</v>
      </c>
      <c r="C40" s="98">
        <v>5.53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7.9359000000000009E-3</v>
      </c>
      <c r="D45" s="12"/>
    </row>
    <row r="46" spans="1:5" ht="15.75" customHeight="1" x14ac:dyDescent="0.25">
      <c r="B46" s="11" t="s">
        <v>70</v>
      </c>
      <c r="C46" s="45">
        <v>8.5269600000000001E-2</v>
      </c>
      <c r="D46" s="12"/>
    </row>
    <row r="47" spans="1:5" ht="15.75" customHeight="1" x14ac:dyDescent="0.25">
      <c r="B47" s="11" t="s">
        <v>78</v>
      </c>
      <c r="C47" s="45">
        <v>7.34538E-2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2.4700000000000002</v>
      </c>
      <c r="D51" s="12"/>
    </row>
    <row r="52" spans="1:4" ht="15" customHeight="1" x14ac:dyDescent="0.25">
      <c r="B52" s="11" t="s">
        <v>32</v>
      </c>
      <c r="C52" s="98">
        <v>2.4700000000000002</v>
      </c>
    </row>
    <row r="53" spans="1:4" ht="15.75" customHeight="1" x14ac:dyDescent="0.25">
      <c r="B53" s="11" t="s">
        <v>35</v>
      </c>
      <c r="C53" s="98">
        <v>6.8640000000000008</v>
      </c>
    </row>
    <row r="54" spans="1:4" ht="15.75" customHeight="1" x14ac:dyDescent="0.25">
      <c r="B54" s="11" t="s">
        <v>33</v>
      </c>
      <c r="C54" s="98">
        <v>5.3819999999999997</v>
      </c>
    </row>
    <row r="55" spans="1:4" ht="15.75" customHeight="1" x14ac:dyDescent="0.25">
      <c r="B55" s="11" t="s">
        <v>34</v>
      </c>
      <c r="C55" s="98">
        <v>3.1373333333333342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0.412416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thYESYKfkqR9osD3DrTv5TzPwSjfu17xQz/yBrCfDn8h6PGs4qOTIjLIwS0FuNUcjp8S0GSnAcLGNIVB5rzokQ==" saltValue="/noc99Bpc1by38W64Oy4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491708</v>
      </c>
      <c r="C2" s="49">
        <v>790115.5</v>
      </c>
      <c r="D2" s="49">
        <v>1307597.4999999998</v>
      </c>
      <c r="E2" s="49">
        <v>939624</v>
      </c>
      <c r="F2" s="49">
        <v>584455</v>
      </c>
      <c r="G2" s="17">
        <f t="shared" ref="G2:G13" si="0">C2+D2+E2+F2</f>
        <v>3621792</v>
      </c>
      <c r="H2" s="17">
        <f t="shared" ref="H2:H13" si="1">(B2 + stillbirth*B2/(1000-stillbirth))/(1-abortion)</f>
        <v>572056.78542968596</v>
      </c>
      <c r="I2" s="17">
        <f t="shared" ref="I2:I13" si="2">G2-H2</f>
        <v>3049735.2145703142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494546</v>
      </c>
      <c r="C3" s="50">
        <v>809869.5</v>
      </c>
      <c r="D3" s="50">
        <v>1332806</v>
      </c>
      <c r="E3" s="50">
        <v>976496.00000000012</v>
      </c>
      <c r="F3" s="50">
        <v>606252.99999999988</v>
      </c>
      <c r="G3" s="17">
        <f t="shared" si="0"/>
        <v>3725424.5</v>
      </c>
      <c r="H3" s="17">
        <f t="shared" si="1"/>
        <v>575358.5359748255</v>
      </c>
      <c r="I3" s="17">
        <f t="shared" si="2"/>
        <v>3150065.9640251743</v>
      </c>
    </row>
    <row r="4" spans="1:9" ht="15.75" customHeight="1" x14ac:dyDescent="0.25">
      <c r="A4" s="5">
        <f t="shared" si="3"/>
        <v>2026</v>
      </c>
      <c r="B4" s="49">
        <v>497357</v>
      </c>
      <c r="C4" s="50">
        <v>828613.5</v>
      </c>
      <c r="D4" s="50">
        <v>1358121.5</v>
      </c>
      <c r="E4" s="50">
        <v>1012550</v>
      </c>
      <c r="F4" s="50">
        <v>630244.5</v>
      </c>
      <c r="G4" s="17">
        <f t="shared" si="0"/>
        <v>3829529.5</v>
      </c>
      <c r="H4" s="17">
        <f t="shared" si="1"/>
        <v>578628.87451689283</v>
      </c>
      <c r="I4" s="17">
        <f t="shared" si="2"/>
        <v>3250900.6254831073</v>
      </c>
    </row>
    <row r="5" spans="1:9" ht="15.75" customHeight="1" x14ac:dyDescent="0.25">
      <c r="A5" s="5">
        <f t="shared" si="3"/>
        <v>2027</v>
      </c>
      <c r="B5" s="49">
        <v>501552</v>
      </c>
      <c r="C5" s="50">
        <v>846224</v>
      </c>
      <c r="D5" s="50">
        <v>1383350.5</v>
      </c>
      <c r="E5" s="50">
        <v>1048034.5</v>
      </c>
      <c r="F5" s="50">
        <v>656473</v>
      </c>
      <c r="G5" s="17">
        <f t="shared" si="0"/>
        <v>3934082</v>
      </c>
      <c r="H5" s="17">
        <f t="shared" si="1"/>
        <v>583509.36906828824</v>
      </c>
      <c r="I5" s="17">
        <f t="shared" si="2"/>
        <v>3350572.6309317118</v>
      </c>
    </row>
    <row r="6" spans="1:9" ht="15.75" customHeight="1" x14ac:dyDescent="0.25">
      <c r="A6" s="5">
        <f t="shared" si="3"/>
        <v>2028</v>
      </c>
      <c r="B6" s="49">
        <v>503185</v>
      </c>
      <c r="C6" s="50">
        <v>862891</v>
      </c>
      <c r="D6" s="50">
        <v>1410619.0000000002</v>
      </c>
      <c r="E6" s="50">
        <v>1081322.9999999998</v>
      </c>
      <c r="F6" s="50">
        <v>684806</v>
      </c>
      <c r="G6" s="17">
        <f t="shared" si="0"/>
        <v>4039639</v>
      </c>
      <c r="H6" s="17">
        <f t="shared" si="1"/>
        <v>585409.21355039277</v>
      </c>
      <c r="I6" s="17">
        <f t="shared" si="2"/>
        <v>3454229.7864496075</v>
      </c>
    </row>
    <row r="7" spans="1:9" ht="15.75" customHeight="1" x14ac:dyDescent="0.25">
      <c r="A7" s="5">
        <f t="shared" si="3"/>
        <v>2029</v>
      </c>
      <c r="B7" s="49">
        <v>504595</v>
      </c>
      <c r="C7" s="50">
        <v>878937.5</v>
      </c>
      <c r="D7" s="50">
        <v>1439882.5</v>
      </c>
      <c r="E7" s="50">
        <v>1112342.9999999998</v>
      </c>
      <c r="F7" s="50">
        <v>714879.5</v>
      </c>
      <c r="G7" s="17">
        <f t="shared" si="0"/>
        <v>4146042.5</v>
      </c>
      <c r="H7" s="17">
        <f t="shared" si="1"/>
        <v>587049.61815527186</v>
      </c>
      <c r="I7" s="17">
        <f t="shared" si="2"/>
        <v>3558992.8818447283</v>
      </c>
    </row>
    <row r="8" spans="1:9" ht="15.75" customHeight="1" x14ac:dyDescent="0.25">
      <c r="A8" s="5">
        <f t="shared" si="3"/>
        <v>2030</v>
      </c>
      <c r="B8" s="49">
        <v>506565</v>
      </c>
      <c r="C8" s="50">
        <v>894961</v>
      </c>
      <c r="D8" s="50">
        <v>1470484</v>
      </c>
      <c r="E8" s="50">
        <v>1142146</v>
      </c>
      <c r="F8" s="50">
        <v>746448.5</v>
      </c>
      <c r="G8" s="17">
        <f t="shared" si="0"/>
        <v>4254039.5</v>
      </c>
      <c r="H8" s="17">
        <f t="shared" si="1"/>
        <v>589341.53097201767</v>
      </c>
      <c r="I8" s="17">
        <f t="shared" si="2"/>
        <v>3664697.9690279821</v>
      </c>
    </row>
    <row r="9" spans="1:9" ht="15.75" customHeight="1" x14ac:dyDescent="0.25">
      <c r="A9" s="5">
        <f t="shared" si="3"/>
        <v>2031</v>
      </c>
      <c r="B9" s="49">
        <v>508635</v>
      </c>
      <c r="C9" s="50">
        <v>911646</v>
      </c>
      <c r="D9" s="50">
        <v>1502521.4999999998</v>
      </c>
      <c r="E9" s="50">
        <v>1169524.5</v>
      </c>
      <c r="F9" s="50">
        <v>779692.5</v>
      </c>
      <c r="G9" s="17">
        <f t="shared" si="0"/>
        <v>4363384.5</v>
      </c>
      <c r="H9" s="17">
        <f t="shared" si="1"/>
        <v>591749.78454088268</v>
      </c>
      <c r="I9" s="17">
        <f t="shared" si="2"/>
        <v>3771634.7154591172</v>
      </c>
    </row>
    <row r="10" spans="1:9" ht="15.75" customHeight="1" x14ac:dyDescent="0.25">
      <c r="A10" s="5">
        <f t="shared" si="3"/>
        <v>2032</v>
      </c>
      <c r="B10" s="49">
        <v>510880</v>
      </c>
      <c r="C10" s="50">
        <v>928722</v>
      </c>
      <c r="D10" s="50">
        <v>1535796</v>
      </c>
      <c r="E10" s="50">
        <v>1193591.5</v>
      </c>
      <c r="F10" s="50">
        <v>814247.5</v>
      </c>
      <c r="G10" s="17">
        <f t="shared" si="0"/>
        <v>4472357</v>
      </c>
      <c r="H10" s="17">
        <f t="shared" si="1"/>
        <v>594361.63442595594</v>
      </c>
      <c r="I10" s="17">
        <f t="shared" si="2"/>
        <v>3877995.3655740442</v>
      </c>
    </row>
    <row r="11" spans="1:9" ht="15.75" customHeight="1" x14ac:dyDescent="0.25">
      <c r="A11" s="5">
        <f t="shared" si="3"/>
        <v>2033</v>
      </c>
      <c r="B11" s="49">
        <v>511287</v>
      </c>
      <c r="C11" s="50">
        <v>945328</v>
      </c>
      <c r="D11" s="50">
        <v>1570011</v>
      </c>
      <c r="E11" s="50">
        <v>1215762</v>
      </c>
      <c r="F11" s="50">
        <v>849429.5</v>
      </c>
      <c r="G11" s="17">
        <f t="shared" si="0"/>
        <v>4580530.5</v>
      </c>
      <c r="H11" s="17">
        <f t="shared" si="1"/>
        <v>594835.14128708071</v>
      </c>
      <c r="I11" s="17">
        <f t="shared" si="2"/>
        <v>3985695.3587129191</v>
      </c>
    </row>
    <row r="12" spans="1:9" ht="15.75" customHeight="1" x14ac:dyDescent="0.25">
      <c r="A12" s="5">
        <f t="shared" si="3"/>
        <v>2034</v>
      </c>
      <c r="B12" s="49">
        <v>511908</v>
      </c>
      <c r="C12" s="50">
        <v>961402.5</v>
      </c>
      <c r="D12" s="50">
        <v>1604078.5</v>
      </c>
      <c r="E12" s="50">
        <v>1237546.5</v>
      </c>
      <c r="F12" s="50">
        <v>884665.50000000012</v>
      </c>
      <c r="G12" s="17">
        <f t="shared" si="0"/>
        <v>4687693</v>
      </c>
      <c r="H12" s="17">
        <f t="shared" si="1"/>
        <v>595557.61735774018</v>
      </c>
      <c r="I12" s="17">
        <f t="shared" si="2"/>
        <v>4092135.3826422598</v>
      </c>
    </row>
    <row r="13" spans="1:9" ht="15.75" customHeight="1" x14ac:dyDescent="0.25">
      <c r="A13" s="5">
        <f t="shared" si="3"/>
        <v>2035</v>
      </c>
      <c r="B13" s="49">
        <v>512900</v>
      </c>
      <c r="C13" s="50">
        <v>977114</v>
      </c>
      <c r="D13" s="50">
        <v>1638068.4999999998</v>
      </c>
      <c r="E13" s="50">
        <v>1260418.0000000002</v>
      </c>
      <c r="F13" s="50">
        <v>919223.5</v>
      </c>
      <c r="G13" s="17">
        <f t="shared" si="0"/>
        <v>4794824</v>
      </c>
      <c r="H13" s="17">
        <f t="shared" si="1"/>
        <v>596711.71761876135</v>
      </c>
      <c r="I13" s="17">
        <f t="shared" si="2"/>
        <v>4198112.2823812384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/E5lPR+mVGmjDwGbjZIW9rXFzsOoSa2ORhNejc+1IZvPO7DcU+PM2PadHPrMhwJOXxhbT89TWzIOjOvGFFYpw==" saltValue="4SUxerOtJu9E4tNpGTuHb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2.6736499999999962E-2</v>
      </c>
    </row>
    <row r="4" spans="1:8" ht="15.75" customHeight="1" x14ac:dyDescent="0.25">
      <c r="B4" s="19" t="s">
        <v>116</v>
      </c>
      <c r="C4" s="99">
        <v>6.2096499999999832E-2</v>
      </c>
    </row>
    <row r="5" spans="1:8" ht="15.75" customHeight="1" x14ac:dyDescent="0.25">
      <c r="B5" s="19" t="s">
        <v>114</v>
      </c>
      <c r="C5" s="99">
        <v>9.6906999999999965E-2</v>
      </c>
    </row>
    <row r="6" spans="1:8" ht="15.75" customHeight="1" x14ac:dyDescent="0.25">
      <c r="B6" s="19" t="s">
        <v>110</v>
      </c>
      <c r="C6" s="99">
        <v>0.2477423999999997</v>
      </c>
    </row>
    <row r="7" spans="1:8" ht="15.75" customHeight="1" x14ac:dyDescent="0.25">
      <c r="B7" s="19" t="s">
        <v>115</v>
      </c>
      <c r="C7" s="99">
        <v>0.39012300000000072</v>
      </c>
    </row>
    <row r="8" spans="1:8" ht="15.75" customHeight="1" x14ac:dyDescent="0.25">
      <c r="B8" s="19" t="s">
        <v>117</v>
      </c>
      <c r="C8" s="99">
        <v>1.2472399999999981E-2</v>
      </c>
    </row>
    <row r="9" spans="1:8" ht="15.75" customHeight="1" x14ac:dyDescent="0.25">
      <c r="B9" s="19" t="s">
        <v>111</v>
      </c>
      <c r="C9" s="99">
        <v>5.6193299999999821E-2</v>
      </c>
    </row>
    <row r="10" spans="1:8" ht="15.75" customHeight="1" x14ac:dyDescent="0.25">
      <c r="B10" s="19" t="s">
        <v>113</v>
      </c>
      <c r="C10" s="99">
        <v>0.10772889999999979</v>
      </c>
    </row>
    <row r="11" spans="1:8" ht="15.75" customHeight="1" x14ac:dyDescent="0.25">
      <c r="B11" s="27" t="s">
        <v>79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121</v>
      </c>
      <c r="C15" s="99">
        <v>0.26960626964040468</v>
      </c>
      <c r="D15" s="99">
        <v>0.26960626964040468</v>
      </c>
      <c r="E15" s="99">
        <v>0.26960626964040468</v>
      </c>
      <c r="F15" s="99">
        <v>0.26960626964040468</v>
      </c>
    </row>
    <row r="16" spans="1:8" ht="15.75" customHeight="1" x14ac:dyDescent="0.25">
      <c r="B16" s="19" t="s">
        <v>2</v>
      </c>
      <c r="C16" s="99">
        <v>4.0112656644452287E-2</v>
      </c>
      <c r="D16" s="99">
        <v>4.0112656644452287E-2</v>
      </c>
      <c r="E16" s="99">
        <v>4.0112656644452287E-2</v>
      </c>
      <c r="F16" s="99">
        <v>4.0112656644452287E-2</v>
      </c>
    </row>
    <row r="17" spans="1:8" ht="15.75" customHeight="1" x14ac:dyDescent="0.25">
      <c r="B17" s="19" t="s">
        <v>109</v>
      </c>
      <c r="C17" s="99">
        <v>0.16760763979547269</v>
      </c>
      <c r="D17" s="99">
        <v>0.16760763979547269</v>
      </c>
      <c r="E17" s="99">
        <v>0.16760763979547269</v>
      </c>
      <c r="F17" s="99">
        <v>0.16760763979547269</v>
      </c>
    </row>
    <row r="18" spans="1:8" ht="15.75" customHeight="1" x14ac:dyDescent="0.25">
      <c r="B18" s="19" t="s">
        <v>3</v>
      </c>
      <c r="C18" s="99">
        <v>0.19823236164519181</v>
      </c>
      <c r="D18" s="99">
        <v>0.19823236164519181</v>
      </c>
      <c r="E18" s="99">
        <v>0.19823236164519181</v>
      </c>
      <c r="F18" s="99">
        <v>0.19823236164519181</v>
      </c>
    </row>
    <row r="19" spans="1:8" ht="15.75" customHeight="1" x14ac:dyDescent="0.25">
      <c r="B19" s="19" t="s">
        <v>120</v>
      </c>
      <c r="C19" s="99">
        <v>1.546365925485443E-2</v>
      </c>
      <c r="D19" s="99">
        <v>1.546365925485443E-2</v>
      </c>
      <c r="E19" s="99">
        <v>1.546365925485443E-2</v>
      </c>
      <c r="F19" s="99">
        <v>1.546365925485443E-2</v>
      </c>
    </row>
    <row r="20" spans="1:8" ht="15.75" customHeight="1" x14ac:dyDescent="0.25">
      <c r="B20" s="19" t="s">
        <v>98</v>
      </c>
      <c r="C20" s="99">
        <v>1.3943537817300299E-2</v>
      </c>
      <c r="D20" s="99">
        <v>1.3943537817300299E-2</v>
      </c>
      <c r="E20" s="99">
        <v>1.3943537817300299E-2</v>
      </c>
      <c r="F20" s="99">
        <v>1.3943537817300299E-2</v>
      </c>
    </row>
    <row r="21" spans="1:8" ht="15.75" customHeight="1" x14ac:dyDescent="0.25">
      <c r="B21" s="19" t="s">
        <v>107</v>
      </c>
      <c r="C21" s="99">
        <v>3.9464722478875093E-2</v>
      </c>
      <c r="D21" s="99">
        <v>3.9464722478875093E-2</v>
      </c>
      <c r="E21" s="99">
        <v>3.9464722478875093E-2</v>
      </c>
      <c r="F21" s="99">
        <v>3.9464722478875093E-2</v>
      </c>
    </row>
    <row r="22" spans="1:8" ht="15.75" customHeight="1" x14ac:dyDescent="0.25">
      <c r="B22" s="19" t="s">
        <v>118</v>
      </c>
      <c r="C22" s="99">
        <v>0.1014390551831001</v>
      </c>
      <c r="D22" s="99">
        <v>0.1014390551831001</v>
      </c>
      <c r="E22" s="99">
        <v>0.1014390551831001</v>
      </c>
      <c r="F22" s="99">
        <v>0.1014390551831001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8.8245948000000005E-2</v>
      </c>
    </row>
    <row r="27" spans="1:8" ht="15.75" customHeight="1" x14ac:dyDescent="0.25">
      <c r="B27" s="19" t="s">
        <v>108</v>
      </c>
      <c r="C27" s="99">
        <v>8.6324339999999996E-3</v>
      </c>
    </row>
    <row r="28" spans="1:8" ht="15.75" customHeight="1" x14ac:dyDescent="0.25">
      <c r="B28" s="19" t="s">
        <v>122</v>
      </c>
      <c r="C28" s="99">
        <v>0.156169268</v>
      </c>
    </row>
    <row r="29" spans="1:8" ht="15.75" customHeight="1" x14ac:dyDescent="0.25">
      <c r="B29" s="19" t="s">
        <v>105</v>
      </c>
      <c r="C29" s="99">
        <v>0.169329655</v>
      </c>
    </row>
    <row r="30" spans="1:8" ht="15.75" customHeight="1" x14ac:dyDescent="0.25">
      <c r="B30" s="19" t="s">
        <v>4</v>
      </c>
      <c r="C30" s="99">
        <v>0.10546003399999999</v>
      </c>
    </row>
    <row r="31" spans="1:8" ht="15.75" customHeight="1" x14ac:dyDescent="0.25">
      <c r="B31" s="19" t="s">
        <v>99</v>
      </c>
      <c r="C31" s="99">
        <v>0.109941625</v>
      </c>
    </row>
    <row r="32" spans="1:8" ht="15.75" customHeight="1" x14ac:dyDescent="0.25">
      <c r="B32" s="19" t="s">
        <v>104</v>
      </c>
      <c r="C32" s="99">
        <v>1.8686595E-2</v>
      </c>
    </row>
    <row r="33" spans="2:3" ht="15.75" customHeight="1" x14ac:dyDescent="0.25">
      <c r="B33" s="19" t="s">
        <v>119</v>
      </c>
      <c r="C33" s="99">
        <v>8.470502299999999E-2</v>
      </c>
    </row>
    <row r="34" spans="2:3" ht="15.75" customHeight="1" x14ac:dyDescent="0.25">
      <c r="B34" s="19" t="s">
        <v>106</v>
      </c>
      <c r="C34" s="99">
        <v>0.25882941799999998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urb2G2oVG+M3TxYQEYEOZHfsGImhH2Rup4W5IHgsQAbQl0FycMadw6ye9Q3Dwzf/osThPrqanXFWOLdkud++4w==" saltValue="1wpsbG+ZNuHRTt2C9D75j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129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125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126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138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8MWr6nz+8/qUi5FWcESMqKe5q+iQGwtM8u1so5bl5tLisGeGpTarcV36F7xzAp6qHL6mWLRZXrs/+WzFjWdzA==" saltValue="RO7v3EIFPPJB0NzHM0BL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7.0920400000000106E-2</v>
      </c>
      <c r="D5" s="52">
        <f t="shared" si="0"/>
        <v>8.3686900000000009E-2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N9arZiOu2lL7i5rkxr0qdEa0xk5DY1XGEapoQLQrLtIGQt/QjboIrJKLOXO2el1KGifo7mAeXiRR32d7xg9qkw==" saltValue="nOgfVGBOKG3aJALFh1NYi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xNiP0QScS4tOumd3kS4TTPahx03b0K5cwo2GbaU6lLmpZ1pBh9MFSqizrIS+cU8Iq3N2AR85xZFalVFwpr/1g==" saltValue="zg7/TK0yToiXt5l9/oUO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1515.16794777584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0.37432000000000004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0.43612000000000001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1.8285810182065196E-2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90253.929969999997</v>
      </c>
      <c r="C22" s="107">
        <v>89126.380439999994</v>
      </c>
      <c r="D22" s="107">
        <v>88551.283349999998</v>
      </c>
      <c r="E22" s="107">
        <v>87879.151410000006</v>
      </c>
      <c r="F22" s="107">
        <v>86947.660440000007</v>
      </c>
      <c r="G22" s="107">
        <v>85778.042679999999</v>
      </c>
      <c r="H22" s="107">
        <v>84267.900959999999</v>
      </c>
      <c r="I22" s="107">
        <v>82298.965230000002</v>
      </c>
      <c r="J22" s="107">
        <v>79636.110289999997</v>
      </c>
      <c r="K22" s="107">
        <v>76268.576140000005</v>
      </c>
      <c r="L22" s="107">
        <v>71653.351689999996</v>
      </c>
      <c r="M22" s="107">
        <v>65683.188500000004</v>
      </c>
      <c r="N22" s="107">
        <v>57659.873209999998</v>
      </c>
      <c r="O22" s="107">
        <v>47957.426630000002</v>
      </c>
    </row>
  </sheetData>
  <sheetProtection algorithmName="SHA-512" hashValue="veiWn73X9fs3CVs+BJWKHDzu/nDTQ9rg6XmD4tL/xqYxGqE3Z/zZRhs3Ok7hEb23jMsuW7JQySBngyuYpGWplQ==" saltValue="wGcj5yTAS0YMpeGbdewMK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9QUHzp6e7wQ/D2gvsMUH8JtWjOXy4NXRKsaXXiUXJlqig0hGBDW240x9BJ2N+aCydnsaHGKGVU6Nw7dz7CPkA==" saltValue="cUXfDcifIW1BJL+CCwIJp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SBHa3MQx4I7tlDtbjpPq8wyWzNk1Fy81QcLfDTXB1sZu+aEMhcuiJTqz3MxZRabYI97+j5agbn8VncZygmt5g==" saltValue="9oI+YEvcJDNy6ifewARrI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0.23646220000000001</v>
      </c>
      <c r="C10" s="96">
        <v>0.95</v>
      </c>
      <c r="D10" s="56">
        <v>15.044545796194489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15.044545796194489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15.044545796194489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15.044545796194489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0.23646220000000001</v>
      </c>
      <c r="C14" s="96">
        <v>0.95</v>
      </c>
      <c r="D14" s="56">
        <v>15.044545796194489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15.044545796194489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0.62398120000000001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0.163026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0.187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0.2905181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0.43885239999999998</v>
      </c>
      <c r="C23" s="96">
        <v>0.95</v>
      </c>
      <c r="D23" s="56">
        <v>4.9284766235485638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0.371562949939933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0.23646220000000001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0.54870339999999995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0.13809589999999999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0.13059999999999999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0.97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0.20636095323558901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0.5478866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2.1925999999999998E-3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0.22891449999999999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0.26043110000000003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yZL73WODws/J7LRBhLThzPJ2VWxTCLg/GMwg49Dr3+gVaief3z+vDeJXtO1nc76qyVZAipuMsZObP/ze2HY3bQ==" saltValue="VOl3J3wKUOa9lDmoQ1qa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feECLXH0sEpVqV5SyKX5FfpAaoN4nMZArSYKRUwm9DAoCBd3IqzBk/ttXzPEUF8huDRVMKoe0hmqaIeFq1PPw==" saltValue="wAkWKtrJkJ6OznQH2/NU8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XTFjoP828v4dW3/+bNtWfiLMnU0gPVd1/pzzn0fkxbrXPe2l0aQq+n6HqaOndkayfcYQaETAazXG/4jv4vQIg==" saltValue="2hHUcl8sgPJwbJ2EI0jQW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2.4700000000000002</v>
      </c>
      <c r="C2" s="21">
        <f>'Entradas de población-año base'!C52</f>
        <v>2.4700000000000002</v>
      </c>
      <c r="D2" s="21">
        <f>'Entradas de población-año base'!C53</f>
        <v>6.8640000000000008</v>
      </c>
      <c r="E2" s="21">
        <f>'Entradas de población-año base'!C54</f>
        <v>5.3819999999999997</v>
      </c>
      <c r="F2" s="21">
        <f>'Entradas de población-año base'!C55</f>
        <v>3.1373333333333342</v>
      </c>
    </row>
    <row r="3" spans="1:6" ht="15.75" customHeight="1" x14ac:dyDescent="0.25">
      <c r="A3" s="3" t="s">
        <v>6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236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sheetProtection algorithmName="SHA-512" hashValue="JHfuLyZ9esijUY3rtU2HbY6kOuQLOaIeJl8F0keSLgxlDX/6D6bN8NM4+s6eZkTw23BxjjmlTj8PwZlnIE/3KA==" saltValue="Av62cPw0WUZtbjZUVnnT9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0.35299999999999998</v>
      </c>
      <c r="F2" s="60">
        <f>food_insecure</f>
        <v>0.35299999999999998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5.38909090909091E-2</v>
      </c>
      <c r="D7" s="60">
        <f>diarrhoea_1_5mo*frac_diarrhea_severe</f>
        <v>5.38909090909091E-2</v>
      </c>
      <c r="E7" s="60">
        <f>diarrhoea_6_11mo*frac_diarrhea_severe</f>
        <v>0.14976000000000003</v>
      </c>
      <c r="F7" s="60">
        <f>diarrhoea_12_23mo*frac_diarrhea_severe</f>
        <v>0.11742545454545454</v>
      </c>
      <c r="G7" s="60">
        <f>diarrhoea_24_59mo*frac_diarrhea_severe</f>
        <v>6.8450909090909118E-2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5.38909090909091E-2</v>
      </c>
      <c r="D12" s="60">
        <f>diarrhoea_1_5mo*frac_diarrhea_severe</f>
        <v>5.38909090909091E-2</v>
      </c>
      <c r="E12" s="60">
        <f>diarrhoea_6_11mo*frac_diarrhea_severe</f>
        <v>0.14976000000000003</v>
      </c>
      <c r="F12" s="60">
        <f>diarrhoea_12_23mo*frac_diarrhea_severe</f>
        <v>0.11742545454545454</v>
      </c>
      <c r="G12" s="60">
        <f>diarrhoea_24_59mo*frac_diarrhea_severe</f>
        <v>6.8450909090909118E-2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0.35299999999999998</v>
      </c>
      <c r="I15" s="60">
        <f t="shared" si="0"/>
        <v>0.35299999999999998</v>
      </c>
      <c r="J15" s="60">
        <f t="shared" si="0"/>
        <v>0.35299999999999998</v>
      </c>
      <c r="K15" s="60">
        <f t="shared" si="0"/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0.35299999999999998</v>
      </c>
      <c r="I16" s="60">
        <f t="shared" si="0"/>
        <v>0.35299999999999998</v>
      </c>
      <c r="J16" s="60">
        <f t="shared" si="0"/>
        <v>0.35299999999999998</v>
      </c>
      <c r="K16" s="60">
        <f t="shared" si="0"/>
        <v>0.35299999999999998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0.41993380254699997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0.17997162966299998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0.14448646778999999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0.2556081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FYSLZZufAkfitX8Mage/F9T54UmxnXfWrQcUAWvBAFSY6NxqhS8Yu+VxeoiSHLFhTSL6B5ePKlCOnseNlcTOQ==" saltValue="/UCiSmQLt8BPjGdypIsga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5Xbh2Ip6cwbOg4H466HI53r+XhzU6oA1VgvMVImo5/rC3TQTJmSXFakLKPaDgXQ8A/tTcNSwgRHOnQzZ/A8/mg==" saltValue="Pt0yTOceAh3AlAzxKZnJD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BSAh3bMuQxF288BGWXYkS1VB2sHnSAxATjxN6xOFzklIhSX1qzVwlI22UTXppy+sN2BjeieMSz6fbTOnY6ANQ==" saltValue="vZno0oDV5b8go23HxRMI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YC7uflAeVyocbiNIPFEy7RCKZ+rZdCx02LGBFH3RQodIa8J+3uS7PoZm/UOXHgxw22r7/6bUzgt49pJzJkz2Q==" saltValue="msJNJEaHkC8X/q+54p0N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IZZ05UJXJxFZ+x25rx8ArVEcFa9MuS5i4zMbnU48ZfMJAxzwqnAOBbtty2QoodNfUfWF2vbRq5W75PiO3To9YQ==" saltValue="ohY28Nw2dI+xe3zpFS+X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rLSodYW4Lx/iShD9QqI6Fp1Dk7d8gZhGfmUd1EXZF7/BpgtDdg0y5O7Vp+3MZwmmqve5qpwJtMnbz9fgZvjSfw==" saltValue="Sa3E3ILX/Hiu0DIiDw4g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d8la93eCz9e5aKQTdcxNkDz74P3//jsuUk8Bo/NnCEOHl/DY04LglBSUL9pLhhoGm7z2P44/kE3uuMa1NSn3w==" saltValue="nOA/OpRlrwqHkLXsz/sDa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HgCILDod20Ccc/wuHc6Sr5UrpvJAqBZ+VL6IoZlnPs5+NpIGhUKWx4azbEloKL3U1XM/U2PfeejaRDfwlfeFg==" saltValue="f2aDRqggIyTEM6bvvBps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dEiI3dxRt1fhzmMJ5ZsVz++ZYcJq+16urzzJ8sj2Tj6bpSqDTkajKHgE2HNNvskdvAUKhAftSdIIy5TVT2t1A==" saltValue="TGTBRCVLqKucbMLp/1++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1i4nzyxpz2Tiz7DjSNAmGo9xDcowIazzcUT85ePvafWKKtBI7KEBnBXsPdUQ90JaGAfjucs/z8mn+fbhTcroA==" saltValue="XW1xclmFjdHVW9RYrh1+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FtkHRCQlCPWVVeBxLGI0aWy5RIbUgAYn2o2dIF90vQP1z94YBjF7UW0qYHFOEbII6CBGAmF/CsDnCkj/ElzXw==" saltValue="pY7xWHkE+beVNgLBlwUA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gI7OovVfvh/NcmF1xfEXUPMHh6WupdurrZyjA9wmOM1wWUOFKYNVjmQlu2QRKa2RgBh1V6/ryME5Eef8Mt6eg==" saltValue="bZsrpPiaE1J0Hs4hg+Ix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n3RVSD6R8tVpfVY4Ovj1wv3U/BOO2LPyUZTqVH8RT3l25TZjoMSUCjHq8Qc8muiUr376Ze95GjEY2i+7Afe9A==" saltValue="8EDEwT7bUaHGiePu0QVR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+fGydsvO0QaHbf4mUW5d5WVjc3CaI+d2xonIyhHWEra6CoJ6bobWrn+peO3/jtk/thKgS+DCwcUAP8yH8s+0g==" saltValue="yKumnbsYhO6tjaFkqWEm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wp/dW0L1qPMVpQPSk146CT+JLpx3BA/nIXCVkCWUaqvIbC3Xf6qkxLTSw6gb7vhR77iRTnTBAiJrvUs/2BOMA==" saltValue="GuXsvKYuvq02Wi5NNYIL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