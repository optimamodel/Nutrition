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7D855F20-54A1-4B5B-91D2-A5C02B01F72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A19" i="2"/>
  <c r="I6" i="2"/>
  <c r="I12" i="2"/>
  <c r="A35" i="2"/>
  <c r="A22" i="2"/>
  <c r="I39" i="2"/>
  <c r="I3" i="2"/>
  <c r="A23" i="2"/>
  <c r="A40" i="2"/>
  <c r="I4" i="2"/>
  <c r="A25" i="2"/>
  <c r="I13" i="2"/>
  <c r="A37" i="2"/>
  <c r="A24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<sst xmlns="http://schemas.openxmlformats.org/spreadsheetml/2006/main" count="2169" uniqueCount="373">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</sst>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2220484</v>
      </c>
    </row>
    <row r="8" spans="1:3" ht="15" customHeight="1" x14ac:dyDescent="0.25">
      <c r="B8" s="5" t="s">
        <v>63</v>
      </c>
      <c r="C8" s="44">
        <v>0.35299999999999998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0.2556081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0.14269999999999999</v>
      </c>
    </row>
    <row r="24" spans="1:3" ht="15" customHeight="1" x14ac:dyDescent="0.25">
      <c r="B24" s="15" t="s">
        <v>65</v>
      </c>
      <c r="C24" s="45">
        <v>0.42099999999999987</v>
      </c>
    </row>
    <row r="25" spans="1:3" ht="15" customHeight="1" x14ac:dyDescent="0.25">
      <c r="B25" s="15" t="s">
        <v>66</v>
      </c>
      <c r="C25" s="45">
        <v>0.33529999999999999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7">
        <v>3.7040067899888597E-2</v>
      </c>
    </row>
    <row r="31" spans="1:3" ht="14.25" customHeight="1" x14ac:dyDescent="0.25">
      <c r="B31" s="25" t="s">
        <v>29</v>
      </c>
      <c r="C31" s="97">
        <v>9.42970158051466E-2</v>
      </c>
    </row>
    <row r="32" spans="1:3" ht="14.25" customHeight="1" x14ac:dyDescent="0.25">
      <c r="B32" s="25" t="s">
        <v>30</v>
      </c>
      <c r="C32" s="97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31.108440000000002</v>
      </c>
    </row>
    <row r="38" spans="1:5" ht="15" customHeight="1" x14ac:dyDescent="0.25">
      <c r="B38" s="11" t="s">
        <v>54</v>
      </c>
      <c r="C38" s="43">
        <v>63.776989999999998</v>
      </c>
      <c r="D38" s="12"/>
      <c r="E38" s="13"/>
    </row>
    <row r="39" spans="1:5" ht="15" customHeight="1" x14ac:dyDescent="0.25">
      <c r="B39" s="11" t="s">
        <v>80</v>
      </c>
      <c r="C39" s="43">
        <v>98.726939999999999</v>
      </c>
      <c r="D39" s="12"/>
      <c r="E39" s="12"/>
    </row>
    <row r="40" spans="1:5" ht="15" customHeight="1" x14ac:dyDescent="0.25">
      <c r="B40" s="11" t="s">
        <v>55</v>
      </c>
      <c r="C40" s="98">
        <v>5.53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7.9359000000000009E-3</v>
      </c>
      <c r="D45" s="12"/>
    </row>
    <row r="46" spans="1:5" ht="15.75" customHeight="1" x14ac:dyDescent="0.25">
      <c r="B46" s="11" t="s">
        <v>70</v>
      </c>
      <c r="C46" s="45">
        <v>8.5269600000000001E-2</v>
      </c>
      <c r="D46" s="12"/>
    </row>
    <row r="47" spans="1:5" ht="15.75" customHeight="1" x14ac:dyDescent="0.25">
      <c r="B47" s="11" t="s">
        <v>78</v>
      </c>
      <c r="C47" s="45">
        <v>7.34538E-2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2.4700000000000002</v>
      </c>
      <c r="D51" s="12"/>
    </row>
    <row r="52" spans="1:4" ht="15" customHeight="1" x14ac:dyDescent="0.25">
      <c r="B52" s="11" t="s">
        <v>32</v>
      </c>
      <c r="C52" s="98">
        <v>2.4700000000000002</v>
      </c>
    </row>
    <row r="53" spans="1:4" ht="15.75" customHeight="1" x14ac:dyDescent="0.25">
      <c r="B53" s="11" t="s">
        <v>35</v>
      </c>
      <c r="C53" s="98">
        <v>6.8640000000000008</v>
      </c>
    </row>
    <row r="54" spans="1:4" ht="15.75" customHeight="1" x14ac:dyDescent="0.25">
      <c r="B54" s="11" t="s">
        <v>33</v>
      </c>
      <c r="C54" s="98">
        <v>5.3819999999999997</v>
      </c>
    </row>
    <row r="55" spans="1:4" ht="15.75" customHeight="1" x14ac:dyDescent="0.25">
      <c r="B55" s="11" t="s">
        <v>34</v>
      </c>
      <c r="C55" s="98">
        <v>3.1373333333333342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0.412416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E7Rn0Hgl9RamA5RrjhD+xbrGKKocRDEfbAQgGkzjufV7AV0gswLI/kB+lLeW/S84OwWdkToPXMcwc2sukzPqw==" saltValue="3Yef5lLHfnpxhkdABZ9o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491708</v>
      </c>
      <c r="C2" s="49">
        <v>790115.5</v>
      </c>
      <c r="D2" s="49">
        <v>1307597.4999999998</v>
      </c>
      <c r="E2" s="49">
        <v>939624</v>
      </c>
      <c r="F2" s="49">
        <v>584455</v>
      </c>
      <c r="G2" s="17">
        <f t="shared" ref="G2:G13" si="0">C2+D2+E2+F2</f>
        <v>3621792</v>
      </c>
      <c r="H2" s="17">
        <f t="shared" ref="H2:H13" si="1">(B2 + stillbirth*B2/(1000-stillbirth))/(1-abortion)</f>
        <v>572056.78542968596</v>
      </c>
      <c r="I2" s="17">
        <f t="shared" ref="I2:I13" si="2">G2-H2</f>
        <v>3049735.2145703142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494546</v>
      </c>
      <c r="C3" s="50">
        <v>809869.5</v>
      </c>
      <c r="D3" s="50">
        <v>1332806</v>
      </c>
      <c r="E3" s="50">
        <v>976496.00000000012</v>
      </c>
      <c r="F3" s="50">
        <v>606252.99999999988</v>
      </c>
      <c r="G3" s="17">
        <f t="shared" si="0"/>
        <v>3725424.5</v>
      </c>
      <c r="H3" s="17">
        <f t="shared" si="1"/>
        <v>575358.5359748255</v>
      </c>
      <c r="I3" s="17">
        <f t="shared" si="2"/>
        <v>3150065.9640251743</v>
      </c>
    </row>
    <row r="4" spans="1:9" ht="15.75" customHeight="1" x14ac:dyDescent="0.25">
      <c r="A4" s="5">
        <f t="shared" si="3"/>
        <v>2026</v>
      </c>
      <c r="B4" s="49">
        <v>497357</v>
      </c>
      <c r="C4" s="50">
        <v>828613.5</v>
      </c>
      <c r="D4" s="50">
        <v>1358121.5</v>
      </c>
      <c r="E4" s="50">
        <v>1012550</v>
      </c>
      <c r="F4" s="50">
        <v>630244.5</v>
      </c>
      <c r="G4" s="17">
        <f t="shared" si="0"/>
        <v>3829529.5</v>
      </c>
      <c r="H4" s="17">
        <f t="shared" si="1"/>
        <v>578628.87451689283</v>
      </c>
      <c r="I4" s="17">
        <f t="shared" si="2"/>
        <v>3250900.6254831073</v>
      </c>
    </row>
    <row r="5" spans="1:9" ht="15.75" customHeight="1" x14ac:dyDescent="0.25">
      <c r="A5" s="5">
        <f t="shared" si="3"/>
        <v>2027</v>
      </c>
      <c r="B5" s="49">
        <v>501552</v>
      </c>
      <c r="C5" s="50">
        <v>846224</v>
      </c>
      <c r="D5" s="50">
        <v>1383350.5</v>
      </c>
      <c r="E5" s="50">
        <v>1048034.5</v>
      </c>
      <c r="F5" s="50">
        <v>656473</v>
      </c>
      <c r="G5" s="17">
        <f t="shared" si="0"/>
        <v>3934082</v>
      </c>
      <c r="H5" s="17">
        <f t="shared" si="1"/>
        <v>583509.36906828824</v>
      </c>
      <c r="I5" s="17">
        <f t="shared" si="2"/>
        <v>3350572.6309317118</v>
      </c>
    </row>
    <row r="6" spans="1:9" ht="15.75" customHeight="1" x14ac:dyDescent="0.25">
      <c r="A6" s="5">
        <f t="shared" si="3"/>
        <v>2028</v>
      </c>
      <c r="B6" s="49">
        <v>503185</v>
      </c>
      <c r="C6" s="50">
        <v>862891</v>
      </c>
      <c r="D6" s="50">
        <v>1410619.0000000002</v>
      </c>
      <c r="E6" s="50">
        <v>1081322.9999999998</v>
      </c>
      <c r="F6" s="50">
        <v>684806</v>
      </c>
      <c r="G6" s="17">
        <f t="shared" si="0"/>
        <v>4039639</v>
      </c>
      <c r="H6" s="17">
        <f t="shared" si="1"/>
        <v>585409.21355039277</v>
      </c>
      <c r="I6" s="17">
        <f t="shared" si="2"/>
        <v>3454229.7864496075</v>
      </c>
    </row>
    <row r="7" spans="1:9" ht="15.75" customHeight="1" x14ac:dyDescent="0.25">
      <c r="A7" s="5">
        <f t="shared" si="3"/>
        <v>2029</v>
      </c>
      <c r="B7" s="49">
        <v>504595</v>
      </c>
      <c r="C7" s="50">
        <v>878937.5</v>
      </c>
      <c r="D7" s="50">
        <v>1439882.5</v>
      </c>
      <c r="E7" s="50">
        <v>1112342.9999999998</v>
      </c>
      <c r="F7" s="50">
        <v>714879.5</v>
      </c>
      <c r="G7" s="17">
        <f t="shared" si="0"/>
        <v>4146042.5</v>
      </c>
      <c r="H7" s="17">
        <f t="shared" si="1"/>
        <v>587049.61815527186</v>
      </c>
      <c r="I7" s="17">
        <f t="shared" si="2"/>
        <v>3558992.8818447283</v>
      </c>
    </row>
    <row r="8" spans="1:9" ht="15.75" customHeight="1" x14ac:dyDescent="0.25">
      <c r="A8" s="5">
        <f t="shared" si="3"/>
        <v>2030</v>
      </c>
      <c r="B8" s="49">
        <v>506565</v>
      </c>
      <c r="C8" s="50">
        <v>894961</v>
      </c>
      <c r="D8" s="50">
        <v>1470484</v>
      </c>
      <c r="E8" s="50">
        <v>1142146</v>
      </c>
      <c r="F8" s="50">
        <v>746448.5</v>
      </c>
      <c r="G8" s="17">
        <f t="shared" si="0"/>
        <v>4254039.5</v>
      </c>
      <c r="H8" s="17">
        <f t="shared" si="1"/>
        <v>589341.53097201767</v>
      </c>
      <c r="I8" s="17">
        <f t="shared" si="2"/>
        <v>3664697.9690279821</v>
      </c>
    </row>
    <row r="9" spans="1:9" ht="15.75" customHeight="1" x14ac:dyDescent="0.25">
      <c r="A9" s="5">
        <f t="shared" si="3"/>
        <v>2031</v>
      </c>
      <c r="B9" s="49">
        <v>508635</v>
      </c>
      <c r="C9" s="50">
        <v>911646</v>
      </c>
      <c r="D9" s="50">
        <v>1502521.4999999998</v>
      </c>
      <c r="E9" s="50">
        <v>1169524.5</v>
      </c>
      <c r="F9" s="50">
        <v>779692.5</v>
      </c>
      <c r="G9" s="17">
        <f t="shared" si="0"/>
        <v>4363384.5</v>
      </c>
      <c r="H9" s="17">
        <f t="shared" si="1"/>
        <v>591749.78454088268</v>
      </c>
      <c r="I9" s="17">
        <f t="shared" si="2"/>
        <v>3771634.7154591172</v>
      </c>
    </row>
    <row r="10" spans="1:9" ht="15.75" customHeight="1" x14ac:dyDescent="0.25">
      <c r="A10" s="5">
        <f t="shared" si="3"/>
        <v>2032</v>
      </c>
      <c r="B10" s="49">
        <v>510880</v>
      </c>
      <c r="C10" s="50">
        <v>928722</v>
      </c>
      <c r="D10" s="50">
        <v>1535796</v>
      </c>
      <c r="E10" s="50">
        <v>1193591.5</v>
      </c>
      <c r="F10" s="50">
        <v>814247.5</v>
      </c>
      <c r="G10" s="17">
        <f t="shared" si="0"/>
        <v>4472357</v>
      </c>
      <c r="H10" s="17">
        <f t="shared" si="1"/>
        <v>594361.63442595594</v>
      </c>
      <c r="I10" s="17">
        <f t="shared" si="2"/>
        <v>3877995.3655740442</v>
      </c>
    </row>
    <row r="11" spans="1:9" ht="15.75" customHeight="1" x14ac:dyDescent="0.25">
      <c r="A11" s="5">
        <f t="shared" si="3"/>
        <v>2033</v>
      </c>
      <c r="B11" s="49">
        <v>511287</v>
      </c>
      <c r="C11" s="50">
        <v>945328</v>
      </c>
      <c r="D11" s="50">
        <v>1570011</v>
      </c>
      <c r="E11" s="50">
        <v>1215762</v>
      </c>
      <c r="F11" s="50">
        <v>849429.5</v>
      </c>
      <c r="G11" s="17">
        <f t="shared" si="0"/>
        <v>4580530.5</v>
      </c>
      <c r="H11" s="17">
        <f t="shared" si="1"/>
        <v>594835.14128708071</v>
      </c>
      <c r="I11" s="17">
        <f t="shared" si="2"/>
        <v>3985695.3587129191</v>
      </c>
    </row>
    <row r="12" spans="1:9" ht="15.75" customHeight="1" x14ac:dyDescent="0.25">
      <c r="A12" s="5">
        <f t="shared" si="3"/>
        <v>2034</v>
      </c>
      <c r="B12" s="49">
        <v>511908</v>
      </c>
      <c r="C12" s="50">
        <v>961402.5</v>
      </c>
      <c r="D12" s="50">
        <v>1604078.5</v>
      </c>
      <c r="E12" s="50">
        <v>1237546.5</v>
      </c>
      <c r="F12" s="50">
        <v>884665.50000000012</v>
      </c>
      <c r="G12" s="17">
        <f t="shared" si="0"/>
        <v>4687693</v>
      </c>
      <c r="H12" s="17">
        <f t="shared" si="1"/>
        <v>595557.61735774018</v>
      </c>
      <c r="I12" s="17">
        <f t="shared" si="2"/>
        <v>4092135.3826422598</v>
      </c>
    </row>
    <row r="13" spans="1:9" ht="15.75" customHeight="1" x14ac:dyDescent="0.25">
      <c r="A13" s="5">
        <f t="shared" si="3"/>
        <v>2035</v>
      </c>
      <c r="B13" s="49">
        <v>512900</v>
      </c>
      <c r="C13" s="50">
        <v>977114</v>
      </c>
      <c r="D13" s="50">
        <v>1638068.4999999998</v>
      </c>
      <c r="E13" s="50">
        <v>1260418.0000000002</v>
      </c>
      <c r="F13" s="50">
        <v>919223.5</v>
      </c>
      <c r="G13" s="17">
        <f t="shared" si="0"/>
        <v>4794824</v>
      </c>
      <c r="H13" s="17">
        <f t="shared" si="1"/>
        <v>596711.71761876135</v>
      </c>
      <c r="I13" s="17">
        <f t="shared" si="2"/>
        <v>4198112.2823812384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cnlpKuzKnL+Z8faiSRw1d9CWR3hHRrn3nragWUDHxdZscI4NC/7kxiq66ae2ik7J1ljyBOnmqRsVSyGeIDA6A==" saltValue="rsk6ukGHzUgp2oObBTn5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2.6736499999999962E-2</v>
      </c>
    </row>
    <row r="4" spans="1:8" ht="15.75" customHeight="1" x14ac:dyDescent="0.25">
      <c r="B4" s="19" t="s">
        <v>116</v>
      </c>
      <c r="C4" s="99">
        <v>6.2096499999999832E-2</v>
      </c>
    </row>
    <row r="5" spans="1:8" ht="15.75" customHeight="1" x14ac:dyDescent="0.25">
      <c r="B5" s="19" t="s">
        <v>114</v>
      </c>
      <c r="C5" s="99">
        <v>9.6906999999999965E-2</v>
      </c>
    </row>
    <row r="6" spans="1:8" ht="15.75" customHeight="1" x14ac:dyDescent="0.25">
      <c r="B6" s="19" t="s">
        <v>110</v>
      </c>
      <c r="C6" s="99">
        <v>0.2477423999999997</v>
      </c>
    </row>
    <row r="7" spans="1:8" ht="15.75" customHeight="1" x14ac:dyDescent="0.25">
      <c r="B7" s="19" t="s">
        <v>115</v>
      </c>
      <c r="C7" s="99">
        <v>0.39012300000000072</v>
      </c>
    </row>
    <row r="8" spans="1:8" ht="15.75" customHeight="1" x14ac:dyDescent="0.25">
      <c r="B8" s="19" t="s">
        <v>117</v>
      </c>
      <c r="C8" s="99">
        <v>1.2472399999999981E-2</v>
      </c>
    </row>
    <row r="9" spans="1:8" ht="15.75" customHeight="1" x14ac:dyDescent="0.25">
      <c r="B9" s="19" t="s">
        <v>111</v>
      </c>
      <c r="C9" s="99">
        <v>5.6193299999999821E-2</v>
      </c>
    </row>
    <row r="10" spans="1:8" ht="15.75" customHeight="1" x14ac:dyDescent="0.25">
      <c r="B10" s="19" t="s">
        <v>113</v>
      </c>
      <c r="C10" s="99">
        <v>0.10772889999999979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121</v>
      </c>
      <c r="C15" s="99">
        <v>0.26960626964040468</v>
      </c>
      <c r="D15" s="99">
        <v>0.26960626964040468</v>
      </c>
      <c r="E15" s="99">
        <v>0.26960626964040468</v>
      </c>
      <c r="F15" s="99">
        <v>0.26960626964040468</v>
      </c>
    </row>
    <row r="16" spans="1:8" ht="15.75" customHeight="1" x14ac:dyDescent="0.25">
      <c r="B16" s="19" t="s">
        <v>2</v>
      </c>
      <c r="C16" s="99">
        <v>4.0112656644452287E-2</v>
      </c>
      <c r="D16" s="99">
        <v>4.0112656644452287E-2</v>
      </c>
      <c r="E16" s="99">
        <v>4.0112656644452287E-2</v>
      </c>
      <c r="F16" s="99">
        <v>4.0112656644452287E-2</v>
      </c>
    </row>
    <row r="17" spans="1:8" ht="15.75" customHeight="1" x14ac:dyDescent="0.25">
      <c r="B17" s="19" t="s">
        <v>109</v>
      </c>
      <c r="C17" s="99">
        <v>0.16760763979547269</v>
      </c>
      <c r="D17" s="99">
        <v>0.16760763979547269</v>
      </c>
      <c r="E17" s="99">
        <v>0.16760763979547269</v>
      </c>
      <c r="F17" s="99">
        <v>0.16760763979547269</v>
      </c>
    </row>
    <row r="18" spans="1:8" ht="15.75" customHeight="1" x14ac:dyDescent="0.25">
      <c r="B18" s="19" t="s">
        <v>3</v>
      </c>
      <c r="C18" s="99">
        <v>0.19823236164519181</v>
      </c>
      <c r="D18" s="99">
        <v>0.19823236164519181</v>
      </c>
      <c r="E18" s="99">
        <v>0.19823236164519181</v>
      </c>
      <c r="F18" s="99">
        <v>0.19823236164519181</v>
      </c>
    </row>
    <row r="19" spans="1:8" ht="15.75" customHeight="1" x14ac:dyDescent="0.25">
      <c r="B19" s="19" t="s">
        <v>120</v>
      </c>
      <c r="C19" s="99">
        <v>1.546365925485443E-2</v>
      </c>
      <c r="D19" s="99">
        <v>1.546365925485443E-2</v>
      </c>
      <c r="E19" s="99">
        <v>1.546365925485443E-2</v>
      </c>
      <c r="F19" s="99">
        <v>1.546365925485443E-2</v>
      </c>
    </row>
    <row r="20" spans="1:8" ht="15.75" customHeight="1" x14ac:dyDescent="0.25">
      <c r="B20" s="19" t="s">
        <v>98</v>
      </c>
      <c r="C20" s="99">
        <v>1.3943537817300299E-2</v>
      </c>
      <c r="D20" s="99">
        <v>1.3943537817300299E-2</v>
      </c>
      <c r="E20" s="99">
        <v>1.3943537817300299E-2</v>
      </c>
      <c r="F20" s="99">
        <v>1.3943537817300299E-2</v>
      </c>
    </row>
    <row r="21" spans="1:8" ht="15.75" customHeight="1" x14ac:dyDescent="0.25">
      <c r="B21" s="19" t="s">
        <v>107</v>
      </c>
      <c r="C21" s="99">
        <v>3.9464722478875093E-2</v>
      </c>
      <c r="D21" s="99">
        <v>3.9464722478875093E-2</v>
      </c>
      <c r="E21" s="99">
        <v>3.9464722478875093E-2</v>
      </c>
      <c r="F21" s="99">
        <v>3.9464722478875093E-2</v>
      </c>
    </row>
    <row r="22" spans="1:8" ht="15.75" customHeight="1" x14ac:dyDescent="0.25">
      <c r="B22" s="19" t="s">
        <v>118</v>
      </c>
      <c r="C22" s="99">
        <v>0.1014390551831001</v>
      </c>
      <c r="D22" s="99">
        <v>0.1014390551831001</v>
      </c>
      <c r="E22" s="99">
        <v>0.1014390551831001</v>
      </c>
      <c r="F22" s="99">
        <v>0.1014390551831001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8.8245948000000005E-2</v>
      </c>
    </row>
    <row r="27" spans="1:8" ht="15.75" customHeight="1" x14ac:dyDescent="0.25">
      <c r="B27" s="19" t="s">
        <v>108</v>
      </c>
      <c r="C27" s="99">
        <v>8.6324339999999996E-3</v>
      </c>
    </row>
    <row r="28" spans="1:8" ht="15.75" customHeight="1" x14ac:dyDescent="0.25">
      <c r="B28" s="19" t="s">
        <v>122</v>
      </c>
      <c r="C28" s="99">
        <v>0.156169268</v>
      </c>
    </row>
    <row r="29" spans="1:8" ht="15.75" customHeight="1" x14ac:dyDescent="0.25">
      <c r="B29" s="19" t="s">
        <v>105</v>
      </c>
      <c r="C29" s="99">
        <v>0.169329655</v>
      </c>
    </row>
    <row r="30" spans="1:8" ht="15.75" customHeight="1" x14ac:dyDescent="0.25">
      <c r="B30" s="19" t="s">
        <v>4</v>
      </c>
      <c r="C30" s="99">
        <v>0.10546003399999999</v>
      </c>
    </row>
    <row r="31" spans="1:8" ht="15.75" customHeight="1" x14ac:dyDescent="0.25">
      <c r="B31" s="19" t="s">
        <v>99</v>
      </c>
      <c r="C31" s="99">
        <v>0.109941625</v>
      </c>
    </row>
    <row r="32" spans="1:8" ht="15.75" customHeight="1" x14ac:dyDescent="0.25">
      <c r="B32" s="19" t="s">
        <v>104</v>
      </c>
      <c r="C32" s="99">
        <v>1.8686595E-2</v>
      </c>
    </row>
    <row r="33" spans="2:3" ht="15.75" customHeight="1" x14ac:dyDescent="0.25">
      <c r="B33" s="19" t="s">
        <v>119</v>
      </c>
      <c r="C33" s="99">
        <v>8.470502299999999E-2</v>
      </c>
    </row>
    <row r="34" spans="2:3" ht="15.75" customHeight="1" x14ac:dyDescent="0.25">
      <c r="B34" s="19" t="s">
        <v>106</v>
      </c>
      <c r="C34" s="99">
        <v>0.25882941799999998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uFJnNyNjjoE6HXBnat8DKQJqH94NstEHlp36rZFVZZVDKy+fxeNED24EAG4JVHc3cpR5mSt8kfFfRJ8JBJHAuw==" saltValue="8SQfXyneoPpJDqcPwcC+O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129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125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126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138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aimdm7uvp69RM7MO9+Rv8XNNsqxAkT0hCTpuPLtHagkIycwhOAeJ6Pr1KJaO2d9PbVyboPtd7ln4GWifxaxQQ==" saltValue="wIEZMud1tS9iABdO2r7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7.0920400000000106E-2</v>
      </c>
      <c r="D5" s="52">
        <f t="shared" si="0"/>
        <v>8.3686900000000009E-2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lYav8Uw76WjZIcUfSWLu7zKMsItjqpmxkX6HI7sZvKR62BU8Z9tY/VNrdGek1En5zsydW29QjwMGPUPCBJTkmw==" saltValue="uA8RVpJMH8JaDQY/XO3G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Ex+HewpifZmVln392hKHXzI+pZ+urirVOaNFmT4ddS8A+FynDs2cND9jvMGrtuNe9CxY2h1e9EikqGWrYqwGw==" saltValue="IoGQj4RtjwLeJ9YBqYD6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1515.16794777584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0.37432000000000004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0.43612000000000001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1.8285810182065196E-2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90253.929969999997</v>
      </c>
      <c r="C22" s="107">
        <v>89126.380439999994</v>
      </c>
      <c r="D22" s="107">
        <v>88551.283349999998</v>
      </c>
      <c r="E22" s="107">
        <v>87879.151410000006</v>
      </c>
      <c r="F22" s="107">
        <v>86947.660440000007</v>
      </c>
      <c r="G22" s="107">
        <v>85778.042679999999</v>
      </c>
      <c r="H22" s="107">
        <v>84267.900959999999</v>
      </c>
      <c r="I22" s="107">
        <v>82298.965230000002</v>
      </c>
      <c r="J22" s="107">
        <v>79636.110289999997</v>
      </c>
      <c r="K22" s="107">
        <v>76268.576140000005</v>
      </c>
      <c r="L22" s="107">
        <v>71653.351689999996</v>
      </c>
      <c r="M22" s="107">
        <v>65683.188500000004</v>
      </c>
      <c r="N22" s="107">
        <v>57659.873209999998</v>
      </c>
      <c r="O22" s="107">
        <v>47957.426630000002</v>
      </c>
    </row>
  </sheetData>
  <sheetProtection algorithmName="SHA-512" hashValue="V3oE9d9I5OUsFQ2Te4T9T+Bgf2IKoS644dfIpsQkgxpJIC5Ak0xY122ZUd8aXcS/IeDHiKAoY4g4hXkR6ZJn4Q==" saltValue="3Jq92a0O30XloG65MBZBs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7Fhgkgwwbk6QAjmARZ3y64+0xDG4aQZZy6Hjfp+FivK9xUmPwSpGYGTKUU9PvjzIM6K2N3yjrsBz/rjT4rbHQ==" saltValue="NscNkCT/oUJR8IiS8WeM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S8bawnrmLHNs5frq6lNQ6yoUi2dHvuk0Awnufpn7NKcZ6R9FOOK1denv05y/MZ94poxsQatSVTEuXarXEAmQg==" saltValue="SP/tIMfsQx5apLa/unfFm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0.23646220000000001</v>
      </c>
      <c r="C10" s="96">
        <v>0.95</v>
      </c>
      <c r="D10" s="56">
        <v>15.044545796194489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15.044545796194489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15.044545796194489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15.044545796194489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0.23646220000000001</v>
      </c>
      <c r="C14" s="96">
        <v>0.95</v>
      </c>
      <c r="D14" s="56">
        <v>15.044545796194489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15.044545796194489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0.62398120000000001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0.163026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0.187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0.2905181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0.43885239999999998</v>
      </c>
      <c r="C23" s="96">
        <v>0.95</v>
      </c>
      <c r="D23" s="56">
        <v>4.9284766235485638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0.371562949939933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0.23646220000000001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0.54870339999999995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0.13809589999999999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0.13059999999999999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0.97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0.20636095323558901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0.5478866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2.1925999999999998E-3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0.22891449999999999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0.26043110000000003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8MPsTwOer4P60akNEIIfk8mKAcQzHR29JI270fq837FqdwnUlWH8MAhOFSvwrC2JnlnXntcii115EXO61wbfcQ==" saltValue="2dr5p8fZ+qQSakToKxWX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CdVUUvAEmteatL7V+50uoprxyqu2UlTzDviXMOkzlCv7ZnFIuQ81yUWLmOlctIOu4HVZ29VWKSDFWwVT3y6gA==" saltValue="jL4tMxWH8M+tnyCgQH8T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UISbVWtbgrr9UypwBtfQwdc3JynjKiAggGn39YMOe6X7PlKwzMrtuocJmPXHzvTe8KyW7waAjXcatNlEuzleg==" saltValue="anvu3UvbROWBfxQaAfOK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2.4700000000000002</v>
      </c>
      <c r="C2" s="21">
        <f>'Entradas de población-año base'!C52</f>
        <v>2.4700000000000002</v>
      </c>
      <c r="D2" s="21">
        <f>'Entradas de población-año base'!C53</f>
        <v>6.8640000000000008</v>
      </c>
      <c r="E2" s="21">
        <f>'Entradas de población-año base'!C54</f>
        <v>5.3819999999999997</v>
      </c>
      <c r="F2" s="21">
        <f>'Entradas de población-año base'!C55</f>
        <v>3.1373333333333342</v>
      </c>
    </row>
    <row r="3" spans="1:6" ht="15.75" customHeight="1" x14ac:dyDescent="0.25">
      <c r="A3" s="3" t="s">
        <v>6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236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7eVCOswVUXIBGJxKeOdy7g+ZtdaXq9AuoOzhyyMMXnzTY7aqMf0MAoeralwKNaNDbiKj0R8lzI9xF+QR5r2GCw==" saltValue="QPYSNQoGYsuH0xDYjp46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0.35299999999999998</v>
      </c>
      <c r="F2" s="60">
        <f>food_insecure</f>
        <v>0.35299999999999998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5.38909090909091E-2</v>
      </c>
      <c r="D7" s="60">
        <f>diarrhoea_1_5mo*frac_diarrhea_severe</f>
        <v>5.38909090909091E-2</v>
      </c>
      <c r="E7" s="60">
        <f>diarrhoea_6_11mo*frac_diarrhea_severe</f>
        <v>0.14976000000000003</v>
      </c>
      <c r="F7" s="60">
        <f>diarrhoea_12_23mo*frac_diarrhea_severe</f>
        <v>0.11742545454545454</v>
      </c>
      <c r="G7" s="60">
        <f>diarrhoea_24_59mo*frac_diarrhea_severe</f>
        <v>6.8450909090909118E-2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5.38909090909091E-2</v>
      </c>
      <c r="D12" s="60">
        <f>diarrhoea_1_5mo*frac_diarrhea_severe</f>
        <v>5.38909090909091E-2</v>
      </c>
      <c r="E12" s="60">
        <f>diarrhoea_6_11mo*frac_diarrhea_severe</f>
        <v>0.14976000000000003</v>
      </c>
      <c r="F12" s="60">
        <f>diarrhoea_12_23mo*frac_diarrhea_severe</f>
        <v>0.11742545454545454</v>
      </c>
      <c r="G12" s="60">
        <f>diarrhoea_24_59mo*frac_diarrhea_severe</f>
        <v>6.8450909090909118E-2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0.35299999999999998</v>
      </c>
      <c r="I15" s="60">
        <f t="shared" si="0"/>
        <v>0.35299999999999998</v>
      </c>
      <c r="J15" s="60">
        <f t="shared" si="0"/>
        <v>0.35299999999999998</v>
      </c>
      <c r="K15" s="60">
        <f t="shared" si="0"/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0.35299999999999998</v>
      </c>
      <c r="I16" s="60">
        <f t="shared" si="0"/>
        <v>0.35299999999999998</v>
      </c>
      <c r="J16" s="60">
        <f t="shared" si="0"/>
        <v>0.35299999999999998</v>
      </c>
      <c r="K16" s="60">
        <f t="shared" si="0"/>
        <v>0.35299999999999998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0.41993380254699997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0.17997162966299998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0.14448646778999999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0.2556081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5sIt3V27M4Arrtn5vfZblDkWEjeuXiBEoHga2U68rBGvka5ugY8iXS0sVSzE1GCToSbpkb+cIuo+h61yhsN4A==" saltValue="JvhX4qU+Yfyv7VmExNPX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QzlKM12ZfGRg+B+3YhAQEIPloYCvEzJ7+3A8i3v8O05WHp5xFzVtrD98DeaeyXeGsK6r9lRl8fifanWEy+Bxg==" saltValue="KF2r2OVFVLxb8Pd/GcD/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jOfeIyZbeAvZn1xuxGW610PUjGaZBEM735yRrisa2deu0QdYACG8BX38y3esNGxf/z77HX1Ug70OGuCfIDKuQ==" saltValue="cJDuOGGpq0W+VCTeu2mb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ElBP3zjifjnzCw2kPWV/6Tn8h3NCR18YfixqdMPbegzu8sNZkSflXjpgkv6VJLLm4pH7u3tqLF2pXHzn3/6bw==" saltValue="uWqnb0oEnWToLAeqC0bXo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/yxbWizdbAPYZmNRGzqqvwu1oDn7c2OkFaYj+nDJAOHQu4OIMnd8z1vcDSsw54hCsOzvANKOTT5Vp0jhj+hL7A==" saltValue="j2IyVV6j7HlS+jGSu/tl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6AFSw7dWilm2/obK4TMoYJHMZXgrvC8muSQdgpCCwpTZweAsQ499MsiUYWF3rwMlhZkDUwszLRDoCQ7xT5PNw==" saltValue="ILNPcLUxDOdLtgGT2UKe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1l8S+1hRF+TAcWpFHXJkvRmM4X5aox0XDRbQKVEIouvsHKWpbV9O5gqwg6yvgwOKVids3RrTFFPjJ+a+opsRw==" saltValue="Ob38p7d26uy1xqpUiCuF0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0jggDLHNgUULbI74WNz8zIpcFY4oHmNOQdwxep53EpComw+FU8TR70vMQ7hdK2rGGNIN33tKs1geF23DS6hEGA==" saltValue="U/5ddvvFvk9Aq+9/YWZG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+HHzNeLztmo4mwVyOfyi7qLzi8fOxJ/cQtHGCEtdPA0RWTnX03pXnc7GHR4RChxEu/Zrb5br5Lv+Z0j+g5S1A==" saltValue="VbMU0ky23cmdMd7Wd2HY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SEXDXZj7z/zbrX/L37Q6LTzioMEgA3ZFINcJBULxYo3fALcwwhtD0SfnmQo/vpEfIxQSaeWrwLI5Ww4/16iIA==" saltValue="efwnZDzSOxQGuHNaRVXn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I6Wi+i3+JDEmHl/bHorS68fT9AMDCZTbHh0WvZEXN31UKPwGcy+y/nHZcByY1AP83tA60+B8vaEbCSIathEug==" saltValue="bcrQLWRiViBMGnx2MU3O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FcnNuY0w42OQCvkEjUVJGQ3YZuXvOkrdudD861fWcMEGJusyrf6zPXWtKwtbuleKWBMNJbnk2DDwWHtgriYAA==" saltValue="k4GgVNNkkGCAGKHGgLX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zNM3LBbOK5PO4PN85PJlmiNYGLa6fYKMFC4aXGsWelovV3GQ2LaCmfoVNlKsH8DRT74odVIoBWCK+PT4+u6Wg==" saltValue="xHZ0N+6hUjehmNXFCs8K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b0SDbZAB7AEh1VJk3Y+pk+LReTDr3Rd5siPCYYPpF6r8Ga4uipkNH3gquyg9498+uacpO+I6KeTyTtEUSwqrA==" saltValue="Byb7GY183Yw58oQX3x+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Su29jbl1nVZVpx8gBYZkaet0HgbrIa/puGwKOiEXwoDxgGgwOB1I2pUdwRjxDmDE0zOGslzMnewSTe7fMVZrQ==" saltValue="p4WrtxffsAvW/lZsfXO/t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