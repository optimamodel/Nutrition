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B501F0E8-F9DA-4682-BB40-28EEFC8BD5EC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4" i="2"/>
  <c r="A36" i="2"/>
  <c r="A25" i="2"/>
  <c r="A26" i="2"/>
  <c r="I39" i="2"/>
  <c r="A31" i="2"/>
  <c r="A34" i="2"/>
  <c r="A40" i="2"/>
  <c r="I2" i="2"/>
  <c r="I6" i="2"/>
  <c r="A19" i="2"/>
  <c r="A35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<sst xmlns="http://schemas.openxmlformats.org/spreadsheetml/2006/main" count="2159" uniqueCount="372">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</sst>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2220484</v>
      </c>
    </row>
    <row r="8" spans="1:3" ht="15" customHeight="1" x14ac:dyDescent="0.25">
      <c r="B8" s="5" t="s">
        <v>63</v>
      </c>
      <c r="C8" s="44">
        <v>0.35299999999999998</v>
      </c>
    </row>
    <row r="9" spans="1:3" ht="15" customHeight="1" x14ac:dyDescent="0.25">
      <c r="B9" s="5" t="s">
        <v>62</v>
      </c>
      <c r="C9" s="45">
        <v>0.99</v>
      </c>
    </row>
    <row r="10" spans="1:3" ht="15" customHeight="1" x14ac:dyDescent="0.25">
      <c r="B10" s="5" t="s">
        <v>75</v>
      </c>
      <c r="C10" s="45">
        <v>0.2556081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0.78500000000000003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0.14269999999999999</v>
      </c>
    </row>
    <row r="24" spans="1:3" ht="15" customHeight="1" x14ac:dyDescent="0.25">
      <c r="B24" s="15" t="s">
        <v>65</v>
      </c>
      <c r="C24" s="45">
        <v>0.42099999999999987</v>
      </c>
    </row>
    <row r="25" spans="1:3" ht="15" customHeight="1" x14ac:dyDescent="0.25">
      <c r="B25" s="15" t="s">
        <v>66</v>
      </c>
      <c r="C25" s="45">
        <v>0.33529999999999999</v>
      </c>
    </row>
    <row r="26" spans="1:3" ht="15" customHeight="1" x14ac:dyDescent="0.25">
      <c r="B26" s="15" t="s">
        <v>67</v>
      </c>
      <c r="C26" s="45">
        <v>0.10100000000000001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0.20134766316932501</v>
      </c>
    </row>
    <row r="30" spans="1:3" ht="14.25" customHeight="1" x14ac:dyDescent="0.25">
      <c r="B30" s="25" t="s">
        <v>82</v>
      </c>
      <c r="C30" s="99">
        <v>3.7040067899888597E-2</v>
      </c>
    </row>
    <row r="31" spans="1:3" ht="14.25" customHeight="1" x14ac:dyDescent="0.25">
      <c r="B31" s="25" t="s">
        <v>29</v>
      </c>
      <c r="C31" s="99">
        <v>9.42970158051466E-2</v>
      </c>
    </row>
    <row r="32" spans="1:3" ht="14.25" customHeight="1" x14ac:dyDescent="0.25">
      <c r="B32" s="25" t="s">
        <v>30</v>
      </c>
      <c r="C32" s="99">
        <v>0.66731525312564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31.108440000000002</v>
      </c>
    </row>
    <row r="38" spans="1:5" ht="15" customHeight="1" x14ac:dyDescent="0.25">
      <c r="B38" s="11" t="s">
        <v>54</v>
      </c>
      <c r="C38" s="43">
        <v>63.776989999999998</v>
      </c>
      <c r="D38" s="12"/>
      <c r="E38" s="13"/>
    </row>
    <row r="39" spans="1:5" ht="15" customHeight="1" x14ac:dyDescent="0.25">
      <c r="B39" s="11" t="s">
        <v>80</v>
      </c>
      <c r="C39" s="43">
        <v>98.726939999999999</v>
      </c>
      <c r="D39" s="12"/>
      <c r="E39" s="12"/>
    </row>
    <row r="40" spans="1:5" ht="15" customHeight="1" x14ac:dyDescent="0.25">
      <c r="B40" s="11" t="s">
        <v>55</v>
      </c>
      <c r="C40" s="100">
        <v>5.53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23.24541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7.9359000000000009E-3</v>
      </c>
      <c r="D45" s="12"/>
    </row>
    <row r="46" spans="1:5" ht="15.75" customHeight="1" x14ac:dyDescent="0.25">
      <c r="B46" s="11" t="s">
        <v>70</v>
      </c>
      <c r="C46" s="45">
        <v>8.5269600000000001E-2</v>
      </c>
      <c r="D46" s="12"/>
    </row>
    <row r="47" spans="1:5" ht="15.75" customHeight="1" x14ac:dyDescent="0.25">
      <c r="B47" s="11" t="s">
        <v>78</v>
      </c>
      <c r="C47" s="45">
        <v>7.34538E-2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2.4700000000000002</v>
      </c>
      <c r="D51" s="12"/>
    </row>
    <row r="52" spans="1:4" ht="15" customHeight="1" x14ac:dyDescent="0.25">
      <c r="B52" s="11" t="s">
        <v>32</v>
      </c>
      <c r="C52" s="100">
        <v>2.4700000000000002</v>
      </c>
    </row>
    <row r="53" spans="1:4" ht="15.75" customHeight="1" x14ac:dyDescent="0.25">
      <c r="B53" s="11" t="s">
        <v>35</v>
      </c>
      <c r="C53" s="100">
        <v>6.8640000000000008</v>
      </c>
    </row>
    <row r="54" spans="1:4" ht="15.75" customHeight="1" x14ac:dyDescent="0.25">
      <c r="B54" s="11" t="s">
        <v>33</v>
      </c>
      <c r="C54" s="100">
        <v>5.3819999999999997</v>
      </c>
    </row>
    <row r="55" spans="1:4" ht="15.75" customHeight="1" x14ac:dyDescent="0.25">
      <c r="B55" s="11" t="s">
        <v>34</v>
      </c>
      <c r="C55" s="100">
        <v>3.1373333333333342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0.412416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XdZRctCA2Sd9T7ifSQgbEdQkhIQruXAUkD5/9aZBKOLaq7VhKvCcL9rz8KK5QSdc5QOCnvzyBFb1qk0pMicBiw==" saltValue="PsdIKZWCPEjR5gC3Jnfo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491708</v>
      </c>
      <c r="C2" s="49">
        <v>790115.5</v>
      </c>
      <c r="D2" s="49">
        <v>1307597.4999999998</v>
      </c>
      <c r="E2" s="49">
        <v>939624</v>
      </c>
      <c r="F2" s="49">
        <v>584455</v>
      </c>
      <c r="G2" s="17">
        <f t="shared" ref="G2:G13" si="0">C2+D2+E2+F2</f>
        <v>3621792</v>
      </c>
      <c r="H2" s="17">
        <f t="shared" ref="H2:H13" si="1">(B2 + stillbirth*B2/(1000-stillbirth))/(1-abortion)</f>
        <v>572056.78542968596</v>
      </c>
      <c r="I2" s="17">
        <f t="shared" ref="I2:I13" si="2">G2-H2</f>
        <v>3049735.2145703142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494546</v>
      </c>
      <c r="C3" s="50">
        <v>809869.5</v>
      </c>
      <c r="D3" s="50">
        <v>1332806</v>
      </c>
      <c r="E3" s="50">
        <v>976496.00000000012</v>
      </c>
      <c r="F3" s="50">
        <v>606252.99999999988</v>
      </c>
      <c r="G3" s="17">
        <f t="shared" si="0"/>
        <v>3725424.5</v>
      </c>
      <c r="H3" s="17">
        <f t="shared" si="1"/>
        <v>575358.5359748255</v>
      </c>
      <c r="I3" s="17">
        <f t="shared" si="2"/>
        <v>3150065.9640251743</v>
      </c>
    </row>
    <row r="4" spans="1:9" ht="15.75" customHeight="1" x14ac:dyDescent="0.25">
      <c r="A4" s="5">
        <f t="shared" si="3"/>
        <v>2026</v>
      </c>
      <c r="B4" s="49">
        <v>497357</v>
      </c>
      <c r="C4" s="50">
        <v>828613.5</v>
      </c>
      <c r="D4" s="50">
        <v>1358121.5</v>
      </c>
      <c r="E4" s="50">
        <v>1012550</v>
      </c>
      <c r="F4" s="50">
        <v>630244.5</v>
      </c>
      <c r="G4" s="17">
        <f t="shared" si="0"/>
        <v>3829529.5</v>
      </c>
      <c r="H4" s="17">
        <f t="shared" si="1"/>
        <v>578628.87451689283</v>
      </c>
      <c r="I4" s="17">
        <f t="shared" si="2"/>
        <v>3250900.6254831073</v>
      </c>
    </row>
    <row r="5" spans="1:9" ht="15.75" customHeight="1" x14ac:dyDescent="0.25">
      <c r="A5" s="5">
        <f t="shared" si="3"/>
        <v>2027</v>
      </c>
      <c r="B5" s="49">
        <v>501552</v>
      </c>
      <c r="C5" s="50">
        <v>846224</v>
      </c>
      <c r="D5" s="50">
        <v>1383350.5</v>
      </c>
      <c r="E5" s="50">
        <v>1048034.5</v>
      </c>
      <c r="F5" s="50">
        <v>656473</v>
      </c>
      <c r="G5" s="17">
        <f t="shared" si="0"/>
        <v>3934082</v>
      </c>
      <c r="H5" s="17">
        <f t="shared" si="1"/>
        <v>583509.36906828824</v>
      </c>
      <c r="I5" s="17">
        <f t="shared" si="2"/>
        <v>3350572.6309317118</v>
      </c>
    </row>
    <row r="6" spans="1:9" ht="15.75" customHeight="1" x14ac:dyDescent="0.25">
      <c r="A6" s="5">
        <f t="shared" si="3"/>
        <v>2028</v>
      </c>
      <c r="B6" s="49">
        <v>503185</v>
      </c>
      <c r="C6" s="50">
        <v>862891</v>
      </c>
      <c r="D6" s="50">
        <v>1410619.0000000002</v>
      </c>
      <c r="E6" s="50">
        <v>1081322.9999999998</v>
      </c>
      <c r="F6" s="50">
        <v>684806</v>
      </c>
      <c r="G6" s="17">
        <f t="shared" si="0"/>
        <v>4039639</v>
      </c>
      <c r="H6" s="17">
        <f t="shared" si="1"/>
        <v>585409.21355039277</v>
      </c>
      <c r="I6" s="17">
        <f t="shared" si="2"/>
        <v>3454229.7864496075</v>
      </c>
    </row>
    <row r="7" spans="1:9" ht="15.75" customHeight="1" x14ac:dyDescent="0.25">
      <c r="A7" s="5">
        <f t="shared" si="3"/>
        <v>2029</v>
      </c>
      <c r="B7" s="49">
        <v>504595</v>
      </c>
      <c r="C7" s="50">
        <v>878937.5</v>
      </c>
      <c r="D7" s="50">
        <v>1439882.5</v>
      </c>
      <c r="E7" s="50">
        <v>1112342.9999999998</v>
      </c>
      <c r="F7" s="50">
        <v>714879.5</v>
      </c>
      <c r="G7" s="17">
        <f t="shared" si="0"/>
        <v>4146042.5</v>
      </c>
      <c r="H7" s="17">
        <f t="shared" si="1"/>
        <v>587049.61815527186</v>
      </c>
      <c r="I7" s="17">
        <f t="shared" si="2"/>
        <v>3558992.8818447283</v>
      </c>
    </row>
    <row r="8" spans="1:9" ht="15.75" customHeight="1" x14ac:dyDescent="0.25">
      <c r="A8" s="5">
        <f t="shared" si="3"/>
        <v>2030</v>
      </c>
      <c r="B8" s="49">
        <v>506565</v>
      </c>
      <c r="C8" s="50">
        <v>894961</v>
      </c>
      <c r="D8" s="50">
        <v>1470484</v>
      </c>
      <c r="E8" s="50">
        <v>1142146</v>
      </c>
      <c r="F8" s="50">
        <v>746448.5</v>
      </c>
      <c r="G8" s="17">
        <f t="shared" si="0"/>
        <v>4254039.5</v>
      </c>
      <c r="H8" s="17">
        <f t="shared" si="1"/>
        <v>589341.53097201767</v>
      </c>
      <c r="I8" s="17">
        <f t="shared" si="2"/>
        <v>3664697.9690279821</v>
      </c>
    </row>
    <row r="9" spans="1:9" ht="15.75" customHeight="1" x14ac:dyDescent="0.25">
      <c r="A9" s="5">
        <f t="shared" si="3"/>
        <v>2031</v>
      </c>
      <c r="B9" s="49">
        <v>508635</v>
      </c>
      <c r="C9" s="50">
        <v>911646</v>
      </c>
      <c r="D9" s="50">
        <v>1502521.4999999998</v>
      </c>
      <c r="E9" s="50">
        <v>1169524.5</v>
      </c>
      <c r="F9" s="50">
        <v>779692.5</v>
      </c>
      <c r="G9" s="17">
        <f t="shared" si="0"/>
        <v>4363384.5</v>
      </c>
      <c r="H9" s="17">
        <f t="shared" si="1"/>
        <v>591749.78454088268</v>
      </c>
      <c r="I9" s="17">
        <f t="shared" si="2"/>
        <v>3771634.7154591172</v>
      </c>
    </row>
    <row r="10" spans="1:9" ht="15.75" customHeight="1" x14ac:dyDescent="0.25">
      <c r="A10" s="5">
        <f t="shared" si="3"/>
        <v>2032</v>
      </c>
      <c r="B10" s="49">
        <v>510880</v>
      </c>
      <c r="C10" s="50">
        <v>928722</v>
      </c>
      <c r="D10" s="50">
        <v>1535796</v>
      </c>
      <c r="E10" s="50">
        <v>1193591.5</v>
      </c>
      <c r="F10" s="50">
        <v>814247.5</v>
      </c>
      <c r="G10" s="17">
        <f t="shared" si="0"/>
        <v>4472357</v>
      </c>
      <c r="H10" s="17">
        <f t="shared" si="1"/>
        <v>594361.63442595594</v>
      </c>
      <c r="I10" s="17">
        <f t="shared" si="2"/>
        <v>3877995.3655740442</v>
      </c>
    </row>
    <row r="11" spans="1:9" ht="15.75" customHeight="1" x14ac:dyDescent="0.25">
      <c r="A11" s="5">
        <f t="shared" si="3"/>
        <v>2033</v>
      </c>
      <c r="B11" s="49">
        <v>511287</v>
      </c>
      <c r="C11" s="50">
        <v>945328</v>
      </c>
      <c r="D11" s="50">
        <v>1570011</v>
      </c>
      <c r="E11" s="50">
        <v>1215762</v>
      </c>
      <c r="F11" s="50">
        <v>849429.5</v>
      </c>
      <c r="G11" s="17">
        <f t="shared" si="0"/>
        <v>4580530.5</v>
      </c>
      <c r="H11" s="17">
        <f t="shared" si="1"/>
        <v>594835.14128708071</v>
      </c>
      <c r="I11" s="17">
        <f t="shared" si="2"/>
        <v>3985695.3587129191</v>
      </c>
    </row>
    <row r="12" spans="1:9" ht="15.75" customHeight="1" x14ac:dyDescent="0.25">
      <c r="A12" s="5">
        <f t="shared" si="3"/>
        <v>2034</v>
      </c>
      <c r="B12" s="49">
        <v>511908</v>
      </c>
      <c r="C12" s="50">
        <v>961402.5</v>
      </c>
      <c r="D12" s="50">
        <v>1604078.5</v>
      </c>
      <c r="E12" s="50">
        <v>1237546.5</v>
      </c>
      <c r="F12" s="50">
        <v>884665.50000000012</v>
      </c>
      <c r="G12" s="17">
        <f t="shared" si="0"/>
        <v>4687693</v>
      </c>
      <c r="H12" s="17">
        <f t="shared" si="1"/>
        <v>595557.61735774018</v>
      </c>
      <c r="I12" s="17">
        <f t="shared" si="2"/>
        <v>4092135.3826422598</v>
      </c>
    </row>
    <row r="13" spans="1:9" ht="15.75" customHeight="1" x14ac:dyDescent="0.25">
      <c r="A13" s="5">
        <f t="shared" si="3"/>
        <v>2035</v>
      </c>
      <c r="B13" s="49">
        <v>512900</v>
      </c>
      <c r="C13" s="50">
        <v>977114</v>
      </c>
      <c r="D13" s="50">
        <v>1638068.4999999998</v>
      </c>
      <c r="E13" s="50">
        <v>1260418.0000000002</v>
      </c>
      <c r="F13" s="50">
        <v>919223.5</v>
      </c>
      <c r="G13" s="17">
        <f t="shared" si="0"/>
        <v>4794824</v>
      </c>
      <c r="H13" s="17">
        <f t="shared" si="1"/>
        <v>596711.71761876135</v>
      </c>
      <c r="I13" s="17">
        <f t="shared" si="2"/>
        <v>4198112.2823812384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pVNbDDuOnru5kEfW//8cqTU5BWYKg7UrcV/njhLEM7wWubCD42c+qr3V/BM3ujILwSf5WZNZcclT8/KKsSo8A==" saltValue="dyPuCpDShitFbCRK6khu+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2.6736499999999962E-2</v>
      </c>
    </row>
    <row r="4" spans="1:8" ht="15.75" customHeight="1" x14ac:dyDescent="0.25">
      <c r="B4" s="19" t="s">
        <v>116</v>
      </c>
      <c r="C4" s="101">
        <v>6.2096499999999832E-2</v>
      </c>
    </row>
    <row r="5" spans="1:8" ht="15.75" customHeight="1" x14ac:dyDescent="0.25">
      <c r="B5" s="19" t="s">
        <v>114</v>
      </c>
      <c r="C5" s="101">
        <v>9.6906999999999965E-2</v>
      </c>
    </row>
    <row r="6" spans="1:8" ht="15.75" customHeight="1" x14ac:dyDescent="0.25">
      <c r="B6" s="19" t="s">
        <v>110</v>
      </c>
      <c r="C6" s="101">
        <v>0.2477423999999997</v>
      </c>
    </row>
    <row r="7" spans="1:8" ht="15.75" customHeight="1" x14ac:dyDescent="0.25">
      <c r="B7" s="19" t="s">
        <v>115</v>
      </c>
      <c r="C7" s="101">
        <v>0.39012300000000072</v>
      </c>
    </row>
    <row r="8" spans="1:8" ht="15.75" customHeight="1" x14ac:dyDescent="0.25">
      <c r="B8" s="19" t="s">
        <v>117</v>
      </c>
      <c r="C8" s="101">
        <v>1.2472399999999981E-2</v>
      </c>
    </row>
    <row r="9" spans="1:8" ht="15.75" customHeight="1" x14ac:dyDescent="0.25">
      <c r="B9" s="19" t="s">
        <v>111</v>
      </c>
      <c r="C9" s="101">
        <v>5.6193299999999821E-2</v>
      </c>
    </row>
    <row r="10" spans="1:8" ht="15.75" customHeight="1" x14ac:dyDescent="0.25">
      <c r="B10" s="19" t="s">
        <v>113</v>
      </c>
      <c r="C10" s="101">
        <v>0.10772889999999979</v>
      </c>
    </row>
    <row r="11" spans="1:8" ht="15.75" customHeight="1" x14ac:dyDescent="0.25">
      <c r="B11" s="27" t="s">
        <v>79</v>
      </c>
      <c r="C11" s="48">
        <f>SUM(C3:C10)</f>
        <v>0.99999999999999967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0.15413009754034851</v>
      </c>
      <c r="D14" s="55">
        <v>0.15413009754034851</v>
      </c>
      <c r="E14" s="55">
        <v>0.15413009754034851</v>
      </c>
      <c r="F14" s="55">
        <v>0.15413009754034851</v>
      </c>
    </row>
    <row r="15" spans="1:8" ht="15.75" customHeight="1" x14ac:dyDescent="0.25">
      <c r="B15" s="19" t="s">
        <v>121</v>
      </c>
      <c r="C15" s="101">
        <v>0.26960626964040468</v>
      </c>
      <c r="D15" s="101">
        <v>0.26960626964040468</v>
      </c>
      <c r="E15" s="101">
        <v>0.26960626964040468</v>
      </c>
      <c r="F15" s="101">
        <v>0.26960626964040468</v>
      </c>
    </row>
    <row r="16" spans="1:8" ht="15.75" customHeight="1" x14ac:dyDescent="0.25">
      <c r="B16" s="19" t="s">
        <v>2</v>
      </c>
      <c r="C16" s="101">
        <v>4.0112656644452287E-2</v>
      </c>
      <c r="D16" s="101">
        <v>4.0112656644452287E-2</v>
      </c>
      <c r="E16" s="101">
        <v>4.0112656644452287E-2</v>
      </c>
      <c r="F16" s="101">
        <v>4.0112656644452287E-2</v>
      </c>
    </row>
    <row r="17" spans="1:8" ht="15.75" customHeight="1" x14ac:dyDescent="0.25">
      <c r="B17" s="19" t="s">
        <v>109</v>
      </c>
      <c r="C17" s="101">
        <v>0.16760763979547269</v>
      </c>
      <c r="D17" s="101">
        <v>0.16760763979547269</v>
      </c>
      <c r="E17" s="101">
        <v>0.16760763979547269</v>
      </c>
      <c r="F17" s="101">
        <v>0.16760763979547269</v>
      </c>
    </row>
    <row r="18" spans="1:8" ht="15.75" customHeight="1" x14ac:dyDescent="0.25">
      <c r="B18" s="19" t="s">
        <v>3</v>
      </c>
      <c r="C18" s="101">
        <v>0.19823236164519181</v>
      </c>
      <c r="D18" s="101">
        <v>0.19823236164519181</v>
      </c>
      <c r="E18" s="101">
        <v>0.19823236164519181</v>
      </c>
      <c r="F18" s="101">
        <v>0.19823236164519181</v>
      </c>
    </row>
    <row r="19" spans="1:8" ht="15.75" customHeight="1" x14ac:dyDescent="0.25">
      <c r="B19" s="19" t="s">
        <v>120</v>
      </c>
      <c r="C19" s="101">
        <v>1.546365925485443E-2</v>
      </c>
      <c r="D19" s="101">
        <v>1.546365925485443E-2</v>
      </c>
      <c r="E19" s="101">
        <v>1.546365925485443E-2</v>
      </c>
      <c r="F19" s="101">
        <v>1.546365925485443E-2</v>
      </c>
    </row>
    <row r="20" spans="1:8" ht="15.75" customHeight="1" x14ac:dyDescent="0.25">
      <c r="B20" s="19" t="s">
        <v>98</v>
      </c>
      <c r="C20" s="101">
        <v>1.3943537817300299E-2</v>
      </c>
      <c r="D20" s="101">
        <v>1.3943537817300299E-2</v>
      </c>
      <c r="E20" s="101">
        <v>1.3943537817300299E-2</v>
      </c>
      <c r="F20" s="101">
        <v>1.3943537817300299E-2</v>
      </c>
    </row>
    <row r="21" spans="1:8" ht="15.75" customHeight="1" x14ac:dyDescent="0.25">
      <c r="B21" s="19" t="s">
        <v>107</v>
      </c>
      <c r="C21" s="101">
        <v>3.9464722478875093E-2</v>
      </c>
      <c r="D21" s="101">
        <v>3.9464722478875093E-2</v>
      </c>
      <c r="E21" s="101">
        <v>3.9464722478875093E-2</v>
      </c>
      <c r="F21" s="101">
        <v>3.9464722478875093E-2</v>
      </c>
    </row>
    <row r="22" spans="1:8" ht="15.75" customHeight="1" x14ac:dyDescent="0.25">
      <c r="B22" s="19" t="s">
        <v>118</v>
      </c>
      <c r="C22" s="101">
        <v>0.1014390551831001</v>
      </c>
      <c r="D22" s="101">
        <v>0.1014390551831001</v>
      </c>
      <c r="E22" s="101">
        <v>0.1014390551831001</v>
      </c>
      <c r="F22" s="101">
        <v>0.1014390551831001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8.8245948000000005E-2</v>
      </c>
    </row>
    <row r="27" spans="1:8" ht="15.75" customHeight="1" x14ac:dyDescent="0.25">
      <c r="B27" s="19" t="s">
        <v>108</v>
      </c>
      <c r="C27" s="101">
        <v>8.6324339999999996E-3</v>
      </c>
    </row>
    <row r="28" spans="1:8" ht="15.75" customHeight="1" x14ac:dyDescent="0.25">
      <c r="B28" s="19" t="s">
        <v>122</v>
      </c>
      <c r="C28" s="101">
        <v>0.156169268</v>
      </c>
    </row>
    <row r="29" spans="1:8" ht="15.75" customHeight="1" x14ac:dyDescent="0.25">
      <c r="B29" s="19" t="s">
        <v>105</v>
      </c>
      <c r="C29" s="101">
        <v>0.169329655</v>
      </c>
    </row>
    <row r="30" spans="1:8" ht="15.75" customHeight="1" x14ac:dyDescent="0.25">
      <c r="B30" s="19" t="s">
        <v>4</v>
      </c>
      <c r="C30" s="101">
        <v>0.10546003399999999</v>
      </c>
    </row>
    <row r="31" spans="1:8" ht="15.75" customHeight="1" x14ac:dyDescent="0.25">
      <c r="B31" s="19" t="s">
        <v>99</v>
      </c>
      <c r="C31" s="101">
        <v>0.109941625</v>
      </c>
    </row>
    <row r="32" spans="1:8" ht="15.75" customHeight="1" x14ac:dyDescent="0.25">
      <c r="B32" s="19" t="s">
        <v>104</v>
      </c>
      <c r="C32" s="101">
        <v>1.8686595E-2</v>
      </c>
    </row>
    <row r="33" spans="2:3" ht="15.75" customHeight="1" x14ac:dyDescent="0.25">
      <c r="B33" s="19" t="s">
        <v>119</v>
      </c>
      <c r="C33" s="101">
        <v>8.470502299999999E-2</v>
      </c>
    </row>
    <row r="34" spans="2:3" ht="15.75" customHeight="1" x14ac:dyDescent="0.25">
      <c r="B34" s="19" t="s">
        <v>106</v>
      </c>
      <c r="C34" s="101">
        <v>0.25882941799999998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oaRASc6O1DPNEApsbTNVskhf1+x1dt86eVm8AiCAHSvG2wodwCIqOfiEO3BuJmYNtCDe88/f4H86lz5PhiO/XQ==" saltValue="b4guyW6hKxkqU1u6iBnSu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0.4450250848495324</v>
      </c>
      <c r="D2" s="52">
        <f>IFERROR(1-_xlfn.NORM.DIST(_xlfn.NORM.INV(SUM(D4:D5), 0, 1) + 1, 0, 1, TRUE), "")</f>
        <v>0.4450250848495324</v>
      </c>
      <c r="E2" s="52">
        <f>IFERROR(1-_xlfn.NORM.DIST(_xlfn.NORM.INV(SUM(E4:E5), 0, 1) + 1, 0, 1, TRUE), "")</f>
        <v>0.40310369468875096</v>
      </c>
      <c r="F2" s="52">
        <f>IFERROR(1-_xlfn.NORM.DIST(_xlfn.NORM.INV(SUM(F4:F5), 0, 1) + 1, 0, 1, TRUE), "")</f>
        <v>0.27639062353594579</v>
      </c>
      <c r="G2" s="52">
        <f>IFERROR(1-_xlfn.NORM.DIST(_xlfn.NORM.INV(SUM(G4:G5), 0, 1) + 1, 0, 1, TRUE), "")</f>
        <v>0.30018934620714355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0.36056491515046757</v>
      </c>
      <c r="D3" s="52">
        <f>IFERROR(_xlfn.NORM.DIST(_xlfn.NORM.INV(SUM(D4:D5), 0, 1) + 1, 0, 1, TRUE) - SUM(D4:D5), "")</f>
        <v>0.36056491515046757</v>
      </c>
      <c r="E3" s="52">
        <f>IFERROR(_xlfn.NORM.DIST(_xlfn.NORM.INV(SUM(E4:E5), 0, 1) + 1, 0, 1, TRUE) - SUM(E4:E5), "")</f>
        <v>0.37167530531124904</v>
      </c>
      <c r="F3" s="52">
        <f>IFERROR(_xlfn.NORM.DIST(_xlfn.NORM.INV(SUM(F4:F5), 0, 1) + 1, 0, 1, TRUE) - SUM(F4:F5), "")</f>
        <v>0.3813858764640542</v>
      </c>
      <c r="G3" s="52">
        <f>IFERROR(_xlfn.NORM.DIST(_xlfn.NORM.INV(SUM(G4:G5), 0, 1) + 1, 0, 1, TRUE) - SUM(G4:G5), "")</f>
        <v>0.38282475379285641</v>
      </c>
    </row>
    <row r="4" spans="1:15" ht="15.75" customHeight="1" x14ac:dyDescent="0.25">
      <c r="B4" s="5" t="s">
        <v>129</v>
      </c>
      <c r="C4" s="45">
        <v>0.1035065</v>
      </c>
      <c r="D4" s="53">
        <v>0.1035065</v>
      </c>
      <c r="E4" s="53">
        <v>0.1238741</v>
      </c>
      <c r="F4" s="53">
        <v>0.16969590000000001</v>
      </c>
      <c r="G4" s="53">
        <v>0.18429970000000001</v>
      </c>
    </row>
    <row r="5" spans="1:15" ht="15.75" customHeight="1" x14ac:dyDescent="0.25">
      <c r="B5" s="5" t="s">
        <v>125</v>
      </c>
      <c r="C5" s="45">
        <v>9.0903500000000012E-2</v>
      </c>
      <c r="D5" s="53">
        <v>9.0903500000000012E-2</v>
      </c>
      <c r="E5" s="53">
        <v>0.1013469</v>
      </c>
      <c r="F5" s="53">
        <v>0.1725276</v>
      </c>
      <c r="G5" s="53">
        <v>0.1326862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0.54646464710666809</v>
      </c>
      <c r="D8" s="52">
        <f>IFERROR(1-_xlfn.NORM.DIST(_xlfn.NORM.INV(SUM(D10:D11), 0, 1) + 1, 0, 1, TRUE), "")</f>
        <v>0.54646464710666809</v>
      </c>
      <c r="E8" s="52">
        <f>IFERROR(1-_xlfn.NORM.DIST(_xlfn.NORM.INV(SUM(E10:E11), 0, 1) + 1, 0, 1, TRUE), "")</f>
        <v>0.61037484917419682</v>
      </c>
      <c r="F8" s="52">
        <f>IFERROR(1-_xlfn.NORM.DIST(_xlfn.NORM.INV(SUM(F10:F11), 0, 1) + 1, 0, 1, TRUE), "")</f>
        <v>0.61432381281496351</v>
      </c>
      <c r="G8" s="52">
        <f>IFERROR(1-_xlfn.NORM.DIST(_xlfn.NORM.INV(SUM(G10:G11), 0, 1) + 1, 0, 1, TRUE), "")</f>
        <v>0.65081394248521718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0.32148135289333191</v>
      </c>
      <c r="D9" s="52">
        <f>IFERROR(_xlfn.NORM.DIST(_xlfn.NORM.INV(SUM(D10:D11), 0, 1) + 1, 0, 1, TRUE) - SUM(D10:D11), "")</f>
        <v>0.32148135289333191</v>
      </c>
      <c r="E9" s="52">
        <f>IFERROR(_xlfn.NORM.DIST(_xlfn.NORM.INV(SUM(E10:E11), 0, 1) + 1, 0, 1, TRUE) - SUM(E10:E11), "")</f>
        <v>0.28940465082580319</v>
      </c>
      <c r="F9" s="52">
        <f>IFERROR(_xlfn.NORM.DIST(_xlfn.NORM.INV(SUM(F10:F11), 0, 1) + 1, 0, 1, TRUE) - SUM(F10:F11), "")</f>
        <v>0.28725608718503642</v>
      </c>
      <c r="G9" s="52">
        <f>IFERROR(_xlfn.NORM.DIST(_xlfn.NORM.INV(SUM(G10:G11), 0, 1) + 1, 0, 1, TRUE) - SUM(G10:G11), "")</f>
        <v>0.26654425751478283</v>
      </c>
    </row>
    <row r="10" spans="1:15" ht="15.75" customHeight="1" x14ac:dyDescent="0.25">
      <c r="B10" s="5" t="s">
        <v>126</v>
      </c>
      <c r="C10" s="45">
        <v>7.9121499999999997E-2</v>
      </c>
      <c r="D10" s="53">
        <v>7.9121499999999997E-2</v>
      </c>
      <c r="E10" s="53">
        <v>5.7722900000000001E-2</v>
      </c>
      <c r="F10" s="53">
        <v>6.3796600000000009E-2</v>
      </c>
      <c r="G10" s="53">
        <v>4.9700399999999999E-2</v>
      </c>
    </row>
    <row r="11" spans="1:15" ht="15.75" customHeight="1" x14ac:dyDescent="0.25">
      <c r="B11" s="5" t="s">
        <v>138</v>
      </c>
      <c r="C11" s="45">
        <v>5.2932499999999993E-2</v>
      </c>
      <c r="D11" s="53">
        <v>5.2932499999999993E-2</v>
      </c>
      <c r="E11" s="53">
        <v>4.2497600000000003E-2</v>
      </c>
      <c r="F11" s="53">
        <v>3.4623500000000001E-2</v>
      </c>
      <c r="G11" s="53">
        <v>3.2941400000000003E-2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0.80740865400000006</v>
      </c>
      <c r="D14" s="54">
        <v>0.79280759528</v>
      </c>
      <c r="E14" s="54">
        <v>0.79280759528</v>
      </c>
      <c r="F14" s="54">
        <v>0.78136551429400003</v>
      </c>
      <c r="G14" s="54">
        <v>0.78136551429400003</v>
      </c>
      <c r="H14" s="45">
        <v>0.61399999999999999</v>
      </c>
      <c r="I14" s="55">
        <v>0.61399999999999999</v>
      </c>
      <c r="J14" s="55">
        <v>0.61399999999999999</v>
      </c>
      <c r="K14" s="55">
        <v>0.61399999999999999</v>
      </c>
      <c r="L14" s="45">
        <v>0.43099999999999999</v>
      </c>
      <c r="M14" s="55">
        <v>0.43099999999999999</v>
      </c>
      <c r="N14" s="55">
        <v>0.43099999999999999</v>
      </c>
      <c r="O14" s="55">
        <v>0.43099999999999999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0.33298824744806405</v>
      </c>
      <c r="D15" s="52">
        <f t="shared" si="0"/>
        <v>0.32696653721499647</v>
      </c>
      <c r="E15" s="52">
        <f t="shared" si="0"/>
        <v>0.32696653721499647</v>
      </c>
      <c r="F15" s="52">
        <f t="shared" si="0"/>
        <v>0.32224763994307432</v>
      </c>
      <c r="G15" s="52">
        <f t="shared" si="0"/>
        <v>0.32224763994307432</v>
      </c>
      <c r="H15" s="52">
        <f t="shared" si="0"/>
        <v>0.25322342399999997</v>
      </c>
      <c r="I15" s="52">
        <f t="shared" si="0"/>
        <v>0.25322342399999997</v>
      </c>
      <c r="J15" s="52">
        <f t="shared" si="0"/>
        <v>0.25322342399999997</v>
      </c>
      <c r="K15" s="52">
        <f t="shared" si="0"/>
        <v>0.25322342399999997</v>
      </c>
      <c r="L15" s="52">
        <f t="shared" si="0"/>
        <v>0.177751296</v>
      </c>
      <c r="M15" s="52">
        <f t="shared" si="0"/>
        <v>0.177751296</v>
      </c>
      <c r="N15" s="52">
        <f t="shared" si="0"/>
        <v>0.177751296</v>
      </c>
      <c r="O15" s="52">
        <f t="shared" si="0"/>
        <v>0.177751296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H+LdxwF8Rewz8AuLCCqbAGnug9qJSXI6GCaBKz8OeDjaI+54SFbuKR4xMO5TFEzEi0yDQLui/sNPdnnxlqzJpQ==" saltValue="pdZRtB1RKyfaA/mdawtc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0.45601320000000001</v>
      </c>
      <c r="D2" s="53">
        <v>0.2905181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0.3316151</v>
      </c>
      <c r="D3" s="53">
        <v>0.38545059999999998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0.1414513</v>
      </c>
      <c r="D4" s="53">
        <v>0.24034440000000001</v>
      </c>
      <c r="E4" s="53">
        <v>0.91538570000000008</v>
      </c>
      <c r="F4" s="53">
        <v>0.77619680000000002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7.0920400000000106E-2</v>
      </c>
      <c r="D5" s="52">
        <f t="shared" si="0"/>
        <v>8.3686900000000009E-2</v>
      </c>
      <c r="E5" s="52">
        <f>1-SUM(E2:E4)</f>
        <v>8.461429999999992E-2</v>
      </c>
      <c r="F5" s="52">
        <f>1-SUM(F2:F4)</f>
        <v>0.22380319999999998</v>
      </c>
      <c r="G5" s="52">
        <f>1-SUM(G2:G4)</f>
        <v>1</v>
      </c>
    </row>
  </sheetData>
  <sheetProtection algorithmName="SHA-512" hashValue="lNpQvtcHzW4wSDORpRQT4KkOnPBX4WIrsdxCVd4iCXfqj/nXttfRrgijSvxi02j0rPcGhfXl5AeviBk28nCmHQ==" saltValue="UBGv8Vd0Mq7tDRxpXrU9n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OcAz4E2Llfe0sc+65nfkA1fvDa1mVMysUsYH8NoyQjtdtb/SlOkANTQNae7r5S+5sx8jPJHdPYseFJtZNOiJA==" saltValue="N9iDlqwLr7o+3LNn/VtC5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1515.16794777584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0.37432000000000004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0.43612000000000001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1.8285810182065196E-2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90253.929969999997</v>
      </c>
      <c r="C22" s="109">
        <v>89126.380439999994</v>
      </c>
      <c r="D22" s="109">
        <v>88551.283349999998</v>
      </c>
      <c r="E22" s="109">
        <v>87879.151410000006</v>
      </c>
      <c r="F22" s="109">
        <v>86947.660440000007</v>
      </c>
      <c r="G22" s="109">
        <v>85778.042679999999</v>
      </c>
      <c r="H22" s="109">
        <v>84267.900959999999</v>
      </c>
      <c r="I22" s="109">
        <v>82298.965230000002</v>
      </c>
      <c r="J22" s="109">
        <v>79636.110289999997</v>
      </c>
      <c r="K22" s="109">
        <v>76268.576140000005</v>
      </c>
      <c r="L22" s="109">
        <v>71653.351689999996</v>
      </c>
      <c r="M22" s="109">
        <v>65683.188500000004</v>
      </c>
      <c r="N22" s="109">
        <v>57659.873209999998</v>
      </c>
      <c r="O22" s="109">
        <v>47957.426630000002</v>
      </c>
    </row>
  </sheetData>
  <sheetProtection algorithmName="SHA-512" hashValue="J4fi2n75D/NXg9VS66gVwiucZYc9kohgYN88YQIJPpQUyHMZXYZMt1cgqmL+IwdMtHMoJVelMo5ZbdyOWtafSw==" saltValue="/t0WhI/3mxmbqx/pxYz/Q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WJf+pfGCtztxKVZZsFfnCFAvIhWGXwdprfK9BGLvW0brTSK8/jiNEII51l2QrppLEMNQjs8dk2B2IEA0o83CWA==" saltValue="c0vJbT7no1lELStq5VA1T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in9oNwpZhkhE+nfWMiyRpoP3iY5Qe+MkkwGBHpAMcQFpWsdlbvqVkQjMRyEcTzF3AySZJ6idzVhF4R0HMzvz7Q==" saltValue="tamvu5GX2VL6ueQP9fq/Z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18.025735670419653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18.025735670419653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5.2668836507008754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0.56149571024496792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1.812651550310735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0.23003335421429147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0.23646220000000001</v>
      </c>
      <c r="C10" s="98">
        <v>0.95</v>
      </c>
      <c r="D10" s="56">
        <v>15.044545796194489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15.044545796194489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15.044545796194489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15.044545796194489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0.23646220000000001</v>
      </c>
      <c r="C14" s="98">
        <v>0.95</v>
      </c>
      <c r="D14" s="56">
        <v>15.044545796194489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15.044545796194489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0.62398120000000001</v>
      </c>
      <c r="C16" s="98">
        <v>0.95</v>
      </c>
      <c r="D16" s="56">
        <v>2.8407188685968858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0.163026</v>
      </c>
      <c r="C17" s="98">
        <v>0.95</v>
      </c>
      <c r="D17" s="56">
        <v>0.35500000000000004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0.187</v>
      </c>
      <c r="C18" s="98">
        <v>0.95</v>
      </c>
      <c r="D18" s="56">
        <v>5.2668836507008754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0.2905181</v>
      </c>
      <c r="C19" s="98">
        <v>0.95</v>
      </c>
      <c r="D19" s="56">
        <v>7.2861200073283072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2.1939130069251829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5.2668836507008754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0.43885239999999998</v>
      </c>
      <c r="C23" s="98">
        <v>0.95</v>
      </c>
      <c r="D23" s="56">
        <v>4.9284766235485638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0.371562949939933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0.23646220000000001</v>
      </c>
      <c r="C26" s="98">
        <v>0.95</v>
      </c>
      <c r="D26" s="56">
        <v>3.8681355531509101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13.457928721749347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0.54870339999999995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0.13809589999999999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44.783843336315748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0.13059999999999999</v>
      </c>
      <c r="C31" s="98">
        <v>0.95</v>
      </c>
      <c r="D31" s="56">
        <v>126.62714253872848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0.97</v>
      </c>
      <c r="C32" s="98">
        <v>0.95</v>
      </c>
      <c r="D32" s="56">
        <v>0.46210405728622134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0.20636095323558901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0.5478866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2.1925999999999998E-3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0.22891449999999999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0.26043110000000003</v>
      </c>
      <c r="C38" s="98">
        <v>0.95</v>
      </c>
      <c r="D38" s="56">
        <v>4.0706758054007581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3.4125000000000001</v>
      </c>
      <c r="E39" s="56" t="s">
        <v>212</v>
      </c>
      <c r="F39" s="98">
        <v>1</v>
      </c>
      <c r="G39" s="98">
        <v>1</v>
      </c>
    </row>
  </sheetData>
  <sheetProtection algorithmName="SHA-512" hashValue="0n48d9nUYcX0cGMJFSQ/t8mAky/cDoHGr3N1pz0MVBRZ/oQD+bmY74fQePWbMteDAlIBMNrneaPdcETrOq2hPA==" saltValue="slbJ5SrQUAWdoWD/AD7C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2UEGfdvBir3jw3Fdl+jx6kcEBbAkVDTpkdZhSwi3Az4KN61bGYr058DzBUqhTJ5G2ati0lR2ZJlDn7RBJvN51A==" saltValue="GJ45pc/79XZ0YY3y9u9fw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lID7vTRf3AdQZEXkl/re3rUxBY/yyGvJZO801x1qaRiW+7/7ARzfKtIdBioQhYZPNCoWiorcjGG689qbb99EA==" saltValue="rtkLwA4c2Kk2L5BNBI4tg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2.4700000000000002</v>
      </c>
      <c r="C2" s="21">
        <f>'Entradas de población-año base'!C52</f>
        <v>2.4700000000000002</v>
      </c>
      <c r="D2" s="21">
        <f>'Entradas de población-año base'!C53</f>
        <v>6.8640000000000008</v>
      </c>
      <c r="E2" s="21">
        <f>'Entradas de población-año base'!C54</f>
        <v>5.3819999999999997</v>
      </c>
      <c r="F2" s="21">
        <f>'Entradas de población-año base'!C55</f>
        <v>3.1373333333333342</v>
      </c>
    </row>
    <row r="3" spans="1:6" ht="15.75" customHeight="1" x14ac:dyDescent="0.25">
      <c r="A3" s="3" t="s">
        <v>6</v>
      </c>
      <c r="B3" s="21">
        <f>frac_mam_1month * 2.6</f>
        <v>0.20571590000000001</v>
      </c>
      <c r="C3" s="21">
        <f>frac_mam_1_5months * 2.6</f>
        <v>0.20571590000000001</v>
      </c>
      <c r="D3" s="21">
        <f>frac_mam_6_11months * 2.6</f>
        <v>0.15007954000000001</v>
      </c>
      <c r="E3" s="21">
        <f>frac_mam_12_23months * 2.6</f>
        <v>0.16587116000000002</v>
      </c>
      <c r="F3" s="21">
        <f>frac_mam_24_59months * 2.6</f>
        <v>0.12922104000000001</v>
      </c>
    </row>
    <row r="4" spans="1:6" ht="15.75" customHeight="1" x14ac:dyDescent="0.25">
      <c r="A4" s="3" t="s">
        <v>236</v>
      </c>
      <c r="B4" s="21">
        <f>frac_sam_1month * 2.6</f>
        <v>0.13762449999999998</v>
      </c>
      <c r="C4" s="21">
        <f>frac_sam_1_5months * 2.6</f>
        <v>0.13762449999999998</v>
      </c>
      <c r="D4" s="21">
        <f>frac_sam_6_11months * 2.6</f>
        <v>0.11049376000000001</v>
      </c>
      <c r="E4" s="21">
        <f>frac_sam_12_23months * 2.6</f>
        <v>9.0021100000000007E-2</v>
      </c>
      <c r="F4" s="21">
        <f>frac_sam_24_59months * 2.6</f>
        <v>8.5647640000000011E-2</v>
      </c>
    </row>
  </sheetData>
  <sheetProtection algorithmName="SHA-512" hashValue="jrsxpt+qjqV7iqxV+voUOPDFnetEIPPTmC21z/QwQhYf8TABL51Lx1OPO40yf38PjVNP99QlZWVB5vOdKSAsdQ==" saltValue="A4gRbsrsM2/g0c/kt0O3u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0.35299999999999998</v>
      </c>
      <c r="F2" s="60">
        <f>food_insecure</f>
        <v>0.35299999999999998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0.35299999999999998</v>
      </c>
      <c r="F5" s="60">
        <f>food_insecure</f>
        <v>0.35299999999999998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5.38909090909091E-2</v>
      </c>
      <c r="D7" s="60">
        <f>diarrhoea_1_5mo*frac_diarrhea_severe</f>
        <v>5.38909090909091E-2</v>
      </c>
      <c r="E7" s="60">
        <f>diarrhoea_6_11mo*frac_diarrhea_severe</f>
        <v>0.14976000000000003</v>
      </c>
      <c r="F7" s="60">
        <f>diarrhoea_12_23mo*frac_diarrhea_severe</f>
        <v>0.11742545454545454</v>
      </c>
      <c r="G7" s="60">
        <f>diarrhoea_24_59mo*frac_diarrhea_severe</f>
        <v>6.8450909090909118E-2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0.35299999999999998</v>
      </c>
      <c r="F8" s="60">
        <f>food_insecure</f>
        <v>0.35299999999999998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0.35299999999999998</v>
      </c>
      <c r="F9" s="60">
        <f>food_insecure</f>
        <v>0.35299999999999998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5.38909090909091E-2</v>
      </c>
      <c r="D12" s="60">
        <f>diarrhoea_1_5mo*frac_diarrhea_severe</f>
        <v>5.38909090909091E-2</v>
      </c>
      <c r="E12" s="60">
        <f>diarrhoea_6_11mo*frac_diarrhea_severe</f>
        <v>0.14976000000000003</v>
      </c>
      <c r="F12" s="60">
        <f>diarrhoea_12_23mo*frac_diarrhea_severe</f>
        <v>0.11742545454545454</v>
      </c>
      <c r="G12" s="60">
        <f>diarrhoea_24_59mo*frac_diarrhea_severe</f>
        <v>6.8450909090909118E-2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0.35299999999999998</v>
      </c>
      <c r="I15" s="60">
        <f t="shared" si="0"/>
        <v>0.35299999999999998</v>
      </c>
      <c r="J15" s="60">
        <f t="shared" si="0"/>
        <v>0.35299999999999998</v>
      </c>
      <c r="K15" s="60">
        <f t="shared" si="0"/>
        <v>0.35299999999999998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0.35299999999999998</v>
      </c>
      <c r="I16" s="60">
        <f t="shared" si="0"/>
        <v>0.35299999999999998</v>
      </c>
      <c r="J16" s="60">
        <f t="shared" si="0"/>
        <v>0.35299999999999998</v>
      </c>
      <c r="K16" s="60">
        <f t="shared" si="0"/>
        <v>0.35299999999999998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0.78500000000000003</v>
      </c>
      <c r="M24" s="60">
        <f>famplan_unmet_need</f>
        <v>0.78500000000000003</v>
      </c>
      <c r="N24" s="60">
        <f>famplan_unmet_need</f>
        <v>0.78500000000000003</v>
      </c>
      <c r="O24" s="60">
        <f>famplan_unmet_need</f>
        <v>0.78500000000000003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0.41993380254699997</v>
      </c>
      <c r="M25" s="60">
        <f>(1-food_insecure)*(0.49)+food_insecure*(0.7)</f>
        <v>0.56412999999999991</v>
      </c>
      <c r="N25" s="60">
        <f>(1-food_insecure)*(0.49)+food_insecure*(0.7)</f>
        <v>0.56412999999999991</v>
      </c>
      <c r="O25" s="60">
        <f>(1-food_insecure)*(0.49)+food_insecure*(0.7)</f>
        <v>0.56412999999999991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0.17997162966299998</v>
      </c>
      <c r="M26" s="60">
        <f>(1-food_insecure)*(0.21)+food_insecure*(0.3)</f>
        <v>0.24176999999999998</v>
      </c>
      <c r="N26" s="60">
        <f>(1-food_insecure)*(0.21)+food_insecure*(0.3)</f>
        <v>0.24176999999999998</v>
      </c>
      <c r="O26" s="60">
        <f>(1-food_insecure)*(0.21)+food_insecure*(0.3)</f>
        <v>0.24176999999999998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0.14448646778999999</v>
      </c>
      <c r="M27" s="60">
        <f>(1-food_insecure)*(0.3)</f>
        <v>0.19409999999999999</v>
      </c>
      <c r="N27" s="60">
        <f>(1-food_insecure)*(0.3)</f>
        <v>0.19409999999999999</v>
      </c>
      <c r="O27" s="60">
        <f>(1-food_insecure)*(0.3)</f>
        <v>0.19409999999999999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0.2556081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0.99</v>
      </c>
      <c r="D34" s="60">
        <f t="shared" si="4"/>
        <v>0.99</v>
      </c>
      <c r="E34" s="60">
        <f t="shared" si="4"/>
        <v>0.99</v>
      </c>
      <c r="F34" s="60">
        <f t="shared" si="4"/>
        <v>0.99</v>
      </c>
      <c r="G34" s="60">
        <f t="shared" si="4"/>
        <v>0.99</v>
      </c>
      <c r="H34" s="60">
        <f t="shared" si="4"/>
        <v>0.99</v>
      </c>
      <c r="I34" s="60">
        <f t="shared" si="4"/>
        <v>0.99</v>
      </c>
      <c r="J34" s="60">
        <f t="shared" si="4"/>
        <v>0.99</v>
      </c>
      <c r="K34" s="60">
        <f t="shared" si="4"/>
        <v>0.99</v>
      </c>
      <c r="L34" s="60">
        <f t="shared" si="4"/>
        <v>0.99</v>
      </c>
      <c r="M34" s="60">
        <f t="shared" si="4"/>
        <v>0.99</v>
      </c>
      <c r="N34" s="60">
        <f t="shared" si="4"/>
        <v>0.99</v>
      </c>
      <c r="O34" s="60">
        <f t="shared" si="4"/>
        <v>0.99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EUo/mrnVXYlnF5de1ROfLFUfzAgCtUUfkWoufTQ0ZYND9K2cbZKlZF8bSWRBN4QzrURGFkLyI7MTFbozdkgznw==" saltValue="TmQY71+CnjMhNQd3+XRGV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IekexWQsu26ZbyumaTbBBr35SiSpAK85nmDbSWyh7q1RdX8FK5cUh2ulD78gXAVsP57WDlxy6gyN7YyI/niswA==" saltValue="lDw1HKJXcP5VGJhkstr7I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WOx1DTHB8TjeK4zS7u9NRIdJ5YQDKQKF5coHLTNpfEhR25ABJJW6BKeclKH0q42QGCd+KcWrIdgJVpXV3v7Lg==" saltValue="tGsMUt4BSO//pgzn15bxW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vHNNvoaSzR9twClJiXUr6DEiNEDQEz5wKi+zw7ba5UL9VUE6HxxGN+CscNUfBG8k9C5CiKm0f+gDYLV85QKjA==" saltValue="/aSgzk+AnpLldaYWLAbx/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UsMo4OWvyO2rCPOlPN+iz9m/+1S5D6HMI37NErRk0iaHYDu+u3HVh0NCipUf85PIJbHdMSwJq59a+0T2dgr21g==" saltValue="Og8vG/B1RIud+tVojbVqY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8SnQZpOvpFU47IHe3Fe0C2b79GUuivAo2BMXUguJ0+Hcjj56MEOctVCeDSB9NXP97TKMKXXoRYzMjkNSnIpriA==" saltValue="6AWSXKps2q8uY0NS8S9e2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7sR2acC36RvqGLsqPkNroDK7Fjb4hXjcohRl/aw0AZXITU8DudclLfONAY00LgC2FaDcbKaHb8T+DfVsXMoV1Q==" saltValue="jafcAAlZaFG91UAXUjrU6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uhapFcKoipjZQr7JLXDjueOr0CW8Ecfs+5IUn8uvgV3ZHxRzSxQjvTH4arrsGIYYl1WN2TVqwZ4JII6CO0U9yg==" saltValue="/NF7FxyaSIFHAHdLZulp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KJg+LfWFnJq7xCKGYRh4KFtbpVnvc5jICC7FA0SkQhPu+Ndg4torKfs8mZR7nqn1EkaVuxUIUxQmESPXdP9CQA==" saltValue="UZkUxFr4nHRM38LMasKW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KbA7uqCefXei/9C3OmIklPGouyA2f205yr3koDE7Q5r/uMU+chOAtTA0eXLvMJpuIzoRYHYzWS9Sw566P7Q9A==" saltValue="o7Rf5Gn3dJUGFKdWZ8Ye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l3JTuimXpBG5c2X6Wgfw2uJ5aCZQLbNJ3D04/PUFOSQYHzjulEPf/+sWpfocr0Io3lfI+ljHbiHRly6rjKggg==" saltValue="o36Ju9Id6Z2dzcDHlm10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FVeP8bN/x/dWcsm37h/khJO+8wGVU9GrLtU+UPRgvGICzpyDqjPZvWVCVadzdsbguQStt2ofRafb8J41op8TQ==" saltValue="lg/S9JcULRY0PoukR8jH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ycOd8LsmlmP4GCOn4WTwbYqHYSPMPcNxzxzeHGy+r7a6PeR9irEHgb7oEwtJQYLSX3ecIHdCXy2JXP6P3+H8A==" saltValue="tpVbjoqDGl+TsXpV9LPR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3VWggt43nJS/lzms8bLx3OHtnckc8VjwmfA6jqf5bnybTqPpqq7dw49L+N5gYTVfcCVNobxGWXHcSeXTmZUDLg==" saltValue="hTYDhdIFlemRZk1pfY6b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vQIGjAtrnrkyaH5M4i970m0ZPeBMwz1FGMtWJvCinzPcEQ0V2AFBo48gVrWdykyqIxxeZUyoTg9WHFEVpNyAcw==" saltValue="+4WwBMEo2bvU8EgxSZLwr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