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C88A677-BD8F-4B4E-9D83-3BB55C70FD9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A39" i="2"/>
  <c r="I38" i="2"/>
  <c r="H38" i="2"/>
  <c r="G38" i="2"/>
  <c r="A32" i="2"/>
  <c r="A29" i="2"/>
  <c r="A17" i="2"/>
  <c r="A16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I8" i="2"/>
  <c r="H8" i="2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H2" i="2"/>
  <c r="I2" i="2" s="1"/>
  <c r="G2" i="2"/>
  <c r="A2" i="2"/>
  <c r="A36" i="2" s="1"/>
  <c r="C33" i="1"/>
  <c r="C20" i="1"/>
  <c r="A18" i="2" l="1"/>
  <c r="A33" i="2"/>
  <c r="A19" i="2"/>
  <c r="A34" i="2"/>
  <c r="A21" i="2"/>
  <c r="A35" i="2"/>
  <c r="A24" i="2"/>
  <c r="A3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5" i="2"/>
  <c r="A26" i="2"/>
  <c r="A14" i="2"/>
  <c r="A22" i="2"/>
  <c r="A30" i="2"/>
  <c r="A38" i="2"/>
  <c r="A40" i="2"/>
  <c r="A15" i="2"/>
  <c r="A23" i="2"/>
  <c r="A31" i="2"/>
  <c r="A27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<sst xmlns="http://schemas.openxmlformats.org/spreadsheetml/2006/main" count="2101" uniqueCount="341">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</sst>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2150966.40625</v>
      </c>
    </row>
    <row r="8" spans="1:3" ht="15" customHeight="1" x14ac:dyDescent="0.25">
      <c r="B8" s="5" t="s">
        <v>44</v>
      </c>
      <c r="C8" s="44">
        <v>0.35299999999999998</v>
      </c>
    </row>
    <row r="9" spans="1:3" ht="15" customHeight="1" x14ac:dyDescent="0.25">
      <c r="B9" s="5" t="s">
        <v>43</v>
      </c>
      <c r="C9" s="45">
        <v>0.99</v>
      </c>
    </row>
    <row r="10" spans="1:3" ht="15" customHeight="1" x14ac:dyDescent="0.25">
      <c r="B10" s="5" t="s">
        <v>56</v>
      </c>
      <c r="C10" s="45">
        <v>0.262394599914551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0.14269999999999999</v>
      </c>
    </row>
    <row r="24" spans="1:3" ht="15" customHeight="1" x14ac:dyDescent="0.25">
      <c r="B24" s="15" t="s">
        <v>46</v>
      </c>
      <c r="C24" s="45">
        <v>0.42099999999999987</v>
      </c>
    </row>
    <row r="25" spans="1:3" ht="15" customHeight="1" x14ac:dyDescent="0.25">
      <c r="B25" s="15" t="s">
        <v>47</v>
      </c>
      <c r="C25" s="45">
        <v>0.33529999999999999</v>
      </c>
    </row>
    <row r="26" spans="1:3" ht="15" customHeight="1" x14ac:dyDescent="0.25">
      <c r="B26" s="15" t="s">
        <v>48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0.20134766316932501</v>
      </c>
    </row>
    <row r="30" spans="1:3" ht="14.25" customHeight="1" x14ac:dyDescent="0.25">
      <c r="B30" s="25" t="s">
        <v>63</v>
      </c>
      <c r="C30" s="99">
        <v>3.7040067899888597E-2</v>
      </c>
    </row>
    <row r="31" spans="1:3" ht="14.25" customHeight="1" x14ac:dyDescent="0.25">
      <c r="B31" s="25" t="s">
        <v>10</v>
      </c>
      <c r="C31" s="99">
        <v>9.42970158051466E-2</v>
      </c>
    </row>
    <row r="32" spans="1:3" ht="14.25" customHeight="1" x14ac:dyDescent="0.25">
      <c r="B32" s="25" t="s">
        <v>11</v>
      </c>
      <c r="C32" s="99">
        <v>0.66731525312564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31.108440000000002</v>
      </c>
    </row>
    <row r="38" spans="1:5" ht="15" customHeight="1" x14ac:dyDescent="0.25">
      <c r="B38" s="11" t="s">
        <v>35</v>
      </c>
      <c r="C38" s="43">
        <v>63.776989999999998</v>
      </c>
      <c r="D38" s="12"/>
      <c r="E38" s="13"/>
    </row>
    <row r="39" spans="1:5" ht="15" customHeight="1" x14ac:dyDescent="0.25">
      <c r="B39" s="11" t="s">
        <v>61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100">
        <v>5.53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7.9359000000000009E-3</v>
      </c>
      <c r="D45" s="12"/>
    </row>
    <row r="46" spans="1:5" ht="15.75" customHeight="1" x14ac:dyDescent="0.25">
      <c r="B46" s="11" t="s">
        <v>51</v>
      </c>
      <c r="C46" s="45">
        <v>8.5269600000000001E-2</v>
      </c>
      <c r="D46" s="12"/>
    </row>
    <row r="47" spans="1:5" ht="15.75" customHeight="1" x14ac:dyDescent="0.25">
      <c r="B47" s="11" t="s">
        <v>59</v>
      </c>
      <c r="C47" s="45">
        <v>7.34538E-2</v>
      </c>
      <c r="D47" s="12"/>
      <c r="E47" s="13"/>
    </row>
    <row r="48" spans="1:5" ht="15" customHeight="1" x14ac:dyDescent="0.25">
      <c r="B48" s="11" t="s">
        <v>58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0.412416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1Q7CW1WntFoomCtc+gsVpwYaNxzsOdw2JL3qTP8Jwf6LheyItvky9WOgEIwjefr3Kdw89PcnUCRloeARn3z4A==" saltValue="ZUK4UcYz7uSvgVcp2eJF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OLw5cCCDPepzhpuInJ1onnbpLfEssUq2MYWYurJHAF6HdBDRc9eEC0sABu8sSdq/C44M3HLfcLxW08/GY2FcQ==" saltValue="7Ci0z628bKcBnRmbdWRp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2.6736499999999962E-2</v>
      </c>
    </row>
    <row r="4" spans="1:8" ht="15.75" customHeight="1" x14ac:dyDescent="0.25">
      <c r="B4" s="19" t="s">
        <v>97</v>
      </c>
      <c r="C4" s="101">
        <v>6.2096499999999832E-2</v>
      </c>
    </row>
    <row r="5" spans="1:8" ht="15.75" customHeight="1" x14ac:dyDescent="0.25">
      <c r="B5" s="19" t="s">
        <v>95</v>
      </c>
      <c r="C5" s="101">
        <v>9.6906999999999965E-2</v>
      </c>
    </row>
    <row r="6" spans="1:8" ht="15.75" customHeight="1" x14ac:dyDescent="0.25">
      <c r="B6" s="19" t="s">
        <v>91</v>
      </c>
      <c r="C6" s="101">
        <v>0.2477423999999997</v>
      </c>
    </row>
    <row r="7" spans="1:8" ht="15.75" customHeight="1" x14ac:dyDescent="0.25">
      <c r="B7" s="19" t="s">
        <v>96</v>
      </c>
      <c r="C7" s="101">
        <v>0.39012300000000072</v>
      </c>
    </row>
    <row r="8" spans="1:8" ht="15.75" customHeight="1" x14ac:dyDescent="0.25">
      <c r="B8" s="19" t="s">
        <v>98</v>
      </c>
      <c r="C8" s="101">
        <v>1.2472399999999981E-2</v>
      </c>
    </row>
    <row r="9" spans="1:8" ht="15.75" customHeight="1" x14ac:dyDescent="0.25">
      <c r="B9" s="19" t="s">
        <v>92</v>
      </c>
      <c r="C9" s="101">
        <v>5.6193299999999821E-2</v>
      </c>
    </row>
    <row r="10" spans="1:8" ht="15.75" customHeight="1" x14ac:dyDescent="0.25">
      <c r="B10" s="19" t="s">
        <v>94</v>
      </c>
      <c r="C10" s="101">
        <v>0.10772889999999979</v>
      </c>
    </row>
    <row r="11" spans="1:8" ht="15.75" customHeight="1" x14ac:dyDescent="0.25">
      <c r="B11" s="27" t="s">
        <v>60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102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2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90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3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101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79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88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99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8.8245948000000005E-2</v>
      </c>
    </row>
    <row r="27" spans="1:8" ht="15.75" customHeight="1" x14ac:dyDescent="0.25">
      <c r="B27" s="19" t="s">
        <v>89</v>
      </c>
      <c r="C27" s="101">
        <v>8.6324339999999996E-3</v>
      </c>
    </row>
    <row r="28" spans="1:8" ht="15.75" customHeight="1" x14ac:dyDescent="0.25">
      <c r="B28" s="19" t="s">
        <v>103</v>
      </c>
      <c r="C28" s="101">
        <v>0.156169268</v>
      </c>
    </row>
    <row r="29" spans="1:8" ht="15.75" customHeight="1" x14ac:dyDescent="0.25">
      <c r="B29" s="19" t="s">
        <v>86</v>
      </c>
      <c r="C29" s="101">
        <v>0.169329655</v>
      </c>
    </row>
    <row r="30" spans="1:8" ht="15.75" customHeight="1" x14ac:dyDescent="0.25">
      <c r="B30" s="19" t="s">
        <v>4</v>
      </c>
      <c r="C30" s="101">
        <v>0.10546003399999999</v>
      </c>
    </row>
    <row r="31" spans="1:8" ht="15.75" customHeight="1" x14ac:dyDescent="0.25">
      <c r="B31" s="19" t="s">
        <v>80</v>
      </c>
      <c r="C31" s="101">
        <v>0.109941625</v>
      </c>
    </row>
    <row r="32" spans="1:8" ht="15.75" customHeight="1" x14ac:dyDescent="0.25">
      <c r="B32" s="19" t="s">
        <v>85</v>
      </c>
      <c r="C32" s="101">
        <v>1.8686595E-2</v>
      </c>
    </row>
    <row r="33" spans="2:3" ht="15.75" customHeight="1" x14ac:dyDescent="0.25">
      <c r="B33" s="19" t="s">
        <v>100</v>
      </c>
      <c r="C33" s="101">
        <v>8.470502299999999E-2</v>
      </c>
    </row>
    <row r="34" spans="2:3" ht="15.75" customHeight="1" x14ac:dyDescent="0.25">
      <c r="B34" s="19" t="s">
        <v>87</v>
      </c>
      <c r="C34" s="101">
        <v>0.25882941799999998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eghIyaKhBzGeSbDFz8uXSUh75LN72YB1G9YQCPD6rGjF7YHtcxxyrt+qBswvINuUpDVKzbHLyarLNXqJywdaTg==" saltValue="64xO8TwriFd9lguOptwJ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110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106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107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119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sSXNnpbpecFJ7+vC+wvdTZ9xJPZIZVKnq1LSLoTQNphyJuEfzWRUVJFSGUgcZPsWyWYXXsxRLaiB+EFxFErrA==" saltValue="+2Ko5St2ok1aZt+TqmFb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125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NTUPq/Bk7oogh26IhhMJTzgIdhEuWWNGiLfrszFR76BIUylptId/UST9RQ5DLATX5wIevtwJBCRwEMvlY6R4YA==" saltValue="bDI4yUHF3ZJZS1mfVLxQ+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W3/pyJG5FhLNGs0lmFAb/+GzZj3RkJHdPiLBG5O9ClUf7FdIZ527C4LlHq2AnFYDg8yIaZdl3E3IlzwFwIvCA==" saltValue="Nmj8ygMuuciC6zP7mK/P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FBdHOaZDYlQ7HPIPVB1iyOp352UCROA6i8o+4Myqmd9SDw4VbDWMKeZQxgMwk7gw75uwXj/bXyy4LB28Q7E1Qg==" saltValue="+chfhctTSf+HW/iPTjPbz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m4Eo/JQjOT00pqB9cWi3sk5UsAoSC9dg5vvPPqnklNZlCSd7RmPCjihHZQtD3Tjb92ncp+sXoGo7WGlcnJ0rQ==" saltValue="ChVeNMPOL/T58dEvqNJVP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5NiGRQ3HFCToewWF0RNaLVUvUJeUCleelO266tEQsgmFvO1/ZbnLak5Of7nSW1fGNYNdHCsrOqxpvOwSWYh79Q==" saltValue="DCf5DjSuqaaTupusjQ+t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0.18527997962689621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1.812651550310735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0.73277403097668004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0.23646220000000001</v>
      </c>
      <c r="C10" s="98">
        <v>0.95</v>
      </c>
      <c r="D10" s="56">
        <v>15.044545796194489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15.044545796194489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15.044545796194489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15.044545796194489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0.23646220000000001</v>
      </c>
      <c r="C14" s="98">
        <v>0.95</v>
      </c>
      <c r="D14" s="56">
        <v>15.044545796194489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15.044545796194489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0.62398120000000001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0.163026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0.187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0.2905181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25.637914781807041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0.43885239999999998</v>
      </c>
      <c r="C23" s="98">
        <v>0.95</v>
      </c>
      <c r="D23" s="56">
        <v>4.9284766235485638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0.371562949939933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0.23646220000000001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0.54870339999999995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0.13809589999999999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0.13059999999999999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0.96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0.20636099999999999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0.5478866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2.1925999999999998E-3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0.22891449999999999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0.26043110000000003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Aw/0Gkz/FkFKsGCY0DnkJUj4kRHeUVjGtFWZzRPtQS0fDIpE+Vgzc5ZRqO13s+HqwpQWTBITxyE5P2ba5BcAbQ==" saltValue="evCTU/YxUuCOSqVlX2s9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2GLoqHK35aYM0UeeH+pHRuLe9K3sps+2lmlRdCvPnGK1g5uxVVX5W8XZJWKSRxa0uTUixIWnu0NEKqvcJqXdA==" saltValue="WyIo3o7XNoGPF9Q2e1g7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FeaQU/cB84BnpxsTjw5TDYg+Vvx6wke+5ABglDRfspypwONW4h/8jXee+b7ixvISmcMbGM2dv/CaN7FDE4z9Ag==" saltValue="lIZjxio4RSNvuVkwQpcz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207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sheetProtection algorithmName="SHA-512" hashValue="UMQ4wNVyifUUQ/tRpaLPiepAfLNorObTCpKAqfeBDYOq8wINV2ey2lvbuEQpLfd1JV385cyMgknPCy+dfgNXJg==" saltValue="pOSTloLS8A9TnCReAM93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5fAJGClOMzJX0wPmr+CqR7lpqGFaTRPBHoNSkdL4FBW96gnN0Bn4cQL/gL3fVGIPdO3hEUdnwFOmSe3/KiMVw==" saltValue="gWpUs01CYAp+jJabuILm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cOWgIdreuJ5yJk7qFeyBTrr50HLWiZKccR798Jjf0B8DLC8CUyyyO7tR248ukAGJINLSHe28UpoO6f7RnhMdnQ==" saltValue="bW8nP7emJ5uHbtXFwMHy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lwU1IYi9nMSucgbmTLwN83Oi4VvN1P7dOe6vE9exD5Xq8t05g7Sfqny57GcvpS+ulljk5b8dZPRbB5E7NfMEw==" saltValue="s3ph4fXNQBOKpDoqRr1T4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F0OgWja9tQNmANHCp4EN42erc745HOM3aAHt2oEMar4uT4BfRDjyy1g/eBFpA9j62ew0j9aIK3/jhBCJ4BQgQ==" saltValue="8Vdd37v2DxbWNp36h5rT9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4RNbGThsLQXND2uROnjyeddSdwefuBDaozU3FoQxm3fVbX4PuZo7kpb+Gg66TAIvtze+u6P35DXoMONU9XTCQ==" saltValue="Vfb72+qloDendbRO801d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qGN8p/VJJK/cUA9gTkU29S5znI7TyauH+QiHtlcubY1D2pDCtjfHyrGL66oQhEyEZsZyFpTOSYqvmnj6kf2Aw==" saltValue="T+wnmEQCA8nqX205r/eG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LMYC7QVwhYygCP9UV9aq/8TsUKy7nAwwj0/HijvayWY3MS6Z8YpebRTcPRyGABFD6Fy3awoKISSOXb6M5+9rw==" saltValue="GwSRvDei7ZTMhsxqHQbH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3eNfzsB4KhdqvNyBauSspcOmU+iyVtOZQrpnrqY6H7S+AgxJcHdPr8ATvtV9/07ecAhwHdDptwQRNGLqzULwQ==" saltValue="UzWwP1uhyfJHAZwLqIVL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M1hV+dL9D28Cr9SQMJzrQsio+Ibsmb2mbgNa50V1AhA44uhKJZCyscGug+lxKUGt9w0kDRWkFFoF3zj74P1Pg==" saltValue="hd2ocnAOyck9U+nm+IcS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uh+5BEs6+naLQ67HRSquQT9r1wrvAnR13Vs6O8wK1/1L7TBsq+BIwKbCINoHn2IQyr+FoDazu+rShQdj0vxhA==" saltValue="BkTxb6saTDZ6KxZUAf9b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YSMaA4ArS97FrlS0jYXrJL3UzDWaYHqs8+cZJMVR9G2nczrgu/I972HzUs0ST4nr3Z79EolIXjg+hZkKiKaoA==" saltValue="mvS1AAWeOQz2lFNVMZtJ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PLuUhNZxtQZi4WuVusasvjXVV8mc6qWRneaOGO9zpq4Lcftty/cGHSRaFN2zaNW3rLdBYUNFhLqb2Jqv4v0QA==" saltValue="5RVxX5DA/qFzw4mTYHmW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qkku6d5Jb5VXUc0Mjn5+e0B49Zl+GDDhqbtIx7PBuuPPq/EX/65Pif3Cj0pM0jKC8WG7rRUGylcZXQnnU79/g==" saltValue="Vj3Ai/eY0DgsKMkpKhkJ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0.10581994430315189</v>
      </c>
      <c r="G18" s="90">
        <f>MIN(MAX(1-0.89/(1-frac_sam_12_23months+(frac_sam_12_23months*0.89)),0),1)</f>
        <v>0.10659740025966791</v>
      </c>
      <c r="H18" s="90">
        <f>MIN(MAX(1-0.89/(1-frac_sam_24_59months+(frac_sam_24_59months*0.89)),0),1)</f>
        <v>0.10676330861398142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0.1043128172148492</v>
      </c>
      <c r="G20" s="90">
        <f>MIN(MAX(1-0.89/(1-frac_mam_12_23months+(frac_mam_12_23months*0.89)),0),1)</f>
        <v>0.10371017320796871</v>
      </c>
      <c r="H20" s="90">
        <f>MIN(MAX(1-0.89/(1-frac_mam_24_59months+(frac_mam_24_59months*0.89)),0),1)</f>
        <v>0.10510758378528784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9.5790948854279634E-3</v>
      </c>
      <c r="G73" s="90">
        <f>MIN(MAX(1-0.99/(1-frac_sam_12_23months+(frac_sam_12_23months*0.99)),0),1)</f>
        <v>9.6571086290060393E-3</v>
      </c>
      <c r="H73" s="90">
        <f>MIN(MAX(1-0.99/(1-frac_sam_24_59months+(frac_sam_24_59months*0.99)),0),1)</f>
        <v>9.6737726761523257E-3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9.4282132380991701E-3</v>
      </c>
      <c r="G75" s="90">
        <f>MIN(MAX(1-0.99/(1-frac_mam_12_23months+(frac_mam_12_23months*0.99)),0),1)</f>
        <v>9.3680104721689528E-3</v>
      </c>
      <c r="H75" s="90">
        <f>MIN(MAX(1-0.99/(1-frac_mam_24_59months+(frac_mam_24_59months*0.99)),0),1)</f>
        <v>9.5077213755545564E-3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0.19314209510014557</v>
      </c>
      <c r="G128" s="90">
        <f>MIN(MAX(1-0.8/(1-frac_sam_12_23months+(frac_sam_12_23months*0.8)),0),1)</f>
        <v>0.19442161133199054</v>
      </c>
      <c r="H128" s="90">
        <f>MIN(MAX(1-0.8/(1-frac_sam_24_59months+(frac_sam_24_59months*0.8)),0),1)</f>
        <v>0.19469442136237325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0.19065646885723986</v>
      </c>
      <c r="G130" s="90">
        <f>MIN(MAX(1-0.8/(1-frac_mam_12_23months+(frac_mam_12_23months*0.8)),0),1)</f>
        <v>0.18966062054898303</v>
      </c>
      <c r="H130" s="90">
        <f>MIN(MAX(1-0.8/(1-frac_mam_24_59months+(frac_mam_24_59months*0.8)),0),1)</f>
        <v>0.19196809825409344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DjaDtkkY18NJvxKhJgBJ/4yIMQ1uD3OwAG1sdmlvB+53xjqc74jwCcYTPzhqFk5kC3FP9rpBZMdshUKwwHyUA==" saltValue="SIUrvicAkEfbrAcwKOjx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8bH43bpN4kEtnRBooUY6nB/2csKL7ot2Q9FEnpBrjMAalJPuShveKo1VvmioHwyFLW+dXnfsUT19AqE1ZqTzg==" saltValue="bZdDggdHnjWgWONU3NI0o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2024-08-06T07:38:40Z</dcterms:modified>
</cp:coreProperties>
</file>