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392C6E85-DC45-48D4-83C2-721AFF29055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<sst xmlns="http://schemas.openxmlformats.org/spreadsheetml/2006/main" count="2102" uniqueCount="341">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</sst>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238060.677734375</v>
      </c>
    </row>
    <row r="8" spans="1:3" ht="15" customHeight="1" x14ac:dyDescent="0.25">
      <c r="B8" s="5" t="s">
        <v>44</v>
      </c>
      <c r="C8" s="44">
        <v>1.4999999999999999E-2</v>
      </c>
    </row>
    <row r="9" spans="1:3" ht="15" customHeight="1" x14ac:dyDescent="0.25">
      <c r="B9" s="5" t="s">
        <v>43</v>
      </c>
      <c r="C9" s="45">
        <v>0.97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0.17019999999999999</v>
      </c>
    </row>
    <row r="24" spans="1:3" ht="15" customHeight="1" x14ac:dyDescent="0.25">
      <c r="B24" s="15" t="s">
        <v>46</v>
      </c>
      <c r="C24" s="45">
        <v>0.45119999999999999</v>
      </c>
    </row>
    <row r="25" spans="1:3" ht="15" customHeight="1" x14ac:dyDescent="0.25">
      <c r="B25" s="15" t="s">
        <v>47</v>
      </c>
      <c r="C25" s="45">
        <v>0.29249999999999998</v>
      </c>
    </row>
    <row r="26" spans="1:3" ht="15" customHeight="1" x14ac:dyDescent="0.25">
      <c r="B26" s="15" t="s">
        <v>48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0.20134766316932501</v>
      </c>
    </row>
    <row r="30" spans="1:3" ht="14.25" customHeight="1" x14ac:dyDescent="0.25">
      <c r="B30" s="25" t="s">
        <v>63</v>
      </c>
      <c r="C30" s="99">
        <v>3.7040067899888597E-2</v>
      </c>
    </row>
    <row r="31" spans="1:3" ht="14.25" customHeight="1" x14ac:dyDescent="0.25">
      <c r="B31" s="25" t="s">
        <v>10</v>
      </c>
      <c r="C31" s="99">
        <v>9.42970158051466E-2</v>
      </c>
    </row>
    <row r="32" spans="1:3" ht="14.25" customHeight="1" x14ac:dyDescent="0.25">
      <c r="B32" s="25" t="s">
        <v>11</v>
      </c>
      <c r="C32" s="99">
        <v>0.66731525312564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28.475850000000001</v>
      </c>
    </row>
    <row r="38" spans="1:5" ht="15" customHeight="1" x14ac:dyDescent="0.25">
      <c r="B38" s="11" t="s">
        <v>35</v>
      </c>
      <c r="C38" s="43">
        <v>57.189909999999998</v>
      </c>
      <c r="D38" s="12"/>
      <c r="E38" s="13"/>
    </row>
    <row r="39" spans="1:5" ht="15" customHeight="1" x14ac:dyDescent="0.25">
      <c r="B39" s="11" t="s">
        <v>61</v>
      </c>
      <c r="C39" s="43">
        <v>76.775000000000006</v>
      </c>
      <c r="D39" s="12"/>
      <c r="E39" s="12"/>
    </row>
    <row r="40" spans="1:5" ht="15" customHeight="1" x14ac:dyDescent="0.25">
      <c r="B40" s="11" t="s">
        <v>36</v>
      </c>
      <c r="C40" s="100">
        <v>2.12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7.9638E-3</v>
      </c>
      <c r="D45" s="12"/>
    </row>
    <row r="46" spans="1:5" ht="15.75" customHeight="1" x14ac:dyDescent="0.25">
      <c r="B46" s="11" t="s">
        <v>51</v>
      </c>
      <c r="C46" s="45">
        <v>8.5570199999999999E-2</v>
      </c>
      <c r="D46" s="12"/>
    </row>
    <row r="47" spans="1:5" ht="15.75" customHeight="1" x14ac:dyDescent="0.25">
      <c r="B47" s="11" t="s">
        <v>59</v>
      </c>
      <c r="C47" s="45">
        <v>7.3427199999999998E-2</v>
      </c>
      <c r="D47" s="12"/>
      <c r="E47" s="13"/>
    </row>
    <row r="48" spans="1:5" ht="15" customHeight="1" x14ac:dyDescent="0.25">
      <c r="B48" s="11" t="s">
        <v>58</v>
      </c>
      <c r="C48" s="46">
        <v>0.83303880000000008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0.42923099999999997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zaHE/sLy3ZEZG0Hay13oHyzgOcDdswmukiLTG0IDHJzRiw8xQMNvI1vycnPMF/dkbHFzT10jdNMiHO5s+6rvw==" saltValue="/T7nDayX2x3X9wUPlc6M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50600</v>
      </c>
      <c r="C2" s="49">
        <v>106331.5</v>
      </c>
      <c r="D2" s="49">
        <v>121703</v>
      </c>
      <c r="E2" s="49">
        <v>122548.5</v>
      </c>
      <c r="F2" s="49">
        <v>64957</v>
      </c>
      <c r="G2" s="17">
        <f t="shared" ref="G2:G13" si="0">C2+D2+E2+F2</f>
        <v>415540</v>
      </c>
      <c r="H2" s="17">
        <f t="shared" ref="H2:H13" si="1">(B2 + stillbirth*B2/(1000-stillbirth))/(1-abortion)</f>
        <v>58376.048780285251</v>
      </c>
      <c r="I2" s="17">
        <f t="shared" ref="I2:I13" si="2">G2-H2</f>
        <v>357163.95121971477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50908</v>
      </c>
      <c r="C3" s="50">
        <v>112095</v>
      </c>
      <c r="D3" s="50">
        <v>123628.5</v>
      </c>
      <c r="E3" s="50">
        <v>124788</v>
      </c>
      <c r="F3" s="50">
        <v>68294.5</v>
      </c>
      <c r="G3" s="17">
        <f t="shared" si="0"/>
        <v>428806</v>
      </c>
      <c r="H3" s="17">
        <f t="shared" si="1"/>
        <v>58731.381251121769</v>
      </c>
      <c r="I3" s="17">
        <f t="shared" si="2"/>
        <v>370074.61874887825</v>
      </c>
    </row>
    <row r="4" spans="1:9" ht="15.75" customHeight="1" x14ac:dyDescent="0.25">
      <c r="A4" s="5">
        <f t="shared" si="3"/>
        <v>2026</v>
      </c>
      <c r="B4" s="49">
        <v>51214</v>
      </c>
      <c r="C4" s="50">
        <v>115975.5</v>
      </c>
      <c r="D4" s="50">
        <v>127281</v>
      </c>
      <c r="E4" s="50">
        <v>126151.5</v>
      </c>
      <c r="F4" s="50">
        <v>72177</v>
      </c>
      <c r="G4" s="17">
        <f t="shared" si="0"/>
        <v>441585</v>
      </c>
      <c r="H4" s="17">
        <f t="shared" si="1"/>
        <v>59084.406368251563</v>
      </c>
      <c r="I4" s="17">
        <f t="shared" si="2"/>
        <v>382500.59363174846</v>
      </c>
    </row>
    <row r="5" spans="1:9" ht="15.75" customHeight="1" x14ac:dyDescent="0.25">
      <c r="A5" s="5">
        <f t="shared" si="3"/>
        <v>2027</v>
      </c>
      <c r="B5" s="49">
        <v>51538</v>
      </c>
      <c r="C5" s="50">
        <v>118932</v>
      </c>
      <c r="D5" s="50">
        <v>132591.5</v>
      </c>
      <c r="E5" s="50">
        <v>126727</v>
      </c>
      <c r="F5" s="50">
        <v>76542</v>
      </c>
      <c r="G5" s="17">
        <f t="shared" si="0"/>
        <v>454792.5</v>
      </c>
      <c r="H5" s="17">
        <f t="shared" si="1"/>
        <v>59458.197668741923</v>
      </c>
      <c r="I5" s="17">
        <f t="shared" si="2"/>
        <v>395334.30233125808</v>
      </c>
    </row>
    <row r="6" spans="1:9" ht="15.75" customHeight="1" x14ac:dyDescent="0.25">
      <c r="A6" s="5">
        <f t="shared" si="3"/>
        <v>2028</v>
      </c>
      <c r="B6" s="49">
        <v>51855</v>
      </c>
      <c r="C6" s="50">
        <v>121150</v>
      </c>
      <c r="D6" s="50">
        <v>139305.5</v>
      </c>
      <c r="E6" s="50">
        <v>126649</v>
      </c>
      <c r="F6" s="50">
        <v>81244</v>
      </c>
      <c r="G6" s="17">
        <f t="shared" si="0"/>
        <v>468348.5</v>
      </c>
      <c r="H6" s="17">
        <f t="shared" si="1"/>
        <v>59823.913231258732</v>
      </c>
      <c r="I6" s="17">
        <f t="shared" si="2"/>
        <v>408524.58676874125</v>
      </c>
    </row>
    <row r="7" spans="1:9" ht="15.75" customHeight="1" x14ac:dyDescent="0.25">
      <c r="A7" s="5">
        <f t="shared" si="3"/>
        <v>2029</v>
      </c>
      <c r="B7" s="49">
        <v>52426</v>
      </c>
      <c r="C7" s="50">
        <v>122777</v>
      </c>
      <c r="D7" s="50">
        <v>147181.5</v>
      </c>
      <c r="E7" s="50">
        <v>126074.5</v>
      </c>
      <c r="F7" s="50">
        <v>86095.5</v>
      </c>
      <c r="G7" s="17">
        <f t="shared" si="0"/>
        <v>482128.5</v>
      </c>
      <c r="H7" s="17">
        <f t="shared" si="1"/>
        <v>60482.662714530328</v>
      </c>
      <c r="I7" s="17">
        <f t="shared" si="2"/>
        <v>421645.83728546969</v>
      </c>
    </row>
    <row r="8" spans="1:9" ht="15.75" customHeight="1" x14ac:dyDescent="0.25">
      <c r="A8" s="5">
        <f t="shared" si="3"/>
        <v>2030</v>
      </c>
      <c r="B8" s="49">
        <v>52783</v>
      </c>
      <c r="C8" s="50">
        <v>123978</v>
      </c>
      <c r="D8" s="50">
        <v>155989.5</v>
      </c>
      <c r="E8" s="50">
        <v>125129.5</v>
      </c>
      <c r="F8" s="50">
        <v>90904.5</v>
      </c>
      <c r="G8" s="17">
        <f t="shared" si="0"/>
        <v>496001.5</v>
      </c>
      <c r="H8" s="17">
        <f t="shared" si="1"/>
        <v>60894.52535118175</v>
      </c>
      <c r="I8" s="17">
        <f t="shared" si="2"/>
        <v>435106.97464881826</v>
      </c>
    </row>
    <row r="9" spans="1:9" ht="15.75" customHeight="1" x14ac:dyDescent="0.25">
      <c r="A9" s="5">
        <f t="shared" si="3"/>
        <v>2031</v>
      </c>
      <c r="B9" s="49">
        <v>53278</v>
      </c>
      <c r="C9" s="50">
        <v>125763</v>
      </c>
      <c r="D9" s="50">
        <v>164650.5</v>
      </c>
      <c r="E9" s="50">
        <v>123920.5</v>
      </c>
      <c r="F9" s="50">
        <v>95485.5</v>
      </c>
      <c r="G9" s="17">
        <f t="shared" si="0"/>
        <v>509819.5</v>
      </c>
      <c r="H9" s="17">
        <f t="shared" si="1"/>
        <v>61465.595393597578</v>
      </c>
      <c r="I9" s="17">
        <f t="shared" si="2"/>
        <v>448353.90460640244</v>
      </c>
    </row>
    <row r="10" spans="1:9" ht="15.75" customHeight="1" x14ac:dyDescent="0.25">
      <c r="A10" s="5">
        <f t="shared" si="3"/>
        <v>2032</v>
      </c>
      <c r="B10" s="49">
        <v>53428</v>
      </c>
      <c r="C10" s="50">
        <v>128114.5</v>
      </c>
      <c r="D10" s="50">
        <v>172867</v>
      </c>
      <c r="E10" s="50">
        <v>122791.5</v>
      </c>
      <c r="F10" s="50">
        <v>99690</v>
      </c>
      <c r="G10" s="17">
        <f t="shared" si="0"/>
        <v>523463</v>
      </c>
      <c r="H10" s="17">
        <f t="shared" si="1"/>
        <v>61638.646921602376</v>
      </c>
      <c r="I10" s="17">
        <f t="shared" si="2"/>
        <v>461824.35307839763</v>
      </c>
    </row>
    <row r="11" spans="1:9" ht="15.75" customHeight="1" x14ac:dyDescent="0.25">
      <c r="A11" s="5">
        <f t="shared" si="3"/>
        <v>2033</v>
      </c>
      <c r="B11" s="49">
        <v>53504</v>
      </c>
      <c r="C11" s="50">
        <v>130137.5</v>
      </c>
      <c r="D11" s="50">
        <v>181066</v>
      </c>
      <c r="E11" s="50">
        <v>122245.5</v>
      </c>
      <c r="F11" s="50">
        <v>103401.5</v>
      </c>
      <c r="G11" s="17">
        <f t="shared" si="0"/>
        <v>536850.5</v>
      </c>
      <c r="H11" s="17">
        <f t="shared" si="1"/>
        <v>61726.326362458145</v>
      </c>
      <c r="I11" s="17">
        <f t="shared" si="2"/>
        <v>475124.17363754183</v>
      </c>
    </row>
    <row r="12" spans="1:9" ht="15.75" customHeight="1" x14ac:dyDescent="0.25">
      <c r="A12" s="5">
        <f t="shared" si="3"/>
        <v>2034</v>
      </c>
      <c r="B12" s="49">
        <v>53932</v>
      </c>
      <c r="C12" s="50">
        <v>131880</v>
      </c>
      <c r="D12" s="50">
        <v>188794.5</v>
      </c>
      <c r="E12" s="50">
        <v>122729.5</v>
      </c>
      <c r="F12" s="50">
        <v>106478.5</v>
      </c>
      <c r="G12" s="17">
        <f t="shared" si="0"/>
        <v>549882.5</v>
      </c>
      <c r="H12" s="17">
        <f t="shared" si="1"/>
        <v>62220.100055698502</v>
      </c>
      <c r="I12" s="17">
        <f t="shared" si="2"/>
        <v>487662.39994430152</v>
      </c>
    </row>
    <row r="13" spans="1:9" ht="15.75" customHeight="1" x14ac:dyDescent="0.25">
      <c r="A13" s="5">
        <f t="shared" si="3"/>
        <v>2035</v>
      </c>
      <c r="B13" s="49">
        <v>54215</v>
      </c>
      <c r="C13" s="50">
        <v>133347.5</v>
      </c>
      <c r="D13" s="50">
        <v>195619</v>
      </c>
      <c r="E13" s="50">
        <v>124666</v>
      </c>
      <c r="F13" s="50">
        <v>108802</v>
      </c>
      <c r="G13" s="17">
        <f t="shared" si="0"/>
        <v>562434.5</v>
      </c>
      <c r="H13" s="17">
        <f t="shared" si="1"/>
        <v>62546.590605200887</v>
      </c>
      <c r="I13" s="17">
        <f t="shared" si="2"/>
        <v>499887.90939479909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eM997opINtm8mb22p7dri71vyk4oKDBDIfeaUbOQgLzmPundhQ30EZmZ/iIBIy6U9N+GuS3UH72S4cHgu8Zng==" saltValue="OZNObBQHY26fey8xpoJ0D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7.305099269490082E-3</v>
      </c>
    </row>
    <row r="4" spans="1:8" ht="15.75" customHeight="1" x14ac:dyDescent="0.25">
      <c r="B4" s="19" t="s">
        <v>97</v>
      </c>
      <c r="C4" s="101">
        <v>5.32383946761604E-2</v>
      </c>
    </row>
    <row r="5" spans="1:8" ht="15.75" customHeight="1" x14ac:dyDescent="0.25">
      <c r="B5" s="19" t="s">
        <v>95</v>
      </c>
      <c r="C5" s="101">
        <v>6.7692193230780781E-2</v>
      </c>
    </row>
    <row r="6" spans="1:8" ht="15.75" customHeight="1" x14ac:dyDescent="0.25">
      <c r="B6" s="19" t="s">
        <v>91</v>
      </c>
      <c r="C6" s="101">
        <v>0.24032487596751251</v>
      </c>
    </row>
    <row r="7" spans="1:8" ht="15.75" customHeight="1" x14ac:dyDescent="0.25">
      <c r="B7" s="19" t="s">
        <v>96</v>
      </c>
      <c r="C7" s="101">
        <v>0.4413514558648543</v>
      </c>
    </row>
    <row r="8" spans="1:8" ht="15.75" customHeight="1" x14ac:dyDescent="0.25">
      <c r="B8" s="19" t="s">
        <v>98</v>
      </c>
      <c r="C8" s="101">
        <v>7.862699213730083E-3</v>
      </c>
    </row>
    <row r="9" spans="1:8" ht="15.75" customHeight="1" x14ac:dyDescent="0.25">
      <c r="B9" s="19" t="s">
        <v>92</v>
      </c>
      <c r="C9" s="101">
        <v>7.0404592959540754E-2</v>
      </c>
    </row>
    <row r="10" spans="1:8" ht="15.75" customHeight="1" x14ac:dyDescent="0.25">
      <c r="B10" s="19" t="s">
        <v>94</v>
      </c>
      <c r="C10" s="101">
        <v>0.1118206888179311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102</v>
      </c>
      <c r="C15" s="101">
        <v>0.23712937024363909</v>
      </c>
      <c r="D15" s="101">
        <v>0.23712937024363909</v>
      </c>
      <c r="E15" s="101">
        <v>0.23712937024363909</v>
      </c>
      <c r="F15" s="101">
        <v>0.23712937024363909</v>
      </c>
    </row>
    <row r="16" spans="1:8" ht="15.75" customHeight="1" x14ac:dyDescent="0.25">
      <c r="B16" s="19" t="s">
        <v>2</v>
      </c>
      <c r="C16" s="101">
        <v>3.7117086195434149E-2</v>
      </c>
      <c r="D16" s="101">
        <v>3.7117086195434149E-2</v>
      </c>
      <c r="E16" s="101">
        <v>3.7117086195434149E-2</v>
      </c>
      <c r="F16" s="101">
        <v>3.7117086195434149E-2</v>
      </c>
    </row>
    <row r="17" spans="1:8" ht="15.75" customHeight="1" x14ac:dyDescent="0.25">
      <c r="B17" s="19" t="s">
        <v>90</v>
      </c>
      <c r="C17" s="101">
        <v>6.4691924277210433E-2</v>
      </c>
      <c r="D17" s="101">
        <v>6.4691924277210433E-2</v>
      </c>
      <c r="E17" s="101">
        <v>6.4691924277210433E-2</v>
      </c>
      <c r="F17" s="101">
        <v>6.4691924277210433E-2</v>
      </c>
    </row>
    <row r="18" spans="1:8" ht="15.75" customHeight="1" x14ac:dyDescent="0.25">
      <c r="B18" s="19" t="s">
        <v>3</v>
      </c>
      <c r="C18" s="101">
        <v>0.1268361424234847</v>
      </c>
      <c r="D18" s="101">
        <v>0.1268361424234847</v>
      </c>
      <c r="E18" s="101">
        <v>0.1268361424234847</v>
      </c>
      <c r="F18" s="101">
        <v>0.1268361424234847</v>
      </c>
    </row>
    <row r="19" spans="1:8" ht="15.75" customHeight="1" x14ac:dyDescent="0.25">
      <c r="B19" s="19" t="s">
        <v>101</v>
      </c>
      <c r="C19" s="101">
        <v>1.7499491580409809E-2</v>
      </c>
      <c r="D19" s="101">
        <v>1.7499491580409809E-2</v>
      </c>
      <c r="E19" s="101">
        <v>1.7499491580409809E-2</v>
      </c>
      <c r="F19" s="101">
        <v>1.7499491580409809E-2</v>
      </c>
    </row>
    <row r="20" spans="1:8" ht="15.75" customHeight="1" x14ac:dyDescent="0.25">
      <c r="B20" s="19" t="s">
        <v>79</v>
      </c>
      <c r="C20" s="101">
        <v>0.25313723606834909</v>
      </c>
      <c r="D20" s="101">
        <v>0.25313723606834909</v>
      </c>
      <c r="E20" s="101">
        <v>0.25313723606834909</v>
      </c>
      <c r="F20" s="101">
        <v>0.25313723606834909</v>
      </c>
    </row>
    <row r="21" spans="1:8" ht="15.75" customHeight="1" x14ac:dyDescent="0.25">
      <c r="B21" s="19" t="s">
        <v>88</v>
      </c>
      <c r="C21" s="101">
        <v>3.6213588278603132E-2</v>
      </c>
      <c r="D21" s="101">
        <v>3.6213588278603132E-2</v>
      </c>
      <c r="E21" s="101">
        <v>3.6213588278603132E-2</v>
      </c>
      <c r="F21" s="101">
        <v>3.6213588278603132E-2</v>
      </c>
    </row>
    <row r="22" spans="1:8" ht="15.75" customHeight="1" x14ac:dyDescent="0.25">
      <c r="B22" s="19" t="s">
        <v>99</v>
      </c>
      <c r="C22" s="101">
        <v>8.043590138674063E-2</v>
      </c>
      <c r="D22" s="101">
        <v>8.043590138674063E-2</v>
      </c>
      <c r="E22" s="101">
        <v>8.043590138674063E-2</v>
      </c>
      <c r="F22" s="101">
        <v>8.043590138674063E-2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8.6943652999999996E-2</v>
      </c>
    </row>
    <row r="27" spans="1:8" ht="15.75" customHeight="1" x14ac:dyDescent="0.25">
      <c r="B27" s="19" t="s">
        <v>89</v>
      </c>
      <c r="C27" s="101">
        <v>8.5220880000000006E-3</v>
      </c>
    </row>
    <row r="28" spans="1:8" ht="15.75" customHeight="1" x14ac:dyDescent="0.25">
      <c r="B28" s="19" t="s">
        <v>103</v>
      </c>
      <c r="C28" s="101">
        <v>0.152896541</v>
      </c>
    </row>
    <row r="29" spans="1:8" ht="15.75" customHeight="1" x14ac:dyDescent="0.25">
      <c r="B29" s="19" t="s">
        <v>86</v>
      </c>
      <c r="C29" s="101">
        <v>0.16599547100000001</v>
      </c>
    </row>
    <row r="30" spans="1:8" ht="15.75" customHeight="1" x14ac:dyDescent="0.25">
      <c r="B30" s="19" t="s">
        <v>4</v>
      </c>
      <c r="C30" s="101">
        <v>0.10566703099999999</v>
      </c>
    </row>
    <row r="31" spans="1:8" ht="15.75" customHeight="1" x14ac:dyDescent="0.25">
      <c r="B31" s="19" t="s">
        <v>80</v>
      </c>
      <c r="C31" s="101">
        <v>0.108493031</v>
      </c>
    </row>
    <row r="32" spans="1:8" ht="15.75" customHeight="1" x14ac:dyDescent="0.25">
      <c r="B32" s="19" t="s">
        <v>85</v>
      </c>
      <c r="C32" s="101">
        <v>1.8539073999999999E-2</v>
      </c>
    </row>
    <row r="33" spans="2:3" ht="15.75" customHeight="1" x14ac:dyDescent="0.25">
      <c r="B33" s="19" t="s">
        <v>100</v>
      </c>
      <c r="C33" s="101">
        <v>8.3873541999999995E-2</v>
      </c>
    </row>
    <row r="34" spans="2:3" ht="15.75" customHeight="1" x14ac:dyDescent="0.25">
      <c r="B34" s="19" t="s">
        <v>87</v>
      </c>
      <c r="C34" s="101">
        <v>0.26906956999999998</v>
      </c>
    </row>
    <row r="35" spans="2:3" ht="15.75" customHeight="1" x14ac:dyDescent="0.25">
      <c r="B35" s="27" t="s">
        <v>60</v>
      </c>
      <c r="C35" s="48">
        <f>SUM(C26:C34)</f>
        <v>1.0000000009999999</v>
      </c>
    </row>
  </sheetData>
  <sheetProtection algorithmName="SHA-512" hashValue="K+lxmO0lDc/5gixuwhyGehPUKesTj+TsEflsrpy8msK2raEcNAXVaM1JZo19dhJ0syyK/ht11DlLoxM+odmuNw==" saltValue="883cGhx8nUysX2fkt2tXt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110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106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107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119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CvtohAupSo+VI2QkntanyNInmoBrbX5oDT0x3A9a4aBE1d4A1qR3WxoogSP8y90x6Ntk2/Zp8XZYJEvwqOG/Q==" saltValue="+1F1aUhtiKnxcGJz0gff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125</v>
      </c>
      <c r="C5" s="52">
        <v>3.33065256880734E-2</v>
      </c>
      <c r="D5" s="52">
        <v>3.1888914678899101E-2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/ZoxKVgGmoLdzmiphBDkDtJ/ixNPfo384xUcNm9PgfaXlRbczEbxd5feXQMXt7yfszZeW8/ybVOgeu4RROUCKQ==" saltValue="8mR6wqkR0QJLxdhnYc+Np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19oDB9RfCOa/KPNR7AwQwftd7bnawY2m6Up4KZoWU116pNosHfWRYvWRm5T0YJ3NeKmiobA6asmdshCWRWaNw==" saltValue="R9Brx+8e2Ry2NQy4IXfIW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oFm/sb8ytQhc59kz6ZOC0y9vQP8eyxuPg6O2fMarL6WNCvqENdn+kztkdg9B6cWEI/DJqmdDjJBLDbuVBvcBHQ==" saltValue="vmt5r9U+hnTI6FK3lVRRD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rIP+WTx3XDmwj2Mv2kkD2ISgU8budpBKj4Lcol9m29NLVH809J6I2R/yAvZjvKGE9RyV19HyHRjnlqT42ftUYA==" saltValue="OB+XB9Hj+f5Lli550hXKo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qpaqhwcOBVTaDmfs71TpZPqShRV2jqbLpCxajhL0HoeDTApifpfjUz/TuTL6p2s8vw+D5Glf5D0a0luln+53Iw==" saltValue="E0/aRgiVKO7apgicepdZa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87.391752012908441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0.219042236</v>
      </c>
      <c r="C3" s="98">
        <v>0.95</v>
      </c>
      <c r="D3" s="56">
        <v>40.53825169220913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874.73534732467272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0.99400898758412304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8.6999999999999994E-2</v>
      </c>
      <c r="C10" s="98">
        <v>0.95</v>
      </c>
      <c r="D10" s="56">
        <v>13.67055113600504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8.6999999999999994E-2</v>
      </c>
      <c r="C11" s="98">
        <v>0.95</v>
      </c>
      <c r="D11" s="56">
        <v>13.67055113600504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8.6999999999999994E-2</v>
      </c>
      <c r="C12" s="98">
        <v>0.95</v>
      </c>
      <c r="D12" s="56">
        <v>13.67055113600504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8.6999999999999994E-2</v>
      </c>
      <c r="C13" s="98">
        <v>0.95</v>
      </c>
      <c r="D13" s="56">
        <v>13.67055113600504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8.6999999999999994E-2</v>
      </c>
      <c r="C14" s="98">
        <v>0.95</v>
      </c>
      <c r="D14" s="56">
        <v>13.67055113600504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8.6999999999999994E-2</v>
      </c>
      <c r="C15" s="98">
        <v>0.95</v>
      </c>
      <c r="D15" s="56">
        <v>13.67055113600504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0.6</v>
      </c>
      <c r="C16" s="98">
        <v>0.95</v>
      </c>
      <c r="D16" s="56">
        <v>1.3773362239396929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8.4750284300000006E-2</v>
      </c>
      <c r="C18" s="98">
        <v>0.95</v>
      </c>
      <c r="D18" s="56">
        <v>20.02723308412703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0.6631279000000001</v>
      </c>
      <c r="C19" s="98">
        <v>0.95</v>
      </c>
      <c r="D19" s="56">
        <v>20.02723308412703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0.40781970000000001</v>
      </c>
      <c r="C21" s="98">
        <v>0.95</v>
      </c>
      <c r="D21" s="56">
        <v>10.32305644607259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23.936202886472088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4.6908199698568867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0.64220971160000007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8.6999999999999994E-2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19.219496467459528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0.50361942729999998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180.6631632031546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0.08</v>
      </c>
      <c r="C31" s="98">
        <v>0.95</v>
      </c>
      <c r="D31" s="56">
        <v>1.304771366326084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3.0250294891780638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0.08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0.40699999999999997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0.40400000000000003</v>
      </c>
      <c r="C38" s="98">
        <v>0.95</v>
      </c>
      <c r="D38" s="56">
        <v>6.1461020173279026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hWtCPeXktfbN38bXQy+E76jFWzD+Ayk9iRWyULyDTwNwKVlYU5rlv2TtaTiwx3h6m/uUrYQhnAxmXgnIcmifqg==" saltValue="2PyDu1ACyErFXP6kqP8H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c8p8EslGk7J90+kkQtLQo8vhniHbbYAynsbqjyuGilbMAUy+MQMKaxzyT7TbQ9w0/w0kb7TqwW7ua9ZxzorLQ==" saltValue="U3sAEeqrbZ+vFzsNop6Y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0Psch76mCSAv91+IQkKZD08xXd5qdAZMr5roAr7NWhBYwh7YUr4CKW1YUUR4F5FIzGGl6xhzRousuMZVz+OfA==" saltValue="DbKZaCBZFoXBxJIMNPN+r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207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xIjc1raxNRFYz8TseP1Pc/EzCOHnktm7iuBFAfrlwJ2gYMNMo6io3OOvWsJi58HrZhtpo6mqpPZbl7LgTCnh3g==" saltValue="NAi/b/QXyV3jvkry4UXvC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0.97</v>
      </c>
      <c r="D34" s="60">
        <f t="shared" si="3"/>
        <v>0.97</v>
      </c>
      <c r="E34" s="60">
        <f t="shared" si="3"/>
        <v>0.97</v>
      </c>
      <c r="F34" s="60">
        <f t="shared" si="3"/>
        <v>0.97</v>
      </c>
      <c r="G34" s="60">
        <f t="shared" si="3"/>
        <v>0.97</v>
      </c>
      <c r="H34" s="60">
        <f t="shared" si="3"/>
        <v>0.97</v>
      </c>
      <c r="I34" s="60">
        <f t="shared" si="3"/>
        <v>0.97</v>
      </c>
      <c r="J34" s="60">
        <f t="shared" si="3"/>
        <v>0.97</v>
      </c>
      <c r="K34" s="60">
        <f t="shared" si="3"/>
        <v>0.97</v>
      </c>
      <c r="L34" s="60">
        <f t="shared" si="3"/>
        <v>0.97</v>
      </c>
      <c r="M34" s="60">
        <f t="shared" si="3"/>
        <v>0.97</v>
      </c>
      <c r="N34" s="60">
        <f t="shared" si="3"/>
        <v>0.97</v>
      </c>
      <c r="O34" s="60">
        <f t="shared" si="3"/>
        <v>0.97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SRrO3pWoY0lSkGtnUXtk2tQc/gYf4Euugs6S+hHa0inXVoc/nxSkRAALGOQY2tozrwEZiW+Oml9LbaqZAio+A==" saltValue="qFY9vpsRiuRQWuIWP6wqX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1j6/tDwpY20dW7Ow2zaSbH4QDLIVol1bJsyT6ToOtR/S4sbudumeYjObU5RCgmnYnKEtDCu2Q3aN4syzeHFU7Q==" saltValue="oOfJHL5blw+Apkbnt58na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9V0UY5b7jC2ajrWQa7SnuHG5iNE4Mx1d+b9PixKKS0U6zHMUHg1eLghERKWfaxom8GaSkWOofEZmeAS8Ba8zg==" saltValue="cl/PaQTu1qHG55rprLGvf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UGFFihgRnlUM1/cHTsVMMPTsIcmST5EsYyrdZuBNWI4HKvIXiCr8hcDT3FhM6dd4GrgtvnmfWQKhId4Rtau3w==" saltValue="J3lbWjx/9V0ybrR/L18Ty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vEiDPVVBdrJpNavwMxp7MHV/z0F5ti/iri2LKCI8/ukUdASX3tH96MvyttPE/nZQa/t3Pm81ujeAPb9cKRD5g==" saltValue="WppfPT0VVVxzuvKLiGjCm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p8b826dg4AzuTRhxVoLzOqllldbe/BJvOHHh5k/BgC9PM7sUVh3ikmnGScIiA8Yvt7TpjtXikbM/oBfRhEslyg==" saltValue="ZZTaqmlqTX9aYF9XRxFeo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InSIXoYYor+XpfQjLaNejNvC33e/o4klC2sCj/DgdsAW7RiSmk19xqDPfYk8JoRvLKTGgc6cbOZVuWR0WbV1ww==" saltValue="7twPHmzXISt9XBEEGKkkn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m5F8LKV4ZSxiE9hYeVndPaXJc/bTRvrO4bH6b6wpD5wIqMeTWRl3wx5U7aRiwQjsDBJwf3mNvbJxG9PChFLOw==" saltValue="5wAP/FUiUv2sTZ2vh48o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TcnI3bdqTsjWz84MuxzGzKm2dC0B7L0S9vpCWeXoYAEyvANKr51JacUhQWbnbSJFXwuQQOcNJo1BK/uyJl1rg==" saltValue="E9ji1gNPWy6uzkpppgRk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BjsbT7pveqZqkzVAZMRHCr8VUxwlkexJ+sknzH/Du9DuhEvJQp6Nloti00FteDctDOTcEY40AwFJgj8oawwZQ==" saltValue="Ed6WLsoURKvXMi/+Q+b7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JodHOsfdB1cVE53QmGpKA0mM1a2t3yoenqhu3u9CF0DdrMmW24GjBY0VUPPuvyjPVjSkEOjHGLjnwwtZcU+5Zg==" saltValue="KGk+5XHR+tw3HqKRLWL4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xS8rIbsAhf6S3n/ofZfMhM4NCAgAuWNARZFBm3PxLfkBHgq4hkmOylfd8ZH8sOxEEvscEW10HZTmOcVPeKx0g==" saltValue="SHgPQNViO+PLW8oUgM9X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WUezROF/AT55NRmVkRMQpDN3jj83mKhA0GcxLWr/ZAbMGzY9pMy/jy7oChNL1K4bLOR39YR/1D9/pGvrtuxYg==" saltValue="bnd9HcrVWI8+h+U3uYLk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5qOromvoBRbm3H1YIXq97nSaFw1Vqu47z4IWkZFfHm6zgzRWdS0IgWmyQV2qTQtEzOJmFmXtZN0lD2F8pw3nw==" saltValue="EgRiMBBcCE4CyMm9RCR3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NJj6+a4Yvvmqt4iZUgsn7rolMT9whHQQxYv2KiE7cAEjGV3RAJq9z0aTQDsVxkb+737vKq4OGSfbQpWoquTkg==" saltValue="C5sxMccIIwhOTL2tNdMD6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2024-05-16T23:34:56Z</dcterms:modified>
</cp:coreProperties>
</file>