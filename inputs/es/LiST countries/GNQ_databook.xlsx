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7B0A365-9776-46EB-8979-5108E586A8F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39" i="2"/>
  <c r="H39" i="2"/>
  <c r="G39" i="2"/>
  <c r="H38" i="2"/>
  <c r="G38" i="2"/>
  <c r="I38" i="2" s="1"/>
  <c r="A34" i="2"/>
  <c r="A33" i="2"/>
  <c r="A32" i="2"/>
  <c r="A18" i="2"/>
  <c r="A17" i="2"/>
  <c r="A16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I4" i="2" l="1"/>
  <c r="I8" i="2"/>
  <c r="I40" i="2"/>
  <c r="A23" i="2"/>
  <c r="A24" i="2"/>
  <c r="A25" i="2"/>
  <c r="A3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26" i="2"/>
  <c r="A15" i="2"/>
  <c r="A31" i="2"/>
  <c r="A19" i="2"/>
  <c r="A27" i="2"/>
  <c r="A35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<sst xmlns="http://schemas.openxmlformats.org/spreadsheetml/2006/main" count="2101" uniqueCount="341">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</sst>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238060.677734375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0.97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0.17019999999999999</v>
      </c>
    </row>
    <row r="24" spans="1:3" ht="15" customHeight="1" x14ac:dyDescent="0.25">
      <c r="B24" s="15" t="s">
        <v>46</v>
      </c>
      <c r="C24" s="45">
        <v>0.45119999999999999</v>
      </c>
    </row>
    <row r="25" spans="1:3" ht="15" customHeight="1" x14ac:dyDescent="0.25">
      <c r="B25" s="15" t="s">
        <v>47</v>
      </c>
      <c r="C25" s="45">
        <v>0.29249999999999998</v>
      </c>
    </row>
    <row r="26" spans="1:3" ht="15" customHeight="1" x14ac:dyDescent="0.25">
      <c r="B26" s="15" t="s">
        <v>48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0.20134766316932501</v>
      </c>
    </row>
    <row r="30" spans="1:3" ht="14.25" customHeight="1" x14ac:dyDescent="0.25">
      <c r="B30" s="25" t="s">
        <v>63</v>
      </c>
      <c r="C30" s="99">
        <v>3.7040067899888597E-2</v>
      </c>
    </row>
    <row r="31" spans="1:3" ht="14.25" customHeight="1" x14ac:dyDescent="0.25">
      <c r="B31" s="25" t="s">
        <v>10</v>
      </c>
      <c r="C31" s="99">
        <v>9.42970158051466E-2</v>
      </c>
    </row>
    <row r="32" spans="1:3" ht="14.25" customHeight="1" x14ac:dyDescent="0.25">
      <c r="B32" s="25" t="s">
        <v>11</v>
      </c>
      <c r="C32" s="99">
        <v>0.66731525312564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28.475850000000001</v>
      </c>
    </row>
    <row r="38" spans="1:5" ht="15" customHeight="1" x14ac:dyDescent="0.25">
      <c r="B38" s="11" t="s">
        <v>35</v>
      </c>
      <c r="C38" s="43">
        <v>57.189909999999998</v>
      </c>
      <c r="D38" s="12"/>
      <c r="E38" s="13"/>
    </row>
    <row r="39" spans="1:5" ht="15" customHeight="1" x14ac:dyDescent="0.25">
      <c r="B39" s="11" t="s">
        <v>61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7.9638E-3</v>
      </c>
      <c r="D45" s="12"/>
    </row>
    <row r="46" spans="1:5" ht="15.75" customHeight="1" x14ac:dyDescent="0.25">
      <c r="B46" s="11" t="s">
        <v>51</v>
      </c>
      <c r="C46" s="45">
        <v>8.5570199999999999E-2</v>
      </c>
      <c r="D46" s="12"/>
    </row>
    <row r="47" spans="1:5" ht="15.75" customHeight="1" x14ac:dyDescent="0.25">
      <c r="B47" s="11" t="s">
        <v>59</v>
      </c>
      <c r="C47" s="45">
        <v>7.3427199999999998E-2</v>
      </c>
      <c r="D47" s="12"/>
      <c r="E47" s="13"/>
    </row>
    <row r="48" spans="1:5" ht="15" customHeight="1" x14ac:dyDescent="0.25">
      <c r="B48" s="11" t="s">
        <v>58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0.42923099999999997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JzOJIj9CvHABmXk781whOc7fWG4CSven03bVQbWMkuhmOqax2Cmww5U0VXU+IR9Q04UINmEXh5uEfC+vuzNvw==" saltValue="d+4pB5dEku0IVXZWxAZq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50600</v>
      </c>
      <c r="C2" s="49">
        <v>106331.5</v>
      </c>
      <c r="D2" s="49">
        <v>121703</v>
      </c>
      <c r="E2" s="49">
        <v>122548.5</v>
      </c>
      <c r="F2" s="49">
        <v>64957</v>
      </c>
      <c r="G2" s="17">
        <f t="shared" ref="G2:G13" si="0">C2+D2+E2+F2</f>
        <v>415540</v>
      </c>
      <c r="H2" s="17">
        <f t="shared" ref="H2:H13" si="1">(B2 + stillbirth*B2/(1000-stillbirth))/(1-abortion)</f>
        <v>58376.048780285251</v>
      </c>
      <c r="I2" s="17">
        <f t="shared" ref="I2:I13" si="2">G2-H2</f>
        <v>357163.95121971477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50908</v>
      </c>
      <c r="C3" s="50">
        <v>112095</v>
      </c>
      <c r="D3" s="50">
        <v>123628.5</v>
      </c>
      <c r="E3" s="50">
        <v>124788</v>
      </c>
      <c r="F3" s="50">
        <v>68294.5</v>
      </c>
      <c r="G3" s="17">
        <f t="shared" si="0"/>
        <v>428806</v>
      </c>
      <c r="H3" s="17">
        <f t="shared" si="1"/>
        <v>58731.381251121769</v>
      </c>
      <c r="I3" s="17">
        <f t="shared" si="2"/>
        <v>370074.61874887825</v>
      </c>
    </row>
    <row r="4" spans="1:9" ht="15.75" customHeight="1" x14ac:dyDescent="0.25">
      <c r="A4" s="5">
        <f t="shared" si="3"/>
        <v>2026</v>
      </c>
      <c r="B4" s="49">
        <v>51214</v>
      </c>
      <c r="C4" s="50">
        <v>115975.5</v>
      </c>
      <c r="D4" s="50">
        <v>127281</v>
      </c>
      <c r="E4" s="50">
        <v>126151.5</v>
      </c>
      <c r="F4" s="50">
        <v>72177</v>
      </c>
      <c r="G4" s="17">
        <f t="shared" si="0"/>
        <v>441585</v>
      </c>
      <c r="H4" s="17">
        <f t="shared" si="1"/>
        <v>59084.406368251563</v>
      </c>
      <c r="I4" s="17">
        <f t="shared" si="2"/>
        <v>382500.59363174846</v>
      </c>
    </row>
    <row r="5" spans="1:9" ht="15.75" customHeight="1" x14ac:dyDescent="0.25">
      <c r="A5" s="5">
        <f t="shared" si="3"/>
        <v>2027</v>
      </c>
      <c r="B5" s="49">
        <v>51538</v>
      </c>
      <c r="C5" s="50">
        <v>118932</v>
      </c>
      <c r="D5" s="50">
        <v>132591.5</v>
      </c>
      <c r="E5" s="50">
        <v>126727</v>
      </c>
      <c r="F5" s="50">
        <v>76542</v>
      </c>
      <c r="G5" s="17">
        <f t="shared" si="0"/>
        <v>454792.5</v>
      </c>
      <c r="H5" s="17">
        <f t="shared" si="1"/>
        <v>59458.197668741923</v>
      </c>
      <c r="I5" s="17">
        <f t="shared" si="2"/>
        <v>395334.30233125808</v>
      </c>
    </row>
    <row r="6" spans="1:9" ht="15.75" customHeight="1" x14ac:dyDescent="0.25">
      <c r="A6" s="5">
        <f t="shared" si="3"/>
        <v>2028</v>
      </c>
      <c r="B6" s="49">
        <v>51855</v>
      </c>
      <c r="C6" s="50">
        <v>121150</v>
      </c>
      <c r="D6" s="50">
        <v>139305.5</v>
      </c>
      <c r="E6" s="50">
        <v>126649</v>
      </c>
      <c r="F6" s="50">
        <v>81244</v>
      </c>
      <c r="G6" s="17">
        <f t="shared" si="0"/>
        <v>468348.5</v>
      </c>
      <c r="H6" s="17">
        <f t="shared" si="1"/>
        <v>59823.913231258732</v>
      </c>
      <c r="I6" s="17">
        <f t="shared" si="2"/>
        <v>408524.58676874125</v>
      </c>
    </row>
    <row r="7" spans="1:9" ht="15.75" customHeight="1" x14ac:dyDescent="0.25">
      <c r="A7" s="5">
        <f t="shared" si="3"/>
        <v>2029</v>
      </c>
      <c r="B7" s="49">
        <v>52426</v>
      </c>
      <c r="C7" s="50">
        <v>122777</v>
      </c>
      <c r="D7" s="50">
        <v>147181.5</v>
      </c>
      <c r="E7" s="50">
        <v>126074.5</v>
      </c>
      <c r="F7" s="50">
        <v>86095.5</v>
      </c>
      <c r="G7" s="17">
        <f t="shared" si="0"/>
        <v>482128.5</v>
      </c>
      <c r="H7" s="17">
        <f t="shared" si="1"/>
        <v>60482.662714530328</v>
      </c>
      <c r="I7" s="17">
        <f t="shared" si="2"/>
        <v>421645.83728546969</v>
      </c>
    </row>
    <row r="8" spans="1:9" ht="15.75" customHeight="1" x14ac:dyDescent="0.25">
      <c r="A8" s="5">
        <f t="shared" si="3"/>
        <v>2030</v>
      </c>
      <c r="B8" s="49">
        <v>52783</v>
      </c>
      <c r="C8" s="50">
        <v>123978</v>
      </c>
      <c r="D8" s="50">
        <v>155989.5</v>
      </c>
      <c r="E8" s="50">
        <v>125129.5</v>
      </c>
      <c r="F8" s="50">
        <v>90904.5</v>
      </c>
      <c r="G8" s="17">
        <f t="shared" si="0"/>
        <v>496001.5</v>
      </c>
      <c r="H8" s="17">
        <f t="shared" si="1"/>
        <v>60894.52535118175</v>
      </c>
      <c r="I8" s="17">
        <f t="shared" si="2"/>
        <v>435106.97464881826</v>
      </c>
    </row>
    <row r="9" spans="1:9" ht="15.75" customHeight="1" x14ac:dyDescent="0.25">
      <c r="A9" s="5">
        <f t="shared" si="3"/>
        <v>2031</v>
      </c>
      <c r="B9" s="49">
        <v>53278</v>
      </c>
      <c r="C9" s="50">
        <v>125763</v>
      </c>
      <c r="D9" s="50">
        <v>164650.5</v>
      </c>
      <c r="E9" s="50">
        <v>123920.5</v>
      </c>
      <c r="F9" s="50">
        <v>95485.5</v>
      </c>
      <c r="G9" s="17">
        <f t="shared" si="0"/>
        <v>509819.5</v>
      </c>
      <c r="H9" s="17">
        <f t="shared" si="1"/>
        <v>61465.595393597578</v>
      </c>
      <c r="I9" s="17">
        <f t="shared" si="2"/>
        <v>448353.90460640244</v>
      </c>
    </row>
    <row r="10" spans="1:9" ht="15.75" customHeight="1" x14ac:dyDescent="0.25">
      <c r="A10" s="5">
        <f t="shared" si="3"/>
        <v>2032</v>
      </c>
      <c r="B10" s="49">
        <v>53428</v>
      </c>
      <c r="C10" s="50">
        <v>128114.5</v>
      </c>
      <c r="D10" s="50">
        <v>172867</v>
      </c>
      <c r="E10" s="50">
        <v>122791.5</v>
      </c>
      <c r="F10" s="50">
        <v>99690</v>
      </c>
      <c r="G10" s="17">
        <f t="shared" si="0"/>
        <v>523463</v>
      </c>
      <c r="H10" s="17">
        <f t="shared" si="1"/>
        <v>61638.646921602376</v>
      </c>
      <c r="I10" s="17">
        <f t="shared" si="2"/>
        <v>461824.35307839763</v>
      </c>
    </row>
    <row r="11" spans="1:9" ht="15.75" customHeight="1" x14ac:dyDescent="0.25">
      <c r="A11" s="5">
        <f t="shared" si="3"/>
        <v>2033</v>
      </c>
      <c r="B11" s="49">
        <v>53504</v>
      </c>
      <c r="C11" s="50">
        <v>130137.5</v>
      </c>
      <c r="D11" s="50">
        <v>181066</v>
      </c>
      <c r="E11" s="50">
        <v>122245.5</v>
      </c>
      <c r="F11" s="50">
        <v>103401.5</v>
      </c>
      <c r="G11" s="17">
        <f t="shared" si="0"/>
        <v>536850.5</v>
      </c>
      <c r="H11" s="17">
        <f t="shared" si="1"/>
        <v>61726.326362458145</v>
      </c>
      <c r="I11" s="17">
        <f t="shared" si="2"/>
        <v>475124.17363754183</v>
      </c>
    </row>
    <row r="12" spans="1:9" ht="15.75" customHeight="1" x14ac:dyDescent="0.25">
      <c r="A12" s="5">
        <f t="shared" si="3"/>
        <v>2034</v>
      </c>
      <c r="B12" s="49">
        <v>53932</v>
      </c>
      <c r="C12" s="50">
        <v>131880</v>
      </c>
      <c r="D12" s="50">
        <v>188794.5</v>
      </c>
      <c r="E12" s="50">
        <v>122729.5</v>
      </c>
      <c r="F12" s="50">
        <v>106478.5</v>
      </c>
      <c r="G12" s="17">
        <f t="shared" si="0"/>
        <v>549882.5</v>
      </c>
      <c r="H12" s="17">
        <f t="shared" si="1"/>
        <v>62220.100055698502</v>
      </c>
      <c r="I12" s="17">
        <f t="shared" si="2"/>
        <v>487662.39994430152</v>
      </c>
    </row>
    <row r="13" spans="1:9" ht="15.75" customHeight="1" x14ac:dyDescent="0.25">
      <c r="A13" s="5">
        <f t="shared" si="3"/>
        <v>2035</v>
      </c>
      <c r="B13" s="49">
        <v>54215</v>
      </c>
      <c r="C13" s="50">
        <v>133347.5</v>
      </c>
      <c r="D13" s="50">
        <v>195619</v>
      </c>
      <c r="E13" s="50">
        <v>124666</v>
      </c>
      <c r="F13" s="50">
        <v>108802</v>
      </c>
      <c r="G13" s="17">
        <f t="shared" si="0"/>
        <v>562434.5</v>
      </c>
      <c r="H13" s="17">
        <f t="shared" si="1"/>
        <v>62546.590605200887</v>
      </c>
      <c r="I13" s="17">
        <f t="shared" si="2"/>
        <v>499887.90939479909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1stpoXxofHygzxOXDjinZ58ii5JJaQNRgU0qIuB3hhNQ1lvJQ90L8GSrQ49z4z9Yc5yZHBTpO1hK0LlE+W0/Dg==" saltValue="8b8HsJGfYm7CLneXWlklG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7.305099269490082E-3</v>
      </c>
    </row>
    <row r="4" spans="1:8" ht="15.75" customHeight="1" x14ac:dyDescent="0.25">
      <c r="B4" s="19" t="s">
        <v>97</v>
      </c>
      <c r="C4" s="101">
        <v>5.32383946761604E-2</v>
      </c>
    </row>
    <row r="5" spans="1:8" ht="15.75" customHeight="1" x14ac:dyDescent="0.25">
      <c r="B5" s="19" t="s">
        <v>95</v>
      </c>
      <c r="C5" s="101">
        <v>6.7692193230780781E-2</v>
      </c>
    </row>
    <row r="6" spans="1:8" ht="15.75" customHeight="1" x14ac:dyDescent="0.25">
      <c r="B6" s="19" t="s">
        <v>91</v>
      </c>
      <c r="C6" s="101">
        <v>0.24032487596751251</v>
      </c>
    </row>
    <row r="7" spans="1:8" ht="15.75" customHeight="1" x14ac:dyDescent="0.25">
      <c r="B7" s="19" t="s">
        <v>96</v>
      </c>
      <c r="C7" s="101">
        <v>0.4413514558648543</v>
      </c>
    </row>
    <row r="8" spans="1:8" ht="15.75" customHeight="1" x14ac:dyDescent="0.25">
      <c r="B8" s="19" t="s">
        <v>98</v>
      </c>
      <c r="C8" s="101">
        <v>7.862699213730083E-3</v>
      </c>
    </row>
    <row r="9" spans="1:8" ht="15.75" customHeight="1" x14ac:dyDescent="0.25">
      <c r="B9" s="19" t="s">
        <v>92</v>
      </c>
      <c r="C9" s="101">
        <v>7.0404592959540754E-2</v>
      </c>
    </row>
    <row r="10" spans="1:8" ht="15.75" customHeight="1" x14ac:dyDescent="0.25">
      <c r="B10" s="19" t="s">
        <v>94</v>
      </c>
      <c r="C10" s="101">
        <v>0.1118206888179311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102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2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90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3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101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79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99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8.6943652999999996E-2</v>
      </c>
    </row>
    <row r="27" spans="1:8" ht="15.75" customHeight="1" x14ac:dyDescent="0.25">
      <c r="B27" s="19" t="s">
        <v>89</v>
      </c>
      <c r="C27" s="101">
        <v>8.5220880000000006E-3</v>
      </c>
    </row>
    <row r="28" spans="1:8" ht="15.75" customHeight="1" x14ac:dyDescent="0.25">
      <c r="B28" s="19" t="s">
        <v>103</v>
      </c>
      <c r="C28" s="101">
        <v>0.152896541</v>
      </c>
    </row>
    <row r="29" spans="1:8" ht="15.75" customHeight="1" x14ac:dyDescent="0.25">
      <c r="B29" s="19" t="s">
        <v>86</v>
      </c>
      <c r="C29" s="101">
        <v>0.16599547100000001</v>
      </c>
    </row>
    <row r="30" spans="1:8" ht="15.75" customHeight="1" x14ac:dyDescent="0.25">
      <c r="B30" s="19" t="s">
        <v>4</v>
      </c>
      <c r="C30" s="101">
        <v>0.10566703099999999</v>
      </c>
    </row>
    <row r="31" spans="1:8" ht="15.75" customHeight="1" x14ac:dyDescent="0.25">
      <c r="B31" s="19" t="s">
        <v>80</v>
      </c>
      <c r="C31" s="101">
        <v>0.108493031</v>
      </c>
    </row>
    <row r="32" spans="1:8" ht="15.75" customHeight="1" x14ac:dyDescent="0.25">
      <c r="B32" s="19" t="s">
        <v>85</v>
      </c>
      <c r="C32" s="101">
        <v>1.8539073999999999E-2</v>
      </c>
    </row>
    <row r="33" spans="2:3" ht="15.75" customHeight="1" x14ac:dyDescent="0.25">
      <c r="B33" s="19" t="s">
        <v>100</v>
      </c>
      <c r="C33" s="101">
        <v>8.3873541999999995E-2</v>
      </c>
    </row>
    <row r="34" spans="2:3" ht="15.75" customHeight="1" x14ac:dyDescent="0.25">
      <c r="B34" s="19" t="s">
        <v>87</v>
      </c>
      <c r="C34" s="101">
        <v>0.26906956999999998</v>
      </c>
    </row>
    <row r="35" spans="2:3" ht="15.75" customHeight="1" x14ac:dyDescent="0.25">
      <c r="B35" s="27" t="s">
        <v>60</v>
      </c>
      <c r="C35" s="48">
        <f>SUM(C26:C34)</f>
        <v>1.0000000009999999</v>
      </c>
    </row>
  </sheetData>
  <sheetProtection algorithmName="SHA-512" hashValue="hLV0oKmIbRfR33Uf+dk3oSJjQKjMvVw6Le0ENzN+/+PZBLH9LZAArDTK3NkRi+YrIpIdoYxWI66ojYEUzKCLSA==" saltValue="dEXGFw/dKmDVrc/bYRQwu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110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106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119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4ei43u15tEqhA8kXLf+8Xq6rCGISJiod2sopsYVK3vPLbHKPWLGlaJxOutFEa6MAd8QzFzZSwAEvMb4H8iDCw==" saltValue="9GljZRVKAf94MIWtchuv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125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Vjy0A9S0z4KKFK81slnZbS4rXKt25CcC72imCgPaTL96OXIxXZ+UgHt3tuNcfq6Pykdt+cAkCRSaNJbdA7ZTzw==" saltValue="9tNJvBzANvmprPXhU5r1E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XjKoGvz09hbHp8uY632AIbmxuJLg7k5KWodw5OfQNYiS7FVKJAxRBK18wPwbKZ/haU4Dq0F29eauu9vQ1ALEQ==" saltValue="/Poh+h3m3sJgvFod5phBW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59g+qSiXR0guct9Q549PWFHx4jeIq2+qcloB+3LTtPkXhvUDQXGreCvhu8bOkI2Z6MwMJHr8J32fpoujxSLs0w==" saltValue="55GeuduU/39kjW8ix9pVT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VAOBtCYljx0ST8oNMjN0galfkBO3/bVRErIfnMZ/U8Eg03dh5bwLpcOiYut5ryC0z8emH1TPIrmGp7b3X/kcMg==" saltValue="UId9mHDEObO3NYLBVbHdm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abmySr9/wVuputb5as3CBLUP9hKheWzF4UqKM7X8+fvvBwiC81uhIcMMSYRPtqPmU+uBKu5Sk5+/1Mq09EozdQ==" saltValue="RY8KZXsZWmmE5HDMUN2n/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0.99400898758412304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0.70706266146872643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0.36424440136267727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8.6999999999999994E-2</v>
      </c>
      <c r="C10" s="98">
        <v>0.95</v>
      </c>
      <c r="D10" s="56">
        <v>13.67055113600504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13.67055113600504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13.67055113600504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13.67055113600504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8.6999999999999994E-2</v>
      </c>
      <c r="C14" s="98">
        <v>0.95</v>
      </c>
      <c r="D14" s="56">
        <v>13.67055113600504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13.67055113600504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0.27600000000000002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23.936202886472088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0.63700000000000001</v>
      </c>
      <c r="C23" s="98">
        <v>0.95</v>
      </c>
      <c r="D23" s="56">
        <v>4.6908199698568867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0.48123363019999998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8.6999999999999994E-2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0.40400000000000003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0.40699999999999997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0.08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0.24221039999999999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0.40781970000000001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2E-3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vUAb0rDBY3PCNywsZr+Oy6MsMadX6IPCdWqFh5wwuIeivmNEmy4BxSNcWY6s2ognmsidk+bw6mGuOsp60IdE3g==" saltValue="qHDMpc9r94h5tvHDzChP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egijK/xF7cfSxzA28UyjjULakT/o5cJ/ftyGUkjVvFEsEC+ZcotKrljvXVQnJarpMEYSMqolFkJglE7DQfg0mA==" saltValue="0MdFVPR2YS6W/pAMSI+V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SqGEZ+8gESGHn8yEjCkx8bxU0H4mYI4o3JoX8NsDYYL5vKwnclDDq+GQJKwQffNYheusW5Ro5K7DvDrFMADX2Q==" saltValue="bVeo2Eoh3hMiJzXNkAvym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vcqXB1EOSd53B/9ejbcgM38F5yD2/BRYvljOEWRCMdZuOoRc2Z52HsTHaaxLocQSbZF1R9jJ+8uF+nzSGeddXA==" saltValue="FZ/3Py78gFhsXDc0YfzKz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eRCHko3ks5YfojjuLVQ8gaFM//fQxf6ppPZCFZdzo+HrJpLQYCKC0TXvGG0GI94Cxc/xmwZUiSG7JE1SGkg/w==" saltValue="WPGLLi2m6mP3G8fKd/Fs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4fg8zCbaeTgpWUJ+h+Bou2x65zZ6Eh854Isx9SNOOgyxOHkTcWxZhuQdA0qOyJckfm8p1U8OK2LAGyo+OXALA==" saltValue="s8QKxRcjYmRWfXm1r0495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4O2Eg4EOatzAFS218aoIdilerQCz+/cguPBKrZTX/38+TtS9Jt8b3vmVovJxdkxIseHJK1VB2Gh11dhBjRInAQ==" saltValue="pk4jmwdwMgkBKGG5hFxOI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MkJaGgPd7/sKc2GAasD9HUlYUdwMa4tBbklBzFhJH/TYlpjN4zEcSpdguIrcFDsBsHbnTSb2XevoEwoQzAqqQ==" saltValue="vkNpcng6L5Oz5qZtm6Qj9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t3vMa3uyr07NZATg1CuX/7BcU6HPFGN60hHNdfIgtBlPcWwYmRu9RGEgarkV0MkVMBFmF+odQSmUC/1gg42jEQ==" saltValue="oCOtVSdrad8UlilggfSmQ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ufyJtI8sgLaEpDnschdG8zPTpMbbNfmZCUpl2NAHYvuRthikndJAN5+iQMy7Xqm5b1vcxufc1iTfv5PzjHbSg==" saltValue="8WMkXgCF7wNFpYaaXRBeK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3uSjPoo1wLWyTmWrWDQ5WIRhtbE23/tTD8NPO29AwZANL1cU029XtLIbaDXYJcvNfNqNtMmB8Tp/4LNa+wtjQ==" saltValue="Usnf5DiwiIRUsMoYDiAIf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qQOUdoc1H1pwBeLHvPbAkcpvIRHkeHNQAa5QSLmxajU+i4dy+NlJAsCMOi2xlanEeZG/SXBPdXzg0I+bYsEig==" saltValue="townSCN7iO4Br5+N/4nH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2EM2E62QMLkgqhI6W6iD1RrwyL+tFWrNwWu6DRy5ta5edyUhKr7kKDbmfUKWPfaWS8e/QQnq6k0Mmu2muRxbyw==" saltValue="0+VvhfBVlK8e8LSxJe7x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5xC3gIvEYizVn6otdoiAqsCcYWMSYFcVfXjPmoCd+kBObwFr04dAj+tMcJvDCSHhDhGtM42DGSF2u1Ha5A49hA==" saltValue="JFOf2BxfVWmbCI5r9BRAn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SE2eFbr6YSTLqvsx9PKVLUrkEdzkZmoOAEpRDDeNkI62+l+7wYB8KXZgYA8rVPcKiBkHQo4CeWu4W1oFExYWg==" saltValue="fBV+z2ORndXCKKxAvd+P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x604SKyZW/RftiHyLq8rrZZEEc72rsp8w20SXdEYidw5tm8cIoXrAnD74TQLtvGgyh0A2Ucr9nihIjVgq3JHw==" saltValue="GQAzV1fKTvQX1fzCrfxh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ABSt0GMGNn6WkTzlnqKt7422jGufkObdDUlccqy2f8r6uTwQkT0/z+pGehZsB10dN9F9ukWVL2le7pKaQxkBA==" saltValue="eDQpaFTfyNjsBKyobpo7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0.10464021985061334</v>
      </c>
      <c r="G18" s="90">
        <f>MIN(MAX(1-0.89/(1-frac_sam_12_23months+(frac_sam_12_23months*0.89)),0),1)</f>
        <v>0.10579430344369589</v>
      </c>
      <c r="H18" s="90">
        <f>MIN(MAX(1-0.89/(1-frac_sam_24_59months+(frac_sam_24_59months*0.89)),0),1)</f>
        <v>0.10797291671796916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9.970044044997084E-2</v>
      </c>
      <c r="G20" s="90">
        <f>MIN(MAX(1-0.89/(1-frac_mam_12_23months+(frac_mam_12_23months*0.89)),0),1)</f>
        <v>0.10176089059770355</v>
      </c>
      <c r="H20" s="90">
        <f>MIN(MAX(1-0.89/(1-frac_mam_24_59months+(frac_mam_24_59months*0.89)),0),1)</f>
        <v>0.10537269197979415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9.4609509190748398E-3</v>
      </c>
      <c r="G73" s="90">
        <f>MIN(MAX(1-0.99/(1-frac_sam_12_23months+(frac_sam_12_23months*0.99)),0),1)</f>
        <v>9.576524057445579E-3</v>
      </c>
      <c r="H73" s="90">
        <f>MIN(MAX(1-0.99/(1-frac_sam_24_59months+(frac_sam_24_59months*0.99)),0),1)</f>
        <v>9.7954376098877693E-3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8.9693148191467564E-3</v>
      </c>
      <c r="G75" s="90">
        <f>MIN(MAX(1-0.99/(1-frac_mam_12_23months+(frac_mam_12_23months*0.99)),0),1)</f>
        <v>9.1737849290419726E-3</v>
      </c>
      <c r="H75" s="90">
        <f>MIN(MAX(1-0.99/(1-frac_mam_24_59months+(frac_mam_24_59months*0.99)),0),1)</f>
        <v>9.5342712730064338E-3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0.19119702548901507</v>
      </c>
      <c r="G128" s="90">
        <f>MIN(MAX(1-0.8/(1-frac_sam_12_23months+(frac_sam_12_23months*0.8)),0),1)</f>
        <v>0.19309986478292651</v>
      </c>
      <c r="H128" s="90">
        <f>MIN(MAX(1-0.8/(1-frac_sam_24_59months+(frac_sam_24_59months*0.8)),0),1)</f>
        <v>0.19668091060796145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0.1830063125368252</v>
      </c>
      <c r="G130" s="90">
        <f>MIN(MAX(1-0.8/(1-frac_mam_12_23months+(frac_mam_12_23months*0.8)),0),1)</f>
        <v>0.18643188425466561</v>
      </c>
      <c r="H130" s="90">
        <f>MIN(MAX(1-0.8/(1-frac_mam_24_59months+(frac_mam_24_59months*0.8)),0),1)</f>
        <v>0.19240518690713748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kq5jQ+bPh5cNX/npgA5iTAti8OOPT7x4630qP3pu249Ja2IkoxIJVk77HJqBTxyYn2Dn31MsbfExbcU9vmA3g==" saltValue="DVJ1Zc7bboEXIZ8orG9n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81wh+T5rU9+jdRNYBXDM8dl5lNRyFrQmouLYafKNQjt0bsmLskcPDb8QN338k/swMQQxFuMnOdg4FYflroOcNw==" saltValue="gF6C1Ryk+u192ZQC41WXN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2024-08-06T07:41:21Z</dcterms:modified>
</cp:coreProperties>
</file>