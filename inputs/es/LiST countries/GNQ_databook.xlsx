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776FB26-85BF-47BC-B859-C177587C9B8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I7" i="2"/>
  <c r="A25" i="2"/>
  <c r="A23" i="2"/>
  <c r="A35" i="2"/>
  <c r="I4" i="2"/>
  <c r="I8" i="2"/>
  <c r="I12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<sst xmlns="http://schemas.openxmlformats.org/spreadsheetml/2006/main" count="2159" uniqueCount="372">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</sst>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255743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0.97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0.17019999999999999</v>
      </c>
    </row>
    <row r="24" spans="1:3" ht="15" customHeight="1" x14ac:dyDescent="0.25">
      <c r="B24" s="15" t="s">
        <v>65</v>
      </c>
      <c r="C24" s="45">
        <v>0.45119999999999999</v>
      </c>
    </row>
    <row r="25" spans="1:3" ht="15" customHeight="1" x14ac:dyDescent="0.25">
      <c r="B25" s="15" t="s">
        <v>66</v>
      </c>
      <c r="C25" s="45">
        <v>0.29249999999999998</v>
      </c>
    </row>
    <row r="26" spans="1:3" ht="15" customHeight="1" x14ac:dyDescent="0.25">
      <c r="B26" s="15" t="s">
        <v>67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9">
        <v>3.7040067899888597E-2</v>
      </c>
    </row>
    <row r="31" spans="1:3" ht="14.25" customHeight="1" x14ac:dyDescent="0.25">
      <c r="B31" s="25" t="s">
        <v>29</v>
      </c>
      <c r="C31" s="99">
        <v>9.42970158051466E-2</v>
      </c>
    </row>
    <row r="32" spans="1:3" ht="14.25" customHeight="1" x14ac:dyDescent="0.25">
      <c r="B32" s="25" t="s">
        <v>30</v>
      </c>
      <c r="C32" s="99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28.475850000000001</v>
      </c>
    </row>
    <row r="38" spans="1:5" ht="15" customHeight="1" x14ac:dyDescent="0.25">
      <c r="B38" s="11" t="s">
        <v>54</v>
      </c>
      <c r="C38" s="43">
        <v>57.189909999999998</v>
      </c>
      <c r="D38" s="12"/>
      <c r="E38" s="13"/>
    </row>
    <row r="39" spans="1:5" ht="15" customHeight="1" x14ac:dyDescent="0.25">
      <c r="B39" s="11" t="s">
        <v>80</v>
      </c>
      <c r="C39" s="43">
        <v>76.775000000000006</v>
      </c>
      <c r="D39" s="12"/>
      <c r="E39" s="12"/>
    </row>
    <row r="40" spans="1:5" ht="15" customHeight="1" x14ac:dyDescent="0.25">
      <c r="B40" s="11" t="s">
        <v>55</v>
      </c>
      <c r="C40" s="100">
        <v>2.12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7.9638E-3</v>
      </c>
      <c r="D45" s="12"/>
    </row>
    <row r="46" spans="1:5" ht="15.75" customHeight="1" x14ac:dyDescent="0.25">
      <c r="B46" s="11" t="s">
        <v>70</v>
      </c>
      <c r="C46" s="45">
        <v>8.5570199999999999E-2</v>
      </c>
      <c r="D46" s="12"/>
    </row>
    <row r="47" spans="1:5" ht="15.75" customHeight="1" x14ac:dyDescent="0.25">
      <c r="B47" s="11" t="s">
        <v>78</v>
      </c>
      <c r="C47" s="45">
        <v>7.3427199999999998E-2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0.42923099999999997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FWgv6wdIjmyN1hM8CA1Wn8E771Ou+5sIGUATgRmwdhhUVEJFd+3cbQ24mcENYcCdBquaukaF7bASHljCdCe2cA==" saltValue="rPt0vXNjeLu/96MHzcEC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56763</v>
      </c>
      <c r="C2" s="49">
        <v>89448</v>
      </c>
      <c r="D2" s="49">
        <v>133420.5</v>
      </c>
      <c r="E2" s="49">
        <v>123148</v>
      </c>
      <c r="F2" s="49">
        <v>83056.000000000015</v>
      </c>
      <c r="G2" s="17">
        <f t="shared" ref="G2:G13" si="0">C2+D2+E2+F2</f>
        <v>429072.5</v>
      </c>
      <c r="H2" s="17">
        <f t="shared" ref="H2:H13" si="1">(B2 + stillbirth*B2/(1000-stillbirth))/(1-abortion)</f>
        <v>65486.159227575728</v>
      </c>
      <c r="I2" s="17">
        <f t="shared" ref="I2:I13" si="2">G2-H2</f>
        <v>363586.34077242424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57351</v>
      </c>
      <c r="C3" s="50">
        <v>93265.5</v>
      </c>
      <c r="D3" s="50">
        <v>137738.5</v>
      </c>
      <c r="E3" s="50">
        <v>124137.49999999999</v>
      </c>
      <c r="F3" s="50">
        <v>86502</v>
      </c>
      <c r="G3" s="17">
        <f t="shared" si="0"/>
        <v>441643.5</v>
      </c>
      <c r="H3" s="17">
        <f t="shared" si="1"/>
        <v>66164.52121735453</v>
      </c>
      <c r="I3" s="17">
        <f t="shared" si="2"/>
        <v>375478.97878264548</v>
      </c>
    </row>
    <row r="4" spans="1:9" ht="15.75" customHeight="1" x14ac:dyDescent="0.25">
      <c r="A4" s="5">
        <f t="shared" si="3"/>
        <v>2026</v>
      </c>
      <c r="B4" s="49">
        <v>57895</v>
      </c>
      <c r="C4" s="50">
        <v>96853.5</v>
      </c>
      <c r="D4" s="50">
        <v>143005</v>
      </c>
      <c r="E4" s="50">
        <v>124448.5</v>
      </c>
      <c r="F4" s="50">
        <v>90314.500000000015</v>
      </c>
      <c r="G4" s="17">
        <f t="shared" si="0"/>
        <v>454621.5</v>
      </c>
      <c r="H4" s="17">
        <f t="shared" si="1"/>
        <v>66792.121425585268</v>
      </c>
      <c r="I4" s="17">
        <f t="shared" si="2"/>
        <v>387829.37857441476</v>
      </c>
    </row>
    <row r="5" spans="1:9" ht="15.75" customHeight="1" x14ac:dyDescent="0.25">
      <c r="A5" s="5">
        <f t="shared" si="3"/>
        <v>2027</v>
      </c>
      <c r="B5" s="49">
        <v>58448</v>
      </c>
      <c r="C5" s="50">
        <v>100242</v>
      </c>
      <c r="D5" s="50">
        <v>149094</v>
      </c>
      <c r="E5" s="50">
        <v>124250</v>
      </c>
      <c r="F5" s="50">
        <v>94354</v>
      </c>
      <c r="G5" s="17">
        <f t="shared" si="0"/>
        <v>467940</v>
      </c>
      <c r="H5" s="17">
        <f t="shared" si="1"/>
        <v>67430.10472549629</v>
      </c>
      <c r="I5" s="17">
        <f t="shared" si="2"/>
        <v>400509.89527450374</v>
      </c>
    </row>
    <row r="6" spans="1:9" ht="15.75" customHeight="1" x14ac:dyDescent="0.25">
      <c r="A6" s="5">
        <f t="shared" si="3"/>
        <v>2028</v>
      </c>
      <c r="B6" s="49">
        <v>59086</v>
      </c>
      <c r="C6" s="50">
        <v>103382.5</v>
      </c>
      <c r="D6" s="50">
        <v>155947.5</v>
      </c>
      <c r="E6" s="50">
        <v>123708.49999999999</v>
      </c>
      <c r="F6" s="50">
        <v>98434</v>
      </c>
      <c r="G6" s="17">
        <f t="shared" si="0"/>
        <v>481472.5</v>
      </c>
      <c r="H6" s="17">
        <f t="shared" si="1"/>
        <v>68166.150557943358</v>
      </c>
      <c r="I6" s="17">
        <f t="shared" si="2"/>
        <v>413306.34944205661</v>
      </c>
    </row>
    <row r="7" spans="1:9" ht="15.75" customHeight="1" x14ac:dyDescent="0.25">
      <c r="A7" s="5">
        <f t="shared" si="3"/>
        <v>2029</v>
      </c>
      <c r="B7" s="49">
        <v>59710</v>
      </c>
      <c r="C7" s="50">
        <v>106265.5</v>
      </c>
      <c r="D7" s="50">
        <v>163445.49999999997</v>
      </c>
      <c r="E7" s="50">
        <v>122978.5</v>
      </c>
      <c r="F7" s="50">
        <v>102364</v>
      </c>
      <c r="G7" s="17">
        <f t="shared" si="0"/>
        <v>495053.5</v>
      </c>
      <c r="H7" s="17">
        <f t="shared" si="1"/>
        <v>68886.044914443322</v>
      </c>
      <c r="I7" s="17">
        <f t="shared" si="2"/>
        <v>426167.45508555666</v>
      </c>
    </row>
    <row r="8" spans="1:9" ht="15.75" customHeight="1" x14ac:dyDescent="0.25">
      <c r="A8" s="5">
        <f t="shared" si="3"/>
        <v>2030</v>
      </c>
      <c r="B8" s="49">
        <v>60353</v>
      </c>
      <c r="C8" s="50">
        <v>108886</v>
      </c>
      <c r="D8" s="50">
        <v>171434.5</v>
      </c>
      <c r="E8" s="50">
        <v>122402</v>
      </c>
      <c r="F8" s="50">
        <v>105995.5</v>
      </c>
      <c r="G8" s="17">
        <f t="shared" si="0"/>
        <v>508718</v>
      </c>
      <c r="H8" s="17">
        <f t="shared" si="1"/>
        <v>69627.859131157224</v>
      </c>
      <c r="I8" s="17">
        <f t="shared" si="2"/>
        <v>439090.14086884278</v>
      </c>
    </row>
    <row r="9" spans="1:9" ht="15.75" customHeight="1" x14ac:dyDescent="0.25">
      <c r="A9" s="5">
        <f t="shared" si="3"/>
        <v>2031</v>
      </c>
      <c r="B9" s="49">
        <v>61070</v>
      </c>
      <c r="C9" s="50">
        <v>111257</v>
      </c>
      <c r="D9" s="50">
        <v>179784</v>
      </c>
      <c r="E9" s="50">
        <v>122316.49999999999</v>
      </c>
      <c r="F9" s="50">
        <v>109225.50000000001</v>
      </c>
      <c r="G9" s="17">
        <f t="shared" si="0"/>
        <v>522583</v>
      </c>
      <c r="H9" s="17">
        <f t="shared" si="1"/>
        <v>70455.045435020162</v>
      </c>
      <c r="I9" s="17">
        <f t="shared" si="2"/>
        <v>452127.95456497982</v>
      </c>
    </row>
    <row r="10" spans="1:9" ht="15.75" customHeight="1" x14ac:dyDescent="0.25">
      <c r="A10" s="5">
        <f t="shared" si="3"/>
        <v>2032</v>
      </c>
      <c r="B10" s="49">
        <v>61824</v>
      </c>
      <c r="C10" s="50">
        <v>113441</v>
      </c>
      <c r="D10" s="50">
        <v>188265.5</v>
      </c>
      <c r="E10" s="50">
        <v>123003</v>
      </c>
      <c r="F10" s="50">
        <v>112003</v>
      </c>
      <c r="G10" s="17">
        <f t="shared" si="0"/>
        <v>536712.5</v>
      </c>
      <c r="H10" s="17">
        <f t="shared" si="1"/>
        <v>71324.917782457618</v>
      </c>
      <c r="I10" s="17">
        <f t="shared" si="2"/>
        <v>465387.5822175424</v>
      </c>
    </row>
    <row r="11" spans="1:9" ht="15.75" customHeight="1" x14ac:dyDescent="0.25">
      <c r="A11" s="5">
        <f t="shared" si="3"/>
        <v>2033</v>
      </c>
      <c r="B11" s="49">
        <v>62583</v>
      </c>
      <c r="C11" s="50">
        <v>115456</v>
      </c>
      <c r="D11" s="50">
        <v>196284.5</v>
      </c>
      <c r="E11" s="50">
        <v>124667.49999999999</v>
      </c>
      <c r="F11" s="50">
        <v>114241</v>
      </c>
      <c r="G11" s="17">
        <f t="shared" si="0"/>
        <v>550649</v>
      </c>
      <c r="H11" s="17">
        <f t="shared" si="1"/>
        <v>72200.558514161894</v>
      </c>
      <c r="I11" s="17">
        <f t="shared" si="2"/>
        <v>478448.44148583809</v>
      </c>
    </row>
    <row r="12" spans="1:9" ht="15.75" customHeight="1" x14ac:dyDescent="0.25">
      <c r="A12" s="5">
        <f t="shared" si="3"/>
        <v>2034</v>
      </c>
      <c r="B12" s="49">
        <v>63231</v>
      </c>
      <c r="C12" s="50">
        <v>117332</v>
      </c>
      <c r="D12" s="50">
        <v>203532</v>
      </c>
      <c r="E12" s="50">
        <v>127554.49999999999</v>
      </c>
      <c r="F12" s="50">
        <v>115831.5</v>
      </c>
      <c r="G12" s="17">
        <f t="shared" si="0"/>
        <v>564250</v>
      </c>
      <c r="H12" s="17">
        <f t="shared" si="1"/>
        <v>72948.141115142629</v>
      </c>
      <c r="I12" s="17">
        <f t="shared" si="2"/>
        <v>491301.85888485739</v>
      </c>
    </row>
    <row r="13" spans="1:9" ht="15.75" customHeight="1" x14ac:dyDescent="0.25">
      <c r="A13" s="5">
        <f t="shared" si="3"/>
        <v>2035</v>
      </c>
      <c r="B13" s="49">
        <v>63886</v>
      </c>
      <c r="C13" s="50">
        <v>119132</v>
      </c>
      <c r="D13" s="50">
        <v>210122.5</v>
      </c>
      <c r="E13" s="50">
        <v>131677</v>
      </c>
      <c r="F13" s="50">
        <v>116724.5</v>
      </c>
      <c r="G13" s="17">
        <f t="shared" si="0"/>
        <v>577656</v>
      </c>
      <c r="H13" s="17">
        <f t="shared" si="1"/>
        <v>73703.799454096908</v>
      </c>
      <c r="I13" s="17">
        <f t="shared" si="2"/>
        <v>503952.20054590306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BJ/ZeyC3bxaFZjAGEkYnr0UD74tFEHjl/FPUDgRaRQaI2LN7bF2QTBs2n5MlfU+xmMvP99HZ4NuNcTLkBrHjg==" saltValue="kbHrh39D2V7oCPJW1MRDB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7.305099269490082E-3</v>
      </c>
    </row>
    <row r="4" spans="1:8" ht="15.75" customHeight="1" x14ac:dyDescent="0.25">
      <c r="B4" s="19" t="s">
        <v>116</v>
      </c>
      <c r="C4" s="101">
        <v>5.32383946761604E-2</v>
      </c>
    </row>
    <row r="5" spans="1:8" ht="15.75" customHeight="1" x14ac:dyDescent="0.25">
      <c r="B5" s="19" t="s">
        <v>114</v>
      </c>
      <c r="C5" s="101">
        <v>6.7692193230780781E-2</v>
      </c>
    </row>
    <row r="6" spans="1:8" ht="15.75" customHeight="1" x14ac:dyDescent="0.25">
      <c r="B6" s="19" t="s">
        <v>110</v>
      </c>
      <c r="C6" s="101">
        <v>0.24032487596751251</v>
      </c>
    </row>
    <row r="7" spans="1:8" ht="15.75" customHeight="1" x14ac:dyDescent="0.25">
      <c r="B7" s="19" t="s">
        <v>115</v>
      </c>
      <c r="C7" s="101">
        <v>0.4413514558648543</v>
      </c>
    </row>
    <row r="8" spans="1:8" ht="15.75" customHeight="1" x14ac:dyDescent="0.25">
      <c r="B8" s="19" t="s">
        <v>117</v>
      </c>
      <c r="C8" s="101">
        <v>7.862699213730083E-3</v>
      </c>
    </row>
    <row r="9" spans="1:8" ht="15.75" customHeight="1" x14ac:dyDescent="0.25">
      <c r="B9" s="19" t="s">
        <v>111</v>
      </c>
      <c r="C9" s="101">
        <v>7.0404592959540754E-2</v>
      </c>
    </row>
    <row r="10" spans="1:8" ht="15.75" customHeight="1" x14ac:dyDescent="0.25">
      <c r="B10" s="19" t="s">
        <v>113</v>
      </c>
      <c r="C10" s="101">
        <v>0.1118206888179311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121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2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109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3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120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98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107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118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8.6943652999999996E-2</v>
      </c>
    </row>
    <row r="27" spans="1:8" ht="15.75" customHeight="1" x14ac:dyDescent="0.25">
      <c r="B27" s="19" t="s">
        <v>108</v>
      </c>
      <c r="C27" s="101">
        <v>8.5220880000000006E-3</v>
      </c>
    </row>
    <row r="28" spans="1:8" ht="15.75" customHeight="1" x14ac:dyDescent="0.25">
      <c r="B28" s="19" t="s">
        <v>122</v>
      </c>
      <c r="C28" s="101">
        <v>0.152896541</v>
      </c>
    </row>
    <row r="29" spans="1:8" ht="15.75" customHeight="1" x14ac:dyDescent="0.25">
      <c r="B29" s="19" t="s">
        <v>105</v>
      </c>
      <c r="C29" s="101">
        <v>0.16599547100000001</v>
      </c>
    </row>
    <row r="30" spans="1:8" ht="15.75" customHeight="1" x14ac:dyDescent="0.25">
      <c r="B30" s="19" t="s">
        <v>4</v>
      </c>
      <c r="C30" s="101">
        <v>0.10566703099999999</v>
      </c>
    </row>
    <row r="31" spans="1:8" ht="15.75" customHeight="1" x14ac:dyDescent="0.25">
      <c r="B31" s="19" t="s">
        <v>99</v>
      </c>
      <c r="C31" s="101">
        <v>0.108493031</v>
      </c>
    </row>
    <row r="32" spans="1:8" ht="15.75" customHeight="1" x14ac:dyDescent="0.25">
      <c r="B32" s="19" t="s">
        <v>104</v>
      </c>
      <c r="C32" s="101">
        <v>1.8539073999999999E-2</v>
      </c>
    </row>
    <row r="33" spans="2:3" ht="15.75" customHeight="1" x14ac:dyDescent="0.25">
      <c r="B33" s="19" t="s">
        <v>119</v>
      </c>
      <c r="C33" s="101">
        <v>8.3873541999999995E-2</v>
      </c>
    </row>
    <row r="34" spans="2:3" ht="15.75" customHeight="1" x14ac:dyDescent="0.25">
      <c r="B34" s="19" t="s">
        <v>106</v>
      </c>
      <c r="C34" s="101">
        <v>0.26906956999999998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+IIg3u+CxZRmPE1QhgQPWxNJsHYvQuUBBXm2PY04jtTopPy3vI62VkFXpLpeMsjqrISiA0GiOGgDx7MBP6qB3w==" saltValue="LLOz638TGU315yLmGLXv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129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125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126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GSJ76MGbaBSFYqZgYQfSmWP/lEb0XlkxVihSwK78x7a2FknbuhsBtgALuTx4lvX5DsK+7+KaXlqQ2PJj2zvkg==" saltValue="upcqmks0pb+enkDLNWOi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3.3306520183487009E-2</v>
      </c>
      <c r="D5" s="52">
        <f t="shared" si="0"/>
        <v>3.1888914678898095E-2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PEzuPLQ+N0nak/CqHDeCusr5k6xbXgd4kvJ33P/0YForjTbwtiezqY3NccyZJHwA+nK/AVZ0wxutgmsTS4j0hA==" saltValue="4vX1f2nqvB/T5LtxEUXTo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EO5e2jj7acn4sxHKm+XqhV7lCewRGXHhFjFX5WW2FNkq728kGEbP9y0OnRSCx/QsVvHl85jHsS++KHU+Lau1A==" saltValue="quOstd6wo0oE3Oyp8ORd2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7182.2653820502701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0.47020000000000001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0.52767000000000008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1.2633260271661199E-2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91688.894549999997</v>
      </c>
      <c r="C22" s="109">
        <v>90786.516050000006</v>
      </c>
      <c r="D22" s="109">
        <v>90192.798169999995</v>
      </c>
      <c r="E22" s="109">
        <v>89611.497810000001</v>
      </c>
      <c r="F22" s="109">
        <v>88785.601500000004</v>
      </c>
      <c r="G22" s="109">
        <v>87500.256420000005</v>
      </c>
      <c r="H22" s="109">
        <v>85494.828020000001</v>
      </c>
      <c r="I22" s="109">
        <v>82690.048120000007</v>
      </c>
      <c r="J22" s="109">
        <v>79253.71213</v>
      </c>
      <c r="K22" s="109">
        <v>75297.087710000007</v>
      </c>
      <c r="L22" s="109">
        <v>70837.421730000002</v>
      </c>
      <c r="M22" s="109">
        <v>65631.340490000002</v>
      </c>
      <c r="N22" s="109">
        <v>58978.418440000001</v>
      </c>
      <c r="O22" s="109">
        <v>50530.115740000001</v>
      </c>
    </row>
  </sheetData>
  <sheetProtection algorithmName="SHA-512" hashValue="Ja/CrhEGo/zVgzyT/ANPtYcBZHSYB7A0l6AP7tGLEeINkN+a0Y5PTgwcXnI2yoExg+GVPCvZ5aWMZpLegk1g5w==" saltValue="V+6x7evzMHTkaCyz2KWK3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Alig5/jnOnD3sZqDQR3ISUvN3AWUx9ZN7RhVHH/gM1Slf7PjvUV1FZ5oLBcxB1fLp4cO2Y7Kyq511tLsklJLw==" saltValue="dvkg9+Iiwb4Hu3BAaPv9k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ve8MR4xjETYJTNej3foTuQ/0ovkZqIETchVaQAjCEjsKz82MEPdIyNAEhmRwtTQFtrGB2Rke7YvMc1jNsNwbw==" saltValue="m/Ua9ER48qUiJuFf0WHR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8.6999999999999994E-2</v>
      </c>
      <c r="C10" s="98">
        <v>0.95</v>
      </c>
      <c r="D10" s="56">
        <v>13.67055113600504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13.67055113600504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13.67055113600504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13.67055113600504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8.6999999999999994E-2</v>
      </c>
      <c r="C14" s="98">
        <v>0.95</v>
      </c>
      <c r="D14" s="56">
        <v>13.67055113600504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13.67055113600504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0.27600000000000002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0.63700000000000001</v>
      </c>
      <c r="C23" s="98">
        <v>0.95</v>
      </c>
      <c r="D23" s="56">
        <v>4.6908199698568867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0.48123363019999998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0.23400000000000001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0.40400000000000003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0.40699999999999997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7.0000000000000007E-2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0.24221039999999999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0.40781970000000001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2E-3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09RknK6YmtQe/Ioy2uoKA+AfIzD6l4Gx9q80Wf4fHybhuS3poSNoQmDg0/C25mX8jVVSPwsu+0FLckvzO5ls4w==" saltValue="+lE9+yMzJMuyF0DA4yKY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b8zIq/rkWlGYApokvGv5Or5L84pWVOJ5skk7VAuLJinDFNzt/rMbbuDkXfyez1gjBWhyB2OG0wTVVuDC+ep3w==" saltValue="GPglp3JGO6ygCiX9lC55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0dGg5warXKsmzXlxKY0h6spghu3mASkDixMGAM6o+WWSQ8W9HgJ4rHU7x5XjHBiql65k3Ix1U17N83UPFhocQ==" saltValue="env41rhF2OChDcY07/qV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236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LSbPcn7/lSBhS3ToTmkHFBNtzve3AyviKw8UJXlKMnO7XJc3HQQlWZH9RT5zD8Qg34ILi/b0ZIOiQ2G2OuIBaQ==" saltValue="b+hzqWxKWK4CIb+9szmZy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/BGD/F3lX+fWrqTUN6bAKrTW2yTDmKVhQ3uYsuBDUNJUM3zjDdO/9eP2sNQdlXszvQRDKhQVu/FeFVtJYu5PA==" saltValue="dVFAMPa+MAlDPLpfTKTD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6M6sd+o8J8aWxoT1jSDmKADDvWCsfnH4vY9gxZNF+f8iDYNASmtzvaZTIE5RXPvXV50L8hD5GKlmYra3BP9Sw==" saltValue="lOIS2mn4x0+eda1eyvRN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6WxlvfgGdZEoly6XrBM85V9R6i4dt8uImbSlmMfFNnlwrok9N9480OwDr2+N9+753vs1Gsc/PgCyTIbdq+CzQ==" saltValue="N7MrhUQl1LTInVtwOxsK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KW+mJofPHrJ0Qhp9ExfDbxqly7uyDzi6sxG7fZWiR6MXdd9nbQJnPvQ/rTjoX918CTHrzo90s1j6qnBDVUfWw==" saltValue="nIllSiwgic3Y3ZBbInI/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YBRqt0ExGvwJuUm0YSjYQ5qPTH7ojv/e3RttP/DnneZzaFdR7s0HllvC+kMz1xKp39Ygiec1D85mEKNi+yCfEw==" saltValue="J76FIeU47RJtH5C8eMbt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P651ku+tjkhSEZtaruG/flrVMTlYQJoVS2sN4mP6B5dHbvmKqUgreFDxzAXzr3uApQ+UpYZhpAu9B/ngrmb6Q==" saltValue="iPJsRstP1ZEm9AIEQgUB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uqABEAtcs9HRsJHc+X7TNi15gkX0Yp8jC7IZtw/HpexACiAt5QZNWG82NqCHSaA7YiLVDKl49/bjKYFyAyJsQ==" saltValue="LCyuHQigt0ebbhlJbJAVX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G0PN7+a5U1F9xPVmTxLOmjRroYWHEqZdECHGt2OC6GzDl560k9Pe1TV5Jlg/wV7cuxDLA9Kb4KWGWYRahi1Lw==" saltValue="4iVgitbXjhdu69nsh4a/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9uRp9m0T4/2veH9DiwtM9xCSnTmlfZNPxg0X59K7cXHGJ/UuWNu4OokKUFdZ2JtPBdpD6LAGZNemPP+5hkaaA==" saltValue="umZuHFnAUHqAx4l2kaNb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5a5mL0Gi92Xw3vIcUILOtoo1CJHUGCIjmuO3uIhAeU3JtUCZkplLQEH+V0gbZYV3hW3wBwVdeQ+c7/muPV/sQ==" saltValue="qX/g0TqVilcjVJBDJbWW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4oLZLeHYScFG+zPQNHSAfKZd87lVafuBV5KK9RwJwEdK49mYNQilxMruwiZSLTFI4ixkLCbZKWKDVUnZB/mWg==" saltValue="E1046asMa55LaQ3qESFe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AX7XHiakC3R5UZ43kqVo0dAGJMPouRhQ8P3WRUzYshavp/KvZZfRiYwVStEYee/y4kWOwRQN4UNOG5c9sW3kg==" saltValue="9tPpsh4/NejeNI0+a6wH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8yzwpwzzzZcf43RKeq8roJ/hceUlPDXviwjfkAGBvYrbLWCOOYdulaI9m+KrI+KXBViTf5pIQcpLnbTOpNLAg==" saltValue="StLhq8mkh62VHCfGgFWP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CyKW5uR2mYFf1MIn0J7xYNs77VrnmgMtwIHegxkwRjlOa6lLPOFCWa9/7ru683ZKRjRwdY2ZdPtSE7asogeMw==" saltValue="ZocK8Gb3lbV5QkF4sCEJ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56I6RD7qAaGYPiDtcmx4nkXFVx/VzvBH1A4DdXeKfeZJvS7uhW6v7skfRn7QkMlp2WHmT2XiMJtmIoHKQA/NiQ==" saltValue="DesNHPQS1gtO6jHF+A/30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