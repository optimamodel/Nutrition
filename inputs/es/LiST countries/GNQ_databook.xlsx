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E609233D-AD62-4ABF-B4FF-E46E20A901E0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A36" i="2"/>
  <c r="A31" i="2"/>
  <c r="A19" i="2"/>
  <c r="H13" i="2"/>
  <c r="G13" i="2"/>
  <c r="H12" i="2"/>
  <c r="G12" i="2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7" i="2" l="1"/>
  <c r="I13" i="2"/>
  <c r="A40" i="2"/>
  <c r="A23" i="2"/>
  <c r="A24" i="2"/>
  <c r="A25" i="2"/>
  <c r="I4" i="2"/>
  <c r="A26" i="2"/>
  <c r="I6" i="2"/>
  <c r="I12" i="2"/>
  <c r="A35" i="2"/>
  <c r="I38" i="2"/>
  <c r="A22" i="2"/>
  <c r="I39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<sst xmlns="http://schemas.openxmlformats.org/spreadsheetml/2006/main" count="2169" uniqueCount="373">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</sst>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255743</v>
      </c>
    </row>
    <row r="8" spans="1:3" ht="15" customHeight="1" x14ac:dyDescent="0.25">
      <c r="B8" s="5" t="s">
        <v>63</v>
      </c>
      <c r="C8" s="44">
        <v>1.4999999999999999E-2</v>
      </c>
    </row>
    <row r="9" spans="1:3" ht="15" customHeight="1" x14ac:dyDescent="0.25">
      <c r="B9" s="5" t="s">
        <v>62</v>
      </c>
      <c r="C9" s="45">
        <v>0.97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0.79500000000000004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0.17019999999999999</v>
      </c>
    </row>
    <row r="24" spans="1:3" ht="15" customHeight="1" x14ac:dyDescent="0.25">
      <c r="B24" s="15" t="s">
        <v>65</v>
      </c>
      <c r="C24" s="45">
        <v>0.45119999999999999</v>
      </c>
    </row>
    <row r="25" spans="1:3" ht="15" customHeight="1" x14ac:dyDescent="0.25">
      <c r="B25" s="15" t="s">
        <v>66</v>
      </c>
      <c r="C25" s="45">
        <v>0.29249999999999998</v>
      </c>
    </row>
    <row r="26" spans="1:3" ht="15" customHeight="1" x14ac:dyDescent="0.25">
      <c r="B26" s="15" t="s">
        <v>67</v>
      </c>
      <c r="C26" s="45">
        <v>8.6099999999999996E-2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0.20134766316932501</v>
      </c>
    </row>
    <row r="30" spans="1:3" ht="14.25" customHeight="1" x14ac:dyDescent="0.25">
      <c r="B30" s="25" t="s">
        <v>82</v>
      </c>
      <c r="C30" s="97">
        <v>3.7040067899888597E-2</v>
      </c>
    </row>
    <row r="31" spans="1:3" ht="14.25" customHeight="1" x14ac:dyDescent="0.25">
      <c r="B31" s="25" t="s">
        <v>29</v>
      </c>
      <c r="C31" s="97">
        <v>9.42970158051466E-2</v>
      </c>
    </row>
    <row r="32" spans="1:3" ht="14.25" customHeight="1" x14ac:dyDescent="0.25">
      <c r="B32" s="25" t="s">
        <v>30</v>
      </c>
      <c r="C32" s="97">
        <v>0.66731525312564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28.475850000000001</v>
      </c>
    </row>
    <row r="38" spans="1:5" ht="15" customHeight="1" x14ac:dyDescent="0.25">
      <c r="B38" s="11" t="s">
        <v>54</v>
      </c>
      <c r="C38" s="43">
        <v>57.189909999999998</v>
      </c>
      <c r="D38" s="12"/>
      <c r="E38" s="13"/>
    </row>
    <row r="39" spans="1:5" ht="15" customHeight="1" x14ac:dyDescent="0.25">
      <c r="B39" s="11" t="s">
        <v>80</v>
      </c>
      <c r="C39" s="43">
        <v>76.775000000000006</v>
      </c>
      <c r="D39" s="12"/>
      <c r="E39" s="12"/>
    </row>
    <row r="40" spans="1:5" ht="15" customHeight="1" x14ac:dyDescent="0.25">
      <c r="B40" s="11" t="s">
        <v>55</v>
      </c>
      <c r="C40" s="98">
        <v>2.12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15.00699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7.9638E-3</v>
      </c>
      <c r="D45" s="12"/>
    </row>
    <row r="46" spans="1:5" ht="15.75" customHeight="1" x14ac:dyDescent="0.25">
      <c r="B46" s="11" t="s">
        <v>70</v>
      </c>
      <c r="C46" s="45">
        <v>8.5570199999999999E-2</v>
      </c>
      <c r="D46" s="12"/>
    </row>
    <row r="47" spans="1:5" ht="15.75" customHeight="1" x14ac:dyDescent="0.25">
      <c r="B47" s="11" t="s">
        <v>78</v>
      </c>
      <c r="C47" s="45">
        <v>7.3427199999999998E-2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3.3</v>
      </c>
      <c r="D51" s="12"/>
    </row>
    <row r="52" spans="1:4" ht="15" customHeight="1" x14ac:dyDescent="0.25">
      <c r="B52" s="11" t="s">
        <v>32</v>
      </c>
      <c r="C52" s="98">
        <v>3.3</v>
      </c>
    </row>
    <row r="53" spans="1:4" ht="15.75" customHeight="1" x14ac:dyDescent="0.25">
      <c r="B53" s="11" t="s">
        <v>35</v>
      </c>
      <c r="C53" s="98">
        <v>3.3</v>
      </c>
    </row>
    <row r="54" spans="1:4" ht="15.75" customHeight="1" x14ac:dyDescent="0.25">
      <c r="B54" s="11" t="s">
        <v>33</v>
      </c>
      <c r="C54" s="98">
        <v>3.3</v>
      </c>
    </row>
    <row r="55" spans="1:4" ht="15.75" customHeight="1" x14ac:dyDescent="0.25">
      <c r="B55" s="11" t="s">
        <v>34</v>
      </c>
      <c r="C55" s="98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0.42923099999999997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OLzqJ3LhfMtLUJzuvY144nwR+P3SDifz+KRC17jHWAWH9ffxQkxxGUP8PrXbdLDCyK0M8uSYhgvDjE8OZYjAFw==" saltValue="XnYWwVWu1abbajXF7ulu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56763</v>
      </c>
      <c r="C2" s="49">
        <v>89448</v>
      </c>
      <c r="D2" s="49">
        <v>133420.5</v>
      </c>
      <c r="E2" s="49">
        <v>123148</v>
      </c>
      <c r="F2" s="49">
        <v>83056.000000000015</v>
      </c>
      <c r="G2" s="17">
        <f t="shared" ref="G2:G13" si="0">C2+D2+E2+F2</f>
        <v>429072.5</v>
      </c>
      <c r="H2" s="17">
        <f t="shared" ref="H2:H13" si="1">(B2 + stillbirth*B2/(1000-stillbirth))/(1-abortion)</f>
        <v>65486.159227575728</v>
      </c>
      <c r="I2" s="17">
        <f t="shared" ref="I2:I13" si="2">G2-H2</f>
        <v>363586.34077242424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57351</v>
      </c>
      <c r="C3" s="50">
        <v>93265.5</v>
      </c>
      <c r="D3" s="50">
        <v>137738.5</v>
      </c>
      <c r="E3" s="50">
        <v>124137.49999999999</v>
      </c>
      <c r="F3" s="50">
        <v>86502</v>
      </c>
      <c r="G3" s="17">
        <f t="shared" si="0"/>
        <v>441643.5</v>
      </c>
      <c r="H3" s="17">
        <f t="shared" si="1"/>
        <v>66164.52121735453</v>
      </c>
      <c r="I3" s="17">
        <f t="shared" si="2"/>
        <v>375478.97878264548</v>
      </c>
    </row>
    <row r="4" spans="1:9" ht="15.75" customHeight="1" x14ac:dyDescent="0.25">
      <c r="A4" s="5">
        <f t="shared" si="3"/>
        <v>2026</v>
      </c>
      <c r="B4" s="49">
        <v>57895</v>
      </c>
      <c r="C4" s="50">
        <v>96853.5</v>
      </c>
      <c r="D4" s="50">
        <v>143005</v>
      </c>
      <c r="E4" s="50">
        <v>124448.5</v>
      </c>
      <c r="F4" s="50">
        <v>90314.500000000015</v>
      </c>
      <c r="G4" s="17">
        <f t="shared" si="0"/>
        <v>454621.5</v>
      </c>
      <c r="H4" s="17">
        <f t="shared" si="1"/>
        <v>66792.121425585268</v>
      </c>
      <c r="I4" s="17">
        <f t="shared" si="2"/>
        <v>387829.37857441476</v>
      </c>
    </row>
    <row r="5" spans="1:9" ht="15.75" customHeight="1" x14ac:dyDescent="0.25">
      <c r="A5" s="5">
        <f t="shared" si="3"/>
        <v>2027</v>
      </c>
      <c r="B5" s="49">
        <v>58448</v>
      </c>
      <c r="C5" s="50">
        <v>100242</v>
      </c>
      <c r="D5" s="50">
        <v>149094</v>
      </c>
      <c r="E5" s="50">
        <v>124250</v>
      </c>
      <c r="F5" s="50">
        <v>94354</v>
      </c>
      <c r="G5" s="17">
        <f t="shared" si="0"/>
        <v>467940</v>
      </c>
      <c r="H5" s="17">
        <f t="shared" si="1"/>
        <v>67430.10472549629</v>
      </c>
      <c r="I5" s="17">
        <f t="shared" si="2"/>
        <v>400509.89527450374</v>
      </c>
    </row>
    <row r="6" spans="1:9" ht="15.75" customHeight="1" x14ac:dyDescent="0.25">
      <c r="A6" s="5">
        <f t="shared" si="3"/>
        <v>2028</v>
      </c>
      <c r="B6" s="49">
        <v>59086</v>
      </c>
      <c r="C6" s="50">
        <v>103382.5</v>
      </c>
      <c r="D6" s="50">
        <v>155947.5</v>
      </c>
      <c r="E6" s="50">
        <v>123708.49999999999</v>
      </c>
      <c r="F6" s="50">
        <v>98434</v>
      </c>
      <c r="G6" s="17">
        <f t="shared" si="0"/>
        <v>481472.5</v>
      </c>
      <c r="H6" s="17">
        <f t="shared" si="1"/>
        <v>68166.150557943358</v>
      </c>
      <c r="I6" s="17">
        <f t="shared" si="2"/>
        <v>413306.34944205661</v>
      </c>
    </row>
    <row r="7" spans="1:9" ht="15.75" customHeight="1" x14ac:dyDescent="0.25">
      <c r="A7" s="5">
        <f t="shared" si="3"/>
        <v>2029</v>
      </c>
      <c r="B7" s="49">
        <v>59710</v>
      </c>
      <c r="C7" s="50">
        <v>106265.5</v>
      </c>
      <c r="D7" s="50">
        <v>163445.49999999997</v>
      </c>
      <c r="E7" s="50">
        <v>122978.5</v>
      </c>
      <c r="F7" s="50">
        <v>102364</v>
      </c>
      <c r="G7" s="17">
        <f t="shared" si="0"/>
        <v>495053.5</v>
      </c>
      <c r="H7" s="17">
        <f t="shared" si="1"/>
        <v>68886.044914443322</v>
      </c>
      <c r="I7" s="17">
        <f t="shared" si="2"/>
        <v>426167.45508555666</v>
      </c>
    </row>
    <row r="8" spans="1:9" ht="15.75" customHeight="1" x14ac:dyDescent="0.25">
      <c r="A8" s="5">
        <f t="shared" si="3"/>
        <v>2030</v>
      </c>
      <c r="B8" s="49">
        <v>60353</v>
      </c>
      <c r="C8" s="50">
        <v>108886</v>
      </c>
      <c r="D8" s="50">
        <v>171434.5</v>
      </c>
      <c r="E8" s="50">
        <v>122402</v>
      </c>
      <c r="F8" s="50">
        <v>105995.5</v>
      </c>
      <c r="G8" s="17">
        <f t="shared" si="0"/>
        <v>508718</v>
      </c>
      <c r="H8" s="17">
        <f t="shared" si="1"/>
        <v>69627.859131157224</v>
      </c>
      <c r="I8" s="17">
        <f t="shared" si="2"/>
        <v>439090.14086884278</v>
      </c>
    </row>
    <row r="9" spans="1:9" ht="15.75" customHeight="1" x14ac:dyDescent="0.25">
      <c r="A9" s="5">
        <f t="shared" si="3"/>
        <v>2031</v>
      </c>
      <c r="B9" s="49">
        <v>61070</v>
      </c>
      <c r="C9" s="50">
        <v>111257</v>
      </c>
      <c r="D9" s="50">
        <v>179784</v>
      </c>
      <c r="E9" s="50">
        <v>122316.49999999999</v>
      </c>
      <c r="F9" s="50">
        <v>109225.50000000001</v>
      </c>
      <c r="G9" s="17">
        <f t="shared" si="0"/>
        <v>522583</v>
      </c>
      <c r="H9" s="17">
        <f t="shared" si="1"/>
        <v>70455.045435020162</v>
      </c>
      <c r="I9" s="17">
        <f t="shared" si="2"/>
        <v>452127.95456497982</v>
      </c>
    </row>
    <row r="10" spans="1:9" ht="15.75" customHeight="1" x14ac:dyDescent="0.25">
      <c r="A10" s="5">
        <f t="shared" si="3"/>
        <v>2032</v>
      </c>
      <c r="B10" s="49">
        <v>61824</v>
      </c>
      <c r="C10" s="50">
        <v>113441</v>
      </c>
      <c r="D10" s="50">
        <v>188265.5</v>
      </c>
      <c r="E10" s="50">
        <v>123003</v>
      </c>
      <c r="F10" s="50">
        <v>112003</v>
      </c>
      <c r="G10" s="17">
        <f t="shared" si="0"/>
        <v>536712.5</v>
      </c>
      <c r="H10" s="17">
        <f t="shared" si="1"/>
        <v>71324.917782457618</v>
      </c>
      <c r="I10" s="17">
        <f t="shared" si="2"/>
        <v>465387.5822175424</v>
      </c>
    </row>
    <row r="11" spans="1:9" ht="15.75" customHeight="1" x14ac:dyDescent="0.25">
      <c r="A11" s="5">
        <f t="shared" si="3"/>
        <v>2033</v>
      </c>
      <c r="B11" s="49">
        <v>62583</v>
      </c>
      <c r="C11" s="50">
        <v>115456</v>
      </c>
      <c r="D11" s="50">
        <v>196284.5</v>
      </c>
      <c r="E11" s="50">
        <v>124667.49999999999</v>
      </c>
      <c r="F11" s="50">
        <v>114241</v>
      </c>
      <c r="G11" s="17">
        <f t="shared" si="0"/>
        <v>550649</v>
      </c>
      <c r="H11" s="17">
        <f t="shared" si="1"/>
        <v>72200.558514161894</v>
      </c>
      <c r="I11" s="17">
        <f t="shared" si="2"/>
        <v>478448.44148583809</v>
      </c>
    </row>
    <row r="12" spans="1:9" ht="15.75" customHeight="1" x14ac:dyDescent="0.25">
      <c r="A12" s="5">
        <f t="shared" si="3"/>
        <v>2034</v>
      </c>
      <c r="B12" s="49">
        <v>63231</v>
      </c>
      <c r="C12" s="50">
        <v>117332</v>
      </c>
      <c r="D12" s="50">
        <v>203532</v>
      </c>
      <c r="E12" s="50">
        <v>127554.49999999999</v>
      </c>
      <c r="F12" s="50">
        <v>115831.5</v>
      </c>
      <c r="G12" s="17">
        <f t="shared" si="0"/>
        <v>564250</v>
      </c>
      <c r="H12" s="17">
        <f t="shared" si="1"/>
        <v>72948.141115142629</v>
      </c>
      <c r="I12" s="17">
        <f t="shared" si="2"/>
        <v>491301.85888485739</v>
      </c>
    </row>
    <row r="13" spans="1:9" ht="15.75" customHeight="1" x14ac:dyDescent="0.25">
      <c r="A13" s="5">
        <f t="shared" si="3"/>
        <v>2035</v>
      </c>
      <c r="B13" s="49">
        <v>63886</v>
      </c>
      <c r="C13" s="50">
        <v>119132</v>
      </c>
      <c r="D13" s="50">
        <v>210122.5</v>
      </c>
      <c r="E13" s="50">
        <v>131677</v>
      </c>
      <c r="F13" s="50">
        <v>116724.5</v>
      </c>
      <c r="G13" s="17">
        <f t="shared" si="0"/>
        <v>577656</v>
      </c>
      <c r="H13" s="17">
        <f t="shared" si="1"/>
        <v>73703.799454096908</v>
      </c>
      <c r="I13" s="17">
        <f t="shared" si="2"/>
        <v>503952.20054590306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D/iJ1gGP+tckdcyAMWdicydady/Uu4H/OzE+V4sP7awRXtI9muqiCb5RVkfQhOE13atAbARBrNXUBdEbaLmWQ==" saltValue="+dbNhap4/xNx+QGks0gfb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7.305099269490082E-3</v>
      </c>
    </row>
    <row r="4" spans="1:8" ht="15.75" customHeight="1" x14ac:dyDescent="0.25">
      <c r="B4" s="19" t="s">
        <v>116</v>
      </c>
      <c r="C4" s="99">
        <v>5.32383946761604E-2</v>
      </c>
    </row>
    <row r="5" spans="1:8" ht="15.75" customHeight="1" x14ac:dyDescent="0.25">
      <c r="B5" s="19" t="s">
        <v>114</v>
      </c>
      <c r="C5" s="99">
        <v>6.7692193230780781E-2</v>
      </c>
    </row>
    <row r="6" spans="1:8" ht="15.75" customHeight="1" x14ac:dyDescent="0.25">
      <c r="B6" s="19" t="s">
        <v>110</v>
      </c>
      <c r="C6" s="99">
        <v>0.24032487596751251</v>
      </c>
    </row>
    <row r="7" spans="1:8" ht="15.75" customHeight="1" x14ac:dyDescent="0.25">
      <c r="B7" s="19" t="s">
        <v>115</v>
      </c>
      <c r="C7" s="99">
        <v>0.4413514558648543</v>
      </c>
    </row>
    <row r="8" spans="1:8" ht="15.75" customHeight="1" x14ac:dyDescent="0.25">
      <c r="B8" s="19" t="s">
        <v>117</v>
      </c>
      <c r="C8" s="99">
        <v>7.862699213730083E-3</v>
      </c>
    </row>
    <row r="9" spans="1:8" ht="15.75" customHeight="1" x14ac:dyDescent="0.25">
      <c r="B9" s="19" t="s">
        <v>111</v>
      </c>
      <c r="C9" s="99">
        <v>7.0404592959540754E-2</v>
      </c>
    </row>
    <row r="10" spans="1:8" ht="15.75" customHeight="1" x14ac:dyDescent="0.25">
      <c r="B10" s="19" t="s">
        <v>113</v>
      </c>
      <c r="C10" s="99">
        <v>0.1118206888179311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0.1469392595461291</v>
      </c>
      <c r="D14" s="55">
        <v>0.1469392595461291</v>
      </c>
      <c r="E14" s="55">
        <v>0.1469392595461291</v>
      </c>
      <c r="F14" s="55">
        <v>0.1469392595461291</v>
      </c>
    </row>
    <row r="15" spans="1:8" ht="15.75" customHeight="1" x14ac:dyDescent="0.25">
      <c r="B15" s="19" t="s">
        <v>121</v>
      </c>
      <c r="C15" s="99">
        <v>0.23712937024363909</v>
      </c>
      <c r="D15" s="99">
        <v>0.23712937024363909</v>
      </c>
      <c r="E15" s="99">
        <v>0.23712937024363909</v>
      </c>
      <c r="F15" s="99">
        <v>0.23712937024363909</v>
      </c>
    </row>
    <row r="16" spans="1:8" ht="15.75" customHeight="1" x14ac:dyDescent="0.25">
      <c r="B16" s="19" t="s">
        <v>2</v>
      </c>
      <c r="C16" s="99">
        <v>3.7117086195434149E-2</v>
      </c>
      <c r="D16" s="99">
        <v>3.7117086195434149E-2</v>
      </c>
      <c r="E16" s="99">
        <v>3.7117086195434149E-2</v>
      </c>
      <c r="F16" s="99">
        <v>3.7117086195434149E-2</v>
      </c>
    </row>
    <row r="17" spans="1:8" ht="15.75" customHeight="1" x14ac:dyDescent="0.25">
      <c r="B17" s="19" t="s">
        <v>109</v>
      </c>
      <c r="C17" s="99">
        <v>6.4691924277210433E-2</v>
      </c>
      <c r="D17" s="99">
        <v>6.4691924277210433E-2</v>
      </c>
      <c r="E17" s="99">
        <v>6.4691924277210433E-2</v>
      </c>
      <c r="F17" s="99">
        <v>6.4691924277210433E-2</v>
      </c>
    </row>
    <row r="18" spans="1:8" ht="15.75" customHeight="1" x14ac:dyDescent="0.25">
      <c r="B18" s="19" t="s">
        <v>3</v>
      </c>
      <c r="C18" s="99">
        <v>0.1268361424234847</v>
      </c>
      <c r="D18" s="99">
        <v>0.1268361424234847</v>
      </c>
      <c r="E18" s="99">
        <v>0.1268361424234847</v>
      </c>
      <c r="F18" s="99">
        <v>0.1268361424234847</v>
      </c>
    </row>
    <row r="19" spans="1:8" ht="15.75" customHeight="1" x14ac:dyDescent="0.25">
      <c r="B19" s="19" t="s">
        <v>120</v>
      </c>
      <c r="C19" s="99">
        <v>1.7499491580409809E-2</v>
      </c>
      <c r="D19" s="99">
        <v>1.7499491580409809E-2</v>
      </c>
      <c r="E19" s="99">
        <v>1.7499491580409809E-2</v>
      </c>
      <c r="F19" s="99">
        <v>1.7499491580409809E-2</v>
      </c>
    </row>
    <row r="20" spans="1:8" ht="15.75" customHeight="1" x14ac:dyDescent="0.25">
      <c r="B20" s="19" t="s">
        <v>98</v>
      </c>
      <c r="C20" s="99">
        <v>0.25313723606834909</v>
      </c>
      <c r="D20" s="99">
        <v>0.25313723606834909</v>
      </c>
      <c r="E20" s="99">
        <v>0.25313723606834909</v>
      </c>
      <c r="F20" s="99">
        <v>0.25313723606834909</v>
      </c>
    </row>
    <row r="21" spans="1:8" ht="15.75" customHeight="1" x14ac:dyDescent="0.25">
      <c r="B21" s="19" t="s">
        <v>107</v>
      </c>
      <c r="C21" s="99">
        <v>3.6213588278603132E-2</v>
      </c>
      <c r="D21" s="99">
        <v>3.6213588278603132E-2</v>
      </c>
      <c r="E21" s="99">
        <v>3.6213588278603132E-2</v>
      </c>
      <c r="F21" s="99">
        <v>3.6213588278603132E-2</v>
      </c>
    </row>
    <row r="22" spans="1:8" ht="15.75" customHeight="1" x14ac:dyDescent="0.25">
      <c r="B22" s="19" t="s">
        <v>118</v>
      </c>
      <c r="C22" s="99">
        <v>8.043590138674063E-2</v>
      </c>
      <c r="D22" s="99">
        <v>8.043590138674063E-2</v>
      </c>
      <c r="E22" s="99">
        <v>8.043590138674063E-2</v>
      </c>
      <c r="F22" s="99">
        <v>8.043590138674063E-2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8.6943652999999996E-2</v>
      </c>
    </row>
    <row r="27" spans="1:8" ht="15.75" customHeight="1" x14ac:dyDescent="0.25">
      <c r="B27" s="19" t="s">
        <v>108</v>
      </c>
      <c r="C27" s="99">
        <v>8.5220880000000006E-3</v>
      </c>
    </row>
    <row r="28" spans="1:8" ht="15.75" customHeight="1" x14ac:dyDescent="0.25">
      <c r="B28" s="19" t="s">
        <v>122</v>
      </c>
      <c r="C28" s="99">
        <v>0.152896541</v>
      </c>
    </row>
    <row r="29" spans="1:8" ht="15.75" customHeight="1" x14ac:dyDescent="0.25">
      <c r="B29" s="19" t="s">
        <v>105</v>
      </c>
      <c r="C29" s="99">
        <v>0.16599547100000001</v>
      </c>
    </row>
    <row r="30" spans="1:8" ht="15.75" customHeight="1" x14ac:dyDescent="0.25">
      <c r="B30" s="19" t="s">
        <v>4</v>
      </c>
      <c r="C30" s="99">
        <v>0.10566703099999999</v>
      </c>
    </row>
    <row r="31" spans="1:8" ht="15.75" customHeight="1" x14ac:dyDescent="0.25">
      <c r="B31" s="19" t="s">
        <v>99</v>
      </c>
      <c r="C31" s="99">
        <v>0.108493031</v>
      </c>
    </row>
    <row r="32" spans="1:8" ht="15.75" customHeight="1" x14ac:dyDescent="0.25">
      <c r="B32" s="19" t="s">
        <v>104</v>
      </c>
      <c r="C32" s="99">
        <v>1.8539073999999999E-2</v>
      </c>
    </row>
    <row r="33" spans="2:3" ht="15.75" customHeight="1" x14ac:dyDescent="0.25">
      <c r="B33" s="19" t="s">
        <v>119</v>
      </c>
      <c r="C33" s="99">
        <v>8.3873541999999995E-2</v>
      </c>
    </row>
    <row r="34" spans="2:3" ht="15.75" customHeight="1" x14ac:dyDescent="0.25">
      <c r="B34" s="19" t="s">
        <v>106</v>
      </c>
      <c r="C34" s="99">
        <v>0.26906956999999998</v>
      </c>
    </row>
    <row r="35" spans="2:3" ht="15.75" customHeight="1" x14ac:dyDescent="0.25">
      <c r="B35" s="27" t="s">
        <v>79</v>
      </c>
      <c r="C35" s="48">
        <f>SUM(C26:C34)</f>
        <v>1.0000000009999999</v>
      </c>
    </row>
  </sheetData>
  <sheetProtection algorithmName="SHA-512" hashValue="ph26IUhCMSzC2V0aGe9+wVEAtiiSJFELW0qrB+iXzT7PHQ45daZgnTUrHsAlOGdYQbMYZTHvKniZHIG+A1Demw==" saltValue="XZzs+Ocl08jK70ClKTv6V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129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125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126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138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0.48720162700000003</v>
      </c>
      <c r="D14" s="54">
        <v>0.481282526652</v>
      </c>
      <c r="E14" s="54">
        <v>0.481282526652</v>
      </c>
      <c r="F14" s="54">
        <v>0.54058460914799999</v>
      </c>
      <c r="G14" s="54">
        <v>0.54058460914799999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0.42799999999999999</v>
      </c>
      <c r="M14" s="55">
        <v>0.42799999999999999</v>
      </c>
      <c r="N14" s="55">
        <v>0.42799999999999999</v>
      </c>
      <c r="O14" s="55">
        <v>0.42799999999999999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0.20912204155883699</v>
      </c>
      <c r="D15" s="52">
        <f t="shared" si="0"/>
        <v>0.20658138019736461</v>
      </c>
      <c r="E15" s="52">
        <f t="shared" si="0"/>
        <v>0.20658138019736461</v>
      </c>
      <c r="F15" s="52">
        <f t="shared" si="0"/>
        <v>0.23203567236920516</v>
      </c>
      <c r="G15" s="52">
        <f t="shared" si="0"/>
        <v>0.23203567236920516</v>
      </c>
      <c r="H15" s="52">
        <f t="shared" si="0"/>
        <v>0.223629351</v>
      </c>
      <c r="I15" s="52">
        <f t="shared" si="0"/>
        <v>0.223629351</v>
      </c>
      <c r="J15" s="52">
        <f t="shared" si="0"/>
        <v>0.223629351</v>
      </c>
      <c r="K15" s="52">
        <f t="shared" si="0"/>
        <v>0.223629351</v>
      </c>
      <c r="L15" s="52">
        <f t="shared" si="0"/>
        <v>0.18371086799999997</v>
      </c>
      <c r="M15" s="52">
        <f t="shared" si="0"/>
        <v>0.18371086799999997</v>
      </c>
      <c r="N15" s="52">
        <f t="shared" si="0"/>
        <v>0.18371086799999997</v>
      </c>
      <c r="O15" s="52">
        <f t="shared" si="0"/>
        <v>0.18371086799999997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7iyoDYtlp8GkVosIkdauq/WINR6gF0YRSjECJeuT8oeVWl4o+fRQF9PtLvhFwoAjpj8B2VyALPodQRrD9y9tA==" saltValue="0ea1jQ9KLJczaZNlYXyf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0.45676642935779799</v>
      </c>
      <c r="D2" s="53">
        <v>0.28061695596330299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0.38675512568807302</v>
      </c>
      <c r="D3" s="53">
        <v>0.41258372201834898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0.123171924770642</v>
      </c>
      <c r="D4" s="53">
        <v>0.27491040733944999</v>
      </c>
      <c r="E4" s="53">
        <v>0.95196375229357699</v>
      </c>
      <c r="F4" s="53">
        <v>0.70327111743119308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3.3306520183487009E-2</v>
      </c>
      <c r="D5" s="52">
        <f t="shared" si="0"/>
        <v>3.1888914678898095E-2</v>
      </c>
      <c r="E5" s="52">
        <f>1-SUM(E2:E4)</f>
        <v>4.8036247706423008E-2</v>
      </c>
      <c r="F5" s="52">
        <f>1-SUM(F2:F4)</f>
        <v>0.29672888256880692</v>
      </c>
      <c r="G5" s="52">
        <f>1-SUM(G2:G4)</f>
        <v>1</v>
      </c>
    </row>
  </sheetData>
  <sheetProtection algorithmName="SHA-512" hashValue="2eEJzvlWH0z+BeS2cBHnPcVlcUGmVjDP7P+TWULS3L/gJZ4ZUjp9ZEsYOOpsrSIR0fbk18Stb+bzyTwXvAM2Ag==" saltValue="0zkozsA5mAp+Su6NczKyd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zWDTbUbhfEHnR6uglp6a26QeIKKW2P/DPN43HafwIBTOTtT5FJhr+toPaYnTN91gWPQN+kpQwdeS8iP78CWSgg==" saltValue="8WJuJotkF+xkv9H8SiHC1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7182.2653820502701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0.47020000000000001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0.52767000000000008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1.2633260271661199E-2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91688.894549999997</v>
      </c>
      <c r="C22" s="107">
        <v>90786.516050000006</v>
      </c>
      <c r="D22" s="107">
        <v>90192.798169999995</v>
      </c>
      <c r="E22" s="107">
        <v>89611.497810000001</v>
      </c>
      <c r="F22" s="107">
        <v>88785.601500000004</v>
      </c>
      <c r="G22" s="107">
        <v>87500.256420000005</v>
      </c>
      <c r="H22" s="107">
        <v>85494.828020000001</v>
      </c>
      <c r="I22" s="107">
        <v>82690.048120000007</v>
      </c>
      <c r="J22" s="107">
        <v>79253.71213</v>
      </c>
      <c r="K22" s="107">
        <v>75297.087710000007</v>
      </c>
      <c r="L22" s="107">
        <v>70837.421730000002</v>
      </c>
      <c r="M22" s="107">
        <v>65631.340490000002</v>
      </c>
      <c r="N22" s="107">
        <v>58978.418440000001</v>
      </c>
      <c r="O22" s="107">
        <v>50530.115740000001</v>
      </c>
    </row>
  </sheetData>
  <sheetProtection algorithmName="SHA-512" hashValue="4+UUVCSSn7vPiKX2SoymMQ/BIYLqrhUs6/44r4ZBJCG0+BrUuG3YCIlbzOJ5JIx75TsmyMG5dKPrtEGOTLOy+Q==" saltValue="+KawtViftvaAQ/URZqOB3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9yJwLK937mv4XZg55umdgZ2MMbTEt65zptvzyh/gG4AeaviZmw8jNxWm+V7IeEjou+czRZroePbkiFXjDc8gOQ==" saltValue="QeoOdwbnFabwStWvzTQEg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6EEhx8NeNQv6FJikF0Bwa7RZdZoLFMBZ2gCxce7C/8/jtrNC/PhW0YcmULMcoC1SOGVOWJQKbody2hQ5k/O3aA==" saltValue="EVFC4SyClrmPId9DcckuT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0.70706266146872643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8.6999999999999994E-2</v>
      </c>
      <c r="C10" s="96">
        <v>0.95</v>
      </c>
      <c r="D10" s="56">
        <v>13.67055113600504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13.67055113600504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13.67055113600504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13.67055113600504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8.6999999999999994E-2</v>
      </c>
      <c r="C14" s="96">
        <v>0.95</v>
      </c>
      <c r="D14" s="56">
        <v>13.67055113600504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13.67055113600504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0.27600000000000002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0.63700000000000001</v>
      </c>
      <c r="C23" s="96">
        <v>0.95</v>
      </c>
      <c r="D23" s="56">
        <v>4.6908199698568867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0.48123363019999998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0.23400000000000001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0.40400000000000003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0.40699999999999997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7.0000000000000007E-2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0.24221039999999999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0.40781970000000001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2E-3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1QTf8taniChhVgk9gEXrHBbEqhDhKosvzkV2AgGov1vpQ/fOSYR5uHQaaZW5coUz0BDhopTs1czwriN2EPCpUQ==" saltValue="MEjQZ7AifuZf4A+/7cK5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3MkeNb7B5W/+Qpwqd9ZaXUqQS7KpfmY2omilgA6ik86XVHEmD1fd0/azkz1kKH32itfY0RF8hiNyU3AbJgP10A==" saltValue="JtTspK2XzJCMRVwBaZ2Gw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RjIu87DF42MdzFgIA1BJI37h9H5rmWSeUGza9R9EzquyhDvgPvu2fKWQG0wIcT/JZLrr9rM9KCP/1K8+szbqSQ==" saltValue="AoM8cbFTeva+IK62eaS6u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236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sheetProtection algorithmName="SHA-512" hashValue="rOa+q2GAQGr4AAe0ozf9zXg3kAcLyL6zD428C0z1NYUzaYFpEokx+sJ5joyGuXrn0QpTdcv+JN0wO+YdlgmHZA==" saltValue="nGHhNczQU9fnhF+cZz5pv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0.79500000000000004</v>
      </c>
      <c r="M24" s="60">
        <f>famplan_unmet_need</f>
        <v>0.79500000000000004</v>
      </c>
      <c r="N24" s="60">
        <f>famplan_unmet_need</f>
        <v>0.79500000000000004</v>
      </c>
      <c r="O24" s="60">
        <f>famplan_unmet_need</f>
        <v>0.79500000000000004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0.33236672209398005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0.14244288089742002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0.19915718620860001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0.97</v>
      </c>
      <c r="D34" s="60">
        <f t="shared" si="4"/>
        <v>0.97</v>
      </c>
      <c r="E34" s="60">
        <f t="shared" si="4"/>
        <v>0.97</v>
      </c>
      <c r="F34" s="60">
        <f t="shared" si="4"/>
        <v>0.97</v>
      </c>
      <c r="G34" s="60">
        <f t="shared" si="4"/>
        <v>0.97</v>
      </c>
      <c r="H34" s="60">
        <f t="shared" si="4"/>
        <v>0.97</v>
      </c>
      <c r="I34" s="60">
        <f t="shared" si="4"/>
        <v>0.97</v>
      </c>
      <c r="J34" s="60">
        <f t="shared" si="4"/>
        <v>0.97</v>
      </c>
      <c r="K34" s="60">
        <f t="shared" si="4"/>
        <v>0.97</v>
      </c>
      <c r="L34" s="60">
        <f t="shared" si="4"/>
        <v>0.97</v>
      </c>
      <c r="M34" s="60">
        <f t="shared" si="4"/>
        <v>0.97</v>
      </c>
      <c r="N34" s="60">
        <f t="shared" si="4"/>
        <v>0.97</v>
      </c>
      <c r="O34" s="60">
        <f t="shared" si="4"/>
        <v>0.97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NXZ5Xt7lmfZm+sH9AO6OyFh6wujWW8eKofMcshrUGvfj1hC2f6yRZM0iJQadLu1e5jFhvIH8x4tu/rA3D/kkQ==" saltValue="9egjcVTyTkIvaJ9LYPS5A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4CLV+FTDUXRkXXPOTtrm2qIsTvqisJ4J4aGgX0KHDBR7UuRbnhV24DrtO+qpLY9DrndjwmktW+6FEBJLqqExtQ==" saltValue="g5TWDc6N30KGQUXugyVz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mCO2q4xnLIihONBaEZHTN3jUzgpeO7hGTYTTlc0H2h0Rv1mDLiWKH8oZIzPJSE28aH/hq1damXSoc3QIfXQx3w==" saltValue="8qWYpgMqJj9+a84wpN6zz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Y24pBftop9vLG7Jp2w0CJgYGvU9ZvjQWyQK/6XDxq5QOpsc4nKg73bOcd35rsjsANUs7iD44KhoaLUT2QLxJA==" saltValue="t4jHren7GR+nKRfwAPQMR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o0LEukVAW2ejmknr5TaJBqgByreaXJfR8V0n/gMK/ORlvBii0OS2Gh0WpgcJaZptV5lFsZ6ajwSZrj8XonfRyA==" saltValue="l+7FDmLKaGTB9Yh0WCN3q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b+pxEDjrt41YJjSh08bTEvXaefPoRBUvtmM75cAKt73YUIIMQpcHzUXT6//mby/BK/nd+1dvaVzWqWl3EfWi8A==" saltValue="kyh4ae3bcXdq6jFUf/7F9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PXXXQXhyQvNopBM4SWqbEYg7eraSt3zvJ2b6Xvf5hiE0nbHsieyfVqQbbdHLTJh7tDgoQa1aZGCvTHtKxBAxQ==" saltValue="PcIaUe1FzvSk4mIh6Ynjm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HXvEHY9gt1gRKzp1ROw4gU+NOxxwk2l05S/CQiI1yFwKATbnn9MVkWVOPO/zg/AJaIOlmjiPJUGc3Gyg3x/kSg==" saltValue="Dp5LQG6R9EuzYyiNC478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C+xqMprBorW3L0rDOa3vS+IYqPhnT9+aJrDAU/iYIrq1DRjaM9TpRpLKE8X3aMOoX4HDBjCHTLnCOu3jSxlgWA==" saltValue="7APBVyYbTLErQLT6pYGx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vDMhO45SNrLE3pNwRK29Uij9V5KKGOKSQVvFuEQ4hVrfv4+mfvNWGFgnGwvrd+Mqkiiz7U6pM3KSqtM96K6qg==" saltValue="hfylfr6Fm0BF8MMpWoXn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1Dsjq0N7nrxCqfX9e1dBYJIlz1DetZj1+9LxRv8ooECUj/zVZq4uwtmLj1lxrHMSkEUGHVG1d5g+9Nm7EeYog==" saltValue="kI3CTKSf1YK0tMXpClkK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lnIWW6Qx4XSyIoc/86znJf9hrjPFaP0q2qSMZ2xEcmn7TonsVjPGES38pdesGfVo06SnR3n2IppvHEdgdOrJg==" saltValue="G/hE+FIkHGwooKnK4OQ7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V1wmtdsROenc/d+IoV420+0zcdgMA0yI5mIh2A21A5c5FdAjqHae49FbU78El/eKYaRVDXk2Y91OUZ/lWqdWQ==" saltValue="x0ecAUNBJdTQO8TfanQ5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PuxKzS5o0Mv88ccCJ8UAHMCvvH6dmWkO1uhyydi7l5KirbsZ6oW24qvl8fP+SOxw7qvvFBR3zfv56tn6AqAjTg==" saltValue="WQfyHS8FokNBcs6osJoq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pw8Mr+KgAMFtPMz30aYC3u5Fzw+umny0dT+hRvXjWANvdgh2I6yjAXGRCclno1qlMy/7A3oKW7dz65Kh20OsZQ==" saltValue="yIyzaxOlmNB9C+CNEkRhj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