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"/>
    </mc:Choice>
  </mc:AlternateContent>
  <xr:revisionPtr revIDLastSave="0" documentId="8_{96EE293C-A560-46F6-AA27-972F39B85DC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state="hidden" r:id="rId6"/>
    <sheet name="Pérdida económica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6">'[1]Baseline year population inputs'!$C$41</definedName>
    <definedName name="abortion" localSheetId="5">'[1]Baseline year population inputs'!$C$41</definedName>
    <definedName name="abortion">'Entradas de población-año base'!$C$41</definedName>
    <definedName name="comm_deliv" localSheetId="6">'[1]Treatment of SAM'!$D$3</definedName>
    <definedName name="comm_deliv" localSheetId="5">'[1]Treatment of SAM'!$D$3</definedName>
    <definedName name="comm_deliv">'Tratamiento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'Entradas de población-año base'!$C$52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'Entradas de población-año base'!$C$54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'Entradas de población-año base'!$C$51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'Entradas de población-año base'!$C$55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'Entradas de población-año base'!$C$53</definedName>
    <definedName name="end_year" localSheetId="6">'[1]Baseline year population inputs'!$C$4</definedName>
    <definedName name="end_year" localSheetId="5">'[1]Baseline year population inputs'!$C$4</definedName>
    <definedName name="end_year">'Entradas de población-año base'!$C$4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'Entradas de población-año base'!$C$13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'Entradas de población-año base'!$C$8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'Entradas de población-año base'!$C$12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'Entradas de población-año base'!$C$58</definedName>
    <definedName name="frac_maize" localSheetId="6">'[1]Baseline year population inputs'!$C$19</definedName>
    <definedName name="frac_maize" localSheetId="5">'[1]Baseline year population inputs'!$C$19</definedName>
    <definedName name="frac_maize">'Entradas de población-año base'!$C$19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'Entradas de población-año base'!$C$9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'Distribución estado nutricional'!$D$10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'Distribución estado nutricional'!$F$10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'Distribución estado nutricional'!$C$10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'Distribución estado nutricional'!$G$10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'Distribución estado nutricional'!$E$10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'Entradas de población-año base'!$C$11</definedName>
    <definedName name="frac_rice" localSheetId="6">'[1]Baseline year population inputs'!$C$17</definedName>
    <definedName name="frac_rice" localSheetId="5">'[1]Baseline year population inputs'!$C$17</definedName>
    <definedName name="frac_rice">'Entradas de población-año base'!$C$17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'Distribución estado nutricional'!$D$11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'Distribución estado nutricional'!$F$11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'Distribución estado nutricional'!$C$11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'Distribución estado nutricional'!$G$11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'Distribución estado nutricional'!$E$11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6">'[1]Baseline year population inputs'!$C$18</definedName>
    <definedName name="frac_wheat" localSheetId="5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6">'[1]Baseline year population inputs'!$C$46</definedName>
    <definedName name="preterm_AGA" localSheetId="5">'[1]Baseline year population inputs'!$C$46</definedName>
    <definedName name="preterm_AGA">'Entradas de población-año base'!$C$46</definedName>
    <definedName name="preterm_SGA" localSheetId="6">'[1]Baseline year population inputs'!$C$45</definedName>
    <definedName name="preterm_SGA" localSheetId="5">'[1]Baseline year population inputs'!$C$45</definedName>
    <definedName name="preterm_SGA">'Entradas de población-año base'!$C$45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'Entradas de población-año base'!$C$10</definedName>
    <definedName name="start_year" localSheetId="6">'[1]Baseline year population inputs'!$C$3</definedName>
    <definedName name="start_year" localSheetId="5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6">'[1]Baseline year population inputs'!$C$42</definedName>
    <definedName name="stillbirth" localSheetId="5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6">'[1]Baseline year population inputs'!$C$47</definedName>
    <definedName name="term_SGA" localSheetId="5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D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67" i="68"/>
  <c r="G63" i="68"/>
  <c r="F63" i="68"/>
  <c r="E63" i="68"/>
  <c r="D63" i="68"/>
  <c r="C63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49" i="68"/>
  <c r="F49" i="68"/>
  <c r="E49" i="68"/>
  <c r="D49" i="68"/>
  <c r="C44" i="68"/>
  <c r="G40" i="68"/>
  <c r="F40" i="68"/>
  <c r="E40" i="68"/>
  <c r="D40" i="68"/>
  <c r="C40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<sst xmlns="http://schemas.openxmlformats.org/spreadsheetml/2006/main" count="2093" uniqueCount="341">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</sst>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19</v>
      </c>
      <c r="B1" s="30" t="s">
        <v>4</v>
      </c>
      <c r="C1" s="30" t="s">
        <v>24</v>
      </c>
    </row>
    <row r="2" spans="1:3" ht="16" customHeight="1" x14ac:dyDescent="0.3">
      <c r="A2" s="8" t="s">
        <v>55</v>
      </c>
      <c r="B2" s="30"/>
      <c r="C2" s="30"/>
    </row>
    <row r="3" spans="1:3" ht="16" customHeight="1" x14ac:dyDescent="0.3">
      <c r="A3" s="1"/>
      <c r="B3" s="5" t="s">
        <v>18</v>
      </c>
      <c r="C3" s="48">
        <v>2017</v>
      </c>
    </row>
    <row r="4" spans="1:3" ht="16" customHeight="1" x14ac:dyDescent="0.3">
      <c r="A4" s="1"/>
      <c r="B4" s="5" t="s">
        <v>26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50">
        <v>9862402</v>
      </c>
    </row>
    <row r="8" spans="1:3" ht="15" customHeight="1" x14ac:dyDescent="0.25">
      <c r="B8" s="5" t="s">
        <v>44</v>
      </c>
      <c r="C8" s="51">
        <v>0.28199999999999997</v>
      </c>
    </row>
    <row r="9" spans="1:3" ht="15" customHeight="1" x14ac:dyDescent="0.25">
      <c r="B9" s="5" t="s">
        <v>43</v>
      </c>
      <c r="C9" s="52">
        <v>1</v>
      </c>
    </row>
    <row r="10" spans="1:3" ht="15" customHeight="1" x14ac:dyDescent="0.25">
      <c r="B10" s="5" t="s">
        <v>56</v>
      </c>
      <c r="C10" s="52">
        <v>0.23</v>
      </c>
    </row>
    <row r="11" spans="1:3" ht="15" customHeight="1" x14ac:dyDescent="0.25">
      <c r="B11" s="5" t="s">
        <v>49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62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52">
        <v>0.3</v>
      </c>
    </row>
    <row r="17" spans="1:3" ht="15" customHeight="1" x14ac:dyDescent="0.25">
      <c r="B17" s="5" t="s">
        <v>30</v>
      </c>
      <c r="C17" s="52">
        <v>0.1</v>
      </c>
    </row>
    <row r="18" spans="1:3" ht="15" customHeight="1" x14ac:dyDescent="0.25">
      <c r="B18" s="5" t="s">
        <v>31</v>
      </c>
      <c r="C18" s="52">
        <v>0.1</v>
      </c>
    </row>
    <row r="19" spans="1:3" ht="15" customHeight="1" x14ac:dyDescent="0.25">
      <c r="B19" s="5" t="s">
        <v>29</v>
      </c>
      <c r="C19" s="52">
        <v>0.8</v>
      </c>
    </row>
    <row r="20" spans="1:3" ht="15" customHeight="1" x14ac:dyDescent="0.25">
      <c r="B20" s="5" t="s">
        <v>34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52">
        <v>0.127</v>
      </c>
    </row>
    <row r="24" spans="1:3" ht="15" customHeight="1" x14ac:dyDescent="0.25">
      <c r="B24" s="15" t="s">
        <v>46</v>
      </c>
      <c r="C24" s="52">
        <v>0.45200000000000001</v>
      </c>
    </row>
    <row r="25" spans="1:3" ht="15" customHeight="1" x14ac:dyDescent="0.25">
      <c r="B25" s="15" t="s">
        <v>47</v>
      </c>
      <c r="C25" s="52">
        <v>0.33400000000000002</v>
      </c>
    </row>
    <row r="26" spans="1:3" ht="15" customHeight="1" x14ac:dyDescent="0.25">
      <c r="B26" s="15" t="s">
        <v>48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4" t="s">
        <v>27</v>
      </c>
      <c r="C29" s="53">
        <v>0.20799999999999999</v>
      </c>
    </row>
    <row r="30" spans="1:3" ht="14.25" customHeight="1" x14ac:dyDescent="0.25">
      <c r="B30" s="24" t="s">
        <v>63</v>
      </c>
      <c r="C30" s="53">
        <v>0.63700000000000001</v>
      </c>
    </row>
    <row r="31" spans="1:3" ht="14.25" customHeight="1" x14ac:dyDescent="0.25">
      <c r="B31" s="24" t="s">
        <v>10</v>
      </c>
      <c r="C31" s="53">
        <v>0.11899999999999999</v>
      </c>
    </row>
    <row r="32" spans="1:3" ht="14.25" customHeight="1" x14ac:dyDescent="0.25">
      <c r="B32" s="24" t="s">
        <v>11</v>
      </c>
      <c r="C32" s="53">
        <v>3.5999999999999997E-2</v>
      </c>
    </row>
    <row r="33" spans="1:5" ht="13" x14ac:dyDescent="0.25">
      <c r="B33" s="26" t="s">
        <v>60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54">
        <v>25</v>
      </c>
    </row>
    <row r="38" spans="1:5" ht="15" customHeight="1" x14ac:dyDescent="0.25">
      <c r="B38" s="11" t="s">
        <v>35</v>
      </c>
      <c r="C38" s="54">
        <v>43</v>
      </c>
      <c r="D38" s="12"/>
      <c r="E38" s="13"/>
    </row>
    <row r="39" spans="1:5" ht="15" customHeight="1" x14ac:dyDescent="0.25">
      <c r="B39" s="11" t="s">
        <v>61</v>
      </c>
      <c r="C39" s="54">
        <v>67</v>
      </c>
      <c r="D39" s="12"/>
      <c r="E39" s="12"/>
    </row>
    <row r="40" spans="1:5" ht="15" customHeight="1" x14ac:dyDescent="0.25">
      <c r="B40" s="11" t="s">
        <v>36</v>
      </c>
      <c r="C40" s="54">
        <v>4.01</v>
      </c>
    </row>
    <row r="41" spans="1:5" ht="15" customHeight="1" x14ac:dyDescent="0.25">
      <c r="B41" s="11" t="s">
        <v>32</v>
      </c>
      <c r="C41" s="52">
        <v>0.13</v>
      </c>
    </row>
    <row r="42" spans="1:5" ht="15" customHeight="1" x14ac:dyDescent="0.25">
      <c r="B42" s="11" t="s">
        <v>57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52">
        <v>3.1E-2</v>
      </c>
      <c r="D45" s="12"/>
    </row>
    <row r="46" spans="1:5" ht="15.75" customHeight="1" x14ac:dyDescent="0.25">
      <c r="B46" s="11" t="s">
        <v>51</v>
      </c>
      <c r="C46" s="52">
        <v>0.109</v>
      </c>
      <c r="D46" s="12"/>
    </row>
    <row r="47" spans="1:5" ht="15.75" customHeight="1" x14ac:dyDescent="0.25">
      <c r="B47" s="11" t="s">
        <v>59</v>
      </c>
      <c r="C47" s="52">
        <v>0.36499999999999999</v>
      </c>
      <c r="D47" s="12"/>
      <c r="E47" s="13"/>
    </row>
    <row r="48" spans="1:5" ht="15" customHeight="1" x14ac:dyDescent="0.25">
      <c r="B48" s="11" t="s">
        <v>58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55">
        <v>1.66</v>
      </c>
      <c r="D51" s="12"/>
    </row>
    <row r="52" spans="1:4" ht="15" customHeight="1" x14ac:dyDescent="0.25">
      <c r="B52" s="11" t="s">
        <v>13</v>
      </c>
      <c r="C52" s="55">
        <v>1.66</v>
      </c>
    </row>
    <row r="53" spans="1:4" ht="15.75" customHeight="1" x14ac:dyDescent="0.25">
      <c r="B53" s="11" t="s">
        <v>16</v>
      </c>
      <c r="C53" s="55">
        <v>5.64</v>
      </c>
    </row>
    <row r="54" spans="1:4" ht="15.75" customHeight="1" x14ac:dyDescent="0.25">
      <c r="B54" s="11" t="s">
        <v>14</v>
      </c>
      <c r="C54" s="55">
        <v>5.43</v>
      </c>
    </row>
    <row r="55" spans="1:4" ht="15.75" customHeight="1" x14ac:dyDescent="0.25">
      <c r="B55" s="11" t="s">
        <v>15</v>
      </c>
      <c r="C55" s="55">
        <v>1.91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51">
        <v>0.2</v>
      </c>
    </row>
    <row r="59" spans="1:4" ht="15.75" customHeight="1" x14ac:dyDescent="0.25">
      <c r="B59" s="11" t="s">
        <v>40</v>
      </c>
      <c r="C59" s="51">
        <v>0.42</v>
      </c>
    </row>
    <row r="60" spans="1:4" ht="15.75" customHeight="1" x14ac:dyDescent="0.25">
      <c r="B60" s="11" t="s">
        <v>54</v>
      </c>
      <c r="C60" s="51">
        <v>4.5999999999999999E-2</v>
      </c>
    </row>
    <row r="61" spans="1:4" ht="15.75" customHeight="1" x14ac:dyDescent="0.25">
      <c r="B61" s="11" t="s">
        <v>53</v>
      </c>
      <c r="C61" s="51">
        <v>1.4E-2</v>
      </c>
    </row>
    <row r="62" spans="1:4" ht="15.75" customHeight="1" x14ac:dyDescent="0.25">
      <c r="B62" s="11" t="s">
        <v>64</v>
      </c>
      <c r="C62" s="51">
        <v>0.02</v>
      </c>
    </row>
    <row r="63" spans="1:4" ht="15.75" customHeight="1" x14ac:dyDescent="0.3">
      <c r="A63" s="4"/>
    </row>
  </sheetData>
  <sheetProtection algorithmName="SHA-512" hashValue="jMrTo/xx+CgUCQ2/eYRL+9hq9l0A8np9H4bPu9dVm6E2kA0A6OECSpdmoGC3xdIHFoVtzHn+qkHFWP0SAwr08A==" saltValue="kEf7XuHEe2lDdKOv0UDG+g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9uTHO1gRxQSgbg43WoGKxrgkXSJoFJzOnengxuGW94tfqHkI44DKuH7l6ZDjozafBaTWya1j2wXHM2Jp8ucoWQ==" saltValue="zJtRvDPIXvM/RLvT9Y0HD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82</v>
      </c>
      <c r="C2" s="30" t="s">
        <v>78</v>
      </c>
      <c r="D2" s="30"/>
      <c r="E2" s="30"/>
      <c r="F2" s="30"/>
      <c r="G2" s="30"/>
    </row>
    <row r="3" spans="1:8" ht="15.75" customHeight="1" x14ac:dyDescent="0.25">
      <c r="B3" s="19" t="s">
        <v>93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95</v>
      </c>
      <c r="C5" s="58">
        <v>6.2100000000000002E-2</v>
      </c>
    </row>
    <row r="6" spans="1:8" ht="15.75" customHeight="1" x14ac:dyDescent="0.25">
      <c r="B6" s="19" t="s">
        <v>91</v>
      </c>
      <c r="C6" s="58">
        <v>0.29289999999999999</v>
      </c>
    </row>
    <row r="7" spans="1:8" ht="15.75" customHeight="1" x14ac:dyDescent="0.25">
      <c r="B7" s="19" t="s">
        <v>96</v>
      </c>
      <c r="C7" s="58">
        <v>0.24709999999999999</v>
      </c>
    </row>
    <row r="8" spans="1:8" ht="15.75" customHeight="1" x14ac:dyDescent="0.25">
      <c r="B8" s="19" t="s">
        <v>98</v>
      </c>
      <c r="C8" s="58">
        <v>4.7999999999999996E-3</v>
      </c>
    </row>
    <row r="9" spans="1:8" ht="15.75" customHeight="1" x14ac:dyDescent="0.25">
      <c r="B9" s="19" t="s">
        <v>92</v>
      </c>
      <c r="C9" s="58">
        <v>0.13200000000000001</v>
      </c>
    </row>
    <row r="10" spans="1:8" ht="15.75" customHeight="1" x14ac:dyDescent="0.25">
      <c r="B10" s="19" t="s">
        <v>94</v>
      </c>
      <c r="C10" s="58">
        <v>6.1800000000000001E-2</v>
      </c>
    </row>
    <row r="11" spans="1:8" ht="15.75" customHeight="1" x14ac:dyDescent="0.25">
      <c r="B11" s="26" t="s">
        <v>60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30" t="s">
        <v>82</v>
      </c>
      <c r="C13" s="18" t="s">
        <v>74</v>
      </c>
      <c r="D13" s="18" t="s">
        <v>77</v>
      </c>
      <c r="E13" s="18" t="s">
        <v>75</v>
      </c>
      <c r="F13" s="18" t="s">
        <v>76</v>
      </c>
      <c r="G13" s="19"/>
    </row>
    <row r="14" spans="1:8" ht="15.75" customHeight="1" x14ac:dyDescent="0.25">
      <c r="B14" s="19" t="s">
        <v>84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102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90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101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79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88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99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60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30" t="s">
        <v>82</v>
      </c>
      <c r="C25" s="30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8">
        <v>0.10082724000000001</v>
      </c>
    </row>
    <row r="27" spans="1:8" ht="15.75" customHeight="1" x14ac:dyDescent="0.25">
      <c r="B27" s="19" t="s">
        <v>89</v>
      </c>
      <c r="C27" s="58">
        <v>3.1206000000000002E-4</v>
      </c>
    </row>
    <row r="28" spans="1:8" ht="15.75" customHeight="1" x14ac:dyDescent="0.25">
      <c r="B28" s="19" t="s">
        <v>103</v>
      </c>
      <c r="C28" s="58">
        <v>0.15891214000000001</v>
      </c>
    </row>
    <row r="29" spans="1:8" ht="15.75" customHeight="1" x14ac:dyDescent="0.25">
      <c r="B29" s="19" t="s">
        <v>86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80</v>
      </c>
      <c r="C31" s="58">
        <v>3.9028409999999999E-2</v>
      </c>
    </row>
    <row r="32" spans="1:8" ht="15.75" customHeight="1" x14ac:dyDescent="0.25">
      <c r="B32" s="19" t="s">
        <v>85</v>
      </c>
      <c r="C32" s="58">
        <v>8.5254999999999999E-4</v>
      </c>
    </row>
    <row r="33" spans="2:3" ht="15.75" customHeight="1" x14ac:dyDescent="0.25">
      <c r="B33" s="19" t="s">
        <v>100</v>
      </c>
      <c r="C33" s="58">
        <v>6.8467810000000004E-2</v>
      </c>
    </row>
    <row r="34" spans="2:3" ht="15.75" customHeight="1" x14ac:dyDescent="0.25">
      <c r="B34" s="19" t="s">
        <v>87</v>
      </c>
      <c r="C34" s="58">
        <v>0.38127283000000001</v>
      </c>
    </row>
    <row r="35" spans="2:3" ht="15.75" customHeight="1" x14ac:dyDescent="0.25">
      <c r="B35" s="26" t="s">
        <v>60</v>
      </c>
      <c r="C35" s="113">
        <f>SUM(C26:C34)</f>
        <v>1</v>
      </c>
    </row>
  </sheetData>
  <sheetProtection algorithmName="SHA-512" hashValue="eWgZxtj9fiw4h1uhvDBK1dVRxIHwVT64OtzADuysry3UcgYurQNi7kE9V7LJwh7I8N3TaQKj+dmifY468DWfew==" saltValue="OXkULXJ5LmifmMuVUco3/A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108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110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106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122</v>
      </c>
      <c r="B8" s="5" t="s">
        <v>112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109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107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119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118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XmGGqfHkgjHNmpHEQTsOac0WEnLjn1ByT1SdSHmljEKU1zl3bVVJNUSuGCC3Updj7oi7I6W8rJvugUQTVFnfA==" saltValue="RzpHPIMy8iSd8OzukWdti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1" t="s">
        <v>124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127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126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125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Kw5bA0B9t7j6QVV60+5Eq0+EMztjEvyrEQ1GverN4OFJk0rFLXYxjy668aXmxCG1oDaKjIbG1KqWgBSHKsKlSw==" saltValue="4vwBHYKKlE3JkKLUKIA+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135</v>
      </c>
      <c r="B1" s="29" t="s">
        <v>133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136</v>
      </c>
      <c r="B2" s="45" t="s">
        <v>130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138</v>
      </c>
      <c r="B4" s="45" t="s">
        <v>130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128</v>
      </c>
      <c r="B6" s="45" t="s">
        <v>130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104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134</v>
      </c>
      <c r="B10" s="45" t="s">
        <v>129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131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37</v>
      </c>
      <c r="B13" s="45" t="s">
        <v>137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132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ZqBUF2erEx8kCwdjbIpTd1QTXX/+IJN9qVfBLq+FARBkcKVeumC3OBjKoIF950HDWti6vX8uxUt45f/79blCZQ==" saltValue="eJ8/Le6osvVbGM7Iblu7mA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147</v>
      </c>
      <c r="B1" s="29" t="s">
        <v>145</v>
      </c>
    </row>
    <row r="2" spans="1:2" x14ac:dyDescent="0.25">
      <c r="A2" s="27" t="s">
        <v>144</v>
      </c>
      <c r="B2" s="116">
        <v>10</v>
      </c>
    </row>
    <row r="3" spans="1:2" x14ac:dyDescent="0.25">
      <c r="A3" s="27" t="s">
        <v>143</v>
      </c>
      <c r="B3" s="116">
        <v>10</v>
      </c>
    </row>
    <row r="4" spans="1:2" x14ac:dyDescent="0.25">
      <c r="A4" s="27" t="s">
        <v>142</v>
      </c>
      <c r="B4" s="116">
        <v>50</v>
      </c>
    </row>
    <row r="5" spans="1:2" x14ac:dyDescent="0.25">
      <c r="A5" s="27" t="s">
        <v>146</v>
      </c>
      <c r="B5" s="116">
        <v>100</v>
      </c>
    </row>
    <row r="6" spans="1:2" x14ac:dyDescent="0.25">
      <c r="A6" s="27" t="s">
        <v>140</v>
      </c>
      <c r="B6" s="116">
        <v>5</v>
      </c>
    </row>
    <row r="7" spans="1:2" x14ac:dyDescent="0.25">
      <c r="A7" s="27" t="s">
        <v>141</v>
      </c>
      <c r="B7" s="116">
        <v>5</v>
      </c>
    </row>
  </sheetData>
  <sheetProtection algorithmName="SHA-512" hashValue="HF7hAe4gRXmmyOuZHd5zIdsQzKe2L58nxCqAqAiz+5divv64F9d4z9nK0ada6APZFb2TEIzxxJsa08oBK9WT9g==" saltValue="oMgeSuaDtbwoGVkFwKMKV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154</v>
      </c>
      <c r="B1" s="38" t="s">
        <v>156</v>
      </c>
      <c r="C1" s="38" t="s">
        <v>150</v>
      </c>
      <c r="D1" s="38" t="s">
        <v>149</v>
      </c>
      <c r="E1" s="38" t="s">
        <v>155</v>
      </c>
    </row>
    <row r="2" spans="1:5" ht="13" x14ac:dyDescent="0.3">
      <c r="A2" s="36" t="s">
        <v>151</v>
      </c>
      <c r="B2" s="34" t="s">
        <v>104</v>
      </c>
      <c r="C2" s="62"/>
      <c r="D2" s="62"/>
      <c r="E2" s="44" t="str">
        <f>IF(E$7="","",E$7)</f>
        <v/>
      </c>
    </row>
    <row r="3" spans="1:5" x14ac:dyDescent="0.25">
      <c r="B3" s="34" t="s">
        <v>78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74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77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75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148</v>
      </c>
      <c r="C7" s="33"/>
      <c r="D7" s="32"/>
      <c r="E7" s="62"/>
    </row>
    <row r="9" spans="1:5" ht="13" x14ac:dyDescent="0.3">
      <c r="A9" s="36" t="s">
        <v>152</v>
      </c>
      <c r="B9" s="34" t="s">
        <v>104</v>
      </c>
      <c r="C9" s="62"/>
      <c r="D9" s="62"/>
      <c r="E9" s="44" t="str">
        <f>IF(E$7="","",E$7)</f>
        <v/>
      </c>
    </row>
    <row r="10" spans="1:5" x14ac:dyDescent="0.25">
      <c r="B10" s="34" t="s">
        <v>78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74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77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75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148</v>
      </c>
      <c r="C14" s="33"/>
      <c r="D14" s="32"/>
      <c r="E14" s="62"/>
    </row>
    <row r="16" spans="1:5" ht="13" x14ac:dyDescent="0.3">
      <c r="A16" s="36" t="s">
        <v>153</v>
      </c>
      <c r="B16" s="34" t="s">
        <v>104</v>
      </c>
      <c r="C16" s="62"/>
      <c r="D16" s="62"/>
      <c r="E16" s="44" t="str">
        <f>IF(E$7="","",E$7)</f>
        <v/>
      </c>
    </row>
    <row r="17" spans="2:5" x14ac:dyDescent="0.25">
      <c r="B17" s="34" t="s">
        <v>78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74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77</v>
      </c>
      <c r="C19" s="62"/>
      <c r="D19" s="62"/>
      <c r="E19" s="44" t="str">
        <f>IF(E$7="","",E$7)</f>
        <v/>
      </c>
    </row>
    <row r="20" spans="2:5" x14ac:dyDescent="0.25">
      <c r="B20" s="34" t="s">
        <v>75</v>
      </c>
      <c r="C20" s="62"/>
      <c r="D20" s="62"/>
      <c r="E20" s="44" t="str">
        <f>IF(E$7="","",E$7)</f>
        <v/>
      </c>
    </row>
    <row r="21" spans="2:5" x14ac:dyDescent="0.25">
      <c r="B21" s="34" t="s">
        <v>148</v>
      </c>
      <c r="C21" s="33"/>
      <c r="D21" s="32"/>
      <c r="E21" s="62"/>
    </row>
  </sheetData>
  <sheetProtection algorithmName="SHA-512" hashValue="pCk74ZfCqQ2O1hVFrvkQj2tBGgBSoiqx04SBx4qS+6/fmJ0lsUQ/lyIIKsUdeS96T9RVZjWCZTg/NZZ1OaE9ag==" saltValue="tEWDmgb/jZRSDDwAiHeRT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159</v>
      </c>
      <c r="C1" s="47" t="s">
        <v>161</v>
      </c>
      <c r="D1" s="47" t="s">
        <v>157</v>
      </c>
    </row>
    <row r="2" spans="1:4" ht="13" x14ac:dyDescent="0.3">
      <c r="A2" s="47" t="s">
        <v>163</v>
      </c>
      <c r="B2" s="34" t="s">
        <v>164</v>
      </c>
      <c r="C2" s="34" t="s">
        <v>162</v>
      </c>
      <c r="D2" s="62"/>
    </row>
    <row r="3" spans="1:4" ht="13" x14ac:dyDescent="0.3">
      <c r="A3" s="47" t="s">
        <v>160</v>
      </c>
      <c r="B3" s="34" t="s">
        <v>150</v>
      </c>
      <c r="C3" s="34" t="s">
        <v>158</v>
      </c>
      <c r="D3" s="62"/>
    </row>
  </sheetData>
  <sheetProtection algorithmName="SHA-512" hashValue="z8OHhDjNTh/dbwBH41HLmS/iR3ZUo7Vaq/T/EUVM4ES61QJTGy8OBykWN4Odq8VlcVDaeMbdcGXf2BheKEfZJA==" saltValue="U9O1vNgX2OWIbC9AXZcFy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163</v>
      </c>
      <c r="B1" s="40" t="str">
        <f>"Cobertura de referencia ("&amp;start_year&amp;")"</f>
        <v>Cobertura de referencia (2017)</v>
      </c>
      <c r="C1" s="40" t="s">
        <v>194</v>
      </c>
      <c r="D1" s="40" t="s">
        <v>195</v>
      </c>
      <c r="E1" s="40" t="s">
        <v>168</v>
      </c>
      <c r="F1" s="40" t="s">
        <v>187</v>
      </c>
      <c r="G1" s="40" t="s">
        <v>186</v>
      </c>
    </row>
    <row r="2" spans="1:7" ht="15.75" customHeight="1" x14ac:dyDescent="0.25">
      <c r="A2" s="39" t="s">
        <v>165</v>
      </c>
      <c r="B2" s="63">
        <v>0</v>
      </c>
      <c r="C2" s="63">
        <v>0.95</v>
      </c>
      <c r="D2" s="64">
        <v>25</v>
      </c>
      <c r="E2" s="64" t="s">
        <v>183</v>
      </c>
      <c r="F2" s="63">
        <v>1</v>
      </c>
      <c r="G2" s="63">
        <v>1</v>
      </c>
    </row>
    <row r="3" spans="1:7" ht="15.75" customHeight="1" x14ac:dyDescent="0.25">
      <c r="A3" s="39" t="s">
        <v>166</v>
      </c>
      <c r="B3" s="63">
        <v>0</v>
      </c>
      <c r="C3" s="63">
        <v>0.95</v>
      </c>
      <c r="D3" s="64">
        <v>1</v>
      </c>
      <c r="E3" s="64" t="s">
        <v>183</v>
      </c>
      <c r="F3" s="63">
        <v>1</v>
      </c>
      <c r="G3" s="63">
        <v>1</v>
      </c>
    </row>
    <row r="4" spans="1:7" ht="15.75" customHeight="1" x14ac:dyDescent="0.25">
      <c r="A4" s="39" t="s">
        <v>167</v>
      </c>
      <c r="B4" s="63">
        <v>0</v>
      </c>
      <c r="C4" s="63">
        <v>0.95</v>
      </c>
      <c r="D4" s="64">
        <v>90</v>
      </c>
      <c r="E4" s="64" t="s">
        <v>183</v>
      </c>
      <c r="F4" s="63">
        <v>1</v>
      </c>
      <c r="G4" s="63">
        <v>1</v>
      </c>
    </row>
    <row r="5" spans="1:7" ht="15.75" customHeight="1" x14ac:dyDescent="0.25">
      <c r="A5" s="39" t="s">
        <v>169</v>
      </c>
      <c r="B5" s="63">
        <v>0</v>
      </c>
      <c r="C5" s="63">
        <v>0.95</v>
      </c>
      <c r="D5" s="64">
        <v>1</v>
      </c>
      <c r="E5" s="64" t="s">
        <v>183</v>
      </c>
      <c r="F5" s="63">
        <v>1</v>
      </c>
      <c r="G5" s="63">
        <v>1</v>
      </c>
    </row>
    <row r="6" spans="1:7" ht="15.75" customHeight="1" x14ac:dyDescent="0.25">
      <c r="A6" s="39" t="s">
        <v>170</v>
      </c>
      <c r="B6" s="63">
        <v>0</v>
      </c>
      <c r="C6" s="63">
        <v>0.95</v>
      </c>
      <c r="D6" s="64">
        <v>0.82</v>
      </c>
      <c r="E6" s="64" t="s">
        <v>183</v>
      </c>
      <c r="F6" s="63">
        <v>1</v>
      </c>
      <c r="G6" s="63">
        <v>1</v>
      </c>
    </row>
    <row r="7" spans="1:7" ht="15.75" customHeight="1" x14ac:dyDescent="0.25">
      <c r="A7" s="39" t="s">
        <v>171</v>
      </c>
      <c r="B7" s="63">
        <v>0.36</v>
      </c>
      <c r="C7" s="63">
        <v>0.95</v>
      </c>
      <c r="D7" s="64">
        <v>0.25</v>
      </c>
      <c r="E7" s="64" t="s">
        <v>183</v>
      </c>
      <c r="F7" s="63">
        <v>1</v>
      </c>
      <c r="G7" s="63">
        <v>1</v>
      </c>
    </row>
    <row r="8" spans="1:7" ht="15.75" customHeight="1" x14ac:dyDescent="0.25">
      <c r="A8" s="39" t="s">
        <v>172</v>
      </c>
      <c r="B8" s="63">
        <v>0</v>
      </c>
      <c r="C8" s="63">
        <v>0.95</v>
      </c>
      <c r="D8" s="64">
        <v>0.75</v>
      </c>
      <c r="E8" s="64" t="s">
        <v>183</v>
      </c>
      <c r="F8" s="63">
        <v>1</v>
      </c>
      <c r="G8" s="63">
        <v>1</v>
      </c>
    </row>
    <row r="9" spans="1:7" ht="15.75" customHeight="1" x14ac:dyDescent="0.25">
      <c r="A9" s="39" t="s">
        <v>173</v>
      </c>
      <c r="B9" s="63">
        <v>0</v>
      </c>
      <c r="C9" s="63">
        <v>0.95</v>
      </c>
      <c r="D9" s="64">
        <v>0.19</v>
      </c>
      <c r="E9" s="64" t="s">
        <v>183</v>
      </c>
      <c r="F9" s="63">
        <v>1</v>
      </c>
      <c r="G9" s="63">
        <v>1</v>
      </c>
    </row>
    <row r="10" spans="1:7" ht="15.75" customHeight="1" x14ac:dyDescent="0.25">
      <c r="A10" s="45" t="s">
        <v>174</v>
      </c>
      <c r="B10" s="63">
        <v>0</v>
      </c>
      <c r="C10" s="63">
        <v>0.95</v>
      </c>
      <c r="D10" s="64">
        <v>0.73</v>
      </c>
      <c r="E10" s="64" t="s">
        <v>183</v>
      </c>
      <c r="F10" s="63">
        <v>1</v>
      </c>
      <c r="G10" s="63">
        <v>1</v>
      </c>
    </row>
    <row r="11" spans="1:7" ht="15.75" customHeight="1" x14ac:dyDescent="0.25">
      <c r="A11" s="45" t="s">
        <v>175</v>
      </c>
      <c r="B11" s="63">
        <v>0</v>
      </c>
      <c r="C11" s="63">
        <v>0.95</v>
      </c>
      <c r="D11" s="64">
        <v>1.78</v>
      </c>
      <c r="E11" s="64" t="s">
        <v>183</v>
      </c>
      <c r="F11" s="63">
        <v>1</v>
      </c>
      <c r="G11" s="63">
        <v>1</v>
      </c>
    </row>
    <row r="12" spans="1:7" ht="15.75" customHeight="1" x14ac:dyDescent="0.25">
      <c r="A12" s="45" t="s">
        <v>176</v>
      </c>
      <c r="B12" s="63">
        <v>0</v>
      </c>
      <c r="C12" s="63">
        <v>0.95</v>
      </c>
      <c r="D12" s="64">
        <v>0.24</v>
      </c>
      <c r="E12" s="64" t="s">
        <v>183</v>
      </c>
      <c r="F12" s="63">
        <v>1</v>
      </c>
      <c r="G12" s="63">
        <v>1</v>
      </c>
    </row>
    <row r="13" spans="1:7" ht="15.75" customHeight="1" x14ac:dyDescent="0.25">
      <c r="A13" s="45" t="s">
        <v>177</v>
      </c>
      <c r="B13" s="63">
        <v>0</v>
      </c>
      <c r="C13" s="63">
        <v>0.95</v>
      </c>
      <c r="D13" s="64">
        <v>0.55000000000000004</v>
      </c>
      <c r="E13" s="64" t="s">
        <v>183</v>
      </c>
      <c r="F13" s="63">
        <v>1</v>
      </c>
      <c r="G13" s="63">
        <v>1</v>
      </c>
    </row>
    <row r="14" spans="1:7" ht="15.75" customHeight="1" x14ac:dyDescent="0.25">
      <c r="A14" s="5" t="s">
        <v>178</v>
      </c>
      <c r="B14" s="63">
        <v>0</v>
      </c>
      <c r="C14" s="63">
        <v>0.95</v>
      </c>
      <c r="D14" s="64">
        <v>0.73</v>
      </c>
      <c r="E14" s="64" t="s">
        <v>183</v>
      </c>
      <c r="F14" s="63">
        <v>1</v>
      </c>
      <c r="G14" s="63">
        <v>1</v>
      </c>
    </row>
    <row r="15" spans="1:7" ht="15.75" customHeight="1" x14ac:dyDescent="0.25">
      <c r="A15" s="5" t="s">
        <v>179</v>
      </c>
      <c r="B15" s="63">
        <v>0</v>
      </c>
      <c r="C15" s="63">
        <v>0.95</v>
      </c>
      <c r="D15" s="64">
        <v>1.78</v>
      </c>
      <c r="E15" s="64" t="s">
        <v>183</v>
      </c>
      <c r="F15" s="63">
        <v>1</v>
      </c>
      <c r="G15" s="63">
        <v>1</v>
      </c>
    </row>
    <row r="16" spans="1:7" ht="15.75" customHeight="1" x14ac:dyDescent="0.25">
      <c r="A16" s="39" t="s">
        <v>180</v>
      </c>
      <c r="B16" s="63">
        <v>0.9</v>
      </c>
      <c r="C16" s="63">
        <v>0.95</v>
      </c>
      <c r="D16" s="64">
        <v>2.06</v>
      </c>
      <c r="E16" s="64" t="s">
        <v>183</v>
      </c>
      <c r="F16" s="63">
        <v>1</v>
      </c>
      <c r="G16" s="63">
        <v>1</v>
      </c>
    </row>
    <row r="17" spans="1:7" ht="15.75" customHeight="1" x14ac:dyDescent="0.25">
      <c r="A17" s="39" t="s">
        <v>181</v>
      </c>
      <c r="B17" s="63">
        <v>0.80800000000000005</v>
      </c>
      <c r="C17" s="63">
        <v>0.95</v>
      </c>
      <c r="D17" s="64">
        <v>0.05</v>
      </c>
      <c r="E17" s="64" t="s">
        <v>183</v>
      </c>
      <c r="F17" s="63">
        <v>1</v>
      </c>
      <c r="G17" s="63">
        <v>1</v>
      </c>
    </row>
    <row r="18" spans="1:7" ht="16" customHeight="1" x14ac:dyDescent="0.25">
      <c r="A18" s="39" t="s">
        <v>151</v>
      </c>
      <c r="B18" s="63">
        <v>0</v>
      </c>
      <c r="C18" s="63">
        <v>0.95</v>
      </c>
      <c r="D18" s="64">
        <v>5</v>
      </c>
      <c r="E18" s="64" t="s">
        <v>183</v>
      </c>
      <c r="F18" s="63">
        <v>1</v>
      </c>
      <c r="G18" s="63">
        <v>1</v>
      </c>
    </row>
    <row r="19" spans="1:7" ht="15.75" customHeight="1" x14ac:dyDescent="0.25">
      <c r="A19" s="39" t="s">
        <v>152</v>
      </c>
      <c r="B19" s="63">
        <v>0</v>
      </c>
      <c r="C19" s="63">
        <v>0.95</v>
      </c>
      <c r="D19" s="64">
        <v>5</v>
      </c>
      <c r="E19" s="64" t="s">
        <v>183</v>
      </c>
      <c r="F19" s="63">
        <v>1</v>
      </c>
      <c r="G19" s="63">
        <v>1</v>
      </c>
    </row>
    <row r="20" spans="1:7" ht="15.75" customHeight="1" x14ac:dyDescent="0.25">
      <c r="A20" s="39" t="s">
        <v>153</v>
      </c>
      <c r="B20" s="63">
        <v>0</v>
      </c>
      <c r="C20" s="63">
        <v>0.95</v>
      </c>
      <c r="D20" s="64">
        <v>5</v>
      </c>
      <c r="E20" s="64" t="s">
        <v>183</v>
      </c>
      <c r="F20" s="63">
        <v>1</v>
      </c>
      <c r="G20" s="63">
        <v>1</v>
      </c>
    </row>
    <row r="21" spans="1:7" ht="15.75" customHeight="1" x14ac:dyDescent="0.25">
      <c r="A21" s="39" t="s">
        <v>182</v>
      </c>
      <c r="B21" s="63">
        <v>0</v>
      </c>
      <c r="C21" s="63">
        <v>0.95</v>
      </c>
      <c r="D21" s="64">
        <v>8.84</v>
      </c>
      <c r="E21" s="64" t="s">
        <v>183</v>
      </c>
      <c r="F21" s="63">
        <v>1</v>
      </c>
      <c r="G21" s="63">
        <v>1</v>
      </c>
    </row>
    <row r="22" spans="1:7" ht="15.75" customHeight="1" x14ac:dyDescent="0.25">
      <c r="A22" s="39" t="s">
        <v>184</v>
      </c>
      <c r="B22" s="63">
        <v>0</v>
      </c>
      <c r="C22" s="63">
        <v>0.95</v>
      </c>
      <c r="D22" s="64">
        <v>50</v>
      </c>
      <c r="E22" s="64" t="s">
        <v>183</v>
      </c>
      <c r="F22" s="63">
        <v>1</v>
      </c>
      <c r="G22" s="63">
        <v>1</v>
      </c>
    </row>
    <row r="23" spans="1:7" ht="15.75" customHeight="1" x14ac:dyDescent="0.25">
      <c r="A23" s="39" t="s">
        <v>185</v>
      </c>
      <c r="B23" s="63">
        <v>0.50800000000000001</v>
      </c>
      <c r="C23" s="63">
        <v>0.95</v>
      </c>
      <c r="D23" s="64">
        <v>2.61</v>
      </c>
      <c r="E23" s="64" t="s">
        <v>183</v>
      </c>
      <c r="F23" s="63">
        <v>1</v>
      </c>
      <c r="G23" s="63">
        <v>1</v>
      </c>
    </row>
    <row r="24" spans="1:7" ht="15.75" customHeight="1" x14ac:dyDescent="0.25">
      <c r="A24" s="39" t="s">
        <v>188</v>
      </c>
      <c r="B24" s="63">
        <v>0</v>
      </c>
      <c r="C24" s="63">
        <v>0.95</v>
      </c>
      <c r="D24" s="64">
        <v>1</v>
      </c>
      <c r="E24" s="64" t="s">
        <v>183</v>
      </c>
      <c r="F24" s="63">
        <v>1</v>
      </c>
      <c r="G24" s="63">
        <v>1</v>
      </c>
    </row>
    <row r="25" spans="1:7" ht="15.75" customHeight="1" x14ac:dyDescent="0.25">
      <c r="A25" s="39" t="s">
        <v>189</v>
      </c>
      <c r="B25" s="63">
        <v>0</v>
      </c>
      <c r="C25" s="63">
        <v>0.95</v>
      </c>
      <c r="D25" s="64">
        <v>1</v>
      </c>
      <c r="E25" s="64" t="s">
        <v>183</v>
      </c>
      <c r="F25" s="63">
        <v>1</v>
      </c>
      <c r="G25" s="63">
        <v>1</v>
      </c>
    </row>
    <row r="26" spans="1:7" ht="15.75" customHeight="1" x14ac:dyDescent="0.25">
      <c r="A26" s="39" t="s">
        <v>190</v>
      </c>
      <c r="B26" s="63">
        <v>0.1</v>
      </c>
      <c r="C26" s="63">
        <v>0.95</v>
      </c>
      <c r="D26" s="64">
        <v>4.6500000000000004</v>
      </c>
      <c r="E26" s="64" t="s">
        <v>183</v>
      </c>
      <c r="F26" s="63">
        <v>1</v>
      </c>
      <c r="G26" s="63">
        <v>1</v>
      </c>
    </row>
    <row r="27" spans="1:7" ht="15.75" customHeight="1" x14ac:dyDescent="0.25">
      <c r="A27" s="39" t="s">
        <v>191</v>
      </c>
      <c r="B27" s="63">
        <v>0.3538</v>
      </c>
      <c r="C27" s="63">
        <v>0.95</v>
      </c>
      <c r="D27" s="64">
        <v>3.78</v>
      </c>
      <c r="E27" s="64" t="s">
        <v>183</v>
      </c>
      <c r="F27" s="63">
        <v>1</v>
      </c>
      <c r="G27" s="63">
        <v>1</v>
      </c>
    </row>
    <row r="28" spans="1:7" ht="15.75" customHeight="1" x14ac:dyDescent="0.25">
      <c r="A28" s="39" t="s">
        <v>192</v>
      </c>
      <c r="B28" s="63">
        <v>0</v>
      </c>
      <c r="C28" s="63">
        <v>0.95</v>
      </c>
      <c r="D28" s="64">
        <v>1</v>
      </c>
      <c r="E28" s="64" t="s">
        <v>183</v>
      </c>
      <c r="F28" s="63">
        <v>1</v>
      </c>
      <c r="G28" s="63">
        <v>1</v>
      </c>
    </row>
    <row r="29" spans="1:7" ht="15.75" customHeight="1" x14ac:dyDescent="0.25">
      <c r="A29" s="39" t="s">
        <v>193</v>
      </c>
      <c r="B29" s="63">
        <v>0</v>
      </c>
      <c r="C29" s="63">
        <v>0.95</v>
      </c>
      <c r="D29" s="64">
        <v>48</v>
      </c>
      <c r="E29" s="64" t="s">
        <v>183</v>
      </c>
      <c r="F29" s="63">
        <v>1</v>
      </c>
      <c r="G29" s="63">
        <v>1</v>
      </c>
    </row>
    <row r="30" spans="1:7" ht="15.75" customHeight="1" x14ac:dyDescent="0.25">
      <c r="A30" s="39" t="s">
        <v>204</v>
      </c>
      <c r="B30" s="63">
        <v>0</v>
      </c>
      <c r="C30" s="63">
        <v>0.95</v>
      </c>
      <c r="D30" s="64">
        <v>64</v>
      </c>
      <c r="E30" s="64" t="s">
        <v>183</v>
      </c>
      <c r="F30" s="63">
        <v>1</v>
      </c>
      <c r="G30" s="63">
        <v>1</v>
      </c>
    </row>
    <row r="31" spans="1:7" ht="15.75" customHeight="1" x14ac:dyDescent="0.25">
      <c r="A31" s="39" t="s">
        <v>164</v>
      </c>
      <c r="B31" s="63">
        <v>0</v>
      </c>
      <c r="C31" s="63">
        <v>0.95</v>
      </c>
      <c r="D31" s="64">
        <v>65</v>
      </c>
      <c r="E31" s="64" t="s">
        <v>183</v>
      </c>
      <c r="F31" s="63">
        <v>1</v>
      </c>
      <c r="G31" s="63">
        <v>1</v>
      </c>
    </row>
    <row r="32" spans="1:7" ht="15.75" customHeight="1" x14ac:dyDescent="0.25">
      <c r="A32" s="39" t="s">
        <v>196</v>
      </c>
      <c r="B32" s="63">
        <v>0.89970000000000006</v>
      </c>
      <c r="C32" s="63">
        <v>0.95</v>
      </c>
      <c r="D32" s="64">
        <v>0.41</v>
      </c>
      <c r="E32" s="64" t="s">
        <v>183</v>
      </c>
      <c r="F32" s="63">
        <v>1</v>
      </c>
      <c r="G32" s="63">
        <v>1</v>
      </c>
    </row>
    <row r="33" spans="1:7" ht="15.75" customHeight="1" x14ac:dyDescent="0.25">
      <c r="A33" s="39" t="s">
        <v>197</v>
      </c>
      <c r="B33" s="63">
        <v>0.80700000000000005</v>
      </c>
      <c r="C33" s="63">
        <v>0.95</v>
      </c>
      <c r="D33" s="64">
        <v>0.9</v>
      </c>
      <c r="E33" s="64" t="s">
        <v>183</v>
      </c>
      <c r="F33" s="63">
        <v>1</v>
      </c>
      <c r="G33" s="63">
        <v>1</v>
      </c>
    </row>
    <row r="34" spans="1:7" ht="15.75" customHeight="1" x14ac:dyDescent="0.25">
      <c r="A34" s="39" t="s">
        <v>198</v>
      </c>
      <c r="B34" s="63">
        <v>0.73199999999999998</v>
      </c>
      <c r="C34" s="63">
        <v>0.95</v>
      </c>
      <c r="D34" s="64">
        <v>0.9</v>
      </c>
      <c r="E34" s="64" t="s">
        <v>183</v>
      </c>
      <c r="F34" s="63">
        <v>1</v>
      </c>
      <c r="G34" s="63">
        <v>1</v>
      </c>
    </row>
    <row r="35" spans="1:7" ht="15.75" customHeight="1" x14ac:dyDescent="0.25">
      <c r="A35" s="39" t="s">
        <v>199</v>
      </c>
      <c r="B35" s="63">
        <v>0.316</v>
      </c>
      <c r="C35" s="63">
        <v>0.95</v>
      </c>
      <c r="D35" s="64">
        <v>79</v>
      </c>
      <c r="E35" s="64" t="s">
        <v>183</v>
      </c>
      <c r="F35" s="63">
        <v>1</v>
      </c>
      <c r="G35" s="63">
        <v>1</v>
      </c>
    </row>
    <row r="36" spans="1:7" ht="15.75" customHeight="1" x14ac:dyDescent="0.25">
      <c r="A36" s="39" t="s">
        <v>200</v>
      </c>
      <c r="B36" s="63">
        <v>0.59699999999999998</v>
      </c>
      <c r="C36" s="63">
        <v>0.95</v>
      </c>
      <c r="D36" s="64">
        <v>31</v>
      </c>
      <c r="E36" s="64" t="s">
        <v>183</v>
      </c>
      <c r="F36" s="63">
        <v>1</v>
      </c>
      <c r="G36" s="63">
        <v>1</v>
      </c>
    </row>
    <row r="37" spans="1:7" ht="15.75" customHeight="1" x14ac:dyDescent="0.25">
      <c r="A37" s="39" t="s">
        <v>201</v>
      </c>
      <c r="B37" s="63">
        <v>0.19900000000000001</v>
      </c>
      <c r="C37" s="63">
        <v>0.95</v>
      </c>
      <c r="D37" s="64">
        <v>102</v>
      </c>
      <c r="E37" s="64" t="s">
        <v>183</v>
      </c>
      <c r="F37" s="63">
        <v>1</v>
      </c>
      <c r="G37" s="63">
        <v>1</v>
      </c>
    </row>
    <row r="38" spans="1:7" ht="15.75" customHeight="1" x14ac:dyDescent="0.25">
      <c r="A38" s="39" t="s">
        <v>202</v>
      </c>
      <c r="B38" s="63">
        <v>0.13400000000000001</v>
      </c>
      <c r="C38" s="63">
        <v>0.95</v>
      </c>
      <c r="D38" s="64">
        <v>5.53</v>
      </c>
      <c r="E38" s="64" t="s">
        <v>183</v>
      </c>
      <c r="F38" s="63">
        <v>1</v>
      </c>
      <c r="G38" s="63">
        <v>1</v>
      </c>
    </row>
    <row r="39" spans="1:7" ht="15.75" customHeight="1" x14ac:dyDescent="0.25">
      <c r="A39" s="39" t="s">
        <v>203</v>
      </c>
      <c r="B39" s="63">
        <v>0</v>
      </c>
      <c r="C39" s="63">
        <v>0.95</v>
      </c>
      <c r="D39" s="64">
        <v>1</v>
      </c>
      <c r="E39" s="64" t="s">
        <v>183</v>
      </c>
      <c r="F39" s="63">
        <v>1</v>
      </c>
      <c r="G39" s="63">
        <v>1</v>
      </c>
    </row>
  </sheetData>
  <sheetProtection algorithmName="SHA-512" hashValue="lLvBUwyeuikaHvVMk+Iv4EnN/8ttwWdFoo8Ld6i5SdlQvtycDe349vyN7FpcOj/ubgzHkGNYobxNEMpMTHFT7Q==" saltValue="mCvOviyIPMkM9wdz1tGO5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163</v>
      </c>
      <c r="B1" s="29" t="s">
        <v>205</v>
      </c>
      <c r="C1" s="29" t="s">
        <v>206</v>
      </c>
    </row>
    <row r="2" spans="1:3" x14ac:dyDescent="0.25">
      <c r="A2" s="65" t="s">
        <v>178</v>
      </c>
      <c r="B2" s="62" t="s">
        <v>191</v>
      </c>
      <c r="C2" s="62"/>
    </row>
    <row r="3" spans="1:3" x14ac:dyDescent="0.25">
      <c r="A3" s="65" t="s">
        <v>179</v>
      </c>
      <c r="B3" s="62" t="s">
        <v>191</v>
      </c>
      <c r="C3" s="62"/>
    </row>
    <row r="4" spans="1:3" x14ac:dyDescent="0.25">
      <c r="A4" s="66" t="s">
        <v>193</v>
      </c>
      <c r="B4" s="62" t="s">
        <v>184</v>
      </c>
      <c r="C4" s="62"/>
    </row>
    <row r="5" spans="1:3" x14ac:dyDescent="0.25">
      <c r="A5" s="66" t="s">
        <v>190</v>
      </c>
      <c r="B5" s="62" t="s">
        <v>184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38uKlMnXjXrn9IyxKch2ljqk8tIOEDqnSEpr5NdA0f+e4I56dyEiVfm7r3w5PJrvDOcy150YMxayyTuvnHnVRg==" saltValue="cQ7JnPz6C4iOP5143spo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163</v>
      </c>
    </row>
    <row r="2" spans="1:1" x14ac:dyDescent="0.25">
      <c r="A2" s="35" t="s">
        <v>170</v>
      </c>
    </row>
    <row r="3" spans="1:1" x14ac:dyDescent="0.25">
      <c r="A3" s="35" t="s">
        <v>180</v>
      </c>
    </row>
    <row r="4" spans="1:1" x14ac:dyDescent="0.25">
      <c r="A4" s="35" t="s">
        <v>185</v>
      </c>
    </row>
    <row r="5" spans="1:1" x14ac:dyDescent="0.25">
      <c r="A5" s="35" t="s">
        <v>197</v>
      </c>
    </row>
    <row r="6" spans="1:1" x14ac:dyDescent="0.25">
      <c r="A6" s="35" t="s">
        <v>198</v>
      </c>
    </row>
    <row r="7" spans="1:1" x14ac:dyDescent="0.25">
      <c r="A7" s="35" t="s">
        <v>199</v>
      </c>
    </row>
    <row r="8" spans="1:1" x14ac:dyDescent="0.25">
      <c r="A8" s="35" t="s">
        <v>200</v>
      </c>
    </row>
    <row r="9" spans="1:1" x14ac:dyDescent="0.25">
      <c r="A9" s="35" t="s">
        <v>201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qT2DgkEvneBjrlE4B7r+OpjTMdkaMUDunHwIaSbf4lVVhg/Yp6Z5v+3mrJmtG7V+YO4FXZfJ7/j9ZtB42Lzntw==" saltValue="35NHcDtzKghAQreFgb80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207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xdz0AV8YUkmyxOg1oGpbZUCK1/ih6+pV8cVX91u4K/nCH9ZQifoO1JajN6uDJIYceWp5W/RxC2bWpc+fpLDFKw==" saltValue="UyzFWrmsID/raWAVHypTz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169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182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184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190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192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193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204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164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196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202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203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166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178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179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180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188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189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191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45" t="s">
        <v>170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174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175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176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177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172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173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181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185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197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198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199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200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201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xrrT5LlJAXJSqKC0P2ldWjRqbyK8KUem66AtzvdtxhBKTSpbCe/deSBbz5/cHAh2e2xWPfbIOoT7rjPa/AMO8A==" saltValue="YIxtqmC7pOkWXddVLCSUBQ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lz8ypjtMxZjhFXG4CFfdcOf/5ecTJiQ29RJ1AvEEzHxAdhc7hfQw8S3qjHemY2SOCf8BtqVg/7EjxLvRu9Vecg==" saltValue="6F0jMGfLQzNbLfrimpCAK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223</v>
      </c>
      <c r="B1" s="29" t="s">
        <v>216</v>
      </c>
      <c r="C1" s="29" t="s">
        <v>227</v>
      </c>
      <c r="D1" s="29" t="s">
        <v>145</v>
      </c>
      <c r="E1" s="29" t="s">
        <v>225</v>
      </c>
    </row>
    <row r="2" spans="1:5" ht="14" x14ac:dyDescent="0.3">
      <c r="A2" s="28" t="s">
        <v>215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222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217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221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220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224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226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218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219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LJPPhx27pBAefrR63rp0Ixmluv3T2gOwGs9ZMoXq9Z7UujKjGw84wdsHH2fD4rwBFDWp4qdMCr6jg+lH++uVbQ==" saltValue="mHzWv3zN+Wo+bk+eHz3Cc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209</v>
      </c>
      <c r="B1" s="71" t="s">
        <v>163</v>
      </c>
      <c r="C1" s="43" t="s">
        <v>78</v>
      </c>
      <c r="D1" s="43" t="s">
        <v>74</v>
      </c>
      <c r="E1" s="43" t="s">
        <v>77</v>
      </c>
      <c r="F1" s="43" t="s">
        <v>75</v>
      </c>
      <c r="G1" s="43" t="s">
        <v>76</v>
      </c>
      <c r="H1" s="43" t="s">
        <v>113</v>
      </c>
      <c r="I1" s="43" t="s">
        <v>114</v>
      </c>
      <c r="J1" s="43" t="s">
        <v>115</v>
      </c>
      <c r="K1" s="43" t="s">
        <v>116</v>
      </c>
      <c r="L1" s="43" t="s">
        <v>68</v>
      </c>
      <c r="M1" s="43" t="s">
        <v>69</v>
      </c>
      <c r="N1" s="43" t="s">
        <v>70</v>
      </c>
      <c r="O1" s="43" t="s">
        <v>71</v>
      </c>
    </row>
    <row r="2" spans="1:15" ht="15.75" customHeight="1" x14ac:dyDescent="0.35">
      <c r="A2" s="43" t="s">
        <v>83</v>
      </c>
      <c r="B2" s="39" t="s">
        <v>167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169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151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152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153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182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184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190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192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193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204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164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196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202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203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104</v>
      </c>
      <c r="B18" s="39" t="s">
        <v>165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166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178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179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180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188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189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191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211</v>
      </c>
      <c r="B27" s="39" t="s">
        <v>170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174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175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176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177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210</v>
      </c>
      <c r="B33" s="39" t="s">
        <v>171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172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173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181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185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197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198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199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200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201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yoWlG0PcT+s3o64ox2S2kjnaWAtKL3OuTayesdtegB1cJik/EFacrnnQbI1MAfVuIv7wSELrNZaSzTM+klBHKA==" saltValue="kgIIla1XioBYTgO7J99px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163</v>
      </c>
      <c r="B1" s="27" t="s">
        <v>230</v>
      </c>
      <c r="C1" s="27" t="s">
        <v>105</v>
      </c>
      <c r="D1" s="27" t="s">
        <v>231</v>
      </c>
      <c r="E1" s="27" t="s">
        <v>232</v>
      </c>
      <c r="F1" s="27" t="s">
        <v>123</v>
      </c>
      <c r="G1" s="27" t="s">
        <v>84</v>
      </c>
      <c r="H1" s="27" t="s">
        <v>37</v>
      </c>
      <c r="I1" s="27" t="s">
        <v>229</v>
      </c>
      <c r="J1" s="27" t="s">
        <v>22</v>
      </c>
      <c r="K1" s="27" t="s">
        <v>228</v>
      </c>
    </row>
    <row r="2" spans="1:11" x14ac:dyDescent="0.25">
      <c r="A2" s="39" t="s">
        <v>165</v>
      </c>
      <c r="B2" s="101"/>
      <c r="C2" s="101"/>
      <c r="D2" s="101"/>
      <c r="E2" s="101"/>
      <c r="F2" s="101"/>
      <c r="G2" s="101"/>
      <c r="H2" s="101"/>
      <c r="I2" s="101" t="s">
        <v>5</v>
      </c>
      <c r="J2" s="101"/>
      <c r="K2" s="101"/>
    </row>
    <row r="3" spans="1:11" x14ac:dyDescent="0.25">
      <c r="A3" s="39" t="s">
        <v>166</v>
      </c>
      <c r="B3" s="101"/>
      <c r="C3" s="101"/>
      <c r="D3" s="101"/>
      <c r="E3" s="101"/>
      <c r="F3" s="101"/>
      <c r="G3" s="101"/>
      <c r="H3" s="101" t="s">
        <v>5</v>
      </c>
      <c r="I3" s="101"/>
      <c r="J3" s="101"/>
      <c r="K3" s="101"/>
    </row>
    <row r="4" spans="1:11" x14ac:dyDescent="0.25">
      <c r="A4" s="39" t="s">
        <v>167</v>
      </c>
      <c r="B4" s="101"/>
      <c r="C4" s="101"/>
      <c r="D4" s="101" t="s">
        <v>5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169</v>
      </c>
      <c r="B5" s="101"/>
      <c r="C5" s="101" t="s">
        <v>5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170</v>
      </c>
      <c r="B6" s="101"/>
      <c r="C6" s="101"/>
      <c r="D6" s="101"/>
      <c r="E6" s="101"/>
      <c r="F6" s="101"/>
      <c r="G6" s="101"/>
      <c r="H6" s="101"/>
      <c r="I6" s="101"/>
      <c r="J6" s="101" t="s">
        <v>5</v>
      </c>
      <c r="K6" s="101" t="s">
        <v>5</v>
      </c>
    </row>
    <row r="7" spans="1:11" x14ac:dyDescent="0.25">
      <c r="A7" s="39" t="s">
        <v>171</v>
      </c>
      <c r="B7" s="101"/>
      <c r="C7" s="101" t="s">
        <v>5</v>
      </c>
      <c r="D7" s="101"/>
      <c r="E7" s="101"/>
      <c r="F7" s="101"/>
      <c r="G7" s="101"/>
      <c r="H7" s="101" t="s">
        <v>5</v>
      </c>
      <c r="I7" s="101"/>
      <c r="J7" s="101"/>
      <c r="K7" s="101"/>
    </row>
    <row r="8" spans="1:11" x14ac:dyDescent="0.25">
      <c r="A8" s="39" t="s">
        <v>172</v>
      </c>
      <c r="B8" s="101"/>
      <c r="C8" s="101" t="s">
        <v>5</v>
      </c>
      <c r="D8" s="101"/>
      <c r="E8" s="101"/>
      <c r="F8" s="101"/>
      <c r="G8" s="101"/>
      <c r="H8" s="101" t="s">
        <v>5</v>
      </c>
      <c r="I8" s="101"/>
      <c r="J8" s="101"/>
      <c r="K8" s="101"/>
    </row>
    <row r="9" spans="1:11" x14ac:dyDescent="0.25">
      <c r="A9" s="39" t="s">
        <v>173</v>
      </c>
      <c r="B9" s="101"/>
      <c r="C9" s="101" t="s">
        <v>5</v>
      </c>
      <c r="D9" s="101"/>
      <c r="E9" s="101"/>
      <c r="F9" s="101"/>
      <c r="G9" s="101"/>
      <c r="H9" s="101" t="s">
        <v>5</v>
      </c>
      <c r="I9" s="101"/>
      <c r="J9" s="101"/>
      <c r="K9" s="101"/>
    </row>
    <row r="10" spans="1:11" x14ac:dyDescent="0.25">
      <c r="A10" s="45" t="s">
        <v>174</v>
      </c>
      <c r="B10" s="101"/>
      <c r="C10" s="101" t="s">
        <v>5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175</v>
      </c>
      <c r="B11" s="101"/>
      <c r="C11" s="101" t="s">
        <v>5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176</v>
      </c>
      <c r="B12" s="101"/>
      <c r="C12" s="101" t="s">
        <v>5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177</v>
      </c>
      <c r="B13" s="101"/>
      <c r="C13" s="101" t="s">
        <v>5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178</v>
      </c>
      <c r="B14" s="101"/>
      <c r="C14" s="101" t="s">
        <v>5</v>
      </c>
      <c r="D14" s="101"/>
      <c r="E14" s="101"/>
      <c r="F14" s="101"/>
      <c r="G14" s="101"/>
      <c r="H14" s="101"/>
      <c r="I14" s="101" t="s">
        <v>5</v>
      </c>
      <c r="J14" s="101"/>
      <c r="K14" s="101"/>
    </row>
    <row r="15" spans="1:11" x14ac:dyDescent="0.25">
      <c r="A15" s="72" t="s">
        <v>179</v>
      </c>
      <c r="B15" s="101"/>
      <c r="C15" s="101" t="s">
        <v>5</v>
      </c>
      <c r="D15" s="101"/>
      <c r="E15" s="101"/>
      <c r="F15" s="101"/>
      <c r="G15" s="101"/>
      <c r="H15" s="101"/>
      <c r="I15" s="101" t="s">
        <v>5</v>
      </c>
      <c r="J15" s="101"/>
      <c r="K15" s="101"/>
    </row>
    <row r="16" spans="1:11" x14ac:dyDescent="0.25">
      <c r="A16" s="39" t="s">
        <v>180</v>
      </c>
      <c r="B16" s="101"/>
      <c r="C16" s="101" t="s">
        <v>5</v>
      </c>
      <c r="D16" s="101"/>
      <c r="E16" s="101"/>
      <c r="F16" s="101"/>
      <c r="G16" s="101"/>
      <c r="H16" s="101" t="s">
        <v>5</v>
      </c>
      <c r="I16" s="101" t="s">
        <v>5</v>
      </c>
      <c r="J16" s="101"/>
      <c r="K16" s="101"/>
    </row>
    <row r="17" spans="1:11" x14ac:dyDescent="0.25">
      <c r="A17" s="39" t="s">
        <v>181</v>
      </c>
      <c r="B17" s="101"/>
      <c r="C17" s="101" t="s">
        <v>5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151</v>
      </c>
      <c r="B18" s="101" t="s">
        <v>5</v>
      </c>
      <c r="C18" s="101"/>
      <c r="D18" s="101"/>
      <c r="E18" s="101"/>
      <c r="F18" s="101" t="s">
        <v>5</v>
      </c>
      <c r="G18" s="101"/>
      <c r="H18" s="101"/>
      <c r="I18" s="101"/>
      <c r="J18" s="101"/>
      <c r="K18" s="101"/>
    </row>
    <row r="19" spans="1:11" x14ac:dyDescent="0.25">
      <c r="A19" s="39" t="s">
        <v>152</v>
      </c>
      <c r="B19" s="101" t="s">
        <v>5</v>
      </c>
      <c r="C19" s="101"/>
      <c r="D19" s="101"/>
      <c r="E19" s="101"/>
      <c r="F19" s="101" t="s">
        <v>5</v>
      </c>
      <c r="G19" s="101"/>
      <c r="H19" s="101"/>
      <c r="I19" s="101"/>
      <c r="J19" s="101"/>
      <c r="K19" s="101"/>
    </row>
    <row r="20" spans="1:11" x14ac:dyDescent="0.25">
      <c r="A20" s="39" t="s">
        <v>153</v>
      </c>
      <c r="B20" s="101" t="s">
        <v>5</v>
      </c>
      <c r="C20" s="101"/>
      <c r="D20" s="101"/>
      <c r="E20" s="101"/>
      <c r="F20" s="101" t="s">
        <v>5</v>
      </c>
      <c r="G20" s="101"/>
      <c r="H20" s="101"/>
      <c r="I20" s="101"/>
      <c r="J20" s="101"/>
      <c r="K20" s="101"/>
    </row>
    <row r="21" spans="1:11" x14ac:dyDescent="0.25">
      <c r="A21" s="39" t="s">
        <v>182</v>
      </c>
      <c r="B21" s="101"/>
      <c r="C21" s="101"/>
      <c r="D21" s="101"/>
      <c r="E21" s="101"/>
      <c r="F21" s="101"/>
      <c r="G21" s="101"/>
      <c r="H21" s="101" t="s">
        <v>5</v>
      </c>
      <c r="I21" s="101" t="s">
        <v>5</v>
      </c>
      <c r="J21" s="101"/>
      <c r="K21" s="101"/>
    </row>
    <row r="22" spans="1:11" x14ac:dyDescent="0.25">
      <c r="A22" s="39" t="s">
        <v>184</v>
      </c>
      <c r="B22" s="101" t="s">
        <v>5</v>
      </c>
      <c r="C22" s="101" t="s">
        <v>5</v>
      </c>
      <c r="D22" s="101" t="s">
        <v>5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185</v>
      </c>
      <c r="B23" s="101"/>
      <c r="C23" s="101" t="s">
        <v>5</v>
      </c>
      <c r="D23" s="101"/>
      <c r="E23" s="101"/>
      <c r="F23" s="101"/>
      <c r="G23" s="101"/>
      <c r="H23" s="101"/>
      <c r="I23" s="101" t="s">
        <v>5</v>
      </c>
      <c r="J23" s="101"/>
      <c r="K23" s="101"/>
    </row>
    <row r="24" spans="1:11" x14ac:dyDescent="0.25">
      <c r="A24" s="39" t="s">
        <v>188</v>
      </c>
      <c r="B24" s="101"/>
      <c r="C24" s="101"/>
      <c r="D24" s="101"/>
      <c r="E24" s="101"/>
      <c r="F24" s="101"/>
      <c r="G24" s="101"/>
      <c r="H24" s="101" t="s">
        <v>5</v>
      </c>
      <c r="I24" s="101"/>
      <c r="J24" s="101"/>
      <c r="K24" s="101"/>
    </row>
    <row r="25" spans="1:11" x14ac:dyDescent="0.25">
      <c r="A25" s="39" t="s">
        <v>189</v>
      </c>
      <c r="B25" s="101"/>
      <c r="C25" s="101"/>
      <c r="D25" s="101"/>
      <c r="E25" s="101"/>
      <c r="F25" s="101"/>
      <c r="G25" s="101"/>
      <c r="H25" s="101" t="s">
        <v>5</v>
      </c>
      <c r="I25" s="101"/>
      <c r="J25" s="101"/>
      <c r="K25" s="101"/>
    </row>
    <row r="26" spans="1:11" x14ac:dyDescent="0.25">
      <c r="A26" s="39" t="s">
        <v>190</v>
      </c>
      <c r="B26" s="101"/>
      <c r="C26" s="101" t="s">
        <v>5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191</v>
      </c>
      <c r="B27" s="101"/>
      <c r="C27" s="101" t="s">
        <v>5</v>
      </c>
      <c r="D27" s="101"/>
      <c r="E27" s="101"/>
      <c r="F27" s="101"/>
      <c r="G27" s="101"/>
      <c r="H27" s="101"/>
      <c r="I27" s="101" t="s">
        <v>5</v>
      </c>
      <c r="J27" s="101"/>
      <c r="K27" s="101"/>
    </row>
    <row r="28" spans="1:11" x14ac:dyDescent="0.25">
      <c r="A28" s="39" t="s">
        <v>192</v>
      </c>
      <c r="B28" s="101"/>
      <c r="C28" s="101"/>
      <c r="D28" s="101"/>
      <c r="E28" s="101"/>
      <c r="F28" s="101"/>
      <c r="G28" s="101"/>
      <c r="H28" s="101" t="s">
        <v>5</v>
      </c>
      <c r="I28" s="101"/>
      <c r="J28" s="101"/>
      <c r="K28" s="101"/>
    </row>
    <row r="29" spans="1:11" x14ac:dyDescent="0.25">
      <c r="A29" s="39" t="s">
        <v>193</v>
      </c>
      <c r="B29" s="101" t="s">
        <v>5</v>
      </c>
      <c r="C29" s="101"/>
      <c r="D29" s="101" t="s">
        <v>5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204</v>
      </c>
      <c r="B30" s="101" t="s">
        <v>5</v>
      </c>
      <c r="C30" s="101" t="s">
        <v>5</v>
      </c>
      <c r="D30" s="101" t="s">
        <v>5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164</v>
      </c>
      <c r="B31" s="101"/>
      <c r="C31" s="101"/>
      <c r="D31" s="101"/>
      <c r="E31" s="101" t="s">
        <v>5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196</v>
      </c>
      <c r="B32" s="101"/>
      <c r="C32" s="101"/>
      <c r="D32" s="101"/>
      <c r="E32" s="101"/>
      <c r="F32" s="101"/>
      <c r="G32" s="101" t="s">
        <v>5</v>
      </c>
      <c r="H32" s="101" t="s">
        <v>5</v>
      </c>
      <c r="I32" s="101"/>
      <c r="J32" s="101"/>
      <c r="K32" s="101"/>
    </row>
    <row r="33" spans="1:11" x14ac:dyDescent="0.25">
      <c r="A33" s="39" t="s">
        <v>197</v>
      </c>
      <c r="B33" s="101"/>
      <c r="C33" s="101"/>
      <c r="D33" s="101"/>
      <c r="E33" s="101"/>
      <c r="F33" s="101"/>
      <c r="G33" s="101" t="s">
        <v>5</v>
      </c>
      <c r="H33" s="101" t="s">
        <v>5</v>
      </c>
      <c r="I33" s="101"/>
      <c r="J33" s="101"/>
      <c r="K33" s="101"/>
    </row>
    <row r="34" spans="1:11" x14ac:dyDescent="0.25">
      <c r="A34" s="39" t="s">
        <v>198</v>
      </c>
      <c r="B34" s="101"/>
      <c r="C34" s="101"/>
      <c r="D34" s="101"/>
      <c r="E34" s="101"/>
      <c r="F34" s="101"/>
      <c r="G34" s="101" t="s">
        <v>5</v>
      </c>
      <c r="H34" s="101" t="s">
        <v>5</v>
      </c>
      <c r="I34" s="101"/>
      <c r="J34" s="101"/>
      <c r="K34" s="101"/>
    </row>
    <row r="35" spans="1:11" x14ac:dyDescent="0.25">
      <c r="A35" s="39" t="s">
        <v>199</v>
      </c>
      <c r="B35" s="101"/>
      <c r="C35" s="101"/>
      <c r="D35" s="101"/>
      <c r="E35" s="101"/>
      <c r="F35" s="101"/>
      <c r="G35" s="101" t="s">
        <v>5</v>
      </c>
      <c r="H35" s="101" t="s">
        <v>5</v>
      </c>
      <c r="I35" s="101"/>
      <c r="J35" s="101"/>
      <c r="K35" s="101"/>
    </row>
    <row r="36" spans="1:11" x14ac:dyDescent="0.25">
      <c r="A36" s="39" t="s">
        <v>200</v>
      </c>
      <c r="B36" s="101"/>
      <c r="C36" s="101"/>
      <c r="D36" s="101"/>
      <c r="E36" s="101"/>
      <c r="F36" s="101"/>
      <c r="G36" s="101" t="s">
        <v>5</v>
      </c>
      <c r="H36" s="101" t="s">
        <v>5</v>
      </c>
      <c r="I36" s="101"/>
      <c r="J36" s="101"/>
      <c r="K36" s="101"/>
    </row>
    <row r="37" spans="1:11" x14ac:dyDescent="0.25">
      <c r="A37" s="39" t="s">
        <v>201</v>
      </c>
      <c r="B37" s="101"/>
      <c r="C37" s="101"/>
      <c r="D37" s="101"/>
      <c r="E37" s="101"/>
      <c r="F37" s="101"/>
      <c r="G37" s="101" t="s">
        <v>5</v>
      </c>
      <c r="H37" s="101" t="s">
        <v>5</v>
      </c>
      <c r="I37" s="101"/>
      <c r="J37" s="101"/>
      <c r="K37" s="101"/>
    </row>
    <row r="38" spans="1:11" x14ac:dyDescent="0.25">
      <c r="A38" s="39" t="s">
        <v>202</v>
      </c>
      <c r="B38" s="101"/>
      <c r="C38" s="101"/>
      <c r="D38" s="101"/>
      <c r="E38" s="101"/>
      <c r="F38" s="101"/>
      <c r="G38" s="101"/>
      <c r="H38" s="101" t="s">
        <v>5</v>
      </c>
      <c r="I38" s="101"/>
      <c r="J38" s="101"/>
      <c r="K38" s="101"/>
    </row>
    <row r="39" spans="1:11" x14ac:dyDescent="0.25">
      <c r="A39" s="39" t="s">
        <v>203</v>
      </c>
      <c r="B39" s="101" t="s">
        <v>5</v>
      </c>
      <c r="C39" s="101"/>
      <c r="D39" s="101"/>
      <c r="E39" s="101"/>
      <c r="F39" s="101"/>
      <c r="G39" s="101" t="s">
        <v>5</v>
      </c>
      <c r="H39" s="101" t="s">
        <v>5</v>
      </c>
      <c r="I39" s="101"/>
      <c r="J39" s="101"/>
      <c r="K39" s="101"/>
    </row>
  </sheetData>
  <sheetProtection algorithmName="SHA-512" hashValue="vtvGuCxR5Urrv1+Irp2E7DYHy1oil4zm6xTvibV3byTF+4UblDU5+CZsTgcvPKwGdwbouTphJ4jg098GztOlng==" saltValue="OHJALAvhJMw4+z9h19904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233</v>
      </c>
      <c r="B1" s="27" t="s">
        <v>230</v>
      </c>
      <c r="C1" s="27" t="s">
        <v>105</v>
      </c>
      <c r="D1" s="27" t="s">
        <v>231</v>
      </c>
      <c r="E1" s="27" t="s">
        <v>232</v>
      </c>
      <c r="F1" s="27" t="s">
        <v>123</v>
      </c>
      <c r="G1" s="27" t="s">
        <v>84</v>
      </c>
      <c r="H1" s="27" t="s">
        <v>37</v>
      </c>
      <c r="I1" s="27" t="s">
        <v>229</v>
      </c>
      <c r="J1" s="27" t="s">
        <v>22</v>
      </c>
      <c r="K1" s="27" t="s">
        <v>228</v>
      </c>
    </row>
    <row r="2" spans="1:11" x14ac:dyDescent="0.25">
      <c r="A2" s="27" t="s">
        <v>78</v>
      </c>
      <c r="B2" s="101" t="s">
        <v>5</v>
      </c>
      <c r="C2" s="101" t="s">
        <v>5</v>
      </c>
      <c r="D2" s="101" t="s">
        <v>5</v>
      </c>
      <c r="E2" s="101" t="s">
        <v>5</v>
      </c>
      <c r="F2" s="101" t="s">
        <v>5</v>
      </c>
      <c r="G2" s="101" t="s">
        <v>5</v>
      </c>
      <c r="H2" s="101" t="s">
        <v>5</v>
      </c>
      <c r="I2" s="101"/>
      <c r="J2" s="101"/>
      <c r="K2" s="101"/>
    </row>
    <row r="3" spans="1:11" x14ac:dyDescent="0.25">
      <c r="A3" s="27" t="s">
        <v>74</v>
      </c>
      <c r="B3" s="101" t="s">
        <v>5</v>
      </c>
      <c r="C3" s="101" t="s">
        <v>5</v>
      </c>
      <c r="D3" s="101" t="s">
        <v>5</v>
      </c>
      <c r="E3" s="101" t="s">
        <v>5</v>
      </c>
      <c r="F3" s="101" t="s">
        <v>5</v>
      </c>
      <c r="G3" s="101" t="s">
        <v>5</v>
      </c>
      <c r="H3" s="101" t="s">
        <v>5</v>
      </c>
      <c r="I3" s="101"/>
      <c r="J3" s="101"/>
      <c r="K3" s="101"/>
    </row>
    <row r="4" spans="1:11" x14ac:dyDescent="0.25">
      <c r="A4" s="27" t="s">
        <v>77</v>
      </c>
      <c r="B4" s="101" t="s">
        <v>5</v>
      </c>
      <c r="C4" s="101" t="s">
        <v>5</v>
      </c>
      <c r="D4" s="101" t="s">
        <v>5</v>
      </c>
      <c r="E4" s="101" t="s">
        <v>5</v>
      </c>
      <c r="F4" s="101" t="s">
        <v>5</v>
      </c>
      <c r="G4" s="101" t="s">
        <v>5</v>
      </c>
      <c r="H4" s="101" t="s">
        <v>5</v>
      </c>
      <c r="I4" s="101"/>
      <c r="J4" s="101"/>
      <c r="K4" s="101"/>
    </row>
    <row r="5" spans="1:11" x14ac:dyDescent="0.25">
      <c r="A5" s="27" t="s">
        <v>75</v>
      </c>
      <c r="B5" s="101" t="s">
        <v>5</v>
      </c>
      <c r="C5" s="101" t="s">
        <v>5</v>
      </c>
      <c r="D5" s="101" t="s">
        <v>5</v>
      </c>
      <c r="E5" s="101" t="s">
        <v>5</v>
      </c>
      <c r="F5" s="101" t="s">
        <v>5</v>
      </c>
      <c r="G5" s="101" t="s">
        <v>5</v>
      </c>
      <c r="H5" s="101" t="s">
        <v>5</v>
      </c>
      <c r="I5" s="101"/>
      <c r="J5" s="101"/>
      <c r="K5" s="101"/>
    </row>
    <row r="6" spans="1:11" x14ac:dyDescent="0.25">
      <c r="A6" s="27" t="s">
        <v>76</v>
      </c>
      <c r="B6" s="101" t="s">
        <v>5</v>
      </c>
      <c r="C6" s="101" t="s">
        <v>5</v>
      </c>
      <c r="D6" s="101" t="s">
        <v>5</v>
      </c>
      <c r="E6" s="101" t="s">
        <v>5</v>
      </c>
      <c r="F6" s="101" t="s">
        <v>5</v>
      </c>
      <c r="G6" s="101" t="s">
        <v>5</v>
      </c>
      <c r="H6" s="101" t="s">
        <v>5</v>
      </c>
      <c r="I6" s="101"/>
      <c r="J6" s="101"/>
      <c r="K6" s="101"/>
    </row>
    <row r="7" spans="1:11" x14ac:dyDescent="0.25">
      <c r="A7" s="27" t="s">
        <v>113</v>
      </c>
      <c r="B7" s="101"/>
      <c r="C7" s="101" t="s">
        <v>5</v>
      </c>
      <c r="D7" s="101"/>
      <c r="E7" s="101"/>
      <c r="F7" s="101"/>
      <c r="G7" s="101"/>
      <c r="H7" s="101" t="s">
        <v>5</v>
      </c>
      <c r="I7" s="101" t="s">
        <v>5</v>
      </c>
      <c r="J7" s="101"/>
      <c r="K7" s="101"/>
    </row>
    <row r="8" spans="1:11" x14ac:dyDescent="0.25">
      <c r="A8" s="27" t="s">
        <v>114</v>
      </c>
      <c r="B8" s="101"/>
      <c r="C8" s="101" t="s">
        <v>5</v>
      </c>
      <c r="D8" s="101"/>
      <c r="E8" s="101"/>
      <c r="F8" s="101"/>
      <c r="G8" s="101"/>
      <c r="H8" s="101" t="s">
        <v>5</v>
      </c>
      <c r="I8" s="101" t="s">
        <v>5</v>
      </c>
      <c r="J8" s="101"/>
      <c r="K8" s="101"/>
    </row>
    <row r="9" spans="1:11" x14ac:dyDescent="0.25">
      <c r="A9" s="27" t="s">
        <v>115</v>
      </c>
      <c r="B9" s="101"/>
      <c r="C9" s="101" t="s">
        <v>5</v>
      </c>
      <c r="D9" s="101"/>
      <c r="E9" s="101"/>
      <c r="F9" s="101"/>
      <c r="G9" s="101"/>
      <c r="H9" s="101" t="s">
        <v>5</v>
      </c>
      <c r="I9" s="101" t="s">
        <v>5</v>
      </c>
      <c r="J9" s="101"/>
      <c r="K9" s="101"/>
    </row>
    <row r="10" spans="1:11" x14ac:dyDescent="0.25">
      <c r="A10" s="27" t="s">
        <v>116</v>
      </c>
      <c r="B10" s="101"/>
      <c r="C10" s="101" t="s">
        <v>5</v>
      </c>
      <c r="D10" s="101"/>
      <c r="E10" s="101"/>
      <c r="F10" s="101"/>
      <c r="G10" s="101"/>
      <c r="H10" s="101" t="s">
        <v>5</v>
      </c>
      <c r="I10" s="101" t="s">
        <v>5</v>
      </c>
      <c r="J10" s="101"/>
      <c r="K10" s="101"/>
    </row>
    <row r="11" spans="1:11" x14ac:dyDescent="0.25">
      <c r="A11" s="27" t="s">
        <v>68</v>
      </c>
      <c r="B11" s="101"/>
      <c r="C11" s="101" t="s">
        <v>5</v>
      </c>
      <c r="D11" s="101"/>
      <c r="E11" s="101"/>
      <c r="F11" s="101"/>
      <c r="G11" s="101"/>
      <c r="H11" s="101"/>
      <c r="I11" s="101"/>
      <c r="J11" s="101" t="s">
        <v>5</v>
      </c>
      <c r="K11" s="101" t="s">
        <v>5</v>
      </c>
    </row>
    <row r="12" spans="1:11" x14ac:dyDescent="0.25">
      <c r="A12" s="27" t="s">
        <v>69</v>
      </c>
      <c r="B12" s="101"/>
      <c r="C12" s="101" t="s">
        <v>5</v>
      </c>
      <c r="D12" s="101"/>
      <c r="E12" s="101"/>
      <c r="F12" s="101"/>
      <c r="G12" s="101"/>
      <c r="H12" s="101"/>
      <c r="I12" s="101"/>
      <c r="J12" s="101"/>
      <c r="K12" s="101" t="s">
        <v>5</v>
      </c>
    </row>
    <row r="13" spans="1:11" x14ac:dyDescent="0.25">
      <c r="A13" s="27" t="s">
        <v>70</v>
      </c>
      <c r="B13" s="101"/>
      <c r="C13" s="101" t="s">
        <v>5</v>
      </c>
      <c r="D13" s="101"/>
      <c r="E13" s="101"/>
      <c r="F13" s="101"/>
      <c r="G13" s="101"/>
      <c r="H13" s="101"/>
      <c r="I13" s="101"/>
      <c r="J13" s="101"/>
      <c r="K13" s="101" t="s">
        <v>5</v>
      </c>
    </row>
    <row r="14" spans="1:11" x14ac:dyDescent="0.25">
      <c r="A14" s="27" t="s">
        <v>71</v>
      </c>
      <c r="B14" s="101"/>
      <c r="C14" s="101" t="s">
        <v>5</v>
      </c>
      <c r="D14" s="101"/>
      <c r="E14" s="101"/>
      <c r="F14" s="101"/>
      <c r="G14" s="101"/>
      <c r="H14" s="101"/>
      <c r="I14" s="101"/>
      <c r="J14" s="101"/>
      <c r="K14" s="101" t="s">
        <v>5</v>
      </c>
    </row>
  </sheetData>
  <sheetProtection algorithmName="SHA-512" hashValue="mu7KKKehcyOzmAxwtJP6nIAAe4IIjPqtEPUlNldjOAZnWO3L/qFOFL5RrvJ0XenEPx/yR8ZgRKr0NIypA33j2Q==" saltValue="LpdksUwP+8OGR5D89jgZ7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234</v>
      </c>
      <c r="B1" s="29" t="s">
        <v>156</v>
      </c>
      <c r="C1" s="29" t="s">
        <v>160</v>
      </c>
      <c r="D1" s="29" t="s">
        <v>78</v>
      </c>
      <c r="E1" s="29" t="s">
        <v>74</v>
      </c>
      <c r="F1" s="29" t="s">
        <v>77</v>
      </c>
      <c r="G1" s="29" t="s">
        <v>75</v>
      </c>
      <c r="H1" s="29" t="s">
        <v>76</v>
      </c>
    </row>
    <row r="2" spans="1:10" ht="13" x14ac:dyDescent="0.3">
      <c r="A2" s="29" t="s">
        <v>236</v>
      </c>
      <c r="B2" s="117" t="s">
        <v>104</v>
      </c>
      <c r="C2" s="27" t="s">
        <v>150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149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155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78</v>
      </c>
      <c r="C5" s="27" t="s">
        <v>150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149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155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74</v>
      </c>
      <c r="C8" s="27" t="s">
        <v>150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149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155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77</v>
      </c>
      <c r="C11" s="27" t="s">
        <v>150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17"/>
      <c r="C12" s="27" t="s">
        <v>149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17"/>
      <c r="C13" s="27" t="s">
        <v>155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75</v>
      </c>
      <c r="C14" s="27" t="s">
        <v>150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17"/>
      <c r="C15" s="27" t="s">
        <v>149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17"/>
      <c r="C16" s="27" t="s">
        <v>155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148</v>
      </c>
      <c r="C17" s="27" t="s">
        <v>155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242</v>
      </c>
      <c r="B19" s="117" t="s">
        <v>104</v>
      </c>
      <c r="C19" s="27" t="s">
        <v>150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149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155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78</v>
      </c>
      <c r="C22" s="27" t="s">
        <v>150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149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155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74</v>
      </c>
      <c r="C25" s="27" t="s">
        <v>150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149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155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77</v>
      </c>
      <c r="C28" s="27" t="s">
        <v>150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149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155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75</v>
      </c>
      <c r="C31" s="27" t="s">
        <v>150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149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155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148</v>
      </c>
      <c r="C34" s="27" t="s">
        <v>155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239</v>
      </c>
      <c r="B36" s="117" t="s">
        <v>104</v>
      </c>
      <c r="C36" s="27" t="s">
        <v>150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149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155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78</v>
      </c>
      <c r="C39" s="27" t="s">
        <v>150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149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155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74</v>
      </c>
      <c r="C42" s="27" t="s">
        <v>150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149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155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77</v>
      </c>
      <c r="C45" s="27" t="s">
        <v>150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149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155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75</v>
      </c>
      <c r="C48" s="27" t="s">
        <v>150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149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155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148</v>
      </c>
      <c r="C51" s="27" t="s">
        <v>155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235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234</v>
      </c>
      <c r="B54" s="29" t="s">
        <v>156</v>
      </c>
      <c r="C54" s="29" t="s">
        <v>160</v>
      </c>
      <c r="D54" s="29" t="s">
        <v>78</v>
      </c>
      <c r="E54" s="29" t="s">
        <v>74</v>
      </c>
      <c r="F54" s="29" t="s">
        <v>77</v>
      </c>
      <c r="G54" s="29" t="s">
        <v>75</v>
      </c>
      <c r="H54" s="29" t="s">
        <v>76</v>
      </c>
    </row>
    <row r="55" spans="1:8" ht="13" x14ac:dyDescent="0.3">
      <c r="A55" s="29" t="s">
        <v>237</v>
      </c>
      <c r="B55" s="117" t="s">
        <v>104</v>
      </c>
      <c r="C55" s="27" t="s">
        <v>150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149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155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78</v>
      </c>
      <c r="C58" s="27" t="s">
        <v>150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149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155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17" t="s">
        <v>74</v>
      </c>
      <c r="C61" s="27" t="s">
        <v>150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17"/>
      <c r="C62" s="27" t="s">
        <v>149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17"/>
      <c r="C63" s="27" t="s">
        <v>155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17" t="s">
        <v>77</v>
      </c>
      <c r="C64" s="27" t="s">
        <v>150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17"/>
      <c r="C65" s="27" t="s">
        <v>149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17"/>
      <c r="C66" s="27" t="s">
        <v>155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17" t="s">
        <v>75</v>
      </c>
      <c r="C67" s="27" t="s">
        <v>150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17"/>
      <c r="C68" s="27" t="s">
        <v>149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17"/>
      <c r="C69" s="27" t="s">
        <v>155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148</v>
      </c>
      <c r="C70" s="27" t="s">
        <v>155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243</v>
      </c>
      <c r="B72" s="117" t="s">
        <v>104</v>
      </c>
      <c r="C72" s="27" t="s">
        <v>150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149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155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78</v>
      </c>
      <c r="C75" s="27" t="s">
        <v>150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149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155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74</v>
      </c>
      <c r="C78" s="27" t="s">
        <v>150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149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155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77</v>
      </c>
      <c r="C81" s="27" t="s">
        <v>150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149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155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75</v>
      </c>
      <c r="C84" s="27" t="s">
        <v>150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149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155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148</v>
      </c>
      <c r="C87" s="27" t="s">
        <v>155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240</v>
      </c>
      <c r="B89" s="117" t="s">
        <v>104</v>
      </c>
      <c r="C89" s="27" t="s">
        <v>150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149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155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78</v>
      </c>
      <c r="C92" s="27" t="s">
        <v>150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149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155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74</v>
      </c>
      <c r="C95" s="27" t="s">
        <v>150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149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155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77</v>
      </c>
      <c r="C98" s="27" t="s">
        <v>150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149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155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75</v>
      </c>
      <c r="C101" s="27" t="s">
        <v>150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149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155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148</v>
      </c>
      <c r="C104" s="27" t="s">
        <v>155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245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234</v>
      </c>
      <c r="B107" s="29" t="s">
        <v>156</v>
      </c>
      <c r="C107" s="29" t="s">
        <v>160</v>
      </c>
      <c r="D107" s="29" t="s">
        <v>78</v>
      </c>
      <c r="E107" s="29" t="s">
        <v>74</v>
      </c>
      <c r="F107" s="29" t="s">
        <v>77</v>
      </c>
      <c r="G107" s="29" t="s">
        <v>75</v>
      </c>
      <c r="H107" s="29" t="s">
        <v>76</v>
      </c>
    </row>
    <row r="108" spans="1:8" ht="13" x14ac:dyDescent="0.3">
      <c r="A108" s="29" t="s">
        <v>238</v>
      </c>
      <c r="B108" s="117" t="s">
        <v>104</v>
      </c>
      <c r="C108" s="27" t="s">
        <v>150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149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155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78</v>
      </c>
      <c r="C111" s="27" t="s">
        <v>150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17"/>
      <c r="C112" s="27" t="s">
        <v>149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17"/>
      <c r="C113" s="27" t="s">
        <v>155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17" t="s">
        <v>74</v>
      </c>
      <c r="C114" s="27" t="s">
        <v>150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17"/>
      <c r="C115" s="27" t="s">
        <v>149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17"/>
      <c r="C116" s="27" t="s">
        <v>155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17" t="s">
        <v>77</v>
      </c>
      <c r="C117" s="27" t="s">
        <v>150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17"/>
      <c r="C118" s="27" t="s">
        <v>149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17"/>
      <c r="C119" s="27" t="s">
        <v>155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17" t="s">
        <v>75</v>
      </c>
      <c r="C120" s="27" t="s">
        <v>150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17"/>
      <c r="C121" s="27" t="s">
        <v>149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17"/>
      <c r="C122" s="27" t="s">
        <v>155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148</v>
      </c>
      <c r="C123" s="27" t="s">
        <v>155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244</v>
      </c>
      <c r="B125" s="117" t="s">
        <v>104</v>
      </c>
      <c r="C125" s="27" t="s">
        <v>150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17"/>
      <c r="C126" s="27" t="s">
        <v>149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17"/>
      <c r="C127" s="27" t="s">
        <v>155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17" t="s">
        <v>78</v>
      </c>
      <c r="C128" s="27" t="s">
        <v>150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17"/>
      <c r="C129" s="27" t="s">
        <v>149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17"/>
      <c r="C130" s="27" t="s">
        <v>155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17" t="s">
        <v>74</v>
      </c>
      <c r="C131" s="27" t="s">
        <v>150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17"/>
      <c r="C132" s="27" t="s">
        <v>149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17"/>
      <c r="C133" s="27" t="s">
        <v>155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17" t="s">
        <v>77</v>
      </c>
      <c r="C134" s="27" t="s">
        <v>150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17"/>
      <c r="C135" s="27" t="s">
        <v>149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17"/>
      <c r="C136" s="27" t="s">
        <v>155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17" t="s">
        <v>75</v>
      </c>
      <c r="C137" s="27" t="s">
        <v>150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17"/>
      <c r="C138" s="27" t="s">
        <v>149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17"/>
      <c r="C139" s="27" t="s">
        <v>155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148</v>
      </c>
      <c r="C140" s="27" t="s">
        <v>155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241</v>
      </c>
      <c r="B142" s="117" t="s">
        <v>104</v>
      </c>
      <c r="C142" s="27" t="s">
        <v>150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17"/>
      <c r="C143" s="27" t="s">
        <v>149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17"/>
      <c r="C144" s="27" t="s">
        <v>155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17" t="s">
        <v>78</v>
      </c>
      <c r="C145" s="27" t="s">
        <v>150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17"/>
      <c r="C146" s="27" t="s">
        <v>149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17"/>
      <c r="C147" s="27" t="s">
        <v>155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17" t="s">
        <v>74</v>
      </c>
      <c r="C148" s="27" t="s">
        <v>150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17"/>
      <c r="C149" s="27" t="s">
        <v>149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17"/>
      <c r="C150" s="27" t="s">
        <v>155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17" t="s">
        <v>77</v>
      </c>
      <c r="C151" s="27" t="s">
        <v>150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17"/>
      <c r="C152" s="27" t="s">
        <v>149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17"/>
      <c r="C153" s="27" t="s">
        <v>155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17" t="s">
        <v>75</v>
      </c>
      <c r="C154" s="27" t="s">
        <v>150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17"/>
      <c r="C155" s="27" t="s">
        <v>149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17"/>
      <c r="C156" s="27" t="s">
        <v>155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148</v>
      </c>
      <c r="C157" s="27" t="s">
        <v>155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rHtC4xSPPuIPKijI64H098HaAe67bpIpEgQ6qCB7a+ZBeL+tzVEt6kKosFrGQ0yB3UMUJB57eRcC6naG+IqsyA==" saltValue="zuQYl17c8QvsIeLpLlN5iw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248</v>
      </c>
    </row>
    <row r="2" spans="1:6" ht="15.75" customHeight="1" x14ac:dyDescent="0.3">
      <c r="B2" s="80"/>
      <c r="C2" s="81" t="s">
        <v>58</v>
      </c>
      <c r="D2" s="82" t="s">
        <v>59</v>
      </c>
      <c r="E2" s="82" t="s">
        <v>51</v>
      </c>
      <c r="F2" s="82" t="s">
        <v>52</v>
      </c>
    </row>
    <row r="3" spans="1:6" ht="15.75" customHeight="1" x14ac:dyDescent="0.3">
      <c r="A3" s="29" t="s">
        <v>255</v>
      </c>
      <c r="B3" s="83"/>
      <c r="C3" s="84"/>
      <c r="D3" s="85"/>
      <c r="E3" s="85"/>
      <c r="F3" s="85"/>
    </row>
    <row r="4" spans="1:6" ht="15.75" customHeight="1" x14ac:dyDescent="0.25">
      <c r="B4" s="72" t="s">
        <v>27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63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10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11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252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261</v>
      </c>
      <c r="C11" s="87"/>
      <c r="D11" s="88"/>
      <c r="E11" s="88"/>
      <c r="F11" s="88"/>
    </row>
    <row r="12" spans="1:6" ht="15.75" customHeight="1" x14ac:dyDescent="0.3">
      <c r="A12" s="29" t="s">
        <v>249</v>
      </c>
      <c r="C12" s="86"/>
      <c r="D12" s="75"/>
      <c r="E12" s="75"/>
      <c r="F12" s="75"/>
    </row>
    <row r="13" spans="1:6" ht="15.75" customHeight="1" x14ac:dyDescent="0.25">
      <c r="B13" s="45" t="s">
        <v>264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107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119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258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97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95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91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96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98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92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94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235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248</v>
      </c>
    </row>
    <row r="29" spans="1:6" ht="15.75" customHeight="1" x14ac:dyDescent="0.3">
      <c r="B29" s="80"/>
      <c r="C29" s="81" t="s">
        <v>58</v>
      </c>
      <c r="D29" s="82" t="s">
        <v>59</v>
      </c>
      <c r="E29" s="82" t="s">
        <v>51</v>
      </c>
      <c r="F29" s="82" t="s">
        <v>52</v>
      </c>
    </row>
    <row r="30" spans="1:6" ht="15.75" customHeight="1" x14ac:dyDescent="0.3">
      <c r="A30" s="29" t="s">
        <v>256</v>
      </c>
      <c r="B30" s="83"/>
      <c r="C30" s="84"/>
      <c r="D30" s="85"/>
      <c r="E30" s="85"/>
      <c r="F30" s="85"/>
    </row>
    <row r="31" spans="1:6" ht="15.75" customHeight="1" x14ac:dyDescent="0.25">
      <c r="B31" s="72" t="s">
        <v>27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63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10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11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253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261</v>
      </c>
      <c r="B38" s="79"/>
      <c r="C38" s="87"/>
      <c r="D38" s="88"/>
      <c r="E38" s="88"/>
      <c r="F38" s="88"/>
    </row>
    <row r="39" spans="1:6" ht="15.75" customHeight="1" x14ac:dyDescent="0.3">
      <c r="A39" s="29" t="s">
        <v>250</v>
      </c>
      <c r="C39" s="86"/>
      <c r="D39" s="75"/>
      <c r="E39" s="75"/>
      <c r="F39" s="75"/>
    </row>
    <row r="40" spans="1:6" ht="15.75" customHeight="1" x14ac:dyDescent="0.25">
      <c r="B40" s="45" t="s">
        <v>265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246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262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259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97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95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91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96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98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92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94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245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248</v>
      </c>
    </row>
    <row r="56" spans="1:6" ht="15.75" customHeight="1" x14ac:dyDescent="0.3">
      <c r="B56" s="80"/>
      <c r="C56" s="81" t="s">
        <v>58</v>
      </c>
      <c r="D56" s="82" t="s">
        <v>59</v>
      </c>
      <c r="E56" s="82" t="s">
        <v>51</v>
      </c>
      <c r="F56" s="82" t="s">
        <v>52</v>
      </c>
    </row>
    <row r="57" spans="1:6" ht="15.75" customHeight="1" x14ac:dyDescent="0.3">
      <c r="A57" s="29" t="s">
        <v>257</v>
      </c>
      <c r="B57" s="83"/>
      <c r="C57" s="84"/>
      <c r="D57" s="85"/>
      <c r="E57" s="85"/>
      <c r="F57" s="85"/>
    </row>
    <row r="58" spans="1:6" ht="15.75" customHeight="1" x14ac:dyDescent="0.25">
      <c r="B58" s="72" t="s">
        <v>27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63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10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11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254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261</v>
      </c>
      <c r="B65" s="79"/>
      <c r="C65" s="87"/>
      <c r="D65" s="88"/>
      <c r="E65" s="88"/>
      <c r="F65" s="88"/>
    </row>
    <row r="66" spans="1:6" ht="15.75" customHeight="1" x14ac:dyDescent="0.3">
      <c r="A66" s="29" t="s">
        <v>251</v>
      </c>
      <c r="C66" s="86"/>
      <c r="D66" s="75"/>
      <c r="E66" s="75"/>
      <c r="F66" s="75"/>
    </row>
    <row r="67" spans="1:6" ht="15.75" customHeight="1" x14ac:dyDescent="0.25">
      <c r="B67" s="45" t="s">
        <v>266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247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263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260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97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95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91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96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98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92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94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nRuTKBKPW1VisiMr0kDd/CAfjO8rP0hzNvuuimc3/iOUh6VGX23kJpOGFJvs8Wje2UUbbbbF1fG6oVtlbVUI2Q==" saltValue="TILWS1/N3OmduGQrhJshv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278</v>
      </c>
    </row>
    <row r="2" spans="1:16" ht="13" x14ac:dyDescent="0.3">
      <c r="A2" s="92" t="s">
        <v>230</v>
      </c>
      <c r="B2" s="41" t="s">
        <v>270</v>
      </c>
      <c r="C2" s="41" t="s">
        <v>271</v>
      </c>
      <c r="D2" s="82" t="s">
        <v>78</v>
      </c>
      <c r="E2" s="82" t="s">
        <v>74</v>
      </c>
      <c r="F2" s="82" t="s">
        <v>77</v>
      </c>
      <c r="G2" s="82" t="s">
        <v>75</v>
      </c>
      <c r="H2" s="82" t="s">
        <v>76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84</v>
      </c>
      <c r="C3" s="31" t="s">
        <v>7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273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274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272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102</v>
      </c>
      <c r="C7" s="31" t="s">
        <v>7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273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274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272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90</v>
      </c>
      <c r="C11" s="31" t="s">
        <v>7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273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274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272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273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274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272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273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274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272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99</v>
      </c>
      <c r="C23" s="31" t="s">
        <v>7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273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274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272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279</v>
      </c>
    </row>
    <row r="29" spans="1:16" ht="13" x14ac:dyDescent="0.3">
      <c r="A29" s="92" t="s">
        <v>282</v>
      </c>
      <c r="B29" s="29" t="s">
        <v>270</v>
      </c>
      <c r="C29" s="29" t="s">
        <v>281</v>
      </c>
      <c r="D29" s="82" t="s">
        <v>78</v>
      </c>
      <c r="E29" s="82" t="s">
        <v>74</v>
      </c>
      <c r="F29" s="82" t="s">
        <v>77</v>
      </c>
      <c r="G29" s="82" t="s">
        <v>75</v>
      </c>
      <c r="H29" s="82" t="s">
        <v>76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84</v>
      </c>
      <c r="C30" s="31" t="s">
        <v>7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273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207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102</v>
      </c>
      <c r="C34" s="31" t="s">
        <v>7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273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207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90</v>
      </c>
      <c r="C38" s="31" t="s">
        <v>7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273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207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273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207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273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207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99</v>
      </c>
      <c r="C50" s="31" t="s">
        <v>7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273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207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276</v>
      </c>
    </row>
    <row r="56" spans="1:16" ht="26" x14ac:dyDescent="0.3">
      <c r="A56" s="92" t="s">
        <v>105</v>
      </c>
      <c r="B56" s="29" t="s">
        <v>270</v>
      </c>
      <c r="C56" s="80" t="s">
        <v>267</v>
      </c>
      <c r="D56" s="82" t="s">
        <v>113</v>
      </c>
      <c r="E56" s="82" t="s">
        <v>114</v>
      </c>
      <c r="F56" s="82" t="s">
        <v>115</v>
      </c>
      <c r="G56" s="82" t="s">
        <v>116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81</v>
      </c>
      <c r="C57" s="31" t="s">
        <v>275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268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89</v>
      </c>
      <c r="C59" s="31" t="s">
        <v>275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268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103</v>
      </c>
      <c r="C61" s="31" t="s">
        <v>275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268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277</v>
      </c>
    </row>
    <row r="65" spans="1:16" ht="26" x14ac:dyDescent="0.3">
      <c r="A65" s="92" t="s">
        <v>123</v>
      </c>
      <c r="B65" s="29" t="s">
        <v>270</v>
      </c>
      <c r="C65" s="80" t="s">
        <v>269</v>
      </c>
      <c r="D65" s="82" t="s">
        <v>78</v>
      </c>
      <c r="E65" s="82" t="s">
        <v>74</v>
      </c>
      <c r="F65" s="82" t="s">
        <v>77</v>
      </c>
      <c r="G65" s="82" t="s">
        <v>75</v>
      </c>
      <c r="H65" s="95" t="s">
        <v>76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93</v>
      </c>
      <c r="C66" s="31" t="s">
        <v>124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127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126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125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124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127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126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125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95</v>
      </c>
      <c r="C74" s="31" t="s">
        <v>124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127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126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125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96</v>
      </c>
      <c r="C78" s="31" t="s">
        <v>124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127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126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125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84</v>
      </c>
      <c r="C82" s="31" t="s">
        <v>124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127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126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125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102</v>
      </c>
      <c r="C86" s="31" t="s">
        <v>124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127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126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125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90</v>
      </c>
      <c r="C90" s="31" t="s">
        <v>124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127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126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125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124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127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126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125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101</v>
      </c>
      <c r="C98" s="31" t="s">
        <v>124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127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126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125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280</v>
      </c>
    </row>
    <row r="104" spans="1:16" ht="26" x14ac:dyDescent="0.3">
      <c r="A104" s="92" t="s">
        <v>84</v>
      </c>
      <c r="B104" s="96" t="s">
        <v>125</v>
      </c>
      <c r="C104" s="80" t="s">
        <v>269</v>
      </c>
      <c r="D104" s="82" t="s">
        <v>78</v>
      </c>
      <c r="E104" s="82" t="s">
        <v>74</v>
      </c>
      <c r="F104" s="82" t="s">
        <v>77</v>
      </c>
      <c r="G104" s="82" t="s">
        <v>75</v>
      </c>
      <c r="H104" s="95" t="s">
        <v>76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124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127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126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125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235</v>
      </c>
      <c r="H110" s="106"/>
    </row>
    <row r="111" spans="1:16" ht="13" x14ac:dyDescent="0.3">
      <c r="A111" s="78" t="s">
        <v>278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230</v>
      </c>
      <c r="B112" s="41" t="s">
        <v>270</v>
      </c>
      <c r="C112" s="41" t="s">
        <v>271</v>
      </c>
      <c r="D112" s="82" t="s">
        <v>78</v>
      </c>
      <c r="E112" s="82" t="s">
        <v>74</v>
      </c>
      <c r="F112" s="82" t="s">
        <v>77</v>
      </c>
      <c r="G112" s="82" t="s">
        <v>75</v>
      </c>
      <c r="H112" s="82" t="s">
        <v>76</v>
      </c>
    </row>
    <row r="113" spans="1:8" ht="13" x14ac:dyDescent="0.3">
      <c r="A113" s="29"/>
      <c r="B113" s="27" t="s">
        <v>84</v>
      </c>
      <c r="C113" s="31" t="s">
        <v>7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273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274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272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102</v>
      </c>
      <c r="C117" s="31" t="s">
        <v>7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273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274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272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90</v>
      </c>
      <c r="C121" s="31" t="s">
        <v>7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273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274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272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273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274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272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0</v>
      </c>
      <c r="C129" s="31" t="s">
        <v>7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273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274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272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99</v>
      </c>
      <c r="C133" s="31" t="s">
        <v>7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273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274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272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279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282</v>
      </c>
      <c r="B139" s="29" t="s">
        <v>270</v>
      </c>
      <c r="C139" s="29" t="s">
        <v>281</v>
      </c>
      <c r="D139" s="82" t="s">
        <v>78</v>
      </c>
      <c r="E139" s="82" t="s">
        <v>74</v>
      </c>
      <c r="F139" s="82" t="s">
        <v>77</v>
      </c>
      <c r="G139" s="82" t="s">
        <v>75</v>
      </c>
      <c r="H139" s="82" t="s">
        <v>76</v>
      </c>
    </row>
    <row r="140" spans="1:8" ht="13" x14ac:dyDescent="0.3">
      <c r="A140" s="29"/>
      <c r="B140" s="27" t="s">
        <v>84</v>
      </c>
      <c r="C140" s="31" t="s">
        <v>7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273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3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207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102</v>
      </c>
      <c r="C144" s="31" t="s">
        <v>7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273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3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207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90</v>
      </c>
      <c r="C148" s="31" t="s">
        <v>7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273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3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207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273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3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207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0</v>
      </c>
      <c r="C156" s="31" t="s">
        <v>7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273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3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207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99</v>
      </c>
      <c r="C160" s="31" t="s">
        <v>7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273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3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207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276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105</v>
      </c>
      <c r="B166" s="29" t="s">
        <v>270</v>
      </c>
      <c r="C166" s="80" t="s">
        <v>267</v>
      </c>
      <c r="D166" s="82" t="s">
        <v>113</v>
      </c>
      <c r="E166" s="82" t="s">
        <v>114</v>
      </c>
      <c r="F166" s="82" t="s">
        <v>115</v>
      </c>
      <c r="G166" s="82" t="s">
        <v>116</v>
      </c>
      <c r="H166" s="93"/>
    </row>
    <row r="167" spans="1:8" ht="13" x14ac:dyDescent="0.3">
      <c r="A167" s="29"/>
      <c r="B167" s="27" t="s">
        <v>81</v>
      </c>
      <c r="C167" s="31" t="s">
        <v>275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268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89</v>
      </c>
      <c r="C169" s="31" t="s">
        <v>275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268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103</v>
      </c>
      <c r="C171" s="31" t="s">
        <v>275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268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277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123</v>
      </c>
      <c r="B175" s="29" t="s">
        <v>270</v>
      </c>
      <c r="C175" s="80" t="s">
        <v>269</v>
      </c>
      <c r="D175" s="82" t="s">
        <v>78</v>
      </c>
      <c r="E175" s="82" t="s">
        <v>74</v>
      </c>
      <c r="F175" s="82" t="s">
        <v>77</v>
      </c>
      <c r="G175" s="82" t="s">
        <v>75</v>
      </c>
      <c r="H175" s="95" t="s">
        <v>76</v>
      </c>
    </row>
    <row r="176" spans="1:8" ht="13" x14ac:dyDescent="0.3">
      <c r="A176" s="96"/>
      <c r="B176" s="27" t="s">
        <v>93</v>
      </c>
      <c r="C176" s="31" t="s">
        <v>124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127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126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125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124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127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126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125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95</v>
      </c>
      <c r="C184" s="31" t="s">
        <v>124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127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126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125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96</v>
      </c>
      <c r="C188" s="31" t="s">
        <v>124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127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126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125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84</v>
      </c>
      <c r="C192" s="31" t="s">
        <v>124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127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126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125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102</v>
      </c>
      <c r="C196" s="31" t="s">
        <v>124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127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126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125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90</v>
      </c>
      <c r="C200" s="31" t="s">
        <v>124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127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126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125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124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127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126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125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101</v>
      </c>
      <c r="C208" s="31" t="s">
        <v>124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127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126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125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280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84</v>
      </c>
      <c r="B214" s="96" t="s">
        <v>125</v>
      </c>
      <c r="C214" s="80" t="s">
        <v>269</v>
      </c>
      <c r="D214" s="82" t="s">
        <v>78</v>
      </c>
      <c r="E214" s="82" t="s">
        <v>74</v>
      </c>
      <c r="F214" s="82" t="s">
        <v>77</v>
      </c>
      <c r="G214" s="82" t="s">
        <v>75</v>
      </c>
      <c r="H214" s="95" t="s">
        <v>76</v>
      </c>
    </row>
    <row r="215" spans="1:9" ht="13" x14ac:dyDescent="0.3">
      <c r="A215" s="29"/>
      <c r="C215" s="31" t="s">
        <v>124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127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126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125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245</v>
      </c>
      <c r="H220" s="106"/>
    </row>
    <row r="221" spans="1:9" ht="13" x14ac:dyDescent="0.3">
      <c r="A221" s="78" t="s">
        <v>278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230</v>
      </c>
      <c r="B222" s="41" t="s">
        <v>270</v>
      </c>
      <c r="C222" s="41" t="s">
        <v>271</v>
      </c>
      <c r="D222" s="82" t="s">
        <v>78</v>
      </c>
      <c r="E222" s="82" t="s">
        <v>74</v>
      </c>
      <c r="F222" s="82" t="s">
        <v>77</v>
      </c>
      <c r="G222" s="82" t="s">
        <v>75</v>
      </c>
      <c r="H222" s="82" t="s">
        <v>76</v>
      </c>
      <c r="I222" s="93"/>
    </row>
    <row r="223" spans="1:9" ht="13" x14ac:dyDescent="0.3">
      <c r="A223" s="29"/>
      <c r="B223" s="27" t="s">
        <v>84</v>
      </c>
      <c r="C223" s="31" t="s">
        <v>7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273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274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272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102</v>
      </c>
      <c r="C227" s="31" t="s">
        <v>7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273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274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272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90</v>
      </c>
      <c r="C231" s="31" t="s">
        <v>7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273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274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272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273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274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272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273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274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272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99</v>
      </c>
      <c r="C243" s="31" t="s">
        <v>7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273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274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272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279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282</v>
      </c>
      <c r="B249" s="29" t="s">
        <v>270</v>
      </c>
      <c r="C249" s="29" t="s">
        <v>281</v>
      </c>
      <c r="D249" s="82" t="s">
        <v>78</v>
      </c>
      <c r="E249" s="82" t="s">
        <v>74</v>
      </c>
      <c r="F249" s="82" t="s">
        <v>77</v>
      </c>
      <c r="G249" s="82" t="s">
        <v>75</v>
      </c>
      <c r="H249" s="82" t="s">
        <v>76</v>
      </c>
      <c r="I249" s="93"/>
    </row>
    <row r="250" spans="1:9" ht="13" x14ac:dyDescent="0.3">
      <c r="A250" s="29"/>
      <c r="B250" s="27" t="s">
        <v>84</v>
      </c>
      <c r="C250" s="31" t="s">
        <v>7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273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3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207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102</v>
      </c>
      <c r="C254" s="31" t="s">
        <v>7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273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3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207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90</v>
      </c>
      <c r="C258" s="31" t="s">
        <v>7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273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3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207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273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3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207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273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3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207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99</v>
      </c>
      <c r="C270" s="31" t="s">
        <v>7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273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3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207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276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105</v>
      </c>
      <c r="B276" s="29" t="s">
        <v>270</v>
      </c>
      <c r="C276" s="80" t="s">
        <v>267</v>
      </c>
      <c r="D276" s="82" t="s">
        <v>113</v>
      </c>
      <c r="E276" s="82" t="s">
        <v>114</v>
      </c>
      <c r="F276" s="82" t="s">
        <v>115</v>
      </c>
      <c r="G276" s="82" t="s">
        <v>116</v>
      </c>
      <c r="H276" s="93"/>
    </row>
    <row r="277" spans="1:9" ht="13" x14ac:dyDescent="0.3">
      <c r="A277" s="29"/>
      <c r="B277" s="27" t="s">
        <v>81</v>
      </c>
      <c r="C277" s="31" t="s">
        <v>275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268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89</v>
      </c>
      <c r="C279" s="31" t="s">
        <v>275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268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103</v>
      </c>
      <c r="C281" s="31" t="s">
        <v>275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268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277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123</v>
      </c>
      <c r="B285" s="29" t="s">
        <v>270</v>
      </c>
      <c r="C285" s="80" t="s">
        <v>269</v>
      </c>
      <c r="D285" s="82" t="s">
        <v>78</v>
      </c>
      <c r="E285" s="82" t="s">
        <v>74</v>
      </c>
      <c r="F285" s="82" t="s">
        <v>77</v>
      </c>
      <c r="G285" s="82" t="s">
        <v>75</v>
      </c>
      <c r="H285" s="95" t="s">
        <v>76</v>
      </c>
      <c r="I285" s="93"/>
    </row>
    <row r="286" spans="1:9" ht="13" x14ac:dyDescent="0.3">
      <c r="A286" s="96"/>
      <c r="B286" s="27" t="s">
        <v>93</v>
      </c>
      <c r="C286" s="31" t="s">
        <v>124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127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126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125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124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127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126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125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95</v>
      </c>
      <c r="C294" s="31" t="s">
        <v>124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127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126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125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96</v>
      </c>
      <c r="C298" s="31" t="s">
        <v>124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127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126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125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84</v>
      </c>
      <c r="C302" s="31" t="s">
        <v>124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127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126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125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102</v>
      </c>
      <c r="C306" s="31" t="s">
        <v>124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127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126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125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90</v>
      </c>
      <c r="C310" s="31" t="s">
        <v>124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127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126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125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124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127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126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125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101</v>
      </c>
      <c r="C318" s="31" t="s">
        <v>124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127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126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125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280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84</v>
      </c>
      <c r="B324" s="96" t="s">
        <v>125</v>
      </c>
      <c r="C324" s="80" t="s">
        <v>269</v>
      </c>
      <c r="D324" s="82" t="s">
        <v>78</v>
      </c>
      <c r="E324" s="82" t="s">
        <v>74</v>
      </c>
      <c r="F324" s="82" t="s">
        <v>77</v>
      </c>
      <c r="G324" s="82" t="s">
        <v>75</v>
      </c>
      <c r="H324" s="95" t="s">
        <v>76</v>
      </c>
      <c r="I324" s="93"/>
    </row>
    <row r="325" spans="1:9" ht="13" x14ac:dyDescent="0.3">
      <c r="A325" s="29"/>
      <c r="C325" s="31" t="s">
        <v>124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127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126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125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D7amGEZMvgJ3DNY/nnU3fGsd9x6GyFVo3EMVS6sQfVQTnn6DtACAjwiQSYevYMjwCtZzyZd/OBTx7T0o6fB2zQ==" saltValue="qegAlXzBgiiZwpfGH7WD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F29" sqref="F29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313</v>
      </c>
    </row>
    <row r="2" spans="1:7" ht="14.25" customHeight="1" x14ac:dyDescent="0.3">
      <c r="A2" s="96" t="s">
        <v>208</v>
      </c>
      <c r="B2" s="41"/>
      <c r="C2" s="29" t="s">
        <v>78</v>
      </c>
      <c r="D2" s="29" t="s">
        <v>74</v>
      </c>
      <c r="E2" s="29" t="s">
        <v>77</v>
      </c>
      <c r="F2" s="29" t="s">
        <v>75</v>
      </c>
      <c r="G2" s="29" t="s">
        <v>76</v>
      </c>
    </row>
    <row r="3" spans="1:7" ht="14.25" customHeight="1" x14ac:dyDescent="0.25">
      <c r="B3" s="45" t="s">
        <v>300</v>
      </c>
      <c r="C3" s="104" t="s">
        <v>8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286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283</v>
      </c>
    </row>
    <row r="6" spans="1:7" ht="14.25" customHeight="1" x14ac:dyDescent="0.25">
      <c r="B6" s="72" t="s">
        <v>193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184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204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203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307</v>
      </c>
    </row>
    <row r="12" spans="1:7" ht="14.25" customHeight="1" x14ac:dyDescent="0.3">
      <c r="A12" s="83"/>
      <c r="B12" s="45" t="s">
        <v>182</v>
      </c>
      <c r="C12" s="104">
        <v>1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314</v>
      </c>
    </row>
    <row r="15" spans="1:7" ht="14.25" customHeight="1" x14ac:dyDescent="0.3">
      <c r="A15" s="96" t="s">
        <v>282</v>
      </c>
      <c r="B15" s="72" t="s">
        <v>294</v>
      </c>
      <c r="C15" s="104">
        <v>1.024</v>
      </c>
      <c r="D15" s="104">
        <v>1.024</v>
      </c>
      <c r="E15" s="104">
        <v>1.024</v>
      </c>
      <c r="F15" s="104">
        <v>1.024</v>
      </c>
      <c r="G15" s="104">
        <v>1.024</v>
      </c>
    </row>
    <row r="16" spans="1:7" ht="14.25" customHeight="1" x14ac:dyDescent="0.3">
      <c r="A16" s="29"/>
      <c r="B16" s="72" t="s">
        <v>291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96" t="s">
        <v>105</v>
      </c>
      <c r="B17" s="45" t="s">
        <v>297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310</v>
      </c>
    </row>
    <row r="20" spans="1:7" s="83" customFormat="1" ht="14.25" customHeight="1" x14ac:dyDescent="0.3">
      <c r="C20" s="43" t="s">
        <v>68</v>
      </c>
      <c r="D20" s="43" t="s">
        <v>69</v>
      </c>
      <c r="E20" s="43" t="s">
        <v>70</v>
      </c>
      <c r="F20" s="43" t="s">
        <v>71</v>
      </c>
    </row>
    <row r="21" spans="1:7" x14ac:dyDescent="0.25">
      <c r="B21" s="45" t="s">
        <v>170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235</v>
      </c>
    </row>
    <row r="24" spans="1:7" ht="13" x14ac:dyDescent="0.3">
      <c r="A24" s="78" t="s">
        <v>313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208</v>
      </c>
      <c r="B25" s="41"/>
      <c r="C25" s="29" t="s">
        <v>78</v>
      </c>
      <c r="D25" s="29" t="s">
        <v>74</v>
      </c>
      <c r="E25" s="29" t="s">
        <v>77</v>
      </c>
      <c r="F25" s="29" t="s">
        <v>75</v>
      </c>
      <c r="G25" s="29" t="s">
        <v>76</v>
      </c>
    </row>
    <row r="26" spans="1:7" x14ac:dyDescent="0.25">
      <c r="B26" s="45" t="s">
        <v>301</v>
      </c>
      <c r="C26" s="104" t="s">
        <v>8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287</v>
      </c>
      <c r="C27" s="104">
        <v>1.014</v>
      </c>
      <c r="D27" s="104">
        <v>1.014</v>
      </c>
      <c r="E27" s="104">
        <v>1.014</v>
      </c>
      <c r="F27" s="104">
        <v>1.014</v>
      </c>
      <c r="G27" s="104">
        <v>1.014</v>
      </c>
    </row>
    <row r="28" spans="1:7" ht="13" x14ac:dyDescent="0.3">
      <c r="A28" s="83" t="s">
        <v>284</v>
      </c>
    </row>
    <row r="29" spans="1:7" x14ac:dyDescent="0.25">
      <c r="B29" s="72" t="s">
        <v>315</v>
      </c>
      <c r="C29" s="104">
        <f>IF(C6=1,1,C6*0.9)</f>
        <v>1</v>
      </c>
      <c r="D29" s="104">
        <f t="shared" ref="D29:G29" si="1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1"/>
        <v>1</v>
      </c>
    </row>
    <row r="30" spans="1:7" x14ac:dyDescent="0.25">
      <c r="B30" s="72" t="s">
        <v>305</v>
      </c>
      <c r="C30" s="104">
        <f t="shared" ref="C30:G32" si="2">IF(C7=1,1,C7*0.9)</f>
        <v>1</v>
      </c>
      <c r="D30" s="104">
        <f t="shared" si="2"/>
        <v>1</v>
      </c>
      <c r="E30" s="104">
        <v>0.85</v>
      </c>
      <c r="F30" s="104">
        <v>0.85</v>
      </c>
      <c r="G30" s="104">
        <f t="shared" si="2"/>
        <v>1</v>
      </c>
    </row>
    <row r="31" spans="1:7" x14ac:dyDescent="0.25">
      <c r="B31" s="72" t="s">
        <v>319</v>
      </c>
      <c r="C31" s="104">
        <f t="shared" si="2"/>
        <v>1</v>
      </c>
      <c r="D31" s="104">
        <f t="shared" si="2"/>
        <v>1</v>
      </c>
      <c r="E31" s="104">
        <v>0.85</v>
      </c>
      <c r="F31" s="104">
        <v>0.85</v>
      </c>
      <c r="G31" s="104">
        <f t="shared" si="2"/>
        <v>1</v>
      </c>
    </row>
    <row r="32" spans="1:7" x14ac:dyDescent="0.25">
      <c r="B32" s="72" t="s">
        <v>317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308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303</v>
      </c>
      <c r="C35" s="104">
        <v>1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314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282</v>
      </c>
      <c r="B38" s="72" t="s">
        <v>295</v>
      </c>
      <c r="C38" s="104">
        <v>1.016</v>
      </c>
      <c r="D38" s="104">
        <v>1.016</v>
      </c>
      <c r="E38" s="104">
        <v>1.016</v>
      </c>
      <c r="F38" s="104">
        <v>1.016</v>
      </c>
      <c r="G38" s="104">
        <v>1.016</v>
      </c>
    </row>
    <row r="39" spans="1:7" ht="13" x14ac:dyDescent="0.3">
      <c r="A39" s="29"/>
      <c r="B39" s="72" t="s">
        <v>292</v>
      </c>
      <c r="C39" s="104">
        <v>1.016</v>
      </c>
      <c r="D39" s="104">
        <v>1.016</v>
      </c>
      <c r="E39" s="104">
        <v>1.016</v>
      </c>
      <c r="F39" s="104">
        <v>1.016</v>
      </c>
      <c r="G39" s="104">
        <v>1.016</v>
      </c>
    </row>
    <row r="40" spans="1:7" ht="13" x14ac:dyDescent="0.3">
      <c r="A40" s="96" t="s">
        <v>105</v>
      </c>
      <c r="B40" s="45" t="s">
        <v>298</v>
      </c>
      <c r="C40" s="104">
        <f t="shared" ref="C40:G40" si="3">IF(C17=1,1,C17*0.9)</f>
        <v>1</v>
      </c>
      <c r="D40" s="104">
        <f t="shared" si="3"/>
        <v>1</v>
      </c>
      <c r="E40" s="104">
        <f t="shared" si="3"/>
        <v>1</v>
      </c>
      <c r="F40" s="104">
        <f t="shared" si="3"/>
        <v>1</v>
      </c>
      <c r="G40" s="104">
        <f t="shared" si="3"/>
        <v>1</v>
      </c>
    </row>
    <row r="42" spans="1:7" ht="13" x14ac:dyDescent="0.3">
      <c r="A42" s="78" t="s">
        <v>311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68</v>
      </c>
      <c r="D43" s="43" t="s">
        <v>69</v>
      </c>
      <c r="E43" s="43" t="s">
        <v>70</v>
      </c>
      <c r="F43" s="43" t="s">
        <v>71</v>
      </c>
      <c r="G43" s="83"/>
    </row>
    <row r="44" spans="1:7" x14ac:dyDescent="0.25">
      <c r="B44" s="45" t="s">
        <v>289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245</v>
      </c>
    </row>
    <row r="47" spans="1:7" ht="13" x14ac:dyDescent="0.3">
      <c r="A47" s="78" t="s">
        <v>313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208</v>
      </c>
      <c r="B48" s="41"/>
      <c r="C48" s="29" t="s">
        <v>78</v>
      </c>
      <c r="D48" s="29" t="s">
        <v>74</v>
      </c>
      <c r="E48" s="29" t="s">
        <v>77</v>
      </c>
      <c r="F48" s="29" t="s">
        <v>75</v>
      </c>
      <c r="G48" s="29" t="s">
        <v>76</v>
      </c>
    </row>
    <row r="49" spans="1:7" x14ac:dyDescent="0.25">
      <c r="B49" s="45" t="s">
        <v>302</v>
      </c>
      <c r="C49" s="104" t="s">
        <v>8</v>
      </c>
      <c r="D49" s="104">
        <f t="shared" ref="D49:G49" si="4">D3*1.05</f>
        <v>47.25</v>
      </c>
      <c r="E49" s="104">
        <f t="shared" si="4"/>
        <v>379.68000000000006</v>
      </c>
      <c r="F49" s="104">
        <f t="shared" si="4"/>
        <v>183.435</v>
      </c>
      <c r="G49" s="104">
        <f t="shared" si="4"/>
        <v>183.435</v>
      </c>
    </row>
    <row r="50" spans="1:7" ht="13" x14ac:dyDescent="0.3">
      <c r="A50" s="29"/>
      <c r="B50" s="72" t="s">
        <v>288</v>
      </c>
      <c r="C50" s="104">
        <v>1.0349999999999999</v>
      </c>
      <c r="D50" s="104">
        <v>1.0349999999999999</v>
      </c>
      <c r="E50" s="104">
        <v>1.0349999999999999</v>
      </c>
      <c r="F50" s="104">
        <v>1.0349999999999999</v>
      </c>
      <c r="G50" s="104">
        <v>1.0349999999999999</v>
      </c>
    </row>
    <row r="51" spans="1:7" ht="13" x14ac:dyDescent="0.3">
      <c r="A51" s="83" t="s">
        <v>285</v>
      </c>
    </row>
    <row r="52" spans="1:7" x14ac:dyDescent="0.25">
      <c r="B52" s="72" t="s">
        <v>316</v>
      </c>
      <c r="C52" s="104">
        <f>IF(C6=1,1,C6*1.1)</f>
        <v>1</v>
      </c>
      <c r="D52" s="104">
        <f t="shared" ref="D52:G52" si="5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5"/>
        <v>1</v>
      </c>
    </row>
    <row r="53" spans="1:7" x14ac:dyDescent="0.25">
      <c r="B53" s="72" t="s">
        <v>306</v>
      </c>
      <c r="C53" s="104">
        <f t="shared" ref="C53:G55" si="6">IF(C7=1,1,C7*1.1)</f>
        <v>1</v>
      </c>
      <c r="D53" s="104">
        <f t="shared" si="6"/>
        <v>1</v>
      </c>
      <c r="E53" s="104">
        <v>0.91</v>
      </c>
      <c r="F53" s="104">
        <v>0.91</v>
      </c>
      <c r="G53" s="104">
        <f t="shared" si="6"/>
        <v>1</v>
      </c>
    </row>
    <row r="54" spans="1:7" x14ac:dyDescent="0.25">
      <c r="B54" s="72" t="s">
        <v>320</v>
      </c>
      <c r="C54" s="104">
        <f t="shared" si="6"/>
        <v>1</v>
      </c>
      <c r="D54" s="104">
        <f t="shared" si="6"/>
        <v>1</v>
      </c>
      <c r="E54" s="104">
        <v>0.91</v>
      </c>
      <c r="F54" s="104">
        <v>0.91</v>
      </c>
      <c r="G54" s="104">
        <f t="shared" si="6"/>
        <v>1</v>
      </c>
    </row>
    <row r="55" spans="1:7" x14ac:dyDescent="0.25">
      <c r="B55" s="72" t="s">
        <v>318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309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304</v>
      </c>
      <c r="C58" s="104">
        <v>1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314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282</v>
      </c>
      <c r="B61" s="72" t="s">
        <v>296</v>
      </c>
      <c r="C61" s="104">
        <v>1.0309999999999999</v>
      </c>
      <c r="D61" s="104">
        <v>1.0309999999999999</v>
      </c>
      <c r="E61" s="104">
        <v>1.0309999999999999</v>
      </c>
      <c r="F61" s="104">
        <v>1.0309999999999999</v>
      </c>
      <c r="G61" s="104">
        <v>1.0309999999999999</v>
      </c>
    </row>
    <row r="62" spans="1:7" ht="13" x14ac:dyDescent="0.3">
      <c r="A62" s="29"/>
      <c r="B62" s="72" t="s">
        <v>293</v>
      </c>
      <c r="C62" s="104">
        <v>1.0309999999999999</v>
      </c>
      <c r="D62" s="104">
        <v>1.0309999999999999</v>
      </c>
      <c r="E62" s="104">
        <v>1.0309999999999999</v>
      </c>
      <c r="F62" s="104">
        <v>1.0309999999999999</v>
      </c>
      <c r="G62" s="104">
        <v>1.0309999999999999</v>
      </c>
    </row>
    <row r="63" spans="1:7" ht="13" x14ac:dyDescent="0.3">
      <c r="A63" s="96" t="s">
        <v>105</v>
      </c>
      <c r="B63" s="45" t="s">
        <v>299</v>
      </c>
      <c r="C63" s="104">
        <f t="shared" ref="C63:G63" si="7">IF(C17=1,1,C17*1.1)</f>
        <v>1</v>
      </c>
      <c r="D63" s="104">
        <f t="shared" si="7"/>
        <v>1</v>
      </c>
      <c r="E63" s="104">
        <f t="shared" si="7"/>
        <v>1</v>
      </c>
      <c r="F63" s="104">
        <f t="shared" si="7"/>
        <v>1</v>
      </c>
      <c r="G63" s="104">
        <f t="shared" si="7"/>
        <v>1</v>
      </c>
    </row>
    <row r="65" spans="1:7" ht="13" x14ac:dyDescent="0.3">
      <c r="A65" s="78" t="s">
        <v>312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68</v>
      </c>
      <c r="D66" s="43" t="s">
        <v>69</v>
      </c>
      <c r="E66" s="43" t="s">
        <v>70</v>
      </c>
      <c r="F66" s="43" t="s">
        <v>71</v>
      </c>
      <c r="G66" s="83"/>
    </row>
    <row r="67" spans="1:7" x14ac:dyDescent="0.25">
      <c r="B67" s="45" t="s">
        <v>290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Vt2I+Peae8NoAOOAo0+BEz1gOGRNpAOawZu5jDFyhlzyN08CXU5mrwAEAiVuIQo646zwTOf8xpA/AEirz08C4Q==" saltValue="f9IgV3H5Dlnc0W+DOCSl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7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163</v>
      </c>
      <c r="B1" s="29"/>
      <c r="C1" s="29" t="s">
        <v>52</v>
      </c>
      <c r="D1" s="29" t="s">
        <v>59</v>
      </c>
      <c r="E1" s="29" t="s">
        <v>51</v>
      </c>
      <c r="F1" s="41" t="s">
        <v>58</v>
      </c>
    </row>
    <row r="2" spans="1:6" ht="15.75" customHeight="1" x14ac:dyDescent="0.25">
      <c r="A2" s="72" t="s">
        <v>165</v>
      </c>
      <c r="B2" s="72" t="s">
        <v>322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321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178</v>
      </c>
      <c r="B4" s="72" t="s">
        <v>322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321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179</v>
      </c>
      <c r="B6" s="72" t="s">
        <v>322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321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180</v>
      </c>
      <c r="B8" s="72" t="s">
        <v>322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321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185</v>
      </c>
      <c r="B10" s="72" t="s">
        <v>322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321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191</v>
      </c>
      <c r="B12" s="72" t="s">
        <v>322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321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235</v>
      </c>
    </row>
    <row r="16" spans="1:6" ht="15.75" customHeight="1" x14ac:dyDescent="0.3">
      <c r="A16" s="41" t="s">
        <v>163</v>
      </c>
      <c r="B16" s="29"/>
      <c r="C16" s="29" t="s">
        <v>52</v>
      </c>
      <c r="D16" s="29" t="s">
        <v>59</v>
      </c>
      <c r="E16" s="29" t="s">
        <v>51</v>
      </c>
      <c r="F16" s="41" t="s">
        <v>58</v>
      </c>
    </row>
    <row r="17" spans="1:6" ht="15.75" customHeight="1" x14ac:dyDescent="0.25">
      <c r="A17" s="72" t="s">
        <v>165</v>
      </c>
      <c r="B17" s="72" t="s">
        <v>322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321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178</v>
      </c>
      <c r="B19" s="72" t="s">
        <v>322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321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179</v>
      </c>
      <c r="B21" s="72" t="s">
        <v>322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321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180</v>
      </c>
      <c r="B23" s="72" t="s">
        <v>322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321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185</v>
      </c>
      <c r="B25" s="72" t="s">
        <v>322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321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191</v>
      </c>
      <c r="B27" s="72" t="s">
        <v>322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321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245</v>
      </c>
    </row>
    <row r="31" spans="1:6" ht="15.75" customHeight="1" x14ac:dyDescent="0.3">
      <c r="A31" s="41" t="s">
        <v>163</v>
      </c>
      <c r="B31" s="29"/>
      <c r="C31" s="29" t="s">
        <v>52</v>
      </c>
      <c r="D31" s="29" t="s">
        <v>59</v>
      </c>
      <c r="E31" s="29" t="s">
        <v>51</v>
      </c>
      <c r="F31" s="41" t="s">
        <v>58</v>
      </c>
    </row>
    <row r="32" spans="1:6" ht="15.75" customHeight="1" x14ac:dyDescent="0.25">
      <c r="A32" s="72" t="s">
        <v>165</v>
      </c>
      <c r="B32" s="72" t="s">
        <v>322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321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178</v>
      </c>
      <c r="B34" s="72" t="s">
        <v>322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321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179</v>
      </c>
      <c r="B36" s="72" t="s">
        <v>322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321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180</v>
      </c>
      <c r="B38" s="72" t="s">
        <v>322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321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185</v>
      </c>
      <c r="B40" s="72" t="s">
        <v>322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321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191</v>
      </c>
      <c r="B42" s="72" t="s">
        <v>322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321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gz790rLsBi2UEvMmum/PL7yA2yTAOQGWH7C3PvxMMWwiGX9XJoZ6dUQSoyfnAYm4wZCSu0ONeu/ezmf0fdO/Bg==" saltValue="asAcUR2chlXwx3NKXzlce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78</v>
      </c>
      <c r="D1" s="82" t="s">
        <v>74</v>
      </c>
      <c r="E1" s="82" t="s">
        <v>77</v>
      </c>
      <c r="F1" s="82" t="s">
        <v>75</v>
      </c>
      <c r="G1" s="82" t="s">
        <v>76</v>
      </c>
      <c r="H1" s="82" t="s">
        <v>68</v>
      </c>
      <c r="I1" s="82" t="s">
        <v>69</v>
      </c>
      <c r="J1" s="82" t="s">
        <v>70</v>
      </c>
      <c r="K1" s="82" t="s">
        <v>71</v>
      </c>
      <c r="L1" s="82" t="s">
        <v>113</v>
      </c>
      <c r="M1" s="82" t="s">
        <v>114</v>
      </c>
      <c r="N1" s="82" t="s">
        <v>115</v>
      </c>
      <c r="O1" s="82" t="s">
        <v>116</v>
      </c>
    </row>
    <row r="2" spans="1:15" ht="13" x14ac:dyDescent="0.3">
      <c r="A2" s="29" t="s">
        <v>326</v>
      </c>
    </row>
    <row r="3" spans="1:15" x14ac:dyDescent="0.25">
      <c r="B3" s="45" t="s">
        <v>169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174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175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176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177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178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179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180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184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185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190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191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204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323</v>
      </c>
      <c r="B17" s="45"/>
    </row>
    <row r="18" spans="1:15" x14ac:dyDescent="0.25">
      <c r="B18" s="72" t="s">
        <v>171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172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173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181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235</v>
      </c>
    </row>
    <row r="24" spans="1:15" ht="26" x14ac:dyDescent="0.3">
      <c r="A24" s="29"/>
      <c r="B24" s="29"/>
      <c r="C24" s="82" t="s">
        <v>78</v>
      </c>
      <c r="D24" s="82" t="s">
        <v>74</v>
      </c>
      <c r="E24" s="82" t="s">
        <v>77</v>
      </c>
      <c r="F24" s="82" t="s">
        <v>75</v>
      </c>
      <c r="G24" s="82" t="s">
        <v>76</v>
      </c>
      <c r="H24" s="82" t="s">
        <v>68</v>
      </c>
      <c r="I24" s="82" t="s">
        <v>69</v>
      </c>
      <c r="J24" s="82" t="s">
        <v>70</v>
      </c>
      <c r="K24" s="82" t="s">
        <v>71</v>
      </c>
      <c r="L24" s="82" t="s">
        <v>113</v>
      </c>
      <c r="M24" s="82" t="s">
        <v>114</v>
      </c>
      <c r="N24" s="82" t="s">
        <v>115</v>
      </c>
      <c r="O24" s="82" t="s">
        <v>116</v>
      </c>
    </row>
    <row r="25" spans="1:15" ht="13" x14ac:dyDescent="0.3">
      <c r="A25" s="29" t="s">
        <v>327</v>
      </c>
    </row>
    <row r="26" spans="1:15" x14ac:dyDescent="0.25">
      <c r="B26" s="45" t="s">
        <v>169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174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175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176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177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178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179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180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184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185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190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191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204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324</v>
      </c>
      <c r="B40" s="45"/>
    </row>
    <row r="41" spans="1:15" x14ac:dyDescent="0.25">
      <c r="B41" s="72" t="s">
        <v>171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172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173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181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245</v>
      </c>
    </row>
    <row r="47" spans="1:15" ht="52" x14ac:dyDescent="0.3">
      <c r="A47" s="29"/>
      <c r="B47" s="29"/>
      <c r="C47" s="82" t="s">
        <v>78</v>
      </c>
      <c r="D47" s="82" t="s">
        <v>74</v>
      </c>
      <c r="E47" s="82" t="s">
        <v>77</v>
      </c>
      <c r="F47" s="82" t="s">
        <v>75</v>
      </c>
      <c r="G47" s="82" t="s">
        <v>76</v>
      </c>
      <c r="H47" s="82" t="s">
        <v>68</v>
      </c>
      <c r="I47" s="82" t="s">
        <v>69</v>
      </c>
      <c r="J47" s="82" t="s">
        <v>70</v>
      </c>
      <c r="K47" s="82" t="s">
        <v>71</v>
      </c>
      <c r="L47" s="82" t="s">
        <v>113</v>
      </c>
      <c r="M47" s="82" t="s">
        <v>114</v>
      </c>
      <c r="N47" s="82" t="s">
        <v>115</v>
      </c>
      <c r="O47" s="82" t="s">
        <v>116</v>
      </c>
    </row>
    <row r="48" spans="1:15" ht="13" x14ac:dyDescent="0.3">
      <c r="A48" s="29" t="s">
        <v>328</v>
      </c>
    </row>
    <row r="49" spans="1:15" x14ac:dyDescent="0.25">
      <c r="B49" s="45" t="s">
        <v>169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174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175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176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177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178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179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180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184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185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190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191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204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325</v>
      </c>
      <c r="B63" s="45"/>
    </row>
    <row r="64" spans="1:15" x14ac:dyDescent="0.25">
      <c r="B64" s="72" t="s">
        <v>171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172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173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181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9tgoLHOvt7mEWDd1qAaAwAqV9dF4icN07MrUUGBic32fxCMYEg9i17hPpw5eaziFWJNKF9FMJxrKBv98pN20uA==" saltValue="40ffZPEMQlnkrqLvVK6bn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78</v>
      </c>
      <c r="D1" s="29" t="s">
        <v>74</v>
      </c>
      <c r="E1" s="29" t="s">
        <v>77</v>
      </c>
      <c r="F1" s="29" t="s">
        <v>75</v>
      </c>
      <c r="G1" s="29" t="s">
        <v>76</v>
      </c>
    </row>
    <row r="2" spans="1:7" ht="13" x14ac:dyDescent="0.3">
      <c r="A2" s="29" t="s">
        <v>333</v>
      </c>
    </row>
    <row r="3" spans="1:7" x14ac:dyDescent="0.25">
      <c r="B3" s="45" t="s">
        <v>164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330</v>
      </c>
      <c r="B4" s="45"/>
      <c r="C4" s="97"/>
      <c r="D4" s="97"/>
      <c r="E4" s="97"/>
      <c r="F4" s="97"/>
      <c r="G4" s="97"/>
    </row>
    <row r="5" spans="1:7" x14ac:dyDescent="0.25">
      <c r="B5" s="72" t="s">
        <v>162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329</v>
      </c>
    </row>
    <row r="8" spans="1:7" ht="13" x14ac:dyDescent="0.3">
      <c r="A8" s="29"/>
      <c r="B8" s="41"/>
      <c r="C8" s="29" t="s">
        <v>78</v>
      </c>
      <c r="D8" s="29" t="s">
        <v>74</v>
      </c>
      <c r="E8" s="29" t="s">
        <v>77</v>
      </c>
      <c r="F8" s="29" t="s">
        <v>75</v>
      </c>
      <c r="G8" s="29" t="s">
        <v>76</v>
      </c>
    </row>
    <row r="9" spans="1:7" ht="13" x14ac:dyDescent="0.3">
      <c r="A9" s="29" t="s">
        <v>334</v>
      </c>
    </row>
    <row r="10" spans="1:7" x14ac:dyDescent="0.25">
      <c r="B10" s="45" t="s">
        <v>164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331</v>
      </c>
      <c r="B11" s="45"/>
      <c r="C11" s="97"/>
      <c r="D11" s="97"/>
      <c r="E11" s="97"/>
      <c r="F11" s="97"/>
      <c r="G11" s="97"/>
    </row>
    <row r="12" spans="1:7" x14ac:dyDescent="0.25">
      <c r="B12" s="72" t="s">
        <v>162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336</v>
      </c>
    </row>
    <row r="15" spans="1:7" ht="13" x14ac:dyDescent="0.3">
      <c r="A15" s="29"/>
      <c r="B15" s="41"/>
      <c r="C15" s="29" t="s">
        <v>78</v>
      </c>
      <c r="D15" s="29" t="s">
        <v>74</v>
      </c>
      <c r="E15" s="29" t="s">
        <v>77</v>
      </c>
      <c r="F15" s="29" t="s">
        <v>75</v>
      </c>
      <c r="G15" s="29" t="s">
        <v>76</v>
      </c>
    </row>
    <row r="16" spans="1:7" ht="13" x14ac:dyDescent="0.3">
      <c r="A16" s="29" t="s">
        <v>335</v>
      </c>
    </row>
    <row r="17" spans="1:7" x14ac:dyDescent="0.25">
      <c r="B17" s="45" t="s">
        <v>164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332</v>
      </c>
      <c r="B18" s="45"/>
      <c r="C18" s="97"/>
      <c r="D18" s="97"/>
      <c r="E18" s="97"/>
      <c r="F18" s="97"/>
      <c r="G18" s="97"/>
    </row>
    <row r="19" spans="1:7" x14ac:dyDescent="0.25">
      <c r="B19" s="72" t="s">
        <v>162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13xRC3zO3Y9hp8sZyVUo6gvTcMgmj0g767scphY2mNnHFm5bhK9eQGU2iz7WuR9XooCp7X4anuGMht4DK9Ry8A==" saltValue="uaNsHmBiOlwNMeMioRKt5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163</v>
      </c>
      <c r="B1" s="29" t="s">
        <v>340</v>
      </c>
      <c r="C1" s="96" t="s">
        <v>9</v>
      </c>
      <c r="D1" s="29" t="s">
        <v>78</v>
      </c>
      <c r="E1" s="29" t="s">
        <v>74</v>
      </c>
      <c r="F1" s="29" t="s">
        <v>77</v>
      </c>
      <c r="G1" s="29" t="s">
        <v>75</v>
      </c>
      <c r="H1" s="29" t="s">
        <v>76</v>
      </c>
    </row>
    <row r="2" spans="1:8" x14ac:dyDescent="0.25">
      <c r="A2" s="39" t="s">
        <v>196</v>
      </c>
      <c r="B2" s="39" t="s">
        <v>84</v>
      </c>
      <c r="C2" s="39" t="s">
        <v>337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339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338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193</v>
      </c>
      <c r="B5" s="39" t="s">
        <v>207</v>
      </c>
      <c r="C5" s="39" t="s">
        <v>337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338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3</v>
      </c>
      <c r="C7" s="39" t="s">
        <v>337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338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184</v>
      </c>
      <c r="B9" s="39" t="s">
        <v>207</v>
      </c>
      <c r="C9" s="39" t="s">
        <v>337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338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3</v>
      </c>
      <c r="C11" s="39" t="s">
        <v>337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338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204</v>
      </c>
      <c r="B13" s="39" t="s">
        <v>207</v>
      </c>
      <c r="C13" s="39" t="s">
        <v>337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338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3</v>
      </c>
      <c r="C15" s="39" t="s">
        <v>337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338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167</v>
      </c>
      <c r="B17" s="39" t="s">
        <v>207</v>
      </c>
      <c r="C17" s="39" t="s">
        <v>337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338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3</v>
      </c>
      <c r="C19" s="39" t="s">
        <v>337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338</v>
      </c>
      <c r="D20" s="104">
        <v>0</v>
      </c>
      <c r="E20" s="104">
        <v>0</v>
      </c>
      <c r="F20" s="104">
        <f>MIN(MAX(1-0.89/(1-frac_mam_6_11months+(frac_mam_6_11months*0.89)),0),1)</f>
        <v>0.1046795744409692</v>
      </c>
      <c r="G20" s="104">
        <f>MIN(MAX(1-0.89/(1-frac_mam_12_23months+(frac_mam_12_23months*0.89)),0),1)</f>
        <v>0.10581499250070592</v>
      </c>
      <c r="H20" s="104">
        <f>MIN(MAX(1-0.89/(1-frac_mam_24_59months+(frac_mam_24_59months*0.89)),0),1)</f>
        <v>0.10780844504922549</v>
      </c>
    </row>
    <row r="21" spans="1:8" x14ac:dyDescent="0.25">
      <c r="A21" s="39" t="s">
        <v>173</v>
      </c>
      <c r="B21" s="39" t="s">
        <v>92</v>
      </c>
      <c r="C21" s="39" t="s">
        <v>337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339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171</v>
      </c>
      <c r="B23" s="39" t="s">
        <v>92</v>
      </c>
      <c r="C23" s="39" t="s">
        <v>337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339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172</v>
      </c>
      <c r="B25" s="39" t="s">
        <v>92</v>
      </c>
      <c r="C25" s="39" t="s">
        <v>337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339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200</v>
      </c>
      <c r="B27" s="39" t="s">
        <v>84</v>
      </c>
      <c r="C27" s="39" t="s">
        <v>337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339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338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201</v>
      </c>
      <c r="B30" s="39" t="s">
        <v>84</v>
      </c>
      <c r="C30" s="39" t="s">
        <v>337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339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338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199</v>
      </c>
      <c r="B33" s="39" t="s">
        <v>84</v>
      </c>
      <c r="C33" s="39" t="s">
        <v>337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339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338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198</v>
      </c>
      <c r="B36" s="39" t="s">
        <v>84</v>
      </c>
      <c r="C36" s="39" t="s">
        <v>337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339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338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197</v>
      </c>
      <c r="B39" s="39" t="s">
        <v>84</v>
      </c>
      <c r="C39" s="39" t="s">
        <v>337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339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338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203</v>
      </c>
      <c r="B42" s="39" t="s">
        <v>84</v>
      </c>
      <c r="C42" s="39" t="s">
        <v>337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339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338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102</v>
      </c>
      <c r="C45" s="39" t="s">
        <v>337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339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338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192</v>
      </c>
      <c r="B48" s="39" t="s">
        <v>84</v>
      </c>
      <c r="C48" s="39" t="s">
        <v>337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339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202</v>
      </c>
      <c r="B50" s="39" t="s">
        <v>84</v>
      </c>
      <c r="C50" s="39" t="s">
        <v>337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339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182</v>
      </c>
      <c r="B52" s="39" t="s">
        <v>96</v>
      </c>
      <c r="C52" s="39" t="s">
        <v>337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339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329</v>
      </c>
      <c r="B55" s="111"/>
      <c r="C55" s="111"/>
    </row>
    <row r="56" spans="1:8" ht="13" x14ac:dyDescent="0.3">
      <c r="A56" s="29" t="s">
        <v>163</v>
      </c>
      <c r="B56" s="29" t="s">
        <v>340</v>
      </c>
      <c r="C56" s="96" t="s">
        <v>9</v>
      </c>
      <c r="D56" s="29" t="s">
        <v>78</v>
      </c>
      <c r="E56" s="29" t="s">
        <v>74</v>
      </c>
      <c r="F56" s="29" t="s">
        <v>77</v>
      </c>
      <c r="G56" s="29" t="s">
        <v>75</v>
      </c>
      <c r="H56" s="29" t="s">
        <v>76</v>
      </c>
    </row>
    <row r="57" spans="1:8" x14ac:dyDescent="0.25">
      <c r="A57" s="39" t="s">
        <v>196</v>
      </c>
      <c r="B57" s="39" t="s">
        <v>84</v>
      </c>
      <c r="C57" s="39" t="s">
        <v>337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339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338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193</v>
      </c>
      <c r="B60" s="39" t="s">
        <v>207</v>
      </c>
      <c r="C60" s="39" t="s">
        <v>337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338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3</v>
      </c>
      <c r="C62" s="39" t="s">
        <v>337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338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184</v>
      </c>
      <c r="B64" s="39" t="s">
        <v>207</v>
      </c>
      <c r="C64" s="39" t="s">
        <v>337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338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3</v>
      </c>
      <c r="C66" s="39" t="s">
        <v>337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338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204</v>
      </c>
      <c r="B68" s="39" t="s">
        <v>207</v>
      </c>
      <c r="C68" s="39" t="s">
        <v>337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338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3</v>
      </c>
      <c r="C70" s="39" t="s">
        <v>337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338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167</v>
      </c>
      <c r="B72" s="39" t="s">
        <v>207</v>
      </c>
      <c r="C72" s="39" t="s">
        <v>337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338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3</v>
      </c>
      <c r="C74" s="39" t="s">
        <v>337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338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9.4648875339096161E-3</v>
      </c>
      <c r="G75" s="104">
        <f>MIN(MAX(1-0.99/(1-frac_mam_12_23months+(frac_mam_12_23months*0.99)),0),1)</f>
        <v>9.5785983927034746E-3</v>
      </c>
      <c r="H75" s="104">
        <f>MIN(MAX(1-0.99/(1-frac_mam_24_59months+(frac_mam_24_59months*0.99)),0),1)</f>
        <v>9.7788770816137349E-3</v>
      </c>
    </row>
    <row r="76" spans="1:8" x14ac:dyDescent="0.25">
      <c r="A76" s="39" t="s">
        <v>173</v>
      </c>
      <c r="B76" s="39" t="s">
        <v>92</v>
      </c>
      <c r="C76" s="39" t="s">
        <v>337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339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171</v>
      </c>
      <c r="B78" s="39" t="s">
        <v>92</v>
      </c>
      <c r="C78" s="39" t="s">
        <v>337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339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172</v>
      </c>
      <c r="B80" s="39" t="s">
        <v>92</v>
      </c>
      <c r="C80" s="39" t="s">
        <v>337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339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200</v>
      </c>
      <c r="B82" s="39" t="s">
        <v>84</v>
      </c>
      <c r="C82" s="39" t="s">
        <v>337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339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338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201</v>
      </c>
      <c r="B85" s="39" t="s">
        <v>84</v>
      </c>
      <c r="C85" s="39" t="s">
        <v>337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339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338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199</v>
      </c>
      <c r="B88" s="39" t="s">
        <v>84</v>
      </c>
      <c r="C88" s="39" t="s">
        <v>337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339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338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198</v>
      </c>
      <c r="B91" s="39" t="s">
        <v>84</v>
      </c>
      <c r="C91" s="39" t="s">
        <v>337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339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338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197</v>
      </c>
      <c r="B94" s="39" t="s">
        <v>84</v>
      </c>
      <c r="C94" s="39" t="s">
        <v>337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339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338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203</v>
      </c>
      <c r="B97" s="39" t="s">
        <v>84</v>
      </c>
      <c r="C97" s="39" t="s">
        <v>337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339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338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102</v>
      </c>
      <c r="C100" s="39" t="s">
        <v>337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339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338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192</v>
      </c>
      <c r="B103" s="39" t="s">
        <v>84</v>
      </c>
      <c r="C103" s="39" t="s">
        <v>337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339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202</v>
      </c>
      <c r="B105" s="39" t="s">
        <v>84</v>
      </c>
      <c r="C105" s="39" t="s">
        <v>337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339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182</v>
      </c>
      <c r="B107" s="39" t="s">
        <v>96</v>
      </c>
      <c r="C107" s="39" t="s">
        <v>337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339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336</v>
      </c>
      <c r="B110" s="111"/>
      <c r="C110" s="111"/>
    </row>
    <row r="111" spans="1:8" ht="13" x14ac:dyDescent="0.3">
      <c r="A111" s="29" t="s">
        <v>163</v>
      </c>
      <c r="B111" s="29" t="s">
        <v>340</v>
      </c>
      <c r="C111" s="96" t="s">
        <v>9</v>
      </c>
      <c r="D111" s="29" t="s">
        <v>78</v>
      </c>
      <c r="E111" s="29" t="s">
        <v>74</v>
      </c>
      <c r="F111" s="29" t="s">
        <v>77</v>
      </c>
      <c r="G111" s="29" t="s">
        <v>75</v>
      </c>
      <c r="H111" s="29" t="s">
        <v>76</v>
      </c>
    </row>
    <row r="112" spans="1:8" x14ac:dyDescent="0.25">
      <c r="A112" s="39" t="s">
        <v>196</v>
      </c>
      <c r="B112" s="39" t="s">
        <v>84</v>
      </c>
      <c r="C112" s="39" t="s">
        <v>337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339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338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193</v>
      </c>
      <c r="B115" s="39" t="s">
        <v>207</v>
      </c>
      <c r="C115" s="39" t="s">
        <v>337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338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3</v>
      </c>
      <c r="C117" s="39" t="s">
        <v>337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338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184</v>
      </c>
      <c r="B119" s="39" t="s">
        <v>207</v>
      </c>
      <c r="C119" s="39" t="s">
        <v>337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338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3</v>
      </c>
      <c r="C121" s="39" t="s">
        <v>337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338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204</v>
      </c>
      <c r="B123" s="39" t="s">
        <v>207</v>
      </c>
      <c r="C123" s="39" t="s">
        <v>337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338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3</v>
      </c>
      <c r="C125" s="39" t="s">
        <v>337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338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167</v>
      </c>
      <c r="B127" s="39" t="s">
        <v>207</v>
      </c>
      <c r="C127" s="39" t="s">
        <v>337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338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3</v>
      </c>
      <c r="C129" s="39" t="s">
        <v>337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338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0.19126197969113667</v>
      </c>
      <c r="G130" s="104">
        <f>MIN(MAX(1-0.8/(1-frac_mam_12_23months+(frac_mam_12_23months*0.8)),0),1)</f>
        <v>0.19313393967166625</v>
      </c>
      <c r="H130" s="104">
        <f>MIN(MAX(1-0.8/(1-frac_mam_24_59months+(frac_mam_24_59months*0.8)),0),1)</f>
        <v>0.19641106564514077</v>
      </c>
    </row>
    <row r="131" spans="1:8" x14ac:dyDescent="0.25">
      <c r="A131" s="39" t="s">
        <v>173</v>
      </c>
      <c r="B131" s="39" t="s">
        <v>92</v>
      </c>
      <c r="C131" s="39" t="s">
        <v>337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339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171</v>
      </c>
      <c r="B133" s="39" t="s">
        <v>92</v>
      </c>
      <c r="C133" s="39" t="s">
        <v>337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339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172</v>
      </c>
      <c r="B135" s="39" t="s">
        <v>92</v>
      </c>
      <c r="C135" s="39" t="s">
        <v>337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339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200</v>
      </c>
      <c r="B137" s="39" t="s">
        <v>84</v>
      </c>
      <c r="C137" s="39" t="s">
        <v>337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339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338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201</v>
      </c>
      <c r="B140" s="39" t="s">
        <v>84</v>
      </c>
      <c r="C140" s="39" t="s">
        <v>337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339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338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199</v>
      </c>
      <c r="B143" s="39" t="s">
        <v>84</v>
      </c>
      <c r="C143" s="39" t="s">
        <v>337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339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338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198</v>
      </c>
      <c r="B146" s="39" t="s">
        <v>84</v>
      </c>
      <c r="C146" s="39" t="s">
        <v>337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339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338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197</v>
      </c>
      <c r="B149" s="39" t="s">
        <v>84</v>
      </c>
      <c r="C149" s="39" t="s">
        <v>337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339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338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203</v>
      </c>
      <c r="B152" s="39" t="s">
        <v>84</v>
      </c>
      <c r="C152" s="39" t="s">
        <v>337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339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338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102</v>
      </c>
      <c r="C155" s="39" t="s">
        <v>337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339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338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192</v>
      </c>
      <c r="B158" s="39" t="s">
        <v>84</v>
      </c>
      <c r="C158" s="39" t="s">
        <v>337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339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202</v>
      </c>
      <c r="B160" s="39" t="s">
        <v>84</v>
      </c>
      <c r="C160" s="39" t="s">
        <v>337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339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182</v>
      </c>
      <c r="B162" s="39" t="s">
        <v>96</v>
      </c>
      <c r="C162" s="39" t="s">
        <v>337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339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ESadyh++3SYXTubkO5ZLCm9KANoyCtVsgOP0x0BnQZ7ZRGBUqYpAgYWk3smmRyYLw0rZA3dQXOJebhwZE2MlfQ==" saltValue="GY9hox57K88dtvHagqGdh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163</v>
      </c>
      <c r="B1" s="41" t="s">
        <v>340</v>
      </c>
      <c r="C1" s="41"/>
      <c r="D1" s="29" t="s">
        <v>113</v>
      </c>
      <c r="E1" s="29" t="s">
        <v>114</v>
      </c>
      <c r="F1" s="29" t="s">
        <v>115</v>
      </c>
      <c r="G1" s="29" t="s">
        <v>116</v>
      </c>
      <c r="H1" s="29"/>
    </row>
    <row r="2" spans="1:8" x14ac:dyDescent="0.25">
      <c r="A2" s="31" t="s">
        <v>166</v>
      </c>
      <c r="B2" s="27" t="s">
        <v>86</v>
      </c>
      <c r="C2" s="31" t="s">
        <v>337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339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189</v>
      </c>
      <c r="B4" s="27" t="s">
        <v>86</v>
      </c>
      <c r="C4" s="31" t="s">
        <v>337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339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188</v>
      </c>
      <c r="B6" s="27" t="s">
        <v>86</v>
      </c>
      <c r="C6" s="31" t="s">
        <v>337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339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329</v>
      </c>
    </row>
    <row r="10" spans="1:8" ht="13" x14ac:dyDescent="0.3">
      <c r="A10" s="41" t="s">
        <v>163</v>
      </c>
      <c r="B10" s="41" t="s">
        <v>340</v>
      </c>
      <c r="C10" s="41"/>
      <c r="D10" s="29" t="s">
        <v>113</v>
      </c>
      <c r="E10" s="29" t="s">
        <v>114</v>
      </c>
      <c r="F10" s="29" t="s">
        <v>115</v>
      </c>
      <c r="G10" s="29" t="s">
        <v>116</v>
      </c>
    </row>
    <row r="11" spans="1:8" x14ac:dyDescent="0.25">
      <c r="A11" s="31" t="s">
        <v>166</v>
      </c>
      <c r="B11" s="27" t="s">
        <v>86</v>
      </c>
      <c r="C11" s="31" t="s">
        <v>337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339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189</v>
      </c>
      <c r="B13" s="27" t="s">
        <v>86</v>
      </c>
      <c r="C13" s="31" t="s">
        <v>337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339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188</v>
      </c>
      <c r="B15" s="27" t="s">
        <v>86</v>
      </c>
      <c r="C15" s="31" t="s">
        <v>337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339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336</v>
      </c>
    </row>
    <row r="19" spans="1:7" ht="13" x14ac:dyDescent="0.3">
      <c r="A19" s="41" t="s">
        <v>163</v>
      </c>
      <c r="B19" s="41" t="s">
        <v>340</v>
      </c>
      <c r="C19" s="41"/>
      <c r="D19" s="29" t="s">
        <v>113</v>
      </c>
      <c r="E19" s="29" t="s">
        <v>114</v>
      </c>
      <c r="F19" s="29" t="s">
        <v>115</v>
      </c>
      <c r="G19" s="29" t="s">
        <v>116</v>
      </c>
    </row>
    <row r="20" spans="1:7" x14ac:dyDescent="0.25">
      <c r="A20" s="31" t="s">
        <v>166</v>
      </c>
      <c r="B20" s="27" t="s">
        <v>86</v>
      </c>
      <c r="C20" s="31" t="s">
        <v>337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339</v>
      </c>
      <c r="D21" s="104">
        <v>0</v>
      </c>
      <c r="E21" s="104">
        <v>0</v>
      </c>
      <c r="F21" s="104">
        <v>0</v>
      </c>
      <c r="G21" s="104">
        <v>0</v>
      </c>
    </row>
    <row r="22" spans="1:7" x14ac:dyDescent="0.25">
      <c r="A22" s="31" t="s">
        <v>189</v>
      </c>
      <c r="B22" s="27" t="s">
        <v>86</v>
      </c>
      <c r="C22" s="31" t="s">
        <v>337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339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188</v>
      </c>
      <c r="B24" s="27" t="s">
        <v>86</v>
      </c>
      <c r="C24" s="31" t="s">
        <v>337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339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N4Ix/uP/v0yOGDyKPpLvummhYR6+cXVvf9IxnTqRdsIB2tUD7yf2MAcJ5udvEF91VLO6Al7pf5G633aywq9yGw==" saltValue="qhlPibfI6A0KyyA6akhAs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2024-08-06T07:10:13Z</dcterms:modified>
</cp:coreProperties>
</file>