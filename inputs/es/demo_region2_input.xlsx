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"/>
    </mc:Choice>
  </mc:AlternateContent>
  <xr:revisionPtr revIDLastSave="0" documentId="13_ncr:1_{04B9EC3B-EA23-48CC-81B1-E26FCE2D8655}" xr6:coauthVersionLast="47" xr6:coauthVersionMax="47" xr10:uidLastSave="{00000000-0000-0000-0000-000000000000}"/>
  <bookViews>
    <workbookView xWindow="-110" yWindow="-110" windowWidth="19420" windowHeight="10420" tabRatio="904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4" r:id="rId3"/>
    <sheet name="Distribución estado nutricional" sheetId="5" r:id="rId4"/>
    <sheet name="Distribución de lactancia" sheetId="50" r:id="rId5"/>
    <sheet name="Tendencias temporales" sheetId="75" r:id="rId6"/>
    <sheet name="Variables económicas" sheetId="76" r:id="rId7"/>
    <sheet name="Paquetes de IYCF" sheetId="55" r:id="rId8"/>
    <sheet name="Tratamiento de la MAS" sheetId="60" r:id="rId9"/>
    <sheet name="Costo y cobertura del programa" sheetId="56" r:id="rId10"/>
    <sheet name="Dependencias del programa" sheetId="58" r:id="rId11"/>
    <sheet name="Programas de referencia" sheetId="59" state="hidden" r:id="rId12"/>
    <sheet name="Incidencia de las afecciones" sheetId="7" state="hidden" r:id="rId13"/>
    <sheet name="Población objetivo del programa" sheetId="21" state="hidden" r:id="rId14"/>
    <sheet name="Opciones de la curva de costos" sheetId="61" state="hidden" r:id="rId15"/>
    <sheet name="Prog. de planificación familiar" sheetId="54" state="hidden" r:id="rId16"/>
    <sheet name="Programas población afectada" sheetId="62" state="hidden" r:id="rId17"/>
    <sheet name="Riesgos que impacta programa" sheetId="63" state="hidden" r:id="rId18"/>
    <sheet name="Riegos para la población" sheetId="64" state="hidden" r:id="rId19"/>
    <sheet name="Razón de momios IYCF" sheetId="65" state="hidden" r:id="rId20"/>
    <sheet name="Riesgos desenlace de nacimiento" sheetId="66" state="hidden" r:id="rId21"/>
    <sheet name="Riesgos relativos" sheetId="67" state="hidden" r:id="rId22"/>
    <sheet name="Razón de momios" sheetId="68" state="hidden" r:id="rId23"/>
    <sheet name="Resultados de nacimiento- prog" sheetId="69" state="hidden" r:id="rId24"/>
    <sheet name="Programas de anemia" sheetId="70" state="hidden" r:id="rId25"/>
    <sheet name="Programas para emaciación" sheetId="71" state="hidden" r:id="rId26"/>
    <sheet name="Programas para niños" sheetId="72" state="hidden" r:id="rId27"/>
    <sheet name="Prog. para mujeres embarazadas" sheetId="73" state="hidden" r:id="rId28"/>
  </sheets>
  <externalReferences>
    <externalReference r:id="rId29"/>
  </externalReferences>
  <definedNames>
    <definedName name="_xlnm._FilterDatabase" localSheetId="20" hidden="1">'Riesgos desenlace de nacimiento'!$A$1:$F$7</definedName>
    <definedName name="abortion" localSheetId="7">'Entradas de población-año base'!$C$38</definedName>
    <definedName name="abortion" localSheetId="5">'[1]Baseline year population inputs'!$C$41</definedName>
    <definedName name="abortion" localSheetId="6">'[1]Baseline year population inputs'!$C$41</definedName>
    <definedName name="abortion">'Entradas de población-año base'!$C$41</definedName>
    <definedName name="comm_deliv" localSheetId="5">'[1]Treatment of SAM'!$D$3</definedName>
    <definedName name="comm_deliv" localSheetId="6">'[1]Treatment of SAM'!$D$3</definedName>
    <definedName name="comm_deliv">'Tratamiento de la MAS'!$D$3</definedName>
    <definedName name="diarrhoea_1_5mo" localSheetId="5">'[1]Baseline year population inputs'!$C$52</definedName>
    <definedName name="diarrhoea_1_5mo" localSheetId="6">'[1]Baseline year population inputs'!$C$52</definedName>
    <definedName name="diarrhoea_1_5mo">'Entradas de población-año base'!$C$52</definedName>
    <definedName name="diarrhoea_12_23mo" localSheetId="5">'[1]Baseline year population inputs'!$C$54</definedName>
    <definedName name="diarrhoea_12_23mo" localSheetId="6">'[1]Baseline year population inputs'!$C$54</definedName>
    <definedName name="diarrhoea_12_23mo">'Entradas de población-año base'!$C$54</definedName>
    <definedName name="diarrhoea_1mo" localSheetId="5">'[1]Baseline year population inputs'!$C$51</definedName>
    <definedName name="diarrhoea_1mo" localSheetId="6">'[1]Baseline year population inputs'!$C$51</definedName>
    <definedName name="diarrhoea_1mo">'Entradas de población-año base'!$C$51</definedName>
    <definedName name="diarrhoea_24_59mo" localSheetId="5">'[1]Baseline year population inputs'!$C$55</definedName>
    <definedName name="diarrhoea_24_59mo" localSheetId="6">'[1]Baseline year population inputs'!$C$55</definedName>
    <definedName name="diarrhoea_24_59mo">'Entradas de población-año base'!$C$55</definedName>
    <definedName name="diarrhoea_6_11mo" localSheetId="5">'[1]Baseline year population inputs'!$C$53</definedName>
    <definedName name="diarrhoea_6_11mo" localSheetId="6">'[1]Baseline year population inputs'!$C$53</definedName>
    <definedName name="diarrhoea_6_11mo">'Entradas de población-año base'!$C$53</definedName>
    <definedName name="end_year" localSheetId="5">'[1]Baseline year population inputs'!$C$4</definedName>
    <definedName name="end_year" localSheetId="6">'[1]Baseline year population inputs'!$C$4</definedName>
    <definedName name="end_year">'Entradas de población-año base'!$C$4</definedName>
    <definedName name="famplan_unmet_need" localSheetId="5">'[1]Baseline year population inputs'!$C$13</definedName>
    <definedName name="famplan_unmet_need" localSheetId="6">'[1]Baseline year population inputs'!$C$13</definedName>
    <definedName name="famplan_unmet_need">'Entradas de población-año base'!$C$13</definedName>
    <definedName name="food_insecure" localSheetId="5">'[1]Baseline year population inputs'!$C$8</definedName>
    <definedName name="food_insecure" localSheetId="6">'[1]Baseline year population inputs'!$C$8</definedName>
    <definedName name="food_insecure">'Entradas de población-año base'!$C$8</definedName>
    <definedName name="frac_children_health_facility" localSheetId="5">'[1]Baseline year population inputs'!$C$12</definedName>
    <definedName name="frac_children_health_facility" localSheetId="6">'[1]Baseline year population inputs'!$C$12</definedName>
    <definedName name="frac_children_health_facility">'Entradas de población-año base'!$C$12</definedName>
    <definedName name="frac_diarrhea_severe" localSheetId="5">'[1]Baseline year population inputs'!$C$58</definedName>
    <definedName name="frac_diarrhea_severe" localSheetId="6">'[1]Baseline year population inputs'!$C$58</definedName>
    <definedName name="frac_diarrhea_severe">'Entradas de población-año base'!$C$58</definedName>
    <definedName name="frac_maize" localSheetId="5">'[1]Baseline year population inputs'!$C$19</definedName>
    <definedName name="frac_maize" localSheetId="6">'[1]Baseline year population inputs'!$C$19</definedName>
    <definedName name="frac_maize">'Entradas de población-año base'!$C$19</definedName>
    <definedName name="frac_malaria_risk" localSheetId="5">'[1]Baseline year population inputs'!$C$9</definedName>
    <definedName name="frac_malaria_risk" localSheetId="6">'[1]Baseline year population inputs'!$C$9</definedName>
    <definedName name="frac_malaria_risk">'Entradas de población-año base'!$C$9</definedName>
    <definedName name="frac_mam_1_5months" localSheetId="5">'[1]Nutritional status distribution'!$D$10</definedName>
    <definedName name="frac_mam_1_5months" localSheetId="6">'[1]Nutritional status distribution'!$D$10</definedName>
    <definedName name="frac_mam_1_5months">'Distribución estado nutricional'!$D$10</definedName>
    <definedName name="frac_mam_12_23months" localSheetId="5">'[1]Nutritional status distribution'!$F$10</definedName>
    <definedName name="frac_mam_12_23months" localSheetId="6">'[1]Nutritional status distribution'!$F$10</definedName>
    <definedName name="frac_mam_12_23months">'Distribución estado nutricional'!$F$10</definedName>
    <definedName name="frac_mam_1month" localSheetId="5">'[1]Nutritional status distribution'!$C$10</definedName>
    <definedName name="frac_mam_1month" localSheetId="6">'[1]Nutritional status distribution'!$C$10</definedName>
    <definedName name="frac_mam_1month">'Distribución estado nutricional'!$C$10</definedName>
    <definedName name="frac_mam_24_59months" localSheetId="5">'[1]Nutritional status distribution'!$G$10</definedName>
    <definedName name="frac_mam_24_59months" localSheetId="6">'[1]Nutritional status distribution'!$G$10</definedName>
    <definedName name="frac_mam_24_59months">'Distribución estado nutricional'!$G$10</definedName>
    <definedName name="frac_mam_6_11months" localSheetId="5">'[1]Nutritional status distribution'!$E$10</definedName>
    <definedName name="frac_mam_6_11months" localSheetId="6">'[1]Nutritional status distribution'!$E$10</definedName>
    <definedName name="frac_mam_6_11months">'Distribución estado nutricional'!$E$10</definedName>
    <definedName name="frac_MAMtoSAM" localSheetId="5">'[1]Baseline year population inputs'!#REF!</definedName>
    <definedName name="frac_MAMtoSAM" localSheetId="6">'[1]Baseline year population inputs'!#REF!</definedName>
    <definedName name="frac_MAMtoSAM">'Entradas de población-año base'!#REF!</definedName>
    <definedName name="frac_other_staples">'Entradas de población-año base'!$C$20</definedName>
    <definedName name="frac_PW_health_facility" localSheetId="5">'[1]Baseline year population inputs'!$C$11</definedName>
    <definedName name="frac_PW_health_facility" localSheetId="6">'[1]Baseline year population inputs'!$C$11</definedName>
    <definedName name="frac_PW_health_facility">'Entradas de población-año base'!$C$11</definedName>
    <definedName name="frac_rice" localSheetId="5">'[1]Baseline year population inputs'!$C$17</definedName>
    <definedName name="frac_rice" localSheetId="6">'[1]Baseline year population inputs'!$C$17</definedName>
    <definedName name="frac_rice">'Entradas de población-año base'!$C$17</definedName>
    <definedName name="frac_sam_1_5months" localSheetId="5">'[1]Nutritional status distribution'!$D$11</definedName>
    <definedName name="frac_sam_1_5months" localSheetId="6">'[1]Nutritional status distribution'!$D$11</definedName>
    <definedName name="frac_sam_1_5months">'Distribución estado nutricional'!$D$11</definedName>
    <definedName name="frac_sam_12_23months" localSheetId="5">'[1]Nutritional status distribution'!$F$11</definedName>
    <definedName name="frac_sam_12_23months" localSheetId="6">'[1]Nutritional status distribution'!$F$11</definedName>
    <definedName name="frac_sam_12_23months">'Distribución estado nutricional'!$F$11</definedName>
    <definedName name="frac_sam_1month" localSheetId="5">'[1]Nutritional status distribution'!$C$11</definedName>
    <definedName name="frac_sam_1month" localSheetId="6">'[1]Nutritional status distribution'!$C$11</definedName>
    <definedName name="frac_sam_1month">'Distribución estado nutricional'!$C$11</definedName>
    <definedName name="frac_sam_24_59months" localSheetId="5">'[1]Nutritional status distribution'!$G$11</definedName>
    <definedName name="frac_sam_24_59months" localSheetId="6">'[1]Nutritional status distribution'!$G$11</definedName>
    <definedName name="frac_sam_24_59months">'Distribución estado nutricional'!$G$11</definedName>
    <definedName name="frac_sam_6_11months" localSheetId="5">'[1]Nutritional status distribution'!$E$11</definedName>
    <definedName name="frac_sam_6_11months" localSheetId="6">'[1]Nutritional status distribution'!$E$11</definedName>
    <definedName name="frac_sam_6_11months">'Distribución estado nutricional'!$E$11</definedName>
    <definedName name="frac_SAMtoMAM" localSheetId="5">'[1]Baseline year population inputs'!#REF!</definedName>
    <definedName name="frac_SAMtoMAM" localSheetId="6">'[1]Baseline year population inputs'!#REF!</definedName>
    <definedName name="frac_SAMtoMAM">'Entradas de población-año base'!#REF!</definedName>
    <definedName name="frac_subsistence_farming">'Entradas de población-año base'!$C$16</definedName>
    <definedName name="frac_wheat" localSheetId="5">'[1]Baseline year population inputs'!$C$18</definedName>
    <definedName name="frac_wheat" localSheetId="6">'[1]Baseline year population inputs'!$C$18</definedName>
    <definedName name="frac_wheat">'Entradas de población-año base'!$C$18</definedName>
    <definedName name="infant_mortality">'Entradas de población-año base'!$C$38</definedName>
    <definedName name="iron_deficiency_anaemia" localSheetId="5">'[1]Baseline year population inputs'!$C$59</definedName>
    <definedName name="iron_deficiency_anaemia" localSheetId="6">'[1]Baseline year population inputs'!$C$59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 localSheetId="5">'[1]Baseline year population inputs'!$C$46</definedName>
    <definedName name="preterm_AGA" localSheetId="6">'[1]Baseline year population inputs'!$C$46</definedName>
    <definedName name="preterm_AGA">'Entradas de población-año base'!$C$46</definedName>
    <definedName name="preterm_SGA" localSheetId="5">'[1]Baseline year population inputs'!$C$45</definedName>
    <definedName name="preterm_SGA" localSheetId="6">'[1]Baseline year population inputs'!$C$45</definedName>
    <definedName name="preterm_SGA">'Entradas de población-año base'!$C$45</definedName>
    <definedName name="school_attendance" localSheetId="5">'[1]Baseline year population inputs'!$C$10</definedName>
    <definedName name="school_attendance" localSheetId="6">'[1]Baseline year population inputs'!$C$10</definedName>
    <definedName name="school_attendance">'Entradas de población-año base'!$C$10</definedName>
    <definedName name="start_year" localSheetId="5">'[1]Baseline year population inputs'!$C$3</definedName>
    <definedName name="start_year" localSheetId="6">'[1]Baseline year population inputs'!$C$3</definedName>
    <definedName name="start_year">'Entradas de población-año base'!$C$3</definedName>
    <definedName name="stillbirth" localSheetId="7">'Entradas de población-año base'!$C$39</definedName>
    <definedName name="stillbirth" localSheetId="5">'[1]Baseline year population inputs'!$C$42</definedName>
    <definedName name="stillbirth" localSheetId="6">'[1]Baseline year population inputs'!$C$42</definedName>
    <definedName name="stillbirth">'Entradas de población-año base'!$C$42</definedName>
    <definedName name="term_AGA">'Entradas de población-año base'!$C$48</definedName>
    <definedName name="term_SGA" localSheetId="5">'[1]Baseline year population inputs'!$C$47</definedName>
    <definedName name="term_SGA" localSheetId="6">'[1]Baseline year population inputs'!$C$47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3" i="72"/>
  <c r="G153" i="72"/>
  <c r="F153" i="72"/>
  <c r="E153" i="72"/>
  <c r="D153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G112" i="72"/>
  <c r="E112" i="72"/>
  <c r="D112" i="72"/>
  <c r="H97" i="72"/>
  <c r="H152" i="72" s="1"/>
  <c r="G97" i="72"/>
  <c r="G152" i="72" s="1"/>
  <c r="F97" i="72"/>
  <c r="F152" i="72" s="1"/>
  <c r="E97" i="72"/>
  <c r="E152" i="72" s="1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H112" i="72" s="1"/>
  <c r="G57" i="72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3B583BF4-0EF6-4900-A9DE-A70CE96445F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DB26C487-C236-4843-BCC9-67811F7468CB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952BB287-57C9-47D6-9337-3B520ADF068D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C47538FA-20F3-4291-98F5-556B265A765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D770E6AC-5175-4560-B670-91F17DB9343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F473B3C0-710C-4186-8DEB-68FEF90CA8E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D20C7F37-E201-4045-9252-6C02D218CAE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F792B940-DBED-4508-BE34-C9E3EC63357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3C6321E6-3445-47EC-A207-3F624F0E6D4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ABE3370-C1FA-4290-A444-5106D396280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E613B17F-28D4-452E-8251-EB5545E21C1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250DAAAE-B921-4E5D-93A4-C8559F1C65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C692F5BC-9242-4398-875F-EFB21EC9891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97A60E98-20A4-4C1D-A096-A7A88B61E6E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B7A62F8F-C655-44DF-92C3-311B9FF08BF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877EEFE7-CF37-4AB8-8125-034C9E25DF8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920D6387-A5A2-4EB0-B763-3746954F1DC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110B8BCC-A18F-4482-9706-214A33C1D035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9311E7C8-6DF9-441C-9F8D-E21702435127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77FA98D7-61BE-429E-A5AA-42800724304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93CC1998-BFB8-4B62-BCB5-E1BBBACE683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EF338D2F-A208-4CE3-B808-8AC74AF8E5E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CAAEA887-57C5-43F3-9495-1DEB3D5679A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135FFD5-224E-44D6-89F4-8E19B3F269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87D42A2-DDA0-4EED-96A0-F816CA261B2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26E7E445-DC62-4BD8-9BA3-94D1A3A915F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288E52AB-6BF7-4AAB-9108-064316FD5C9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4799CEDE-3E07-4F5C-A7FD-D476484E84E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8393718F-9D1E-4E53-BC37-5F6B053D0601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AAB9CB4B-0B96-4D0C-83ED-BB195F323ED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D95C0DFF-F126-4A4C-9069-F298BF3D5946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B5844301-F8EC-4F3A-9817-196B9209D97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8686E6B8-3CF0-48DD-94B5-57FC95305DF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C0D7BB50-1552-4541-B85E-2A739302DB3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22CC649A-F611-4A6F-B169-34E4FCE004E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70F384F-6483-4AC9-B7ED-38B4F2DDA14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D9E9C5B2-783C-4AF8-B771-863C5ACC6AC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5DCCDA08-9FDA-4BEA-A37F-1CAF7C50C05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87CE9237-E7B9-4256-B0F4-6398C8974F6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EF251290-B9E3-4088-98E7-8E0EE3F6438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F831ED86-2646-4AD8-91A7-5E7B52E7541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7A6102BC-F1AA-426A-9F94-322B5CF717C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15DD3F71-E83E-420A-A0B2-E33077CAC16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86C0A37B-7F6B-4635-AB9E-E73E6F45A238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D0AA5939-B07B-454D-93E1-5439F3EF0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A2526AAA-C8D4-4BC4-B08F-A93419C9A86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ED88F435-71AC-4D5D-A328-7673C102E0C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A7B2D29D-5B87-412D-8065-663376F457D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BD15B3BB-7B50-4253-82FE-9DEF1EEBAC5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E2E384F1-E5BF-4AF5-B4AB-048D4F77BBD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D4213AC5-2500-4F01-B3FC-2F4D8787D3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3607F6EA-97FE-48B6-AFFB-F689044AA3C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5D8A957C-01EA-4249-B9A1-69B9F32F608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412926CC-5A0B-457A-8988-74ABB8BCE8A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44BEB1FC-80EA-40A2-A377-0E76FBE8C2D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6F468163-C302-40D7-9F7C-D271694799E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CED83395-DD57-4867-AD1D-3D938938DD9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5642B808-E3E5-41D6-B03D-93D57C960EFD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42CAAA7-648F-4928-8B52-16C52C1CB9F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9BA6A879-065C-4211-B29E-6899A259625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565D6423-01E0-47AE-A062-7832C4E375C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A2040727-4AFC-4417-8173-7FB0863C5CB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6AA85311-F8C0-49FB-8E21-7376530BDE9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3374B95E-CE9A-4D2E-9C9D-BFBA7E40C0B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2F6B7874-ED49-4990-8F59-FA104F498AC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9281230B-7F13-4BF3-A15E-5C91DC580EB9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265BA4C5-B482-4466-9EE5-DE8BF4B0517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31729F40-4AEA-4429-AE4C-44E7C56D5A0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40FCD69E-E273-45F9-AD9C-D85ADC8881D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574F8A5E-D331-4E39-AF86-D500131B6BD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D8C1EC10-412B-4103-8C9F-F26240D6EA9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623E9F4-682F-42D6-BB68-F47E7264F4A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35D28F66-4ED6-4803-A236-4854CEC5642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1B9AA6C2-E8E3-42A6-8C99-E7CB524687D7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75F6BF46-ED4F-4722-B92B-9CA93DEC07A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23D5BD1C-E21E-484D-B255-C1DFA4048ED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1AF8F7AB-5D3C-4F8F-B525-26B90329753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E259BDDF-039F-45BC-9F58-6D46E98C981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3106F71E-119F-491A-8533-0339B6FF1A5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E2C10219-0353-498A-A3D2-FF6CC21449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A7D9DA6B-332D-41A5-84EC-DD96731D452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6B6B8972-68C2-42CC-B8BF-FA49C3091C8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DEBAE134-2B56-4018-A42F-24680B56D64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23DD1570-2BBD-4337-B53F-9F651BBDEFF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BAD62E7A-3F80-48DF-B0D5-DDED4DF5386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35FB1CFC-F274-4B88-906F-154D53F8CB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7AC31835-F6B4-4D56-B100-048A495E78F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48D4A664-87D5-4D1F-B8F7-E15EFB01A5C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8846AEC1-EB5A-4BE7-BCF6-04754BF8305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2B2BADA3-43AE-4E0C-8AB8-9039C5E80A0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36540EE3-5D09-4E35-B1C8-1ECD214C475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780B86AF-212A-4888-BB06-B31872654F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6A58E3BA-ABDD-4DF7-80BD-49A331A247C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9DD7F15B-9294-49B7-9959-F2D5E8EEFBF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33668BAB-AEDA-46A5-B6D9-E02930970AB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DA4B34E5-4F18-4451-8CD9-C426C43A25E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3014986A-A482-4CFA-AD26-BF3706F3E89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75E7F49B-310A-447A-8ADF-EF511931023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E164CB8D-3C40-4D8A-84A8-3F8A07364EF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BB0B4186-80E5-4EEC-96AB-DB35514465A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E0C637E4-020C-4C67-AC99-39A5E8CA7CB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D1456B7B-6C16-4BA5-8D14-3EF959BCB09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70887060-8F15-4389-BEF3-44B3C31D441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E956E280-885D-43E2-8987-C6EECC5CA37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5169C578-9E37-44F7-8D68-EFE6C44320E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88882124-535A-47B0-A04F-4D7A84CA19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478BDF9-30D0-45EA-884D-3922C12787E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DA315D78-6983-47D7-AE51-1D117C78E1D2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F7F565BF-40D4-477B-BA08-889762E1B1E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DB71F7C1-336A-45E3-963D-847FA568D41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522309E7-7A0B-472F-8064-C29F3FB505F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B3735AF6-982F-47B2-BE1D-6FBBB633F3F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55CC32A9-C242-413D-95ED-5A78B821B34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AC7BB7EF-7B75-412F-8492-B76564E0C14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28DD649B-C821-4AD3-A0FD-07992B1C0C3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B37653CB-E528-4EB3-A892-BEED4F97192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D81352B8-E49B-4ED4-9260-068FE9EA87A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C81B46EA-4AE6-426F-8E29-6687826CD7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2A5DAA9E-044F-4BC1-9CC5-853C778F0A5D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2FDE9FF6-3094-4FF5-9705-AC05C2A21CF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34C2D730-9539-4A84-8FB9-60449CC1C9F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1CBE3B8E-0A71-484E-8AB5-2E4A9737E41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C9BE8D4E-F1CF-450A-9F7F-FE3A76054555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CE13D13D-74D4-4C89-9F75-91B5D8538FE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252912B5-BBAA-4AE9-8277-3A1466458B1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3E59560A-0C84-48D7-852B-E82392F25AC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DB3A1C43-FFBD-4811-96DB-7411C396D24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96EC8E96-7B87-4BE6-B2FB-A3593F86942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DD5F88FD-E3D2-4EFC-8913-98A6325A2F9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5BB9A2A7-6CE4-4189-BE50-9DCBB089C59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157AB19B-CD3A-4FD7-B3E7-DAD07F11858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18E70A7-45A0-46D3-B6EA-DEF79DD16FB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BE34538E-8418-421B-95F3-555ADE6D22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A119FDE3-73FC-49AA-961D-75632DF59D6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A49858A8-A08E-4899-AB2B-CDA800BD9C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3E200C1B-B72C-4241-BAA2-2E363086D18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4A1C8AC9-D54D-429B-ADAB-B3734C83BE2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3BB8C26D-459A-4072-9E89-696F518731B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1C6E857F-6C5D-4FD4-9EE4-2F09705C761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8287F70E-A738-4D8A-881F-7D338A40EC3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14C8729-0CF6-41A9-8D99-FF6BB2C4394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D354A556-8714-4D21-80ED-1573194C767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485A1108-54DB-42E3-A6F2-C5940A4806C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3EB095CD-A559-42E4-98B4-7A881E399DE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B93A0BBF-6FEC-42F4-8430-29B5F3F939E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8E450807-067F-4B57-B220-14D51887F2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AD46B5B9-39B8-4156-847F-4FF3309E3C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E43BA91C-6EAB-4A12-AFB0-A40BD4601DD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D3FC5AB3-B8D4-487D-B89B-06521004E67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51C19B28-3606-4A3C-AE28-9BB4EA3F06E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C9E9A396-CD69-464D-9C3D-544305C89BC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992C4CD7-8C10-4363-A95D-2D8B1512073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<sst xmlns="http://schemas.openxmlformats.org/spreadsheetml/2006/main" count="2153" uniqueCount="372">
  <si>
    <t>Meningitis</t>
  </si>
  <si>
    <t>Malaria</t>
  </si>
  <si>
    <t>Sepsis</t>
  </si>
  <si>
    <t>MAM</t>
  </si>
  <si>
    <t>Field</t>
  </si>
  <si>
    <t>x</t>
  </si>
  <si>
    <t>Neonatal</t>
  </si>
  <si>
    <t>Normal</t>
  </si>
  <si>
    <t>N/A</t>
  </si>
  <si>
    <t>Outcome</t>
  </si>
  <si>
    <t>Value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</si>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</sst>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38</v>
      </c>
      <c r="B1" s="30" t="s">
        <v>4</v>
      </c>
      <c r="C1" s="30" t="s">
        <v>43</v>
      </c>
    </row>
    <row r="2" spans="1:3" ht="16" customHeight="1" x14ac:dyDescent="0.3">
      <c r="A2" s="8" t="s">
        <v>74</v>
      </c>
      <c r="B2" s="30"/>
      <c r="C2" s="30"/>
    </row>
    <row r="3" spans="1:3" ht="16" customHeight="1" x14ac:dyDescent="0.3">
      <c r="A3" s="1"/>
      <c r="B3" s="5" t="s">
        <v>37</v>
      </c>
      <c r="C3" s="48">
        <v>2017</v>
      </c>
    </row>
    <row r="4" spans="1:3" ht="16" customHeight="1" x14ac:dyDescent="0.3">
      <c r="A4" s="1"/>
      <c r="B4" s="5" t="s">
        <v>45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50">
        <v>9862402</v>
      </c>
    </row>
    <row r="8" spans="1:3" ht="15" customHeight="1" x14ac:dyDescent="0.25">
      <c r="B8" s="5" t="s">
        <v>63</v>
      </c>
      <c r="C8" s="51">
        <v>0.28199999999999997</v>
      </c>
    </row>
    <row r="9" spans="1:3" ht="15" customHeight="1" x14ac:dyDescent="0.25">
      <c r="B9" s="5" t="s">
        <v>62</v>
      </c>
      <c r="C9" s="52">
        <v>1</v>
      </c>
    </row>
    <row r="10" spans="1:3" ht="15" customHeight="1" x14ac:dyDescent="0.25">
      <c r="B10" s="5" t="s">
        <v>75</v>
      </c>
      <c r="C10" s="52">
        <v>0.23</v>
      </c>
    </row>
    <row r="11" spans="1:3" ht="15" customHeight="1" x14ac:dyDescent="0.25">
      <c r="B11" s="5" t="s">
        <v>68</v>
      </c>
      <c r="C11" s="51">
        <v>0.51</v>
      </c>
    </row>
    <row r="12" spans="1:3" ht="15" customHeight="1" x14ac:dyDescent="0.25">
      <c r="B12" s="5" t="s">
        <v>60</v>
      </c>
      <c r="C12" s="51">
        <v>0.37</v>
      </c>
    </row>
    <row r="13" spans="1:3" ht="15" customHeight="1" x14ac:dyDescent="0.25">
      <c r="B13" s="5" t="s">
        <v>81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52">
        <v>0.3</v>
      </c>
    </row>
    <row r="17" spans="1:3" ht="15" customHeight="1" x14ac:dyDescent="0.25">
      <c r="B17" s="5" t="s">
        <v>49</v>
      </c>
      <c r="C17" s="52">
        <v>0.1</v>
      </c>
    </row>
    <row r="18" spans="1:3" ht="15" customHeight="1" x14ac:dyDescent="0.25">
      <c r="B18" s="5" t="s">
        <v>50</v>
      </c>
      <c r="C18" s="52">
        <v>0.1</v>
      </c>
    </row>
    <row r="19" spans="1:3" ht="15" customHeight="1" x14ac:dyDescent="0.25">
      <c r="B19" s="5" t="s">
        <v>48</v>
      </c>
      <c r="C19" s="52">
        <v>0.8</v>
      </c>
    </row>
    <row r="20" spans="1:3" ht="15" customHeight="1" x14ac:dyDescent="0.25">
      <c r="B20" s="5" t="s">
        <v>53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52">
        <v>0.127</v>
      </c>
    </row>
    <row r="24" spans="1:3" ht="15" customHeight="1" x14ac:dyDescent="0.25">
      <c r="B24" s="15" t="s">
        <v>65</v>
      </c>
      <c r="C24" s="52">
        <v>0.45200000000000001</v>
      </c>
    </row>
    <row r="25" spans="1:3" ht="15" customHeight="1" x14ac:dyDescent="0.25">
      <c r="B25" s="15" t="s">
        <v>66</v>
      </c>
      <c r="C25" s="52">
        <v>0.33400000000000002</v>
      </c>
    </row>
    <row r="26" spans="1:3" ht="15" customHeight="1" x14ac:dyDescent="0.25">
      <c r="B26" s="15" t="s">
        <v>67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4" t="s">
        <v>46</v>
      </c>
      <c r="C29" s="53">
        <v>0.20799999999999999</v>
      </c>
    </row>
    <row r="30" spans="1:3" ht="14.25" customHeight="1" x14ac:dyDescent="0.25">
      <c r="B30" s="24" t="s">
        <v>82</v>
      </c>
      <c r="C30" s="53">
        <v>0.63700000000000001</v>
      </c>
    </row>
    <row r="31" spans="1:3" ht="14.25" customHeight="1" x14ac:dyDescent="0.25">
      <c r="B31" s="24" t="s">
        <v>29</v>
      </c>
      <c r="C31" s="53">
        <v>0.11899999999999999</v>
      </c>
    </row>
    <row r="32" spans="1:3" ht="14.25" customHeight="1" x14ac:dyDescent="0.25">
      <c r="B32" s="24" t="s">
        <v>30</v>
      </c>
      <c r="C32" s="53">
        <v>3.5999999999999997E-2</v>
      </c>
    </row>
    <row r="33" spans="1:5" ht="13" x14ac:dyDescent="0.25">
      <c r="B33" s="26" t="s">
        <v>79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54">
        <v>25</v>
      </c>
    </row>
    <row r="38" spans="1:5" ht="15" customHeight="1" x14ac:dyDescent="0.25">
      <c r="B38" s="11" t="s">
        <v>54</v>
      </c>
      <c r="C38" s="54">
        <v>43</v>
      </c>
      <c r="D38" s="12"/>
      <c r="E38" s="13"/>
    </row>
    <row r="39" spans="1:5" ht="15" customHeight="1" x14ac:dyDescent="0.25">
      <c r="B39" s="11" t="s">
        <v>80</v>
      </c>
      <c r="C39" s="54">
        <v>67</v>
      </c>
      <c r="D39" s="12"/>
      <c r="E39" s="12"/>
    </row>
    <row r="40" spans="1:5" ht="15" customHeight="1" x14ac:dyDescent="0.25">
      <c r="B40" s="11" t="s">
        <v>55</v>
      </c>
      <c r="C40" s="54">
        <v>4.01</v>
      </c>
    </row>
    <row r="41" spans="1:5" ht="15" customHeight="1" x14ac:dyDescent="0.25">
      <c r="B41" s="11" t="s">
        <v>51</v>
      </c>
      <c r="C41" s="52">
        <v>0.13</v>
      </c>
    </row>
    <row r="42" spans="1:5" ht="15" customHeight="1" x14ac:dyDescent="0.25">
      <c r="B42" s="11" t="s">
        <v>76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52">
        <v>3.1E-2</v>
      </c>
      <c r="D45" s="12"/>
    </row>
    <row r="46" spans="1:5" ht="15.75" customHeight="1" x14ac:dyDescent="0.25">
      <c r="B46" s="11" t="s">
        <v>70</v>
      </c>
      <c r="C46" s="52">
        <v>0.109</v>
      </c>
      <c r="D46" s="12"/>
    </row>
    <row r="47" spans="1:5" ht="15.75" customHeight="1" x14ac:dyDescent="0.25">
      <c r="B47" s="11" t="s">
        <v>78</v>
      </c>
      <c r="C47" s="52">
        <v>0.36499999999999999</v>
      </c>
      <c r="D47" s="12"/>
      <c r="E47" s="13"/>
    </row>
    <row r="48" spans="1:5" ht="15" customHeight="1" x14ac:dyDescent="0.25">
      <c r="B48" s="11" t="s">
        <v>77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55">
        <v>1.66</v>
      </c>
      <c r="D51" s="12"/>
    </row>
    <row r="52" spans="1:4" ht="15" customHeight="1" x14ac:dyDescent="0.25">
      <c r="B52" s="11" t="s">
        <v>32</v>
      </c>
      <c r="C52" s="55">
        <v>1.66</v>
      </c>
    </row>
    <row r="53" spans="1:4" ht="15.75" customHeight="1" x14ac:dyDescent="0.25">
      <c r="B53" s="11" t="s">
        <v>35</v>
      </c>
      <c r="C53" s="55">
        <v>5.64</v>
      </c>
    </row>
    <row r="54" spans="1:4" ht="15.75" customHeight="1" x14ac:dyDescent="0.25">
      <c r="B54" s="11" t="s">
        <v>33</v>
      </c>
      <c r="C54" s="55">
        <v>5.43</v>
      </c>
    </row>
    <row r="55" spans="1:4" ht="15.75" customHeight="1" x14ac:dyDescent="0.25">
      <c r="B55" s="11" t="s">
        <v>34</v>
      </c>
      <c r="C55" s="55">
        <v>1.91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51">
        <v>0.2</v>
      </c>
    </row>
    <row r="59" spans="1:4" ht="15.75" customHeight="1" x14ac:dyDescent="0.25">
      <c r="B59" s="11" t="s">
        <v>59</v>
      </c>
      <c r="C59" s="51">
        <v>0.42</v>
      </c>
    </row>
    <row r="60" spans="1:4" ht="15.75" customHeight="1" x14ac:dyDescent="0.25">
      <c r="B60" s="11" t="s">
        <v>73</v>
      </c>
      <c r="C60" s="51">
        <v>4.5999999999999999E-2</v>
      </c>
    </row>
    <row r="61" spans="1:4" ht="15.75" customHeight="1" x14ac:dyDescent="0.25">
      <c r="B61" s="11" t="s">
        <v>72</v>
      </c>
      <c r="C61" s="51">
        <v>1.4E-2</v>
      </c>
    </row>
    <row r="62" spans="1:4" ht="15.75" customHeight="1" x14ac:dyDescent="0.25">
      <c r="B62" s="11" t="s">
        <v>83</v>
      </c>
      <c r="C62" s="51">
        <v>0.02</v>
      </c>
    </row>
    <row r="63" spans="1:4" ht="15.75" customHeight="1" x14ac:dyDescent="0.3">
      <c r="A63" s="4"/>
    </row>
  </sheetData>
  <sheetProtection algorithmName="SHA-512" hashValue="1hS1yZpZmIxhIk/MmOI+HMxDxkMJ+vnENA7xwNomgK9S1kdrWbsW75azMAm8Dx8MnV4zHhkJ8jmYLhQEzSrhhQ==" saltValue="UDoeewTbEPPuzh4V1vtbHg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xNjn2RUBLBncfaUP6Xb7Z2L4k5/P2+11Q9NFjyWwLYj4wjHPUVnmx23eMu/6fqWuWpcbpKKGIWc5yNk4CSPIIg==" saltValue="a1G8tasFmu/NEBc6Dgcjd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(2017) atribuible a la causa</v>
      </c>
      <c r="B1" s="30"/>
      <c r="C1" s="30"/>
      <c r="D1" s="30"/>
      <c r="E1" s="30"/>
      <c r="F1" s="30"/>
    </row>
    <row r="2" spans="1:8" ht="27.75" customHeight="1" x14ac:dyDescent="0.3">
      <c r="A2" t="s">
        <v>6</v>
      </c>
      <c r="B2" s="30" t="s">
        <v>101</v>
      </c>
      <c r="C2" s="30" t="s">
        <v>97</v>
      </c>
      <c r="D2" s="30"/>
      <c r="E2" s="30"/>
      <c r="F2" s="30"/>
      <c r="G2" s="30"/>
    </row>
    <row r="3" spans="1:8" ht="15.75" customHeight="1" x14ac:dyDescent="0.25">
      <c r="B3" s="19" t="s">
        <v>112</v>
      </c>
      <c r="C3" s="58">
        <v>2.7000000000000001E-3</v>
      </c>
    </row>
    <row r="4" spans="1:8" ht="15.75" customHeight="1" x14ac:dyDescent="0.25">
      <c r="B4" s="19" t="s">
        <v>116</v>
      </c>
      <c r="C4" s="58">
        <v>0.1966</v>
      </c>
    </row>
    <row r="5" spans="1:8" ht="15.75" customHeight="1" x14ac:dyDescent="0.25">
      <c r="B5" s="19" t="s">
        <v>114</v>
      </c>
      <c r="C5" s="58">
        <v>6.2100000000000002E-2</v>
      </c>
    </row>
    <row r="6" spans="1:8" ht="15.75" customHeight="1" x14ac:dyDescent="0.25">
      <c r="B6" s="19" t="s">
        <v>110</v>
      </c>
      <c r="C6" s="58">
        <v>0.29289999999999999</v>
      </c>
    </row>
    <row r="7" spans="1:8" ht="15.75" customHeight="1" x14ac:dyDescent="0.25">
      <c r="B7" s="19" t="s">
        <v>115</v>
      </c>
      <c r="C7" s="58">
        <v>0.24709999999999999</v>
      </c>
    </row>
    <row r="8" spans="1:8" ht="15.75" customHeight="1" x14ac:dyDescent="0.25">
      <c r="B8" s="19" t="s">
        <v>117</v>
      </c>
      <c r="C8" s="58">
        <v>4.7999999999999996E-3</v>
      </c>
    </row>
    <row r="9" spans="1:8" ht="15.75" customHeight="1" x14ac:dyDescent="0.25">
      <c r="B9" s="19" t="s">
        <v>111</v>
      </c>
      <c r="C9" s="58">
        <v>0.13200000000000001</v>
      </c>
    </row>
    <row r="10" spans="1:8" ht="15.75" customHeight="1" x14ac:dyDescent="0.25">
      <c r="B10" s="19" t="s">
        <v>113</v>
      </c>
      <c r="C10" s="58">
        <v>6.1800000000000001E-2</v>
      </c>
    </row>
    <row r="11" spans="1:8" ht="15.75" customHeight="1" x14ac:dyDescent="0.25">
      <c r="B11" s="26" t="s">
        <v>79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30" t="s">
        <v>101</v>
      </c>
      <c r="C13" s="18" t="s">
        <v>93</v>
      </c>
      <c r="D13" s="18" t="s">
        <v>96</v>
      </c>
      <c r="E13" s="18" t="s">
        <v>94</v>
      </c>
      <c r="F13" s="18" t="s">
        <v>95</v>
      </c>
      <c r="G13" s="19"/>
    </row>
    <row r="14" spans="1:8" ht="15.75" customHeight="1" x14ac:dyDescent="0.25">
      <c r="B14" s="19" t="s">
        <v>103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121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0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109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98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107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118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79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30" t="s">
        <v>101</v>
      </c>
      <c r="C25" s="30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8">
        <v>0.10082724000000001</v>
      </c>
    </row>
    <row r="27" spans="1:8" ht="15.75" customHeight="1" x14ac:dyDescent="0.25">
      <c r="B27" s="19" t="s">
        <v>108</v>
      </c>
      <c r="C27" s="58">
        <v>3.1206000000000002E-4</v>
      </c>
    </row>
    <row r="28" spans="1:8" ht="15.75" customHeight="1" x14ac:dyDescent="0.25">
      <c r="B28" s="19" t="s">
        <v>122</v>
      </c>
      <c r="C28" s="58">
        <v>0.15891214000000001</v>
      </c>
    </row>
    <row r="29" spans="1:8" ht="15.75" customHeight="1" x14ac:dyDescent="0.25">
      <c r="B29" s="19" t="s">
        <v>105</v>
      </c>
      <c r="C29" s="58">
        <v>0.12598688999999999</v>
      </c>
    </row>
    <row r="30" spans="1:8" ht="15.75" customHeight="1" x14ac:dyDescent="0.25">
      <c r="B30" s="19" t="s">
        <v>2</v>
      </c>
      <c r="C30" s="58">
        <v>0.12434007</v>
      </c>
    </row>
    <row r="31" spans="1:8" ht="15.75" customHeight="1" x14ac:dyDescent="0.25">
      <c r="B31" s="19" t="s">
        <v>99</v>
      </c>
      <c r="C31" s="58">
        <v>3.9028409999999999E-2</v>
      </c>
    </row>
    <row r="32" spans="1:8" ht="15.75" customHeight="1" x14ac:dyDescent="0.25">
      <c r="B32" s="19" t="s">
        <v>104</v>
      </c>
      <c r="C32" s="58">
        <v>8.5254999999999999E-4</v>
      </c>
    </row>
    <row r="33" spans="2:3" ht="15.75" customHeight="1" x14ac:dyDescent="0.25">
      <c r="B33" s="19" t="s">
        <v>119</v>
      </c>
      <c r="C33" s="58">
        <v>6.8467810000000004E-2</v>
      </c>
    </row>
    <row r="34" spans="2:3" ht="15.75" customHeight="1" x14ac:dyDescent="0.25">
      <c r="B34" s="19" t="s">
        <v>106</v>
      </c>
      <c r="C34" s="58">
        <v>0.38127283000000001</v>
      </c>
    </row>
    <row r="35" spans="2:3" ht="15.75" customHeight="1" x14ac:dyDescent="0.25">
      <c r="B35" s="26" t="s">
        <v>79</v>
      </c>
      <c r="C35" s="112">
        <f>SUM(C26:C34)</f>
        <v>1</v>
      </c>
    </row>
  </sheetData>
  <sheetProtection algorithmName="SHA-512" hashValue="S8IkeNADjOL+tGfOFDxY/2S5D38KM/U5c9u6LJPm0GnvTviuHlMjp3ave8mQwbeebmGc5YrAFCdRrmt5hwBRpA==" saltValue="mk/KEKqs6/zH+VpDDHJFPQ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5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(2017)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113">
        <f>IFERROR(1-_xlfn.NORM.DIST(_xlfn.NORM.INV(SUM(C4:C5), 0, 1) + 1, 0, 1, TRUE), "")</f>
        <v>0.54471569980476653</v>
      </c>
      <c r="D2" s="113">
        <f>IFERROR(1-_xlfn.NORM.DIST(_xlfn.NORM.INV(SUM(D4:D5), 0, 1) + 1, 0, 1, TRUE), "")</f>
        <v>0.54471569980476653</v>
      </c>
      <c r="E2" s="113">
        <f>IFERROR(1-_xlfn.NORM.DIST(_xlfn.NORM.INV(SUM(E4:E5), 0, 1) + 1, 0, 1, TRUE), "")</f>
        <v>0.44982829694488635</v>
      </c>
      <c r="F2" s="113">
        <f>IFERROR(1-_xlfn.NORM.DIST(_xlfn.NORM.INV(SUM(F4:F5), 0, 1) + 1, 0, 1, TRUE), "")</f>
        <v>0.24457139941017503</v>
      </c>
      <c r="G2" s="113">
        <f>IFERROR(1-_xlfn.NORM.DIST(_xlfn.NORM.INV(SUM(G4:G5), 0, 1) + 1, 0, 1, TRUE), "")</f>
        <v>0.23269074767298425</v>
      </c>
    </row>
    <row r="3" spans="1:15" ht="15.75" customHeight="1" x14ac:dyDescent="0.25">
      <c r="B3" s="5" t="s">
        <v>127</v>
      </c>
      <c r="C3" s="113">
        <f>IFERROR(_xlfn.NORM.DIST(_xlfn.NORM.INV(SUM(C4:C5), 0, 1) + 1, 0, 1, TRUE) - SUM(C4:C5), "")</f>
        <v>0.32228430019523346</v>
      </c>
      <c r="D3" s="113">
        <f>IFERROR(_xlfn.NORM.DIST(_xlfn.NORM.INV(SUM(D4:D5), 0, 1) + 1, 0, 1, TRUE) - SUM(D4:D5), "")</f>
        <v>0.32228430019523346</v>
      </c>
      <c r="E3" s="113">
        <f>IFERROR(_xlfn.NORM.DIST(_xlfn.NORM.INV(SUM(E4:E5), 0, 1) + 1, 0, 1, TRUE) - SUM(E4:E5), "")</f>
        <v>0.35908666207150708</v>
      </c>
      <c r="F3" s="113">
        <f>IFERROR(_xlfn.NORM.DIST(_xlfn.NORM.INV(SUM(F4:F5), 0, 1) + 1, 0, 1, TRUE) - SUM(F4:F5), "")</f>
        <v>0.37651189492768178</v>
      </c>
      <c r="G3" s="113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129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125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141</v>
      </c>
      <c r="B8" s="5" t="s">
        <v>131</v>
      </c>
      <c r="C8" s="113">
        <f>IFERROR(1-_xlfn.NORM.DIST(_xlfn.NORM.INV(SUM(C10:C11), 0, 1) + 1, 0, 1, TRUE), "")</f>
        <v>0.6241955901533508</v>
      </c>
      <c r="D8" s="113">
        <f>IFERROR(1-_xlfn.NORM.DIST(_xlfn.NORM.INV(SUM(D10:D11), 0, 1) + 1, 0, 1, TRUE), "")</f>
        <v>0.6241955901533508</v>
      </c>
      <c r="E8" s="113">
        <f>IFERROR(1-_xlfn.NORM.DIST(_xlfn.NORM.INV(SUM(E10:E11), 0, 1) + 1, 0, 1, TRUE), "")</f>
        <v>0.68355843805440353</v>
      </c>
      <c r="F8" s="113">
        <f>IFERROR(1-_xlfn.NORM.DIST(_xlfn.NORM.INV(SUM(F10:F11), 0, 1) + 1, 0, 1, TRUE), "")</f>
        <v>0.73228840888273117</v>
      </c>
      <c r="G8" s="113">
        <f>IFERROR(1-_xlfn.NORM.DIST(_xlfn.NORM.INV(SUM(G10:G11), 0, 1) + 1, 0, 1, TRUE), "")</f>
        <v>0.81212055177975573</v>
      </c>
    </row>
    <row r="9" spans="1:15" ht="15.75" customHeight="1" x14ac:dyDescent="0.25">
      <c r="B9" s="5" t="s">
        <v>128</v>
      </c>
      <c r="C9" s="113">
        <f>IFERROR(_xlfn.NORM.DIST(_xlfn.NORM.INV(SUM(C10:C11), 0, 1) + 1, 0, 1, TRUE) - SUM(C10:C11), "")</f>
        <v>0.28180440984664923</v>
      </c>
      <c r="D9" s="113">
        <f>IFERROR(_xlfn.NORM.DIST(_xlfn.NORM.INV(SUM(D10:D11), 0, 1) + 1, 0, 1, TRUE) - SUM(D10:D11), "")</f>
        <v>0.28180440984664923</v>
      </c>
      <c r="E9" s="113">
        <f>IFERROR(_xlfn.NORM.DIST(_xlfn.NORM.INV(SUM(E10:E11), 0, 1) + 1, 0, 1, TRUE) - SUM(E10:E11), "")</f>
        <v>0.2466938696379041</v>
      </c>
      <c r="F9" s="113">
        <f>IFERROR(_xlfn.NORM.DIST(_xlfn.NORM.INV(SUM(F10:F11), 0, 1) + 1, 0, 1, TRUE) - SUM(F10:F11), "")</f>
        <v>0.21506846670192739</v>
      </c>
      <c r="G9" s="113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126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138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137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GysGpEvEBNdgGbfZG5kg5AQxjTcY0IpGOPx6OLzggmpzLoi+zCXTq+i76W/bQ10VCiQMAONmuOtEEti6D8+LA==" saltValue="WhNzfWWbls9ceWGL5QQ2C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(2017)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1" t="s">
        <v>143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146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145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144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IHa9frmbUDbcCp7fwhpKvUYbnTDayTpr+g0PSHJbO2rcW/Y2aiWY/kngS1zCBQStoQNZ/zoeAQtBOj9xPNwXbg==" saltValue="+lEzipXdxHQIZUu5ZizGQ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154</v>
      </c>
      <c r="B1" s="29" t="s">
        <v>152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155</v>
      </c>
      <c r="B2" s="45" t="s">
        <v>149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157</v>
      </c>
      <c r="B4" s="45" t="s">
        <v>149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147</v>
      </c>
      <c r="B6" s="45" t="s">
        <v>149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123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158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153</v>
      </c>
      <c r="B10" s="45" t="s">
        <v>148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150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56</v>
      </c>
      <c r="B13" s="45" t="s">
        <v>156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151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3PM0S+vybct4ZVO3aS+LTiNzBclPzAJH60bahXY5t9FAa/wZHI5er+0CrZDUzrlIbAR8qpWSxf4UScxdnYVk9g==" saltValue="FmzO6qdMB2MWyR3LLENyFQ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tabSelected="1" zoomScale="80" zoomScaleNormal="80" workbookViewId="0">
      <selection activeCell="B15" sqref="B15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14</v>
      </c>
      <c r="B1" s="29" t="s">
        <v>10</v>
      </c>
    </row>
    <row r="2" spans="1:2" x14ac:dyDescent="0.25">
      <c r="A2" s="27" t="s">
        <v>160</v>
      </c>
      <c r="B2" s="117">
        <v>3000.4442305317302</v>
      </c>
    </row>
    <row r="3" spans="1:2" x14ac:dyDescent="0.25">
      <c r="A3" s="27" t="s">
        <v>159</v>
      </c>
      <c r="B3" s="119">
        <v>0.03</v>
      </c>
    </row>
    <row r="4" spans="1:2" x14ac:dyDescent="0.25">
      <c r="A4" s="27" t="s">
        <v>170</v>
      </c>
      <c r="B4" s="119">
        <v>0.43146000000000001</v>
      </c>
    </row>
    <row r="5" spans="1:2" x14ac:dyDescent="0.25">
      <c r="A5" s="27" t="s">
        <v>161</v>
      </c>
      <c r="B5" s="119">
        <v>0.03</v>
      </c>
    </row>
    <row r="6" spans="1:2" x14ac:dyDescent="0.25">
      <c r="A6" s="27" t="s">
        <v>162</v>
      </c>
      <c r="B6" s="119">
        <v>0.03</v>
      </c>
    </row>
    <row r="7" spans="1:2" x14ac:dyDescent="0.25">
      <c r="A7" s="27" t="s">
        <v>165</v>
      </c>
      <c r="B7" s="115">
        <v>18</v>
      </c>
    </row>
    <row r="8" spans="1:2" x14ac:dyDescent="0.25">
      <c r="A8" s="27" t="s">
        <v>164</v>
      </c>
      <c r="B8" s="115">
        <v>65</v>
      </c>
    </row>
    <row r="9" spans="1:2" x14ac:dyDescent="0.25">
      <c r="A9" s="27" t="s">
        <v>166</v>
      </c>
      <c r="B9" s="119">
        <v>0.73801000000000005</v>
      </c>
    </row>
    <row r="10" spans="1:2" x14ac:dyDescent="0.25">
      <c r="A10" s="27" t="s">
        <v>163</v>
      </c>
      <c r="B10" s="119">
        <v>0.9</v>
      </c>
    </row>
    <row r="11" spans="1:2" x14ac:dyDescent="0.25">
      <c r="A11" s="27" t="s">
        <v>171</v>
      </c>
      <c r="B11" s="119">
        <v>0.66</v>
      </c>
    </row>
    <row r="12" spans="1:2" x14ac:dyDescent="0.25">
      <c r="A12" s="27" t="s">
        <v>172</v>
      </c>
      <c r="B12" s="119">
        <f>0.025</f>
        <v>2.5000000000000001E-2</v>
      </c>
    </row>
    <row r="13" spans="1:2" x14ac:dyDescent="0.25">
      <c r="A13" s="27" t="s">
        <v>173</v>
      </c>
      <c r="B13" s="119">
        <f>0.075</f>
        <v>7.4999999999999997E-2</v>
      </c>
    </row>
    <row r="14" spans="1:2" x14ac:dyDescent="0.25">
      <c r="A14" s="27" t="s">
        <v>174</v>
      </c>
      <c r="B14" s="118">
        <v>1.2190322671178365E-4</v>
      </c>
    </row>
    <row r="15" spans="1:2" x14ac:dyDescent="0.25">
      <c r="A15" s="27" t="s">
        <v>167</v>
      </c>
      <c r="B15" s="115">
        <v>0.5</v>
      </c>
    </row>
    <row r="16" spans="1:2" x14ac:dyDescent="0.25">
      <c r="A16" s="27" t="s">
        <v>168</v>
      </c>
      <c r="B16" s="115">
        <v>0.8</v>
      </c>
    </row>
    <row r="17" spans="1:15" x14ac:dyDescent="0.25">
      <c r="A17" s="27" t="s">
        <v>169</v>
      </c>
      <c r="B17" s="116">
        <v>1.0666666666666666E-2</v>
      </c>
    </row>
    <row r="18" spans="1:15" x14ac:dyDescent="0.25">
      <c r="A18" t="s">
        <v>175</v>
      </c>
      <c r="B18" s="119">
        <v>0.5</v>
      </c>
    </row>
    <row r="21" spans="1:15" ht="13" x14ac:dyDescent="0.3">
      <c r="A21" s="29" t="s">
        <v>11</v>
      </c>
      <c r="B21" s="27" t="s">
        <v>12</v>
      </c>
      <c r="C21" s="27" t="s">
        <v>13</v>
      </c>
      <c r="D21" s="27" t="s">
        <v>15</v>
      </c>
      <c r="E21" s="27" t="s">
        <v>16</v>
      </c>
      <c r="F21" s="27" t="s">
        <v>17</v>
      </c>
      <c r="G21" s="27" t="s">
        <v>18</v>
      </c>
      <c r="H21" s="27" t="s">
        <v>19</v>
      </c>
      <c r="I21" s="27" t="s">
        <v>20</v>
      </c>
      <c r="J21" s="27" t="s">
        <v>21</v>
      </c>
      <c r="K21" s="27" t="s">
        <v>22</v>
      </c>
      <c r="L21" s="27" t="s">
        <v>23</v>
      </c>
      <c r="M21" s="27" t="s">
        <v>24</v>
      </c>
      <c r="N21" s="27" t="s">
        <v>25</v>
      </c>
      <c r="O21" s="27" t="s">
        <v>26</v>
      </c>
    </row>
    <row r="22" spans="1:15" x14ac:dyDescent="0.25">
      <c r="A22" s="27" t="s">
        <v>176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algorithmName="SHA-512" hashValue="sIUTrmyr+lkc22dM2t1vuTCLHdu3cooCWFAr8vt6VPCMucVh50sWws29licJJng2MS5nDL5XfondZsjj4gFWGg==" saltValue="s5lhL8Hrimc5zQZUssrpQA==" spinCount="100000" sheet="1" objects="1" scenarios="1"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183</v>
      </c>
      <c r="B1" s="38" t="s">
        <v>185</v>
      </c>
      <c r="C1" s="38" t="s">
        <v>179</v>
      </c>
      <c r="D1" s="38" t="s">
        <v>178</v>
      </c>
      <c r="E1" s="38" t="s">
        <v>184</v>
      </c>
    </row>
    <row r="2" spans="1:5" ht="13" x14ac:dyDescent="0.3">
      <c r="A2" s="36" t="s">
        <v>180</v>
      </c>
      <c r="B2" s="34" t="s">
        <v>123</v>
      </c>
      <c r="C2" s="62"/>
      <c r="D2" s="62"/>
      <c r="E2" s="44" t="str">
        <f>IF(E$7="","",E$7)</f>
        <v/>
      </c>
    </row>
    <row r="3" spans="1:5" x14ac:dyDescent="0.25">
      <c r="B3" s="34" t="s">
        <v>97</v>
      </c>
      <c r="C3" s="62" t="s">
        <v>5</v>
      </c>
      <c r="D3" s="62"/>
      <c r="E3" s="44" t="str">
        <f>IF(E$7="","",E$7)</f>
        <v/>
      </c>
    </row>
    <row r="4" spans="1:5" x14ac:dyDescent="0.25">
      <c r="B4" s="34" t="s">
        <v>93</v>
      </c>
      <c r="C4" s="62" t="s">
        <v>5</v>
      </c>
      <c r="D4" s="62"/>
      <c r="E4" s="44" t="str">
        <f>IF(E$7="","",E$7)</f>
        <v/>
      </c>
    </row>
    <row r="5" spans="1:5" x14ac:dyDescent="0.25">
      <c r="B5" s="34" t="s">
        <v>96</v>
      </c>
      <c r="C5" s="62" t="s">
        <v>5</v>
      </c>
      <c r="D5" s="62"/>
      <c r="E5" s="44" t="str">
        <f>IF(E$7="","",E$7)</f>
        <v/>
      </c>
    </row>
    <row r="6" spans="1:5" x14ac:dyDescent="0.25">
      <c r="B6" s="34" t="s">
        <v>94</v>
      </c>
      <c r="C6" s="62" t="s">
        <v>5</v>
      </c>
      <c r="D6" s="62"/>
      <c r="E6" s="44" t="str">
        <f>IF(E$7="","",E$7)</f>
        <v/>
      </c>
    </row>
    <row r="7" spans="1:5" x14ac:dyDescent="0.25">
      <c r="B7" s="34" t="s">
        <v>177</v>
      </c>
      <c r="C7" s="33"/>
      <c r="D7" s="32"/>
      <c r="E7" s="62"/>
    </row>
    <row r="9" spans="1:5" ht="13" x14ac:dyDescent="0.3">
      <c r="A9" s="36" t="s">
        <v>181</v>
      </c>
      <c r="B9" s="34" t="s">
        <v>123</v>
      </c>
      <c r="C9" s="62"/>
      <c r="D9" s="62"/>
      <c r="E9" s="44" t="str">
        <f>IF(E$7="","",E$7)</f>
        <v/>
      </c>
    </row>
    <row r="10" spans="1:5" x14ac:dyDescent="0.25">
      <c r="B10" s="34" t="s">
        <v>97</v>
      </c>
      <c r="C10" s="62"/>
      <c r="D10" s="62" t="s">
        <v>5</v>
      </c>
      <c r="E10" s="44" t="str">
        <f>IF(E$7="","",E$7)</f>
        <v/>
      </c>
    </row>
    <row r="11" spans="1:5" x14ac:dyDescent="0.25">
      <c r="B11" s="34" t="s">
        <v>93</v>
      </c>
      <c r="C11" s="62"/>
      <c r="D11" s="62" t="s">
        <v>5</v>
      </c>
      <c r="E11" s="44" t="str">
        <f>IF(E$7="","",E$7)</f>
        <v/>
      </c>
    </row>
    <row r="12" spans="1:5" x14ac:dyDescent="0.25">
      <c r="B12" s="34" t="s">
        <v>96</v>
      </c>
      <c r="C12" s="62"/>
      <c r="D12" s="62" t="s">
        <v>5</v>
      </c>
      <c r="E12" s="44" t="str">
        <f>IF(E$7="","",E$7)</f>
        <v/>
      </c>
    </row>
    <row r="13" spans="1:5" x14ac:dyDescent="0.25">
      <c r="B13" s="34" t="s">
        <v>94</v>
      </c>
      <c r="C13" s="62"/>
      <c r="D13" s="62" t="s">
        <v>5</v>
      </c>
      <c r="E13" s="44" t="str">
        <f>IF(E$7="","",E$7)</f>
        <v/>
      </c>
    </row>
    <row r="14" spans="1:5" x14ac:dyDescent="0.25">
      <c r="B14" s="34" t="s">
        <v>177</v>
      </c>
      <c r="C14" s="33"/>
      <c r="D14" s="32"/>
      <c r="E14" s="62"/>
    </row>
    <row r="16" spans="1:5" ht="13" x14ac:dyDescent="0.3">
      <c r="A16" s="36" t="s">
        <v>182</v>
      </c>
      <c r="B16" s="34" t="s">
        <v>123</v>
      </c>
      <c r="C16" s="62"/>
      <c r="D16" s="62"/>
      <c r="E16" s="44" t="str">
        <f>IF(E$7="","",E$7)</f>
        <v/>
      </c>
    </row>
    <row r="17" spans="2:5" x14ac:dyDescent="0.25">
      <c r="B17" s="34" t="s">
        <v>97</v>
      </c>
      <c r="C17" s="62"/>
      <c r="D17" s="62" t="s">
        <v>5</v>
      </c>
      <c r="E17" s="44" t="str">
        <f>IF(E$7="","",E$7)</f>
        <v/>
      </c>
    </row>
    <row r="18" spans="2:5" x14ac:dyDescent="0.25">
      <c r="B18" s="34" t="s">
        <v>93</v>
      </c>
      <c r="C18" s="62"/>
      <c r="D18" s="62" t="s">
        <v>5</v>
      </c>
      <c r="E18" s="44" t="str">
        <f>IF(E$7="","",E$7)</f>
        <v/>
      </c>
    </row>
    <row r="19" spans="2:5" x14ac:dyDescent="0.25">
      <c r="B19" s="34" t="s">
        <v>96</v>
      </c>
      <c r="C19" s="62"/>
      <c r="D19" s="62"/>
      <c r="E19" s="44" t="str">
        <f>IF(E$7="","",E$7)</f>
        <v/>
      </c>
    </row>
    <row r="20" spans="2:5" x14ac:dyDescent="0.25">
      <c r="B20" s="34" t="s">
        <v>94</v>
      </c>
      <c r="C20" s="62"/>
      <c r="D20" s="62"/>
      <c r="E20" s="44" t="str">
        <f>IF(E$7="","",E$7)</f>
        <v/>
      </c>
    </row>
    <row r="21" spans="2:5" x14ac:dyDescent="0.25">
      <c r="B21" s="34" t="s">
        <v>177</v>
      </c>
      <c r="C21" s="33"/>
      <c r="D21" s="32"/>
      <c r="E21" s="62"/>
    </row>
  </sheetData>
  <sheetProtection algorithmName="SHA-512" hashValue="Lmi3SNEeQn1M+rVfjzBal2blMybxuzOZ85jLv4wnLgvkGSFTn0GS4a1kMXH+RKGjVDJN3M2EMCShrAtl3HHg5A==" saltValue="vUcddU2+VQib5rtLbkl1v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4</v>
      </c>
      <c r="B1" s="38" t="s">
        <v>188</v>
      </c>
      <c r="C1" s="47" t="s">
        <v>190</v>
      </c>
      <c r="D1" s="47" t="s">
        <v>186</v>
      </c>
    </row>
    <row r="2" spans="1:4" ht="13" x14ac:dyDescent="0.3">
      <c r="A2" s="47" t="s">
        <v>192</v>
      </c>
      <c r="B2" s="34" t="s">
        <v>193</v>
      </c>
      <c r="C2" s="34" t="s">
        <v>191</v>
      </c>
      <c r="D2" s="62"/>
    </row>
    <row r="3" spans="1:4" ht="13" x14ac:dyDescent="0.3">
      <c r="A3" s="47" t="s">
        <v>189</v>
      </c>
      <c r="B3" s="34" t="s">
        <v>179</v>
      </c>
      <c r="C3" s="34" t="s">
        <v>187</v>
      </c>
      <c r="D3" s="62"/>
    </row>
  </sheetData>
  <sheetProtection algorithmName="SHA-512" hashValue="+VBix/fy5aEzsjSrZX+NuBjVpvYrPqyuxkevIsG5XJaSowFZLRfdp3DFtWO8tndUtD9pVpLUO/qQCMnP/QvpVA==" saltValue="DRabq9LOfIh9qA0E0gzV8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39" x14ac:dyDescent="0.3">
      <c r="A1" s="41" t="s">
        <v>192</v>
      </c>
      <c r="B1" s="40" t="str">
        <f>"Cobertura de referencia ("&amp;start_year&amp;")"</f>
        <v>Cobertura de referencia (2017)</v>
      </c>
      <c r="C1" s="40" t="s">
        <v>223</v>
      </c>
      <c r="D1" s="40" t="s">
        <v>224</v>
      </c>
      <c r="E1" s="40" t="s">
        <v>197</v>
      </c>
      <c r="F1" s="40" t="s">
        <v>216</v>
      </c>
      <c r="G1" s="40" t="s">
        <v>215</v>
      </c>
    </row>
    <row r="2" spans="1:7" ht="15.75" customHeight="1" x14ac:dyDescent="0.25">
      <c r="A2" s="39" t="s">
        <v>194</v>
      </c>
      <c r="B2" s="63">
        <v>0</v>
      </c>
      <c r="C2" s="63">
        <v>0.95</v>
      </c>
      <c r="D2" s="64">
        <v>25</v>
      </c>
      <c r="E2" s="64" t="s">
        <v>212</v>
      </c>
      <c r="F2" s="63">
        <v>1</v>
      </c>
      <c r="G2" s="63">
        <v>1</v>
      </c>
    </row>
    <row r="3" spans="1:7" ht="15.75" customHeight="1" x14ac:dyDescent="0.25">
      <c r="A3" s="39" t="s">
        <v>195</v>
      </c>
      <c r="B3" s="63">
        <v>0</v>
      </c>
      <c r="C3" s="63">
        <v>0.95</v>
      </c>
      <c r="D3" s="64">
        <v>1</v>
      </c>
      <c r="E3" s="64" t="s">
        <v>212</v>
      </c>
      <c r="F3" s="63">
        <v>1</v>
      </c>
      <c r="G3" s="63">
        <v>1</v>
      </c>
    </row>
    <row r="4" spans="1:7" ht="15.75" customHeight="1" x14ac:dyDescent="0.25">
      <c r="A4" s="39" t="s">
        <v>196</v>
      </c>
      <c r="B4" s="63">
        <v>0</v>
      </c>
      <c r="C4" s="63">
        <v>0.95</v>
      </c>
      <c r="D4" s="64">
        <v>90</v>
      </c>
      <c r="E4" s="64" t="s">
        <v>212</v>
      </c>
      <c r="F4" s="63">
        <v>1</v>
      </c>
      <c r="G4" s="63">
        <v>1</v>
      </c>
    </row>
    <row r="5" spans="1:7" ht="15.75" customHeight="1" x14ac:dyDescent="0.25">
      <c r="A5" s="39" t="s">
        <v>198</v>
      </c>
      <c r="B5" s="63">
        <v>0</v>
      </c>
      <c r="C5" s="63">
        <v>0.95</v>
      </c>
      <c r="D5" s="64">
        <v>1</v>
      </c>
      <c r="E5" s="64" t="s">
        <v>212</v>
      </c>
      <c r="F5" s="63">
        <v>1</v>
      </c>
      <c r="G5" s="63">
        <v>1</v>
      </c>
    </row>
    <row r="6" spans="1:7" ht="15.75" customHeight="1" x14ac:dyDescent="0.25">
      <c r="A6" s="39" t="s">
        <v>199</v>
      </c>
      <c r="B6" s="63">
        <v>0</v>
      </c>
      <c r="C6" s="63">
        <v>0.95</v>
      </c>
      <c r="D6" s="64">
        <v>0.82</v>
      </c>
      <c r="E6" s="64" t="s">
        <v>212</v>
      </c>
      <c r="F6" s="63">
        <v>1</v>
      </c>
      <c r="G6" s="63">
        <v>1</v>
      </c>
    </row>
    <row r="7" spans="1:7" ht="15.75" customHeight="1" x14ac:dyDescent="0.25">
      <c r="A7" s="39" t="s">
        <v>200</v>
      </c>
      <c r="B7" s="63">
        <v>0.36</v>
      </c>
      <c r="C7" s="63">
        <v>0.95</v>
      </c>
      <c r="D7" s="64">
        <v>0.25</v>
      </c>
      <c r="E7" s="64" t="s">
        <v>212</v>
      </c>
      <c r="F7" s="63">
        <v>1</v>
      </c>
      <c r="G7" s="63">
        <v>1</v>
      </c>
    </row>
    <row r="8" spans="1:7" ht="15.75" customHeight="1" x14ac:dyDescent="0.25">
      <c r="A8" s="39" t="s">
        <v>201</v>
      </c>
      <c r="B8" s="63">
        <v>0</v>
      </c>
      <c r="C8" s="63">
        <v>0.95</v>
      </c>
      <c r="D8" s="64">
        <v>0.75</v>
      </c>
      <c r="E8" s="64" t="s">
        <v>212</v>
      </c>
      <c r="F8" s="63">
        <v>1</v>
      </c>
      <c r="G8" s="63">
        <v>1</v>
      </c>
    </row>
    <row r="9" spans="1:7" ht="15.75" customHeight="1" x14ac:dyDescent="0.25">
      <c r="A9" s="39" t="s">
        <v>202</v>
      </c>
      <c r="B9" s="63">
        <v>0</v>
      </c>
      <c r="C9" s="63">
        <v>0.95</v>
      </c>
      <c r="D9" s="64">
        <v>0.19</v>
      </c>
      <c r="E9" s="64" t="s">
        <v>212</v>
      </c>
      <c r="F9" s="63">
        <v>1</v>
      </c>
      <c r="G9" s="63">
        <v>1</v>
      </c>
    </row>
    <row r="10" spans="1:7" ht="15.75" customHeight="1" x14ac:dyDescent="0.25">
      <c r="A10" s="45" t="s">
        <v>203</v>
      </c>
      <c r="B10" s="63">
        <v>0</v>
      </c>
      <c r="C10" s="63">
        <v>0.95</v>
      </c>
      <c r="D10" s="64">
        <v>0.73</v>
      </c>
      <c r="E10" s="64" t="s">
        <v>212</v>
      </c>
      <c r="F10" s="63">
        <v>1</v>
      </c>
      <c r="G10" s="63">
        <v>1</v>
      </c>
    </row>
    <row r="11" spans="1:7" ht="15.75" customHeight="1" x14ac:dyDescent="0.25">
      <c r="A11" s="45" t="s">
        <v>204</v>
      </c>
      <c r="B11" s="63">
        <v>0</v>
      </c>
      <c r="C11" s="63">
        <v>0.95</v>
      </c>
      <c r="D11" s="64">
        <v>1.78</v>
      </c>
      <c r="E11" s="64" t="s">
        <v>212</v>
      </c>
      <c r="F11" s="63">
        <v>1</v>
      </c>
      <c r="G11" s="63">
        <v>1</v>
      </c>
    </row>
    <row r="12" spans="1:7" ht="15.75" customHeight="1" x14ac:dyDescent="0.25">
      <c r="A12" s="45" t="s">
        <v>205</v>
      </c>
      <c r="B12" s="63">
        <v>0</v>
      </c>
      <c r="C12" s="63">
        <v>0.95</v>
      </c>
      <c r="D12" s="64">
        <v>0.24</v>
      </c>
      <c r="E12" s="64" t="s">
        <v>212</v>
      </c>
      <c r="F12" s="63">
        <v>1</v>
      </c>
      <c r="G12" s="63">
        <v>1</v>
      </c>
    </row>
    <row r="13" spans="1:7" ht="15.75" customHeight="1" x14ac:dyDescent="0.25">
      <c r="A13" s="45" t="s">
        <v>206</v>
      </c>
      <c r="B13" s="63">
        <v>0</v>
      </c>
      <c r="C13" s="63">
        <v>0.95</v>
      </c>
      <c r="D13" s="64">
        <v>0.55000000000000004</v>
      </c>
      <c r="E13" s="64" t="s">
        <v>212</v>
      </c>
      <c r="F13" s="63">
        <v>1</v>
      </c>
      <c r="G13" s="63">
        <v>1</v>
      </c>
    </row>
    <row r="14" spans="1:7" ht="15.75" customHeight="1" x14ac:dyDescent="0.25">
      <c r="A14" s="5" t="s">
        <v>207</v>
      </c>
      <c r="B14" s="63">
        <v>0</v>
      </c>
      <c r="C14" s="63">
        <v>0.95</v>
      </c>
      <c r="D14" s="64">
        <v>0.73</v>
      </c>
      <c r="E14" s="64" t="s">
        <v>212</v>
      </c>
      <c r="F14" s="63">
        <v>1</v>
      </c>
      <c r="G14" s="63">
        <v>1</v>
      </c>
    </row>
    <row r="15" spans="1:7" ht="15.75" customHeight="1" x14ac:dyDescent="0.25">
      <c r="A15" s="5" t="s">
        <v>208</v>
      </c>
      <c r="B15" s="63">
        <v>0</v>
      </c>
      <c r="C15" s="63">
        <v>0.95</v>
      </c>
      <c r="D15" s="64">
        <v>1.78</v>
      </c>
      <c r="E15" s="64" t="s">
        <v>212</v>
      </c>
      <c r="F15" s="63">
        <v>1</v>
      </c>
      <c r="G15" s="63">
        <v>1</v>
      </c>
    </row>
    <row r="16" spans="1:7" ht="15.75" customHeight="1" x14ac:dyDescent="0.25">
      <c r="A16" s="39" t="s">
        <v>209</v>
      </c>
      <c r="B16" s="63">
        <v>0.9</v>
      </c>
      <c r="C16" s="63">
        <v>0.95</v>
      </c>
      <c r="D16" s="64">
        <v>2.06</v>
      </c>
      <c r="E16" s="64" t="s">
        <v>212</v>
      </c>
      <c r="F16" s="63">
        <v>1</v>
      </c>
      <c r="G16" s="63">
        <v>1</v>
      </c>
    </row>
    <row r="17" spans="1:7" ht="15.75" customHeight="1" x14ac:dyDescent="0.25">
      <c r="A17" s="39" t="s">
        <v>210</v>
      </c>
      <c r="B17" s="63">
        <v>0.80800000000000005</v>
      </c>
      <c r="C17" s="63">
        <v>0.95</v>
      </c>
      <c r="D17" s="64">
        <v>0.05</v>
      </c>
      <c r="E17" s="64" t="s">
        <v>212</v>
      </c>
      <c r="F17" s="63">
        <v>1</v>
      </c>
      <c r="G17" s="63">
        <v>1</v>
      </c>
    </row>
    <row r="18" spans="1:7" ht="16" customHeight="1" x14ac:dyDescent="0.25">
      <c r="A18" s="39" t="s">
        <v>180</v>
      </c>
      <c r="B18" s="63">
        <v>0</v>
      </c>
      <c r="C18" s="63">
        <v>0.95</v>
      </c>
      <c r="D18" s="64">
        <v>5</v>
      </c>
      <c r="E18" s="64" t="s">
        <v>212</v>
      </c>
      <c r="F18" s="63">
        <v>1</v>
      </c>
      <c r="G18" s="63">
        <v>1</v>
      </c>
    </row>
    <row r="19" spans="1:7" ht="15.75" customHeight="1" x14ac:dyDescent="0.25">
      <c r="A19" s="39" t="s">
        <v>181</v>
      </c>
      <c r="B19" s="63">
        <v>0</v>
      </c>
      <c r="C19" s="63">
        <v>0.95</v>
      </c>
      <c r="D19" s="64">
        <v>5</v>
      </c>
      <c r="E19" s="64" t="s">
        <v>212</v>
      </c>
      <c r="F19" s="63">
        <v>1</v>
      </c>
      <c r="G19" s="63">
        <v>1</v>
      </c>
    </row>
    <row r="20" spans="1:7" ht="15.75" customHeight="1" x14ac:dyDescent="0.25">
      <c r="A20" s="39" t="s">
        <v>182</v>
      </c>
      <c r="B20" s="63">
        <v>0</v>
      </c>
      <c r="C20" s="63">
        <v>0.95</v>
      </c>
      <c r="D20" s="64">
        <v>5</v>
      </c>
      <c r="E20" s="64" t="s">
        <v>212</v>
      </c>
      <c r="F20" s="63">
        <v>1</v>
      </c>
      <c r="G20" s="63">
        <v>1</v>
      </c>
    </row>
    <row r="21" spans="1:7" ht="15.75" customHeight="1" x14ac:dyDescent="0.25">
      <c r="A21" s="39" t="s">
        <v>211</v>
      </c>
      <c r="B21" s="63">
        <v>0</v>
      </c>
      <c r="C21" s="63">
        <v>0.95</v>
      </c>
      <c r="D21" s="64">
        <v>8.84</v>
      </c>
      <c r="E21" s="64" t="s">
        <v>212</v>
      </c>
      <c r="F21" s="63">
        <v>1</v>
      </c>
      <c r="G21" s="63">
        <v>1</v>
      </c>
    </row>
    <row r="22" spans="1:7" ht="15.75" customHeight="1" x14ac:dyDescent="0.25">
      <c r="A22" s="39" t="s">
        <v>213</v>
      </c>
      <c r="B22" s="63">
        <v>0</v>
      </c>
      <c r="C22" s="63">
        <v>0.95</v>
      </c>
      <c r="D22" s="64">
        <v>50</v>
      </c>
      <c r="E22" s="64" t="s">
        <v>212</v>
      </c>
      <c r="F22" s="63">
        <v>1</v>
      </c>
      <c r="G22" s="63">
        <v>1</v>
      </c>
    </row>
    <row r="23" spans="1:7" ht="15.75" customHeight="1" x14ac:dyDescent="0.25">
      <c r="A23" s="39" t="s">
        <v>214</v>
      </c>
      <c r="B23" s="63">
        <v>0.50800000000000001</v>
      </c>
      <c r="C23" s="63">
        <v>0.95</v>
      </c>
      <c r="D23" s="64">
        <v>2.61</v>
      </c>
      <c r="E23" s="64" t="s">
        <v>212</v>
      </c>
      <c r="F23" s="63">
        <v>1</v>
      </c>
      <c r="G23" s="63">
        <v>1</v>
      </c>
    </row>
    <row r="24" spans="1:7" ht="15.75" customHeight="1" x14ac:dyDescent="0.25">
      <c r="A24" s="39" t="s">
        <v>217</v>
      </c>
      <c r="B24" s="63">
        <v>0</v>
      </c>
      <c r="C24" s="63">
        <v>0.95</v>
      </c>
      <c r="D24" s="64">
        <v>1</v>
      </c>
      <c r="E24" s="64" t="s">
        <v>212</v>
      </c>
      <c r="F24" s="63">
        <v>1</v>
      </c>
      <c r="G24" s="63">
        <v>1</v>
      </c>
    </row>
    <row r="25" spans="1:7" ht="15.75" customHeight="1" x14ac:dyDescent="0.25">
      <c r="A25" s="39" t="s">
        <v>218</v>
      </c>
      <c r="B25" s="63">
        <v>0</v>
      </c>
      <c r="C25" s="63">
        <v>0.95</v>
      </c>
      <c r="D25" s="64">
        <v>1</v>
      </c>
      <c r="E25" s="64" t="s">
        <v>212</v>
      </c>
      <c r="F25" s="63">
        <v>1</v>
      </c>
      <c r="G25" s="63">
        <v>1</v>
      </c>
    </row>
    <row r="26" spans="1:7" ht="15.75" customHeight="1" x14ac:dyDescent="0.25">
      <c r="A26" s="39" t="s">
        <v>219</v>
      </c>
      <c r="B26" s="63">
        <v>0.1</v>
      </c>
      <c r="C26" s="63">
        <v>0.95</v>
      </c>
      <c r="D26" s="64">
        <v>4.6500000000000004</v>
      </c>
      <c r="E26" s="64" t="s">
        <v>212</v>
      </c>
      <c r="F26" s="63">
        <v>1</v>
      </c>
      <c r="G26" s="63">
        <v>1</v>
      </c>
    </row>
    <row r="27" spans="1:7" ht="15.75" customHeight="1" x14ac:dyDescent="0.25">
      <c r="A27" s="39" t="s">
        <v>220</v>
      </c>
      <c r="B27" s="63">
        <v>0.3538</v>
      </c>
      <c r="C27" s="63">
        <v>0.95</v>
      </c>
      <c r="D27" s="64">
        <v>3.78</v>
      </c>
      <c r="E27" s="64" t="s">
        <v>212</v>
      </c>
      <c r="F27" s="63">
        <v>1</v>
      </c>
      <c r="G27" s="63">
        <v>1</v>
      </c>
    </row>
    <row r="28" spans="1:7" ht="15.75" customHeight="1" x14ac:dyDescent="0.25">
      <c r="A28" s="39" t="s">
        <v>221</v>
      </c>
      <c r="B28" s="63">
        <v>0</v>
      </c>
      <c r="C28" s="63">
        <v>0.95</v>
      </c>
      <c r="D28" s="64">
        <v>1</v>
      </c>
      <c r="E28" s="64" t="s">
        <v>212</v>
      </c>
      <c r="F28" s="63">
        <v>1</v>
      </c>
      <c r="G28" s="63">
        <v>1</v>
      </c>
    </row>
    <row r="29" spans="1:7" ht="15.75" customHeight="1" x14ac:dyDescent="0.25">
      <c r="A29" s="39" t="s">
        <v>222</v>
      </c>
      <c r="B29" s="63">
        <v>0</v>
      </c>
      <c r="C29" s="63">
        <v>0.95</v>
      </c>
      <c r="D29" s="64">
        <v>48</v>
      </c>
      <c r="E29" s="64" t="s">
        <v>212</v>
      </c>
      <c r="F29" s="63">
        <v>1</v>
      </c>
      <c r="G29" s="63">
        <v>1</v>
      </c>
    </row>
    <row r="30" spans="1:7" ht="15.75" customHeight="1" x14ac:dyDescent="0.25">
      <c r="A30" s="39" t="s">
        <v>233</v>
      </c>
      <c r="B30" s="63">
        <v>0</v>
      </c>
      <c r="C30" s="63">
        <v>0.95</v>
      </c>
      <c r="D30" s="64">
        <v>64</v>
      </c>
      <c r="E30" s="64" t="s">
        <v>212</v>
      </c>
      <c r="F30" s="63">
        <v>1</v>
      </c>
      <c r="G30" s="63">
        <v>1</v>
      </c>
    </row>
    <row r="31" spans="1:7" ht="15.75" customHeight="1" x14ac:dyDescent="0.25">
      <c r="A31" s="39" t="s">
        <v>193</v>
      </c>
      <c r="B31" s="63">
        <v>0</v>
      </c>
      <c r="C31" s="63">
        <v>0.95</v>
      </c>
      <c r="D31" s="64">
        <v>65</v>
      </c>
      <c r="E31" s="64" t="s">
        <v>212</v>
      </c>
      <c r="F31" s="63">
        <v>1</v>
      </c>
      <c r="G31" s="63">
        <v>1</v>
      </c>
    </row>
    <row r="32" spans="1:7" ht="15.75" customHeight="1" x14ac:dyDescent="0.25">
      <c r="A32" s="39" t="s">
        <v>225</v>
      </c>
      <c r="B32" s="63">
        <v>0.89970000000000006</v>
      </c>
      <c r="C32" s="63">
        <v>0.95</v>
      </c>
      <c r="D32" s="64">
        <v>0.41</v>
      </c>
      <c r="E32" s="64" t="s">
        <v>212</v>
      </c>
      <c r="F32" s="63">
        <v>1</v>
      </c>
      <c r="G32" s="63">
        <v>1</v>
      </c>
    </row>
    <row r="33" spans="1:7" ht="15.75" customHeight="1" x14ac:dyDescent="0.25">
      <c r="A33" s="39" t="s">
        <v>226</v>
      </c>
      <c r="B33" s="63">
        <v>0.80700000000000005</v>
      </c>
      <c r="C33" s="63">
        <v>0.95</v>
      </c>
      <c r="D33" s="64">
        <v>0.9</v>
      </c>
      <c r="E33" s="64" t="s">
        <v>212</v>
      </c>
      <c r="F33" s="63">
        <v>1</v>
      </c>
      <c r="G33" s="63">
        <v>1</v>
      </c>
    </row>
    <row r="34" spans="1:7" ht="15.75" customHeight="1" x14ac:dyDescent="0.25">
      <c r="A34" s="39" t="s">
        <v>227</v>
      </c>
      <c r="B34" s="63">
        <v>0.73199999999999998</v>
      </c>
      <c r="C34" s="63">
        <v>0.95</v>
      </c>
      <c r="D34" s="64">
        <v>0.9</v>
      </c>
      <c r="E34" s="64" t="s">
        <v>212</v>
      </c>
      <c r="F34" s="63">
        <v>1</v>
      </c>
      <c r="G34" s="63">
        <v>1</v>
      </c>
    </row>
    <row r="35" spans="1:7" ht="15.75" customHeight="1" x14ac:dyDescent="0.25">
      <c r="A35" s="39" t="s">
        <v>228</v>
      </c>
      <c r="B35" s="63">
        <v>0.316</v>
      </c>
      <c r="C35" s="63">
        <v>0.95</v>
      </c>
      <c r="D35" s="64">
        <v>79</v>
      </c>
      <c r="E35" s="64" t="s">
        <v>212</v>
      </c>
      <c r="F35" s="63">
        <v>1</v>
      </c>
      <c r="G35" s="63">
        <v>1</v>
      </c>
    </row>
    <row r="36" spans="1:7" ht="15.75" customHeight="1" x14ac:dyDescent="0.25">
      <c r="A36" s="39" t="s">
        <v>229</v>
      </c>
      <c r="B36" s="63">
        <v>0.59699999999999998</v>
      </c>
      <c r="C36" s="63">
        <v>0.95</v>
      </c>
      <c r="D36" s="64">
        <v>31</v>
      </c>
      <c r="E36" s="64" t="s">
        <v>212</v>
      </c>
      <c r="F36" s="63">
        <v>1</v>
      </c>
      <c r="G36" s="63">
        <v>1</v>
      </c>
    </row>
    <row r="37" spans="1:7" ht="15.75" customHeight="1" x14ac:dyDescent="0.25">
      <c r="A37" s="39" t="s">
        <v>230</v>
      </c>
      <c r="B37" s="63">
        <v>0.19900000000000001</v>
      </c>
      <c r="C37" s="63">
        <v>0.95</v>
      </c>
      <c r="D37" s="64">
        <v>102</v>
      </c>
      <c r="E37" s="64" t="s">
        <v>212</v>
      </c>
      <c r="F37" s="63">
        <v>1</v>
      </c>
      <c r="G37" s="63">
        <v>1</v>
      </c>
    </row>
    <row r="38" spans="1:7" ht="15.75" customHeight="1" x14ac:dyDescent="0.25">
      <c r="A38" s="39" t="s">
        <v>231</v>
      </c>
      <c r="B38" s="63">
        <v>0.13400000000000001</v>
      </c>
      <c r="C38" s="63">
        <v>0.95</v>
      </c>
      <c r="D38" s="64">
        <v>5.53</v>
      </c>
      <c r="E38" s="64" t="s">
        <v>212</v>
      </c>
      <c r="F38" s="63">
        <v>1</v>
      </c>
      <c r="G38" s="63">
        <v>1</v>
      </c>
    </row>
    <row r="39" spans="1:7" ht="15.75" customHeight="1" x14ac:dyDescent="0.25">
      <c r="A39" s="39" t="s">
        <v>232</v>
      </c>
      <c r="B39" s="63">
        <v>0</v>
      </c>
      <c r="C39" s="63">
        <v>0.95</v>
      </c>
      <c r="D39" s="64">
        <v>1</v>
      </c>
      <c r="E39" s="64" t="s">
        <v>212</v>
      </c>
      <c r="F39" s="63">
        <v>1</v>
      </c>
      <c r="G39" s="63">
        <v>1</v>
      </c>
    </row>
  </sheetData>
  <sheetProtection algorithmName="SHA-512" hashValue="DYfz4WMbbgF6qi68JUrF+y6dCND4rOHQDZTPIlQ+pE6g/oSEylngZlP2yZUCmdf1Z38hn4siWBvnMoqiXRQL/w==" saltValue="BBkTV9t4P9Ny9JvmRO0ObQ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'Opciones de la curva de costos'!$A$1:$A$4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B11" sqref="B11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192</v>
      </c>
      <c r="B1" s="29" t="s">
        <v>234</v>
      </c>
      <c r="C1" s="29" t="s">
        <v>235</v>
      </c>
    </row>
    <row r="2" spans="1:3" x14ac:dyDescent="0.25">
      <c r="A2" s="65" t="s">
        <v>207</v>
      </c>
      <c r="B2" s="62" t="s">
        <v>220</v>
      </c>
      <c r="C2" s="62"/>
    </row>
    <row r="3" spans="1:3" x14ac:dyDescent="0.25">
      <c r="A3" s="65" t="s">
        <v>208</v>
      </c>
      <c r="B3" s="62" t="s">
        <v>220</v>
      </c>
      <c r="C3" s="62"/>
    </row>
    <row r="4" spans="1:3" x14ac:dyDescent="0.25">
      <c r="A4" s="66" t="s">
        <v>222</v>
      </c>
      <c r="B4" s="62" t="s">
        <v>213</v>
      </c>
      <c r="C4" s="62"/>
    </row>
    <row r="5" spans="1:3" x14ac:dyDescent="0.25">
      <c r="A5" s="66" t="s">
        <v>219</v>
      </c>
      <c r="B5" s="62" t="s">
        <v>213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kDf6DZVO4DOYSVvndFc4SLtt2rgxdALmBKRx5ScPOT1eKYfZJXV35jaT/2qQKILUTfVw/thEXjJJSePSYcAKdg==" saltValue="nv1QW5GMdPwJXe7v+8I1F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192</v>
      </c>
    </row>
    <row r="2" spans="1:1" x14ac:dyDescent="0.25">
      <c r="A2" s="35" t="s">
        <v>199</v>
      </c>
    </row>
    <row r="3" spans="1:1" x14ac:dyDescent="0.25">
      <c r="A3" s="35" t="s">
        <v>209</v>
      </c>
    </row>
    <row r="4" spans="1:1" x14ac:dyDescent="0.25">
      <c r="A4" s="35" t="s">
        <v>214</v>
      </c>
    </row>
    <row r="5" spans="1:1" x14ac:dyDescent="0.25">
      <c r="A5" s="35" t="s">
        <v>226</v>
      </c>
    </row>
    <row r="6" spans="1:1" x14ac:dyDescent="0.25">
      <c r="A6" s="35" t="s">
        <v>227</v>
      </c>
    </row>
    <row r="7" spans="1:1" x14ac:dyDescent="0.25">
      <c r="A7" s="35" t="s">
        <v>228</v>
      </c>
    </row>
    <row r="8" spans="1:1" x14ac:dyDescent="0.25">
      <c r="A8" s="35" t="s">
        <v>229</v>
      </c>
    </row>
    <row r="9" spans="1:1" x14ac:dyDescent="0.25">
      <c r="A9" s="35" t="s">
        <v>230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vx4/Kf8Bfqt+bTK12+cOVOAbsYIDfBcaOSD22Nv6DwRa1bD31z6yPVEtlANUVtMfzmsLTsWqXoYNw5SBavfNtw==" saltValue="Xuxqczbsk/KB5mFxNL4IB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1.66</v>
      </c>
      <c r="C2" s="21">
        <f>'Entradas de población-año base'!C52</f>
        <v>1.66</v>
      </c>
      <c r="D2" s="21">
        <f>'Entradas de población-año base'!C53</f>
        <v>5.64</v>
      </c>
      <c r="E2" s="21">
        <f>'Entradas de población-año base'!C54</f>
        <v>5.43</v>
      </c>
      <c r="F2" s="21">
        <f>'Entradas de población-año base'!C55</f>
        <v>1.91</v>
      </c>
    </row>
    <row r="3" spans="1:6" ht="15.75" customHeight="1" x14ac:dyDescent="0.25">
      <c r="A3" s="3" t="s">
        <v>3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236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L7Z6EZnHpnPsmK2bCGDPyXjB6qrDuSA1n5CPtg83KVjDq/uYcF3fiQFLalAeqX3mTHu3Nfs/Xq4cQFTauIjDPg==" saltValue="JZ++MMbrjAAKAvguMTUla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198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211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213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219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221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222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233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193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225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231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232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195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207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208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209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217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218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220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45" t="s">
        <v>199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203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204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205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206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201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202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210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214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226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227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228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229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230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yUy+ljwFiinVYKQiENDGYnzzGOUnmk32QojbCHud3Y9kSxrv7Su3DheidievTL4sN33LDreszoAueuIT+bnXRw==" saltValue="1/x4fR4eJ3+MNfV4RGby8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qYyYcmIt3ka39d28e99Qbqi3r9KRwNWVSGKtq3FPASg6KgXjy4zP3XJmc6Wg79auBUHfodwCOxioEpOV9iSCJg==" saltValue="HIL9VPHPNucgfzbizwMV5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253</v>
      </c>
      <c r="B1" s="29" t="s">
        <v>246</v>
      </c>
      <c r="C1" s="29" t="s">
        <v>257</v>
      </c>
      <c r="D1" s="29" t="s">
        <v>245</v>
      </c>
      <c r="E1" s="29" t="s">
        <v>255</v>
      </c>
    </row>
    <row r="2" spans="1:5" ht="14" x14ac:dyDescent="0.3">
      <c r="A2" s="28" t="s">
        <v>244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247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251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250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254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256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248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249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ISJEprIY19rSYs1gRNyBKUY/KIZM4/f3fYtrZxHdGoDmJdmGC8amTYppiMfm/x2ieo8ORK599HsW5Xz092IyhQ==" saltValue="cQMhSJnDvcKJ3qM1i7s+8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238</v>
      </c>
      <c r="B1" s="71" t="s">
        <v>192</v>
      </c>
      <c r="C1" s="43" t="s">
        <v>97</v>
      </c>
      <c r="D1" s="43" t="s">
        <v>93</v>
      </c>
      <c r="E1" s="43" t="s">
        <v>96</v>
      </c>
      <c r="F1" s="43" t="s">
        <v>94</v>
      </c>
      <c r="G1" s="43" t="s">
        <v>95</v>
      </c>
      <c r="H1" s="43" t="s">
        <v>132</v>
      </c>
      <c r="I1" s="43" t="s">
        <v>133</v>
      </c>
      <c r="J1" s="43" t="s">
        <v>134</v>
      </c>
      <c r="K1" s="43" t="s">
        <v>135</v>
      </c>
      <c r="L1" s="43" t="s">
        <v>87</v>
      </c>
      <c r="M1" s="43" t="s">
        <v>88</v>
      </c>
      <c r="N1" s="43" t="s">
        <v>89</v>
      </c>
      <c r="O1" s="43" t="s">
        <v>90</v>
      </c>
    </row>
    <row r="2" spans="1:15" ht="15.75" customHeight="1" x14ac:dyDescent="0.35">
      <c r="A2" s="43" t="s">
        <v>102</v>
      </c>
      <c r="B2" s="39" t="s">
        <v>196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198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180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181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182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211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213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219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221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222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233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193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225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231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232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123</v>
      </c>
      <c r="B18" s="39" t="s">
        <v>194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195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207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208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209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217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218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220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240</v>
      </c>
      <c r="B27" s="39" t="s">
        <v>199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203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204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205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206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239</v>
      </c>
      <c r="B33" s="39" t="s">
        <v>200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201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202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210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214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226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227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228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229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230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ywCRlv9bSJa46/R1jJkmoc2ARFkELHw47nBkL1TUBtKer0d3JsfDvaoJM1BWF4wCVrjgGwcOFTjIXIped8xPWQ==" saltValue="LhQSN0Nqnbi+CNIY4Ln8D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workbookViewId="0">
      <selection activeCell="E11" sqref="E11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192</v>
      </c>
      <c r="B1" s="27" t="s">
        <v>260</v>
      </c>
      <c r="C1" s="27" t="s">
        <v>124</v>
      </c>
      <c r="D1" s="27" t="s">
        <v>261</v>
      </c>
      <c r="E1" s="27" t="s">
        <v>262</v>
      </c>
      <c r="F1" s="27" t="s">
        <v>142</v>
      </c>
      <c r="G1" s="27" t="s">
        <v>103</v>
      </c>
      <c r="H1" s="27" t="s">
        <v>56</v>
      </c>
      <c r="I1" s="27" t="s">
        <v>259</v>
      </c>
      <c r="J1" s="27" t="s">
        <v>41</v>
      </c>
      <c r="K1" s="27" t="s">
        <v>258</v>
      </c>
      <c r="L1" s="27" t="s">
        <v>263</v>
      </c>
    </row>
    <row r="2" spans="1:12" x14ac:dyDescent="0.25">
      <c r="A2" s="39" t="s">
        <v>194</v>
      </c>
      <c r="B2" s="100"/>
      <c r="C2" s="100"/>
      <c r="D2" s="100"/>
      <c r="E2" s="100"/>
      <c r="F2" s="100"/>
      <c r="G2" s="100"/>
      <c r="H2" s="100"/>
      <c r="I2" s="100" t="s">
        <v>5</v>
      </c>
      <c r="J2" s="100"/>
      <c r="K2" s="100"/>
      <c r="L2" s="100"/>
    </row>
    <row r="3" spans="1:12" x14ac:dyDescent="0.25">
      <c r="A3" s="39" t="s">
        <v>195</v>
      </c>
      <c r="B3" s="100"/>
      <c r="C3" s="100"/>
      <c r="D3" s="100"/>
      <c r="E3" s="100"/>
      <c r="F3" s="100"/>
      <c r="G3" s="100"/>
      <c r="H3" s="100" t="s">
        <v>5</v>
      </c>
      <c r="I3" s="100" t="s">
        <v>5</v>
      </c>
      <c r="J3" s="100"/>
      <c r="K3" s="100"/>
      <c r="L3" s="100"/>
    </row>
    <row r="4" spans="1:12" x14ac:dyDescent="0.25">
      <c r="A4" s="39" t="s">
        <v>196</v>
      </c>
      <c r="B4" s="100" t="s">
        <v>5</v>
      </c>
      <c r="C4" s="100"/>
      <c r="D4" s="100" t="s">
        <v>5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198</v>
      </c>
      <c r="B5" s="100"/>
      <c r="C5" s="100" t="s">
        <v>5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199</v>
      </c>
      <c r="B6" s="100"/>
      <c r="C6" s="100"/>
      <c r="D6" s="100"/>
      <c r="E6" s="100"/>
      <c r="F6" s="100"/>
      <c r="G6" s="100"/>
      <c r="H6" s="100"/>
      <c r="I6" s="100"/>
      <c r="J6" s="100" t="s">
        <v>5</v>
      </c>
      <c r="K6" s="100" t="s">
        <v>5</v>
      </c>
      <c r="L6" s="100"/>
    </row>
    <row r="7" spans="1:12" x14ac:dyDescent="0.25">
      <c r="A7" s="39" t="s">
        <v>200</v>
      </c>
      <c r="B7" s="100"/>
      <c r="C7" s="100" t="s">
        <v>5</v>
      </c>
      <c r="D7" s="100"/>
      <c r="E7" s="100"/>
      <c r="F7" s="100"/>
      <c r="G7" s="100"/>
      <c r="H7" s="100" t="s">
        <v>5</v>
      </c>
      <c r="I7" s="100"/>
      <c r="J7" s="100"/>
      <c r="K7" s="100"/>
      <c r="L7" s="100"/>
    </row>
    <row r="8" spans="1:12" x14ac:dyDescent="0.25">
      <c r="A8" s="39" t="s">
        <v>201</v>
      </c>
      <c r="B8" s="100"/>
      <c r="C8" s="100" t="s">
        <v>5</v>
      </c>
      <c r="D8" s="100"/>
      <c r="E8" s="100"/>
      <c r="F8" s="100"/>
      <c r="G8" s="100"/>
      <c r="H8" s="100" t="s">
        <v>5</v>
      </c>
      <c r="I8" s="100"/>
      <c r="J8" s="100"/>
      <c r="K8" s="100"/>
      <c r="L8" s="100"/>
    </row>
    <row r="9" spans="1:12" x14ac:dyDescent="0.25">
      <c r="A9" s="39" t="s">
        <v>202</v>
      </c>
      <c r="B9" s="100"/>
      <c r="C9" s="100" t="s">
        <v>5</v>
      </c>
      <c r="D9" s="100"/>
      <c r="E9" s="100"/>
      <c r="F9" s="100"/>
      <c r="G9" s="100"/>
      <c r="H9" s="100" t="s">
        <v>5</v>
      </c>
      <c r="I9" s="100"/>
      <c r="J9" s="100"/>
      <c r="K9" s="100"/>
      <c r="L9" s="100"/>
    </row>
    <row r="10" spans="1:12" x14ac:dyDescent="0.25">
      <c r="A10" s="45" t="s">
        <v>203</v>
      </c>
      <c r="B10" s="100"/>
      <c r="C10" s="100" t="s">
        <v>5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204</v>
      </c>
      <c r="B11" s="100"/>
      <c r="C11" s="100" t="s">
        <v>5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205</v>
      </c>
      <c r="B12" s="100"/>
      <c r="C12" s="100" t="s">
        <v>5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206</v>
      </c>
      <c r="B13" s="100"/>
      <c r="C13" s="100" t="s">
        <v>5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207</v>
      </c>
      <c r="B14" s="100"/>
      <c r="C14" s="100" t="s">
        <v>5</v>
      </c>
      <c r="D14" s="100"/>
      <c r="E14" s="100"/>
      <c r="F14" s="100"/>
      <c r="G14" s="100"/>
      <c r="H14" s="100"/>
      <c r="I14" s="100" t="s">
        <v>5</v>
      </c>
      <c r="J14" s="100"/>
      <c r="K14" s="100"/>
      <c r="L14" s="100"/>
    </row>
    <row r="15" spans="1:12" x14ac:dyDescent="0.25">
      <c r="A15" s="72" t="s">
        <v>208</v>
      </c>
      <c r="B15" s="100"/>
      <c r="C15" s="100" t="s">
        <v>5</v>
      </c>
      <c r="D15" s="100"/>
      <c r="E15" s="100"/>
      <c r="F15" s="100"/>
      <c r="G15" s="100"/>
      <c r="H15" s="100"/>
      <c r="I15" s="100" t="s">
        <v>5</v>
      </c>
      <c r="J15" s="100"/>
      <c r="K15" s="100"/>
      <c r="L15" s="100"/>
    </row>
    <row r="16" spans="1:12" x14ac:dyDescent="0.25">
      <c r="A16" s="39" t="s">
        <v>209</v>
      </c>
      <c r="B16" s="100"/>
      <c r="C16" s="100" t="s">
        <v>5</v>
      </c>
      <c r="D16" s="100"/>
      <c r="E16" s="100"/>
      <c r="F16" s="100"/>
      <c r="G16" s="100"/>
      <c r="H16" s="100" t="s">
        <v>5</v>
      </c>
      <c r="I16" s="100" t="s">
        <v>5</v>
      </c>
      <c r="J16" s="100"/>
      <c r="K16" s="100"/>
      <c r="L16" s="100"/>
    </row>
    <row r="17" spans="1:12" x14ac:dyDescent="0.25">
      <c r="A17" s="39" t="s">
        <v>210</v>
      </c>
      <c r="B17" s="100"/>
      <c r="C17" s="100" t="s">
        <v>5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180</v>
      </c>
      <c r="B18" s="100" t="s">
        <v>5</v>
      </c>
      <c r="C18" s="100"/>
      <c r="D18" s="100"/>
      <c r="E18" s="100"/>
      <c r="F18" s="100" t="s">
        <v>5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181</v>
      </c>
      <c r="B19" s="100" t="s">
        <v>5</v>
      </c>
      <c r="C19" s="100"/>
      <c r="D19" s="100"/>
      <c r="E19" s="100"/>
      <c r="F19" s="100" t="s">
        <v>5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182</v>
      </c>
      <c r="B20" s="100" t="s">
        <v>5</v>
      </c>
      <c r="C20" s="100"/>
      <c r="D20" s="100"/>
      <c r="E20" s="100"/>
      <c r="F20" s="100" t="s">
        <v>5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211</v>
      </c>
      <c r="B21" s="100"/>
      <c r="C21" s="100"/>
      <c r="D21" s="100"/>
      <c r="E21" s="100"/>
      <c r="F21" s="100"/>
      <c r="G21" s="100"/>
      <c r="H21" s="100" t="s">
        <v>5</v>
      </c>
      <c r="I21" s="100" t="s">
        <v>5</v>
      </c>
      <c r="J21" s="100"/>
      <c r="K21" s="100"/>
      <c r="L21" s="100"/>
    </row>
    <row r="22" spans="1:12" x14ac:dyDescent="0.25">
      <c r="A22" s="39" t="s">
        <v>213</v>
      </c>
      <c r="B22" s="100" t="s">
        <v>5</v>
      </c>
      <c r="C22" s="100" t="s">
        <v>5</v>
      </c>
      <c r="D22" s="100" t="s">
        <v>5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214</v>
      </c>
      <c r="B23" s="100"/>
      <c r="C23" s="100" t="s">
        <v>5</v>
      </c>
      <c r="D23" s="100"/>
      <c r="E23" s="100"/>
      <c r="F23" s="100"/>
      <c r="G23" s="100"/>
      <c r="H23" s="100"/>
      <c r="I23" s="100" t="s">
        <v>5</v>
      </c>
      <c r="J23" s="100"/>
      <c r="K23" s="100"/>
      <c r="L23" s="100"/>
    </row>
    <row r="24" spans="1:12" x14ac:dyDescent="0.25">
      <c r="A24" s="39" t="s">
        <v>217</v>
      </c>
      <c r="B24" s="100"/>
      <c r="C24" s="100"/>
      <c r="D24" s="100"/>
      <c r="E24" s="100"/>
      <c r="F24" s="100"/>
      <c r="G24" s="100"/>
      <c r="H24" s="100" t="s">
        <v>5</v>
      </c>
      <c r="I24" s="100"/>
      <c r="J24" s="100"/>
      <c r="K24" s="100"/>
      <c r="L24" s="100"/>
    </row>
    <row r="25" spans="1:12" x14ac:dyDescent="0.25">
      <c r="A25" s="39" t="s">
        <v>218</v>
      </c>
      <c r="B25" s="100"/>
      <c r="C25" s="100"/>
      <c r="D25" s="100"/>
      <c r="E25" s="100"/>
      <c r="F25" s="100"/>
      <c r="G25" s="100"/>
      <c r="H25" s="100" t="s">
        <v>5</v>
      </c>
      <c r="I25" s="100"/>
      <c r="J25" s="100"/>
      <c r="K25" s="100"/>
      <c r="L25" s="100"/>
    </row>
    <row r="26" spans="1:12" x14ac:dyDescent="0.25">
      <c r="A26" s="39" t="s">
        <v>219</v>
      </c>
      <c r="B26" s="100"/>
      <c r="C26" s="100" t="s">
        <v>5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220</v>
      </c>
      <c r="B27" s="100"/>
      <c r="C27" s="100" t="s">
        <v>5</v>
      </c>
      <c r="D27" s="100"/>
      <c r="E27" s="100"/>
      <c r="F27" s="100"/>
      <c r="G27" s="100"/>
      <c r="H27" s="100"/>
      <c r="I27" s="100" t="s">
        <v>5</v>
      </c>
      <c r="J27" s="100"/>
      <c r="K27" s="100"/>
      <c r="L27" s="100" t="s">
        <v>5</v>
      </c>
    </row>
    <row r="28" spans="1:12" x14ac:dyDescent="0.25">
      <c r="A28" s="39" t="s">
        <v>221</v>
      </c>
      <c r="B28" s="100"/>
      <c r="C28" s="100"/>
      <c r="D28" s="100"/>
      <c r="E28" s="100"/>
      <c r="F28" s="100"/>
      <c r="G28" s="100"/>
      <c r="H28" s="100" t="s">
        <v>5</v>
      </c>
      <c r="I28" s="100"/>
      <c r="J28" s="100"/>
      <c r="K28" s="100"/>
      <c r="L28" s="100"/>
    </row>
    <row r="29" spans="1:12" x14ac:dyDescent="0.25">
      <c r="A29" s="39" t="s">
        <v>222</v>
      </c>
      <c r="B29" s="100" t="s">
        <v>5</v>
      </c>
      <c r="C29" s="100"/>
      <c r="D29" s="100" t="s">
        <v>5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233</v>
      </c>
      <c r="B30" s="100" t="s">
        <v>5</v>
      </c>
      <c r="C30" s="100" t="s">
        <v>5</v>
      </c>
      <c r="D30" s="100" t="s">
        <v>5</v>
      </c>
      <c r="E30" s="100"/>
      <c r="F30" s="100"/>
      <c r="G30" s="100"/>
      <c r="H30" s="100"/>
      <c r="I30" s="100"/>
      <c r="J30" s="100"/>
      <c r="K30" s="100"/>
      <c r="L30" s="100"/>
    </row>
    <row r="31" spans="1:12" x14ac:dyDescent="0.25">
      <c r="A31" s="39" t="s">
        <v>193</v>
      </c>
      <c r="B31" s="100"/>
      <c r="C31" s="100"/>
      <c r="D31" s="100"/>
      <c r="E31" s="100" t="s">
        <v>5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225</v>
      </c>
      <c r="B32" s="100"/>
      <c r="C32" s="100"/>
      <c r="D32" s="100"/>
      <c r="E32" s="100"/>
      <c r="F32" s="100"/>
      <c r="G32" s="100" t="s">
        <v>5</v>
      </c>
      <c r="H32" s="100" t="s">
        <v>5</v>
      </c>
      <c r="I32" s="100"/>
      <c r="J32" s="100"/>
      <c r="K32" s="100"/>
      <c r="L32" s="100"/>
    </row>
    <row r="33" spans="1:12" x14ac:dyDescent="0.25">
      <c r="A33" s="39" t="s">
        <v>226</v>
      </c>
      <c r="B33" s="100"/>
      <c r="C33" s="100"/>
      <c r="D33" s="100"/>
      <c r="E33" s="100"/>
      <c r="F33" s="100"/>
      <c r="G33" s="100" t="s">
        <v>5</v>
      </c>
      <c r="H33" s="100" t="s">
        <v>5</v>
      </c>
      <c r="I33" s="100"/>
      <c r="J33" s="100"/>
      <c r="K33" s="100"/>
      <c r="L33" s="100"/>
    </row>
    <row r="34" spans="1:12" x14ac:dyDescent="0.25">
      <c r="A34" s="39" t="s">
        <v>227</v>
      </c>
      <c r="B34" s="100"/>
      <c r="C34" s="100"/>
      <c r="D34" s="100"/>
      <c r="E34" s="100"/>
      <c r="F34" s="100"/>
      <c r="G34" s="100" t="s">
        <v>5</v>
      </c>
      <c r="H34" s="100" t="s">
        <v>5</v>
      </c>
      <c r="I34" s="100"/>
      <c r="J34" s="100"/>
      <c r="K34" s="100"/>
      <c r="L34" s="100"/>
    </row>
    <row r="35" spans="1:12" x14ac:dyDescent="0.25">
      <c r="A35" s="39" t="s">
        <v>228</v>
      </c>
      <c r="B35" s="100"/>
      <c r="C35" s="100"/>
      <c r="D35" s="100"/>
      <c r="E35" s="100"/>
      <c r="F35" s="100"/>
      <c r="G35" s="100" t="s">
        <v>5</v>
      </c>
      <c r="H35" s="100" t="s">
        <v>5</v>
      </c>
      <c r="I35" s="100"/>
      <c r="J35" s="100"/>
      <c r="K35" s="100"/>
      <c r="L35" s="100"/>
    </row>
    <row r="36" spans="1:12" x14ac:dyDescent="0.25">
      <c r="A36" s="39" t="s">
        <v>229</v>
      </c>
      <c r="B36" s="100"/>
      <c r="C36" s="100"/>
      <c r="D36" s="100"/>
      <c r="E36" s="100"/>
      <c r="F36" s="100"/>
      <c r="G36" s="100" t="s">
        <v>5</v>
      </c>
      <c r="H36" s="100" t="s">
        <v>5</v>
      </c>
      <c r="I36" s="100"/>
      <c r="J36" s="100"/>
      <c r="K36" s="100"/>
      <c r="L36" s="100"/>
    </row>
    <row r="37" spans="1:12" x14ac:dyDescent="0.25">
      <c r="A37" s="39" t="s">
        <v>230</v>
      </c>
      <c r="B37" s="100"/>
      <c r="C37" s="100"/>
      <c r="D37" s="100"/>
      <c r="E37" s="100"/>
      <c r="F37" s="100"/>
      <c r="G37" s="100" t="s">
        <v>5</v>
      </c>
      <c r="H37" s="100" t="s">
        <v>5</v>
      </c>
      <c r="I37" s="100"/>
      <c r="J37" s="100"/>
      <c r="K37" s="100"/>
      <c r="L37" s="100"/>
    </row>
    <row r="38" spans="1:12" x14ac:dyDescent="0.25">
      <c r="A38" s="39" t="s">
        <v>231</v>
      </c>
      <c r="B38" s="100"/>
      <c r="C38" s="100"/>
      <c r="D38" s="100"/>
      <c r="E38" s="100"/>
      <c r="F38" s="100"/>
      <c r="G38" s="100"/>
      <c r="H38" s="100" t="s">
        <v>5</v>
      </c>
      <c r="I38" s="100"/>
      <c r="J38" s="100"/>
      <c r="K38" s="100"/>
      <c r="L38" s="100"/>
    </row>
    <row r="39" spans="1:12" x14ac:dyDescent="0.25">
      <c r="A39" s="39" t="s">
        <v>232</v>
      </c>
      <c r="B39" s="100" t="s">
        <v>5</v>
      </c>
      <c r="C39" s="100"/>
      <c r="D39" s="100"/>
      <c r="E39" s="100"/>
      <c r="F39" s="100"/>
      <c r="G39" s="100" t="s">
        <v>5</v>
      </c>
      <c r="H39" s="100" t="s">
        <v>5</v>
      </c>
      <c r="I39" s="100"/>
      <c r="J39" s="100"/>
      <c r="K39" s="100"/>
      <c r="L39" s="100"/>
    </row>
  </sheetData>
  <sheetProtection algorithmName="SHA-512" hashValue="ak3Ee/FfuWOokEcljdg2XQiZbByCg3+2w/WWajU9CbkS4754StbQBt8YkzMnvzDFhGFoT8pf8UG9RGXM9RjSjA==" saltValue="vktovacoEn7Hvs23YFRXY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264</v>
      </c>
      <c r="B1" s="27" t="s">
        <v>260</v>
      </c>
      <c r="C1" s="27" t="s">
        <v>124</v>
      </c>
      <c r="D1" s="27" t="s">
        <v>261</v>
      </c>
      <c r="E1" s="27" t="s">
        <v>262</v>
      </c>
      <c r="F1" s="27" t="s">
        <v>142</v>
      </c>
      <c r="G1" s="27" t="s">
        <v>103</v>
      </c>
      <c r="H1" s="27" t="s">
        <v>56</v>
      </c>
      <c r="I1" s="27" t="s">
        <v>259</v>
      </c>
      <c r="J1" s="27" t="s">
        <v>41</v>
      </c>
      <c r="K1" s="27" t="s">
        <v>258</v>
      </c>
      <c r="L1" s="27" t="s">
        <v>263</v>
      </c>
    </row>
    <row r="2" spans="1:12" x14ac:dyDescent="0.25">
      <c r="A2" s="27" t="s">
        <v>97</v>
      </c>
      <c r="B2" s="100" t="s">
        <v>5</v>
      </c>
      <c r="C2" s="100" t="s">
        <v>5</v>
      </c>
      <c r="D2" s="100" t="s">
        <v>5</v>
      </c>
      <c r="E2" s="100" t="s">
        <v>5</v>
      </c>
      <c r="F2" s="100" t="s">
        <v>5</v>
      </c>
      <c r="G2" s="100" t="s">
        <v>5</v>
      </c>
      <c r="H2" s="100" t="s">
        <v>5</v>
      </c>
      <c r="I2" s="100"/>
      <c r="J2" s="100"/>
      <c r="K2" s="100"/>
      <c r="L2" s="100"/>
    </row>
    <row r="3" spans="1:12" x14ac:dyDescent="0.25">
      <c r="A3" s="27" t="s">
        <v>93</v>
      </c>
      <c r="B3" s="100" t="s">
        <v>5</v>
      </c>
      <c r="C3" s="100" t="s">
        <v>5</v>
      </c>
      <c r="D3" s="100" t="s">
        <v>5</v>
      </c>
      <c r="E3" s="100" t="s">
        <v>5</v>
      </c>
      <c r="F3" s="100" t="s">
        <v>5</v>
      </c>
      <c r="G3" s="100" t="s">
        <v>5</v>
      </c>
      <c r="H3" s="100" t="s">
        <v>5</v>
      </c>
      <c r="I3" s="100"/>
      <c r="J3" s="100"/>
      <c r="K3" s="100"/>
      <c r="L3" s="100"/>
    </row>
    <row r="4" spans="1:12" x14ac:dyDescent="0.25">
      <c r="A4" s="27" t="s">
        <v>96</v>
      </c>
      <c r="B4" s="100" t="s">
        <v>5</v>
      </c>
      <c r="C4" s="100" t="s">
        <v>5</v>
      </c>
      <c r="D4" s="100" t="s">
        <v>5</v>
      </c>
      <c r="E4" s="100" t="s">
        <v>5</v>
      </c>
      <c r="F4" s="100" t="s">
        <v>5</v>
      </c>
      <c r="G4" s="100" t="s">
        <v>5</v>
      </c>
      <c r="H4" s="100" t="s">
        <v>5</v>
      </c>
      <c r="I4" s="100"/>
      <c r="J4" s="100"/>
      <c r="K4" s="100"/>
      <c r="L4" s="100"/>
    </row>
    <row r="5" spans="1:12" x14ac:dyDescent="0.25">
      <c r="A5" s="27" t="s">
        <v>94</v>
      </c>
      <c r="B5" s="100" t="s">
        <v>5</v>
      </c>
      <c r="C5" s="100" t="s">
        <v>5</v>
      </c>
      <c r="D5" s="100" t="s">
        <v>5</v>
      </c>
      <c r="E5" s="100" t="s">
        <v>5</v>
      </c>
      <c r="F5" s="100" t="s">
        <v>5</v>
      </c>
      <c r="G5" s="100" t="s">
        <v>5</v>
      </c>
      <c r="H5" s="100" t="s">
        <v>5</v>
      </c>
      <c r="I5" s="100"/>
      <c r="J5" s="100"/>
      <c r="K5" s="100"/>
      <c r="L5" s="100"/>
    </row>
    <row r="6" spans="1:12" x14ac:dyDescent="0.25">
      <c r="A6" s="27" t="s">
        <v>95</v>
      </c>
      <c r="B6" s="100" t="s">
        <v>5</v>
      </c>
      <c r="C6" s="100" t="s">
        <v>5</v>
      </c>
      <c r="D6" s="100" t="s">
        <v>5</v>
      </c>
      <c r="E6" s="100" t="s">
        <v>5</v>
      </c>
      <c r="F6" s="100" t="s">
        <v>5</v>
      </c>
      <c r="G6" s="100" t="s">
        <v>5</v>
      </c>
      <c r="H6" s="100" t="s">
        <v>5</v>
      </c>
      <c r="I6" s="100"/>
      <c r="J6" s="100"/>
      <c r="K6" s="100"/>
      <c r="L6" s="100"/>
    </row>
    <row r="7" spans="1:12" x14ac:dyDescent="0.25">
      <c r="A7" s="27" t="s">
        <v>132</v>
      </c>
      <c r="B7" s="100"/>
      <c r="C7" s="100" t="s">
        <v>5</v>
      </c>
      <c r="D7" s="100"/>
      <c r="E7" s="100"/>
      <c r="F7" s="100"/>
      <c r="G7" s="100"/>
      <c r="H7" s="100" t="s">
        <v>5</v>
      </c>
      <c r="I7" s="100" t="s">
        <v>5</v>
      </c>
      <c r="J7" s="100"/>
      <c r="K7" s="100"/>
      <c r="L7" s="100" t="s">
        <v>5</v>
      </c>
    </row>
    <row r="8" spans="1:12" x14ac:dyDescent="0.25">
      <c r="A8" s="27" t="s">
        <v>133</v>
      </c>
      <c r="B8" s="100"/>
      <c r="C8" s="100" t="s">
        <v>5</v>
      </c>
      <c r="D8" s="100"/>
      <c r="E8" s="100"/>
      <c r="F8" s="100"/>
      <c r="G8" s="100"/>
      <c r="H8" s="100" t="s">
        <v>5</v>
      </c>
      <c r="I8" s="100" t="s">
        <v>5</v>
      </c>
      <c r="J8" s="100"/>
      <c r="K8" s="100"/>
      <c r="L8" s="100" t="s">
        <v>5</v>
      </c>
    </row>
    <row r="9" spans="1:12" x14ac:dyDescent="0.25">
      <c r="A9" s="27" t="s">
        <v>134</v>
      </c>
      <c r="B9" s="100"/>
      <c r="C9" s="100" t="s">
        <v>5</v>
      </c>
      <c r="D9" s="100"/>
      <c r="E9" s="100"/>
      <c r="F9" s="100"/>
      <c r="G9" s="100"/>
      <c r="H9" s="100" t="s">
        <v>5</v>
      </c>
      <c r="I9" s="100" t="s">
        <v>5</v>
      </c>
      <c r="J9" s="100"/>
      <c r="K9" s="100"/>
      <c r="L9" s="100" t="s">
        <v>5</v>
      </c>
    </row>
    <row r="10" spans="1:12" x14ac:dyDescent="0.25">
      <c r="A10" s="27" t="s">
        <v>135</v>
      </c>
      <c r="B10" s="100"/>
      <c r="C10" s="100" t="s">
        <v>5</v>
      </c>
      <c r="D10" s="100"/>
      <c r="E10" s="100"/>
      <c r="F10" s="100"/>
      <c r="G10" s="100"/>
      <c r="H10" s="100" t="s">
        <v>5</v>
      </c>
      <c r="I10" s="100" t="s">
        <v>5</v>
      </c>
      <c r="J10" s="100"/>
      <c r="K10" s="100"/>
      <c r="L10" s="100" t="s">
        <v>5</v>
      </c>
    </row>
    <row r="11" spans="1:12" x14ac:dyDescent="0.25">
      <c r="A11" s="27" t="s">
        <v>87</v>
      </c>
      <c r="B11" s="100"/>
      <c r="C11" s="100" t="s">
        <v>5</v>
      </c>
      <c r="D11" s="100"/>
      <c r="E11" s="100"/>
      <c r="F11" s="100"/>
      <c r="G11" s="100"/>
      <c r="H11" s="100"/>
      <c r="I11" s="100"/>
      <c r="J11" s="100" t="s">
        <v>5</v>
      </c>
      <c r="K11" s="100" t="s">
        <v>5</v>
      </c>
      <c r="L11" s="100"/>
    </row>
    <row r="12" spans="1:12" x14ac:dyDescent="0.25">
      <c r="A12" s="27" t="s">
        <v>88</v>
      </c>
      <c r="B12" s="100"/>
      <c r="C12" s="100" t="s">
        <v>5</v>
      </c>
      <c r="D12" s="100"/>
      <c r="E12" s="100"/>
      <c r="F12" s="100"/>
      <c r="G12" s="100"/>
      <c r="H12" s="100"/>
      <c r="I12" s="100"/>
      <c r="J12" s="100"/>
      <c r="K12" s="100" t="s">
        <v>5</v>
      </c>
      <c r="L12" s="100"/>
    </row>
    <row r="13" spans="1:12" x14ac:dyDescent="0.25">
      <c r="A13" s="27" t="s">
        <v>89</v>
      </c>
      <c r="B13" s="100"/>
      <c r="C13" s="100" t="s">
        <v>5</v>
      </c>
      <c r="D13" s="100"/>
      <c r="E13" s="100"/>
      <c r="F13" s="100"/>
      <c r="G13" s="100"/>
      <c r="H13" s="100"/>
      <c r="I13" s="100"/>
      <c r="J13" s="100"/>
      <c r="K13" s="100" t="s">
        <v>5</v>
      </c>
      <c r="L13" s="100"/>
    </row>
    <row r="14" spans="1:12" x14ac:dyDescent="0.25">
      <c r="A14" s="27" t="s">
        <v>90</v>
      </c>
      <c r="B14" s="100"/>
      <c r="C14" s="100" t="s">
        <v>5</v>
      </c>
      <c r="D14" s="100"/>
      <c r="E14" s="100"/>
      <c r="F14" s="100"/>
      <c r="G14" s="100"/>
      <c r="H14" s="100"/>
      <c r="I14" s="100"/>
      <c r="J14" s="100"/>
      <c r="K14" s="100" t="s">
        <v>5</v>
      </c>
      <c r="L14" s="100"/>
    </row>
  </sheetData>
  <sheetProtection algorithmName="SHA-512" hashValue="WPhsFqlgKCSwRBJQIEE7yiQeVMSioP50tHVgvv8Ujx1k0WQ43jOrmchIKt2+STch5sCp5k5MjDbvITNqH6ZjEw==" saltValue="dMVToFTWL6vALvrRM56nU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265</v>
      </c>
      <c r="B1" s="29" t="s">
        <v>185</v>
      </c>
      <c r="C1" s="29" t="s">
        <v>189</v>
      </c>
      <c r="D1" s="29" t="s">
        <v>97</v>
      </c>
      <c r="E1" s="29" t="s">
        <v>93</v>
      </c>
      <c r="F1" s="29" t="s">
        <v>96</v>
      </c>
      <c r="G1" s="29" t="s">
        <v>94</v>
      </c>
      <c r="H1" s="29" t="s">
        <v>95</v>
      </c>
    </row>
    <row r="2" spans="1:10" ht="13" x14ac:dyDescent="0.3">
      <c r="A2" s="29" t="s">
        <v>267</v>
      </c>
      <c r="B2" s="125" t="s">
        <v>123</v>
      </c>
      <c r="C2" s="27" t="s">
        <v>179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178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184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97</v>
      </c>
      <c r="C5" s="27" t="s">
        <v>179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178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184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93</v>
      </c>
      <c r="C8" s="27" t="s">
        <v>179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178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184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96</v>
      </c>
      <c r="C11" s="27" t="s">
        <v>179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178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184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94</v>
      </c>
      <c r="C14" s="27" t="s">
        <v>179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178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184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177</v>
      </c>
      <c r="C17" s="27" t="s">
        <v>184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273</v>
      </c>
      <c r="B19" s="125" t="s">
        <v>123</v>
      </c>
      <c r="C19" s="27" t="s">
        <v>179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178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184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97</v>
      </c>
      <c r="C22" s="27" t="s">
        <v>179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178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184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93</v>
      </c>
      <c r="C25" s="27" t="s">
        <v>179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178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184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96</v>
      </c>
      <c r="C28" s="27" t="s">
        <v>179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178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184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94</v>
      </c>
      <c r="C31" s="27" t="s">
        <v>179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178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184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177</v>
      </c>
      <c r="C34" s="27" t="s">
        <v>184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270</v>
      </c>
      <c r="B36" s="125" t="s">
        <v>123</v>
      </c>
      <c r="C36" s="27" t="s">
        <v>179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178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184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97</v>
      </c>
      <c r="C39" s="27" t="s">
        <v>179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178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184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93</v>
      </c>
      <c r="C42" s="27" t="s">
        <v>179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178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184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96</v>
      </c>
      <c r="C45" s="27" t="s">
        <v>179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178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184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94</v>
      </c>
      <c r="C48" s="27" t="s">
        <v>179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178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184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177</v>
      </c>
      <c r="C51" s="27" t="s">
        <v>184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266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265</v>
      </c>
      <c r="B54" s="29" t="s">
        <v>185</v>
      </c>
      <c r="C54" s="29" t="s">
        <v>189</v>
      </c>
      <c r="D54" s="29" t="s">
        <v>97</v>
      </c>
      <c r="E54" s="29" t="s">
        <v>93</v>
      </c>
      <c r="F54" s="29" t="s">
        <v>96</v>
      </c>
      <c r="G54" s="29" t="s">
        <v>94</v>
      </c>
      <c r="H54" s="29" t="s">
        <v>95</v>
      </c>
    </row>
    <row r="55" spans="1:8" ht="13" x14ac:dyDescent="0.3">
      <c r="A55" s="29" t="s">
        <v>268</v>
      </c>
      <c r="B55" s="125" t="s">
        <v>123</v>
      </c>
      <c r="C55" s="27" t="s">
        <v>179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178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184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97</v>
      </c>
      <c r="C58" s="27" t="s">
        <v>179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178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184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93</v>
      </c>
      <c r="C61" s="27" t="s">
        <v>179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178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184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96</v>
      </c>
      <c r="C64" s="27" t="s">
        <v>179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178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184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94</v>
      </c>
      <c r="C67" s="27" t="s">
        <v>179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178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184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177</v>
      </c>
      <c r="C70" s="27" t="s">
        <v>184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274</v>
      </c>
      <c r="B72" s="125" t="s">
        <v>123</v>
      </c>
      <c r="C72" s="27" t="s">
        <v>179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178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184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97</v>
      </c>
      <c r="C75" s="27" t="s">
        <v>179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178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184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93</v>
      </c>
      <c r="C78" s="27" t="s">
        <v>179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178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184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96</v>
      </c>
      <c r="C81" s="27" t="s">
        <v>179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178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184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94</v>
      </c>
      <c r="C84" s="27" t="s">
        <v>179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178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184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177</v>
      </c>
      <c r="C87" s="27" t="s">
        <v>184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271</v>
      </c>
      <c r="B89" s="125" t="s">
        <v>123</v>
      </c>
      <c r="C89" s="27" t="s">
        <v>179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178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184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97</v>
      </c>
      <c r="C92" s="27" t="s">
        <v>179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178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184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93</v>
      </c>
      <c r="C95" s="27" t="s">
        <v>179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178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184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96</v>
      </c>
      <c r="C98" s="27" t="s">
        <v>179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178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184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94</v>
      </c>
      <c r="C101" s="27" t="s">
        <v>179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178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184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177</v>
      </c>
      <c r="C104" s="27" t="s">
        <v>184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276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265</v>
      </c>
      <c r="B107" s="29" t="s">
        <v>185</v>
      </c>
      <c r="C107" s="29" t="s">
        <v>189</v>
      </c>
      <c r="D107" s="29" t="s">
        <v>97</v>
      </c>
      <c r="E107" s="29" t="s">
        <v>93</v>
      </c>
      <c r="F107" s="29" t="s">
        <v>96</v>
      </c>
      <c r="G107" s="29" t="s">
        <v>94</v>
      </c>
      <c r="H107" s="29" t="s">
        <v>95</v>
      </c>
    </row>
    <row r="108" spans="1:8" ht="13" x14ac:dyDescent="0.3">
      <c r="A108" s="29" t="s">
        <v>269</v>
      </c>
      <c r="B108" s="125" t="s">
        <v>123</v>
      </c>
      <c r="C108" s="27" t="s">
        <v>179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178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184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97</v>
      </c>
      <c r="C111" s="27" t="s">
        <v>179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178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184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93</v>
      </c>
      <c r="C114" s="27" t="s">
        <v>179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178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184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96</v>
      </c>
      <c r="C117" s="27" t="s">
        <v>179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178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184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94</v>
      </c>
      <c r="C120" s="27" t="s">
        <v>179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178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184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177</v>
      </c>
      <c r="C123" s="27" t="s">
        <v>184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275</v>
      </c>
      <c r="B125" s="125" t="s">
        <v>123</v>
      </c>
      <c r="C125" s="27" t="s">
        <v>179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178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184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97</v>
      </c>
      <c r="C128" s="27" t="s">
        <v>179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178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184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93</v>
      </c>
      <c r="C131" s="27" t="s">
        <v>179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178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184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96</v>
      </c>
      <c r="C134" s="27" t="s">
        <v>179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178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184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94</v>
      </c>
      <c r="C137" s="27" t="s">
        <v>179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178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184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177</v>
      </c>
      <c r="C140" s="27" t="s">
        <v>184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272</v>
      </c>
      <c r="B142" s="125" t="s">
        <v>123</v>
      </c>
      <c r="C142" s="27" t="s">
        <v>179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178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184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97</v>
      </c>
      <c r="C145" s="27" t="s">
        <v>179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178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184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93</v>
      </c>
      <c r="C148" s="27" t="s">
        <v>179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178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184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96</v>
      </c>
      <c r="C151" s="27" t="s">
        <v>179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178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184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94</v>
      </c>
      <c r="C154" s="27" t="s">
        <v>179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178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184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177</v>
      </c>
      <c r="C157" s="27" t="s">
        <v>184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zGhC2GqucF+bdbIREM+aoDnFoAMUv1F1uPvKZ8sBHja5wImHUnroQeC7nQb1MQLG6tkfuSiCSaP/nfQfDV3RVw==" saltValue="0UDCyc+n/UTCES4+1uREPA==" spinCount="100000" sheet="1" objects="1" scenarios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279</v>
      </c>
    </row>
    <row r="2" spans="1:6" ht="15.75" customHeight="1" x14ac:dyDescent="0.3">
      <c r="B2" s="80"/>
      <c r="C2" s="81" t="s">
        <v>77</v>
      </c>
      <c r="D2" s="82" t="s">
        <v>78</v>
      </c>
      <c r="E2" s="82" t="s">
        <v>70</v>
      </c>
      <c r="F2" s="82" t="s">
        <v>71</v>
      </c>
    </row>
    <row r="3" spans="1:6" ht="15.75" customHeight="1" x14ac:dyDescent="0.3">
      <c r="A3" s="29" t="s">
        <v>286</v>
      </c>
      <c r="B3" s="83"/>
      <c r="C3" s="84"/>
      <c r="D3" s="85"/>
      <c r="E3" s="85"/>
      <c r="F3" s="85"/>
    </row>
    <row r="4" spans="1:6" ht="15.75" customHeight="1" x14ac:dyDescent="0.25">
      <c r="B4" s="72" t="s">
        <v>46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82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29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30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283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292</v>
      </c>
      <c r="C11" s="87"/>
      <c r="D11" s="88"/>
      <c r="E11" s="88"/>
      <c r="F11" s="88"/>
    </row>
    <row r="12" spans="1:6" ht="15.75" customHeight="1" x14ac:dyDescent="0.3">
      <c r="A12" s="29" t="s">
        <v>280</v>
      </c>
      <c r="C12" s="86"/>
      <c r="D12" s="75"/>
      <c r="E12" s="75"/>
      <c r="F12" s="75"/>
    </row>
    <row r="13" spans="1:6" ht="15.75" customHeight="1" x14ac:dyDescent="0.25">
      <c r="B13" s="45" t="s">
        <v>295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126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138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289</v>
      </c>
      <c r="B17" s="83"/>
      <c r="C17" s="90"/>
      <c r="D17" s="91"/>
      <c r="E17" s="91"/>
      <c r="F17" s="91"/>
    </row>
    <row r="18" spans="1:6" ht="15.75" customHeight="1" x14ac:dyDescent="0.25">
      <c r="B18" s="72" t="s">
        <v>112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116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114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110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115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117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111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113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266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279</v>
      </c>
    </row>
    <row r="29" spans="1:6" ht="15.75" customHeight="1" x14ac:dyDescent="0.3">
      <c r="B29" s="80"/>
      <c r="C29" s="81" t="s">
        <v>77</v>
      </c>
      <c r="D29" s="82" t="s">
        <v>78</v>
      </c>
      <c r="E29" s="82" t="s">
        <v>70</v>
      </c>
      <c r="F29" s="82" t="s">
        <v>71</v>
      </c>
    </row>
    <row r="30" spans="1:6" ht="15.75" customHeight="1" x14ac:dyDescent="0.3">
      <c r="A30" s="29" t="s">
        <v>287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46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82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29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30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284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292</v>
      </c>
      <c r="B38" s="79"/>
      <c r="C38" s="87"/>
      <c r="D38" s="88"/>
      <c r="E38" s="88"/>
      <c r="F38" s="88"/>
    </row>
    <row r="39" spans="1:6" ht="15.75" customHeight="1" x14ac:dyDescent="0.3">
      <c r="A39" s="29" t="s">
        <v>281</v>
      </c>
      <c r="C39" s="86"/>
      <c r="D39" s="75"/>
      <c r="E39" s="75"/>
      <c r="F39" s="75"/>
    </row>
    <row r="40" spans="1:6" ht="15.75" customHeight="1" x14ac:dyDescent="0.25">
      <c r="B40" s="45" t="s">
        <v>296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277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293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290</v>
      </c>
      <c r="B44" s="83"/>
      <c r="C44" s="90"/>
      <c r="D44" s="91"/>
      <c r="E44" s="91"/>
      <c r="F44" s="91"/>
    </row>
    <row r="45" spans="1:6" ht="15.75" customHeight="1" x14ac:dyDescent="0.25">
      <c r="B45" s="72" t="s">
        <v>112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116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114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110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115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117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111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113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276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279</v>
      </c>
    </row>
    <row r="56" spans="1:6" ht="15.75" customHeight="1" x14ac:dyDescent="0.3">
      <c r="B56" s="80"/>
      <c r="C56" s="81" t="s">
        <v>77</v>
      </c>
      <c r="D56" s="82" t="s">
        <v>78</v>
      </c>
      <c r="E56" s="82" t="s">
        <v>70</v>
      </c>
      <c r="F56" s="82" t="s">
        <v>71</v>
      </c>
    </row>
    <row r="57" spans="1:6" ht="15.75" customHeight="1" x14ac:dyDescent="0.3">
      <c r="A57" s="29" t="s">
        <v>288</v>
      </c>
      <c r="B57" s="83"/>
      <c r="C57" s="84"/>
      <c r="D57" s="85"/>
      <c r="E57" s="85"/>
      <c r="F57" s="85"/>
    </row>
    <row r="58" spans="1:6" ht="15.75" customHeight="1" x14ac:dyDescent="0.25">
      <c r="B58" s="72" t="s">
        <v>46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82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29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30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285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292</v>
      </c>
      <c r="B65" s="79"/>
      <c r="C65" s="87"/>
      <c r="D65" s="88"/>
      <c r="E65" s="88"/>
      <c r="F65" s="88"/>
    </row>
    <row r="66" spans="1:6" ht="15.75" customHeight="1" x14ac:dyDescent="0.3">
      <c r="A66" s="29" t="s">
        <v>282</v>
      </c>
      <c r="C66" s="86"/>
      <c r="D66" s="75"/>
      <c r="E66" s="75"/>
      <c r="F66" s="75"/>
    </row>
    <row r="67" spans="1:6" ht="15.75" customHeight="1" x14ac:dyDescent="0.25">
      <c r="B67" s="45" t="s">
        <v>297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278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294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291</v>
      </c>
      <c r="B71" s="83"/>
      <c r="C71" s="90"/>
      <c r="D71" s="91"/>
      <c r="E71" s="91"/>
      <c r="F71" s="91"/>
    </row>
    <row r="72" spans="1:6" ht="15.75" customHeight="1" x14ac:dyDescent="0.25">
      <c r="B72" s="72" t="s">
        <v>112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116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114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110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115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117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111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113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vl8QWcxId+4hAfLOMu15SohezPUSDwQIS08C3yhQ5bR0R68G41pRyXKDzQdxpCI9rWgEd/XN2M3p4CMDGQIrFg==" saltValue="Dsoij94NbRooargM4H6Tp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309</v>
      </c>
    </row>
    <row r="2" spans="1:16" ht="13" x14ac:dyDescent="0.3">
      <c r="A2" s="92" t="s">
        <v>260</v>
      </c>
      <c r="B2" s="41" t="s">
        <v>301</v>
      </c>
      <c r="C2" s="41" t="s">
        <v>302</v>
      </c>
      <c r="D2" s="82" t="s">
        <v>97</v>
      </c>
      <c r="E2" s="82" t="s">
        <v>93</v>
      </c>
      <c r="F2" s="82" t="s">
        <v>96</v>
      </c>
      <c r="G2" s="82" t="s">
        <v>94</v>
      </c>
      <c r="H2" s="82" t="s">
        <v>95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103</v>
      </c>
      <c r="C3" s="31" t="s">
        <v>7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304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305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303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121</v>
      </c>
      <c r="C7" s="31" t="s">
        <v>7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304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305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303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109</v>
      </c>
      <c r="C11" s="31" t="s">
        <v>7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304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305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303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</v>
      </c>
      <c r="C15" s="31" t="s">
        <v>7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304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305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303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0</v>
      </c>
      <c r="C19" s="31" t="s">
        <v>7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304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305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303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118</v>
      </c>
      <c r="C23" s="31" t="s">
        <v>7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304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305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303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310</v>
      </c>
    </row>
    <row r="29" spans="1:16" ht="13" x14ac:dyDescent="0.3">
      <c r="A29" s="92" t="s">
        <v>313</v>
      </c>
      <c r="B29" s="29" t="s">
        <v>301</v>
      </c>
      <c r="C29" s="29" t="s">
        <v>312</v>
      </c>
      <c r="D29" s="82" t="s">
        <v>97</v>
      </c>
      <c r="E29" s="82" t="s">
        <v>93</v>
      </c>
      <c r="F29" s="82" t="s">
        <v>96</v>
      </c>
      <c r="G29" s="82" t="s">
        <v>94</v>
      </c>
      <c r="H29" s="82" t="s">
        <v>95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103</v>
      </c>
      <c r="C30" s="31" t="s">
        <v>7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304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3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236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121</v>
      </c>
      <c r="C34" s="31" t="s">
        <v>7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304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3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236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109</v>
      </c>
      <c r="C38" s="31" t="s">
        <v>7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304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3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236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</v>
      </c>
      <c r="C42" s="31" t="s">
        <v>7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304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3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236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0</v>
      </c>
      <c r="C46" s="31" t="s">
        <v>7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304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3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236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118</v>
      </c>
      <c r="C50" s="31" t="s">
        <v>7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304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3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236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307</v>
      </c>
    </row>
    <row r="56" spans="1:16" ht="13" x14ac:dyDescent="0.3">
      <c r="A56" s="92" t="s">
        <v>124</v>
      </c>
      <c r="B56" s="29" t="s">
        <v>301</v>
      </c>
      <c r="C56" s="80" t="s">
        <v>298</v>
      </c>
      <c r="D56" s="82" t="s">
        <v>132</v>
      </c>
      <c r="E56" s="82" t="s">
        <v>133</v>
      </c>
      <c r="F56" s="82" t="s">
        <v>134</v>
      </c>
      <c r="G56" s="82" t="s">
        <v>135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100</v>
      </c>
      <c r="C57" s="31" t="s">
        <v>306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299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108</v>
      </c>
      <c r="C59" s="31" t="s">
        <v>306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299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122</v>
      </c>
      <c r="C61" s="31" t="s">
        <v>306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299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308</v>
      </c>
    </row>
    <row r="65" spans="1:16" ht="26" x14ac:dyDescent="0.3">
      <c r="A65" s="92" t="s">
        <v>142</v>
      </c>
      <c r="B65" s="29" t="s">
        <v>301</v>
      </c>
      <c r="C65" s="80" t="s">
        <v>300</v>
      </c>
      <c r="D65" s="82" t="s">
        <v>97</v>
      </c>
      <c r="E65" s="82" t="s">
        <v>93</v>
      </c>
      <c r="F65" s="82" t="s">
        <v>96</v>
      </c>
      <c r="G65" s="82" t="s">
        <v>94</v>
      </c>
      <c r="H65" s="95" t="s">
        <v>95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112</v>
      </c>
      <c r="C66" s="31" t="s">
        <v>143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146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145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144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116</v>
      </c>
      <c r="C70" s="31" t="s">
        <v>143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146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145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144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114</v>
      </c>
      <c r="C74" s="31" t="s">
        <v>143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146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145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144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115</v>
      </c>
      <c r="C78" s="31" t="s">
        <v>143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146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145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144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103</v>
      </c>
      <c r="C82" s="31" t="s">
        <v>143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146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145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144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121</v>
      </c>
      <c r="C86" s="31" t="s">
        <v>143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146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145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144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109</v>
      </c>
      <c r="C90" s="31" t="s">
        <v>143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146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145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144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0</v>
      </c>
      <c r="C94" s="31" t="s">
        <v>143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146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145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144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120</v>
      </c>
      <c r="C98" s="31" t="s">
        <v>143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146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145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144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311</v>
      </c>
    </row>
    <row r="104" spans="1:16" ht="26" x14ac:dyDescent="0.3">
      <c r="A104" s="92" t="s">
        <v>103</v>
      </c>
      <c r="B104" s="96" t="s">
        <v>144</v>
      </c>
      <c r="C104" s="80" t="s">
        <v>300</v>
      </c>
      <c r="D104" s="82" t="s">
        <v>97</v>
      </c>
      <c r="E104" s="82" t="s">
        <v>93</v>
      </c>
      <c r="F104" s="82" t="s">
        <v>96</v>
      </c>
      <c r="G104" s="82" t="s">
        <v>94</v>
      </c>
      <c r="H104" s="95" t="s">
        <v>95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143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146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145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144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266</v>
      </c>
      <c r="H110" s="105"/>
    </row>
    <row r="111" spans="1:16" ht="13" x14ac:dyDescent="0.3">
      <c r="A111" s="78" t="s">
        <v>309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260</v>
      </c>
      <c r="B112" s="41" t="s">
        <v>301</v>
      </c>
      <c r="C112" s="41" t="s">
        <v>302</v>
      </c>
      <c r="D112" s="82" t="s">
        <v>97</v>
      </c>
      <c r="E112" s="82" t="s">
        <v>93</v>
      </c>
      <c r="F112" s="82" t="s">
        <v>96</v>
      </c>
      <c r="G112" s="82" t="s">
        <v>94</v>
      </c>
      <c r="H112" s="82" t="s">
        <v>95</v>
      </c>
    </row>
    <row r="113" spans="1:8" ht="13" x14ac:dyDescent="0.3">
      <c r="A113" s="29"/>
      <c r="B113" s="27" t="s">
        <v>103</v>
      </c>
      <c r="C113" s="31" t="s">
        <v>7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304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305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303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121</v>
      </c>
      <c r="C117" s="31" t="s">
        <v>7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304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305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303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109</v>
      </c>
      <c r="C121" s="31" t="s">
        <v>7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304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305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303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</v>
      </c>
      <c r="C125" s="31" t="s">
        <v>7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304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305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303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0</v>
      </c>
      <c r="C129" s="31" t="s">
        <v>7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304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305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303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118</v>
      </c>
      <c r="C133" s="31" t="s">
        <v>7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304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305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303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310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313</v>
      </c>
      <c r="B139" s="29" t="s">
        <v>301</v>
      </c>
      <c r="C139" s="29" t="s">
        <v>312</v>
      </c>
      <c r="D139" s="82" t="s">
        <v>97</v>
      </c>
      <c r="E139" s="82" t="s">
        <v>93</v>
      </c>
      <c r="F139" s="82" t="s">
        <v>96</v>
      </c>
      <c r="G139" s="82" t="s">
        <v>94</v>
      </c>
      <c r="H139" s="82" t="s">
        <v>95</v>
      </c>
    </row>
    <row r="140" spans="1:8" ht="13" x14ac:dyDescent="0.3">
      <c r="A140" s="29"/>
      <c r="B140" s="27" t="s">
        <v>103</v>
      </c>
      <c r="C140" s="31" t="s">
        <v>7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304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3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236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121</v>
      </c>
      <c r="C144" s="31" t="s">
        <v>7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304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3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236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109</v>
      </c>
      <c r="C148" s="31" t="s">
        <v>7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304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3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236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</v>
      </c>
      <c r="C152" s="31" t="s">
        <v>7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304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3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236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0</v>
      </c>
      <c r="C156" s="31" t="s">
        <v>7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304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3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236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118</v>
      </c>
      <c r="C160" s="31" t="s">
        <v>7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304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3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236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307</v>
      </c>
      <c r="B165" s="79"/>
      <c r="C165" s="79"/>
      <c r="D165" s="79"/>
      <c r="E165" s="79"/>
      <c r="F165" s="79"/>
      <c r="G165" s="79"/>
      <c r="H165" s="79"/>
    </row>
    <row r="166" spans="1:8" ht="13" x14ac:dyDescent="0.3">
      <c r="A166" s="92" t="s">
        <v>124</v>
      </c>
      <c r="B166" s="29" t="s">
        <v>301</v>
      </c>
      <c r="C166" s="80" t="s">
        <v>298</v>
      </c>
      <c r="D166" s="82" t="s">
        <v>132</v>
      </c>
      <c r="E166" s="82" t="s">
        <v>133</v>
      </c>
      <c r="F166" s="82" t="s">
        <v>134</v>
      </c>
      <c r="G166" s="82" t="s">
        <v>135</v>
      </c>
      <c r="H166" s="93"/>
    </row>
    <row r="167" spans="1:8" ht="13" x14ac:dyDescent="0.3">
      <c r="A167" s="29"/>
      <c r="B167" s="27" t="s">
        <v>100</v>
      </c>
      <c r="C167" s="31" t="s">
        <v>306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299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108</v>
      </c>
      <c r="C169" s="31" t="s">
        <v>306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299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122</v>
      </c>
      <c r="C171" s="31" t="s">
        <v>306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299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308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142</v>
      </c>
      <c r="B175" s="29" t="s">
        <v>301</v>
      </c>
      <c r="C175" s="80" t="s">
        <v>300</v>
      </c>
      <c r="D175" s="82" t="s">
        <v>97</v>
      </c>
      <c r="E175" s="82" t="s">
        <v>93</v>
      </c>
      <c r="F175" s="82" t="s">
        <v>96</v>
      </c>
      <c r="G175" s="82" t="s">
        <v>94</v>
      </c>
      <c r="H175" s="95" t="s">
        <v>95</v>
      </c>
    </row>
    <row r="176" spans="1:8" ht="13" x14ac:dyDescent="0.3">
      <c r="A176" s="96"/>
      <c r="B176" s="27" t="s">
        <v>112</v>
      </c>
      <c r="C176" s="31" t="s">
        <v>143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146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145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144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116</v>
      </c>
      <c r="C180" s="31" t="s">
        <v>143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146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145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144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114</v>
      </c>
      <c r="C184" s="31" t="s">
        <v>143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146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145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144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115</v>
      </c>
      <c r="C188" s="31" t="s">
        <v>143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146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145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144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103</v>
      </c>
      <c r="C192" s="31" t="s">
        <v>143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146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145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144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121</v>
      </c>
      <c r="C196" s="31" t="s">
        <v>143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146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145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144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109</v>
      </c>
      <c r="C200" s="31" t="s">
        <v>143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146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145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144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0</v>
      </c>
      <c r="C204" s="31" t="s">
        <v>143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146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145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144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120</v>
      </c>
      <c r="C208" s="31" t="s">
        <v>143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146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145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144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311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103</v>
      </c>
      <c r="B214" s="96" t="s">
        <v>144</v>
      </c>
      <c r="C214" s="80" t="s">
        <v>300</v>
      </c>
      <c r="D214" s="82" t="s">
        <v>97</v>
      </c>
      <c r="E214" s="82" t="s">
        <v>93</v>
      </c>
      <c r="F214" s="82" t="s">
        <v>96</v>
      </c>
      <c r="G214" s="82" t="s">
        <v>94</v>
      </c>
      <c r="H214" s="95" t="s">
        <v>95</v>
      </c>
    </row>
    <row r="215" spans="1:9" ht="13" x14ac:dyDescent="0.3">
      <c r="A215" s="29"/>
      <c r="C215" s="31" t="s">
        <v>143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146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145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144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276</v>
      </c>
      <c r="H220" s="105"/>
    </row>
    <row r="221" spans="1:9" ht="13" x14ac:dyDescent="0.3">
      <c r="A221" s="78" t="s">
        <v>309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260</v>
      </c>
      <c r="B222" s="41" t="s">
        <v>301</v>
      </c>
      <c r="C222" s="41" t="s">
        <v>302</v>
      </c>
      <c r="D222" s="82" t="s">
        <v>97</v>
      </c>
      <c r="E222" s="82" t="s">
        <v>93</v>
      </c>
      <c r="F222" s="82" t="s">
        <v>96</v>
      </c>
      <c r="G222" s="82" t="s">
        <v>94</v>
      </c>
      <c r="H222" s="82" t="s">
        <v>95</v>
      </c>
      <c r="I222" s="93"/>
    </row>
    <row r="223" spans="1:9" ht="13" x14ac:dyDescent="0.3">
      <c r="A223" s="29"/>
      <c r="B223" s="27" t="s">
        <v>103</v>
      </c>
      <c r="C223" s="31" t="s">
        <v>7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304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305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303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121</v>
      </c>
      <c r="C227" s="31" t="s">
        <v>7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304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305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303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109</v>
      </c>
      <c r="C231" s="31" t="s">
        <v>7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304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305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303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</v>
      </c>
      <c r="C235" s="31" t="s">
        <v>7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304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305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303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0</v>
      </c>
      <c r="C239" s="31" t="s">
        <v>7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304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305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303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118</v>
      </c>
      <c r="C243" s="31" t="s">
        <v>7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304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305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303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310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313</v>
      </c>
      <c r="B249" s="29" t="s">
        <v>301</v>
      </c>
      <c r="C249" s="29" t="s">
        <v>312</v>
      </c>
      <c r="D249" s="82" t="s">
        <v>97</v>
      </c>
      <c r="E249" s="82" t="s">
        <v>93</v>
      </c>
      <c r="F249" s="82" t="s">
        <v>96</v>
      </c>
      <c r="G249" s="82" t="s">
        <v>94</v>
      </c>
      <c r="H249" s="82" t="s">
        <v>95</v>
      </c>
      <c r="I249" s="93"/>
    </row>
    <row r="250" spans="1:9" ht="13" x14ac:dyDescent="0.3">
      <c r="A250" s="29"/>
      <c r="B250" s="27" t="s">
        <v>103</v>
      </c>
      <c r="C250" s="31" t="s">
        <v>7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304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3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236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121</v>
      </c>
      <c r="C254" s="31" t="s">
        <v>7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304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3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236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109</v>
      </c>
      <c r="C258" s="31" t="s">
        <v>7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304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3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236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</v>
      </c>
      <c r="C262" s="31" t="s">
        <v>7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304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3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236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0</v>
      </c>
      <c r="C266" s="31" t="s">
        <v>7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304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3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236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118</v>
      </c>
      <c r="C270" s="31" t="s">
        <v>7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304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3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236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307</v>
      </c>
      <c r="B275" s="79"/>
      <c r="C275" s="79"/>
      <c r="D275" s="79"/>
      <c r="E275" s="79"/>
      <c r="F275" s="79"/>
      <c r="G275" s="79"/>
      <c r="H275" s="79"/>
      <c r="I275" s="79"/>
    </row>
    <row r="276" spans="1:9" ht="13" x14ac:dyDescent="0.3">
      <c r="A276" s="92" t="s">
        <v>124</v>
      </c>
      <c r="B276" s="29" t="s">
        <v>301</v>
      </c>
      <c r="C276" s="80" t="s">
        <v>298</v>
      </c>
      <c r="D276" s="82" t="s">
        <v>132</v>
      </c>
      <c r="E276" s="82" t="s">
        <v>133</v>
      </c>
      <c r="F276" s="82" t="s">
        <v>134</v>
      </c>
      <c r="G276" s="82" t="s">
        <v>135</v>
      </c>
      <c r="H276" s="93"/>
    </row>
    <row r="277" spans="1:9" ht="13" x14ac:dyDescent="0.3">
      <c r="A277" s="29"/>
      <c r="B277" s="27" t="s">
        <v>100</v>
      </c>
      <c r="C277" s="31" t="s">
        <v>306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299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108</v>
      </c>
      <c r="C279" s="31" t="s">
        <v>306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299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122</v>
      </c>
      <c r="C281" s="31" t="s">
        <v>306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299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308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142</v>
      </c>
      <c r="B285" s="29" t="s">
        <v>301</v>
      </c>
      <c r="C285" s="80" t="s">
        <v>300</v>
      </c>
      <c r="D285" s="82" t="s">
        <v>97</v>
      </c>
      <c r="E285" s="82" t="s">
        <v>93</v>
      </c>
      <c r="F285" s="82" t="s">
        <v>96</v>
      </c>
      <c r="G285" s="82" t="s">
        <v>94</v>
      </c>
      <c r="H285" s="95" t="s">
        <v>95</v>
      </c>
      <c r="I285" s="93"/>
    </row>
    <row r="286" spans="1:9" ht="13" x14ac:dyDescent="0.3">
      <c r="A286" s="96"/>
      <c r="B286" s="27" t="s">
        <v>112</v>
      </c>
      <c r="C286" s="31" t="s">
        <v>143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146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145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144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116</v>
      </c>
      <c r="C290" s="31" t="s">
        <v>143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146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145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144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114</v>
      </c>
      <c r="C294" s="31" t="s">
        <v>143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146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145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144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115</v>
      </c>
      <c r="C298" s="31" t="s">
        <v>143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146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145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144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103</v>
      </c>
      <c r="C302" s="31" t="s">
        <v>143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146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145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144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121</v>
      </c>
      <c r="C306" s="31" t="s">
        <v>143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146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145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144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109</v>
      </c>
      <c r="C310" s="31" t="s">
        <v>143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146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145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144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0</v>
      </c>
      <c r="C314" s="31" t="s">
        <v>143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146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145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144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120</v>
      </c>
      <c r="C318" s="31" t="s">
        <v>143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146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145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144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311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103</v>
      </c>
      <c r="B324" s="96" t="s">
        <v>144</v>
      </c>
      <c r="C324" s="80" t="s">
        <v>300</v>
      </c>
      <c r="D324" s="82" t="s">
        <v>97</v>
      </c>
      <c r="E324" s="82" t="s">
        <v>93</v>
      </c>
      <c r="F324" s="82" t="s">
        <v>96</v>
      </c>
      <c r="G324" s="82" t="s">
        <v>94</v>
      </c>
      <c r="H324" s="95" t="s">
        <v>95</v>
      </c>
      <c r="I324" s="93"/>
    </row>
    <row r="325" spans="1:9" ht="13" x14ac:dyDescent="0.3">
      <c r="A325" s="29"/>
      <c r="C325" s="31" t="s">
        <v>143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146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145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144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GMs30tt6kob5aXJv/KdLS0JQfp6tC7X9IMETH7HeBvCYTJHKNjw442gnwfFFZU33v1i60WNAeZtEVAkFU4PTrg==" saltValue="QYFHUgzJPdb1e3YKojPb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344</v>
      </c>
    </row>
    <row r="2" spans="1:7" ht="14.25" customHeight="1" x14ac:dyDescent="0.3">
      <c r="A2" s="96" t="s">
        <v>237</v>
      </c>
      <c r="B2" s="41"/>
      <c r="C2" s="29" t="s">
        <v>97</v>
      </c>
      <c r="D2" s="29" t="s">
        <v>93</v>
      </c>
      <c r="E2" s="29" t="s">
        <v>96</v>
      </c>
      <c r="F2" s="29" t="s">
        <v>94</v>
      </c>
      <c r="G2" s="29" t="s">
        <v>95</v>
      </c>
    </row>
    <row r="3" spans="1:7" ht="14.25" customHeight="1" x14ac:dyDescent="0.25">
      <c r="B3" s="45" t="s">
        <v>331</v>
      </c>
      <c r="C3" s="103" t="s">
        <v>8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317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314</v>
      </c>
    </row>
    <row r="6" spans="1:7" ht="14.25" customHeight="1" x14ac:dyDescent="0.25">
      <c r="B6" s="72" t="s">
        <v>222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213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196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233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232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338</v>
      </c>
    </row>
    <row r="13" spans="1:7" ht="14.25" customHeight="1" x14ac:dyDescent="0.3">
      <c r="A13" s="83"/>
      <c r="B13" s="45" t="s">
        <v>211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345</v>
      </c>
    </row>
    <row r="16" spans="1:7" ht="14.25" customHeight="1" x14ac:dyDescent="0.3">
      <c r="A16" s="96" t="s">
        <v>313</v>
      </c>
      <c r="B16" s="72" t="s">
        <v>325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322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124</v>
      </c>
      <c r="B18" s="45" t="s">
        <v>328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341</v>
      </c>
    </row>
    <row r="21" spans="1:7" s="83" customFormat="1" ht="14.25" customHeight="1" x14ac:dyDescent="0.3">
      <c r="C21" s="43" t="s">
        <v>87</v>
      </c>
      <c r="D21" s="43" t="s">
        <v>88</v>
      </c>
      <c r="E21" s="43" t="s">
        <v>89</v>
      </c>
      <c r="F21" s="43" t="s">
        <v>90</v>
      </c>
    </row>
    <row r="22" spans="1:7" x14ac:dyDescent="0.25">
      <c r="B22" s="45" t="s">
        <v>199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266</v>
      </c>
    </row>
    <row r="25" spans="1:7" ht="13" x14ac:dyDescent="0.3">
      <c r="A25" s="78" t="s">
        <v>344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237</v>
      </c>
      <c r="B26" s="41"/>
      <c r="C26" s="29" t="s">
        <v>97</v>
      </c>
      <c r="D26" s="29" t="s">
        <v>93</v>
      </c>
      <c r="E26" s="29" t="s">
        <v>96</v>
      </c>
      <c r="F26" s="29" t="s">
        <v>94</v>
      </c>
      <c r="G26" s="29" t="s">
        <v>95</v>
      </c>
    </row>
    <row r="27" spans="1:7" x14ac:dyDescent="0.25">
      <c r="B27" s="45" t="s">
        <v>332</v>
      </c>
      <c r="C27" s="103" t="s">
        <v>8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318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315</v>
      </c>
    </row>
    <row r="30" spans="1:7" x14ac:dyDescent="0.25">
      <c r="B30" s="72" t="s">
        <v>346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336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27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350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348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339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334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345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313</v>
      </c>
      <c r="B40" s="72" t="s">
        <v>326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323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124</v>
      </c>
      <c r="B42" s="45" t="s">
        <v>329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342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87</v>
      </c>
      <c r="D45" s="43" t="s">
        <v>88</v>
      </c>
      <c r="E45" s="43" t="s">
        <v>89</v>
      </c>
      <c r="F45" s="43" t="s">
        <v>90</v>
      </c>
      <c r="G45" s="83"/>
    </row>
    <row r="46" spans="1:7" x14ac:dyDescent="0.25">
      <c r="B46" s="45" t="s">
        <v>320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276</v>
      </c>
    </row>
    <row r="49" spans="1:7" ht="13" x14ac:dyDescent="0.3">
      <c r="A49" s="78" t="s">
        <v>344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237</v>
      </c>
      <c r="B50" s="41"/>
      <c r="C50" s="29" t="s">
        <v>97</v>
      </c>
      <c r="D50" s="29" t="s">
        <v>93</v>
      </c>
      <c r="E50" s="29" t="s">
        <v>96</v>
      </c>
      <c r="F50" s="29" t="s">
        <v>94</v>
      </c>
      <c r="G50" s="29" t="s">
        <v>95</v>
      </c>
    </row>
    <row r="51" spans="1:7" x14ac:dyDescent="0.25">
      <c r="B51" s="45" t="s">
        <v>333</v>
      </c>
      <c r="C51" s="103" t="s">
        <v>8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319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316</v>
      </c>
    </row>
    <row r="54" spans="1:7" x14ac:dyDescent="0.25">
      <c r="B54" s="72" t="s">
        <v>347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337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28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351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349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340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335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345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313</v>
      </c>
      <c r="B64" s="72" t="s">
        <v>327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324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124</v>
      </c>
      <c r="B66" s="45" t="s">
        <v>330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343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87</v>
      </c>
      <c r="D69" s="43" t="s">
        <v>88</v>
      </c>
      <c r="E69" s="43" t="s">
        <v>89</v>
      </c>
      <c r="F69" s="43" t="s">
        <v>90</v>
      </c>
      <c r="G69" s="83"/>
    </row>
    <row r="70" spans="1:7" x14ac:dyDescent="0.25">
      <c r="B70" s="45" t="s">
        <v>321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aBb0O4xP0GhMSzamls+znhkZQk1WGno1I8I9bdD4q57wtsBkIfbozQlFzrXgeT7wVUalSJlG1F12AZtTaRAtaA==" saltValue="nE+N6amyDJVllGFJ7qr+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192</v>
      </c>
      <c r="B1" s="29"/>
      <c r="C1" s="29" t="s">
        <v>71</v>
      </c>
      <c r="D1" s="29" t="s">
        <v>78</v>
      </c>
      <c r="E1" s="29" t="s">
        <v>70</v>
      </c>
      <c r="F1" s="41" t="s">
        <v>77</v>
      </c>
    </row>
    <row r="2" spans="1:6" ht="15.75" customHeight="1" x14ac:dyDescent="0.25">
      <c r="A2" s="72" t="s">
        <v>194</v>
      </c>
      <c r="B2" s="72" t="s">
        <v>353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352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195</v>
      </c>
      <c r="B4" s="72" t="s">
        <v>353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352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207</v>
      </c>
      <c r="B6" s="72" t="s">
        <v>353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352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208</v>
      </c>
      <c r="B8" s="72" t="s">
        <v>353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352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209</v>
      </c>
      <c r="B10" s="72" t="s">
        <v>353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352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214</v>
      </c>
      <c r="B12" s="72" t="s">
        <v>353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352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220</v>
      </c>
      <c r="B14" s="72" t="s">
        <v>353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352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266</v>
      </c>
    </row>
    <row r="18" spans="1:6" ht="15.75" customHeight="1" x14ac:dyDescent="0.3">
      <c r="A18" s="41" t="s">
        <v>192</v>
      </c>
      <c r="B18" s="29"/>
      <c r="C18" s="29" t="s">
        <v>71</v>
      </c>
      <c r="D18" s="29" t="s">
        <v>78</v>
      </c>
      <c r="E18" s="29" t="s">
        <v>70</v>
      </c>
      <c r="F18" s="41" t="s">
        <v>77</v>
      </c>
    </row>
    <row r="19" spans="1:6" ht="15.75" customHeight="1" x14ac:dyDescent="0.25">
      <c r="A19" s="72" t="s">
        <v>194</v>
      </c>
      <c r="B19" s="72" t="s">
        <v>353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352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195</v>
      </c>
      <c r="B21" s="72" t="s">
        <v>353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352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207</v>
      </c>
      <c r="B23" s="72" t="s">
        <v>353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352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208</v>
      </c>
      <c r="B25" s="72" t="s">
        <v>353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352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209</v>
      </c>
      <c r="B27" s="72" t="s">
        <v>353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352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214</v>
      </c>
      <c r="B29" s="72" t="s">
        <v>353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352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220</v>
      </c>
      <c r="B31" s="72" t="s">
        <v>353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352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276</v>
      </c>
    </row>
    <row r="35" spans="1:6" ht="15.75" customHeight="1" x14ac:dyDescent="0.3">
      <c r="A35" s="41" t="s">
        <v>192</v>
      </c>
      <c r="B35" s="29"/>
      <c r="C35" s="29" t="s">
        <v>71</v>
      </c>
      <c r="D35" s="29" t="s">
        <v>78</v>
      </c>
      <c r="E35" s="29" t="s">
        <v>70</v>
      </c>
      <c r="F35" s="41" t="s">
        <v>77</v>
      </c>
    </row>
    <row r="36" spans="1:6" ht="15.75" customHeight="1" x14ac:dyDescent="0.25">
      <c r="A36" s="72" t="s">
        <v>194</v>
      </c>
      <c r="B36" s="72" t="s">
        <v>353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352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195</v>
      </c>
      <c r="B38" s="72" t="s">
        <v>353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352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207</v>
      </c>
      <c r="B40" s="72" t="s">
        <v>353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352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208</v>
      </c>
      <c r="B42" s="72" t="s">
        <v>353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352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209</v>
      </c>
      <c r="B44" s="72" t="s">
        <v>353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352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214</v>
      </c>
      <c r="B46" s="72" t="s">
        <v>353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352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220</v>
      </c>
      <c r="B48" s="72" t="s">
        <v>353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352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bMfaU03Kze07lCx2EQbVVx5KyGomrjzBgSuprQAajGxHMqMVpjP2/sgwavY75w0iIUYrNuzP812q3ddzt1VJ+w==" saltValue="Pt3oq5P3tIst0Db42Z9e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97</v>
      </c>
      <c r="D1" s="122" t="s">
        <v>93</v>
      </c>
      <c r="E1" s="122" t="s">
        <v>96</v>
      </c>
      <c r="F1" s="122" t="s">
        <v>94</v>
      </c>
      <c r="G1" s="122" t="s">
        <v>95</v>
      </c>
      <c r="H1" s="122" t="s">
        <v>87</v>
      </c>
      <c r="I1" s="122" t="s">
        <v>88</v>
      </c>
      <c r="J1" s="122" t="s">
        <v>89</v>
      </c>
      <c r="K1" s="122" t="s">
        <v>90</v>
      </c>
      <c r="L1" s="122" t="s">
        <v>132</v>
      </c>
      <c r="M1" s="122" t="s">
        <v>133</v>
      </c>
      <c r="N1" s="122" t="s">
        <v>134</v>
      </c>
      <c r="O1" s="122" t="s">
        <v>135</v>
      </c>
    </row>
    <row r="2" spans="1:15" ht="13" x14ac:dyDescent="0.3">
      <c r="A2" s="29" t="s">
        <v>357</v>
      </c>
    </row>
    <row r="3" spans="1:15" x14ac:dyDescent="0.25">
      <c r="B3" s="45" t="s">
        <v>198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203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204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205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206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207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208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209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213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214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219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220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233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354</v>
      </c>
      <c r="B17" s="45"/>
    </row>
    <row r="18" spans="1:15" x14ac:dyDescent="0.25">
      <c r="B18" s="72" t="s">
        <v>200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201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202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210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266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52" x14ac:dyDescent="0.3">
      <c r="A24" s="29"/>
      <c r="B24" s="29"/>
      <c r="C24" s="122" t="s">
        <v>97</v>
      </c>
      <c r="D24" s="122" t="s">
        <v>93</v>
      </c>
      <c r="E24" s="122" t="s">
        <v>96</v>
      </c>
      <c r="F24" s="122" t="s">
        <v>94</v>
      </c>
      <c r="G24" s="122" t="s">
        <v>95</v>
      </c>
      <c r="H24" s="122" t="s">
        <v>87</v>
      </c>
      <c r="I24" s="122" t="s">
        <v>88</v>
      </c>
      <c r="J24" s="122" t="s">
        <v>89</v>
      </c>
      <c r="K24" s="122" t="s">
        <v>90</v>
      </c>
      <c r="L24" s="122" t="s">
        <v>132</v>
      </c>
      <c r="M24" s="122" t="s">
        <v>133</v>
      </c>
      <c r="N24" s="122" t="s">
        <v>134</v>
      </c>
      <c r="O24" s="122" t="s">
        <v>135</v>
      </c>
    </row>
    <row r="25" spans="1:15" ht="13" x14ac:dyDescent="0.3">
      <c r="A25" s="29" t="s">
        <v>358</v>
      </c>
    </row>
    <row r="26" spans="1:15" x14ac:dyDescent="0.25">
      <c r="B26" s="45" t="s">
        <v>198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203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204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205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206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207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208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209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213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214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219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220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233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355</v>
      </c>
      <c r="B40" s="45"/>
    </row>
    <row r="41" spans="1:15" x14ac:dyDescent="0.25">
      <c r="B41" s="72" t="s">
        <v>200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201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202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210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276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52" x14ac:dyDescent="0.3">
      <c r="A47" s="29"/>
      <c r="B47" s="29"/>
      <c r="C47" s="122" t="s">
        <v>97</v>
      </c>
      <c r="D47" s="122" t="s">
        <v>93</v>
      </c>
      <c r="E47" s="122" t="s">
        <v>96</v>
      </c>
      <c r="F47" s="122" t="s">
        <v>94</v>
      </c>
      <c r="G47" s="122" t="s">
        <v>95</v>
      </c>
      <c r="H47" s="122" t="s">
        <v>87</v>
      </c>
      <c r="I47" s="122" t="s">
        <v>88</v>
      </c>
      <c r="J47" s="122" t="s">
        <v>89</v>
      </c>
      <c r="K47" s="122" t="s">
        <v>90</v>
      </c>
      <c r="L47" s="122" t="s">
        <v>132</v>
      </c>
      <c r="M47" s="122" t="s">
        <v>133</v>
      </c>
      <c r="N47" s="122" t="s">
        <v>134</v>
      </c>
      <c r="O47" s="122" t="s">
        <v>135</v>
      </c>
    </row>
    <row r="48" spans="1:15" ht="13" x14ac:dyDescent="0.3">
      <c r="A48" s="29" t="s">
        <v>359</v>
      </c>
    </row>
    <row r="49" spans="1:15" x14ac:dyDescent="0.25">
      <c r="B49" s="45" t="s">
        <v>198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203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204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205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206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207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208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209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213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214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219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220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233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356</v>
      </c>
      <c r="B63" s="45"/>
    </row>
    <row r="64" spans="1:15" x14ac:dyDescent="0.25">
      <c r="B64" s="72" t="s">
        <v>200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201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202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210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EuUKDHgp8SwcdkFMkHYLDNr5WWZKsmMsleRvEG3HYb/9rA0bUZPt98hCvK+f7DvrxfR+ExSrJJbKJVdDv2O+xw==" saltValue="Ru9XIMgOKcofMXidmnLH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29" t="s">
        <v>364</v>
      </c>
    </row>
    <row r="3" spans="1:7" x14ac:dyDescent="0.25">
      <c r="B3" s="45" t="s">
        <v>193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361</v>
      </c>
      <c r="B4" s="45"/>
      <c r="C4" s="123"/>
      <c r="D4" s="123"/>
      <c r="E4" s="123"/>
      <c r="F4" s="123"/>
      <c r="G4" s="123"/>
    </row>
    <row r="5" spans="1:7" x14ac:dyDescent="0.25">
      <c r="B5" s="72" t="s">
        <v>191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360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29" t="s">
        <v>365</v>
      </c>
    </row>
    <row r="10" spans="1:7" x14ac:dyDescent="0.25">
      <c r="B10" s="45" t="s">
        <v>193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362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191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367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29" t="s">
        <v>366</v>
      </c>
    </row>
    <row r="17" spans="1:7" x14ac:dyDescent="0.25">
      <c r="B17" s="45" t="s">
        <v>193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363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191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5WGZMVDjEqlYMJNthYWjrfZ74Ew+sdTH0ftiRwIVjsf/inwsiBS4Smi/W8JToGe+8nAXfrsotmI5Wx2n1vbPoA==" saltValue="o/k0t9/c6zrXz81popbT5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topLeftCell="A2"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192</v>
      </c>
      <c r="B1" s="29" t="s">
        <v>371</v>
      </c>
      <c r="C1" s="96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39" t="s">
        <v>225</v>
      </c>
      <c r="B2" s="39" t="s">
        <v>103</v>
      </c>
      <c r="C2" s="39" t="s">
        <v>368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370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369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222</v>
      </c>
      <c r="B5" s="39" t="s">
        <v>236</v>
      </c>
      <c r="C5" s="39" t="s">
        <v>368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369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3</v>
      </c>
      <c r="C7" s="39" t="s">
        <v>368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369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213</v>
      </c>
      <c r="B9" s="39" t="s">
        <v>236</v>
      </c>
      <c r="C9" s="39" t="s">
        <v>368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369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3</v>
      </c>
      <c r="C11" s="39" t="s">
        <v>368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369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233</v>
      </c>
      <c r="B13" s="39" t="s">
        <v>236</v>
      </c>
      <c r="C13" s="39" t="s">
        <v>368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369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3</v>
      </c>
      <c r="C15" s="39" t="s">
        <v>368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369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A17" s="39" t="s">
        <v>196</v>
      </c>
      <c r="B17" s="39" t="s">
        <v>236</v>
      </c>
      <c r="C17" s="39" t="s">
        <v>368</v>
      </c>
      <c r="D17" s="120">
        <v>0</v>
      </c>
      <c r="E17" s="120">
        <v>0</v>
      </c>
      <c r="F17" s="120">
        <v>1</v>
      </c>
      <c r="G17" s="120">
        <v>1</v>
      </c>
      <c r="H17" s="120">
        <v>1</v>
      </c>
    </row>
    <row r="18" spans="1:8" x14ac:dyDescent="0.25">
      <c r="C18" s="39" t="s">
        <v>369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B19" s="39" t="s">
        <v>3</v>
      </c>
      <c r="C19" s="39" t="s">
        <v>368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369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A21" s="39" t="s">
        <v>202</v>
      </c>
      <c r="B21" s="39" t="s">
        <v>111</v>
      </c>
      <c r="C21" s="39" t="s">
        <v>368</v>
      </c>
      <c r="D21" s="120">
        <v>1</v>
      </c>
      <c r="E21" s="120">
        <v>0</v>
      </c>
      <c r="F21" s="120">
        <v>0</v>
      </c>
      <c r="G21" s="120">
        <v>0</v>
      </c>
      <c r="H21" s="120">
        <v>0</v>
      </c>
    </row>
    <row r="22" spans="1:8" x14ac:dyDescent="0.25">
      <c r="C22" s="39" t="s">
        <v>370</v>
      </c>
      <c r="D22" s="120">
        <v>0.13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200</v>
      </c>
      <c r="B23" s="39" t="s">
        <v>111</v>
      </c>
      <c r="C23" s="39" t="s">
        <v>368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370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201</v>
      </c>
      <c r="B25" s="39" t="s">
        <v>111</v>
      </c>
      <c r="C25" s="39" t="s">
        <v>368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370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229</v>
      </c>
      <c r="B27" s="39" t="s">
        <v>103</v>
      </c>
      <c r="C27" s="39" t="s">
        <v>368</v>
      </c>
      <c r="D27" s="120">
        <v>1</v>
      </c>
      <c r="E27" s="120">
        <v>1</v>
      </c>
      <c r="F27" s="120">
        <v>1</v>
      </c>
      <c r="G27" s="120">
        <v>1</v>
      </c>
      <c r="H27" s="120">
        <v>1</v>
      </c>
    </row>
    <row r="28" spans="1:8" x14ac:dyDescent="0.25">
      <c r="C28" s="39" t="s">
        <v>370</v>
      </c>
      <c r="D28" s="120">
        <v>0.3</v>
      </c>
      <c r="E28" s="120">
        <v>0.3</v>
      </c>
      <c r="F28" s="120">
        <v>0.3</v>
      </c>
      <c r="G28" s="120">
        <v>0.3</v>
      </c>
      <c r="H28" s="120">
        <v>0.3</v>
      </c>
    </row>
    <row r="29" spans="1:8" x14ac:dyDescent="0.25">
      <c r="C29" s="39" t="s">
        <v>369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</row>
    <row r="30" spans="1:8" x14ac:dyDescent="0.25">
      <c r="A30" s="39" t="s">
        <v>230</v>
      </c>
      <c r="B30" s="39" t="s">
        <v>103</v>
      </c>
      <c r="C30" s="39" t="s">
        <v>368</v>
      </c>
      <c r="D30" s="120">
        <v>1</v>
      </c>
      <c r="E30" s="120">
        <v>1</v>
      </c>
      <c r="F30" s="120">
        <v>1</v>
      </c>
      <c r="G30" s="120">
        <v>1</v>
      </c>
      <c r="H30" s="120">
        <v>1</v>
      </c>
    </row>
    <row r="31" spans="1:8" x14ac:dyDescent="0.25">
      <c r="C31" s="39" t="s">
        <v>370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C32" s="39" t="s">
        <v>369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x14ac:dyDescent="0.25">
      <c r="A33" s="39" t="s">
        <v>228</v>
      </c>
      <c r="B33" s="39" t="s">
        <v>103</v>
      </c>
      <c r="C33" s="39" t="s">
        <v>368</v>
      </c>
      <c r="D33" s="120">
        <v>1</v>
      </c>
      <c r="E33" s="120">
        <v>1</v>
      </c>
      <c r="F33" s="120">
        <v>1</v>
      </c>
      <c r="G33" s="120">
        <v>1</v>
      </c>
      <c r="H33" s="120">
        <v>1</v>
      </c>
    </row>
    <row r="34" spans="1:8" x14ac:dyDescent="0.25">
      <c r="C34" s="39" t="s">
        <v>370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C35" s="39" t="s">
        <v>369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</row>
    <row r="36" spans="1:8" x14ac:dyDescent="0.25">
      <c r="A36" s="39" t="s">
        <v>227</v>
      </c>
      <c r="B36" s="39" t="s">
        <v>103</v>
      </c>
      <c r="C36" s="39" t="s">
        <v>368</v>
      </c>
      <c r="D36" s="120">
        <v>1</v>
      </c>
      <c r="E36" s="120">
        <v>1</v>
      </c>
      <c r="F36" s="120">
        <v>1</v>
      </c>
      <c r="G36" s="120">
        <v>1</v>
      </c>
      <c r="H36" s="120">
        <v>1</v>
      </c>
    </row>
    <row r="37" spans="1:8" x14ac:dyDescent="0.25">
      <c r="C37" s="39" t="s">
        <v>370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C38" s="39" t="s">
        <v>369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</row>
    <row r="39" spans="1:8" x14ac:dyDescent="0.25">
      <c r="A39" s="39" t="s">
        <v>226</v>
      </c>
      <c r="B39" s="39" t="s">
        <v>103</v>
      </c>
      <c r="C39" s="39" t="s">
        <v>368</v>
      </c>
      <c r="D39" s="120">
        <v>1</v>
      </c>
      <c r="E39" s="120">
        <v>1</v>
      </c>
      <c r="F39" s="120">
        <v>1</v>
      </c>
      <c r="G39" s="120">
        <v>1</v>
      </c>
      <c r="H39" s="120">
        <v>1</v>
      </c>
    </row>
    <row r="40" spans="1:8" x14ac:dyDescent="0.25">
      <c r="C40" s="39" t="s">
        <v>370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C41" s="39" t="s">
        <v>369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</row>
    <row r="42" spans="1:8" x14ac:dyDescent="0.25">
      <c r="A42" s="39" t="s">
        <v>232</v>
      </c>
      <c r="B42" s="39" t="s">
        <v>103</v>
      </c>
      <c r="C42" s="39" t="s">
        <v>368</v>
      </c>
      <c r="D42" s="120">
        <v>0</v>
      </c>
      <c r="E42" s="120">
        <v>1</v>
      </c>
      <c r="F42" s="120">
        <v>1</v>
      </c>
      <c r="G42" s="120">
        <v>1</v>
      </c>
      <c r="H42" s="120">
        <v>1</v>
      </c>
    </row>
    <row r="43" spans="1:8" x14ac:dyDescent="0.25">
      <c r="C43" s="39" t="s">
        <v>370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C44" s="39" t="s">
        <v>369</v>
      </c>
      <c r="D44" s="120">
        <v>0.09</v>
      </c>
      <c r="E44" s="120">
        <v>0.09</v>
      </c>
      <c r="F44" s="120">
        <v>0.09</v>
      </c>
      <c r="G44" s="120">
        <v>0.09</v>
      </c>
      <c r="H44" s="120">
        <v>0.09</v>
      </c>
    </row>
    <row r="45" spans="1:8" x14ac:dyDescent="0.25">
      <c r="B45" s="39" t="s">
        <v>121</v>
      </c>
      <c r="C45" s="39" t="s">
        <v>368</v>
      </c>
      <c r="D45" s="120">
        <v>0</v>
      </c>
      <c r="E45" s="120">
        <v>1</v>
      </c>
      <c r="F45" s="120">
        <v>1</v>
      </c>
      <c r="G45" s="120">
        <v>1</v>
      </c>
      <c r="H45" s="120">
        <v>1</v>
      </c>
    </row>
    <row r="46" spans="1:8" x14ac:dyDescent="0.25">
      <c r="C46" s="39" t="s">
        <v>370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</row>
    <row r="47" spans="1:8" x14ac:dyDescent="0.25">
      <c r="C47" s="39" t="s">
        <v>369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</row>
    <row r="48" spans="1:8" x14ac:dyDescent="0.25">
      <c r="A48" s="39" t="s">
        <v>221</v>
      </c>
      <c r="B48" s="39" t="s">
        <v>103</v>
      </c>
      <c r="C48" s="39" t="s">
        <v>368</v>
      </c>
      <c r="D48" s="120">
        <v>1</v>
      </c>
      <c r="E48" s="120">
        <v>1</v>
      </c>
      <c r="F48" s="120">
        <v>1</v>
      </c>
      <c r="G48" s="120">
        <v>1</v>
      </c>
      <c r="H48" s="120">
        <v>1</v>
      </c>
    </row>
    <row r="49" spans="1:8" x14ac:dyDescent="0.25">
      <c r="C49" s="39" t="s">
        <v>370</v>
      </c>
      <c r="D49" s="120">
        <v>0.69</v>
      </c>
      <c r="E49" s="120">
        <v>0.69</v>
      </c>
      <c r="F49" s="120">
        <v>0.69</v>
      </c>
      <c r="G49" s="120">
        <v>0.69</v>
      </c>
      <c r="H49" s="120">
        <v>0.69</v>
      </c>
    </row>
    <row r="50" spans="1:8" x14ac:dyDescent="0.25">
      <c r="A50" s="39" t="s">
        <v>231</v>
      </c>
      <c r="B50" s="39" t="s">
        <v>103</v>
      </c>
      <c r="C50" s="39" t="s">
        <v>368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370</v>
      </c>
      <c r="D51" s="120">
        <v>0.76</v>
      </c>
      <c r="E51" s="120">
        <v>0.76</v>
      </c>
      <c r="F51" s="120">
        <v>0.76</v>
      </c>
      <c r="G51" s="120">
        <v>0.76</v>
      </c>
      <c r="H51" s="120">
        <v>0.76</v>
      </c>
    </row>
    <row r="52" spans="1:8" x14ac:dyDescent="0.25">
      <c r="A52" s="39" t="s">
        <v>211</v>
      </c>
      <c r="B52" s="39" t="s">
        <v>115</v>
      </c>
      <c r="C52" s="39" t="s">
        <v>368</v>
      </c>
      <c r="D52" s="120">
        <v>1</v>
      </c>
      <c r="E52" s="120">
        <v>0</v>
      </c>
      <c r="F52" s="120">
        <v>0</v>
      </c>
      <c r="G52" s="120">
        <v>0</v>
      </c>
      <c r="H52" s="120">
        <v>0</v>
      </c>
    </row>
    <row r="53" spans="1:8" x14ac:dyDescent="0.25">
      <c r="C53" s="39" t="s">
        <v>370</v>
      </c>
      <c r="D53" s="120">
        <v>0.32</v>
      </c>
      <c r="E53" s="120">
        <v>0</v>
      </c>
      <c r="F53" s="120">
        <v>0</v>
      </c>
      <c r="G53" s="120">
        <v>0</v>
      </c>
      <c r="H53" s="120">
        <v>0</v>
      </c>
    </row>
    <row r="55" spans="1:8" s="106" customFormat="1" ht="13" x14ac:dyDescent="0.3">
      <c r="A55" s="109" t="s">
        <v>360</v>
      </c>
      <c r="B55" s="110"/>
      <c r="C55" s="110"/>
      <c r="D55" s="124"/>
      <c r="E55" s="124"/>
      <c r="F55" s="124"/>
      <c r="G55" s="124"/>
      <c r="H55" s="124"/>
    </row>
    <row r="56" spans="1:8" ht="13" x14ac:dyDescent="0.3">
      <c r="A56" s="29" t="s">
        <v>192</v>
      </c>
      <c r="B56" s="29" t="s">
        <v>371</v>
      </c>
      <c r="C56" s="96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39" t="s">
        <v>225</v>
      </c>
      <c r="B57" s="39" t="s">
        <v>103</v>
      </c>
      <c r="C57" s="39" t="s">
        <v>368</v>
      </c>
      <c r="D57" s="120">
        <f>IF($C2="Affected fraction",D2,IF(D2=1,1,D2*0.9))</f>
        <v>0</v>
      </c>
      <c r="E57" s="120">
        <f>IF($C2="Affected fraction",E2,IF(E2=1,1,E2*0.9))</f>
        <v>0</v>
      </c>
      <c r="F57" s="120">
        <f>IF($C2="Affected fraction",F2,IF(F2=1,1,F2*0.9))</f>
        <v>1</v>
      </c>
      <c r="G57" s="120">
        <f>IF($C2="Affected fraction",G2,IF(G2=1,1,G2*0.9))</f>
        <v>1</v>
      </c>
      <c r="H57" s="120">
        <f>IF($C2="Affected fraction",H2,IF(H2=1,1,H2*0.9))</f>
        <v>1</v>
      </c>
    </row>
    <row r="58" spans="1:8" x14ac:dyDescent="0.25">
      <c r="C58" s="39" t="s">
        <v>370</v>
      </c>
      <c r="D58" s="120">
        <f>IF($C3="Affected fraction",D3,IF(D3=1,1,D3*0.9))</f>
        <v>0</v>
      </c>
      <c r="E58" s="120">
        <f>IF($C3="Affected fraction",E3,IF(E3=1,1,E3*0.9))</f>
        <v>0</v>
      </c>
      <c r="F58" s="120">
        <v>0.02</v>
      </c>
      <c r="G58" s="120">
        <v>0.02</v>
      </c>
      <c r="H58" s="120">
        <v>0.02</v>
      </c>
    </row>
    <row r="59" spans="1:8" x14ac:dyDescent="0.25">
      <c r="C59" s="39" t="s">
        <v>369</v>
      </c>
      <c r="D59" s="120">
        <f>IF($C4="Affected fraction",D4,IF(D4=1,1,D4*0.9))</f>
        <v>0</v>
      </c>
      <c r="E59" s="120">
        <f>IF($C4="Affected fraction",E4,IF(E4=1,1,E4*0.9))</f>
        <v>0</v>
      </c>
      <c r="F59" s="120">
        <v>0.13</v>
      </c>
      <c r="G59" s="120">
        <v>0.13</v>
      </c>
      <c r="H59" s="120">
        <v>0.13</v>
      </c>
    </row>
    <row r="60" spans="1:8" x14ac:dyDescent="0.25">
      <c r="A60" s="39" t="s">
        <v>222</v>
      </c>
      <c r="B60" s="39" t="s">
        <v>236</v>
      </c>
      <c r="C60" s="39" t="s">
        <v>368</v>
      </c>
      <c r="D60" s="120">
        <v>0</v>
      </c>
      <c r="E60" s="120">
        <v>0</v>
      </c>
      <c r="F60" s="120">
        <v>1</v>
      </c>
      <c r="G60" s="120">
        <v>1</v>
      </c>
      <c r="H60" s="120">
        <v>0</v>
      </c>
    </row>
    <row r="61" spans="1:8" x14ac:dyDescent="0.25">
      <c r="C61" s="39" t="s">
        <v>369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</row>
    <row r="62" spans="1:8" x14ac:dyDescent="0.25">
      <c r="B62" s="39" t="s">
        <v>3</v>
      </c>
      <c r="C62" s="39" t="s">
        <v>368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369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A64" s="39" t="s">
        <v>213</v>
      </c>
      <c r="B64" s="39" t="s">
        <v>236</v>
      </c>
      <c r="C64" s="39" t="s">
        <v>368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369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B66" s="39" t="s">
        <v>3</v>
      </c>
      <c r="C66" s="39" t="s">
        <v>368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369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A68" s="39" t="s">
        <v>233</v>
      </c>
      <c r="B68" s="39" t="s">
        <v>236</v>
      </c>
      <c r="C68" s="39" t="s">
        <v>368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369</v>
      </c>
      <c r="D69" s="120">
        <f t="shared" ref="D69:H81" si="0">IF($C14="Affected fraction",D14,IF(D14=1,1,D14*0.9))</f>
        <v>0</v>
      </c>
      <c r="E69" s="120">
        <f t="shared" si="0"/>
        <v>0</v>
      </c>
      <c r="F69" s="120">
        <v>0.14000000000000001</v>
      </c>
      <c r="G69" s="120">
        <v>0.14000000000000001</v>
      </c>
      <c r="H69" s="120">
        <f>IF($C14="Affected fraction",H14,IF(H14=1,1,H14*0.9))</f>
        <v>0</v>
      </c>
    </row>
    <row r="70" spans="1:8" x14ac:dyDescent="0.25">
      <c r="B70" s="39" t="s">
        <v>3</v>
      </c>
      <c r="C70" s="39" t="s">
        <v>368</v>
      </c>
      <c r="D70" s="120">
        <f t="shared" si="0"/>
        <v>0</v>
      </c>
      <c r="E70" s="120">
        <f t="shared" si="0"/>
        <v>0</v>
      </c>
      <c r="F70" s="120">
        <f>IF($C15="Affected fraction",F15,IF(F15=1,1,F15*0.9))</f>
        <v>1</v>
      </c>
      <c r="G70" s="120">
        <f>IF($C15="Affected fraction",G15,IF(G15=1,1,G15*0.9))</f>
        <v>1</v>
      </c>
      <c r="H70" s="120">
        <f>IF($C15="Affected fraction",H15,IF(H15=1,1,H15*0.9))</f>
        <v>0</v>
      </c>
    </row>
    <row r="71" spans="1:8" x14ac:dyDescent="0.25">
      <c r="C71" s="39" t="s">
        <v>369</v>
      </c>
      <c r="D71" s="120">
        <f t="shared" si="0"/>
        <v>0</v>
      </c>
      <c r="E71" s="120">
        <f t="shared" si="0"/>
        <v>0</v>
      </c>
      <c r="F71" s="120">
        <v>0</v>
      </c>
      <c r="G71" s="120">
        <v>0</v>
      </c>
      <c r="H71" s="120">
        <f>IF($C16="Affected fraction",H16,IF(H16=1,1,H16*0.9))</f>
        <v>0</v>
      </c>
    </row>
    <row r="72" spans="1:8" x14ac:dyDescent="0.25">
      <c r="A72" s="39" t="s">
        <v>196</v>
      </c>
      <c r="B72" s="39" t="s">
        <v>236</v>
      </c>
      <c r="C72" s="39" t="s">
        <v>368</v>
      </c>
      <c r="D72" s="120">
        <f t="shared" si="0"/>
        <v>0</v>
      </c>
      <c r="E72" s="120">
        <f t="shared" si="0"/>
        <v>0</v>
      </c>
      <c r="F72" s="120">
        <f>IF($C17="Affected fraction",F17,IF(F17=1,1,F17*0.9))</f>
        <v>1</v>
      </c>
      <c r="G72" s="120">
        <f>IF($C17="Affected fraction",G17,IF(G17=1,1,G17*0.9))</f>
        <v>1</v>
      </c>
      <c r="H72" s="120">
        <f>IF($C17="Affected fraction",H17,IF(H17=1,1,H17*0.9))</f>
        <v>1</v>
      </c>
    </row>
    <row r="73" spans="1:8" x14ac:dyDescent="0.25">
      <c r="C73" s="39" t="s">
        <v>369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v>0</v>
      </c>
    </row>
    <row r="74" spans="1:8" x14ac:dyDescent="0.25">
      <c r="B74" s="39" t="s">
        <v>3</v>
      </c>
      <c r="C74" s="39" t="s">
        <v>368</v>
      </c>
      <c r="D74" s="120">
        <f t="shared" si="0"/>
        <v>0</v>
      </c>
      <c r="E74" s="120">
        <f t="shared" si="0"/>
        <v>0</v>
      </c>
      <c r="F74" s="120">
        <v>1</v>
      </c>
      <c r="G74" s="120">
        <v>1</v>
      </c>
      <c r="H74" s="120">
        <v>1</v>
      </c>
    </row>
    <row r="75" spans="1:8" x14ac:dyDescent="0.25">
      <c r="C75" s="39" t="s">
        <v>369</v>
      </c>
      <c r="D75" s="120">
        <f t="shared" si="0"/>
        <v>0</v>
      </c>
      <c r="E75" s="120">
        <f t="shared" si="0"/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202</v>
      </c>
      <c r="B76" s="39" t="s">
        <v>111</v>
      </c>
      <c r="C76" s="39" t="s">
        <v>368</v>
      </c>
      <c r="D76" s="120">
        <f t="shared" si="0"/>
        <v>1</v>
      </c>
      <c r="E76" s="120">
        <f t="shared" si="0"/>
        <v>0</v>
      </c>
      <c r="F76" s="120">
        <f t="shared" si="0"/>
        <v>0</v>
      </c>
      <c r="G76" s="120">
        <f t="shared" si="0"/>
        <v>0</v>
      </c>
      <c r="H76" s="120">
        <f t="shared" si="0"/>
        <v>0</v>
      </c>
    </row>
    <row r="77" spans="1:8" x14ac:dyDescent="0.25">
      <c r="C77" s="39" t="s">
        <v>370</v>
      </c>
      <c r="D77" s="120">
        <v>0.11</v>
      </c>
      <c r="E77" s="120">
        <f>IF($C22="Affected fraction",E22,IF(E22=1,1,E22*0.9))</f>
        <v>0</v>
      </c>
      <c r="F77" s="120">
        <f t="shared" si="0"/>
        <v>0</v>
      </c>
      <c r="G77" s="120">
        <f t="shared" si="0"/>
        <v>0</v>
      </c>
      <c r="H77" s="120">
        <f t="shared" si="0"/>
        <v>0</v>
      </c>
    </row>
    <row r="78" spans="1:8" x14ac:dyDescent="0.25">
      <c r="A78" s="39" t="s">
        <v>200</v>
      </c>
      <c r="B78" s="39" t="s">
        <v>111</v>
      </c>
      <c r="C78" s="39" t="s">
        <v>368</v>
      </c>
      <c r="D78" s="120">
        <f>IF($C23="Affected fraction",D23,IF(D23=1,1,D23*0.9))</f>
        <v>1</v>
      </c>
      <c r="E78" s="120">
        <f>IF($C23="Affected fraction",E23,IF(E23=1,1,E23*0.9))</f>
        <v>0</v>
      </c>
      <c r="F78" s="120">
        <f t="shared" si="0"/>
        <v>0</v>
      </c>
      <c r="G78" s="120">
        <f t="shared" si="0"/>
        <v>0</v>
      </c>
      <c r="H78" s="120">
        <f t="shared" si="0"/>
        <v>0</v>
      </c>
    </row>
    <row r="79" spans="1:8" x14ac:dyDescent="0.25">
      <c r="C79" s="39" t="s">
        <v>370</v>
      </c>
      <c r="D79" s="120">
        <v>0.11</v>
      </c>
      <c r="E79" s="120">
        <f>IF($C24="Affected fraction",E24,IF(E24=1,1,E24*0.9))</f>
        <v>0</v>
      </c>
      <c r="F79" s="120">
        <f t="shared" si="0"/>
        <v>0</v>
      </c>
      <c r="G79" s="120">
        <f t="shared" si="0"/>
        <v>0</v>
      </c>
      <c r="H79" s="120">
        <f t="shared" si="0"/>
        <v>0</v>
      </c>
    </row>
    <row r="80" spans="1:8" x14ac:dyDescent="0.25">
      <c r="A80" s="39" t="s">
        <v>201</v>
      </c>
      <c r="B80" s="39" t="s">
        <v>111</v>
      </c>
      <c r="C80" s="39" t="s">
        <v>368</v>
      </c>
      <c r="D80" s="120">
        <f>IF($C25="Affected fraction",D25,IF(D25=1,1,D25*0.9))</f>
        <v>1</v>
      </c>
      <c r="E80" s="120">
        <f>IF($C25="Affected fraction",E25,IF(E25=1,1,E25*0.9))</f>
        <v>0</v>
      </c>
      <c r="F80" s="120">
        <f t="shared" si="0"/>
        <v>0</v>
      </c>
      <c r="G80" s="120">
        <f t="shared" si="0"/>
        <v>0</v>
      </c>
      <c r="H80" s="120">
        <f t="shared" si="0"/>
        <v>0</v>
      </c>
    </row>
    <row r="81" spans="1:8" x14ac:dyDescent="0.25">
      <c r="C81" s="39" t="s">
        <v>370</v>
      </c>
      <c r="D81" s="120">
        <v>0.11</v>
      </c>
      <c r="E81" s="120">
        <f>IF($C26="Affected fraction",E26,IF(E26=1,1,E26*0.9))</f>
        <v>0</v>
      </c>
      <c r="F81" s="120">
        <f t="shared" si="0"/>
        <v>0</v>
      </c>
      <c r="G81" s="120">
        <f t="shared" si="0"/>
        <v>0</v>
      </c>
      <c r="H81" s="120">
        <f t="shared" si="0"/>
        <v>0</v>
      </c>
    </row>
    <row r="82" spans="1:8" x14ac:dyDescent="0.25">
      <c r="A82" s="39" t="s">
        <v>229</v>
      </c>
      <c r="B82" s="39" t="s">
        <v>103</v>
      </c>
      <c r="C82" s="39" t="s">
        <v>368</v>
      </c>
      <c r="D82" s="120">
        <v>1</v>
      </c>
      <c r="E82" s="120">
        <v>1</v>
      </c>
      <c r="F82" s="120">
        <v>1</v>
      </c>
      <c r="G82" s="120">
        <v>1</v>
      </c>
      <c r="H82" s="120">
        <v>1</v>
      </c>
    </row>
    <row r="83" spans="1:8" x14ac:dyDescent="0.25">
      <c r="C83" s="39" t="s">
        <v>370</v>
      </c>
      <c r="D83" s="120">
        <v>7.0000000000000007E-2</v>
      </c>
      <c r="E83" s="120">
        <v>7.0000000000000007E-2</v>
      </c>
      <c r="F83" s="120">
        <v>7.0000000000000007E-2</v>
      </c>
      <c r="G83" s="120">
        <v>7.0000000000000007E-2</v>
      </c>
      <c r="H83" s="120">
        <v>7.0000000000000007E-2</v>
      </c>
    </row>
    <row r="84" spans="1:8" x14ac:dyDescent="0.25">
      <c r="C84" s="39" t="s">
        <v>369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</row>
    <row r="85" spans="1:8" x14ac:dyDescent="0.25">
      <c r="A85" s="39" t="s">
        <v>230</v>
      </c>
      <c r="B85" s="39" t="s">
        <v>103</v>
      </c>
      <c r="C85" s="39" t="s">
        <v>368</v>
      </c>
      <c r="D85" s="120">
        <v>1</v>
      </c>
      <c r="E85" s="120">
        <v>1</v>
      </c>
      <c r="F85" s="120">
        <v>1</v>
      </c>
      <c r="G85" s="120">
        <v>1</v>
      </c>
      <c r="H85" s="120">
        <v>1</v>
      </c>
    </row>
    <row r="86" spans="1:8" x14ac:dyDescent="0.25">
      <c r="C86" s="39" t="s">
        <v>370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</row>
    <row r="87" spans="1:8" x14ac:dyDescent="0.25">
      <c r="C87" s="39" t="s">
        <v>369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</row>
    <row r="88" spans="1:8" x14ac:dyDescent="0.25">
      <c r="A88" s="39" t="s">
        <v>228</v>
      </c>
      <c r="B88" s="39" t="s">
        <v>103</v>
      </c>
      <c r="C88" s="39" t="s">
        <v>368</v>
      </c>
      <c r="D88" s="120">
        <v>1</v>
      </c>
      <c r="E88" s="120">
        <v>1</v>
      </c>
      <c r="F88" s="120">
        <v>1</v>
      </c>
      <c r="G88" s="120">
        <v>1</v>
      </c>
      <c r="H88" s="120">
        <v>1</v>
      </c>
    </row>
    <row r="89" spans="1:8" x14ac:dyDescent="0.25">
      <c r="C89" s="39" t="s">
        <v>370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</row>
    <row r="90" spans="1:8" x14ac:dyDescent="0.25">
      <c r="C90" s="39" t="s">
        <v>369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A91" s="39" t="s">
        <v>227</v>
      </c>
      <c r="B91" s="39" t="s">
        <v>103</v>
      </c>
      <c r="C91" s="39" t="s">
        <v>368</v>
      </c>
      <c r="D91" s="120">
        <v>1</v>
      </c>
      <c r="E91" s="120">
        <v>1</v>
      </c>
      <c r="F91" s="120">
        <v>1</v>
      </c>
      <c r="G91" s="120">
        <v>1</v>
      </c>
      <c r="H91" s="120">
        <v>1</v>
      </c>
    </row>
    <row r="92" spans="1:8" x14ac:dyDescent="0.25">
      <c r="C92" s="39" t="s">
        <v>370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</row>
    <row r="93" spans="1:8" x14ac:dyDescent="0.25">
      <c r="C93" s="39" t="s">
        <v>369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A94" s="39" t="s">
        <v>226</v>
      </c>
      <c r="B94" s="39" t="s">
        <v>103</v>
      </c>
      <c r="C94" s="39" t="s">
        <v>368</v>
      </c>
      <c r="D94" s="120">
        <v>1</v>
      </c>
      <c r="E94" s="120">
        <v>1</v>
      </c>
      <c r="F94" s="120">
        <v>1</v>
      </c>
      <c r="G94" s="120">
        <v>1</v>
      </c>
      <c r="H94" s="120">
        <v>1</v>
      </c>
    </row>
    <row r="95" spans="1:8" x14ac:dyDescent="0.25">
      <c r="C95" s="39" t="s">
        <v>370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</row>
    <row r="96" spans="1:8" x14ac:dyDescent="0.25">
      <c r="C96" s="39" t="s">
        <v>369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A97" s="39" t="s">
        <v>232</v>
      </c>
      <c r="B97" s="39" t="s">
        <v>103</v>
      </c>
      <c r="C97" s="39" t="s">
        <v>368</v>
      </c>
      <c r="D97" s="120">
        <f>IF($C42="Affected fraction",D42,IF(D42=1,1,D42*0.9))</f>
        <v>0</v>
      </c>
      <c r="E97" s="120">
        <f>IF($C42="Affected fraction",E42,IF(E42=1,1,E42*0.9))</f>
        <v>1</v>
      </c>
      <c r="F97" s="120">
        <f>IF($C42="Affected fraction",F42,IF(F42=1,1,F42*0.9))</f>
        <v>1</v>
      </c>
      <c r="G97" s="120">
        <f>IF($C42="Affected fraction",G42,IF(G42=1,1,G42*0.9))</f>
        <v>1</v>
      </c>
      <c r="H97" s="120">
        <f>IF($C42="Affected fraction",H42,IF(H42=1,1,H42*0.9))</f>
        <v>1</v>
      </c>
    </row>
    <row r="98" spans="1:8" x14ac:dyDescent="0.25">
      <c r="C98" s="39" t="s">
        <v>370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</row>
    <row r="99" spans="1:8" x14ac:dyDescent="0.25">
      <c r="C99" s="39" t="s">
        <v>369</v>
      </c>
      <c r="D99" s="120">
        <v>7.0000000000000007E-2</v>
      </c>
      <c r="E99" s="120">
        <v>7.0000000000000007E-2</v>
      </c>
      <c r="F99" s="120">
        <v>7.0000000000000007E-2</v>
      </c>
      <c r="G99" s="120">
        <v>7.0000000000000007E-2</v>
      </c>
      <c r="H99" s="120">
        <v>7.0000000000000007E-2</v>
      </c>
    </row>
    <row r="100" spans="1:8" x14ac:dyDescent="0.25">
      <c r="B100" s="39" t="s">
        <v>121</v>
      </c>
      <c r="C100" s="39" t="s">
        <v>368</v>
      </c>
      <c r="D100" s="120">
        <v>0</v>
      </c>
      <c r="E100" s="120">
        <v>1</v>
      </c>
      <c r="F100" s="120">
        <v>1</v>
      </c>
      <c r="G100" s="120">
        <v>1</v>
      </c>
      <c r="H100" s="120">
        <v>1</v>
      </c>
    </row>
    <row r="101" spans="1:8" x14ac:dyDescent="0.25">
      <c r="C101" s="39" t="s">
        <v>370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</row>
    <row r="102" spans="1:8" x14ac:dyDescent="0.25">
      <c r="C102" s="39" t="s">
        <v>369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A103" s="39" t="s">
        <v>221</v>
      </c>
      <c r="B103" s="39" t="s">
        <v>103</v>
      </c>
      <c r="C103" s="39" t="s">
        <v>368</v>
      </c>
      <c r="D103" s="120">
        <v>1</v>
      </c>
      <c r="E103" s="120">
        <v>1</v>
      </c>
      <c r="F103" s="120">
        <v>1</v>
      </c>
      <c r="G103" s="120">
        <v>1</v>
      </c>
      <c r="H103" s="120">
        <v>1</v>
      </c>
    </row>
    <row r="104" spans="1:8" x14ac:dyDescent="0.25">
      <c r="C104" s="39" t="s">
        <v>370</v>
      </c>
      <c r="D104" s="120">
        <v>0.51</v>
      </c>
      <c r="E104" s="120">
        <v>0.51</v>
      </c>
      <c r="F104" s="120">
        <v>0.51</v>
      </c>
      <c r="G104" s="120">
        <v>0.51</v>
      </c>
      <c r="H104" s="120">
        <v>0.51</v>
      </c>
    </row>
    <row r="105" spans="1:8" x14ac:dyDescent="0.25">
      <c r="A105" s="39" t="s">
        <v>231</v>
      </c>
      <c r="B105" s="39" t="s">
        <v>103</v>
      </c>
      <c r="C105" s="39" t="s">
        <v>368</v>
      </c>
      <c r="D105" s="120">
        <v>1</v>
      </c>
      <c r="E105" s="120">
        <v>1</v>
      </c>
      <c r="F105" s="120">
        <v>1</v>
      </c>
      <c r="G105" s="120">
        <v>1</v>
      </c>
      <c r="H105" s="120">
        <v>1</v>
      </c>
    </row>
    <row r="106" spans="1:8" x14ac:dyDescent="0.25">
      <c r="C106" s="39" t="s">
        <v>370</v>
      </c>
      <c r="D106" s="120">
        <v>0.62</v>
      </c>
      <c r="E106" s="120">
        <v>0.62</v>
      </c>
      <c r="F106" s="120">
        <v>0.62</v>
      </c>
      <c r="G106" s="120">
        <v>0.62</v>
      </c>
      <c r="H106" s="120">
        <v>0.62</v>
      </c>
    </row>
    <row r="107" spans="1:8" x14ac:dyDescent="0.25">
      <c r="A107" s="39" t="s">
        <v>211</v>
      </c>
      <c r="B107" s="39" t="s">
        <v>115</v>
      </c>
      <c r="C107" s="39" t="s">
        <v>368</v>
      </c>
      <c r="D107" s="120">
        <v>1</v>
      </c>
      <c r="E107" s="120">
        <v>0</v>
      </c>
      <c r="F107" s="120">
        <v>0</v>
      </c>
      <c r="G107" s="120">
        <v>0</v>
      </c>
      <c r="H107" s="120">
        <v>0</v>
      </c>
    </row>
    <row r="108" spans="1:8" x14ac:dyDescent="0.25">
      <c r="C108" s="39" t="s">
        <v>370</v>
      </c>
      <c r="D108" s="120">
        <v>0.14000000000000001</v>
      </c>
      <c r="E108" s="120">
        <v>0</v>
      </c>
      <c r="F108" s="120">
        <v>0</v>
      </c>
      <c r="G108" s="120">
        <v>0</v>
      </c>
      <c r="H108" s="120">
        <v>0</v>
      </c>
    </row>
    <row r="110" spans="1:8" s="106" customFormat="1" ht="13" x14ac:dyDescent="0.3">
      <c r="A110" s="109" t="s">
        <v>367</v>
      </c>
      <c r="B110" s="110"/>
      <c r="C110" s="110"/>
      <c r="D110" s="124"/>
      <c r="E110" s="124"/>
      <c r="F110" s="124"/>
      <c r="G110" s="124"/>
      <c r="H110" s="124"/>
    </row>
    <row r="111" spans="1:8" ht="13" x14ac:dyDescent="0.3">
      <c r="A111" s="29" t="s">
        <v>192</v>
      </c>
      <c r="B111" s="29" t="s">
        <v>371</v>
      </c>
      <c r="C111" s="96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39" t="s">
        <v>225</v>
      </c>
      <c r="B112" s="39" t="s">
        <v>103</v>
      </c>
      <c r="C112" s="39" t="s">
        <v>368</v>
      </c>
      <c r="D112" s="120">
        <f t="shared" ref="D112:E114" si="1">IF($C2="Affected fraction",D2,IF(D2=1,1,D2*1.05))</f>
        <v>0</v>
      </c>
      <c r="E112" s="120">
        <f t="shared" si="1"/>
        <v>0</v>
      </c>
      <c r="F112" s="120">
        <f>IF($C57="Affected fraction",F57,IF(F57=1,1,F57*0.9))</f>
        <v>1</v>
      </c>
      <c r="G112" s="120">
        <f>IF($C57="Affected fraction",G57,IF(G57=1,1,G57*0.9))</f>
        <v>1</v>
      </c>
      <c r="H112" s="120">
        <f>IF($C57="Affected fraction",H57,IF(H57=1,1,H57*0.9))</f>
        <v>1</v>
      </c>
    </row>
    <row r="113" spans="1:8" x14ac:dyDescent="0.25">
      <c r="C113" s="39" t="s">
        <v>370</v>
      </c>
      <c r="D113" s="120">
        <f t="shared" si="1"/>
        <v>0</v>
      </c>
      <c r="E113" s="120">
        <f t="shared" si="1"/>
        <v>0</v>
      </c>
      <c r="F113" s="120">
        <v>0.21</v>
      </c>
      <c r="G113" s="120">
        <v>0.21</v>
      </c>
      <c r="H113" s="120">
        <v>0.21</v>
      </c>
    </row>
    <row r="114" spans="1:8" x14ac:dyDescent="0.25">
      <c r="C114" s="39" t="s">
        <v>369</v>
      </c>
      <c r="D114" s="120">
        <f t="shared" si="1"/>
        <v>0</v>
      </c>
      <c r="E114" s="120">
        <f t="shared" si="1"/>
        <v>0</v>
      </c>
      <c r="F114" s="120">
        <v>0.18</v>
      </c>
      <c r="G114" s="120">
        <v>0.18</v>
      </c>
      <c r="H114" s="120">
        <v>0.18</v>
      </c>
    </row>
    <row r="115" spans="1:8" x14ac:dyDescent="0.25">
      <c r="A115" s="39" t="s">
        <v>222</v>
      </c>
      <c r="B115" s="39" t="s">
        <v>236</v>
      </c>
      <c r="C115" s="39" t="s">
        <v>368</v>
      </c>
      <c r="D115" s="120">
        <v>0</v>
      </c>
      <c r="E115" s="120">
        <v>0</v>
      </c>
      <c r="F115" s="120">
        <v>1</v>
      </c>
      <c r="G115" s="120">
        <v>1</v>
      </c>
      <c r="H115" s="120">
        <v>0</v>
      </c>
    </row>
    <row r="116" spans="1:8" x14ac:dyDescent="0.25">
      <c r="C116" s="39" t="s">
        <v>369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</row>
    <row r="117" spans="1:8" x14ac:dyDescent="0.25">
      <c r="B117" s="39" t="s">
        <v>3</v>
      </c>
      <c r="C117" s="39" t="s">
        <v>368</v>
      </c>
      <c r="D117" s="120">
        <v>0</v>
      </c>
      <c r="E117" s="120">
        <v>0</v>
      </c>
      <c r="F117" s="120">
        <v>1</v>
      </c>
      <c r="G117" s="120">
        <v>1</v>
      </c>
      <c r="H117" s="120">
        <v>0</v>
      </c>
    </row>
    <row r="118" spans="1:8" x14ac:dyDescent="0.25">
      <c r="C118" s="39" t="s">
        <v>369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</row>
    <row r="119" spans="1:8" x14ac:dyDescent="0.25">
      <c r="A119" s="39" t="s">
        <v>213</v>
      </c>
      <c r="B119" s="39" t="s">
        <v>236</v>
      </c>
      <c r="C119" s="39" t="s">
        <v>368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369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3</v>
      </c>
      <c r="C121" s="39" t="s">
        <v>368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369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233</v>
      </c>
      <c r="B123" s="39" t="s">
        <v>236</v>
      </c>
      <c r="C123" s="39" t="s">
        <v>368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369</v>
      </c>
      <c r="D124" s="120">
        <f t="shared" ref="D124:H136" si="2">IF($C14="Affected fraction",D14,IF(D14=1,1,D14*1.05))</f>
        <v>0</v>
      </c>
      <c r="E124" s="120">
        <f t="shared" si="2"/>
        <v>0</v>
      </c>
      <c r="F124" s="120">
        <v>0.45</v>
      </c>
      <c r="G124" s="120">
        <v>0.45</v>
      </c>
      <c r="H124" s="120">
        <f>IF($C14="Affected fraction",H14,IF(H14=1,1,H14*1.05))</f>
        <v>0</v>
      </c>
    </row>
    <row r="125" spans="1:8" x14ac:dyDescent="0.25">
      <c r="B125" s="39" t="s">
        <v>3</v>
      </c>
      <c r="C125" s="39" t="s">
        <v>368</v>
      </c>
      <c r="D125" s="120">
        <f t="shared" si="2"/>
        <v>0</v>
      </c>
      <c r="E125" s="120">
        <f t="shared" si="2"/>
        <v>0</v>
      </c>
      <c r="F125" s="120">
        <f>IF($C15="Affected fraction",F15,IF(F15=1,1,F15*1.05))</f>
        <v>1</v>
      </c>
      <c r="G125" s="120">
        <f>IF($C15="Affected fraction",G15,IF(G15=1,1,G15*1.05))</f>
        <v>1</v>
      </c>
      <c r="H125" s="120">
        <f>IF($C15="Affected fraction",H15,IF(H15=1,1,H15*1.05))</f>
        <v>0</v>
      </c>
    </row>
    <row r="126" spans="1:8" x14ac:dyDescent="0.25">
      <c r="C126" s="39" t="s">
        <v>369</v>
      </c>
      <c r="D126" s="120">
        <f t="shared" si="2"/>
        <v>0</v>
      </c>
      <c r="E126" s="120">
        <f t="shared" si="2"/>
        <v>0</v>
      </c>
      <c r="F126" s="120">
        <v>0.2</v>
      </c>
      <c r="G126" s="120">
        <v>0.2</v>
      </c>
      <c r="H126" s="120">
        <f>IF($C16="Affected fraction",H16,IF(H16=1,1,H16*1.05))</f>
        <v>0</v>
      </c>
    </row>
    <row r="127" spans="1:8" x14ac:dyDescent="0.25">
      <c r="A127" s="39" t="s">
        <v>196</v>
      </c>
      <c r="B127" s="39" t="s">
        <v>236</v>
      </c>
      <c r="C127" s="39" t="s">
        <v>368</v>
      </c>
      <c r="D127" s="120">
        <f t="shared" si="2"/>
        <v>0</v>
      </c>
      <c r="E127" s="120">
        <f t="shared" si="2"/>
        <v>0</v>
      </c>
      <c r="F127" s="120">
        <f>IF($C17="Affected fraction",F17,IF(F17=1,1,F17*1.05))</f>
        <v>1</v>
      </c>
      <c r="G127" s="120">
        <f>IF($C17="Affected fraction",G17,IF(G17=1,1,G17*1.05))</f>
        <v>1</v>
      </c>
      <c r="H127" s="120">
        <f>IF($C17="Affected fraction",H17,IF(H17=1,1,H17*1.05))</f>
        <v>1</v>
      </c>
    </row>
    <row r="128" spans="1:8" x14ac:dyDescent="0.25">
      <c r="C128" s="39" t="s">
        <v>369</v>
      </c>
      <c r="D128" s="120">
        <f t="shared" si="2"/>
        <v>0</v>
      </c>
      <c r="E128" s="120">
        <f t="shared" si="2"/>
        <v>0</v>
      </c>
      <c r="F128" s="120">
        <v>0</v>
      </c>
      <c r="G128" s="120">
        <v>0</v>
      </c>
      <c r="H128" s="120">
        <v>0</v>
      </c>
    </row>
    <row r="129" spans="1:8" x14ac:dyDescent="0.25">
      <c r="B129" s="39" t="s">
        <v>3</v>
      </c>
      <c r="C129" s="39" t="s">
        <v>368</v>
      </c>
      <c r="D129" s="120">
        <f t="shared" si="2"/>
        <v>0</v>
      </c>
      <c r="E129" s="120">
        <f t="shared" si="2"/>
        <v>0</v>
      </c>
      <c r="F129" s="120">
        <v>1</v>
      </c>
      <c r="G129" s="120">
        <v>1</v>
      </c>
      <c r="H129" s="120">
        <v>1</v>
      </c>
    </row>
    <row r="130" spans="1:8" x14ac:dyDescent="0.25">
      <c r="C130" s="39" t="s">
        <v>369</v>
      </c>
      <c r="D130" s="120">
        <f t="shared" si="2"/>
        <v>0</v>
      </c>
      <c r="E130" s="120">
        <f t="shared" si="2"/>
        <v>0</v>
      </c>
      <c r="F130" s="120">
        <v>0</v>
      </c>
      <c r="G130" s="120">
        <v>0</v>
      </c>
      <c r="H130" s="120">
        <v>0</v>
      </c>
    </row>
    <row r="131" spans="1:8" x14ac:dyDescent="0.25">
      <c r="A131" s="39" t="s">
        <v>202</v>
      </c>
      <c r="B131" s="39" t="s">
        <v>111</v>
      </c>
      <c r="C131" s="39" t="s">
        <v>368</v>
      </c>
      <c r="D131" s="120">
        <f>IF($C76="Affected fraction",D76,IF(D76=1,1,D76*0.9))</f>
        <v>1</v>
      </c>
      <c r="E131" s="120">
        <f t="shared" si="2"/>
        <v>0</v>
      </c>
      <c r="F131" s="120">
        <f t="shared" si="2"/>
        <v>0</v>
      </c>
      <c r="G131" s="120">
        <f t="shared" si="2"/>
        <v>0</v>
      </c>
      <c r="H131" s="120">
        <f t="shared" si="2"/>
        <v>0</v>
      </c>
    </row>
    <row r="132" spans="1:8" x14ac:dyDescent="0.25">
      <c r="C132" s="39" t="s">
        <v>370</v>
      </c>
      <c r="D132" s="120">
        <v>0.16</v>
      </c>
      <c r="E132" s="120">
        <f t="shared" si="2"/>
        <v>0</v>
      </c>
      <c r="F132" s="120">
        <f t="shared" si="2"/>
        <v>0</v>
      </c>
      <c r="G132" s="120">
        <f t="shared" si="2"/>
        <v>0</v>
      </c>
      <c r="H132" s="120">
        <f t="shared" si="2"/>
        <v>0</v>
      </c>
    </row>
    <row r="133" spans="1:8" x14ac:dyDescent="0.25">
      <c r="A133" s="39" t="s">
        <v>200</v>
      </c>
      <c r="B133" s="39" t="s">
        <v>111</v>
      </c>
      <c r="C133" s="39" t="s">
        <v>368</v>
      </c>
      <c r="D133" s="120">
        <f>IF($C78="Affected fraction",D78,IF(D78=1,1,D78*0.9))</f>
        <v>1</v>
      </c>
      <c r="E133" s="120">
        <f t="shared" si="2"/>
        <v>0</v>
      </c>
      <c r="F133" s="120">
        <f t="shared" si="2"/>
        <v>0</v>
      </c>
      <c r="G133" s="120">
        <f t="shared" si="2"/>
        <v>0</v>
      </c>
      <c r="H133" s="120">
        <f t="shared" si="2"/>
        <v>0</v>
      </c>
    </row>
    <row r="134" spans="1:8" x14ac:dyDescent="0.25">
      <c r="C134" s="39" t="s">
        <v>370</v>
      </c>
      <c r="D134" s="120">
        <v>0.16</v>
      </c>
      <c r="E134" s="120">
        <f t="shared" si="2"/>
        <v>0</v>
      </c>
      <c r="F134" s="120">
        <f t="shared" si="2"/>
        <v>0</v>
      </c>
      <c r="G134" s="120">
        <f t="shared" si="2"/>
        <v>0</v>
      </c>
      <c r="H134" s="120">
        <f t="shared" si="2"/>
        <v>0</v>
      </c>
    </row>
    <row r="135" spans="1:8" x14ac:dyDescent="0.25">
      <c r="A135" s="39" t="s">
        <v>201</v>
      </c>
      <c r="B135" s="39" t="s">
        <v>111</v>
      </c>
      <c r="C135" s="39" t="s">
        <v>368</v>
      </c>
      <c r="D135" s="120">
        <f>IF($C80="Affected fraction",D80,IF(D80=1,1,D80*0.9))</f>
        <v>1</v>
      </c>
      <c r="E135" s="120">
        <f t="shared" si="2"/>
        <v>0</v>
      </c>
      <c r="F135" s="120">
        <f t="shared" si="2"/>
        <v>0</v>
      </c>
      <c r="G135" s="120">
        <f t="shared" si="2"/>
        <v>0</v>
      </c>
      <c r="H135" s="120">
        <f t="shared" si="2"/>
        <v>0</v>
      </c>
    </row>
    <row r="136" spans="1:8" x14ac:dyDescent="0.25">
      <c r="C136" s="39" t="s">
        <v>370</v>
      </c>
      <c r="D136" s="120">
        <v>0.16</v>
      </c>
      <c r="E136" s="120">
        <f t="shared" si="2"/>
        <v>0</v>
      </c>
      <c r="F136" s="120">
        <f t="shared" si="2"/>
        <v>0</v>
      </c>
      <c r="G136" s="120">
        <f t="shared" si="2"/>
        <v>0</v>
      </c>
      <c r="H136" s="120">
        <f t="shared" si="2"/>
        <v>0</v>
      </c>
    </row>
    <row r="137" spans="1:8" x14ac:dyDescent="0.25">
      <c r="A137" s="39" t="s">
        <v>229</v>
      </c>
      <c r="B137" s="39" t="s">
        <v>103</v>
      </c>
      <c r="C137" s="39" t="s">
        <v>368</v>
      </c>
      <c r="D137" s="120">
        <v>1</v>
      </c>
      <c r="E137" s="120">
        <v>1</v>
      </c>
      <c r="F137" s="120">
        <v>1</v>
      </c>
      <c r="G137" s="120">
        <v>1</v>
      </c>
      <c r="H137" s="120">
        <v>1</v>
      </c>
    </row>
    <row r="138" spans="1:8" x14ac:dyDescent="0.25">
      <c r="C138" s="39" t="s">
        <v>370</v>
      </c>
      <c r="D138" s="120">
        <v>0.51</v>
      </c>
      <c r="E138" s="120">
        <v>0.51</v>
      </c>
      <c r="F138" s="120">
        <v>0.51</v>
      </c>
      <c r="G138" s="120">
        <v>0.51</v>
      </c>
      <c r="H138" s="120">
        <v>0.51</v>
      </c>
    </row>
    <row r="139" spans="1:8" x14ac:dyDescent="0.25">
      <c r="C139" s="39" t="s">
        <v>369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</row>
    <row r="140" spans="1:8" x14ac:dyDescent="0.25">
      <c r="A140" s="39" t="s">
        <v>230</v>
      </c>
      <c r="B140" s="39" t="s">
        <v>103</v>
      </c>
      <c r="C140" s="39" t="s">
        <v>368</v>
      </c>
      <c r="D140" s="120">
        <v>1</v>
      </c>
      <c r="E140" s="120">
        <v>1</v>
      </c>
      <c r="F140" s="120">
        <v>1</v>
      </c>
      <c r="G140" s="120">
        <v>1</v>
      </c>
      <c r="H140" s="120">
        <v>1</v>
      </c>
    </row>
    <row r="141" spans="1:8" x14ac:dyDescent="0.25">
      <c r="C141" s="39" t="s">
        <v>370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</row>
    <row r="142" spans="1:8" x14ac:dyDescent="0.25">
      <c r="C142" s="39" t="s">
        <v>369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</row>
    <row r="143" spans="1:8" x14ac:dyDescent="0.25">
      <c r="A143" s="39" t="s">
        <v>228</v>
      </c>
      <c r="B143" s="39" t="s">
        <v>103</v>
      </c>
      <c r="C143" s="39" t="s">
        <v>368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370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</row>
    <row r="145" spans="1:8" x14ac:dyDescent="0.25">
      <c r="C145" s="39" t="s">
        <v>369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227</v>
      </c>
      <c r="B146" s="39" t="s">
        <v>103</v>
      </c>
      <c r="C146" s="39" t="s">
        <v>368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370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369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226</v>
      </c>
      <c r="B149" s="39" t="s">
        <v>103</v>
      </c>
      <c r="C149" s="39" t="s">
        <v>368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370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369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232</v>
      </c>
      <c r="B152" s="39" t="s">
        <v>103</v>
      </c>
      <c r="C152" s="39" t="s">
        <v>368</v>
      </c>
      <c r="D152" s="120">
        <f t="shared" ref="D152:H153" si="3">IF($C97="Affected fraction",D97,IF(D97=1,1,D97*0.9))</f>
        <v>0</v>
      </c>
      <c r="E152" s="120">
        <f t="shared" si="3"/>
        <v>1</v>
      </c>
      <c r="F152" s="120">
        <f t="shared" si="3"/>
        <v>1</v>
      </c>
      <c r="G152" s="120">
        <f t="shared" si="3"/>
        <v>1</v>
      </c>
      <c r="H152" s="120">
        <f t="shared" si="3"/>
        <v>1</v>
      </c>
    </row>
    <row r="153" spans="1:8" x14ac:dyDescent="0.25">
      <c r="C153" s="39" t="s">
        <v>370</v>
      </c>
      <c r="D153" s="120">
        <f t="shared" si="3"/>
        <v>0</v>
      </c>
      <c r="E153" s="120">
        <f t="shared" si="3"/>
        <v>0</v>
      </c>
      <c r="F153" s="120">
        <f t="shared" si="3"/>
        <v>0</v>
      </c>
      <c r="G153" s="120">
        <f t="shared" si="3"/>
        <v>0</v>
      </c>
      <c r="H153" s="120">
        <f t="shared" si="3"/>
        <v>0</v>
      </c>
    </row>
    <row r="154" spans="1:8" x14ac:dyDescent="0.25">
      <c r="C154" s="39" t="s">
        <v>369</v>
      </c>
      <c r="D154" s="120">
        <v>0.1</v>
      </c>
      <c r="E154" s="120">
        <v>0.1</v>
      </c>
      <c r="F154" s="120">
        <v>0.1</v>
      </c>
      <c r="G154" s="120">
        <v>0.1</v>
      </c>
      <c r="H154" s="120">
        <v>0.1</v>
      </c>
    </row>
    <row r="155" spans="1:8" x14ac:dyDescent="0.25">
      <c r="B155" s="39" t="s">
        <v>121</v>
      </c>
      <c r="C155" s="39" t="s">
        <v>368</v>
      </c>
      <c r="D155" s="120">
        <v>0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370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369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221</v>
      </c>
      <c r="B158" s="39" t="s">
        <v>103</v>
      </c>
      <c r="C158" s="39" t="s">
        <v>368</v>
      </c>
      <c r="D158" s="120">
        <v>1</v>
      </c>
      <c r="E158" s="120">
        <v>1</v>
      </c>
      <c r="F158" s="120">
        <v>1</v>
      </c>
      <c r="G158" s="120">
        <v>1</v>
      </c>
      <c r="H158" s="120">
        <v>1</v>
      </c>
    </row>
    <row r="159" spans="1:8" x14ac:dyDescent="0.25">
      <c r="C159" s="39" t="s">
        <v>370</v>
      </c>
      <c r="D159" s="120">
        <v>0.8</v>
      </c>
      <c r="E159" s="120">
        <v>0.8</v>
      </c>
      <c r="F159" s="120">
        <v>0.8</v>
      </c>
      <c r="G159" s="120">
        <v>0.8</v>
      </c>
      <c r="H159" s="120">
        <v>0.8</v>
      </c>
    </row>
    <row r="160" spans="1:8" x14ac:dyDescent="0.25">
      <c r="A160" s="39" t="s">
        <v>231</v>
      </c>
      <c r="B160" s="39" t="s">
        <v>103</v>
      </c>
      <c r="C160" s="39" t="s">
        <v>368</v>
      </c>
      <c r="D160" s="120">
        <v>1</v>
      </c>
      <c r="E160" s="120">
        <v>1</v>
      </c>
      <c r="F160" s="120">
        <v>1</v>
      </c>
      <c r="G160" s="120">
        <v>1</v>
      </c>
      <c r="H160" s="120">
        <v>1</v>
      </c>
    </row>
    <row r="161" spans="1:8" x14ac:dyDescent="0.25">
      <c r="C161" s="39" t="s">
        <v>370</v>
      </c>
      <c r="D161" s="120">
        <v>0.85</v>
      </c>
      <c r="E161" s="120">
        <v>0.85</v>
      </c>
      <c r="F161" s="120">
        <v>0.85</v>
      </c>
      <c r="G161" s="120">
        <v>0.85</v>
      </c>
      <c r="H161" s="120">
        <v>0.85</v>
      </c>
    </row>
    <row r="162" spans="1:8" x14ac:dyDescent="0.25">
      <c r="A162" s="39" t="s">
        <v>211</v>
      </c>
      <c r="B162" s="39" t="s">
        <v>115</v>
      </c>
      <c r="C162" s="39" t="s">
        <v>368</v>
      </c>
      <c r="D162" s="120">
        <v>1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370</v>
      </c>
      <c r="D163" s="120">
        <v>0.47</v>
      </c>
      <c r="E163" s="120">
        <v>0</v>
      </c>
      <c r="F163" s="120">
        <v>0</v>
      </c>
      <c r="G163" s="120">
        <v>0</v>
      </c>
      <c r="H163" s="120">
        <v>0</v>
      </c>
    </row>
  </sheetData>
  <sheetProtection algorithmName="SHA-512" hashValue="/U8yvsNiTp4QXb1h5Zjq7C8r3ry/dRttPVhzqQDYUny+r7KG/MjD5cZXyXA1RUueMbMeWDtIO0E5qSSFho67gg==" saltValue="ip3d5cqXJZWp1LMZf909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192</v>
      </c>
      <c r="B1" s="41" t="s">
        <v>371</v>
      </c>
      <c r="C1" s="41"/>
      <c r="D1" s="4" t="s">
        <v>132</v>
      </c>
      <c r="E1" s="4" t="s">
        <v>133</v>
      </c>
      <c r="F1" s="4" t="s">
        <v>134</v>
      </c>
      <c r="G1" s="4" t="s">
        <v>135</v>
      </c>
      <c r="H1" s="29"/>
    </row>
    <row r="2" spans="1:8" x14ac:dyDescent="0.25">
      <c r="A2" s="31" t="s">
        <v>195</v>
      </c>
      <c r="B2" s="27" t="s">
        <v>105</v>
      </c>
      <c r="C2" s="31" t="s">
        <v>368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370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218</v>
      </c>
      <c r="B4" s="27" t="s">
        <v>105</v>
      </c>
      <c r="C4" s="31" t="s">
        <v>368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370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217</v>
      </c>
      <c r="B6" s="27" t="s">
        <v>105</v>
      </c>
      <c r="C6" s="31" t="s">
        <v>368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370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220</v>
      </c>
      <c r="B8" s="27" t="s">
        <v>263</v>
      </c>
      <c r="C8" s="31" t="s">
        <v>368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246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360</v>
      </c>
      <c r="D11" s="121"/>
      <c r="E11" s="121"/>
      <c r="F11" s="121"/>
      <c r="G11" s="121"/>
    </row>
    <row r="12" spans="1:8" ht="13" x14ac:dyDescent="0.3">
      <c r="A12" s="41" t="s">
        <v>192</v>
      </c>
      <c r="B12" s="41" t="s">
        <v>371</v>
      </c>
      <c r="C12" s="4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1" t="s">
        <v>195</v>
      </c>
      <c r="B13" s="27" t="s">
        <v>105</v>
      </c>
      <c r="C13" s="31" t="s">
        <v>368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370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218</v>
      </c>
      <c r="B15" s="27" t="s">
        <v>105</v>
      </c>
      <c r="C15" s="31" t="s">
        <v>368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370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217</v>
      </c>
      <c r="B17" s="27" t="s">
        <v>105</v>
      </c>
      <c r="C17" s="31" t="s">
        <v>368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370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220</v>
      </c>
      <c r="B19" s="27" t="s">
        <v>263</v>
      </c>
      <c r="C19" s="31" t="s">
        <v>368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246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367</v>
      </c>
      <c r="D22" s="121"/>
      <c r="E22" s="121"/>
      <c r="F22" s="121"/>
      <c r="G22" s="121"/>
    </row>
    <row r="23" spans="1:7" ht="13" x14ac:dyDescent="0.3">
      <c r="A23" s="41" t="s">
        <v>192</v>
      </c>
      <c r="B23" s="41" t="s">
        <v>371</v>
      </c>
      <c r="C23" s="4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1" t="s">
        <v>195</v>
      </c>
      <c r="B24" s="27" t="s">
        <v>105</v>
      </c>
      <c r="C24" s="31" t="s">
        <v>368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370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218</v>
      </c>
      <c r="B26" s="27" t="s">
        <v>105</v>
      </c>
      <c r="C26" s="31" t="s">
        <v>368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370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217</v>
      </c>
      <c r="B28" s="27" t="s">
        <v>105</v>
      </c>
      <c r="C28" s="31" t="s">
        <v>368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370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220</v>
      </c>
      <c r="B30" s="27" t="s">
        <v>263</v>
      </c>
      <c r="C30" s="31" t="s">
        <v>368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246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0j9ghg9zyB3wkiMvxGEJ7t1TE7qgo/x3K23Vfp14eSeMHQDDpnra2f1PN1L3QxueKBk7ou52IwVn3SID/3iNSQ==" saltValue="zMGWkHDg+u6ms8tYoV8Yd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2025-07-08T03:49:25Z</dcterms:modified>
</cp:coreProperties>
</file>