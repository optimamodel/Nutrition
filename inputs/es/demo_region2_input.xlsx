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"/>
    </mc:Choice>
  </mc:AlternateContent>
  <xr:revisionPtr revIDLastSave="0" documentId="8_{F4048911-9893-4DCE-833D-179C455C860F}" xr6:coauthVersionLast="47" xr6:coauthVersionMax="47" xr10:uidLastSave="{00000000-0000-0000-0000-000000000000}"/>
  <bookViews>
    <workbookView xWindow="20" yWindow="20" windowWidth="19180" windowHeight="10180" tabRatio="904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   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G112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<sst xmlns="http://schemas.openxmlformats.org/spreadsheetml/2006/main" count="2153" uniqueCount="372">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</sst>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1hS1yZpZmIxhIk/MmOI+HMxDxkMJ+vnENA7xwNomgK9S1kdrWbsW75azMAm8Dx8MnV4zHhkJ8jmYLhQEzSrhhQ==" saltValue="UDoeewTbEPPuzh4V1vtbHg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xNjn2RUBLBncfaUP6Xb7Z2L4k5/P2+11Q9NFjyWwLYj4wjHPUVnmx23eMu/6fqWuWpcbpKKGIWc5yNk4CSPIIg==" saltValue="a1G8tasFmu/NEBc6Dgcjd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S8IkeNADjOL+tGfOFDxY/2S5D38KM/U5c9u6LJPm0GnvTviuHlMjp3ave8mQwbeebmGc5YrAFCdRrmt5hwBRpA==" saltValue="mk/KEKqs6/zH+VpDDHJFPQ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5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129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125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126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138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GysGpEvEBNdgGbfZG5kg5AQxjTcY0IpGOPx6OLzggmpzLoi+zCXTq+i76W/bQ10VCiQMAONmuOtEEti6D8+LA==" saltValue="WhNzfWWbls9ceWGL5QQ2C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IHa9frmbUDbcCp7fwhpKvUYbnTDayTpr+g0PSHJbO2rcW/Y2aiWY/kngS1zCBQStoQNZ/zoeAQtBOj9xPNwXbg==" saltValue="+lEzipXdxHQIZUu5ZizGQg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3PM0S+vybct4ZVO3aS+LTiNzBclPzAJH60bahXY5t9FAa/wZHI5er+0CrZDUzrlIbAR8qpWSxf4UScxdnYVk9g==" saltValue="FmzO6qdMB2MWyR3LLENyFQ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sIUTrmyr+lkc22dM2t1vuTCLHdu3cooCWFAr8vt6VPCMucVh50sWws29licJJng2MS5nDL5XfondZsjj4gFWGg==" saltValue="s5lhL8Hrimc5zQZUssrpQA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Lmi3SNEeQn1M+rVfjzBal2blMybxuzOZ85jLv4wnLgvkGSFTn0GS4a1kMXH+RKGjVDJN3M2EMCShrAtl3HHg5A==" saltValue="vUcddU2+VQib5rtLbkl1v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+VBix/fy5aEzsjSrZX+NuBjVpvYrPqyuxkevIsG5XJaSowFZLRfdp3DFtWO8tndUtD9pVpLUO/qQCMnP/QvpVA==" saltValue="DRabq9LOfIh9qA0E0gzV8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DYfz4WMbbgF6qi68JUrF+y6dCND4rOHQDZTPIlQ+pE6g/oSEylngZlP2yZUCmdf1Z38hn4siWBvnMoqiXRQL/w==" saltValue="BBkTV9t4P9Ny9JvmRO0ObQ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219</v>
      </c>
      <c r="B5" s="62" t="s">
        <v>213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kDf6DZVO4DOYSVvndFc4SLtt2rgxdALmBKRx5ScPOT1eKYfZJXV35jaT/2qQKILUTfVw/thEXjJJSePSYcAKdg==" saltValue="nv1QW5GMdPwJXe7v+8I1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vx4/Kf8Bfqt+bTK12+cOVOAbsYIDfBcaOSD22Nv6DwRa1bD31z6yPVEtlANUVtMfzmsLTsWqXoYNw5SBavfNtw==" saltValue="Xuxqczbsk/KB5mFxNL4IB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236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L7Z6EZnHpnPsmK2bCGDPyXjB6qrDuSA1n5CPtg83KVjDq/uYcF3fiQFLalAeqX3mTHu3Nfs/Xq4cQFTauIjDPg==" saltValue="JZ++MMbrjAAKAvguMTUla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yUy+ljwFiinVYKQiENDGYnzzGOUnmk32QojbCHud3Y9kSxrv7Su3DheidievTL4sN33LDreszoAueuIT+bnXRw==" saltValue="1/x4fR4eJ3+MNfV4RGby8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YyYcmIt3ka39d28e99Qbqi3r9KRwNWVSGKtq3FPASg6KgXjy4zP3XJmc6Wg79auBUHfodwCOxioEpOV9iSCJg==" saltValue="HIL9VPHPNucgfzbizwMV5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ISJEprIY19rSYs1gRNyBKUY/KIZM4/f3fYtrZxHdGoDmJdmGC8amTYppiMfm/x2ieo8ORK599HsW5Xz092IyhQ==" saltValue="cQMhSJnDvcKJ3qM1i7s+8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ywCRlv9bSJa46/R1jJkmoc2ARFkELHw47nBkL1TUBtKer0d3JsfDvaoJM1BWF4wCVrjgGwcOFTjIXIped8xPWQ==" saltValue="LhQSN0Nqnbi+CNIY4Ln8D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E11" sqref="E11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/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ak3Ee/FfuWOokEcljdg2XQiZbByCg3+2w/WWajU9CbkS4754StbQBt8YkzMnvzDFhGFoT8pf8UG9RGXM9RjSjA==" saltValue="vktovacoEn7Hvs23YFRX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WPhsFqlgKCSwRBJQIEE7yiQeVMSioP50tHVgvv8Ujx1k0WQ43jOrmchIKt2+STch5sCp5k5MjDbvITNqH6ZjEw==" saltValue="dMVToFTWL6vALvrRM56nU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zGhC2GqucF+bdbIREM+aoDnFoAMUv1F1uPvKZ8sBHja5wImHUnroQeC7nQb1MQLG6tkfuSiCSaP/nfQfDV3RVw==" saltValue="0UDCyc+n/UTCES4+1uREP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vl8QWcxId+4hAfLOMu15SohezPUSDwQIS08C3yhQ5bR0R68G41pRyXKDzQdxpCI9rWgEd/XN2M3p4CMDGQIrFg==" saltValue="Dsoij94NbRooargM4H6T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26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GMs30tt6kob5aXJv/KdLS0JQfp6tC7X9IMETH7HeBvCYTJHKNjw442gnwfFFZU33v1i60WNAeZtEVAkFU4PTrg==" saltValue="QYFHUgzJPdb1e3YKojPb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aBb0O4xP0GhMSzamls+znhkZQk1WGno1I8I9bdD4q57wtsBkIfbozQlFzrXgeT7wVUalSJlG1F12AZtTaRAtaA==" saltValue="nE+N6amyDJVllGFJ7qr+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bMfaU03Kze07lCx2EQbVVx5KyGomrjzBgSuprQAajGxHMqMVpjP2/sgwavY75w0iIUYrNuzP812q3ddzt1VJ+w==" saltValue="Pt3oq5P3tIst0Db42Z9e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EuUKDHgp8SwcdkFMkHYLDNr5WWZKsmMsleRvEG3HYb/9rA0bUZPt98hCvK+f7DvrxfR+ExSrJJbKJVdDv2O+xw==" saltValue="Ru9XIMgOKcofMXidmnLH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5WGZMVDjEqlYMJNthYWjrfZ74Ew+sdTH0ftiRwIVjsf/inwsiBS4Smi/W8JToGe+8nAXfrsotmI5Wx2n1vbPoA==" saltValue="o/k0t9/c6zrXz81popbT5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A17" s="39" t="s">
        <v>196</v>
      </c>
      <c r="B17" s="39" t="s">
        <v>236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1</v>
      </c>
    </row>
    <row r="18" spans="1:8" x14ac:dyDescent="0.25">
      <c r="C18" s="39" t="s">
        <v>369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B19" s="39" t="s">
        <v>3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A21" s="39" t="s">
        <v>202</v>
      </c>
      <c r="B21" s="39" t="s">
        <v>111</v>
      </c>
      <c r="C21" s="39" t="s">
        <v>368</v>
      </c>
      <c r="D21" s="120">
        <v>1</v>
      </c>
      <c r="E21" s="120">
        <v>0</v>
      </c>
      <c r="F21" s="120">
        <v>0</v>
      </c>
      <c r="G21" s="120">
        <v>0</v>
      </c>
      <c r="H21" s="120">
        <v>0</v>
      </c>
    </row>
    <row r="22" spans="1:8" x14ac:dyDescent="0.25">
      <c r="C22" s="39" t="s">
        <v>370</v>
      </c>
      <c r="D22" s="120">
        <v>0.13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200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201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229</v>
      </c>
      <c r="B27" s="39" t="s">
        <v>103</v>
      </c>
      <c r="C27" s="39" t="s">
        <v>368</v>
      </c>
      <c r="D27" s="120">
        <v>1</v>
      </c>
      <c r="E27" s="120">
        <v>1</v>
      </c>
      <c r="F27" s="120">
        <v>1</v>
      </c>
      <c r="G27" s="120">
        <v>1</v>
      </c>
      <c r="H27" s="120">
        <v>1</v>
      </c>
    </row>
    <row r="28" spans="1:8" x14ac:dyDescent="0.25">
      <c r="C28" s="39" t="s">
        <v>370</v>
      </c>
      <c r="D28" s="120">
        <v>0.3</v>
      </c>
      <c r="E28" s="120">
        <v>0.3</v>
      </c>
      <c r="F28" s="120">
        <v>0.3</v>
      </c>
      <c r="G28" s="120">
        <v>0.3</v>
      </c>
      <c r="H28" s="120">
        <v>0.3</v>
      </c>
    </row>
    <row r="29" spans="1:8" x14ac:dyDescent="0.25">
      <c r="C29" s="39" t="s">
        <v>369</v>
      </c>
      <c r="D29" s="120">
        <v>0</v>
      </c>
      <c r="E29" s="120">
        <v>0</v>
      </c>
      <c r="F29" s="120">
        <v>0</v>
      </c>
      <c r="G29" s="120">
        <v>0</v>
      </c>
      <c r="H29" s="120">
        <v>0</v>
      </c>
    </row>
    <row r="30" spans="1:8" x14ac:dyDescent="0.25">
      <c r="A30" s="39" t="s">
        <v>230</v>
      </c>
      <c r="B30" s="39" t="s">
        <v>103</v>
      </c>
      <c r="C30" s="39" t="s">
        <v>368</v>
      </c>
      <c r="D30" s="120">
        <v>1</v>
      </c>
      <c r="E30" s="120">
        <v>1</v>
      </c>
      <c r="F30" s="120">
        <v>1</v>
      </c>
      <c r="G30" s="120">
        <v>1</v>
      </c>
      <c r="H30" s="120">
        <v>1</v>
      </c>
    </row>
    <row r="31" spans="1:8" x14ac:dyDescent="0.25">
      <c r="C31" s="39" t="s">
        <v>370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C32" s="39" t="s">
        <v>369</v>
      </c>
      <c r="D32" s="120">
        <v>0</v>
      </c>
      <c r="E32" s="120">
        <v>0</v>
      </c>
      <c r="F32" s="120">
        <v>0</v>
      </c>
      <c r="G32" s="120">
        <v>0</v>
      </c>
      <c r="H32" s="120">
        <v>0</v>
      </c>
    </row>
    <row r="33" spans="1:8" x14ac:dyDescent="0.25">
      <c r="A33" s="39" t="s">
        <v>228</v>
      </c>
      <c r="B33" s="39" t="s">
        <v>103</v>
      </c>
      <c r="C33" s="39" t="s">
        <v>368</v>
      </c>
      <c r="D33" s="120">
        <v>1</v>
      </c>
      <c r="E33" s="120">
        <v>1</v>
      </c>
      <c r="F33" s="120">
        <v>1</v>
      </c>
      <c r="G33" s="120">
        <v>1</v>
      </c>
      <c r="H33" s="120">
        <v>1</v>
      </c>
    </row>
    <row r="34" spans="1:8" x14ac:dyDescent="0.25">
      <c r="C34" s="39" t="s">
        <v>370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C35" s="39" t="s">
        <v>369</v>
      </c>
      <c r="D35" s="120">
        <v>0</v>
      </c>
      <c r="E35" s="120">
        <v>0</v>
      </c>
      <c r="F35" s="120">
        <v>0</v>
      </c>
      <c r="G35" s="120">
        <v>0</v>
      </c>
      <c r="H35" s="120">
        <v>0</v>
      </c>
    </row>
    <row r="36" spans="1:8" x14ac:dyDescent="0.25">
      <c r="A36" s="39" t="s">
        <v>227</v>
      </c>
      <c r="B36" s="39" t="s">
        <v>103</v>
      </c>
      <c r="C36" s="39" t="s">
        <v>368</v>
      </c>
      <c r="D36" s="120">
        <v>1</v>
      </c>
      <c r="E36" s="120">
        <v>1</v>
      </c>
      <c r="F36" s="120">
        <v>1</v>
      </c>
      <c r="G36" s="120">
        <v>1</v>
      </c>
      <c r="H36" s="120">
        <v>1</v>
      </c>
    </row>
    <row r="37" spans="1:8" x14ac:dyDescent="0.25">
      <c r="C37" s="39" t="s">
        <v>370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C38" s="39" t="s">
        <v>369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</row>
    <row r="39" spans="1:8" x14ac:dyDescent="0.25">
      <c r="A39" s="39" t="s">
        <v>226</v>
      </c>
      <c r="B39" s="39" t="s">
        <v>103</v>
      </c>
      <c r="C39" s="39" t="s">
        <v>368</v>
      </c>
      <c r="D39" s="120">
        <v>1</v>
      </c>
      <c r="E39" s="120">
        <v>1</v>
      </c>
      <c r="F39" s="120">
        <v>1</v>
      </c>
      <c r="G39" s="120">
        <v>1</v>
      </c>
      <c r="H39" s="120">
        <v>1</v>
      </c>
    </row>
    <row r="40" spans="1:8" x14ac:dyDescent="0.25">
      <c r="C40" s="39" t="s">
        <v>370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C41" s="39" t="s">
        <v>369</v>
      </c>
      <c r="D41" s="120">
        <v>0</v>
      </c>
      <c r="E41" s="120">
        <v>0</v>
      </c>
      <c r="F41" s="120">
        <v>0</v>
      </c>
      <c r="G41" s="120">
        <v>0</v>
      </c>
      <c r="H41" s="120">
        <v>0</v>
      </c>
    </row>
    <row r="42" spans="1:8" x14ac:dyDescent="0.25">
      <c r="A42" s="39" t="s">
        <v>232</v>
      </c>
      <c r="B42" s="39" t="s">
        <v>103</v>
      </c>
      <c r="C42" s="39" t="s">
        <v>368</v>
      </c>
      <c r="D42" s="120">
        <v>0</v>
      </c>
      <c r="E42" s="120">
        <v>1</v>
      </c>
      <c r="F42" s="120">
        <v>1</v>
      </c>
      <c r="G42" s="120">
        <v>1</v>
      </c>
      <c r="H42" s="120">
        <v>1</v>
      </c>
    </row>
    <row r="43" spans="1:8" x14ac:dyDescent="0.25">
      <c r="C43" s="39" t="s">
        <v>370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C44" s="39" t="s">
        <v>369</v>
      </c>
      <c r="D44" s="120">
        <v>0.09</v>
      </c>
      <c r="E44" s="120">
        <v>0.09</v>
      </c>
      <c r="F44" s="120">
        <v>0.09</v>
      </c>
      <c r="G44" s="120">
        <v>0.09</v>
      </c>
      <c r="H44" s="120">
        <v>0.09</v>
      </c>
    </row>
    <row r="45" spans="1:8" x14ac:dyDescent="0.25">
      <c r="B45" s="39" t="s">
        <v>121</v>
      </c>
      <c r="C45" s="39" t="s">
        <v>368</v>
      </c>
      <c r="D45" s="120">
        <v>0</v>
      </c>
      <c r="E45" s="120">
        <v>1</v>
      </c>
      <c r="F45" s="120">
        <v>1</v>
      </c>
      <c r="G45" s="120">
        <v>1</v>
      </c>
      <c r="H45" s="120">
        <v>1</v>
      </c>
    </row>
    <row r="46" spans="1:8" x14ac:dyDescent="0.25">
      <c r="C46" s="39" t="s">
        <v>370</v>
      </c>
      <c r="D46" s="120">
        <v>0</v>
      </c>
      <c r="E46" s="120">
        <v>0</v>
      </c>
      <c r="F46" s="120">
        <v>0</v>
      </c>
      <c r="G46" s="120">
        <v>0</v>
      </c>
      <c r="H46" s="120">
        <v>0</v>
      </c>
    </row>
    <row r="47" spans="1:8" x14ac:dyDescent="0.25">
      <c r="C47" s="39" t="s">
        <v>369</v>
      </c>
      <c r="D47" s="120">
        <v>0</v>
      </c>
      <c r="E47" s="120">
        <v>0</v>
      </c>
      <c r="F47" s="120">
        <v>0</v>
      </c>
      <c r="G47" s="120">
        <v>0</v>
      </c>
      <c r="H47" s="120">
        <v>0</v>
      </c>
    </row>
    <row r="48" spans="1:8" x14ac:dyDescent="0.25">
      <c r="A48" s="39" t="s">
        <v>221</v>
      </c>
      <c r="B48" s="39" t="s">
        <v>103</v>
      </c>
      <c r="C48" s="39" t="s">
        <v>368</v>
      </c>
      <c r="D48" s="120">
        <v>1</v>
      </c>
      <c r="E48" s="120">
        <v>1</v>
      </c>
      <c r="F48" s="120">
        <v>1</v>
      </c>
      <c r="G48" s="120">
        <v>1</v>
      </c>
      <c r="H48" s="120">
        <v>1</v>
      </c>
    </row>
    <row r="49" spans="1:8" x14ac:dyDescent="0.25">
      <c r="C49" s="39" t="s">
        <v>370</v>
      </c>
      <c r="D49" s="120">
        <v>0.69</v>
      </c>
      <c r="E49" s="120">
        <v>0.69</v>
      </c>
      <c r="F49" s="120">
        <v>0.69</v>
      </c>
      <c r="G49" s="120">
        <v>0.69</v>
      </c>
      <c r="H49" s="120">
        <v>0.69</v>
      </c>
    </row>
    <row r="50" spans="1:8" x14ac:dyDescent="0.25">
      <c r="A50" s="39" t="s">
        <v>231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0.76</v>
      </c>
      <c r="E51" s="120">
        <v>0.76</v>
      </c>
      <c r="F51" s="120">
        <v>0.76</v>
      </c>
      <c r="G51" s="120">
        <v>0.76</v>
      </c>
      <c r="H51" s="120">
        <v>0.76</v>
      </c>
    </row>
    <row r="52" spans="1:8" x14ac:dyDescent="0.25">
      <c r="A52" s="39" t="s">
        <v>211</v>
      </c>
      <c r="B52" s="39" t="s">
        <v>115</v>
      </c>
      <c r="C52" s="39" t="s">
        <v>368</v>
      </c>
      <c r="D52" s="120">
        <v>1</v>
      </c>
      <c r="E52" s="120">
        <v>0</v>
      </c>
      <c r="F52" s="120">
        <v>0</v>
      </c>
      <c r="G52" s="120">
        <v>0</v>
      </c>
      <c r="H52" s="120">
        <v>0</v>
      </c>
    </row>
    <row r="53" spans="1:8" x14ac:dyDescent="0.25">
      <c r="C53" s="39" t="s">
        <v>370</v>
      </c>
      <c r="D53" s="120">
        <v>0.32</v>
      </c>
      <c r="E53" s="120">
        <v>0</v>
      </c>
      <c r="F53" s="120">
        <v>0</v>
      </c>
      <c r="G53" s="120">
        <v>0</v>
      </c>
      <c r="H53" s="120">
        <v>0</v>
      </c>
    </row>
    <row r="55" spans="1:8" s="106" customFormat="1" ht="13" x14ac:dyDescent="0.3">
      <c r="A55" s="109" t="s">
        <v>360</v>
      </c>
      <c r="B55" s="110"/>
      <c r="C55" s="110"/>
      <c r="D55" s="124"/>
      <c r="E55" s="124"/>
      <c r="F55" s="124"/>
      <c r="G55" s="124"/>
      <c r="H55" s="124"/>
    </row>
    <row r="56" spans="1:8" ht="13" x14ac:dyDescent="0.3">
      <c r="A56" s="29" t="s">
        <v>192</v>
      </c>
      <c r="B56" s="29" t="s">
        <v>371</v>
      </c>
      <c r="C56" s="96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39" t="s">
        <v>225</v>
      </c>
      <c r="B57" s="39" t="s">
        <v>103</v>
      </c>
      <c r="C57" s="39" t="s">
        <v>368</v>
      </c>
      <c r="D57" s="120">
        <f>IF($C2="Affected fraction",D2,IF(D2=1,1,D2*0.9))</f>
        <v>0</v>
      </c>
      <c r="E57" s="120">
        <f>IF($C2="Affected fraction",E2,IF(E2=1,1,E2*0.9))</f>
        <v>0</v>
      </c>
      <c r="F57" s="120">
        <f>IF($C2="Affected fraction",F2,IF(F2=1,1,F2*0.9))</f>
        <v>1</v>
      </c>
      <c r="G57" s="120">
        <f>IF($C2="Affected fraction",G2,IF(G2=1,1,G2*0.9))</f>
        <v>1</v>
      </c>
      <c r="H57" s="120">
        <f>IF($C2="Affected fraction",H2,IF(H2=1,1,H2*0.9))</f>
        <v>1</v>
      </c>
    </row>
    <row r="58" spans="1:8" x14ac:dyDescent="0.25">
      <c r="C58" s="39" t="s">
        <v>370</v>
      </c>
      <c r="D58" s="120">
        <f>IF($C3="Affected fraction",D3,IF(D3=1,1,D3*0.9))</f>
        <v>0</v>
      </c>
      <c r="E58" s="120">
        <f>IF($C3="Affected fraction",E3,IF(E3=1,1,E3*0.9))</f>
        <v>0</v>
      </c>
      <c r="F58" s="120">
        <v>0.02</v>
      </c>
      <c r="G58" s="120">
        <v>0.02</v>
      </c>
      <c r="H58" s="120">
        <v>0.02</v>
      </c>
    </row>
    <row r="59" spans="1:8" x14ac:dyDescent="0.25">
      <c r="C59" s="39" t="s">
        <v>369</v>
      </c>
      <c r="D59" s="120">
        <f>IF($C4="Affected fraction",D4,IF(D4=1,1,D4*0.9))</f>
        <v>0</v>
      </c>
      <c r="E59" s="120">
        <f>IF($C4="Affected fraction",E4,IF(E4=1,1,E4*0.9))</f>
        <v>0</v>
      </c>
      <c r="F59" s="120">
        <v>0.13</v>
      </c>
      <c r="G59" s="120">
        <v>0.13</v>
      </c>
      <c r="H59" s="120">
        <v>0.13</v>
      </c>
    </row>
    <row r="60" spans="1:8" x14ac:dyDescent="0.25">
      <c r="A60" s="39" t="s">
        <v>222</v>
      </c>
      <c r="B60" s="39" t="s">
        <v>236</v>
      </c>
      <c r="C60" s="39" t="s">
        <v>368</v>
      </c>
      <c r="D60" s="120">
        <v>0</v>
      </c>
      <c r="E60" s="120">
        <v>0</v>
      </c>
      <c r="F60" s="120">
        <v>1</v>
      </c>
      <c r="G60" s="120">
        <v>1</v>
      </c>
      <c r="H60" s="120">
        <v>0</v>
      </c>
    </row>
    <row r="61" spans="1:8" x14ac:dyDescent="0.25">
      <c r="C61" s="39" t="s">
        <v>369</v>
      </c>
      <c r="D61" s="120">
        <v>0</v>
      </c>
      <c r="E61" s="120">
        <v>0</v>
      </c>
      <c r="F61" s="120">
        <v>0</v>
      </c>
      <c r="G61" s="120">
        <v>0</v>
      </c>
      <c r="H61" s="120">
        <v>0</v>
      </c>
    </row>
    <row r="62" spans="1:8" x14ac:dyDescent="0.25">
      <c r="B62" s="39" t="s">
        <v>3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A64" s="39" t="s">
        <v>213</v>
      </c>
      <c r="B64" s="39" t="s">
        <v>236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B66" s="39" t="s">
        <v>3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A68" s="39" t="s">
        <v>233</v>
      </c>
      <c r="B68" s="39" t="s">
        <v>236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f t="shared" ref="D69:H81" si="0">IF($C14="Affected fraction",D14,IF(D14=1,1,D14*0.9))</f>
        <v>0</v>
      </c>
      <c r="E69" s="120">
        <f t="shared" si="0"/>
        <v>0</v>
      </c>
      <c r="F69" s="120">
        <v>0.14000000000000001</v>
      </c>
      <c r="G69" s="120">
        <v>0.14000000000000001</v>
      </c>
      <c r="H69" s="120">
        <f>IF($C14="Affected fraction",H14,IF(H14=1,1,H14*0.9))</f>
        <v>0</v>
      </c>
    </row>
    <row r="70" spans="1:8" x14ac:dyDescent="0.25">
      <c r="B70" s="39" t="s">
        <v>3</v>
      </c>
      <c r="C70" s="39" t="s">
        <v>368</v>
      </c>
      <c r="D70" s="120">
        <f t="shared" si="0"/>
        <v>0</v>
      </c>
      <c r="E70" s="120">
        <f t="shared" si="0"/>
        <v>0</v>
      </c>
      <c r="F70" s="120">
        <f>IF($C15="Affected fraction",F15,IF(F15=1,1,F15*0.9))</f>
        <v>1</v>
      </c>
      <c r="G70" s="120">
        <f>IF($C15="Affected fraction",G15,IF(G15=1,1,G15*0.9))</f>
        <v>1</v>
      </c>
      <c r="H70" s="120">
        <f>IF($C15="Affected fraction",H15,IF(H15=1,1,H15*0.9))</f>
        <v>0</v>
      </c>
    </row>
    <row r="71" spans="1:8" x14ac:dyDescent="0.25">
      <c r="C71" s="39" t="s">
        <v>369</v>
      </c>
      <c r="D71" s="120">
        <f t="shared" si="0"/>
        <v>0</v>
      </c>
      <c r="E71" s="120">
        <f t="shared" si="0"/>
        <v>0</v>
      </c>
      <c r="F71" s="120">
        <v>0</v>
      </c>
      <c r="G71" s="120">
        <v>0</v>
      </c>
      <c r="H71" s="120">
        <f>IF($C16="Affected fraction",H16,IF(H16=1,1,H16*0.9))</f>
        <v>0</v>
      </c>
    </row>
    <row r="72" spans="1:8" x14ac:dyDescent="0.25">
      <c r="A72" s="39" t="s">
        <v>196</v>
      </c>
      <c r="B72" s="39" t="s">
        <v>236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IF($C17="Affected fraction",F17,IF(F17=1,1,F17*0.9))</f>
        <v>1</v>
      </c>
      <c r="G72" s="120">
        <f>IF($C17="Affected fraction",G17,IF(G17=1,1,G17*0.9))</f>
        <v>1</v>
      </c>
      <c r="H72" s="120">
        <f>IF($C17="Affected fraction",H17,IF(H17=1,1,H17*0.9))</f>
        <v>1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v>0</v>
      </c>
    </row>
    <row r="74" spans="1:8" x14ac:dyDescent="0.25">
      <c r="B74" s="39" t="s">
        <v>3</v>
      </c>
      <c r="C74" s="39" t="s">
        <v>368</v>
      </c>
      <c r="D74" s="120">
        <f t="shared" si="0"/>
        <v>0</v>
      </c>
      <c r="E74" s="120">
        <f t="shared" si="0"/>
        <v>0</v>
      </c>
      <c r="F74" s="120">
        <v>1</v>
      </c>
      <c r="G74" s="120">
        <v>1</v>
      </c>
      <c r="H74" s="120">
        <v>1</v>
      </c>
    </row>
    <row r="75" spans="1:8" x14ac:dyDescent="0.25">
      <c r="C75" s="39" t="s">
        <v>369</v>
      </c>
      <c r="D75" s="120">
        <f t="shared" si="0"/>
        <v>0</v>
      </c>
      <c r="E75" s="120">
        <f t="shared" si="0"/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202</v>
      </c>
      <c r="B76" s="39" t="s">
        <v>111</v>
      </c>
      <c r="C76" s="39" t="s">
        <v>368</v>
      </c>
      <c r="D76" s="120">
        <f t="shared" si="0"/>
        <v>1</v>
      </c>
      <c r="E76" s="120">
        <f t="shared" si="0"/>
        <v>0</v>
      </c>
      <c r="F76" s="120">
        <f t="shared" si="0"/>
        <v>0</v>
      </c>
      <c r="G76" s="120">
        <f t="shared" si="0"/>
        <v>0</v>
      </c>
      <c r="H76" s="120">
        <f t="shared" si="0"/>
        <v>0</v>
      </c>
    </row>
    <row r="77" spans="1:8" x14ac:dyDescent="0.25">
      <c r="C77" s="39" t="s">
        <v>370</v>
      </c>
      <c r="D77" s="120">
        <v>0.11</v>
      </c>
      <c r="E77" s="120">
        <f>IF($C22="Affected fraction",E22,IF(E22=1,1,E22*0.9))</f>
        <v>0</v>
      </c>
      <c r="F77" s="120">
        <f t="shared" si="0"/>
        <v>0</v>
      </c>
      <c r="G77" s="120">
        <f t="shared" si="0"/>
        <v>0</v>
      </c>
      <c r="H77" s="120">
        <f t="shared" si="0"/>
        <v>0</v>
      </c>
    </row>
    <row r="78" spans="1:8" x14ac:dyDescent="0.25">
      <c r="A78" s="39" t="s">
        <v>200</v>
      </c>
      <c r="B78" s="39" t="s">
        <v>111</v>
      </c>
      <c r="C78" s="39" t="s">
        <v>368</v>
      </c>
      <c r="D78" s="120">
        <f>IF($C23="Affected fraction",D23,IF(D23=1,1,D23*0.9))</f>
        <v>1</v>
      </c>
      <c r="E78" s="120">
        <f>IF($C23="Affected fraction",E23,IF(E23=1,1,E23*0.9))</f>
        <v>0</v>
      </c>
      <c r="F78" s="120">
        <f t="shared" si="0"/>
        <v>0</v>
      </c>
      <c r="G78" s="120">
        <f t="shared" si="0"/>
        <v>0</v>
      </c>
      <c r="H78" s="120">
        <f t="shared" si="0"/>
        <v>0</v>
      </c>
    </row>
    <row r="79" spans="1:8" x14ac:dyDescent="0.25">
      <c r="C79" s="39" t="s">
        <v>370</v>
      </c>
      <c r="D79" s="120">
        <v>0.11</v>
      </c>
      <c r="E79" s="120">
        <f>IF($C24="Affected fraction",E24,IF(E24=1,1,E24*0.9))</f>
        <v>0</v>
      </c>
      <c r="F79" s="120">
        <f t="shared" si="0"/>
        <v>0</v>
      </c>
      <c r="G79" s="120">
        <f t="shared" si="0"/>
        <v>0</v>
      </c>
      <c r="H79" s="120">
        <f t="shared" si="0"/>
        <v>0</v>
      </c>
    </row>
    <row r="80" spans="1:8" x14ac:dyDescent="0.25">
      <c r="A80" s="39" t="s">
        <v>201</v>
      </c>
      <c r="B80" s="39" t="s">
        <v>111</v>
      </c>
      <c r="C80" s="39" t="s">
        <v>368</v>
      </c>
      <c r="D80" s="120">
        <f>IF($C25="Affected fraction",D25,IF(D25=1,1,D25*0.9))</f>
        <v>1</v>
      </c>
      <c r="E80" s="120">
        <f>IF($C25="Affected fraction",E25,IF(E25=1,1,E25*0.9))</f>
        <v>0</v>
      </c>
      <c r="F80" s="120">
        <f t="shared" si="0"/>
        <v>0</v>
      </c>
      <c r="G80" s="120">
        <f t="shared" si="0"/>
        <v>0</v>
      </c>
      <c r="H80" s="120">
        <f t="shared" si="0"/>
        <v>0</v>
      </c>
    </row>
    <row r="81" spans="1:8" x14ac:dyDescent="0.25">
      <c r="C81" s="39" t="s">
        <v>370</v>
      </c>
      <c r="D81" s="120">
        <v>0.11</v>
      </c>
      <c r="E81" s="120">
        <f>IF($C26="Affected fraction",E26,IF(E26=1,1,E26*0.9))</f>
        <v>0</v>
      </c>
      <c r="F81" s="120">
        <f t="shared" si="0"/>
        <v>0</v>
      </c>
      <c r="G81" s="120">
        <f t="shared" si="0"/>
        <v>0</v>
      </c>
      <c r="H81" s="120">
        <f t="shared" si="0"/>
        <v>0</v>
      </c>
    </row>
    <row r="82" spans="1:8" x14ac:dyDescent="0.25">
      <c r="A82" s="39" t="s">
        <v>229</v>
      </c>
      <c r="B82" s="39" t="s">
        <v>103</v>
      </c>
      <c r="C82" s="39" t="s">
        <v>368</v>
      </c>
      <c r="D82" s="120">
        <v>1</v>
      </c>
      <c r="E82" s="120">
        <v>1</v>
      </c>
      <c r="F82" s="120">
        <v>1</v>
      </c>
      <c r="G82" s="120">
        <v>1</v>
      </c>
      <c r="H82" s="120">
        <v>1</v>
      </c>
    </row>
    <row r="83" spans="1:8" x14ac:dyDescent="0.25">
      <c r="C83" s="39" t="s">
        <v>370</v>
      </c>
      <c r="D83" s="120">
        <v>7.0000000000000007E-2</v>
      </c>
      <c r="E83" s="120">
        <v>7.0000000000000007E-2</v>
      </c>
      <c r="F83" s="120">
        <v>7.0000000000000007E-2</v>
      </c>
      <c r="G83" s="120">
        <v>7.0000000000000007E-2</v>
      </c>
      <c r="H83" s="120">
        <v>7.0000000000000007E-2</v>
      </c>
    </row>
    <row r="84" spans="1:8" x14ac:dyDescent="0.25">
      <c r="C84" s="39" t="s">
        <v>369</v>
      </c>
      <c r="D84" s="120">
        <v>0</v>
      </c>
      <c r="E84" s="120">
        <v>0</v>
      </c>
      <c r="F84" s="120">
        <v>0</v>
      </c>
      <c r="G84" s="120">
        <v>0</v>
      </c>
      <c r="H84" s="120">
        <v>0</v>
      </c>
    </row>
    <row r="85" spans="1:8" x14ac:dyDescent="0.25">
      <c r="A85" s="39" t="s">
        <v>230</v>
      </c>
      <c r="B85" s="39" t="s">
        <v>103</v>
      </c>
      <c r="C85" s="39" t="s">
        <v>368</v>
      </c>
      <c r="D85" s="120">
        <v>1</v>
      </c>
      <c r="E85" s="120">
        <v>1</v>
      </c>
      <c r="F85" s="120">
        <v>1</v>
      </c>
      <c r="G85" s="120">
        <v>1</v>
      </c>
      <c r="H85" s="120">
        <v>1</v>
      </c>
    </row>
    <row r="86" spans="1:8" x14ac:dyDescent="0.25">
      <c r="C86" s="39" t="s">
        <v>370</v>
      </c>
      <c r="D86" s="120">
        <v>0</v>
      </c>
      <c r="E86" s="120">
        <v>0</v>
      </c>
      <c r="F86" s="120">
        <v>0</v>
      </c>
      <c r="G86" s="120">
        <v>0</v>
      </c>
      <c r="H86" s="120">
        <v>0</v>
      </c>
    </row>
    <row r="87" spans="1:8" x14ac:dyDescent="0.25">
      <c r="C87" s="39" t="s">
        <v>369</v>
      </c>
      <c r="D87" s="120">
        <v>0</v>
      </c>
      <c r="E87" s="120">
        <v>0</v>
      </c>
      <c r="F87" s="120">
        <v>0</v>
      </c>
      <c r="G87" s="120">
        <v>0</v>
      </c>
      <c r="H87" s="120">
        <v>0</v>
      </c>
    </row>
    <row r="88" spans="1:8" x14ac:dyDescent="0.25">
      <c r="A88" s="39" t="s">
        <v>228</v>
      </c>
      <c r="B88" s="39" t="s">
        <v>103</v>
      </c>
      <c r="C88" s="39" t="s">
        <v>368</v>
      </c>
      <c r="D88" s="120">
        <v>1</v>
      </c>
      <c r="E88" s="120">
        <v>1</v>
      </c>
      <c r="F88" s="120">
        <v>1</v>
      </c>
      <c r="G88" s="120">
        <v>1</v>
      </c>
      <c r="H88" s="120">
        <v>1</v>
      </c>
    </row>
    <row r="89" spans="1:8" x14ac:dyDescent="0.25">
      <c r="C89" s="39" t="s">
        <v>370</v>
      </c>
      <c r="D89" s="120">
        <v>0</v>
      </c>
      <c r="E89" s="120">
        <v>0</v>
      </c>
      <c r="F89" s="120">
        <v>0</v>
      </c>
      <c r="G89" s="120">
        <v>0</v>
      </c>
      <c r="H89" s="120">
        <v>0</v>
      </c>
    </row>
    <row r="90" spans="1:8" x14ac:dyDescent="0.25">
      <c r="C90" s="39" t="s">
        <v>369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A91" s="39" t="s">
        <v>227</v>
      </c>
      <c r="B91" s="39" t="s">
        <v>103</v>
      </c>
      <c r="C91" s="39" t="s">
        <v>368</v>
      </c>
      <c r="D91" s="120">
        <v>1</v>
      </c>
      <c r="E91" s="120">
        <v>1</v>
      </c>
      <c r="F91" s="120">
        <v>1</v>
      </c>
      <c r="G91" s="120">
        <v>1</v>
      </c>
      <c r="H91" s="120">
        <v>1</v>
      </c>
    </row>
    <row r="92" spans="1:8" x14ac:dyDescent="0.25">
      <c r="C92" s="39" t="s">
        <v>370</v>
      </c>
      <c r="D92" s="120">
        <v>0</v>
      </c>
      <c r="E92" s="120">
        <v>0</v>
      </c>
      <c r="F92" s="120">
        <v>0</v>
      </c>
      <c r="G92" s="120">
        <v>0</v>
      </c>
      <c r="H92" s="120">
        <v>0</v>
      </c>
    </row>
    <row r="93" spans="1:8" x14ac:dyDescent="0.25">
      <c r="C93" s="39" t="s">
        <v>369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A94" s="39" t="s">
        <v>226</v>
      </c>
      <c r="B94" s="39" t="s">
        <v>103</v>
      </c>
      <c r="C94" s="39" t="s">
        <v>368</v>
      </c>
      <c r="D94" s="120">
        <v>1</v>
      </c>
      <c r="E94" s="120">
        <v>1</v>
      </c>
      <c r="F94" s="120">
        <v>1</v>
      </c>
      <c r="G94" s="120">
        <v>1</v>
      </c>
      <c r="H94" s="120">
        <v>1</v>
      </c>
    </row>
    <row r="95" spans="1:8" x14ac:dyDescent="0.25">
      <c r="C95" s="39" t="s">
        <v>370</v>
      </c>
      <c r="D95" s="120">
        <v>0</v>
      </c>
      <c r="E95" s="120">
        <v>0</v>
      </c>
      <c r="F95" s="120">
        <v>0</v>
      </c>
      <c r="G95" s="120">
        <v>0</v>
      </c>
      <c r="H95" s="120">
        <v>0</v>
      </c>
    </row>
    <row r="96" spans="1:8" x14ac:dyDescent="0.25">
      <c r="C96" s="39" t="s">
        <v>369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A97" s="39" t="s">
        <v>232</v>
      </c>
      <c r="B97" s="39" t="s">
        <v>103</v>
      </c>
      <c r="C97" s="39" t="s">
        <v>368</v>
      </c>
      <c r="D97" s="120">
        <f>IF($C42="Affected fraction",D42,IF(D42=1,1,D42*0.9))</f>
        <v>0</v>
      </c>
      <c r="E97" s="120">
        <f>IF($C42="Affected fraction",E42,IF(E42=1,1,E42*0.9))</f>
        <v>1</v>
      </c>
      <c r="F97" s="120">
        <f>IF($C42="Affected fraction",F42,IF(F42=1,1,F42*0.9))</f>
        <v>1</v>
      </c>
      <c r="G97" s="120">
        <f>IF($C42="Affected fraction",G42,IF(G42=1,1,G42*0.9))</f>
        <v>1</v>
      </c>
      <c r="H97" s="120">
        <f>IF($C42="Affected fraction",H42,IF(H42=1,1,H42*0.9))</f>
        <v>1</v>
      </c>
    </row>
    <row r="98" spans="1:8" x14ac:dyDescent="0.25">
      <c r="C98" s="39" t="s">
        <v>370</v>
      </c>
      <c r="D98" s="120">
        <v>0</v>
      </c>
      <c r="E98" s="120">
        <v>0</v>
      </c>
      <c r="F98" s="120">
        <v>0</v>
      </c>
      <c r="G98" s="120">
        <v>0</v>
      </c>
      <c r="H98" s="120">
        <v>0</v>
      </c>
    </row>
    <row r="99" spans="1:8" x14ac:dyDescent="0.25">
      <c r="C99" s="39" t="s">
        <v>369</v>
      </c>
      <c r="D99" s="120">
        <v>7.0000000000000007E-2</v>
      </c>
      <c r="E99" s="120">
        <v>7.0000000000000007E-2</v>
      </c>
      <c r="F99" s="120">
        <v>7.0000000000000007E-2</v>
      </c>
      <c r="G99" s="120">
        <v>7.0000000000000007E-2</v>
      </c>
      <c r="H99" s="120">
        <v>7.0000000000000007E-2</v>
      </c>
    </row>
    <row r="100" spans="1:8" x14ac:dyDescent="0.25">
      <c r="B100" s="39" t="s">
        <v>121</v>
      </c>
      <c r="C100" s="39" t="s">
        <v>368</v>
      </c>
      <c r="D100" s="120">
        <v>0</v>
      </c>
      <c r="E100" s="120">
        <v>1</v>
      </c>
      <c r="F100" s="120">
        <v>1</v>
      </c>
      <c r="G100" s="120">
        <v>1</v>
      </c>
      <c r="H100" s="120">
        <v>1</v>
      </c>
    </row>
    <row r="101" spans="1:8" x14ac:dyDescent="0.25">
      <c r="C101" s="39" t="s">
        <v>370</v>
      </c>
      <c r="D101" s="120">
        <v>0</v>
      </c>
      <c r="E101" s="120">
        <v>0</v>
      </c>
      <c r="F101" s="120">
        <v>0</v>
      </c>
      <c r="G101" s="120">
        <v>0</v>
      </c>
      <c r="H101" s="120">
        <v>0</v>
      </c>
    </row>
    <row r="102" spans="1:8" x14ac:dyDescent="0.25">
      <c r="C102" s="39" t="s">
        <v>369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A103" s="39" t="s">
        <v>221</v>
      </c>
      <c r="B103" s="39" t="s">
        <v>103</v>
      </c>
      <c r="C103" s="39" t="s">
        <v>368</v>
      </c>
      <c r="D103" s="120">
        <v>1</v>
      </c>
      <c r="E103" s="120">
        <v>1</v>
      </c>
      <c r="F103" s="120">
        <v>1</v>
      </c>
      <c r="G103" s="120">
        <v>1</v>
      </c>
      <c r="H103" s="120">
        <v>1</v>
      </c>
    </row>
    <row r="104" spans="1:8" x14ac:dyDescent="0.25">
      <c r="C104" s="39" t="s">
        <v>370</v>
      </c>
      <c r="D104" s="120">
        <v>0.51</v>
      </c>
      <c r="E104" s="120">
        <v>0.51</v>
      </c>
      <c r="F104" s="120">
        <v>0.51</v>
      </c>
      <c r="G104" s="120">
        <v>0.51</v>
      </c>
      <c r="H104" s="120">
        <v>0.51</v>
      </c>
    </row>
    <row r="105" spans="1:8" x14ac:dyDescent="0.25">
      <c r="A105" s="39" t="s">
        <v>231</v>
      </c>
      <c r="B105" s="39" t="s">
        <v>103</v>
      </c>
      <c r="C105" s="39" t="s">
        <v>368</v>
      </c>
      <c r="D105" s="120">
        <v>1</v>
      </c>
      <c r="E105" s="120">
        <v>1</v>
      </c>
      <c r="F105" s="120">
        <v>1</v>
      </c>
      <c r="G105" s="120">
        <v>1</v>
      </c>
      <c r="H105" s="120">
        <v>1</v>
      </c>
    </row>
    <row r="106" spans="1:8" x14ac:dyDescent="0.25">
      <c r="C106" s="39" t="s">
        <v>370</v>
      </c>
      <c r="D106" s="120">
        <v>0.62</v>
      </c>
      <c r="E106" s="120">
        <v>0.62</v>
      </c>
      <c r="F106" s="120">
        <v>0.62</v>
      </c>
      <c r="G106" s="120">
        <v>0.62</v>
      </c>
      <c r="H106" s="120">
        <v>0.62</v>
      </c>
    </row>
    <row r="107" spans="1:8" x14ac:dyDescent="0.25">
      <c r="A107" s="39" t="s">
        <v>211</v>
      </c>
      <c r="B107" s="39" t="s">
        <v>115</v>
      </c>
      <c r="C107" s="39" t="s">
        <v>368</v>
      </c>
      <c r="D107" s="120">
        <v>1</v>
      </c>
      <c r="E107" s="120">
        <v>0</v>
      </c>
      <c r="F107" s="120">
        <v>0</v>
      </c>
      <c r="G107" s="120">
        <v>0</v>
      </c>
      <c r="H107" s="120">
        <v>0</v>
      </c>
    </row>
    <row r="108" spans="1:8" x14ac:dyDescent="0.25">
      <c r="C108" s="39" t="s">
        <v>370</v>
      </c>
      <c r="D108" s="120">
        <v>0.14000000000000001</v>
      </c>
      <c r="E108" s="120">
        <v>0</v>
      </c>
      <c r="F108" s="120">
        <v>0</v>
      </c>
      <c r="G108" s="120">
        <v>0</v>
      </c>
      <c r="H108" s="120">
        <v>0</v>
      </c>
    </row>
    <row r="110" spans="1:8" s="106" customFormat="1" ht="13" x14ac:dyDescent="0.3">
      <c r="A110" s="109" t="s">
        <v>367</v>
      </c>
      <c r="B110" s="110"/>
      <c r="C110" s="110"/>
      <c r="D110" s="124"/>
      <c r="E110" s="124"/>
      <c r="F110" s="124"/>
      <c r="G110" s="124"/>
      <c r="H110" s="124"/>
    </row>
    <row r="111" spans="1:8" ht="13" x14ac:dyDescent="0.3">
      <c r="A111" s="29" t="s">
        <v>192</v>
      </c>
      <c r="B111" s="29" t="s">
        <v>371</v>
      </c>
      <c r="C111" s="96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39" t="s">
        <v>225</v>
      </c>
      <c r="B112" s="39" t="s">
        <v>103</v>
      </c>
      <c r="C112" s="39" t="s">
        <v>368</v>
      </c>
      <c r="D112" s="120">
        <f t="shared" ref="D112:E114" si="1">IF($C2="Affected fraction",D2,IF(D2=1,1,D2*1.05))</f>
        <v>0</v>
      </c>
      <c r="E112" s="120">
        <f t="shared" si="1"/>
        <v>0</v>
      </c>
      <c r="F112" s="120">
        <f>IF($C57="Affected fraction",F57,IF(F57=1,1,F57*0.9))</f>
        <v>1</v>
      </c>
      <c r="G112" s="120">
        <f>IF($C57="Affected fraction",G57,IF(G57=1,1,G57*0.9))</f>
        <v>1</v>
      </c>
      <c r="H112" s="120">
        <f>IF($C57="Affected fraction",H57,IF(H57=1,1,H57*0.9))</f>
        <v>1</v>
      </c>
    </row>
    <row r="113" spans="1:8" x14ac:dyDescent="0.25">
      <c r="C113" s="39" t="s">
        <v>370</v>
      </c>
      <c r="D113" s="120">
        <f t="shared" si="1"/>
        <v>0</v>
      </c>
      <c r="E113" s="120">
        <f t="shared" si="1"/>
        <v>0</v>
      </c>
      <c r="F113" s="120">
        <v>0.21</v>
      </c>
      <c r="G113" s="120">
        <v>0.21</v>
      </c>
      <c r="H113" s="120">
        <v>0.21</v>
      </c>
    </row>
    <row r="114" spans="1:8" x14ac:dyDescent="0.25">
      <c r="C114" s="39" t="s">
        <v>369</v>
      </c>
      <c r="D114" s="120">
        <f t="shared" si="1"/>
        <v>0</v>
      </c>
      <c r="E114" s="120">
        <f t="shared" si="1"/>
        <v>0</v>
      </c>
      <c r="F114" s="120">
        <v>0.18</v>
      </c>
      <c r="G114" s="120">
        <v>0.18</v>
      </c>
      <c r="H114" s="120">
        <v>0.18</v>
      </c>
    </row>
    <row r="115" spans="1:8" x14ac:dyDescent="0.25">
      <c r="A115" s="39" t="s">
        <v>222</v>
      </c>
      <c r="B115" s="39" t="s">
        <v>236</v>
      </c>
      <c r="C115" s="39" t="s">
        <v>368</v>
      </c>
      <c r="D115" s="120">
        <v>0</v>
      </c>
      <c r="E115" s="120">
        <v>0</v>
      </c>
      <c r="F115" s="120">
        <v>1</v>
      </c>
      <c r="G115" s="120">
        <v>1</v>
      </c>
      <c r="H115" s="120">
        <v>0</v>
      </c>
    </row>
    <row r="116" spans="1:8" x14ac:dyDescent="0.25">
      <c r="C116" s="39" t="s">
        <v>369</v>
      </c>
      <c r="D116" s="120">
        <v>0</v>
      </c>
      <c r="E116" s="120">
        <v>0</v>
      </c>
      <c r="F116" s="120">
        <v>0</v>
      </c>
      <c r="G116" s="120">
        <v>0</v>
      </c>
      <c r="H116" s="120">
        <v>0</v>
      </c>
    </row>
    <row r="117" spans="1:8" x14ac:dyDescent="0.25">
      <c r="B117" s="39" t="s">
        <v>3</v>
      </c>
      <c r="C117" s="39" t="s">
        <v>368</v>
      </c>
      <c r="D117" s="120">
        <v>0</v>
      </c>
      <c r="E117" s="120">
        <v>0</v>
      </c>
      <c r="F117" s="120">
        <v>1</v>
      </c>
      <c r="G117" s="120">
        <v>1</v>
      </c>
      <c r="H117" s="120">
        <v>0</v>
      </c>
    </row>
    <row r="118" spans="1:8" x14ac:dyDescent="0.25">
      <c r="C118" s="39" t="s">
        <v>369</v>
      </c>
      <c r="D118" s="120">
        <v>0</v>
      </c>
      <c r="E118" s="120">
        <v>0</v>
      </c>
      <c r="F118" s="120">
        <v>0</v>
      </c>
      <c r="G118" s="120">
        <v>0</v>
      </c>
      <c r="H118" s="120">
        <v>0</v>
      </c>
    </row>
    <row r="119" spans="1:8" x14ac:dyDescent="0.25">
      <c r="A119" s="39" t="s">
        <v>213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233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f t="shared" ref="D124:H136" si="2">IF($C14="Affected fraction",D14,IF(D14=1,1,D14*1.05))</f>
        <v>0</v>
      </c>
      <c r="E124" s="120">
        <f t="shared" si="2"/>
        <v>0</v>
      </c>
      <c r="F124" s="120">
        <v>0.45</v>
      </c>
      <c r="G124" s="120">
        <v>0.45</v>
      </c>
      <c r="H124" s="120">
        <f>IF($C14="Affected fraction",H14,IF(H14=1,1,H14*1.05))</f>
        <v>0</v>
      </c>
    </row>
    <row r="125" spans="1:8" x14ac:dyDescent="0.25">
      <c r="B125" s="39" t="s">
        <v>3</v>
      </c>
      <c r="C125" s="39" t="s">
        <v>368</v>
      </c>
      <c r="D125" s="120">
        <f t="shared" si="2"/>
        <v>0</v>
      </c>
      <c r="E125" s="120">
        <f t="shared" si="2"/>
        <v>0</v>
      </c>
      <c r="F125" s="120">
        <f>IF($C15="Affected fraction",F15,IF(F15=1,1,F15*1.05))</f>
        <v>1</v>
      </c>
      <c r="G125" s="120">
        <f>IF($C15="Affected fraction",G15,IF(G15=1,1,G15*1.05))</f>
        <v>1</v>
      </c>
      <c r="H125" s="120">
        <f>IF($C15="Affected fraction",H15,IF(H15=1,1,H15*1.05))</f>
        <v>0</v>
      </c>
    </row>
    <row r="126" spans="1:8" x14ac:dyDescent="0.25">
      <c r="C126" s="39" t="s">
        <v>369</v>
      </c>
      <c r="D126" s="120">
        <f t="shared" si="2"/>
        <v>0</v>
      </c>
      <c r="E126" s="120">
        <f t="shared" si="2"/>
        <v>0</v>
      </c>
      <c r="F126" s="120">
        <v>0.2</v>
      </c>
      <c r="G126" s="120">
        <v>0.2</v>
      </c>
      <c r="H126" s="120">
        <f>IF($C16="Affected fraction",H16,IF(H16=1,1,H16*1.05))</f>
        <v>0</v>
      </c>
    </row>
    <row r="127" spans="1:8" x14ac:dyDescent="0.25">
      <c r="A127" s="39" t="s">
        <v>196</v>
      </c>
      <c r="B127" s="39" t="s">
        <v>236</v>
      </c>
      <c r="C127" s="39" t="s">
        <v>368</v>
      </c>
      <c r="D127" s="120">
        <f t="shared" si="2"/>
        <v>0</v>
      </c>
      <c r="E127" s="120">
        <f t="shared" si="2"/>
        <v>0</v>
      </c>
      <c r="F127" s="120">
        <f>IF($C17="Affected fraction",F17,IF(F17=1,1,F17*1.05))</f>
        <v>1</v>
      </c>
      <c r="G127" s="120">
        <f>IF($C17="Affected fraction",G17,IF(G17=1,1,G17*1.05))</f>
        <v>1</v>
      </c>
      <c r="H127" s="120">
        <f>IF($C17="Affected fraction",H17,IF(H17=1,1,H17*1.05))</f>
        <v>1</v>
      </c>
    </row>
    <row r="128" spans="1:8" x14ac:dyDescent="0.25">
      <c r="C128" s="39" t="s">
        <v>369</v>
      </c>
      <c r="D128" s="120">
        <f t="shared" si="2"/>
        <v>0</v>
      </c>
      <c r="E128" s="120">
        <f t="shared" si="2"/>
        <v>0</v>
      </c>
      <c r="F128" s="120">
        <v>0</v>
      </c>
      <c r="G128" s="120">
        <v>0</v>
      </c>
      <c r="H128" s="120">
        <v>0</v>
      </c>
    </row>
    <row r="129" spans="1:8" x14ac:dyDescent="0.25">
      <c r="B129" s="39" t="s">
        <v>3</v>
      </c>
      <c r="C129" s="39" t="s">
        <v>368</v>
      </c>
      <c r="D129" s="120">
        <f t="shared" si="2"/>
        <v>0</v>
      </c>
      <c r="E129" s="120">
        <f t="shared" si="2"/>
        <v>0</v>
      </c>
      <c r="F129" s="120">
        <v>1</v>
      </c>
      <c r="G129" s="120">
        <v>1</v>
      </c>
      <c r="H129" s="120">
        <v>1</v>
      </c>
    </row>
    <row r="130" spans="1:8" x14ac:dyDescent="0.25">
      <c r="C130" s="39" t="s">
        <v>369</v>
      </c>
      <c r="D130" s="120">
        <f t="shared" si="2"/>
        <v>0</v>
      </c>
      <c r="E130" s="120">
        <f t="shared" si="2"/>
        <v>0</v>
      </c>
      <c r="F130" s="120">
        <v>0</v>
      </c>
      <c r="G130" s="120">
        <v>0</v>
      </c>
      <c r="H130" s="120">
        <v>0</v>
      </c>
    </row>
    <row r="131" spans="1:8" x14ac:dyDescent="0.25">
      <c r="A131" s="39" t="s">
        <v>202</v>
      </c>
      <c r="B131" s="39" t="s">
        <v>111</v>
      </c>
      <c r="C131" s="39" t="s">
        <v>368</v>
      </c>
      <c r="D131" s="120">
        <f>IF($C76="Affected fraction",D76,IF(D76=1,1,D76*0.9))</f>
        <v>1</v>
      </c>
      <c r="E131" s="120">
        <f t="shared" si="2"/>
        <v>0</v>
      </c>
      <c r="F131" s="120">
        <f t="shared" si="2"/>
        <v>0</v>
      </c>
      <c r="G131" s="120">
        <f t="shared" si="2"/>
        <v>0</v>
      </c>
      <c r="H131" s="120">
        <f t="shared" si="2"/>
        <v>0</v>
      </c>
    </row>
    <row r="132" spans="1:8" x14ac:dyDescent="0.25">
      <c r="C132" s="39" t="s">
        <v>370</v>
      </c>
      <c r="D132" s="120">
        <v>0.16</v>
      </c>
      <c r="E132" s="120">
        <f t="shared" si="2"/>
        <v>0</v>
      </c>
      <c r="F132" s="120">
        <f t="shared" si="2"/>
        <v>0</v>
      </c>
      <c r="G132" s="120">
        <f t="shared" si="2"/>
        <v>0</v>
      </c>
      <c r="H132" s="120">
        <f t="shared" si="2"/>
        <v>0</v>
      </c>
    </row>
    <row r="133" spans="1:8" x14ac:dyDescent="0.25">
      <c r="A133" s="39" t="s">
        <v>200</v>
      </c>
      <c r="B133" s="39" t="s">
        <v>111</v>
      </c>
      <c r="C133" s="39" t="s">
        <v>368</v>
      </c>
      <c r="D133" s="120">
        <f>IF($C78="Affected fraction",D78,IF(D78=1,1,D78*0.9))</f>
        <v>1</v>
      </c>
      <c r="E133" s="120">
        <f t="shared" si="2"/>
        <v>0</v>
      </c>
      <c r="F133" s="120">
        <f t="shared" si="2"/>
        <v>0</v>
      </c>
      <c r="G133" s="120">
        <f t="shared" si="2"/>
        <v>0</v>
      </c>
      <c r="H133" s="120">
        <f t="shared" si="2"/>
        <v>0</v>
      </c>
    </row>
    <row r="134" spans="1:8" x14ac:dyDescent="0.25">
      <c r="C134" s="39" t="s">
        <v>370</v>
      </c>
      <c r="D134" s="120">
        <v>0.16</v>
      </c>
      <c r="E134" s="120">
        <f t="shared" si="2"/>
        <v>0</v>
      </c>
      <c r="F134" s="120">
        <f t="shared" si="2"/>
        <v>0</v>
      </c>
      <c r="G134" s="120">
        <f t="shared" si="2"/>
        <v>0</v>
      </c>
      <c r="H134" s="120">
        <f t="shared" si="2"/>
        <v>0</v>
      </c>
    </row>
    <row r="135" spans="1:8" x14ac:dyDescent="0.25">
      <c r="A135" s="39" t="s">
        <v>201</v>
      </c>
      <c r="B135" s="39" t="s">
        <v>111</v>
      </c>
      <c r="C135" s="39" t="s">
        <v>368</v>
      </c>
      <c r="D135" s="120">
        <f>IF($C80="Affected fraction",D80,IF(D80=1,1,D80*0.9))</f>
        <v>1</v>
      </c>
      <c r="E135" s="120">
        <f t="shared" si="2"/>
        <v>0</v>
      </c>
      <c r="F135" s="120">
        <f t="shared" si="2"/>
        <v>0</v>
      </c>
      <c r="G135" s="120">
        <f t="shared" si="2"/>
        <v>0</v>
      </c>
      <c r="H135" s="120">
        <f t="shared" si="2"/>
        <v>0</v>
      </c>
    </row>
    <row r="136" spans="1:8" x14ac:dyDescent="0.25">
      <c r="C136" s="39" t="s">
        <v>370</v>
      </c>
      <c r="D136" s="120">
        <v>0.16</v>
      </c>
      <c r="E136" s="120">
        <f t="shared" si="2"/>
        <v>0</v>
      </c>
      <c r="F136" s="120">
        <f t="shared" si="2"/>
        <v>0</v>
      </c>
      <c r="G136" s="120">
        <f t="shared" si="2"/>
        <v>0</v>
      </c>
      <c r="H136" s="120">
        <f t="shared" si="2"/>
        <v>0</v>
      </c>
    </row>
    <row r="137" spans="1:8" x14ac:dyDescent="0.25">
      <c r="A137" s="39" t="s">
        <v>229</v>
      </c>
      <c r="B137" s="39" t="s">
        <v>103</v>
      </c>
      <c r="C137" s="39" t="s">
        <v>368</v>
      </c>
      <c r="D137" s="120">
        <v>1</v>
      </c>
      <c r="E137" s="120">
        <v>1</v>
      </c>
      <c r="F137" s="120">
        <v>1</v>
      </c>
      <c r="G137" s="120">
        <v>1</v>
      </c>
      <c r="H137" s="120">
        <v>1</v>
      </c>
    </row>
    <row r="138" spans="1:8" x14ac:dyDescent="0.25">
      <c r="C138" s="39" t="s">
        <v>370</v>
      </c>
      <c r="D138" s="120">
        <v>0.51</v>
      </c>
      <c r="E138" s="120">
        <v>0.51</v>
      </c>
      <c r="F138" s="120">
        <v>0.51</v>
      </c>
      <c r="G138" s="120">
        <v>0.51</v>
      </c>
      <c r="H138" s="120">
        <v>0.51</v>
      </c>
    </row>
    <row r="139" spans="1:8" x14ac:dyDescent="0.25">
      <c r="C139" s="39" t="s">
        <v>369</v>
      </c>
      <c r="D139" s="120">
        <v>0</v>
      </c>
      <c r="E139" s="120">
        <v>0</v>
      </c>
      <c r="F139" s="120">
        <v>0</v>
      </c>
      <c r="G139" s="120">
        <v>0</v>
      </c>
      <c r="H139" s="120">
        <v>0</v>
      </c>
    </row>
    <row r="140" spans="1:8" x14ac:dyDescent="0.25">
      <c r="A140" s="39" t="s">
        <v>230</v>
      </c>
      <c r="B140" s="39" t="s">
        <v>103</v>
      </c>
      <c r="C140" s="39" t="s">
        <v>368</v>
      </c>
      <c r="D140" s="120">
        <v>1</v>
      </c>
      <c r="E140" s="120">
        <v>1</v>
      </c>
      <c r="F140" s="120">
        <v>1</v>
      </c>
      <c r="G140" s="120">
        <v>1</v>
      </c>
      <c r="H140" s="120">
        <v>1</v>
      </c>
    </row>
    <row r="141" spans="1:8" x14ac:dyDescent="0.25">
      <c r="C141" s="39" t="s">
        <v>370</v>
      </c>
      <c r="D141" s="120">
        <v>0</v>
      </c>
      <c r="E141" s="120">
        <v>0</v>
      </c>
      <c r="F141" s="120">
        <v>0</v>
      </c>
      <c r="G141" s="120">
        <v>0</v>
      </c>
      <c r="H141" s="120">
        <v>0</v>
      </c>
    </row>
    <row r="142" spans="1:8" x14ac:dyDescent="0.25">
      <c r="C142" s="39" t="s">
        <v>369</v>
      </c>
      <c r="D142" s="120">
        <v>0</v>
      </c>
      <c r="E142" s="120">
        <v>0</v>
      </c>
      <c r="F142" s="120">
        <v>0</v>
      </c>
      <c r="G142" s="120">
        <v>0</v>
      </c>
      <c r="H142" s="120">
        <v>0</v>
      </c>
    </row>
    <row r="143" spans="1:8" x14ac:dyDescent="0.25">
      <c r="A143" s="39" t="s">
        <v>228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</v>
      </c>
      <c r="E144" s="120">
        <v>0</v>
      </c>
      <c r="F144" s="120">
        <v>0</v>
      </c>
      <c r="G144" s="120">
        <v>0</v>
      </c>
      <c r="H144" s="120">
        <v>0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227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226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232</v>
      </c>
      <c r="B152" s="39" t="s">
        <v>103</v>
      </c>
      <c r="C152" s="39" t="s">
        <v>368</v>
      </c>
      <c r="D152" s="120">
        <f t="shared" ref="D152:H153" si="3">IF($C97="Affected fraction",D97,IF(D97=1,1,D97*0.9))</f>
        <v>0</v>
      </c>
      <c r="E152" s="120">
        <f t="shared" si="3"/>
        <v>1</v>
      </c>
      <c r="F152" s="120">
        <f t="shared" si="3"/>
        <v>1</v>
      </c>
      <c r="G152" s="120">
        <f t="shared" si="3"/>
        <v>1</v>
      </c>
      <c r="H152" s="120">
        <f t="shared" si="3"/>
        <v>1</v>
      </c>
    </row>
    <row r="153" spans="1:8" x14ac:dyDescent="0.25">
      <c r="C153" s="39" t="s">
        <v>370</v>
      </c>
      <c r="D153" s="120">
        <f t="shared" si="3"/>
        <v>0</v>
      </c>
      <c r="E153" s="120">
        <f t="shared" si="3"/>
        <v>0</v>
      </c>
      <c r="F153" s="120">
        <f t="shared" si="3"/>
        <v>0</v>
      </c>
      <c r="G153" s="120">
        <f t="shared" si="3"/>
        <v>0</v>
      </c>
      <c r="H153" s="120">
        <f t="shared" si="3"/>
        <v>0</v>
      </c>
    </row>
    <row r="154" spans="1:8" x14ac:dyDescent="0.25">
      <c r="C154" s="39" t="s">
        <v>369</v>
      </c>
      <c r="D154" s="120">
        <v>0.1</v>
      </c>
      <c r="E154" s="120">
        <v>0.1</v>
      </c>
      <c r="F154" s="120">
        <v>0.1</v>
      </c>
      <c r="G154" s="120">
        <v>0.1</v>
      </c>
      <c r="H154" s="120">
        <v>0.1</v>
      </c>
    </row>
    <row r="155" spans="1:8" x14ac:dyDescent="0.25">
      <c r="B155" s="39" t="s">
        <v>121</v>
      </c>
      <c r="C155" s="39" t="s">
        <v>368</v>
      </c>
      <c r="D155" s="120">
        <v>0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221</v>
      </c>
      <c r="B158" s="39" t="s">
        <v>103</v>
      </c>
      <c r="C158" s="39" t="s">
        <v>368</v>
      </c>
      <c r="D158" s="120">
        <v>1</v>
      </c>
      <c r="E158" s="120">
        <v>1</v>
      </c>
      <c r="F158" s="120">
        <v>1</v>
      </c>
      <c r="G158" s="120">
        <v>1</v>
      </c>
      <c r="H158" s="120">
        <v>1</v>
      </c>
    </row>
    <row r="159" spans="1:8" x14ac:dyDescent="0.25">
      <c r="C159" s="39" t="s">
        <v>370</v>
      </c>
      <c r="D159" s="120">
        <v>0.8</v>
      </c>
      <c r="E159" s="120">
        <v>0.8</v>
      </c>
      <c r="F159" s="120">
        <v>0.8</v>
      </c>
      <c r="G159" s="120">
        <v>0.8</v>
      </c>
      <c r="H159" s="120">
        <v>0.8</v>
      </c>
    </row>
    <row r="160" spans="1:8" x14ac:dyDescent="0.25">
      <c r="A160" s="39" t="s">
        <v>231</v>
      </c>
      <c r="B160" s="39" t="s">
        <v>103</v>
      </c>
      <c r="C160" s="39" t="s">
        <v>368</v>
      </c>
      <c r="D160" s="120">
        <v>1</v>
      </c>
      <c r="E160" s="120">
        <v>1</v>
      </c>
      <c r="F160" s="120">
        <v>1</v>
      </c>
      <c r="G160" s="120">
        <v>1</v>
      </c>
      <c r="H160" s="120">
        <v>1</v>
      </c>
    </row>
    <row r="161" spans="1:8" x14ac:dyDescent="0.25">
      <c r="C161" s="39" t="s">
        <v>370</v>
      </c>
      <c r="D161" s="120">
        <v>0.85</v>
      </c>
      <c r="E161" s="120">
        <v>0.85</v>
      </c>
      <c r="F161" s="120">
        <v>0.85</v>
      </c>
      <c r="G161" s="120">
        <v>0.85</v>
      </c>
      <c r="H161" s="120">
        <v>0.85</v>
      </c>
    </row>
    <row r="162" spans="1:8" x14ac:dyDescent="0.25">
      <c r="A162" s="39" t="s">
        <v>211</v>
      </c>
      <c r="B162" s="39" t="s">
        <v>115</v>
      </c>
      <c r="C162" s="39" t="s">
        <v>368</v>
      </c>
      <c r="D162" s="120">
        <v>1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370</v>
      </c>
      <c r="D163" s="120">
        <v>0.47</v>
      </c>
      <c r="E163" s="120">
        <v>0</v>
      </c>
      <c r="F163" s="120">
        <v>0</v>
      </c>
      <c r="G163" s="120">
        <v>0</v>
      </c>
      <c r="H163" s="120">
        <v>0</v>
      </c>
    </row>
  </sheetData>
  <sheetProtection algorithmName="SHA-512" hashValue="/U8yvsNiTp4QXb1h5Zjq7C8r3ry/dRttPVhzqQDYUny+r7KG/MjD5cZXyXA1RUueMbMeWDtIO0E5qSSFho67gg==" saltValue="ip3d5cqXJZWp1LMZf909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0j9ghg9zyB3wkiMvxGEJ7t1TE7qgo/x3K23Vfp14eSeMHQDDpnra2f1PN1L3QxueKBk7ou52IwVn3SID/3iNSQ==" saltValue="zMGWkHDg+u6ms8tYoV8Yd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2025-07-04T00:33:47Z</dcterms:modified>
</cp:coreProperties>
</file>