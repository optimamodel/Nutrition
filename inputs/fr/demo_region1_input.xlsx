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48DF54DD-269A-4EF5-923B-92FF2D6F66A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F66" i="70" s="1"/>
  <c r="G20" i="70"/>
  <c r="G66" i="70" s="1"/>
  <c r="H20" i="70"/>
  <c r="I20" i="70"/>
  <c r="J20" i="70"/>
  <c r="K20" i="70"/>
  <c r="L20" i="70"/>
  <c r="M20" i="70"/>
  <c r="N20" i="70"/>
  <c r="N66" i="70" s="1"/>
  <c r="O20" i="70"/>
  <c r="O43" i="70" s="1"/>
  <c r="E20" i="70"/>
  <c r="E66" i="70" s="1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M66" i="70"/>
  <c r="L66" i="70"/>
  <c r="K66" i="70"/>
  <c r="J66" i="70"/>
  <c r="I66" i="70"/>
  <c r="H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M43" i="70"/>
  <c r="L43" i="70"/>
  <c r="K43" i="70"/>
  <c r="J43" i="70"/>
  <c r="I43" i="70"/>
  <c r="H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43" i="70" l="1"/>
  <c r="N43" i="70"/>
  <c r="G43" i="70"/>
  <c r="O66" i="70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<sst xmlns="http://schemas.openxmlformats.org/spreadsheetml/2006/main" count="2093" uniqueCount="337">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</sst>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88icBVAl4TsjehwQOBAn2YlJxLA8Nb/6Rg1fnNhy2hrC+vvgS4H4D4RNAvZL2R3yJH3a3DIIkZkyrU4vy+qjpg==" saltValue="AvutKikZ5QaRbxxgok3U0A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EL3ZWgigkAxQmhhABunW+4WhmquxUTfg51v6sPFPJZEgcs73fj2O1agLENOs+a4P4D3lmhCrnE8FSEEymYBpWQ==" saltValue="eKSxbUXRfsOG0auikNxxD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1NVH4eWnzEspMS362yCFt8OdL5Zc3HVMBkKKoQFGJO4TQN8RiMY8eaRh78JLkEHF1U5jZKHKy0Ye2QNMigNu7w==" saltValue="p2xXU+FXRPTUEoLJ4o6Tbw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G5" sqref="G5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0.51282536329943151</v>
      </c>
      <c r="F2" s="114">
        <f>IFERROR(1-_xlfn.NORM.DIST(_xlfn.NORM.INV(SUM(F4:F5), 0, 1) + 1, 0, 1, TRUE), "")</f>
        <v>0.28210644503363902</v>
      </c>
      <c r="G2" s="114">
        <f>IFERROR(1-_xlfn.NORM.DIST(_xlfn.NORM.INV(SUM(G4:G5), 0, 1) + 1, 0, 1, TRUE), "")</f>
        <v>0.27477675866782758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0.33617463670056846</v>
      </c>
      <c r="F3" s="114">
        <f>IFERROR(_xlfn.NORM.DIST(_xlfn.NORM.INV(SUM(F4:F5), 0, 1) + 1, 0, 1, TRUE) - SUM(F4:F5), "")</f>
        <v>0.38189355496636096</v>
      </c>
      <c r="G3" s="114">
        <f>IFERROR(_xlfn.NORM.DIST(_xlfn.NORM.INV(SUM(G4:G5), 0, 1) + 1, 0, 1, TRUE) - SUM(G4:G5), "")</f>
        <v>0.38122324133217239</v>
      </c>
    </row>
    <row r="4" spans="1:15" ht="15.75" customHeight="1" x14ac:dyDescent="0.25">
      <c r="B4" s="5" t="s">
        <v>114</v>
      </c>
      <c r="C4" s="59">
        <v>6.7000000000000004E-2</v>
      </c>
      <c r="D4" s="59">
        <v>6.7000000000000004E-2</v>
      </c>
      <c r="E4" s="59">
        <v>0.114</v>
      </c>
      <c r="F4" s="59">
        <v>0.224</v>
      </c>
      <c r="G4" s="59">
        <v>0.23</v>
      </c>
    </row>
    <row r="5" spans="1:15" ht="15.75" customHeight="1" x14ac:dyDescent="0.25">
      <c r="B5" s="5" t="s">
        <v>115</v>
      </c>
      <c r="C5" s="59">
        <v>2.5999999999999999E-2</v>
      </c>
      <c r="D5" s="59">
        <v>2.5999999999999999E-2</v>
      </c>
      <c r="E5" s="59">
        <v>3.6999999999999998E-2</v>
      </c>
      <c r="F5" s="59">
        <v>0.112</v>
      </c>
      <c r="G5" s="59">
        <v>0.114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119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120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hNCb4j4qGucVytctz3o+9+YH+Kva0pwDO7+iesbxYJik7SStoNdeTfCooNuP7zD9r7vmyCEjbFL3y9W7m7/9g==" saltValue="zj1gomu+K45pUYyzcKmRd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QMkt6kpeBAb2ITyRkhtVnuA58SZyIUAG8vwX/dB/PEBkn3bK/F2O5uUWRkANJ/qE2SJN3YLEE1jGNH87b8X7xw==" saltValue="Zc/+BX4pZzkeXHDsj2v6O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DjqiIl3jbvvfu/4nTJvBiha7RbpFJsWV/Hke4w8/4rgrRsZvZ8JHaZW2o9CPEj773Yfsy8b09B4TVyaOKtyWRA==" saltValue="RHsS0LqwKTEnmnmhsIB68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BQyRcNZVSndv0E4uPDDRoeYFQ3L63kp0UVLJsbR2EU6Tun3cZmlpWtVcBFY5xyC7dguLQAAHMew+boMfr0offQ==" saltValue="GHmI1IS1gmDNyehVcvWPd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OQZAZQEPjE72aHzQg0jFg8BpJ/wTj1EPXLNuoUbNVnhM3GdWnqBPm5AdBcjoCG1ZzhRF5/VuF/iTAiwx3CRKug==" saltValue="9B15n02h6Ujg/Cposb4CK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1+3gvHCn9sucgsIbD1FDvABv0/d5Kww7iMkVy/C1yfML8Aw7TS+TiYszw2gPqA6LBISJcmlfojxSoeCpxCjTmA==" saltValue="MB75UqhGMzvHnLHVaGRb8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l7e9wY03MmB67aVqSUdNa65koFVcjVKjhdJJ9BFyTYpkUSABKvdPeTVXrWJHYdlurF8GP9Vw0bxPZUUYE0cYxA==" saltValue="LjGjNfs/6okPzV2TlRYGI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y2ZmBnO/88B8NHHC7bOnpQODx5CZyBcd31YYTeBumFulLmZ0xt0kNMkkMos5J4/l2q08ArkDdS3sCe4zvqotGQ==" saltValue="Uhwq2PZyOkY/aZkHK3Ti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eervDmKinyVZKfq95iQ8LQERV58D5f605ZDv0ggqtkm7PDmTOHgHOj10HMdmES5AY3O2uiOZMogwyMmH0clWhw==" saltValue="jf++BCv+v9ZPfqPlCJEV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208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+E1dTZkpBsPP/hv4WNrfW2WNxwm7vlOMdbqjNoH2UqTxRB7ckKMGc4WkyFVZ04qjkozvg60Ggjx4JLpouj+bGA==" saltValue="d237XLtyfstioopi33bG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YpuYvm5QWS4t2Z+3XtArXzgGw/3mTdhi7ZxCOFu8RKK4cFu2LhS0IfvShpcuuwcJiH8qxc0RFpFQrrl95+3WAA==" saltValue="wwVckGx8ds8LDyNOQc22a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T2OdvNKXE0PXGdtXmC8aWKOxwEm/QbIBryH1K19fH4vbp1J4O8wVCYRP/ncV/F1R//q7hJQh2n97PuaXUyqQQ==" saltValue="GbvwYDZxndaRf6o5cJXz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fFiPXBxG3La+xEGh2fGAbMIeguPzQ5Bpih7PyTMupBFzaAkcRv+aAplznHsuvwQd6e24XldQu/qv45h1U0C7Cg==" saltValue="fBrYkBGjKhFMeKDjZZHE2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lQSMGRJvb+UbTHmaJmXWDguElo3ZUaDqOSxd58dJC1M2z12uhOgeHnixku5ZqJJaSe0K42xy2wu2qPNtym944g==" saltValue="4CLTILBTdECzO2x4zHJ5+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XmzNYGr7GZP9Thu1dXWGFPXuTcpdSd1bqOa0K/KdY5UFeC9zQby76fYeLMg5pop5z/CMHQZgXfHgpIt3SgHwfg==" saltValue="atBdEPyXovlIbnD2FkFG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iv4XqMwr3Egm4R0dnrIErzTr2rEsNH1lg7HGmFskfuKCrjVkKCQlQiGdbBoInXyvQMLfwdzOhUBEUZiwfRqZSw==" saltValue="bjPnfV2NP7o/Zx9g7BTM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96</v>
      </c>
      <c r="C114" s="27" t="s">
        <v>153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154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155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97</v>
      </c>
      <c r="C117" s="27" t="s">
        <v>153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154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155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98</v>
      </c>
      <c r="C120" s="27" t="s">
        <v>153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154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155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154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155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109</v>
      </c>
      <c r="C128" s="27" t="s">
        <v>153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154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155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96</v>
      </c>
      <c r="C131" s="27" t="s">
        <v>153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154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155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97</v>
      </c>
      <c r="C134" s="27" t="s">
        <v>153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154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155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98</v>
      </c>
      <c r="C137" s="27" t="s">
        <v>153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154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155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154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155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109</v>
      </c>
      <c r="C145" s="27" t="s">
        <v>153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154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155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96</v>
      </c>
      <c r="C148" s="27" t="s">
        <v>153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154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155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97</v>
      </c>
      <c r="C151" s="27" t="s">
        <v>153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154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155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98</v>
      </c>
      <c r="C154" s="27" t="s">
        <v>153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154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155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O0zdqBXRvqT4MDcY50Ac4p/R+VSXRwFWxCUSIou36uskycq3AOYpbNGfeFGp/GTh1rOV5jBMxQ623hHWeJdslg==" saltValue="UGEREt7XC+quLANDk9tAZ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WC/EFIA0nNBjYlstuY3VYf6f1A5QhAi7VZkULO2rA+V7V0Beodhf1dzak2N8kpRGx7+a7DK2nRpH1itbQXzSFg==" saltValue="HGttretHBv7OmNBOqPQ2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13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13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13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NOkyUQAVqjCNl1pCAroq4z6k5PzB74Vdh8hot+wSD6HsY275OCWt/nIBQa3xanhEAmCYLfyFzT6C1ds7YrgKBQ==" saltValue="rCHoMSduaoTLrbbxiThQ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3" sqref="C3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287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293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315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294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298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121</v>
      </c>
      <c r="B40" s="45" t="s">
        <v>299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303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306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316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307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311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121</v>
      </c>
      <c r="B63" s="45" t="s">
        <v>312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/kTQ9xSY6851wsjX/QVtcBrlp3EynZibKQ14wWTivYpdkbDQtKFmHeusNVWoQkVcOdK39CIYQyp4BwRux/ipEg==" saltValue="vCmZYbMzdlVfisymZmT5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XUaUYWticEU1Il22gdS98OTnmLheCn40PrngFEL9XQtAQ20RwuOwel0/G5+IB0Zm7fUzQg7EMcMwp54ft4GIBQ==" saltValue="mYJW8uvMHEOlcwTeTVJqv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2" zoomScale="70" zoomScaleNormal="70" workbookViewId="0">
      <selection activeCell="L14" sqref="L14:O14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f>E19</f>
        <v>0.97599999999999998</v>
      </c>
      <c r="F20" s="104">
        <f t="shared" ref="F20:O20" si="1">F19</f>
        <v>0.97599999999999998</v>
      </c>
      <c r="G20" s="104">
        <f t="shared" si="1"/>
        <v>0.97599999999999998</v>
      </c>
      <c r="H20" s="104">
        <f t="shared" si="1"/>
        <v>0.97599999999999998</v>
      </c>
      <c r="I20" s="104">
        <f t="shared" si="1"/>
        <v>0.97599999999999998</v>
      </c>
      <c r="J20" s="104">
        <f t="shared" si="1"/>
        <v>0.97599999999999998</v>
      </c>
      <c r="K20" s="104">
        <f t="shared" si="1"/>
        <v>0.97599999999999998</v>
      </c>
      <c r="L20" s="104">
        <f t="shared" si="1"/>
        <v>0.97599999999999998</v>
      </c>
      <c r="M20" s="104">
        <f t="shared" si="1"/>
        <v>0.97599999999999998</v>
      </c>
      <c r="N20" s="104">
        <f t="shared" si="1"/>
        <v>0.97599999999999998</v>
      </c>
      <c r="O20" s="104">
        <f t="shared" si="1"/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13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0.4</v>
      </c>
      <c r="E26" s="104">
        <f t="shared" ref="E26:O26" si="2">IF(E3=1,1,E3*0.9)</f>
        <v>1</v>
      </c>
      <c r="F26" s="104">
        <f t="shared" si="2"/>
        <v>1</v>
      </c>
      <c r="G26" s="104">
        <f t="shared" si="2"/>
        <v>1</v>
      </c>
      <c r="H26" s="104">
        <f t="shared" si="2"/>
        <v>1</v>
      </c>
      <c r="I26" s="104">
        <f t="shared" si="2"/>
        <v>1</v>
      </c>
      <c r="J26" s="104">
        <f t="shared" si="2"/>
        <v>1</v>
      </c>
      <c r="K26" s="104">
        <f t="shared" si="2"/>
        <v>1</v>
      </c>
      <c r="L26" s="104">
        <f t="shared" si="2"/>
        <v>1</v>
      </c>
      <c r="M26" s="104">
        <f t="shared" si="2"/>
        <v>1</v>
      </c>
      <c r="N26" s="104">
        <f t="shared" si="2"/>
        <v>1</v>
      </c>
      <c r="O26" s="104">
        <f t="shared" si="2"/>
        <v>1</v>
      </c>
    </row>
    <row r="27" spans="1:15" x14ac:dyDescent="0.25">
      <c r="B27" s="45" t="s">
        <v>176</v>
      </c>
      <c r="C27" s="104">
        <f t="shared" ref="C27:O34" si="3">IF(C4=1,1,C4*0.9)</f>
        <v>1</v>
      </c>
      <c r="D27" s="104">
        <f t="shared" si="3"/>
        <v>1</v>
      </c>
      <c r="E27" s="104">
        <f t="shared" si="3"/>
        <v>1</v>
      </c>
      <c r="F27" s="104">
        <f t="shared" si="3"/>
        <v>1</v>
      </c>
      <c r="G27" s="104">
        <f t="shared" si="3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3"/>
        <v>1</v>
      </c>
      <c r="M27" s="104">
        <f t="shared" si="3"/>
        <v>1</v>
      </c>
      <c r="N27" s="104">
        <f t="shared" si="3"/>
        <v>1</v>
      </c>
      <c r="O27" s="104">
        <f t="shared" si="3"/>
        <v>1</v>
      </c>
    </row>
    <row r="28" spans="1:15" x14ac:dyDescent="0.25">
      <c r="B28" s="45" t="s">
        <v>177</v>
      </c>
      <c r="C28" s="104">
        <f t="shared" si="3"/>
        <v>1</v>
      </c>
      <c r="D28" s="104">
        <f t="shared" si="3"/>
        <v>1</v>
      </c>
      <c r="E28" s="104">
        <f t="shared" si="3"/>
        <v>1</v>
      </c>
      <c r="F28" s="104">
        <f t="shared" si="3"/>
        <v>1</v>
      </c>
      <c r="G28" s="104">
        <f t="shared" si="3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3"/>
        <v>1</v>
      </c>
      <c r="M28" s="104">
        <f t="shared" si="3"/>
        <v>1</v>
      </c>
      <c r="N28" s="104">
        <f t="shared" si="3"/>
        <v>1</v>
      </c>
      <c r="O28" s="104">
        <f t="shared" si="3"/>
        <v>1</v>
      </c>
    </row>
    <row r="29" spans="1:15" x14ac:dyDescent="0.25">
      <c r="B29" s="45" t="s">
        <v>178</v>
      </c>
      <c r="C29" s="104">
        <f t="shared" si="3"/>
        <v>1</v>
      </c>
      <c r="D29" s="104">
        <f t="shared" si="3"/>
        <v>1</v>
      </c>
      <c r="E29" s="104">
        <f t="shared" si="3"/>
        <v>1</v>
      </c>
      <c r="F29" s="104">
        <f t="shared" si="3"/>
        <v>1</v>
      </c>
      <c r="G29" s="104">
        <f t="shared" si="3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3"/>
        <v>1</v>
      </c>
      <c r="M29" s="104">
        <f t="shared" si="3"/>
        <v>1</v>
      </c>
      <c r="N29" s="104">
        <f t="shared" si="3"/>
        <v>1</v>
      </c>
      <c r="O29" s="104">
        <f t="shared" si="3"/>
        <v>1</v>
      </c>
    </row>
    <row r="30" spans="1:15" x14ac:dyDescent="0.25">
      <c r="B30" s="45" t="s">
        <v>179</v>
      </c>
      <c r="C30" s="104">
        <f t="shared" si="3"/>
        <v>1</v>
      </c>
      <c r="D30" s="104">
        <f t="shared" si="3"/>
        <v>1</v>
      </c>
      <c r="E30" s="104">
        <f t="shared" si="3"/>
        <v>1</v>
      </c>
      <c r="F30" s="104">
        <f t="shared" si="3"/>
        <v>1</v>
      </c>
      <c r="G30" s="104">
        <f t="shared" si="3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3"/>
        <v>1</v>
      </c>
      <c r="M30" s="104">
        <f t="shared" si="3"/>
        <v>1</v>
      </c>
      <c r="N30" s="104">
        <f t="shared" si="3"/>
        <v>1</v>
      </c>
      <c r="O30" s="104">
        <f t="shared" si="3"/>
        <v>1</v>
      </c>
    </row>
    <row r="31" spans="1:15" x14ac:dyDescent="0.25">
      <c r="B31" s="72" t="s">
        <v>180</v>
      </c>
      <c r="C31" s="104">
        <f t="shared" si="3"/>
        <v>1</v>
      </c>
      <c r="D31" s="104">
        <f t="shared" si="3"/>
        <v>1</v>
      </c>
      <c r="E31" s="104">
        <f t="shared" si="3"/>
        <v>1</v>
      </c>
      <c r="F31" s="104">
        <f t="shared" si="3"/>
        <v>1</v>
      </c>
      <c r="G31" s="104">
        <f t="shared" si="3"/>
        <v>1</v>
      </c>
      <c r="H31" s="104">
        <f t="shared" si="3"/>
        <v>1</v>
      </c>
      <c r="I31" s="104">
        <f t="shared" si="3"/>
        <v>1</v>
      </c>
      <c r="J31" s="104">
        <f t="shared" si="3"/>
        <v>1</v>
      </c>
      <c r="K31" s="104">
        <f t="shared" si="3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  <c r="H32" s="104">
        <f t="shared" si="3"/>
        <v>1</v>
      </c>
      <c r="I32" s="104">
        <f t="shared" si="3"/>
        <v>1</v>
      </c>
      <c r="J32" s="104">
        <f t="shared" si="3"/>
        <v>1</v>
      </c>
      <c r="K32" s="104">
        <f t="shared" si="3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3"/>
        <v>1</v>
      </c>
      <c r="D33" s="104">
        <f t="shared" si="3"/>
        <v>1</v>
      </c>
      <c r="E33" s="104">
        <f t="shared" si="3"/>
        <v>1</v>
      </c>
      <c r="F33" s="104">
        <f t="shared" si="3"/>
        <v>1</v>
      </c>
      <c r="G33" s="104">
        <f t="shared" si="3"/>
        <v>1</v>
      </c>
      <c r="H33" s="104">
        <f t="shared" si="3"/>
        <v>1</v>
      </c>
      <c r="I33" s="104">
        <f t="shared" si="3"/>
        <v>1</v>
      </c>
      <c r="J33" s="104">
        <f t="shared" si="3"/>
        <v>1</v>
      </c>
      <c r="K33" s="104">
        <f t="shared" si="3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3"/>
        <v>1</v>
      </c>
      <c r="D34" s="104">
        <f t="shared" si="3"/>
        <v>1</v>
      </c>
      <c r="E34" s="104">
        <v>0.62</v>
      </c>
      <c r="F34" s="104">
        <v>0.62</v>
      </c>
      <c r="G34" s="104">
        <v>1</v>
      </c>
      <c r="H34" s="104">
        <f t="shared" si="3"/>
        <v>1</v>
      </c>
      <c r="I34" s="104">
        <f t="shared" si="3"/>
        <v>1</v>
      </c>
      <c r="J34" s="104">
        <f t="shared" si="3"/>
        <v>1</v>
      </c>
      <c r="K34" s="104">
        <f t="shared" si="3"/>
        <v>1</v>
      </c>
      <c r="L34" s="104">
        <f t="shared" si="3"/>
        <v>1</v>
      </c>
      <c r="M34" s="104">
        <f t="shared" si="3"/>
        <v>1</v>
      </c>
      <c r="N34" s="104">
        <f t="shared" si="3"/>
        <v>1</v>
      </c>
      <c r="O34" s="104">
        <f t="shared" si="3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4">IF(C13=1,1,C13*0.9)</f>
        <v>1</v>
      </c>
      <c r="D36" s="104">
        <f t="shared" si="4"/>
        <v>1</v>
      </c>
      <c r="E36" s="104">
        <v>0.62</v>
      </c>
      <c r="F36" s="104">
        <v>0.62</v>
      </c>
      <c r="G36" s="104">
        <v>0.62</v>
      </c>
      <c r="H36" s="104">
        <f t="shared" si="4"/>
        <v>1</v>
      </c>
      <c r="I36" s="104">
        <f t="shared" si="4"/>
        <v>1</v>
      </c>
      <c r="J36" s="104">
        <f t="shared" si="4"/>
        <v>1</v>
      </c>
      <c r="K36" s="104">
        <f t="shared" si="4"/>
        <v>1</v>
      </c>
      <c r="L36" s="104">
        <f t="shared" si="4"/>
        <v>1</v>
      </c>
      <c r="M36" s="104">
        <f t="shared" si="4"/>
        <v>1</v>
      </c>
      <c r="N36" s="104">
        <f t="shared" si="4"/>
        <v>1</v>
      </c>
      <c r="O36" s="104">
        <f t="shared" si="4"/>
        <v>1</v>
      </c>
    </row>
    <row r="37" spans="1:15" x14ac:dyDescent="0.25">
      <c r="B37" s="45" t="s">
        <v>190</v>
      </c>
      <c r="C37" s="104">
        <f t="shared" si="4"/>
        <v>1</v>
      </c>
      <c r="D37" s="104">
        <f t="shared" si="4"/>
        <v>1</v>
      </c>
      <c r="E37" s="104">
        <f t="shared" si="4"/>
        <v>1</v>
      </c>
      <c r="F37" s="104">
        <f t="shared" si="4"/>
        <v>1</v>
      </c>
      <c r="G37" s="104">
        <f t="shared" si="4"/>
        <v>1</v>
      </c>
      <c r="H37" s="104">
        <f t="shared" si="4"/>
        <v>1</v>
      </c>
      <c r="I37" s="104">
        <f t="shared" si="4"/>
        <v>1</v>
      </c>
      <c r="J37" s="104">
        <f t="shared" si="4"/>
        <v>1</v>
      </c>
      <c r="K37" s="104">
        <f t="shared" si="4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4"/>
        <v>1</v>
      </c>
      <c r="D38" s="104">
        <f t="shared" si="4"/>
        <v>1</v>
      </c>
      <c r="E38" s="104">
        <v>0.3</v>
      </c>
      <c r="F38" s="104">
        <v>0.3</v>
      </c>
      <c r="G38" s="104">
        <f t="shared" si="4"/>
        <v>1</v>
      </c>
      <c r="H38" s="104">
        <f t="shared" si="4"/>
        <v>1</v>
      </c>
      <c r="I38" s="104">
        <f t="shared" si="4"/>
        <v>1</v>
      </c>
      <c r="J38" s="104">
        <f t="shared" si="4"/>
        <v>1</v>
      </c>
      <c r="K38" s="104">
        <f t="shared" si="4"/>
        <v>1</v>
      </c>
      <c r="L38" s="104">
        <f t="shared" si="4"/>
        <v>1</v>
      </c>
      <c r="M38" s="104">
        <f t="shared" si="4"/>
        <v>1</v>
      </c>
      <c r="N38" s="104">
        <f t="shared" si="4"/>
        <v>1</v>
      </c>
      <c r="O38" s="104">
        <f t="shared" si="4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O44" si="5">IF(C18=1,1,C18*0.9)</f>
        <v>1</v>
      </c>
      <c r="D41" s="104">
        <f t="shared" si="5"/>
        <v>1</v>
      </c>
      <c r="E41" s="104">
        <f t="shared" si="5"/>
        <v>1</v>
      </c>
      <c r="F41" s="104">
        <f t="shared" si="5"/>
        <v>1</v>
      </c>
      <c r="G41" s="104">
        <f t="shared" si="5"/>
        <v>1</v>
      </c>
      <c r="H41" s="104">
        <f t="shared" si="5"/>
        <v>1</v>
      </c>
      <c r="I41" s="104">
        <f t="shared" si="5"/>
        <v>1</v>
      </c>
      <c r="J41" s="104">
        <f t="shared" si="5"/>
        <v>1</v>
      </c>
      <c r="K41" s="104">
        <f t="shared" si="5"/>
        <v>1</v>
      </c>
      <c r="L41" s="104">
        <f t="shared" si="5"/>
        <v>1</v>
      </c>
      <c r="M41" s="104">
        <f t="shared" si="5"/>
        <v>1</v>
      </c>
      <c r="N41" s="104">
        <f t="shared" si="5"/>
        <v>1</v>
      </c>
      <c r="O41" s="104">
        <f t="shared" si="5"/>
        <v>1</v>
      </c>
    </row>
    <row r="42" spans="1:15" x14ac:dyDescent="0.25">
      <c r="B42" s="72" t="s">
        <v>174</v>
      </c>
      <c r="C42" s="104">
        <f t="shared" si="5"/>
        <v>1</v>
      </c>
      <c r="D42" s="104">
        <f t="shared" si="5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5"/>
        <v>1</v>
      </c>
      <c r="D43" s="104">
        <f t="shared" si="5"/>
        <v>1</v>
      </c>
      <c r="E43" s="104">
        <f t="shared" si="5"/>
        <v>0.87839999999999996</v>
      </c>
      <c r="F43" s="104">
        <f t="shared" si="5"/>
        <v>0.87839999999999996</v>
      </c>
      <c r="G43" s="104">
        <f t="shared" si="5"/>
        <v>0.87839999999999996</v>
      </c>
      <c r="H43" s="104">
        <f t="shared" si="5"/>
        <v>0.87839999999999996</v>
      </c>
      <c r="I43" s="104">
        <f t="shared" si="5"/>
        <v>0.87839999999999996</v>
      </c>
      <c r="J43" s="104">
        <f t="shared" si="5"/>
        <v>0.87839999999999996</v>
      </c>
      <c r="K43" s="104">
        <f t="shared" si="5"/>
        <v>0.87839999999999996</v>
      </c>
      <c r="L43" s="104">
        <f t="shared" si="5"/>
        <v>0.87839999999999996</v>
      </c>
      <c r="M43" s="104">
        <f t="shared" si="5"/>
        <v>0.87839999999999996</v>
      </c>
      <c r="N43" s="104">
        <f t="shared" si="5"/>
        <v>0.87839999999999996</v>
      </c>
      <c r="O43" s="104">
        <f t="shared" si="5"/>
        <v>0.87839999999999996</v>
      </c>
    </row>
    <row r="44" spans="1:15" x14ac:dyDescent="0.25">
      <c r="B44" s="72" t="s">
        <v>183</v>
      </c>
      <c r="C44" s="104">
        <f t="shared" si="5"/>
        <v>1</v>
      </c>
      <c r="D44" s="104">
        <f t="shared" si="5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0.7</v>
      </c>
      <c r="E49" s="104">
        <f t="shared" ref="E49:O49" si="6">IF(E3=1,1,E3*1.05)</f>
        <v>1</v>
      </c>
      <c r="F49" s="104">
        <f t="shared" si="6"/>
        <v>1</v>
      </c>
      <c r="G49" s="104">
        <f t="shared" si="6"/>
        <v>1</v>
      </c>
      <c r="H49" s="104">
        <f t="shared" si="6"/>
        <v>1</v>
      </c>
      <c r="I49" s="104">
        <f t="shared" si="6"/>
        <v>1</v>
      </c>
      <c r="J49" s="104">
        <f t="shared" si="6"/>
        <v>1</v>
      </c>
      <c r="K49" s="104">
        <f t="shared" si="6"/>
        <v>1</v>
      </c>
      <c r="L49" s="104">
        <f t="shared" si="6"/>
        <v>1</v>
      </c>
      <c r="M49" s="104">
        <f t="shared" si="6"/>
        <v>1</v>
      </c>
      <c r="N49" s="104">
        <f t="shared" si="6"/>
        <v>1</v>
      </c>
      <c r="O49" s="104">
        <f t="shared" si="6"/>
        <v>1</v>
      </c>
    </row>
    <row r="50" spans="1:15" x14ac:dyDescent="0.25">
      <c r="B50" s="45" t="s">
        <v>176</v>
      </c>
      <c r="C50" s="104">
        <f t="shared" ref="C50:O57" si="7">IF(C4=1,1,C4*1.05)</f>
        <v>1</v>
      </c>
      <c r="D50" s="104">
        <f t="shared" si="7"/>
        <v>1</v>
      </c>
      <c r="E50" s="104">
        <f t="shared" si="7"/>
        <v>1</v>
      </c>
      <c r="F50" s="104">
        <f t="shared" si="7"/>
        <v>1</v>
      </c>
      <c r="G50" s="104">
        <f t="shared" si="7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7"/>
        <v>1</v>
      </c>
      <c r="M50" s="104">
        <f t="shared" si="7"/>
        <v>1</v>
      </c>
      <c r="N50" s="104">
        <f t="shared" si="7"/>
        <v>1</v>
      </c>
      <c r="O50" s="104">
        <f t="shared" si="7"/>
        <v>1</v>
      </c>
    </row>
    <row r="51" spans="1:15" x14ac:dyDescent="0.25">
      <c r="B51" s="45" t="s">
        <v>177</v>
      </c>
      <c r="C51" s="104">
        <f t="shared" si="7"/>
        <v>1</v>
      </c>
      <c r="D51" s="104">
        <f t="shared" si="7"/>
        <v>1</v>
      </c>
      <c r="E51" s="104">
        <f t="shared" si="7"/>
        <v>1</v>
      </c>
      <c r="F51" s="104">
        <f t="shared" si="7"/>
        <v>1</v>
      </c>
      <c r="G51" s="104">
        <f t="shared" si="7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7"/>
        <v>1</v>
      </c>
      <c r="M51" s="104">
        <f t="shared" si="7"/>
        <v>1</v>
      </c>
      <c r="N51" s="104">
        <f t="shared" si="7"/>
        <v>1</v>
      </c>
      <c r="O51" s="104">
        <f t="shared" si="7"/>
        <v>1</v>
      </c>
    </row>
    <row r="52" spans="1:15" x14ac:dyDescent="0.25">
      <c r="B52" s="45" t="s">
        <v>178</v>
      </c>
      <c r="C52" s="104">
        <f t="shared" si="7"/>
        <v>1</v>
      </c>
      <c r="D52" s="104">
        <f t="shared" si="7"/>
        <v>1</v>
      </c>
      <c r="E52" s="104">
        <f t="shared" si="7"/>
        <v>1</v>
      </c>
      <c r="F52" s="104">
        <f t="shared" si="7"/>
        <v>1</v>
      </c>
      <c r="G52" s="104">
        <f t="shared" si="7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7"/>
        <v>1</v>
      </c>
      <c r="M52" s="104">
        <f t="shared" si="7"/>
        <v>1</v>
      </c>
      <c r="N52" s="104">
        <f t="shared" si="7"/>
        <v>1</v>
      </c>
      <c r="O52" s="104">
        <f t="shared" si="7"/>
        <v>1</v>
      </c>
    </row>
    <row r="53" spans="1:15" x14ac:dyDescent="0.25">
      <c r="B53" s="45" t="s">
        <v>179</v>
      </c>
      <c r="C53" s="104">
        <f t="shared" si="7"/>
        <v>1</v>
      </c>
      <c r="D53" s="104">
        <f t="shared" si="7"/>
        <v>1</v>
      </c>
      <c r="E53" s="104">
        <f t="shared" si="7"/>
        <v>1</v>
      </c>
      <c r="F53" s="104">
        <f t="shared" si="7"/>
        <v>1</v>
      </c>
      <c r="G53" s="104">
        <f t="shared" si="7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7"/>
        <v>1</v>
      </c>
      <c r="M53" s="104">
        <f t="shared" si="7"/>
        <v>1</v>
      </c>
      <c r="N53" s="104">
        <f t="shared" si="7"/>
        <v>1</v>
      </c>
      <c r="O53" s="104">
        <f t="shared" si="7"/>
        <v>1</v>
      </c>
    </row>
    <row r="54" spans="1:15" x14ac:dyDescent="0.25">
      <c r="B54" s="72" t="s">
        <v>180</v>
      </c>
      <c r="C54" s="104">
        <f t="shared" si="7"/>
        <v>1</v>
      </c>
      <c r="D54" s="104">
        <f t="shared" si="7"/>
        <v>1</v>
      </c>
      <c r="E54" s="104">
        <f t="shared" si="7"/>
        <v>1</v>
      </c>
      <c r="F54" s="104">
        <f t="shared" si="7"/>
        <v>1</v>
      </c>
      <c r="G54" s="104">
        <f t="shared" si="7"/>
        <v>1</v>
      </c>
      <c r="H54" s="104">
        <f t="shared" si="7"/>
        <v>1</v>
      </c>
      <c r="I54" s="104">
        <f t="shared" si="7"/>
        <v>1</v>
      </c>
      <c r="J54" s="104">
        <f t="shared" si="7"/>
        <v>1</v>
      </c>
      <c r="K54" s="104">
        <f t="shared" si="7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7"/>
        <v>1</v>
      </c>
      <c r="D55" s="104">
        <f t="shared" si="7"/>
        <v>1</v>
      </c>
      <c r="E55" s="104">
        <f t="shared" si="7"/>
        <v>1</v>
      </c>
      <c r="F55" s="104">
        <f t="shared" si="7"/>
        <v>1</v>
      </c>
      <c r="G55" s="104">
        <f t="shared" si="7"/>
        <v>1</v>
      </c>
      <c r="H55" s="104">
        <f t="shared" si="7"/>
        <v>1</v>
      </c>
      <c r="I55" s="104">
        <f t="shared" si="7"/>
        <v>1</v>
      </c>
      <c r="J55" s="104">
        <f t="shared" si="7"/>
        <v>1</v>
      </c>
      <c r="K55" s="104">
        <f t="shared" si="7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7"/>
        <v>1</v>
      </c>
      <c r="D56" s="104">
        <f t="shared" si="7"/>
        <v>1</v>
      </c>
      <c r="E56" s="104">
        <f t="shared" si="7"/>
        <v>1</v>
      </c>
      <c r="F56" s="104">
        <f t="shared" si="7"/>
        <v>1</v>
      </c>
      <c r="G56" s="104">
        <f t="shared" si="7"/>
        <v>1</v>
      </c>
      <c r="H56" s="104">
        <f t="shared" si="7"/>
        <v>1</v>
      </c>
      <c r="I56" s="104">
        <f t="shared" si="7"/>
        <v>1</v>
      </c>
      <c r="J56" s="104">
        <f t="shared" si="7"/>
        <v>1</v>
      </c>
      <c r="K56" s="104">
        <f t="shared" si="7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7"/>
        <v>1</v>
      </c>
      <c r="D57" s="104">
        <f t="shared" si="7"/>
        <v>1</v>
      </c>
      <c r="E57" s="104">
        <v>0.77</v>
      </c>
      <c r="F57" s="104">
        <v>0.77</v>
      </c>
      <c r="G57" s="104">
        <f t="shared" si="7"/>
        <v>1</v>
      </c>
      <c r="H57" s="104">
        <f t="shared" si="7"/>
        <v>1</v>
      </c>
      <c r="I57" s="104">
        <f t="shared" si="7"/>
        <v>1</v>
      </c>
      <c r="J57" s="104">
        <f t="shared" si="7"/>
        <v>1</v>
      </c>
      <c r="K57" s="104">
        <f t="shared" si="7"/>
        <v>1</v>
      </c>
      <c r="L57" s="104">
        <f t="shared" si="7"/>
        <v>1</v>
      </c>
      <c r="M57" s="104">
        <f t="shared" si="7"/>
        <v>1</v>
      </c>
      <c r="N57" s="104">
        <f t="shared" si="7"/>
        <v>1</v>
      </c>
      <c r="O57" s="104">
        <f t="shared" si="7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8">IF(C13=1,1,C13*1.05)</f>
        <v>1</v>
      </c>
      <c r="D59" s="104">
        <f t="shared" si="8"/>
        <v>1</v>
      </c>
      <c r="E59" s="104">
        <v>0.77</v>
      </c>
      <c r="F59" s="104">
        <v>0.77</v>
      </c>
      <c r="G59" s="104">
        <v>0.77</v>
      </c>
      <c r="H59" s="104">
        <f t="shared" si="8"/>
        <v>1</v>
      </c>
      <c r="I59" s="104">
        <f t="shared" si="8"/>
        <v>1</v>
      </c>
      <c r="J59" s="104">
        <f t="shared" si="8"/>
        <v>1</v>
      </c>
      <c r="K59" s="104">
        <f t="shared" si="8"/>
        <v>1</v>
      </c>
      <c r="L59" s="104">
        <f t="shared" si="8"/>
        <v>1</v>
      </c>
      <c r="M59" s="104">
        <f t="shared" si="8"/>
        <v>1</v>
      </c>
      <c r="N59" s="104">
        <f t="shared" si="8"/>
        <v>1</v>
      </c>
      <c r="O59" s="104">
        <f t="shared" si="8"/>
        <v>1</v>
      </c>
    </row>
    <row r="60" spans="1:15" x14ac:dyDescent="0.25">
      <c r="B60" s="45" t="s">
        <v>190</v>
      </c>
      <c r="C60" s="104">
        <f t="shared" si="8"/>
        <v>1</v>
      </c>
      <c r="D60" s="104">
        <f t="shared" si="8"/>
        <v>1</v>
      </c>
      <c r="E60" s="104">
        <f t="shared" si="8"/>
        <v>1</v>
      </c>
      <c r="F60" s="104">
        <f t="shared" si="8"/>
        <v>1</v>
      </c>
      <c r="G60" s="104">
        <f t="shared" si="8"/>
        <v>1</v>
      </c>
      <c r="H60" s="104">
        <f t="shared" si="8"/>
        <v>1</v>
      </c>
      <c r="I60" s="104">
        <f t="shared" si="8"/>
        <v>1</v>
      </c>
      <c r="J60" s="104">
        <f t="shared" si="8"/>
        <v>1</v>
      </c>
      <c r="K60" s="104">
        <f t="shared" si="8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8"/>
        <v>1</v>
      </c>
      <c r="D61" s="104">
        <f t="shared" si="8"/>
        <v>1</v>
      </c>
      <c r="E61" s="104">
        <v>0.44</v>
      </c>
      <c r="F61" s="104">
        <v>0.44</v>
      </c>
      <c r="G61" s="104">
        <f t="shared" si="8"/>
        <v>1</v>
      </c>
      <c r="H61" s="104">
        <f t="shared" si="8"/>
        <v>1</v>
      </c>
      <c r="I61" s="104">
        <f t="shared" si="8"/>
        <v>1</v>
      </c>
      <c r="J61" s="104">
        <f t="shared" si="8"/>
        <v>1</v>
      </c>
      <c r="K61" s="104">
        <f t="shared" si="8"/>
        <v>1</v>
      </c>
      <c r="L61" s="104">
        <f t="shared" si="8"/>
        <v>1</v>
      </c>
      <c r="M61" s="104">
        <f t="shared" si="8"/>
        <v>1</v>
      </c>
      <c r="N61" s="104">
        <f t="shared" si="8"/>
        <v>1</v>
      </c>
      <c r="O61" s="104">
        <f t="shared" si="8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O67" si="9">IF(C18=1,1,C18*1.05)</f>
        <v>1</v>
      </c>
      <c r="D64" s="104">
        <f t="shared" si="9"/>
        <v>1</v>
      </c>
      <c r="E64" s="104">
        <f t="shared" si="9"/>
        <v>1</v>
      </c>
      <c r="F64" s="104">
        <f t="shared" si="9"/>
        <v>1</v>
      </c>
      <c r="G64" s="104">
        <f t="shared" si="9"/>
        <v>1</v>
      </c>
      <c r="H64" s="104">
        <f t="shared" si="9"/>
        <v>1</v>
      </c>
      <c r="I64" s="104">
        <f t="shared" si="9"/>
        <v>1</v>
      </c>
      <c r="J64" s="104">
        <f t="shared" si="9"/>
        <v>1</v>
      </c>
      <c r="K64" s="104">
        <f t="shared" si="9"/>
        <v>1</v>
      </c>
      <c r="L64" s="104">
        <f t="shared" si="9"/>
        <v>1</v>
      </c>
      <c r="M64" s="104">
        <f t="shared" si="9"/>
        <v>1</v>
      </c>
      <c r="N64" s="104">
        <f t="shared" si="9"/>
        <v>1</v>
      </c>
      <c r="O64" s="104">
        <f t="shared" si="9"/>
        <v>1</v>
      </c>
    </row>
    <row r="65" spans="2:15" x14ac:dyDescent="0.25">
      <c r="B65" s="72" t="s">
        <v>174</v>
      </c>
      <c r="C65" s="104">
        <f t="shared" si="9"/>
        <v>1</v>
      </c>
      <c r="D65" s="104">
        <f t="shared" si="9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9"/>
        <v>1</v>
      </c>
      <c r="D66" s="104">
        <f t="shared" si="9"/>
        <v>1</v>
      </c>
      <c r="E66" s="104">
        <f t="shared" si="9"/>
        <v>1.0247999999999999</v>
      </c>
      <c r="F66" s="104">
        <f t="shared" si="9"/>
        <v>1.0247999999999999</v>
      </c>
      <c r="G66" s="104">
        <f t="shared" si="9"/>
        <v>1.0247999999999999</v>
      </c>
      <c r="H66" s="104">
        <f t="shared" si="9"/>
        <v>1.0247999999999999</v>
      </c>
      <c r="I66" s="104">
        <f t="shared" si="9"/>
        <v>1.0247999999999999</v>
      </c>
      <c r="J66" s="104">
        <f t="shared" si="9"/>
        <v>1.0247999999999999</v>
      </c>
      <c r="K66" s="104">
        <f t="shared" si="9"/>
        <v>1.0247999999999999</v>
      </c>
      <c r="L66" s="104">
        <f t="shared" si="9"/>
        <v>1.0247999999999999</v>
      </c>
      <c r="M66" s="104">
        <f t="shared" si="9"/>
        <v>1.0247999999999999</v>
      </c>
      <c r="N66" s="104">
        <f t="shared" si="9"/>
        <v>1.0247999999999999</v>
      </c>
      <c r="O66" s="104">
        <f t="shared" si="9"/>
        <v>1.0247999999999999</v>
      </c>
    </row>
    <row r="67" spans="2:15" x14ac:dyDescent="0.25">
      <c r="B67" s="72" t="s">
        <v>183</v>
      </c>
      <c r="C67" s="104">
        <f t="shared" si="9"/>
        <v>1</v>
      </c>
      <c r="D67" s="104">
        <f t="shared" si="9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NuYOBj37c/fg0TTKJzo338N8I7fHPCZ7T489sdbGNW9wBsW25P45Ott89uLu/gKLZgSVoJ99uUJr6iiDqScxUg==" saltValue="TOArMzOYNgAxWD+h8ZZJ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LUd/tqsLpEB3pd0efCPauLt0+sY0G+48ZqHtjXUgr6Hl8txwHX0g8KdCyc3PnQLUWVVpmzIOVr4whJZUcSbSLg==" saltValue="03gngcFShztqCbVInLwZ3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335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AzEtHlhs//fVvLzgpKqUCf6Hl2QMubRGa9Z5lCFh2RaUtER+tVJjASYQb1xtpzkV/Ig1a5LArHy7ViUMI2Wj5w==" saltValue="qMEvF78FAZD5ED+yCWky5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EULwhMEzyWX+oKub4TJls2zXj/FEDhih77u7ZYUEhQCi0wmi2iT7FJ5T0lRuizujY4EIi3k/3MkPAl7NatQheg==" saltValue="0nc0nR/GNXU2rlCHKHfq2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2024-05-17T00:08:04Z</dcterms:modified>
</cp:coreProperties>
</file>