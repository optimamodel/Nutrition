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"/>
    </mc:Choice>
  </mc:AlternateContent>
  <xr:revisionPtr revIDLastSave="0" documentId="8_{956E2E70-64B1-4657-97E4-133656EA8F3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4" r:id="rId3"/>
    <sheet name="Dist. de l'état nutritionnel" sheetId="5" r:id="rId4"/>
    <sheet name="Dist. l'allaitement maternel" sheetId="50" r:id="rId5"/>
    <sheet name="Tendances temporelles" sheetId="75" state="hidden" r:id="rId6"/>
    <sheet name="Perte économique" sheetId="76" r:id="rId7"/>
    <sheet name="Paquets ANJE" sheetId="55" r:id="rId8"/>
    <sheet name="Traitement de la MAS" sheetId="60" r:id="rId9"/>
    <sheet name="Coûts et couvertures des prgms" sheetId="56" r:id="rId10"/>
    <sheet name="Dépendances du programme" sheetId="58" r:id="rId11"/>
    <sheet name="Programmes de référence" sheetId="59" state="hidden" r:id="rId12"/>
    <sheet name="Incidence des conditions" sheetId="7" state="hidden" r:id="rId13"/>
    <sheet name="Programmes-population cible" sheetId="21" state="hidden" r:id="rId14"/>
    <sheet name="Options de la courbe de coût" sheetId="61" state="hidden" r:id="rId15"/>
    <sheet name="Programmes-planification fam." sheetId="54" state="hidden" r:id="rId16"/>
    <sheet name="Programmes - population touchée" sheetId="62" state="hidden" r:id="rId17"/>
    <sheet name="Programme - secteurs à risque" sheetId="63" state="hidden" r:id="rId18"/>
    <sheet name="Population des sect. à risque" sheetId="64" state="hidden" r:id="rId19"/>
    <sheet name="Rapport des cotes ANJE" sheetId="65" state="hidden" r:id="rId20"/>
    <sheet name="Risques des rés. des naissances" sheetId="66" state="hidden" r:id="rId21"/>
    <sheet name="Risques relatifs" sheetId="67" state="hidden" r:id="rId22"/>
    <sheet name="Rapports des cotes" sheetId="68" state="hidden" r:id="rId23"/>
    <sheet name="Programmes-rés. des naissances" sheetId="69" state="hidden" r:id="rId24"/>
    <sheet name="Programmes-anémie" sheetId="70" state="hidden" r:id="rId25"/>
    <sheet name="Programmes-émaciation" sheetId="71" state="hidden" r:id="rId26"/>
    <sheet name="Programmes pour les enfants" sheetId="72" state="hidden" r:id="rId27"/>
    <sheet name="Programmes pour les FE" sheetId="73" state="hidden" r:id="rId28"/>
  </sheets>
  <externalReferences>
    <externalReference r:id="rId29"/>
  </externalReferences>
  <definedNames>
    <definedName name="_xlnm._FilterDatabase" localSheetId="20" hidden="1">'Risques des rés. des naissances'!$A$1:$F$7</definedName>
    <definedName name="abortion" localSheetId="7">'Données pop de l''année de ref'!$C$38</definedName>
    <definedName name="abortion" localSheetId="6">'[1]Baseline year population inputs'!$C$41</definedName>
    <definedName name="abortion" localSheetId="5">'[1]Baseline year population inputs'!$C$41</definedName>
    <definedName name="abortion">'Données pop de l''année de ref'!$C$41</definedName>
    <definedName name="comm_deliv" localSheetId="6">'[1]Treatment of SAM'!$D$3</definedName>
    <definedName name="comm_deliv" localSheetId="5">'[1]Treatment of SAM'!$D$3</definedName>
    <definedName name="comm_deliv">'Traitement de la MAS'!$D$3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'Données pop de l''année de ref'!$C$52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'Données pop de l''année de ref'!$C$54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'Données pop de l''année de ref'!$C$51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'Données pop de l''année de ref'!$C$55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'Données pop de l''année de ref'!$C$53</definedName>
    <definedName name="end_year" localSheetId="6">'[1]Baseline year population inputs'!$C$4</definedName>
    <definedName name="end_year" localSheetId="5">'[1]Baseline year population inputs'!$C$4</definedName>
    <definedName name="end_year">'Données pop de l''année de ref'!$C$4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'Données pop de l''année de ref'!$C$13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'Données pop de l''année de ref'!$C$8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'Données pop de l''année de ref'!$C$12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'Données pop de l''année de ref'!$C$58</definedName>
    <definedName name="frac_maize" localSheetId="6">'[1]Baseline year population inputs'!$C$19</definedName>
    <definedName name="frac_maize" localSheetId="5">'[1]Baseline year population inputs'!$C$19</definedName>
    <definedName name="frac_maize">'Données pop de l''année de ref'!$C$19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'Données pop de l''année de ref'!$C$9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'Dist. de l''état nutritionnel'!$D$10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'Dist. de l''état nutritionnel'!$F$10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'Dist. de l''état nutritionnel'!$C$10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'Dist. de l''état nutritionnel'!$G$10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'Dist. de l''état nutritionnel'!$E$10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'Données pop de l''année de ref'!#REF!</definedName>
    <definedName name="frac_other_staples">'Données pop de l''année de ref'!$C$20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'Données pop de l''année de ref'!$C$11</definedName>
    <definedName name="frac_rice" localSheetId="6">'[1]Baseline year population inputs'!$C$17</definedName>
    <definedName name="frac_rice" localSheetId="5">'[1]Baseline year population inputs'!$C$17</definedName>
    <definedName name="frac_rice">'Données pop de l''année de ref'!$C$17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'Dist. de l''état nutritionnel'!$D$11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'Dist. de l''état nutritionnel'!$F$11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'Dist. de l''état nutritionnel'!$C$11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'Dist. de l''état nutritionnel'!$G$11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'Dist. de l''état nutritionnel'!$E$11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'Données pop de l''année de ref'!#REF!</definedName>
    <definedName name="frac_subsistence_farming">'Données pop de l''année de ref'!$C$16</definedName>
    <definedName name="frac_wheat" localSheetId="6">'[1]Baseline year population inputs'!$C$18</definedName>
    <definedName name="frac_wheat" localSheetId="5">'[1]Baseline year population inputs'!$C$18</definedName>
    <definedName name="frac_wheat">'Données pop de l''année de ref'!$C$18</definedName>
    <definedName name="infant_mortality">'Données pop de l''année de ref'!$C$38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 localSheetId="6">'[1]Baseline year population inputs'!$C$46</definedName>
    <definedName name="preterm_AGA" localSheetId="5">'[1]Baseline year population inputs'!$C$46</definedName>
    <definedName name="preterm_AGA">'Données pop de l''année de ref'!$C$46</definedName>
    <definedName name="preterm_SGA" localSheetId="6">'[1]Baseline year population inputs'!$C$45</definedName>
    <definedName name="preterm_SGA" localSheetId="5">'[1]Baseline year population inputs'!$C$45</definedName>
    <definedName name="preterm_SGA">'Données pop de l''année de ref'!$C$45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'Données pop de l''année de ref'!$C$10</definedName>
    <definedName name="start_year" localSheetId="6">'[1]Baseline year population inputs'!$C$3</definedName>
    <definedName name="start_year" localSheetId="5">'[1]Baseline year population inputs'!$C$3</definedName>
    <definedName name="start_year">'Données pop de l''année de ref'!$C$3</definedName>
    <definedName name="stillbirth" localSheetId="7">'Données pop de l''année de ref'!$C$39</definedName>
    <definedName name="stillbirth" localSheetId="6">'[1]Baseline year population inputs'!$C$42</definedName>
    <definedName name="stillbirth" localSheetId="5">'[1]Baseline year population inputs'!$C$42</definedName>
    <definedName name="stillbirth">'Données pop de l''année de ref'!$C$42</definedName>
    <definedName name="term_AGA">'Données pop de l''année de ref'!$C$48</definedName>
    <definedName name="term_SGA" localSheetId="6">'[1]Baseline year population inputs'!$C$47</definedName>
    <definedName name="term_SGA" localSheetId="5">'[1]Baseline year population inputs'!$C$47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3" i="72"/>
  <c r="G153" i="72"/>
  <c r="F153" i="72"/>
  <c r="E153" i="72"/>
  <c r="D153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D131" i="72"/>
  <c r="H130" i="72"/>
  <c r="G130" i="72"/>
  <c r="F130" i="72"/>
  <c r="E130" i="72"/>
  <c r="D130" i="72"/>
  <c r="E129" i="72"/>
  <c r="D129" i="72"/>
  <c r="H128" i="72"/>
  <c r="G128" i="72"/>
  <c r="F128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G112" i="72"/>
  <c r="F112" i="72"/>
  <c r="E112" i="72"/>
  <c r="D112" i="72"/>
  <c r="H97" i="72"/>
  <c r="H152" i="72" s="1"/>
  <c r="G97" i="72"/>
  <c r="G152" i="72" s="1"/>
  <c r="F97" i="72"/>
  <c r="F152" i="72" s="1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H75" i="72"/>
  <c r="G75" i="72"/>
  <c r="F75" i="72"/>
  <c r="E75" i="72"/>
  <c r="D75" i="72"/>
  <c r="E74" i="72"/>
  <c r="D74" i="72"/>
  <c r="H73" i="72"/>
  <c r="G73" i="72"/>
  <c r="F73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F57" i="72"/>
  <c r="E57" i="72"/>
  <c r="D57" i="72"/>
  <c r="H20" i="72"/>
  <c r="G20" i="72"/>
  <c r="F20" i="72"/>
  <c r="H18" i="72"/>
  <c r="G18" i="72"/>
  <c r="F18" i="72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67" i="68"/>
  <c r="G63" i="68"/>
  <c r="F63" i="68"/>
  <c r="E63" i="68"/>
  <c r="D63" i="68"/>
  <c r="C63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49" i="68"/>
  <c r="F49" i="68"/>
  <c r="E49" i="68"/>
  <c r="D49" i="68"/>
  <c r="C44" i="68"/>
  <c r="G40" i="68"/>
  <c r="F40" i="68"/>
  <c r="E40" i="68"/>
  <c r="D40" i="68"/>
  <c r="C40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G25" i="73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<sst xmlns="http://schemas.openxmlformats.org/spreadsheetml/2006/main" count="2093" uniqueCount="337">
  <si>
    <t>Condition</t>
  </si>
  <si>
    <t>Sepsis</t>
  </si>
  <si>
    <t>Population</t>
  </si>
  <si>
    <t>Implant</t>
  </si>
  <si>
    <t>Distribution</t>
  </si>
  <si>
    <t>Field</t>
  </si>
  <si>
    <t>Extension</t>
  </si>
  <si>
    <t>x</t>
  </si>
  <si>
    <t>Causes</t>
  </si>
  <si>
    <t>Normal</t>
  </si>
  <si>
    <t>N/A</t>
  </si>
  <si>
    <t>Outcome</t>
  </si>
  <si>
    <t>Type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</si>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</sst>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13</v>
      </c>
      <c r="B1" s="30" t="s">
        <v>5</v>
      </c>
      <c r="C1" s="30" t="s">
        <v>66</v>
      </c>
    </row>
    <row r="2" spans="1:3" ht="16" customHeight="1" x14ac:dyDescent="0.3">
      <c r="A2" s="8" t="s">
        <v>14</v>
      </c>
      <c r="B2" s="30"/>
      <c r="C2" s="30"/>
    </row>
    <row r="3" spans="1:3" ht="16" customHeight="1" x14ac:dyDescent="0.3">
      <c r="A3" s="1"/>
      <c r="B3" s="5" t="s">
        <v>15</v>
      </c>
      <c r="C3" s="48">
        <v>2017</v>
      </c>
    </row>
    <row r="4" spans="1:3" ht="16" customHeight="1" x14ac:dyDescent="0.3">
      <c r="A4" s="1"/>
      <c r="B4" s="5" t="s">
        <v>16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50">
        <v>9862402</v>
      </c>
    </row>
    <row r="8" spans="1:3" ht="15" customHeight="1" x14ac:dyDescent="0.25">
      <c r="B8" s="5" t="s">
        <v>19</v>
      </c>
      <c r="C8" s="51">
        <v>0.28199999999999997</v>
      </c>
    </row>
    <row r="9" spans="1:3" ht="15" customHeight="1" x14ac:dyDescent="0.25">
      <c r="B9" s="5" t="s">
        <v>20</v>
      </c>
      <c r="C9" s="52">
        <v>1</v>
      </c>
    </row>
    <row r="10" spans="1:3" ht="15" customHeight="1" x14ac:dyDescent="0.25">
      <c r="B10" s="5" t="s">
        <v>21</v>
      </c>
      <c r="C10" s="52">
        <v>0.23</v>
      </c>
    </row>
    <row r="11" spans="1:3" ht="15" customHeight="1" x14ac:dyDescent="0.25">
      <c r="B11" s="5" t="s">
        <v>22</v>
      </c>
      <c r="C11" s="51">
        <v>0.51</v>
      </c>
    </row>
    <row r="12" spans="1:3" ht="15" customHeight="1" x14ac:dyDescent="0.25">
      <c r="B12" s="5" t="s">
        <v>23</v>
      </c>
      <c r="C12" s="51">
        <v>0.37</v>
      </c>
    </row>
    <row r="13" spans="1:3" ht="15" customHeight="1" x14ac:dyDescent="0.25">
      <c r="B13" s="5" t="s">
        <v>24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52">
        <v>0.3</v>
      </c>
    </row>
    <row r="17" spans="1:3" ht="15" customHeight="1" x14ac:dyDescent="0.25">
      <c r="B17" s="5" t="s">
        <v>27</v>
      </c>
      <c r="C17" s="52">
        <v>0.1</v>
      </c>
    </row>
    <row r="18" spans="1:3" ht="15" customHeight="1" x14ac:dyDescent="0.25">
      <c r="B18" s="5" t="s">
        <v>28</v>
      </c>
      <c r="C18" s="52">
        <v>0.1</v>
      </c>
    </row>
    <row r="19" spans="1:3" ht="15" customHeight="1" x14ac:dyDescent="0.25">
      <c r="B19" s="5" t="s">
        <v>29</v>
      </c>
      <c r="C19" s="52">
        <v>0.8</v>
      </c>
    </row>
    <row r="20" spans="1:3" ht="15" customHeight="1" x14ac:dyDescent="0.25">
      <c r="B20" s="5" t="s">
        <v>30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52">
        <v>0.127</v>
      </c>
    </row>
    <row r="24" spans="1:3" ht="15" customHeight="1" x14ac:dyDescent="0.25">
      <c r="B24" s="15" t="s">
        <v>33</v>
      </c>
      <c r="C24" s="52">
        <v>0.45200000000000001</v>
      </c>
    </row>
    <row r="25" spans="1:3" ht="15" customHeight="1" x14ac:dyDescent="0.25">
      <c r="B25" s="15" t="s">
        <v>34</v>
      </c>
      <c r="C25" s="52">
        <v>0.33400000000000002</v>
      </c>
    </row>
    <row r="26" spans="1:3" ht="15" customHeight="1" x14ac:dyDescent="0.25">
      <c r="B26" s="15" t="s">
        <v>35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4" t="s">
        <v>37</v>
      </c>
      <c r="C29" s="53">
        <v>0.20799999999999999</v>
      </c>
    </row>
    <row r="30" spans="1:3" ht="14.25" customHeight="1" x14ac:dyDescent="0.25">
      <c r="B30" s="24" t="s">
        <v>38</v>
      </c>
      <c r="C30" s="53">
        <v>0.63700000000000001</v>
      </c>
    </row>
    <row r="31" spans="1:3" ht="14.25" customHeight="1" x14ac:dyDescent="0.25">
      <c r="B31" s="24" t="s">
        <v>39</v>
      </c>
      <c r="C31" s="53">
        <v>0.11899999999999999</v>
      </c>
    </row>
    <row r="32" spans="1:3" ht="14.25" customHeight="1" x14ac:dyDescent="0.25">
      <c r="B32" s="24" t="s">
        <v>40</v>
      </c>
      <c r="C32" s="53">
        <v>3.5999999999999997E-2</v>
      </c>
    </row>
    <row r="33" spans="1:5" ht="13" x14ac:dyDescent="0.25">
      <c r="B33" s="26" t="s">
        <v>41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54">
        <v>25</v>
      </c>
    </row>
    <row r="38" spans="1:5" ht="15" customHeight="1" x14ac:dyDescent="0.25">
      <c r="B38" s="11" t="s">
        <v>45</v>
      </c>
      <c r="C38" s="54">
        <v>43</v>
      </c>
      <c r="D38" s="12"/>
      <c r="E38" s="13"/>
    </row>
    <row r="39" spans="1:5" ht="15" customHeight="1" x14ac:dyDescent="0.25">
      <c r="B39" s="11" t="s">
        <v>46</v>
      </c>
      <c r="C39" s="54">
        <v>67</v>
      </c>
      <c r="D39" s="12"/>
      <c r="E39" s="12"/>
    </row>
    <row r="40" spans="1:5" ht="15" customHeight="1" x14ac:dyDescent="0.25">
      <c r="B40" s="11" t="s">
        <v>47</v>
      </c>
      <c r="C40" s="54">
        <v>4.01</v>
      </c>
    </row>
    <row r="41" spans="1:5" ht="15" customHeight="1" x14ac:dyDescent="0.25">
      <c r="B41" s="11" t="s">
        <v>48</v>
      </c>
      <c r="C41" s="52">
        <v>0.13</v>
      </c>
    </row>
    <row r="42" spans="1:5" ht="15" customHeight="1" x14ac:dyDescent="0.25">
      <c r="B42" s="11" t="s">
        <v>49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52">
        <v>3.1E-2</v>
      </c>
      <c r="D45" s="12"/>
    </row>
    <row r="46" spans="1:5" ht="15.75" customHeight="1" x14ac:dyDescent="0.25">
      <c r="B46" s="11" t="s">
        <v>52</v>
      </c>
      <c r="C46" s="52">
        <v>0.109</v>
      </c>
      <c r="D46" s="12"/>
    </row>
    <row r="47" spans="1:5" ht="15.75" customHeight="1" x14ac:dyDescent="0.25">
      <c r="B47" s="11" t="s">
        <v>53</v>
      </c>
      <c r="C47" s="52">
        <v>0.36499999999999999</v>
      </c>
      <c r="D47" s="12"/>
      <c r="E47" s="13"/>
    </row>
    <row r="48" spans="1:5" ht="15" customHeight="1" x14ac:dyDescent="0.25">
      <c r="B48" s="11" t="s">
        <v>54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55">
        <v>1.66</v>
      </c>
      <c r="D51" s="12"/>
    </row>
    <row r="52" spans="1:4" ht="15" customHeight="1" x14ac:dyDescent="0.25">
      <c r="B52" s="11" t="s">
        <v>57</v>
      </c>
      <c r="C52" s="55">
        <v>1.66</v>
      </c>
    </row>
    <row r="53" spans="1:4" ht="15.75" customHeight="1" x14ac:dyDescent="0.25">
      <c r="B53" s="11" t="s">
        <v>58</v>
      </c>
      <c r="C53" s="55">
        <v>5.64</v>
      </c>
    </row>
    <row r="54" spans="1:4" ht="15.75" customHeight="1" x14ac:dyDescent="0.25">
      <c r="B54" s="11" t="s">
        <v>59</v>
      </c>
      <c r="C54" s="55">
        <v>5.43</v>
      </c>
    </row>
    <row r="55" spans="1:4" ht="15.75" customHeight="1" x14ac:dyDescent="0.25">
      <c r="B55" s="11" t="s">
        <v>60</v>
      </c>
      <c r="C55" s="55">
        <v>1.91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51">
        <v>0.2</v>
      </c>
    </row>
    <row r="59" spans="1:4" ht="15.75" customHeight="1" x14ac:dyDescent="0.25">
      <c r="B59" s="11" t="s">
        <v>63</v>
      </c>
      <c r="C59" s="51">
        <v>0.42</v>
      </c>
    </row>
    <row r="60" spans="1:4" ht="15.75" customHeight="1" x14ac:dyDescent="0.25">
      <c r="B60" s="11" t="s">
        <v>64</v>
      </c>
      <c r="C60" s="51">
        <v>4.5999999999999999E-2</v>
      </c>
    </row>
    <row r="61" spans="1:4" ht="15.75" customHeight="1" x14ac:dyDescent="0.25">
      <c r="B61" s="11" t="s">
        <v>65</v>
      </c>
      <c r="C61" s="51">
        <v>1.4E-2</v>
      </c>
    </row>
    <row r="62" spans="1:4" ht="15.75" customHeight="1" x14ac:dyDescent="0.25">
      <c r="B62" s="11" t="s">
        <v>67</v>
      </c>
      <c r="C62" s="51">
        <v>0.02</v>
      </c>
    </row>
    <row r="63" spans="1:4" ht="15.75" customHeight="1" x14ac:dyDescent="0.3">
      <c r="A63" s="4"/>
    </row>
  </sheetData>
  <sheetProtection algorithmName="SHA-512" hashValue="/btYiZlhgygMvzdrRB1bTTXf0dB7tCFiA4xmU9LKIzu2j9Wv/3dgCHPI6rU9lD9jHIM6XojgEq+cCVNLMdCzlw==" saltValue="lfO+8YZUUExIa0rYhC007A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g6xEorhaR8lPmEm8/L0mPzkrO5rst2rdWTKN/HulQ+s84wPdkNSYId9eCpXeOEvvZ12EnOeAk27CKMc2Rj00mg==" saltValue="Pzgl3VMKT9iUNi+PcZkXP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(2017) imputable à chaque cause</v>
      </c>
      <c r="B1" s="30"/>
      <c r="C1" s="30"/>
      <c r="D1" s="30"/>
      <c r="E1" s="30"/>
      <c r="F1" s="30"/>
    </row>
    <row r="2" spans="1:8" ht="27.75" customHeight="1" x14ac:dyDescent="0.3">
      <c r="A2" t="s">
        <v>77</v>
      </c>
      <c r="B2" s="30" t="s">
        <v>8</v>
      </c>
      <c r="C2" s="30" t="s">
        <v>109</v>
      </c>
      <c r="D2" s="30"/>
      <c r="E2" s="30"/>
      <c r="F2" s="30"/>
      <c r="G2" s="30"/>
    </row>
    <row r="3" spans="1:8" ht="15.75" customHeight="1" x14ac:dyDescent="0.25">
      <c r="B3" s="19" t="s">
        <v>78</v>
      </c>
      <c r="C3" s="58">
        <v>2.7000000000000001E-3</v>
      </c>
    </row>
    <row r="4" spans="1:8" ht="15.75" customHeight="1" x14ac:dyDescent="0.25">
      <c r="B4" s="19" t="s">
        <v>79</v>
      </c>
      <c r="C4" s="58">
        <v>0.1966</v>
      </c>
    </row>
    <row r="5" spans="1:8" ht="15.75" customHeight="1" x14ac:dyDescent="0.25">
      <c r="B5" s="19" t="s">
        <v>80</v>
      </c>
      <c r="C5" s="58">
        <v>6.2100000000000002E-2</v>
      </c>
    </row>
    <row r="6" spans="1:8" ht="15.75" customHeight="1" x14ac:dyDescent="0.25">
      <c r="B6" s="19" t="s">
        <v>81</v>
      </c>
      <c r="C6" s="58">
        <v>0.29289999999999999</v>
      </c>
    </row>
    <row r="7" spans="1:8" ht="15.75" customHeight="1" x14ac:dyDescent="0.25">
      <c r="B7" s="19" t="s">
        <v>82</v>
      </c>
      <c r="C7" s="58">
        <v>0.24709999999999999</v>
      </c>
    </row>
    <row r="8" spans="1:8" ht="15.75" customHeight="1" x14ac:dyDescent="0.25">
      <c r="B8" s="19" t="s">
        <v>83</v>
      </c>
      <c r="C8" s="58">
        <v>4.7999999999999996E-3</v>
      </c>
    </row>
    <row r="9" spans="1:8" ht="15.75" customHeight="1" x14ac:dyDescent="0.25">
      <c r="B9" s="19" t="s">
        <v>84</v>
      </c>
      <c r="C9" s="58">
        <v>0.13200000000000001</v>
      </c>
    </row>
    <row r="10" spans="1:8" ht="15.75" customHeight="1" x14ac:dyDescent="0.25">
      <c r="B10" s="19" t="s">
        <v>85</v>
      </c>
      <c r="C10" s="58">
        <v>6.1800000000000001E-2</v>
      </c>
    </row>
    <row r="11" spans="1:8" ht="15.75" customHeight="1" x14ac:dyDescent="0.25">
      <c r="B11" s="26" t="s">
        <v>41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30" t="s">
        <v>8</v>
      </c>
      <c r="C13" s="18" t="s">
        <v>96</v>
      </c>
      <c r="D13" s="18" t="s">
        <v>97</v>
      </c>
      <c r="E13" s="18" t="s">
        <v>98</v>
      </c>
      <c r="F13" s="18" t="s">
        <v>99</v>
      </c>
      <c r="G13" s="19"/>
    </row>
    <row r="14" spans="1:8" ht="15.75" customHeight="1" x14ac:dyDescent="0.25">
      <c r="B14" s="19" t="s">
        <v>87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88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89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90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91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92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93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94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95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41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30" t="s">
        <v>8</v>
      </c>
      <c r="C25" s="30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8">
        <v>0.10082724000000001</v>
      </c>
    </row>
    <row r="27" spans="1:8" ht="15.75" customHeight="1" x14ac:dyDescent="0.25">
      <c r="B27" s="19" t="s">
        <v>102</v>
      </c>
      <c r="C27" s="58">
        <v>3.1206000000000002E-4</v>
      </c>
    </row>
    <row r="28" spans="1:8" ht="15.75" customHeight="1" x14ac:dyDescent="0.25">
      <c r="B28" s="19" t="s">
        <v>103</v>
      </c>
      <c r="C28" s="58">
        <v>0.15891214000000001</v>
      </c>
    </row>
    <row r="29" spans="1:8" ht="15.75" customHeight="1" x14ac:dyDescent="0.25">
      <c r="B29" s="19" t="s">
        <v>104</v>
      </c>
      <c r="C29" s="58">
        <v>0.12598688999999999</v>
      </c>
    </row>
    <row r="30" spans="1:8" ht="15.75" customHeight="1" x14ac:dyDescent="0.25">
      <c r="B30" s="19" t="s">
        <v>1</v>
      </c>
      <c r="C30" s="58">
        <v>0.12434007</v>
      </c>
    </row>
    <row r="31" spans="1:8" ht="15.75" customHeight="1" x14ac:dyDescent="0.25">
      <c r="B31" s="19" t="s">
        <v>105</v>
      </c>
      <c r="C31" s="58">
        <v>3.9028409999999999E-2</v>
      </c>
    </row>
    <row r="32" spans="1:8" ht="15.75" customHeight="1" x14ac:dyDescent="0.25">
      <c r="B32" s="19" t="s">
        <v>106</v>
      </c>
      <c r="C32" s="58">
        <v>8.5254999999999999E-4</v>
      </c>
    </row>
    <row r="33" spans="2:3" ht="15.75" customHeight="1" x14ac:dyDescent="0.25">
      <c r="B33" s="19" t="s">
        <v>107</v>
      </c>
      <c r="C33" s="58">
        <v>6.8467810000000004E-2</v>
      </c>
    </row>
    <row r="34" spans="2:3" ht="15.75" customHeight="1" x14ac:dyDescent="0.25">
      <c r="B34" s="19" t="s">
        <v>108</v>
      </c>
      <c r="C34" s="58">
        <v>0.38127283000000001</v>
      </c>
    </row>
    <row r="35" spans="2:3" ht="15.75" customHeight="1" x14ac:dyDescent="0.25">
      <c r="B35" s="26" t="s">
        <v>41</v>
      </c>
      <c r="C35" s="113">
        <f>SUM(C26:C34)</f>
        <v>1</v>
      </c>
    </row>
  </sheetData>
  <sheetProtection algorithmName="SHA-512" hashValue="hkaxJlFVmN9ttGc1sUijQsPk2ZpyuT47ZzUrD3Ru9BxzPr/F/qvIf7+upjAdIIhIgTX1M0/Q6jZFTcgRXfVwsg==" saltValue="cfRKldfXJG18QqcVdl40sA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D11" sqref="D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(2017)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114">
        <f>IFERROR(1-_xlfn.NORM.DIST(_xlfn.NORM.INV(SUM(C4:C5), 0, 1) + 1, 0, 1, TRUE), "")</f>
        <v>0.47702419856642964</v>
      </c>
      <c r="D2" s="114">
        <f>IFERROR(1-_xlfn.NORM.DIST(_xlfn.NORM.INV(SUM(D4:D5), 0, 1) + 1, 0, 1, TRUE), "")</f>
        <v>0.47702419856642964</v>
      </c>
      <c r="E2" s="114">
        <f>IFERROR(1-_xlfn.NORM.DIST(_xlfn.NORM.INV(SUM(E4:E5), 0, 1) + 1, 0, 1, TRUE), "")</f>
        <v>0.39561189127189544</v>
      </c>
      <c r="F2" s="114">
        <f>IFERROR(1-_xlfn.NORM.DIST(_xlfn.NORM.INV(SUM(F4:F5), 0, 1) + 1, 0, 1, TRUE), "")</f>
        <v>0.21320949938660438</v>
      </c>
      <c r="G2" s="114">
        <f>IFERROR(1-_xlfn.NORM.DIST(_xlfn.NORM.INV(SUM(G4:G5), 0, 1) + 1, 0, 1, TRUE), "")</f>
        <v>0.20249364172902928</v>
      </c>
    </row>
    <row r="3" spans="1:15" ht="15.75" customHeight="1" x14ac:dyDescent="0.25">
      <c r="B3" s="5" t="s">
        <v>113</v>
      </c>
      <c r="C3" s="114">
        <f>IFERROR(_xlfn.NORM.DIST(_xlfn.NORM.INV(SUM(C4:C5), 0, 1) + 1, 0, 1, TRUE) - SUM(C4:C5), "")</f>
        <v>0.34997580143357038</v>
      </c>
      <c r="D3" s="114">
        <f>IFERROR(_xlfn.NORM.DIST(_xlfn.NORM.INV(SUM(D4:D5), 0, 1) + 1, 0, 1, TRUE) - SUM(D4:D5), "")</f>
        <v>0.34997580143357038</v>
      </c>
      <c r="E3" s="114">
        <f>IFERROR(_xlfn.NORM.DIST(_xlfn.NORM.INV(SUM(E4:E5), 0, 1) + 1, 0, 1, TRUE) - SUM(E4:E5), "")</f>
        <v>0.37330306774449845</v>
      </c>
      <c r="F3" s="114">
        <f>IFERROR(_xlfn.NORM.DIST(_xlfn.NORM.INV(SUM(F4:F5), 0, 1) + 1, 0, 1, TRUE) - SUM(F4:F5), "")</f>
        <v>0.36787379495125261</v>
      </c>
      <c r="G3" s="114">
        <f>IFERROR(_xlfn.NORM.DIST(_xlfn.NORM.INV(SUM(G4:G5), 0, 1) + 1, 0, 1, TRUE) - SUM(G4:G5), "")</f>
        <v>0.36392076328140976</v>
      </c>
    </row>
    <row r="4" spans="1:15" ht="15.75" customHeight="1" x14ac:dyDescent="0.25">
      <c r="B4" s="5" t="s">
        <v>114</v>
      </c>
      <c r="C4" s="59">
        <v>0.107</v>
      </c>
      <c r="D4" s="59">
        <v>0.107</v>
      </c>
      <c r="E4" s="59">
        <v>0.154430327868852</v>
      </c>
      <c r="F4" s="59">
        <v>0.26673186710341601</v>
      </c>
      <c r="G4" s="59">
        <v>0.27929610299234497</v>
      </c>
    </row>
    <row r="5" spans="1:15" ht="15.75" customHeight="1" x14ac:dyDescent="0.25">
      <c r="B5" s="5" t="s">
        <v>115</v>
      </c>
      <c r="C5" s="59">
        <v>6.6000000000000003E-2</v>
      </c>
      <c r="D5" s="59">
        <v>6.6000000000000003E-2</v>
      </c>
      <c r="E5" s="59">
        <v>7.6654713114754094E-2</v>
      </c>
      <c r="F5" s="59">
        <v>0.152184838558727</v>
      </c>
      <c r="G5" s="59">
        <v>0.15428949199721601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116</v>
      </c>
      <c r="B8" s="5" t="s">
        <v>117</v>
      </c>
      <c r="C8" s="114">
        <f>IFERROR(1-_xlfn.NORM.DIST(_xlfn.NORM.INV(SUM(C10:C11), 0, 1) + 1, 0, 1, TRUE), "")</f>
        <v>0.54287526907834005</v>
      </c>
      <c r="D8" s="114">
        <f>IFERROR(1-_xlfn.NORM.DIST(_xlfn.NORM.INV(SUM(D10:D11), 0, 1) + 1, 0, 1, TRUE), "")</f>
        <v>0.54287526907834005</v>
      </c>
      <c r="E8" s="114">
        <f>IFERROR(1-_xlfn.NORM.DIST(_xlfn.NORM.INV(SUM(E10:E11), 0, 1) + 1, 0, 1, TRUE), "")</f>
        <v>0.63394133132364583</v>
      </c>
      <c r="F8" s="114">
        <f>IFERROR(1-_xlfn.NORM.DIST(_xlfn.NORM.INV(SUM(F10:F11), 0, 1) + 1, 0, 1, TRUE), "")</f>
        <v>0.6759433871062428</v>
      </c>
      <c r="G8" s="114">
        <f>IFERROR(1-_xlfn.NORM.DIST(_xlfn.NORM.INV(SUM(G10:G11), 0, 1) + 1, 0, 1, TRUE), "")</f>
        <v>0.74154276352799009</v>
      </c>
    </row>
    <row r="9" spans="1:15" ht="15.75" customHeight="1" x14ac:dyDescent="0.25">
      <c r="B9" s="5" t="s">
        <v>118</v>
      </c>
      <c r="C9" s="114">
        <f>IFERROR(_xlfn.NORM.DIST(_xlfn.NORM.INV(SUM(C10:C11), 0, 1) + 1, 0, 1, TRUE) - SUM(C10:C11), "")</f>
        <v>0.32312473092165994</v>
      </c>
      <c r="D9" s="114">
        <f>IFERROR(_xlfn.NORM.DIST(_xlfn.NORM.INV(SUM(D10:D11), 0, 1) + 1, 0, 1, TRUE) - SUM(D10:D11), "")</f>
        <v>0.32312473092165994</v>
      </c>
      <c r="E9" s="114">
        <f>IFERROR(_xlfn.NORM.DIST(_xlfn.NORM.INV(SUM(E10:E11), 0, 1) + 1, 0, 1, TRUE) - SUM(E10:E11), "")</f>
        <v>0.27631097636866186</v>
      </c>
      <c r="F9" s="114">
        <f>IFERROR(_xlfn.NORM.DIST(_xlfn.NORM.INV(SUM(F10:F11), 0, 1) + 1, 0, 1, TRUE) - SUM(F10:F11), "")</f>
        <v>0.25141348847841583</v>
      </c>
      <c r="G9" s="114">
        <f>IFERROR(_xlfn.NORM.DIST(_xlfn.NORM.INV(SUM(G10:G11), 0, 1) + 1, 0, 1, TRUE) - SUM(G10:G11), "")</f>
        <v>0.20879208046712927</v>
      </c>
    </row>
    <row r="10" spans="1:15" ht="15.75" customHeight="1" x14ac:dyDescent="0.25">
      <c r="B10" s="5" t="s">
        <v>119</v>
      </c>
      <c r="C10" s="59">
        <v>7.3999999999999996E-2</v>
      </c>
      <c r="D10" s="59">
        <v>7.3999999999999996E-2</v>
      </c>
      <c r="E10" s="59">
        <v>7.4022564102564095E-2</v>
      </c>
      <c r="F10" s="59">
        <v>6.2547708138447095E-2</v>
      </c>
      <c r="G10" s="59">
        <v>4.2330660624019502E-2</v>
      </c>
    </row>
    <row r="11" spans="1:15" ht="15.75" customHeight="1" x14ac:dyDescent="0.25">
      <c r="B11" s="5" t="s">
        <v>120</v>
      </c>
      <c r="C11" s="59">
        <v>0.06</v>
      </c>
      <c r="D11" s="59">
        <v>0.06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127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7JraDCdABYAfFgGdeet1sX0Psz7pGSqB1lxQ0WT0xhkQwwkxUmFFvg3ysXK5tbI1gXqNGUeDEY6wIagM4MsxmA==" saltValue="wCpyQVcvQ0vQxqMk8zT3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(2017)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1" t="s">
        <v>129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130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131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132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kjz4gwIONLsRsmYOz8wTgjrXjqBFmi+z6rMsUq0WyXzzgsOnl5ZaAhuwHcEE0FtRzP1sazGD+Ctbqm87g6NWqA==" saltValue="lXTp6P4jfDBKMcd1Cpmqjw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143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143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143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100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137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138</v>
      </c>
      <c r="B10" s="45" t="s">
        <v>139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140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43</v>
      </c>
      <c r="B13" s="45" t="s">
        <v>141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142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iJJn8hNtGMnbO0IBh2Sqi/LweMwEamAzvxMZ0GjOkjl2MYBAFWn8MW1fu628Orl1XG5ibkKSN3RHDj9N+G49NQ==" saltValue="67XxXar22zi6SHPbHizSOg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12</v>
      </c>
      <c r="B1" s="29" t="s">
        <v>144</v>
      </c>
    </row>
    <row r="2" spans="1:2" x14ac:dyDescent="0.25">
      <c r="A2" s="27" t="s">
        <v>145</v>
      </c>
      <c r="B2" s="116">
        <v>10</v>
      </c>
    </row>
    <row r="3" spans="1:2" x14ac:dyDescent="0.25">
      <c r="A3" s="27" t="s">
        <v>150</v>
      </c>
      <c r="B3" s="116">
        <v>10</v>
      </c>
    </row>
    <row r="4" spans="1:2" x14ac:dyDescent="0.25">
      <c r="A4" s="27" t="s">
        <v>146</v>
      </c>
      <c r="B4" s="116">
        <v>50</v>
      </c>
    </row>
    <row r="5" spans="1:2" x14ac:dyDescent="0.25">
      <c r="A5" s="27" t="s">
        <v>147</v>
      </c>
      <c r="B5" s="116">
        <v>100</v>
      </c>
    </row>
    <row r="6" spans="1:2" x14ac:dyDescent="0.25">
      <c r="A6" s="27" t="s">
        <v>148</v>
      </c>
      <c r="B6" s="116">
        <v>5</v>
      </c>
    </row>
    <row r="7" spans="1:2" x14ac:dyDescent="0.25">
      <c r="A7" s="27" t="s">
        <v>149</v>
      </c>
      <c r="B7" s="116">
        <v>5</v>
      </c>
    </row>
  </sheetData>
  <sheetProtection algorithmName="SHA-512" hashValue="uHW4/jAYzMcn7L8cOA/rzf/0tH0lMc+I1+S8MWRpmW9xz4Rcul4aRVus9BLeBYrmjHeT2TUxoifGzy0udbf1tw==" saltValue="NC+bRrxIR4gvUzXSrFz8kw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151</v>
      </c>
      <c r="B1" s="38" t="s">
        <v>152</v>
      </c>
      <c r="C1" s="38" t="s">
        <v>153</v>
      </c>
      <c r="D1" s="38" t="s">
        <v>154</v>
      </c>
      <c r="E1" s="38" t="s">
        <v>155</v>
      </c>
    </row>
    <row r="2" spans="1:5" ht="13" x14ac:dyDescent="0.3">
      <c r="A2" s="36" t="s">
        <v>157</v>
      </c>
      <c r="B2" s="34" t="s">
        <v>100</v>
      </c>
      <c r="C2" s="62"/>
      <c r="D2" s="62"/>
      <c r="E2" s="44" t="str">
        <f>IF(E$7="","",E$7)</f>
        <v/>
      </c>
    </row>
    <row r="3" spans="1:5" x14ac:dyDescent="0.25">
      <c r="B3" s="34" t="s">
        <v>109</v>
      </c>
      <c r="C3" s="62" t="s">
        <v>7</v>
      </c>
      <c r="D3" s="62"/>
      <c r="E3" s="44" t="str">
        <f>IF(E$7="","",E$7)</f>
        <v/>
      </c>
    </row>
    <row r="4" spans="1:5" x14ac:dyDescent="0.25">
      <c r="B4" s="34" t="s">
        <v>96</v>
      </c>
      <c r="C4" s="62" t="s">
        <v>7</v>
      </c>
      <c r="D4" s="62"/>
      <c r="E4" s="44" t="str">
        <f>IF(E$7="","",E$7)</f>
        <v/>
      </c>
    </row>
    <row r="5" spans="1:5" x14ac:dyDescent="0.25">
      <c r="B5" s="34" t="s">
        <v>97</v>
      </c>
      <c r="C5" s="62" t="s">
        <v>7</v>
      </c>
      <c r="D5" s="62"/>
      <c r="E5" s="44" t="str">
        <f>IF(E$7="","",E$7)</f>
        <v/>
      </c>
    </row>
    <row r="6" spans="1:5" x14ac:dyDescent="0.25">
      <c r="B6" s="34" t="s">
        <v>98</v>
      </c>
      <c r="C6" s="62" t="s">
        <v>7</v>
      </c>
      <c r="D6" s="62"/>
      <c r="E6" s="44" t="str">
        <f>IF(E$7="","",E$7)</f>
        <v/>
      </c>
    </row>
    <row r="7" spans="1:5" x14ac:dyDescent="0.25">
      <c r="B7" s="34" t="s">
        <v>156</v>
      </c>
      <c r="C7" s="33"/>
      <c r="D7" s="32"/>
      <c r="E7" s="62"/>
    </row>
    <row r="9" spans="1:5" ht="13" x14ac:dyDescent="0.3">
      <c r="A9" s="36" t="s">
        <v>158</v>
      </c>
      <c r="B9" s="34" t="s">
        <v>100</v>
      </c>
      <c r="C9" s="62"/>
      <c r="D9" s="62"/>
      <c r="E9" s="44" t="str">
        <f>IF(E$7="","",E$7)</f>
        <v/>
      </c>
    </row>
    <row r="10" spans="1:5" x14ac:dyDescent="0.25">
      <c r="B10" s="34" t="s">
        <v>109</v>
      </c>
      <c r="C10" s="62"/>
      <c r="D10" s="62" t="s">
        <v>7</v>
      </c>
      <c r="E10" s="44" t="str">
        <f>IF(E$7="","",E$7)</f>
        <v/>
      </c>
    </row>
    <row r="11" spans="1:5" x14ac:dyDescent="0.25">
      <c r="B11" s="34" t="s">
        <v>96</v>
      </c>
      <c r="C11" s="62"/>
      <c r="D11" s="62" t="s">
        <v>7</v>
      </c>
      <c r="E11" s="44" t="str">
        <f>IF(E$7="","",E$7)</f>
        <v/>
      </c>
    </row>
    <row r="12" spans="1:5" x14ac:dyDescent="0.25">
      <c r="B12" s="34" t="s">
        <v>97</v>
      </c>
      <c r="C12" s="62"/>
      <c r="D12" s="62" t="s">
        <v>7</v>
      </c>
      <c r="E12" s="44" t="str">
        <f>IF(E$7="","",E$7)</f>
        <v/>
      </c>
    </row>
    <row r="13" spans="1:5" x14ac:dyDescent="0.25">
      <c r="B13" s="34" t="s">
        <v>98</v>
      </c>
      <c r="C13" s="62"/>
      <c r="D13" s="62" t="s">
        <v>7</v>
      </c>
      <c r="E13" s="44" t="str">
        <f>IF(E$7="","",E$7)</f>
        <v/>
      </c>
    </row>
    <row r="14" spans="1:5" x14ac:dyDescent="0.25">
      <c r="B14" s="34" t="s">
        <v>156</v>
      </c>
      <c r="C14" s="33"/>
      <c r="D14" s="32"/>
      <c r="E14" s="62"/>
    </row>
    <row r="16" spans="1:5" ht="13" x14ac:dyDescent="0.3">
      <c r="A16" s="36" t="s">
        <v>159</v>
      </c>
      <c r="B16" s="34" t="s">
        <v>100</v>
      </c>
      <c r="C16" s="62"/>
      <c r="D16" s="62"/>
      <c r="E16" s="44" t="str">
        <f>IF(E$7="","",E$7)</f>
        <v/>
      </c>
    </row>
    <row r="17" spans="2:5" x14ac:dyDescent="0.25">
      <c r="B17" s="34" t="s">
        <v>109</v>
      </c>
      <c r="C17" s="62"/>
      <c r="D17" s="62" t="s">
        <v>7</v>
      </c>
      <c r="E17" s="44" t="str">
        <f>IF(E$7="","",E$7)</f>
        <v/>
      </c>
    </row>
    <row r="18" spans="2:5" x14ac:dyDescent="0.25">
      <c r="B18" s="34" t="s">
        <v>96</v>
      </c>
      <c r="C18" s="62"/>
      <c r="D18" s="62" t="s">
        <v>7</v>
      </c>
      <c r="E18" s="44" t="str">
        <f>IF(E$7="","",E$7)</f>
        <v/>
      </c>
    </row>
    <row r="19" spans="2:5" x14ac:dyDescent="0.25">
      <c r="B19" s="34" t="s">
        <v>97</v>
      </c>
      <c r="C19" s="62"/>
      <c r="D19" s="62"/>
      <c r="E19" s="44" t="str">
        <f>IF(E$7="","",E$7)</f>
        <v/>
      </c>
    </row>
    <row r="20" spans="2:5" x14ac:dyDescent="0.25">
      <c r="B20" s="34" t="s">
        <v>98</v>
      </c>
      <c r="C20" s="62"/>
      <c r="D20" s="62"/>
      <c r="E20" s="44" t="str">
        <f>IF(E$7="","",E$7)</f>
        <v/>
      </c>
    </row>
    <row r="21" spans="2:5" x14ac:dyDescent="0.25">
      <c r="B21" s="34" t="s">
        <v>156</v>
      </c>
      <c r="C21" s="33"/>
      <c r="D21" s="32"/>
      <c r="E21" s="62"/>
    </row>
  </sheetData>
  <sheetProtection algorithmName="SHA-512" hashValue="tiO5CvnYe8v4A46/qTejl8pb/M97p/PHxpqNw7FFtKhv4eYAT1xx4XBdQ4oQx0iE579fIiuXLASGbKWgAem7pg==" saltValue="v4l61RHc0BYt9rDGwcb1x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5</v>
      </c>
      <c r="B1" s="38" t="s">
        <v>162</v>
      </c>
      <c r="C1" s="47" t="s">
        <v>6</v>
      </c>
      <c r="D1" s="47" t="s">
        <v>163</v>
      </c>
    </row>
    <row r="2" spans="1:4" ht="13" x14ac:dyDescent="0.3">
      <c r="A2" s="47" t="s">
        <v>160</v>
      </c>
      <c r="B2" s="34" t="s">
        <v>161</v>
      </c>
      <c r="C2" s="34" t="s">
        <v>165</v>
      </c>
      <c r="D2" s="62"/>
    </row>
    <row r="3" spans="1:4" ht="13" x14ac:dyDescent="0.3">
      <c r="A3" s="47" t="s">
        <v>164</v>
      </c>
      <c r="B3" s="34" t="s">
        <v>153</v>
      </c>
      <c r="C3" s="34" t="s">
        <v>154</v>
      </c>
      <c r="D3" s="62"/>
    </row>
  </sheetData>
  <sheetProtection algorithmName="SHA-512" hashValue="JiOx+Ix5zIMIR+Op8r02HikH2QuUXtIUBeMlFxUH+XF70YlKemrIhe0RJaRqufOg3f/ioNBmFx9srMYdmspHtw==" saltValue="OOY5O9VxGywTem42h+SnB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160</v>
      </c>
      <c r="B1" s="40" t="str">
        <f>"Couverture de l'année de référence ("&amp;start_year&amp;")"</f>
        <v>Couverture de l'année de référence (2017)</v>
      </c>
      <c r="C1" s="40" t="s">
        <v>166</v>
      </c>
      <c r="D1" s="40" t="s">
        <v>202</v>
      </c>
      <c r="E1" s="40" t="s">
        <v>167</v>
      </c>
      <c r="F1" s="40" t="s">
        <v>203</v>
      </c>
      <c r="G1" s="40" t="s">
        <v>204</v>
      </c>
    </row>
    <row r="2" spans="1:7" ht="15.75" customHeight="1" x14ac:dyDescent="0.25">
      <c r="A2" s="39" t="s">
        <v>168</v>
      </c>
      <c r="B2" s="63">
        <v>0</v>
      </c>
      <c r="C2" s="63">
        <v>0.95</v>
      </c>
      <c r="D2" s="64">
        <v>25</v>
      </c>
      <c r="E2" s="64" t="s">
        <v>201</v>
      </c>
      <c r="F2" s="63">
        <v>1</v>
      </c>
      <c r="G2" s="63">
        <v>1</v>
      </c>
    </row>
    <row r="3" spans="1:7" ht="15.75" customHeight="1" x14ac:dyDescent="0.25">
      <c r="A3" s="39" t="s">
        <v>169</v>
      </c>
      <c r="B3" s="63">
        <v>0</v>
      </c>
      <c r="C3" s="63">
        <v>0.95</v>
      </c>
      <c r="D3" s="64">
        <v>1</v>
      </c>
      <c r="E3" s="64" t="s">
        <v>201</v>
      </c>
      <c r="F3" s="63">
        <v>1</v>
      </c>
      <c r="G3" s="63">
        <v>1</v>
      </c>
    </row>
    <row r="4" spans="1:7" ht="15.75" customHeight="1" x14ac:dyDescent="0.25">
      <c r="A4" s="39" t="s">
        <v>170</v>
      </c>
      <c r="B4" s="63">
        <v>0</v>
      </c>
      <c r="C4" s="63">
        <v>0.95</v>
      </c>
      <c r="D4" s="64">
        <v>90</v>
      </c>
      <c r="E4" s="64" t="s">
        <v>201</v>
      </c>
      <c r="F4" s="63">
        <v>1</v>
      </c>
      <c r="G4" s="63">
        <v>1</v>
      </c>
    </row>
    <row r="5" spans="1:7" ht="15.75" customHeight="1" x14ac:dyDescent="0.25">
      <c r="A5" s="39" t="s">
        <v>171</v>
      </c>
      <c r="B5" s="63">
        <v>0</v>
      </c>
      <c r="C5" s="63">
        <v>0.95</v>
      </c>
      <c r="D5" s="64">
        <v>1</v>
      </c>
      <c r="E5" s="64" t="s">
        <v>201</v>
      </c>
      <c r="F5" s="63">
        <v>1</v>
      </c>
      <c r="G5" s="63">
        <v>1</v>
      </c>
    </row>
    <row r="6" spans="1:7" ht="15.75" customHeight="1" x14ac:dyDescent="0.25">
      <c r="A6" s="39" t="s">
        <v>172</v>
      </c>
      <c r="B6" s="63">
        <v>0</v>
      </c>
      <c r="C6" s="63">
        <v>0.95</v>
      </c>
      <c r="D6" s="64">
        <v>0.82</v>
      </c>
      <c r="E6" s="64" t="s">
        <v>201</v>
      </c>
      <c r="F6" s="63">
        <v>1</v>
      </c>
      <c r="G6" s="63">
        <v>1</v>
      </c>
    </row>
    <row r="7" spans="1:7" ht="15.75" customHeight="1" x14ac:dyDescent="0.25">
      <c r="A7" s="39" t="s">
        <v>173</v>
      </c>
      <c r="B7" s="63">
        <v>0.36</v>
      </c>
      <c r="C7" s="63">
        <v>0.95</v>
      </c>
      <c r="D7" s="64">
        <v>0.25</v>
      </c>
      <c r="E7" s="64" t="s">
        <v>201</v>
      </c>
      <c r="F7" s="63">
        <v>1</v>
      </c>
      <c r="G7" s="63">
        <v>1</v>
      </c>
    </row>
    <row r="8" spans="1:7" ht="15.75" customHeight="1" x14ac:dyDescent="0.25">
      <c r="A8" s="39" t="s">
        <v>174</v>
      </c>
      <c r="B8" s="63">
        <v>0</v>
      </c>
      <c r="C8" s="63">
        <v>0.95</v>
      </c>
      <c r="D8" s="64">
        <v>0.75</v>
      </c>
      <c r="E8" s="64" t="s">
        <v>201</v>
      </c>
      <c r="F8" s="63">
        <v>1</v>
      </c>
      <c r="G8" s="63">
        <v>1</v>
      </c>
    </row>
    <row r="9" spans="1:7" ht="15.75" customHeight="1" x14ac:dyDescent="0.25">
      <c r="A9" s="39" t="s">
        <v>175</v>
      </c>
      <c r="B9" s="63">
        <v>0</v>
      </c>
      <c r="C9" s="63">
        <v>0.95</v>
      </c>
      <c r="D9" s="64">
        <v>0.19</v>
      </c>
      <c r="E9" s="64" t="s">
        <v>201</v>
      </c>
      <c r="F9" s="63">
        <v>1</v>
      </c>
      <c r="G9" s="63">
        <v>1</v>
      </c>
    </row>
    <row r="10" spans="1:7" ht="15.75" customHeight="1" x14ac:dyDescent="0.25">
      <c r="A10" s="45" t="s">
        <v>176</v>
      </c>
      <c r="B10" s="63">
        <v>0</v>
      </c>
      <c r="C10" s="63">
        <v>0.95</v>
      </c>
      <c r="D10" s="64">
        <v>0.73</v>
      </c>
      <c r="E10" s="64" t="s">
        <v>201</v>
      </c>
      <c r="F10" s="63">
        <v>1</v>
      </c>
      <c r="G10" s="63">
        <v>1</v>
      </c>
    </row>
    <row r="11" spans="1:7" ht="15.75" customHeight="1" x14ac:dyDescent="0.25">
      <c r="A11" s="45" t="s">
        <v>177</v>
      </c>
      <c r="B11" s="63">
        <v>0</v>
      </c>
      <c r="C11" s="63">
        <v>0.95</v>
      </c>
      <c r="D11" s="64">
        <v>1.78</v>
      </c>
      <c r="E11" s="64" t="s">
        <v>201</v>
      </c>
      <c r="F11" s="63">
        <v>1</v>
      </c>
      <c r="G11" s="63">
        <v>1</v>
      </c>
    </row>
    <row r="12" spans="1:7" ht="15.75" customHeight="1" x14ac:dyDescent="0.25">
      <c r="A12" s="45" t="s">
        <v>178</v>
      </c>
      <c r="B12" s="63">
        <v>0</v>
      </c>
      <c r="C12" s="63">
        <v>0.95</v>
      </c>
      <c r="D12" s="64">
        <v>0.24</v>
      </c>
      <c r="E12" s="64" t="s">
        <v>201</v>
      </c>
      <c r="F12" s="63">
        <v>1</v>
      </c>
      <c r="G12" s="63">
        <v>1</v>
      </c>
    </row>
    <row r="13" spans="1:7" ht="15.75" customHeight="1" x14ac:dyDescent="0.25">
      <c r="A13" s="45" t="s">
        <v>179</v>
      </c>
      <c r="B13" s="63">
        <v>0</v>
      </c>
      <c r="C13" s="63">
        <v>0.95</v>
      </c>
      <c r="D13" s="64">
        <v>0.55000000000000004</v>
      </c>
      <c r="E13" s="64" t="s">
        <v>201</v>
      </c>
      <c r="F13" s="63">
        <v>1</v>
      </c>
      <c r="G13" s="63">
        <v>1</v>
      </c>
    </row>
    <row r="14" spans="1:7" ht="15.75" customHeight="1" x14ac:dyDescent="0.25">
      <c r="A14" s="5" t="s">
        <v>180</v>
      </c>
      <c r="B14" s="63">
        <v>0</v>
      </c>
      <c r="C14" s="63">
        <v>0.95</v>
      </c>
      <c r="D14" s="64">
        <v>0.73</v>
      </c>
      <c r="E14" s="64" t="s">
        <v>201</v>
      </c>
      <c r="F14" s="63">
        <v>1</v>
      </c>
      <c r="G14" s="63">
        <v>1</v>
      </c>
    </row>
    <row r="15" spans="1:7" ht="15.75" customHeight="1" x14ac:dyDescent="0.25">
      <c r="A15" s="5" t="s">
        <v>181</v>
      </c>
      <c r="B15" s="63">
        <v>0</v>
      </c>
      <c r="C15" s="63">
        <v>0.95</v>
      </c>
      <c r="D15" s="64">
        <v>1.78</v>
      </c>
      <c r="E15" s="64" t="s">
        <v>201</v>
      </c>
      <c r="F15" s="63">
        <v>1</v>
      </c>
      <c r="G15" s="63">
        <v>1</v>
      </c>
    </row>
    <row r="16" spans="1:7" ht="15.75" customHeight="1" x14ac:dyDescent="0.25">
      <c r="A16" s="39" t="s">
        <v>182</v>
      </c>
      <c r="B16" s="63">
        <v>0.9</v>
      </c>
      <c r="C16" s="63">
        <v>0.95</v>
      </c>
      <c r="D16" s="64">
        <v>2.06</v>
      </c>
      <c r="E16" s="64" t="s">
        <v>201</v>
      </c>
      <c r="F16" s="63">
        <v>1</v>
      </c>
      <c r="G16" s="63">
        <v>1</v>
      </c>
    </row>
    <row r="17" spans="1:7" ht="15.75" customHeight="1" x14ac:dyDescent="0.25">
      <c r="A17" s="39" t="s">
        <v>183</v>
      </c>
      <c r="B17" s="63">
        <v>0.80800000000000005</v>
      </c>
      <c r="C17" s="63">
        <v>0.95</v>
      </c>
      <c r="D17" s="64">
        <v>0.05</v>
      </c>
      <c r="E17" s="64" t="s">
        <v>201</v>
      </c>
      <c r="F17" s="63">
        <v>1</v>
      </c>
      <c r="G17" s="63">
        <v>1</v>
      </c>
    </row>
    <row r="18" spans="1:7" ht="16" customHeight="1" x14ac:dyDescent="0.25">
      <c r="A18" s="39" t="s">
        <v>157</v>
      </c>
      <c r="B18" s="63">
        <v>0</v>
      </c>
      <c r="C18" s="63">
        <v>0.95</v>
      </c>
      <c r="D18" s="64">
        <v>5</v>
      </c>
      <c r="E18" s="64" t="s">
        <v>201</v>
      </c>
      <c r="F18" s="63">
        <v>1</v>
      </c>
      <c r="G18" s="63">
        <v>1</v>
      </c>
    </row>
    <row r="19" spans="1:7" ht="15.75" customHeight="1" x14ac:dyDescent="0.25">
      <c r="A19" s="39" t="s">
        <v>158</v>
      </c>
      <c r="B19" s="63">
        <v>0</v>
      </c>
      <c r="C19" s="63">
        <v>0.95</v>
      </c>
      <c r="D19" s="64">
        <v>5</v>
      </c>
      <c r="E19" s="64" t="s">
        <v>201</v>
      </c>
      <c r="F19" s="63">
        <v>1</v>
      </c>
      <c r="G19" s="63">
        <v>1</v>
      </c>
    </row>
    <row r="20" spans="1:7" ht="15.75" customHeight="1" x14ac:dyDescent="0.25">
      <c r="A20" s="39" t="s">
        <v>159</v>
      </c>
      <c r="B20" s="63">
        <v>0</v>
      </c>
      <c r="C20" s="63">
        <v>0.95</v>
      </c>
      <c r="D20" s="64">
        <v>5</v>
      </c>
      <c r="E20" s="64" t="s">
        <v>201</v>
      </c>
      <c r="F20" s="63">
        <v>1</v>
      </c>
      <c r="G20" s="63">
        <v>1</v>
      </c>
    </row>
    <row r="21" spans="1:7" ht="15.75" customHeight="1" x14ac:dyDescent="0.25">
      <c r="A21" s="39" t="s">
        <v>184</v>
      </c>
      <c r="B21" s="63">
        <v>0</v>
      </c>
      <c r="C21" s="63">
        <v>0.95</v>
      </c>
      <c r="D21" s="64">
        <v>8.84</v>
      </c>
      <c r="E21" s="64" t="s">
        <v>201</v>
      </c>
      <c r="F21" s="63">
        <v>1</v>
      </c>
      <c r="G21" s="63">
        <v>1</v>
      </c>
    </row>
    <row r="22" spans="1:7" ht="15.75" customHeight="1" x14ac:dyDescent="0.25">
      <c r="A22" s="39" t="s">
        <v>185</v>
      </c>
      <c r="B22" s="63">
        <v>0</v>
      </c>
      <c r="C22" s="63">
        <v>0.95</v>
      </c>
      <c r="D22" s="64">
        <v>50</v>
      </c>
      <c r="E22" s="64" t="s">
        <v>201</v>
      </c>
      <c r="F22" s="63">
        <v>1</v>
      </c>
      <c r="G22" s="63">
        <v>1</v>
      </c>
    </row>
    <row r="23" spans="1:7" ht="15.75" customHeight="1" x14ac:dyDescent="0.25">
      <c r="A23" s="39" t="s">
        <v>186</v>
      </c>
      <c r="B23" s="63">
        <v>0.50800000000000001</v>
      </c>
      <c r="C23" s="63">
        <v>0.95</v>
      </c>
      <c r="D23" s="64">
        <v>2.61</v>
      </c>
      <c r="E23" s="64" t="s">
        <v>201</v>
      </c>
      <c r="F23" s="63">
        <v>1</v>
      </c>
      <c r="G23" s="63">
        <v>1</v>
      </c>
    </row>
    <row r="24" spans="1:7" ht="15.75" customHeight="1" x14ac:dyDescent="0.25">
      <c r="A24" s="39" t="s">
        <v>187</v>
      </c>
      <c r="B24" s="63">
        <v>0</v>
      </c>
      <c r="C24" s="63">
        <v>0.95</v>
      </c>
      <c r="D24" s="64">
        <v>1</v>
      </c>
      <c r="E24" s="64" t="s">
        <v>201</v>
      </c>
      <c r="F24" s="63">
        <v>1</v>
      </c>
      <c r="G24" s="63">
        <v>1</v>
      </c>
    </row>
    <row r="25" spans="1:7" ht="15.75" customHeight="1" x14ac:dyDescent="0.25">
      <c r="A25" s="39" t="s">
        <v>188</v>
      </c>
      <c r="B25" s="63">
        <v>0</v>
      </c>
      <c r="C25" s="63">
        <v>0.95</v>
      </c>
      <c r="D25" s="64">
        <v>1</v>
      </c>
      <c r="E25" s="64" t="s">
        <v>201</v>
      </c>
      <c r="F25" s="63">
        <v>1</v>
      </c>
      <c r="G25" s="63">
        <v>1</v>
      </c>
    </row>
    <row r="26" spans="1:7" ht="15.75" customHeight="1" x14ac:dyDescent="0.25">
      <c r="A26" s="39" t="s">
        <v>189</v>
      </c>
      <c r="B26" s="63">
        <v>0.1</v>
      </c>
      <c r="C26" s="63">
        <v>0.95</v>
      </c>
      <c r="D26" s="64">
        <v>4.6500000000000004</v>
      </c>
      <c r="E26" s="64" t="s">
        <v>201</v>
      </c>
      <c r="F26" s="63">
        <v>1</v>
      </c>
      <c r="G26" s="63">
        <v>1</v>
      </c>
    </row>
    <row r="27" spans="1:7" ht="15.75" customHeight="1" x14ac:dyDescent="0.25">
      <c r="A27" s="39" t="s">
        <v>190</v>
      </c>
      <c r="B27" s="63">
        <v>0.3538</v>
      </c>
      <c r="C27" s="63">
        <v>0.95</v>
      </c>
      <c r="D27" s="64">
        <v>3.78</v>
      </c>
      <c r="E27" s="64" t="s">
        <v>201</v>
      </c>
      <c r="F27" s="63">
        <v>1</v>
      </c>
      <c r="G27" s="63">
        <v>1</v>
      </c>
    </row>
    <row r="28" spans="1:7" ht="15.75" customHeight="1" x14ac:dyDescent="0.25">
      <c r="A28" s="39" t="s">
        <v>191</v>
      </c>
      <c r="B28" s="63">
        <v>0</v>
      </c>
      <c r="C28" s="63">
        <v>0.95</v>
      </c>
      <c r="D28" s="64">
        <v>1</v>
      </c>
      <c r="E28" s="64" t="s">
        <v>201</v>
      </c>
      <c r="F28" s="63">
        <v>1</v>
      </c>
      <c r="G28" s="63">
        <v>1</v>
      </c>
    </row>
    <row r="29" spans="1:7" ht="15.75" customHeight="1" x14ac:dyDescent="0.25">
      <c r="A29" s="39" t="s">
        <v>192</v>
      </c>
      <c r="B29" s="63">
        <v>0</v>
      </c>
      <c r="C29" s="63">
        <v>0.95</v>
      </c>
      <c r="D29" s="64">
        <v>48</v>
      </c>
      <c r="E29" s="64" t="s">
        <v>201</v>
      </c>
      <c r="F29" s="63">
        <v>1</v>
      </c>
      <c r="G29" s="63">
        <v>1</v>
      </c>
    </row>
    <row r="30" spans="1:7" ht="15.75" customHeight="1" x14ac:dyDescent="0.25">
      <c r="A30" s="39" t="s">
        <v>205</v>
      </c>
      <c r="B30" s="63">
        <v>0</v>
      </c>
      <c r="C30" s="63">
        <v>0.95</v>
      </c>
      <c r="D30" s="64">
        <v>64</v>
      </c>
      <c r="E30" s="64" t="s">
        <v>201</v>
      </c>
      <c r="F30" s="63">
        <v>1</v>
      </c>
      <c r="G30" s="63">
        <v>1</v>
      </c>
    </row>
    <row r="31" spans="1:7" ht="15.75" customHeight="1" x14ac:dyDescent="0.25">
      <c r="A31" s="39" t="s">
        <v>161</v>
      </c>
      <c r="B31" s="63">
        <v>0</v>
      </c>
      <c r="C31" s="63">
        <v>0.95</v>
      </c>
      <c r="D31" s="64">
        <v>65</v>
      </c>
      <c r="E31" s="64" t="s">
        <v>201</v>
      </c>
      <c r="F31" s="63">
        <v>1</v>
      </c>
      <c r="G31" s="63">
        <v>1</v>
      </c>
    </row>
    <row r="32" spans="1:7" ht="15.75" customHeight="1" x14ac:dyDescent="0.25">
      <c r="A32" s="39" t="s">
        <v>193</v>
      </c>
      <c r="B32" s="63">
        <v>0.89970000000000006</v>
      </c>
      <c r="C32" s="63">
        <v>0.95</v>
      </c>
      <c r="D32" s="64">
        <v>0.41</v>
      </c>
      <c r="E32" s="64" t="s">
        <v>201</v>
      </c>
      <c r="F32" s="63">
        <v>1</v>
      </c>
      <c r="G32" s="63">
        <v>1</v>
      </c>
    </row>
    <row r="33" spans="1:7" ht="15.75" customHeight="1" x14ac:dyDescent="0.25">
      <c r="A33" s="39" t="s">
        <v>194</v>
      </c>
      <c r="B33" s="63">
        <v>0.80700000000000005</v>
      </c>
      <c r="C33" s="63">
        <v>0.95</v>
      </c>
      <c r="D33" s="64">
        <v>0.9</v>
      </c>
      <c r="E33" s="64" t="s">
        <v>201</v>
      </c>
      <c r="F33" s="63">
        <v>1</v>
      </c>
      <c r="G33" s="63">
        <v>1</v>
      </c>
    </row>
    <row r="34" spans="1:7" ht="15.75" customHeight="1" x14ac:dyDescent="0.25">
      <c r="A34" s="39" t="s">
        <v>195</v>
      </c>
      <c r="B34" s="63">
        <v>0.73199999999999998</v>
      </c>
      <c r="C34" s="63">
        <v>0.95</v>
      </c>
      <c r="D34" s="64">
        <v>0.9</v>
      </c>
      <c r="E34" s="64" t="s">
        <v>201</v>
      </c>
      <c r="F34" s="63">
        <v>1</v>
      </c>
      <c r="G34" s="63">
        <v>1</v>
      </c>
    </row>
    <row r="35" spans="1:7" ht="15.75" customHeight="1" x14ac:dyDescent="0.25">
      <c r="A35" s="39" t="s">
        <v>196</v>
      </c>
      <c r="B35" s="63">
        <v>0.316</v>
      </c>
      <c r="C35" s="63">
        <v>0.95</v>
      </c>
      <c r="D35" s="64">
        <v>79</v>
      </c>
      <c r="E35" s="64" t="s">
        <v>201</v>
      </c>
      <c r="F35" s="63">
        <v>1</v>
      </c>
      <c r="G35" s="63">
        <v>1</v>
      </c>
    </row>
    <row r="36" spans="1:7" ht="15.75" customHeight="1" x14ac:dyDescent="0.25">
      <c r="A36" s="39" t="s">
        <v>197</v>
      </c>
      <c r="B36" s="63">
        <v>0.59699999999999998</v>
      </c>
      <c r="C36" s="63">
        <v>0.95</v>
      </c>
      <c r="D36" s="64">
        <v>31</v>
      </c>
      <c r="E36" s="64" t="s">
        <v>201</v>
      </c>
      <c r="F36" s="63">
        <v>1</v>
      </c>
      <c r="G36" s="63">
        <v>1</v>
      </c>
    </row>
    <row r="37" spans="1:7" ht="15.75" customHeight="1" x14ac:dyDescent="0.25">
      <c r="A37" s="39" t="s">
        <v>198</v>
      </c>
      <c r="B37" s="63">
        <v>0.19900000000000001</v>
      </c>
      <c r="C37" s="63">
        <v>0.95</v>
      </c>
      <c r="D37" s="64">
        <v>102</v>
      </c>
      <c r="E37" s="64" t="s">
        <v>201</v>
      </c>
      <c r="F37" s="63">
        <v>1</v>
      </c>
      <c r="G37" s="63">
        <v>1</v>
      </c>
    </row>
    <row r="38" spans="1:7" ht="15.75" customHeight="1" x14ac:dyDescent="0.25">
      <c r="A38" s="39" t="s">
        <v>199</v>
      </c>
      <c r="B38" s="63">
        <v>0.13400000000000001</v>
      </c>
      <c r="C38" s="63">
        <v>0.95</v>
      </c>
      <c r="D38" s="64">
        <v>5.53</v>
      </c>
      <c r="E38" s="64" t="s">
        <v>201</v>
      </c>
      <c r="F38" s="63">
        <v>1</v>
      </c>
      <c r="G38" s="63">
        <v>1</v>
      </c>
    </row>
    <row r="39" spans="1:7" ht="15.75" customHeight="1" x14ac:dyDescent="0.25">
      <c r="A39" s="39" t="s">
        <v>200</v>
      </c>
      <c r="B39" s="63">
        <v>0</v>
      </c>
      <c r="C39" s="63">
        <v>0.95</v>
      </c>
      <c r="D39" s="64">
        <v>1</v>
      </c>
      <c r="E39" s="64" t="s">
        <v>201</v>
      </c>
      <c r="F39" s="63">
        <v>1</v>
      </c>
      <c r="G39" s="63">
        <v>1</v>
      </c>
    </row>
  </sheetData>
  <sheetProtection algorithmName="SHA-512" hashValue="OMNUpxiVDgRENueG3muauzKt1zT7prN2dHSph+VfeddWCSodW03F23IlWz5qh/b0jTd12bTsy8+HPg8vRqMBUw==" saltValue="OkIdfZrlpchfER5szisu6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'Options de la courbe de coût'!$A$1:$A$4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160</v>
      </c>
      <c r="B1" s="29" t="s">
        <v>206</v>
      </c>
      <c r="C1" s="29" t="s">
        <v>207</v>
      </c>
    </row>
    <row r="2" spans="1:3" x14ac:dyDescent="0.25">
      <c r="A2" s="65" t="s">
        <v>180</v>
      </c>
      <c r="B2" s="62" t="s">
        <v>190</v>
      </c>
      <c r="C2" s="62"/>
    </row>
    <row r="3" spans="1:3" x14ac:dyDescent="0.25">
      <c r="A3" s="65" t="s">
        <v>181</v>
      </c>
      <c r="B3" s="62" t="s">
        <v>190</v>
      </c>
      <c r="C3" s="62"/>
    </row>
    <row r="4" spans="1:3" x14ac:dyDescent="0.25">
      <c r="A4" s="66" t="s">
        <v>192</v>
      </c>
      <c r="B4" s="62" t="s">
        <v>185</v>
      </c>
      <c r="C4" s="62"/>
    </row>
    <row r="5" spans="1:3" x14ac:dyDescent="0.25">
      <c r="A5" s="66" t="s">
        <v>189</v>
      </c>
      <c r="B5" s="62" t="s">
        <v>185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ltT6nNI4x1u/bsttUxpFhGYAQ9Jgn/mUKNY98hFR6kRHFCDqbNfEZSeZmiMr0VviUjj/ekIb7aCoyi3UGiy94g==" saltValue="uXYwCvdODPNB+l6dXrrBe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160</v>
      </c>
    </row>
    <row r="2" spans="1:1" x14ac:dyDescent="0.25">
      <c r="A2" s="35" t="s">
        <v>172</v>
      </c>
    </row>
    <row r="3" spans="1:1" x14ac:dyDescent="0.25">
      <c r="A3" s="35" t="s">
        <v>182</v>
      </c>
    </row>
    <row r="4" spans="1:1" x14ac:dyDescent="0.25">
      <c r="A4" s="35" t="s">
        <v>186</v>
      </c>
    </row>
    <row r="5" spans="1:1" x14ac:dyDescent="0.25">
      <c r="A5" s="35" t="s">
        <v>194</v>
      </c>
    </row>
    <row r="6" spans="1:1" x14ac:dyDescent="0.25">
      <c r="A6" s="35" t="s">
        <v>195</v>
      </c>
    </row>
    <row r="7" spans="1:1" x14ac:dyDescent="0.25">
      <c r="A7" s="35" t="s">
        <v>196</v>
      </c>
    </row>
    <row r="8" spans="1:1" x14ac:dyDescent="0.25">
      <c r="A8" s="35" t="s">
        <v>197</v>
      </c>
    </row>
    <row r="9" spans="1:1" x14ac:dyDescent="0.25">
      <c r="A9" s="35" t="s">
        <v>198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6t+qvCHBSuQC5vgaMxMhNpa+oIIlnDmxxxPwJc7WVOr9R0E1xbOjyO7yesAr/zLoxVK6ucMqP7zVN45HfAWhFQ==" saltValue="KOmSIJXe0dSz3/X4Y5LoU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0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1.66</v>
      </c>
      <c r="C2" s="21">
        <f>'Données pop de l''année de ref'!C52</f>
        <v>1.66</v>
      </c>
      <c r="D2" s="21">
        <f>'Données pop de l''année de ref'!C53</f>
        <v>5.64</v>
      </c>
      <c r="E2" s="21">
        <f>'Données pop de l''année de ref'!C54</f>
        <v>5.43</v>
      </c>
      <c r="F2" s="21">
        <f>'Données pop de l''année de ref'!C55</f>
        <v>1.91</v>
      </c>
    </row>
    <row r="3" spans="1:6" ht="15.75" customHeight="1" x14ac:dyDescent="0.25">
      <c r="A3" s="3" t="s">
        <v>209</v>
      </c>
      <c r="B3" s="21">
        <f>frac_mam_1month * 2.6</f>
        <v>0.19239999999999999</v>
      </c>
      <c r="C3" s="21">
        <f>frac_mam_1_5months * 2.6</f>
        <v>0.19239999999999999</v>
      </c>
      <c r="D3" s="21">
        <f>frac_mam_6_11months * 2.6</f>
        <v>0.19245866666666667</v>
      </c>
      <c r="E3" s="21">
        <f>frac_mam_12_23months * 2.6</f>
        <v>0.16262404115996246</v>
      </c>
      <c r="F3" s="21">
        <f>frac_mam_24_59months * 2.6</f>
        <v>0.1100597176224507</v>
      </c>
    </row>
    <row r="4" spans="1:6" ht="15.75" customHeight="1" x14ac:dyDescent="0.25">
      <c r="A4" s="3" t="s">
        <v>208</v>
      </c>
      <c r="B4" s="21">
        <f>frac_sam_1month * 2.6</f>
        <v>0.156</v>
      </c>
      <c r="C4" s="21">
        <f>frac_sam_1_5months * 2.6</f>
        <v>0.156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RQCvyX7XO1n7cMomqyN6sNL30cKCvR9U+2U5lXO0/GTC4rMtwSwRtcaHMJ32FL9nXkq4idqgmN/IgkJ4klwyEQ==" saltValue="XuUM4Ca0m538mzmlfHVvL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171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184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185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189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191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192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205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161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193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199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200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169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180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181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182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187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188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190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45" t="s">
        <v>172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176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177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178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179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174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175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183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186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194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195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196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197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198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GnJP/K8OqgG56S+1rKgitBIAi+ks5slQCynz945CNQeGZaSt8/gILM9sFnmGsiksQht6qGVD9vowo7vM8mcK5g==" saltValue="sW/6vvFZoIizrOAJ1oB60Q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gjxIHn8JBU0DczL4OXFvP4sEHf+gIAUgntHNtjGKUB7umDHZ74pE4k8Ufa7usLTpYw+o7Rs41Of6hklRnxLFzg==" saltValue="ThwtLdnFUhNTLYcnjArw2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216</v>
      </c>
      <c r="B1" s="29" t="s">
        <v>215</v>
      </c>
      <c r="C1" s="29" t="s">
        <v>4</v>
      </c>
      <c r="D1" s="29" t="s">
        <v>144</v>
      </c>
      <c r="E1" s="29" t="s">
        <v>225</v>
      </c>
    </row>
    <row r="2" spans="1:5" ht="14" x14ac:dyDescent="0.3">
      <c r="A2" s="28" t="s">
        <v>217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218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219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220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3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221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222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223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224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wJ0+w6yy2UXINOFbPRxR+4rS78xdBqUfpqrO1aNrlPeBqJBsXlE+N4nxUpI4lJEGqi8XfJD0lQiIg7r95m9szQ==" saltValue="vwxivllHMoQ/ys61lqqld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211</v>
      </c>
      <c r="B1" s="71" t="s">
        <v>160</v>
      </c>
      <c r="C1" s="43" t="s">
        <v>109</v>
      </c>
      <c r="D1" s="43" t="s">
        <v>96</v>
      </c>
      <c r="E1" s="43" t="s">
        <v>97</v>
      </c>
      <c r="F1" s="43" t="s">
        <v>98</v>
      </c>
      <c r="G1" s="43" t="s">
        <v>99</v>
      </c>
      <c r="H1" s="43" t="s">
        <v>122</v>
      </c>
      <c r="I1" s="43" t="s">
        <v>123</v>
      </c>
      <c r="J1" s="43" t="s">
        <v>124</v>
      </c>
      <c r="K1" s="43" t="s">
        <v>125</v>
      </c>
      <c r="L1" s="43" t="s">
        <v>69</v>
      </c>
      <c r="M1" s="43" t="s">
        <v>70</v>
      </c>
      <c r="N1" s="43" t="s">
        <v>71</v>
      </c>
      <c r="O1" s="43" t="s">
        <v>72</v>
      </c>
    </row>
    <row r="2" spans="1:15" ht="15.75" customHeight="1" x14ac:dyDescent="0.35">
      <c r="A2" s="43" t="s">
        <v>86</v>
      </c>
      <c r="B2" s="39" t="s">
        <v>170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171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157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158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159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184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185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189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191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192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205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161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193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199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200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100</v>
      </c>
      <c r="B18" s="39" t="s">
        <v>168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169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180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181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182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187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188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190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75</v>
      </c>
      <c r="B27" s="39" t="s">
        <v>172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176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177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178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179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210</v>
      </c>
      <c r="B33" s="39" t="s">
        <v>173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174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175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183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186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194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195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196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197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198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CxEzCRBBwIQ4J5dfypdVULNrROVY0ujtOdOLmO57XFSHypjiBPnaVvWG+7oxHOVU6b39OG2ioFHVFUvK7gIQMA==" saltValue="KE4IqVM7Hdgr1TldUaQBn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160</v>
      </c>
      <c r="B1" s="27" t="s">
        <v>226</v>
      </c>
      <c r="C1" s="27" t="s">
        <v>121</v>
      </c>
      <c r="D1" s="27" t="s">
        <v>227</v>
      </c>
      <c r="E1" s="27" t="s">
        <v>228</v>
      </c>
      <c r="F1" s="27" t="s">
        <v>128</v>
      </c>
      <c r="G1" s="27" t="s">
        <v>87</v>
      </c>
      <c r="H1" s="27" t="s">
        <v>43</v>
      </c>
      <c r="I1" s="27" t="s">
        <v>229</v>
      </c>
      <c r="J1" s="27" t="s">
        <v>36</v>
      </c>
      <c r="K1" s="27" t="s">
        <v>68</v>
      </c>
    </row>
    <row r="2" spans="1:11" x14ac:dyDescent="0.25">
      <c r="A2" s="39" t="s">
        <v>168</v>
      </c>
      <c r="B2" s="101"/>
      <c r="C2" s="101"/>
      <c r="D2" s="101"/>
      <c r="E2" s="101"/>
      <c r="F2" s="101"/>
      <c r="G2" s="101"/>
      <c r="H2" s="101"/>
      <c r="I2" s="101" t="s">
        <v>7</v>
      </c>
      <c r="J2" s="101"/>
      <c r="K2" s="101"/>
    </row>
    <row r="3" spans="1:11" x14ac:dyDescent="0.25">
      <c r="A3" s="39" t="s">
        <v>169</v>
      </c>
      <c r="B3" s="101"/>
      <c r="C3" s="101"/>
      <c r="D3" s="101"/>
      <c r="E3" s="101"/>
      <c r="F3" s="101"/>
      <c r="G3" s="101"/>
      <c r="H3" s="101" t="s">
        <v>7</v>
      </c>
      <c r="I3" s="101"/>
      <c r="J3" s="101"/>
      <c r="K3" s="101"/>
    </row>
    <row r="4" spans="1:11" x14ac:dyDescent="0.25">
      <c r="A4" s="39" t="s">
        <v>170</v>
      </c>
      <c r="B4" s="101"/>
      <c r="C4" s="101"/>
      <c r="D4" s="101" t="s">
        <v>7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171</v>
      </c>
      <c r="B5" s="101"/>
      <c r="C5" s="101" t="s">
        <v>7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172</v>
      </c>
      <c r="B6" s="101"/>
      <c r="C6" s="101"/>
      <c r="D6" s="101"/>
      <c r="E6" s="101"/>
      <c r="F6" s="101"/>
      <c r="G6" s="101"/>
      <c r="H6" s="101"/>
      <c r="I6" s="101"/>
      <c r="J6" s="101" t="s">
        <v>7</v>
      </c>
      <c r="K6" s="101" t="s">
        <v>7</v>
      </c>
    </row>
    <row r="7" spans="1:11" x14ac:dyDescent="0.25">
      <c r="A7" s="39" t="s">
        <v>173</v>
      </c>
      <c r="B7" s="101"/>
      <c r="C7" s="101" t="s">
        <v>7</v>
      </c>
      <c r="D7" s="101"/>
      <c r="E7" s="101"/>
      <c r="F7" s="101"/>
      <c r="G7" s="101"/>
      <c r="H7" s="101" t="s">
        <v>7</v>
      </c>
      <c r="I7" s="101"/>
      <c r="J7" s="101"/>
      <c r="K7" s="101"/>
    </row>
    <row r="8" spans="1:11" x14ac:dyDescent="0.25">
      <c r="A8" s="39" t="s">
        <v>174</v>
      </c>
      <c r="B8" s="101"/>
      <c r="C8" s="101" t="s">
        <v>7</v>
      </c>
      <c r="D8" s="101"/>
      <c r="E8" s="101"/>
      <c r="F8" s="101"/>
      <c r="G8" s="101"/>
      <c r="H8" s="101" t="s">
        <v>7</v>
      </c>
      <c r="I8" s="101"/>
      <c r="J8" s="101"/>
      <c r="K8" s="101"/>
    </row>
    <row r="9" spans="1:11" x14ac:dyDescent="0.25">
      <c r="A9" s="39" t="s">
        <v>175</v>
      </c>
      <c r="B9" s="101"/>
      <c r="C9" s="101" t="s">
        <v>7</v>
      </c>
      <c r="D9" s="101"/>
      <c r="E9" s="101"/>
      <c r="F9" s="101"/>
      <c r="G9" s="101"/>
      <c r="H9" s="101" t="s">
        <v>7</v>
      </c>
      <c r="I9" s="101"/>
      <c r="J9" s="101"/>
      <c r="K9" s="101"/>
    </row>
    <row r="10" spans="1:11" x14ac:dyDescent="0.25">
      <c r="A10" s="45" t="s">
        <v>176</v>
      </c>
      <c r="B10" s="101"/>
      <c r="C10" s="101" t="s">
        <v>7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177</v>
      </c>
      <c r="B11" s="101"/>
      <c r="C11" s="101" t="s">
        <v>7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178</v>
      </c>
      <c r="B12" s="101"/>
      <c r="C12" s="101" t="s">
        <v>7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179</v>
      </c>
      <c r="B13" s="101"/>
      <c r="C13" s="101" t="s">
        <v>7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180</v>
      </c>
      <c r="B14" s="101"/>
      <c r="C14" s="101" t="s">
        <v>7</v>
      </c>
      <c r="D14" s="101"/>
      <c r="E14" s="101"/>
      <c r="F14" s="101"/>
      <c r="G14" s="101"/>
      <c r="H14" s="101"/>
      <c r="I14" s="101" t="s">
        <v>7</v>
      </c>
      <c r="J14" s="101"/>
      <c r="K14" s="101"/>
    </row>
    <row r="15" spans="1:11" x14ac:dyDescent="0.25">
      <c r="A15" s="72" t="s">
        <v>181</v>
      </c>
      <c r="B15" s="101"/>
      <c r="C15" s="101" t="s">
        <v>7</v>
      </c>
      <c r="D15" s="101"/>
      <c r="E15" s="101"/>
      <c r="F15" s="101"/>
      <c r="G15" s="101"/>
      <c r="H15" s="101"/>
      <c r="I15" s="101" t="s">
        <v>7</v>
      </c>
      <c r="J15" s="101"/>
      <c r="K15" s="101"/>
    </row>
    <row r="16" spans="1:11" x14ac:dyDescent="0.25">
      <c r="A16" s="39" t="s">
        <v>182</v>
      </c>
      <c r="B16" s="101"/>
      <c r="C16" s="101" t="s">
        <v>7</v>
      </c>
      <c r="D16" s="101"/>
      <c r="E16" s="101"/>
      <c r="F16" s="101"/>
      <c r="G16" s="101"/>
      <c r="H16" s="101" t="s">
        <v>7</v>
      </c>
      <c r="I16" s="101" t="s">
        <v>7</v>
      </c>
      <c r="J16" s="101"/>
      <c r="K16" s="101"/>
    </row>
    <row r="17" spans="1:11" x14ac:dyDescent="0.25">
      <c r="A17" s="39" t="s">
        <v>183</v>
      </c>
      <c r="B17" s="101"/>
      <c r="C17" s="101" t="s">
        <v>7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157</v>
      </c>
      <c r="B18" s="101" t="s">
        <v>7</v>
      </c>
      <c r="C18" s="101"/>
      <c r="D18" s="101"/>
      <c r="E18" s="101"/>
      <c r="F18" s="101" t="s">
        <v>7</v>
      </c>
      <c r="G18" s="101"/>
      <c r="H18" s="101"/>
      <c r="I18" s="101"/>
      <c r="J18" s="101"/>
      <c r="K18" s="101"/>
    </row>
    <row r="19" spans="1:11" x14ac:dyDescent="0.25">
      <c r="A19" s="39" t="s">
        <v>158</v>
      </c>
      <c r="B19" s="101" t="s">
        <v>7</v>
      </c>
      <c r="C19" s="101"/>
      <c r="D19" s="101"/>
      <c r="E19" s="101"/>
      <c r="F19" s="101" t="s">
        <v>7</v>
      </c>
      <c r="G19" s="101"/>
      <c r="H19" s="101"/>
      <c r="I19" s="101"/>
      <c r="J19" s="101"/>
      <c r="K19" s="101"/>
    </row>
    <row r="20" spans="1:11" x14ac:dyDescent="0.25">
      <c r="A20" s="39" t="s">
        <v>159</v>
      </c>
      <c r="B20" s="101" t="s">
        <v>7</v>
      </c>
      <c r="C20" s="101"/>
      <c r="D20" s="101"/>
      <c r="E20" s="101"/>
      <c r="F20" s="101" t="s">
        <v>7</v>
      </c>
      <c r="G20" s="101"/>
      <c r="H20" s="101"/>
      <c r="I20" s="101"/>
      <c r="J20" s="101"/>
      <c r="K20" s="101"/>
    </row>
    <row r="21" spans="1:11" x14ac:dyDescent="0.25">
      <c r="A21" s="39" t="s">
        <v>184</v>
      </c>
      <c r="B21" s="101"/>
      <c r="C21" s="101"/>
      <c r="D21" s="101"/>
      <c r="E21" s="101"/>
      <c r="F21" s="101"/>
      <c r="G21" s="101"/>
      <c r="H21" s="101" t="s">
        <v>7</v>
      </c>
      <c r="I21" s="101" t="s">
        <v>7</v>
      </c>
      <c r="J21" s="101"/>
      <c r="K21" s="101"/>
    </row>
    <row r="22" spans="1:11" x14ac:dyDescent="0.25">
      <c r="A22" s="39" t="s">
        <v>185</v>
      </c>
      <c r="B22" s="101" t="s">
        <v>7</v>
      </c>
      <c r="C22" s="101" t="s">
        <v>7</v>
      </c>
      <c r="D22" s="101" t="s">
        <v>7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186</v>
      </c>
      <c r="B23" s="101"/>
      <c r="C23" s="101" t="s">
        <v>7</v>
      </c>
      <c r="D23" s="101"/>
      <c r="E23" s="101"/>
      <c r="F23" s="101"/>
      <c r="G23" s="101"/>
      <c r="H23" s="101"/>
      <c r="I23" s="101" t="s">
        <v>7</v>
      </c>
      <c r="J23" s="101"/>
      <c r="K23" s="101"/>
    </row>
    <row r="24" spans="1:11" x14ac:dyDescent="0.25">
      <c r="A24" s="39" t="s">
        <v>187</v>
      </c>
      <c r="B24" s="101"/>
      <c r="C24" s="101"/>
      <c r="D24" s="101"/>
      <c r="E24" s="101"/>
      <c r="F24" s="101"/>
      <c r="G24" s="101"/>
      <c r="H24" s="101" t="s">
        <v>7</v>
      </c>
      <c r="I24" s="101"/>
      <c r="J24" s="101"/>
      <c r="K24" s="101"/>
    </row>
    <row r="25" spans="1:11" x14ac:dyDescent="0.25">
      <c r="A25" s="39" t="s">
        <v>188</v>
      </c>
      <c r="B25" s="101"/>
      <c r="C25" s="101"/>
      <c r="D25" s="101"/>
      <c r="E25" s="101"/>
      <c r="F25" s="101"/>
      <c r="G25" s="101"/>
      <c r="H25" s="101" t="s">
        <v>7</v>
      </c>
      <c r="I25" s="101"/>
      <c r="J25" s="101"/>
      <c r="K25" s="101"/>
    </row>
    <row r="26" spans="1:11" x14ac:dyDescent="0.25">
      <c r="A26" s="39" t="s">
        <v>189</v>
      </c>
      <c r="B26" s="101"/>
      <c r="C26" s="101" t="s">
        <v>7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190</v>
      </c>
      <c r="B27" s="101"/>
      <c r="C27" s="101" t="s">
        <v>7</v>
      </c>
      <c r="D27" s="101"/>
      <c r="E27" s="101"/>
      <c r="F27" s="101"/>
      <c r="G27" s="101"/>
      <c r="H27" s="101"/>
      <c r="I27" s="101" t="s">
        <v>7</v>
      </c>
      <c r="J27" s="101"/>
      <c r="K27" s="101"/>
    </row>
    <row r="28" spans="1:11" x14ac:dyDescent="0.25">
      <c r="A28" s="39" t="s">
        <v>191</v>
      </c>
      <c r="B28" s="101"/>
      <c r="C28" s="101"/>
      <c r="D28" s="101"/>
      <c r="E28" s="101"/>
      <c r="F28" s="101"/>
      <c r="G28" s="101"/>
      <c r="H28" s="101" t="s">
        <v>7</v>
      </c>
      <c r="I28" s="101"/>
      <c r="J28" s="101"/>
      <c r="K28" s="101"/>
    </row>
    <row r="29" spans="1:11" x14ac:dyDescent="0.25">
      <c r="A29" s="39" t="s">
        <v>192</v>
      </c>
      <c r="B29" s="101" t="s">
        <v>7</v>
      </c>
      <c r="C29" s="101"/>
      <c r="D29" s="101" t="s">
        <v>7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205</v>
      </c>
      <c r="B30" s="101" t="s">
        <v>7</v>
      </c>
      <c r="C30" s="101" t="s">
        <v>7</v>
      </c>
      <c r="D30" s="101" t="s">
        <v>7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161</v>
      </c>
      <c r="B31" s="101"/>
      <c r="C31" s="101"/>
      <c r="D31" s="101"/>
      <c r="E31" s="101" t="s">
        <v>7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193</v>
      </c>
      <c r="B32" s="101"/>
      <c r="C32" s="101"/>
      <c r="D32" s="101"/>
      <c r="E32" s="101"/>
      <c r="F32" s="101"/>
      <c r="G32" s="101" t="s">
        <v>7</v>
      </c>
      <c r="H32" s="101" t="s">
        <v>7</v>
      </c>
      <c r="I32" s="101"/>
      <c r="J32" s="101"/>
      <c r="K32" s="101"/>
    </row>
    <row r="33" spans="1:11" x14ac:dyDescent="0.25">
      <c r="A33" s="39" t="s">
        <v>194</v>
      </c>
      <c r="B33" s="101"/>
      <c r="C33" s="101"/>
      <c r="D33" s="101"/>
      <c r="E33" s="101"/>
      <c r="F33" s="101"/>
      <c r="G33" s="101" t="s">
        <v>7</v>
      </c>
      <c r="H33" s="101" t="s">
        <v>7</v>
      </c>
      <c r="I33" s="101"/>
      <c r="J33" s="101"/>
      <c r="K33" s="101"/>
    </row>
    <row r="34" spans="1:11" x14ac:dyDescent="0.25">
      <c r="A34" s="39" t="s">
        <v>195</v>
      </c>
      <c r="B34" s="101"/>
      <c r="C34" s="101"/>
      <c r="D34" s="101"/>
      <c r="E34" s="101"/>
      <c r="F34" s="101"/>
      <c r="G34" s="101" t="s">
        <v>7</v>
      </c>
      <c r="H34" s="101" t="s">
        <v>7</v>
      </c>
      <c r="I34" s="101"/>
      <c r="J34" s="101"/>
      <c r="K34" s="101"/>
    </row>
    <row r="35" spans="1:11" x14ac:dyDescent="0.25">
      <c r="A35" s="39" t="s">
        <v>196</v>
      </c>
      <c r="B35" s="101"/>
      <c r="C35" s="101"/>
      <c r="D35" s="101"/>
      <c r="E35" s="101"/>
      <c r="F35" s="101"/>
      <c r="G35" s="101" t="s">
        <v>7</v>
      </c>
      <c r="H35" s="101" t="s">
        <v>7</v>
      </c>
      <c r="I35" s="101"/>
      <c r="J35" s="101"/>
      <c r="K35" s="101"/>
    </row>
    <row r="36" spans="1:11" x14ac:dyDescent="0.25">
      <c r="A36" s="39" t="s">
        <v>197</v>
      </c>
      <c r="B36" s="101"/>
      <c r="C36" s="101"/>
      <c r="D36" s="101"/>
      <c r="E36" s="101"/>
      <c r="F36" s="101"/>
      <c r="G36" s="101" t="s">
        <v>7</v>
      </c>
      <c r="H36" s="101" t="s">
        <v>7</v>
      </c>
      <c r="I36" s="101"/>
      <c r="J36" s="101"/>
      <c r="K36" s="101"/>
    </row>
    <row r="37" spans="1:11" x14ac:dyDescent="0.25">
      <c r="A37" s="39" t="s">
        <v>198</v>
      </c>
      <c r="B37" s="101"/>
      <c r="C37" s="101"/>
      <c r="D37" s="101"/>
      <c r="E37" s="101"/>
      <c r="F37" s="101"/>
      <c r="G37" s="101" t="s">
        <v>7</v>
      </c>
      <c r="H37" s="101" t="s">
        <v>7</v>
      </c>
      <c r="I37" s="101"/>
      <c r="J37" s="101"/>
      <c r="K37" s="101"/>
    </row>
    <row r="38" spans="1:11" x14ac:dyDescent="0.25">
      <c r="A38" s="39" t="s">
        <v>199</v>
      </c>
      <c r="B38" s="101"/>
      <c r="C38" s="101"/>
      <c r="D38" s="101"/>
      <c r="E38" s="101"/>
      <c r="F38" s="101"/>
      <c r="G38" s="101"/>
      <c r="H38" s="101" t="s">
        <v>7</v>
      </c>
      <c r="I38" s="101"/>
      <c r="J38" s="101"/>
      <c r="K38" s="101"/>
    </row>
    <row r="39" spans="1:11" x14ac:dyDescent="0.25">
      <c r="A39" s="39" t="s">
        <v>200</v>
      </c>
      <c r="B39" s="101" t="s">
        <v>7</v>
      </c>
      <c r="C39" s="101"/>
      <c r="D39" s="101"/>
      <c r="E39" s="101"/>
      <c r="F39" s="101"/>
      <c r="G39" s="101" t="s">
        <v>7</v>
      </c>
      <c r="H39" s="101" t="s">
        <v>7</v>
      </c>
      <c r="I39" s="101"/>
      <c r="J39" s="101"/>
      <c r="K39" s="101"/>
    </row>
  </sheetData>
  <sheetProtection algorithmName="SHA-512" hashValue="D+W64t9WgA6r3WqYmUmxi9U4DL/nxbfDci1VRlDekE1pPBW/JJoSmXGLT28GQvI0U7NQsXZjCfkRbuLsv05RPw==" saltValue="SV5us5zyd/KM9akp2D/NC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230</v>
      </c>
      <c r="B1" s="27" t="s">
        <v>226</v>
      </c>
      <c r="C1" s="27" t="s">
        <v>121</v>
      </c>
      <c r="D1" s="27" t="s">
        <v>227</v>
      </c>
      <c r="E1" s="27" t="s">
        <v>228</v>
      </c>
      <c r="F1" s="27" t="s">
        <v>128</v>
      </c>
      <c r="G1" s="27" t="s">
        <v>87</v>
      </c>
      <c r="H1" s="27" t="s">
        <v>43</v>
      </c>
      <c r="I1" s="27" t="s">
        <v>229</v>
      </c>
      <c r="J1" s="27" t="s">
        <v>36</v>
      </c>
      <c r="K1" s="27" t="s">
        <v>68</v>
      </c>
    </row>
    <row r="2" spans="1:11" x14ac:dyDescent="0.25">
      <c r="A2" s="27" t="s">
        <v>109</v>
      </c>
      <c r="B2" s="101" t="s">
        <v>7</v>
      </c>
      <c r="C2" s="101" t="s">
        <v>7</v>
      </c>
      <c r="D2" s="101" t="s">
        <v>7</v>
      </c>
      <c r="E2" s="101" t="s">
        <v>7</v>
      </c>
      <c r="F2" s="101" t="s">
        <v>7</v>
      </c>
      <c r="G2" s="101" t="s">
        <v>7</v>
      </c>
      <c r="H2" s="101" t="s">
        <v>7</v>
      </c>
      <c r="I2" s="101"/>
      <c r="J2" s="101"/>
      <c r="K2" s="101"/>
    </row>
    <row r="3" spans="1:11" x14ac:dyDescent="0.25">
      <c r="A3" s="27" t="s">
        <v>96</v>
      </c>
      <c r="B3" s="101" t="s">
        <v>7</v>
      </c>
      <c r="C3" s="101" t="s">
        <v>7</v>
      </c>
      <c r="D3" s="101" t="s">
        <v>7</v>
      </c>
      <c r="E3" s="101" t="s">
        <v>7</v>
      </c>
      <c r="F3" s="101" t="s">
        <v>7</v>
      </c>
      <c r="G3" s="101" t="s">
        <v>7</v>
      </c>
      <c r="H3" s="101" t="s">
        <v>7</v>
      </c>
      <c r="I3" s="101"/>
      <c r="J3" s="101"/>
      <c r="K3" s="101"/>
    </row>
    <row r="4" spans="1:11" x14ac:dyDescent="0.25">
      <c r="A4" s="27" t="s">
        <v>97</v>
      </c>
      <c r="B4" s="101" t="s">
        <v>7</v>
      </c>
      <c r="C4" s="101" t="s">
        <v>7</v>
      </c>
      <c r="D4" s="101" t="s">
        <v>7</v>
      </c>
      <c r="E4" s="101" t="s">
        <v>7</v>
      </c>
      <c r="F4" s="101" t="s">
        <v>7</v>
      </c>
      <c r="G4" s="101" t="s">
        <v>7</v>
      </c>
      <c r="H4" s="101" t="s">
        <v>7</v>
      </c>
      <c r="I4" s="101"/>
      <c r="J4" s="101"/>
      <c r="K4" s="101"/>
    </row>
    <row r="5" spans="1:11" x14ac:dyDescent="0.25">
      <c r="A5" s="27" t="s">
        <v>98</v>
      </c>
      <c r="B5" s="101" t="s">
        <v>7</v>
      </c>
      <c r="C5" s="101" t="s">
        <v>7</v>
      </c>
      <c r="D5" s="101" t="s">
        <v>7</v>
      </c>
      <c r="E5" s="101" t="s">
        <v>7</v>
      </c>
      <c r="F5" s="101" t="s">
        <v>7</v>
      </c>
      <c r="G5" s="101" t="s">
        <v>7</v>
      </c>
      <c r="H5" s="101" t="s">
        <v>7</v>
      </c>
      <c r="I5" s="101"/>
      <c r="J5" s="101"/>
      <c r="K5" s="101"/>
    </row>
    <row r="6" spans="1:11" x14ac:dyDescent="0.25">
      <c r="A6" s="27" t="s">
        <v>99</v>
      </c>
      <c r="B6" s="101" t="s">
        <v>7</v>
      </c>
      <c r="C6" s="101" t="s">
        <v>7</v>
      </c>
      <c r="D6" s="101" t="s">
        <v>7</v>
      </c>
      <c r="E6" s="101" t="s">
        <v>7</v>
      </c>
      <c r="F6" s="101" t="s">
        <v>7</v>
      </c>
      <c r="G6" s="101" t="s">
        <v>7</v>
      </c>
      <c r="H6" s="101" t="s">
        <v>7</v>
      </c>
      <c r="I6" s="101"/>
      <c r="J6" s="101"/>
      <c r="K6" s="101"/>
    </row>
    <row r="7" spans="1:11" x14ac:dyDescent="0.25">
      <c r="A7" s="27" t="s">
        <v>122</v>
      </c>
      <c r="B7" s="101"/>
      <c r="C7" s="101" t="s">
        <v>7</v>
      </c>
      <c r="D7" s="101"/>
      <c r="E7" s="101"/>
      <c r="F7" s="101"/>
      <c r="G7" s="101"/>
      <c r="H7" s="101" t="s">
        <v>7</v>
      </c>
      <c r="I7" s="101" t="s">
        <v>7</v>
      </c>
      <c r="J7" s="101"/>
      <c r="K7" s="101"/>
    </row>
    <row r="8" spans="1:11" x14ac:dyDescent="0.25">
      <c r="A8" s="27" t="s">
        <v>123</v>
      </c>
      <c r="B8" s="101"/>
      <c r="C8" s="101" t="s">
        <v>7</v>
      </c>
      <c r="D8" s="101"/>
      <c r="E8" s="101"/>
      <c r="F8" s="101"/>
      <c r="G8" s="101"/>
      <c r="H8" s="101" t="s">
        <v>7</v>
      </c>
      <c r="I8" s="101" t="s">
        <v>7</v>
      </c>
      <c r="J8" s="101"/>
      <c r="K8" s="101"/>
    </row>
    <row r="9" spans="1:11" x14ac:dyDescent="0.25">
      <c r="A9" s="27" t="s">
        <v>124</v>
      </c>
      <c r="B9" s="101"/>
      <c r="C9" s="101" t="s">
        <v>7</v>
      </c>
      <c r="D9" s="101"/>
      <c r="E9" s="101"/>
      <c r="F9" s="101"/>
      <c r="G9" s="101"/>
      <c r="H9" s="101" t="s">
        <v>7</v>
      </c>
      <c r="I9" s="101" t="s">
        <v>7</v>
      </c>
      <c r="J9" s="101"/>
      <c r="K9" s="101"/>
    </row>
    <row r="10" spans="1:11" x14ac:dyDescent="0.25">
      <c r="A10" s="27" t="s">
        <v>125</v>
      </c>
      <c r="B10" s="101"/>
      <c r="C10" s="101" t="s">
        <v>7</v>
      </c>
      <c r="D10" s="101"/>
      <c r="E10" s="101"/>
      <c r="F10" s="101"/>
      <c r="G10" s="101"/>
      <c r="H10" s="101" t="s">
        <v>7</v>
      </c>
      <c r="I10" s="101" t="s">
        <v>7</v>
      </c>
      <c r="J10" s="101"/>
      <c r="K10" s="101"/>
    </row>
    <row r="11" spans="1:11" x14ac:dyDescent="0.25">
      <c r="A11" s="27" t="s">
        <v>69</v>
      </c>
      <c r="B11" s="101"/>
      <c r="C11" s="101" t="s">
        <v>7</v>
      </c>
      <c r="D11" s="101"/>
      <c r="E11" s="101"/>
      <c r="F11" s="101"/>
      <c r="G11" s="101"/>
      <c r="H11" s="101"/>
      <c r="I11" s="101"/>
      <c r="J11" s="101" t="s">
        <v>7</v>
      </c>
      <c r="K11" s="101" t="s">
        <v>7</v>
      </c>
    </row>
    <row r="12" spans="1:11" x14ac:dyDescent="0.25">
      <c r="A12" s="27" t="s">
        <v>70</v>
      </c>
      <c r="B12" s="101"/>
      <c r="C12" s="101" t="s">
        <v>7</v>
      </c>
      <c r="D12" s="101"/>
      <c r="E12" s="101"/>
      <c r="F12" s="101"/>
      <c r="G12" s="101"/>
      <c r="H12" s="101"/>
      <c r="I12" s="101"/>
      <c r="J12" s="101"/>
      <c r="K12" s="101" t="s">
        <v>7</v>
      </c>
    </row>
    <row r="13" spans="1:11" x14ac:dyDescent="0.25">
      <c r="A13" s="27" t="s">
        <v>71</v>
      </c>
      <c r="B13" s="101"/>
      <c r="C13" s="101" t="s">
        <v>7</v>
      </c>
      <c r="D13" s="101"/>
      <c r="E13" s="101"/>
      <c r="F13" s="101"/>
      <c r="G13" s="101"/>
      <c r="H13" s="101"/>
      <c r="I13" s="101"/>
      <c r="J13" s="101"/>
      <c r="K13" s="101" t="s">
        <v>7</v>
      </c>
    </row>
    <row r="14" spans="1:11" x14ac:dyDescent="0.25">
      <c r="A14" s="27" t="s">
        <v>72</v>
      </c>
      <c r="B14" s="101"/>
      <c r="C14" s="101" t="s">
        <v>7</v>
      </c>
      <c r="D14" s="101"/>
      <c r="E14" s="101"/>
      <c r="F14" s="101"/>
      <c r="G14" s="101"/>
      <c r="H14" s="101"/>
      <c r="I14" s="101"/>
      <c r="J14" s="101"/>
      <c r="K14" s="101" t="s">
        <v>7</v>
      </c>
    </row>
  </sheetData>
  <sheetProtection algorithmName="SHA-512" hashValue="PqdtwRHdc3VFK4l/zDHjyDwxhBHQq8mFiWf1h4rsSGB676KTf6t9eVD8YTB/BjNvwGsNeqJWy/aesWfY2WHY9w==" saltValue="1q+URiWDwjWQC/RCf1H19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231</v>
      </c>
      <c r="B1" s="29" t="s">
        <v>152</v>
      </c>
      <c r="C1" s="29" t="s">
        <v>164</v>
      </c>
      <c r="D1" s="29" t="s">
        <v>109</v>
      </c>
      <c r="E1" s="29" t="s">
        <v>96</v>
      </c>
      <c r="F1" s="29" t="s">
        <v>97</v>
      </c>
      <c r="G1" s="29" t="s">
        <v>98</v>
      </c>
      <c r="H1" s="29" t="s">
        <v>99</v>
      </c>
    </row>
    <row r="2" spans="1:10" ht="13" x14ac:dyDescent="0.3">
      <c r="A2" s="29" t="s">
        <v>232</v>
      </c>
      <c r="B2" s="117" t="s">
        <v>100</v>
      </c>
      <c r="C2" s="27" t="s">
        <v>153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154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155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109</v>
      </c>
      <c r="C5" s="27" t="s">
        <v>153</v>
      </c>
      <c r="D5" s="102">
        <v>2.17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154</v>
      </c>
      <c r="D6" s="102">
        <v>2.17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155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96</v>
      </c>
      <c r="C8" s="27" t="s">
        <v>153</v>
      </c>
      <c r="D8" s="102">
        <v>1</v>
      </c>
      <c r="E8" s="102">
        <v>2.48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154</v>
      </c>
      <c r="D9" s="102">
        <v>1</v>
      </c>
      <c r="E9" s="102">
        <v>2.48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155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97</v>
      </c>
      <c r="C11" s="27" t="s">
        <v>153</v>
      </c>
      <c r="D11" s="102">
        <v>1</v>
      </c>
      <c r="E11" s="102">
        <v>1</v>
      </c>
      <c r="F11" s="102">
        <v>1.82</v>
      </c>
      <c r="G11" s="102">
        <v>1</v>
      </c>
      <c r="H11" s="102">
        <v>1</v>
      </c>
    </row>
    <row r="12" spans="1:10" x14ac:dyDescent="0.25">
      <c r="B12" s="117"/>
      <c r="C12" s="27" t="s">
        <v>154</v>
      </c>
      <c r="D12" s="102">
        <v>1</v>
      </c>
      <c r="E12" s="102">
        <v>1</v>
      </c>
      <c r="F12" s="102">
        <v>1.82</v>
      </c>
      <c r="G12" s="102">
        <v>1</v>
      </c>
      <c r="H12" s="102">
        <v>1</v>
      </c>
    </row>
    <row r="13" spans="1:10" x14ac:dyDescent="0.25">
      <c r="B13" s="117"/>
      <c r="C13" s="27" t="s">
        <v>155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98</v>
      </c>
      <c r="C14" s="27" t="s">
        <v>153</v>
      </c>
      <c r="D14" s="102">
        <v>1</v>
      </c>
      <c r="E14" s="102">
        <v>1</v>
      </c>
      <c r="F14" s="102">
        <v>1</v>
      </c>
      <c r="G14" s="102">
        <v>1.82</v>
      </c>
      <c r="H14" s="102">
        <v>1</v>
      </c>
    </row>
    <row r="15" spans="1:10" x14ac:dyDescent="0.25">
      <c r="B15" s="117"/>
      <c r="C15" s="27" t="s">
        <v>154</v>
      </c>
      <c r="D15" s="102">
        <v>1</v>
      </c>
      <c r="E15" s="102">
        <v>1</v>
      </c>
      <c r="F15" s="102">
        <v>1</v>
      </c>
      <c r="G15" s="102">
        <v>1.82</v>
      </c>
      <c r="H15" s="102">
        <v>1</v>
      </c>
    </row>
    <row r="16" spans="1:10" x14ac:dyDescent="0.25">
      <c r="B16" s="117"/>
      <c r="C16" s="27" t="s">
        <v>155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156</v>
      </c>
      <c r="C17" s="27" t="s">
        <v>155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233</v>
      </c>
      <c r="B19" s="117" t="s">
        <v>100</v>
      </c>
      <c r="C19" s="27" t="s">
        <v>153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154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155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109</v>
      </c>
      <c r="C22" s="27" t="s">
        <v>153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154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155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96</v>
      </c>
      <c r="C25" s="27" t="s">
        <v>153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154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155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97</v>
      </c>
      <c r="C28" s="27" t="s">
        <v>153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154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155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98</v>
      </c>
      <c r="C31" s="27" t="s">
        <v>153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154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155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156</v>
      </c>
      <c r="C34" s="27" t="s">
        <v>155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234</v>
      </c>
      <c r="B36" s="117" t="s">
        <v>100</v>
      </c>
      <c r="C36" s="27" t="s">
        <v>153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154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155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109</v>
      </c>
      <c r="C39" s="27" t="s">
        <v>153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154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155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96</v>
      </c>
      <c r="C42" s="27" t="s">
        <v>153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154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155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97</v>
      </c>
      <c r="C45" s="27" t="s">
        <v>153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154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155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98</v>
      </c>
      <c r="C48" s="27" t="s">
        <v>153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154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155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156</v>
      </c>
      <c r="C51" s="27" t="s">
        <v>155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235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231</v>
      </c>
      <c r="B54" s="29" t="s">
        <v>152</v>
      </c>
      <c r="C54" s="29" t="s">
        <v>164</v>
      </c>
      <c r="D54" s="29" t="s">
        <v>109</v>
      </c>
      <c r="E54" s="29" t="s">
        <v>96</v>
      </c>
      <c r="F54" s="29" t="s">
        <v>97</v>
      </c>
      <c r="G54" s="29" t="s">
        <v>98</v>
      </c>
      <c r="H54" s="29" t="s">
        <v>99</v>
      </c>
    </row>
    <row r="55" spans="1:8" ht="13" x14ac:dyDescent="0.3">
      <c r="A55" s="29" t="s">
        <v>236</v>
      </c>
      <c r="B55" s="117" t="s">
        <v>100</v>
      </c>
      <c r="C55" s="27" t="s">
        <v>153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154</v>
      </c>
      <c r="D56" s="102">
        <f t="shared" ref="D56:H68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155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109</v>
      </c>
      <c r="C58" s="27" t="s">
        <v>153</v>
      </c>
      <c r="D58" s="102">
        <v>1.84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154</v>
      </c>
      <c r="D59" s="102">
        <v>1.84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155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1"/>
        <v>1</v>
      </c>
    </row>
    <row r="61" spans="1:8" x14ac:dyDescent="0.25">
      <c r="B61" s="117" t="s">
        <v>96</v>
      </c>
      <c r="C61" s="27" t="s">
        <v>153</v>
      </c>
      <c r="D61" s="102">
        <f t="shared" si="2"/>
        <v>1</v>
      </c>
      <c r="E61" s="102">
        <v>1.99</v>
      </c>
      <c r="F61" s="102">
        <f t="shared" si="2"/>
        <v>1</v>
      </c>
      <c r="G61" s="102">
        <f t="shared" si="2"/>
        <v>1</v>
      </c>
      <c r="H61" s="102">
        <f t="shared" si="1"/>
        <v>1</v>
      </c>
    </row>
    <row r="62" spans="1:8" x14ac:dyDescent="0.25">
      <c r="B62" s="117"/>
      <c r="C62" s="27" t="s">
        <v>154</v>
      </c>
      <c r="D62" s="102">
        <f t="shared" si="2"/>
        <v>1</v>
      </c>
      <c r="E62" s="102">
        <v>1.99</v>
      </c>
      <c r="F62" s="102">
        <f t="shared" si="2"/>
        <v>1</v>
      </c>
      <c r="G62" s="102">
        <f t="shared" si="2"/>
        <v>1</v>
      </c>
      <c r="H62" s="102">
        <f t="shared" si="1"/>
        <v>1</v>
      </c>
    </row>
    <row r="63" spans="1:8" x14ac:dyDescent="0.25">
      <c r="B63" s="117"/>
      <c r="C63" s="27" t="s">
        <v>155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1"/>
        <v>1</v>
      </c>
    </row>
    <row r="64" spans="1:8" x14ac:dyDescent="0.25">
      <c r="B64" s="117" t="s">
        <v>97</v>
      </c>
      <c r="C64" s="27" t="s">
        <v>153</v>
      </c>
      <c r="D64" s="102">
        <f t="shared" si="2"/>
        <v>1</v>
      </c>
      <c r="E64" s="102">
        <f t="shared" si="2"/>
        <v>1</v>
      </c>
      <c r="F64" s="102">
        <v>1.36</v>
      </c>
      <c r="G64" s="102">
        <f t="shared" si="2"/>
        <v>1</v>
      </c>
      <c r="H64" s="102">
        <f t="shared" si="1"/>
        <v>1</v>
      </c>
    </row>
    <row r="65" spans="1:8" x14ac:dyDescent="0.25">
      <c r="B65" s="117"/>
      <c r="C65" s="27" t="s">
        <v>154</v>
      </c>
      <c r="D65" s="102">
        <f t="shared" si="2"/>
        <v>1</v>
      </c>
      <c r="E65" s="102">
        <f t="shared" si="2"/>
        <v>1</v>
      </c>
      <c r="F65" s="102">
        <v>1.36</v>
      </c>
      <c r="G65" s="102">
        <f t="shared" si="2"/>
        <v>1</v>
      </c>
      <c r="H65" s="102">
        <f t="shared" si="1"/>
        <v>1</v>
      </c>
    </row>
    <row r="66" spans="1:8" x14ac:dyDescent="0.25">
      <c r="B66" s="117"/>
      <c r="C66" s="27" t="s">
        <v>155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1"/>
        <v>1</v>
      </c>
    </row>
    <row r="67" spans="1:8" x14ac:dyDescent="0.25">
      <c r="B67" s="117" t="s">
        <v>98</v>
      </c>
      <c r="C67" s="27" t="s">
        <v>153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1.36</v>
      </c>
      <c r="H67" s="102">
        <f t="shared" si="1"/>
        <v>1</v>
      </c>
    </row>
    <row r="68" spans="1:8" x14ac:dyDescent="0.25">
      <c r="B68" s="117"/>
      <c r="C68" s="27" t="s">
        <v>154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1.36</v>
      </c>
      <c r="H68" s="102">
        <f t="shared" si="1"/>
        <v>1</v>
      </c>
    </row>
    <row r="69" spans="1:8" x14ac:dyDescent="0.25">
      <c r="B69" s="117"/>
      <c r="C69" s="27" t="s">
        <v>155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156</v>
      </c>
      <c r="C70" s="27" t="s">
        <v>155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237</v>
      </c>
      <c r="B72" s="117" t="s">
        <v>100</v>
      </c>
      <c r="C72" s="27" t="s">
        <v>153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154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155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109</v>
      </c>
      <c r="C75" s="27" t="s">
        <v>153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154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155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96</v>
      </c>
      <c r="C78" s="27" t="s">
        <v>153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154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155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97</v>
      </c>
      <c r="C81" s="27" t="s">
        <v>153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154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155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98</v>
      </c>
      <c r="C84" s="27" t="s">
        <v>153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154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155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156</v>
      </c>
      <c r="C87" s="27" t="s">
        <v>155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238</v>
      </c>
      <c r="B89" s="117" t="s">
        <v>100</v>
      </c>
      <c r="C89" s="27" t="s">
        <v>153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154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155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109</v>
      </c>
      <c r="C92" s="27" t="s">
        <v>153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154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155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96</v>
      </c>
      <c r="C95" s="27" t="s">
        <v>153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154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155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97</v>
      </c>
      <c r="C98" s="27" t="s">
        <v>153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154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155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98</v>
      </c>
      <c r="C101" s="27" t="s">
        <v>153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154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155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156</v>
      </c>
      <c r="C104" s="27" t="s">
        <v>155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239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231</v>
      </c>
      <c r="B107" s="29" t="s">
        <v>152</v>
      </c>
      <c r="C107" s="29" t="s">
        <v>164</v>
      </c>
      <c r="D107" s="29" t="s">
        <v>109</v>
      </c>
      <c r="E107" s="29" t="s">
        <v>96</v>
      </c>
      <c r="F107" s="29" t="s">
        <v>97</v>
      </c>
      <c r="G107" s="29" t="s">
        <v>98</v>
      </c>
      <c r="H107" s="29" t="s">
        <v>99</v>
      </c>
    </row>
    <row r="108" spans="1:8" ht="13" x14ac:dyDescent="0.3">
      <c r="A108" s="29" t="s">
        <v>240</v>
      </c>
      <c r="B108" s="117" t="s">
        <v>100</v>
      </c>
      <c r="C108" s="27" t="s">
        <v>153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154</v>
      </c>
      <c r="D109" s="102">
        <f t="shared" ref="D109:H121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155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109</v>
      </c>
      <c r="C111" s="27" t="s">
        <v>153</v>
      </c>
      <c r="D111" s="102">
        <v>2.56</v>
      </c>
      <c r="E111" s="102">
        <f t="shared" ref="E111:G112" si="9">IF(E58=1,1,E58*0.9)</f>
        <v>1</v>
      </c>
      <c r="F111" s="102">
        <f t="shared" si="9"/>
        <v>1</v>
      </c>
      <c r="G111" s="102">
        <f t="shared" si="9"/>
        <v>1</v>
      </c>
      <c r="H111" s="102">
        <f t="shared" si="8"/>
        <v>1</v>
      </c>
    </row>
    <row r="112" spans="1:8" x14ac:dyDescent="0.25">
      <c r="B112" s="117"/>
      <c r="C112" s="27" t="s">
        <v>154</v>
      </c>
      <c r="D112" s="102">
        <v>2.56</v>
      </c>
      <c r="E112" s="102">
        <f t="shared" si="9"/>
        <v>1</v>
      </c>
      <c r="F112" s="102">
        <f t="shared" si="9"/>
        <v>1</v>
      </c>
      <c r="G112" s="102">
        <f t="shared" si="9"/>
        <v>1</v>
      </c>
      <c r="H112" s="102">
        <f t="shared" si="8"/>
        <v>1</v>
      </c>
    </row>
    <row r="113" spans="1:8" x14ac:dyDescent="0.25">
      <c r="B113" s="117"/>
      <c r="C113" s="27" t="s">
        <v>155</v>
      </c>
      <c r="D113" s="102">
        <f t="shared" ref="D113:G121" si="10">IF(D60=1,1,D60*0.9)</f>
        <v>1</v>
      </c>
      <c r="E113" s="102">
        <f t="shared" si="10"/>
        <v>1</v>
      </c>
      <c r="F113" s="102">
        <f t="shared" si="10"/>
        <v>1</v>
      </c>
      <c r="G113" s="102">
        <f t="shared" si="10"/>
        <v>1</v>
      </c>
      <c r="H113" s="102">
        <f t="shared" si="8"/>
        <v>1</v>
      </c>
    </row>
    <row r="114" spans="1:8" x14ac:dyDescent="0.25">
      <c r="B114" s="117" t="s">
        <v>96</v>
      </c>
      <c r="C114" s="27" t="s">
        <v>153</v>
      </c>
      <c r="D114" s="102">
        <f t="shared" si="10"/>
        <v>1</v>
      </c>
      <c r="E114" s="102">
        <v>3.09</v>
      </c>
      <c r="F114" s="102">
        <f t="shared" si="10"/>
        <v>1</v>
      </c>
      <c r="G114" s="102">
        <f t="shared" si="10"/>
        <v>1</v>
      </c>
      <c r="H114" s="102">
        <f t="shared" si="8"/>
        <v>1</v>
      </c>
    </row>
    <row r="115" spans="1:8" x14ac:dyDescent="0.25">
      <c r="B115" s="117"/>
      <c r="C115" s="27" t="s">
        <v>154</v>
      </c>
      <c r="D115" s="102">
        <f t="shared" si="10"/>
        <v>1</v>
      </c>
      <c r="E115" s="102">
        <v>3.09</v>
      </c>
      <c r="F115" s="102">
        <f t="shared" si="10"/>
        <v>1</v>
      </c>
      <c r="G115" s="102">
        <f t="shared" si="10"/>
        <v>1</v>
      </c>
      <c r="H115" s="102">
        <f t="shared" si="8"/>
        <v>1</v>
      </c>
    </row>
    <row r="116" spans="1:8" x14ac:dyDescent="0.25">
      <c r="B116" s="117"/>
      <c r="C116" s="27" t="s">
        <v>155</v>
      </c>
      <c r="D116" s="102">
        <f t="shared" si="10"/>
        <v>1</v>
      </c>
      <c r="E116" s="102">
        <f t="shared" si="10"/>
        <v>1</v>
      </c>
      <c r="F116" s="102">
        <f t="shared" si="10"/>
        <v>1</v>
      </c>
      <c r="G116" s="102">
        <f t="shared" si="10"/>
        <v>1</v>
      </c>
      <c r="H116" s="102">
        <f t="shared" si="8"/>
        <v>1</v>
      </c>
    </row>
    <row r="117" spans="1:8" x14ac:dyDescent="0.25">
      <c r="B117" s="117" t="s">
        <v>97</v>
      </c>
      <c r="C117" s="27" t="s">
        <v>153</v>
      </c>
      <c r="D117" s="102">
        <f t="shared" si="10"/>
        <v>1</v>
      </c>
      <c r="E117" s="102">
        <f t="shared" si="10"/>
        <v>1</v>
      </c>
      <c r="F117" s="102">
        <v>2.4500000000000002</v>
      </c>
      <c r="G117" s="102">
        <f t="shared" si="10"/>
        <v>1</v>
      </c>
      <c r="H117" s="102">
        <f t="shared" si="8"/>
        <v>1</v>
      </c>
    </row>
    <row r="118" spans="1:8" x14ac:dyDescent="0.25">
      <c r="B118" s="117"/>
      <c r="C118" s="27" t="s">
        <v>154</v>
      </c>
      <c r="D118" s="102">
        <f t="shared" si="10"/>
        <v>1</v>
      </c>
      <c r="E118" s="102">
        <f t="shared" si="10"/>
        <v>1</v>
      </c>
      <c r="F118" s="102">
        <v>2.4500000000000002</v>
      </c>
      <c r="G118" s="102">
        <f t="shared" si="10"/>
        <v>1</v>
      </c>
      <c r="H118" s="102">
        <f t="shared" si="8"/>
        <v>1</v>
      </c>
    </row>
    <row r="119" spans="1:8" x14ac:dyDescent="0.25">
      <c r="B119" s="117"/>
      <c r="C119" s="27" t="s">
        <v>155</v>
      </c>
      <c r="D119" s="102">
        <f t="shared" si="10"/>
        <v>1</v>
      </c>
      <c r="E119" s="102">
        <f t="shared" si="10"/>
        <v>1</v>
      </c>
      <c r="F119" s="102">
        <f t="shared" si="10"/>
        <v>1</v>
      </c>
      <c r="G119" s="102">
        <f t="shared" si="10"/>
        <v>1</v>
      </c>
      <c r="H119" s="102">
        <f t="shared" si="8"/>
        <v>1</v>
      </c>
    </row>
    <row r="120" spans="1:8" x14ac:dyDescent="0.25">
      <c r="B120" s="117" t="s">
        <v>98</v>
      </c>
      <c r="C120" s="27" t="s">
        <v>153</v>
      </c>
      <c r="D120" s="102">
        <f t="shared" si="10"/>
        <v>1</v>
      </c>
      <c r="E120" s="102">
        <f t="shared" si="10"/>
        <v>1</v>
      </c>
      <c r="F120" s="102">
        <f t="shared" si="10"/>
        <v>1</v>
      </c>
      <c r="G120" s="102">
        <v>2.4500000000000002</v>
      </c>
      <c r="H120" s="102">
        <f t="shared" si="8"/>
        <v>1</v>
      </c>
    </row>
    <row r="121" spans="1:8" x14ac:dyDescent="0.25">
      <c r="B121" s="117"/>
      <c r="C121" s="27" t="s">
        <v>154</v>
      </c>
      <c r="D121" s="102">
        <f t="shared" si="10"/>
        <v>1</v>
      </c>
      <c r="E121" s="102">
        <f t="shared" si="10"/>
        <v>1</v>
      </c>
      <c r="F121" s="102">
        <f t="shared" si="10"/>
        <v>1</v>
      </c>
      <c r="G121" s="102">
        <v>2.4500000000000002</v>
      </c>
      <c r="H121" s="102">
        <f t="shared" si="8"/>
        <v>1</v>
      </c>
    </row>
    <row r="122" spans="1:8" x14ac:dyDescent="0.25">
      <c r="B122" s="117"/>
      <c r="C122" s="27" t="s">
        <v>155</v>
      </c>
      <c r="D122" s="102">
        <f t="shared" ref="D122:H123" si="11">IF(D16=1,1,D16*1.05)</f>
        <v>1</v>
      </c>
      <c r="E122" s="102">
        <f t="shared" si="11"/>
        <v>1</v>
      </c>
      <c r="F122" s="102">
        <f t="shared" si="11"/>
        <v>1</v>
      </c>
      <c r="G122" s="102">
        <f t="shared" si="11"/>
        <v>1</v>
      </c>
      <c r="H122" s="102">
        <f t="shared" si="11"/>
        <v>1</v>
      </c>
    </row>
    <row r="123" spans="1:8" ht="13" x14ac:dyDescent="0.25">
      <c r="B123" s="76" t="s">
        <v>156</v>
      </c>
      <c r="C123" s="27" t="s">
        <v>155</v>
      </c>
      <c r="D123" s="102">
        <f t="shared" si="11"/>
        <v>1.1025</v>
      </c>
      <c r="E123" s="102">
        <f t="shared" si="11"/>
        <v>1.1025</v>
      </c>
      <c r="F123" s="102">
        <f t="shared" si="11"/>
        <v>1.1025</v>
      </c>
      <c r="G123" s="102">
        <f t="shared" si="11"/>
        <v>1.1025</v>
      </c>
      <c r="H123" s="102">
        <f t="shared" si="11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241</v>
      </c>
      <c r="B125" s="117" t="s">
        <v>100</v>
      </c>
      <c r="C125" s="27" t="s">
        <v>153</v>
      </c>
      <c r="D125" s="102">
        <f>IF(D19=1,1,D19*1.05)</f>
        <v>1</v>
      </c>
      <c r="E125" s="102">
        <f t="shared" ref="E125:H125" si="12">IF(E19=1,1,E19*1.05)</f>
        <v>1</v>
      </c>
      <c r="F125" s="102">
        <f t="shared" si="12"/>
        <v>1</v>
      </c>
      <c r="G125" s="102">
        <f t="shared" si="12"/>
        <v>1</v>
      </c>
      <c r="H125" s="102">
        <f t="shared" si="12"/>
        <v>1</v>
      </c>
    </row>
    <row r="126" spans="1:8" x14ac:dyDescent="0.25">
      <c r="B126" s="117"/>
      <c r="C126" s="27" t="s">
        <v>154</v>
      </c>
      <c r="D126" s="102">
        <f t="shared" ref="D126:H140" si="13">IF(D20=1,1,D20*1.05)</f>
        <v>1</v>
      </c>
      <c r="E126" s="102">
        <f t="shared" si="13"/>
        <v>1</v>
      </c>
      <c r="F126" s="102">
        <f t="shared" si="13"/>
        <v>1</v>
      </c>
      <c r="G126" s="102">
        <f t="shared" si="13"/>
        <v>1</v>
      </c>
      <c r="H126" s="102">
        <f t="shared" si="13"/>
        <v>1</v>
      </c>
    </row>
    <row r="127" spans="1:8" x14ac:dyDescent="0.25">
      <c r="B127" s="117"/>
      <c r="C127" s="27" t="s">
        <v>155</v>
      </c>
      <c r="D127" s="102">
        <f t="shared" si="13"/>
        <v>1</v>
      </c>
      <c r="E127" s="102">
        <f t="shared" si="13"/>
        <v>1</v>
      </c>
      <c r="F127" s="102">
        <f t="shared" si="13"/>
        <v>1</v>
      </c>
      <c r="G127" s="102">
        <f t="shared" si="13"/>
        <v>1</v>
      </c>
      <c r="H127" s="102">
        <f t="shared" si="13"/>
        <v>1</v>
      </c>
    </row>
    <row r="128" spans="1:8" x14ac:dyDescent="0.25">
      <c r="B128" s="117" t="s">
        <v>109</v>
      </c>
      <c r="C128" s="27" t="s">
        <v>153</v>
      </c>
      <c r="D128" s="102">
        <f t="shared" si="13"/>
        <v>1</v>
      </c>
      <c r="E128" s="102">
        <f t="shared" si="13"/>
        <v>1</v>
      </c>
      <c r="F128" s="102">
        <f t="shared" si="13"/>
        <v>1</v>
      </c>
      <c r="G128" s="102">
        <f t="shared" si="13"/>
        <v>1</v>
      </c>
      <c r="H128" s="102">
        <f t="shared" si="13"/>
        <v>1</v>
      </c>
    </row>
    <row r="129" spans="1:8" x14ac:dyDescent="0.25">
      <c r="B129" s="117"/>
      <c r="C129" s="27" t="s">
        <v>154</v>
      </c>
      <c r="D129" s="102">
        <f t="shared" si="13"/>
        <v>1</v>
      </c>
      <c r="E129" s="102">
        <f t="shared" si="13"/>
        <v>1</v>
      </c>
      <c r="F129" s="102">
        <f t="shared" si="13"/>
        <v>1</v>
      </c>
      <c r="G129" s="102">
        <f t="shared" si="13"/>
        <v>1</v>
      </c>
      <c r="H129" s="102">
        <f t="shared" si="13"/>
        <v>1</v>
      </c>
    </row>
    <row r="130" spans="1:8" x14ac:dyDescent="0.25">
      <c r="B130" s="117"/>
      <c r="C130" s="27" t="s">
        <v>155</v>
      </c>
      <c r="D130" s="102">
        <f t="shared" si="13"/>
        <v>1</v>
      </c>
      <c r="E130" s="102">
        <f t="shared" si="13"/>
        <v>1</v>
      </c>
      <c r="F130" s="102">
        <f t="shared" si="13"/>
        <v>1</v>
      </c>
      <c r="G130" s="102">
        <f t="shared" si="13"/>
        <v>1</v>
      </c>
      <c r="H130" s="102">
        <f t="shared" si="13"/>
        <v>1</v>
      </c>
    </row>
    <row r="131" spans="1:8" x14ac:dyDescent="0.25">
      <c r="B131" s="117" t="s">
        <v>96</v>
      </c>
      <c r="C131" s="27" t="s">
        <v>153</v>
      </c>
      <c r="D131" s="102">
        <f t="shared" si="13"/>
        <v>1</v>
      </c>
      <c r="E131" s="102">
        <f t="shared" si="13"/>
        <v>1</v>
      </c>
      <c r="F131" s="102">
        <f t="shared" si="13"/>
        <v>1</v>
      </c>
      <c r="G131" s="102">
        <f t="shared" si="13"/>
        <v>1</v>
      </c>
      <c r="H131" s="102">
        <f t="shared" si="13"/>
        <v>1</v>
      </c>
    </row>
    <row r="132" spans="1:8" x14ac:dyDescent="0.25">
      <c r="B132" s="117"/>
      <c r="C132" s="27" t="s">
        <v>154</v>
      </c>
      <c r="D132" s="102">
        <f t="shared" si="13"/>
        <v>1</v>
      </c>
      <c r="E132" s="102">
        <f t="shared" si="13"/>
        <v>1</v>
      </c>
      <c r="F132" s="102">
        <f t="shared" si="13"/>
        <v>1</v>
      </c>
      <c r="G132" s="102">
        <f t="shared" si="13"/>
        <v>1</v>
      </c>
      <c r="H132" s="102">
        <f t="shared" si="13"/>
        <v>1</v>
      </c>
    </row>
    <row r="133" spans="1:8" x14ac:dyDescent="0.25">
      <c r="B133" s="117"/>
      <c r="C133" s="27" t="s">
        <v>155</v>
      </c>
      <c r="D133" s="102">
        <f t="shared" si="13"/>
        <v>1</v>
      </c>
      <c r="E133" s="102">
        <f t="shared" si="13"/>
        <v>1</v>
      </c>
      <c r="F133" s="102">
        <f t="shared" si="13"/>
        <v>1</v>
      </c>
      <c r="G133" s="102">
        <f t="shared" si="13"/>
        <v>1</v>
      </c>
      <c r="H133" s="102">
        <f t="shared" si="13"/>
        <v>1</v>
      </c>
    </row>
    <row r="134" spans="1:8" x14ac:dyDescent="0.25">
      <c r="B134" s="117" t="s">
        <v>97</v>
      </c>
      <c r="C134" s="27" t="s">
        <v>153</v>
      </c>
      <c r="D134" s="102">
        <f t="shared" si="13"/>
        <v>1</v>
      </c>
      <c r="E134" s="102">
        <f t="shared" si="13"/>
        <v>1</v>
      </c>
      <c r="F134" s="102">
        <f t="shared" si="13"/>
        <v>1</v>
      </c>
      <c r="G134" s="102">
        <f t="shared" si="13"/>
        <v>1</v>
      </c>
      <c r="H134" s="102">
        <f t="shared" si="13"/>
        <v>1</v>
      </c>
    </row>
    <row r="135" spans="1:8" x14ac:dyDescent="0.25">
      <c r="B135" s="117"/>
      <c r="C135" s="27" t="s">
        <v>154</v>
      </c>
      <c r="D135" s="102">
        <f t="shared" si="13"/>
        <v>1</v>
      </c>
      <c r="E135" s="102">
        <f t="shared" si="13"/>
        <v>1</v>
      </c>
      <c r="F135" s="102">
        <f t="shared" si="13"/>
        <v>1</v>
      </c>
      <c r="G135" s="102">
        <f t="shared" si="13"/>
        <v>1</v>
      </c>
      <c r="H135" s="102">
        <f t="shared" si="13"/>
        <v>1</v>
      </c>
    </row>
    <row r="136" spans="1:8" x14ac:dyDescent="0.25">
      <c r="B136" s="117"/>
      <c r="C136" s="27" t="s">
        <v>155</v>
      </c>
      <c r="D136" s="102">
        <f t="shared" si="13"/>
        <v>1</v>
      </c>
      <c r="E136" s="102">
        <f t="shared" si="13"/>
        <v>1</v>
      </c>
      <c r="F136" s="102">
        <f t="shared" si="13"/>
        <v>1</v>
      </c>
      <c r="G136" s="102">
        <f t="shared" si="13"/>
        <v>1</v>
      </c>
      <c r="H136" s="102">
        <f t="shared" si="13"/>
        <v>1</v>
      </c>
    </row>
    <row r="137" spans="1:8" x14ac:dyDescent="0.25">
      <c r="B137" s="117" t="s">
        <v>98</v>
      </c>
      <c r="C137" s="27" t="s">
        <v>153</v>
      </c>
      <c r="D137" s="102">
        <f t="shared" si="13"/>
        <v>1</v>
      </c>
      <c r="E137" s="102">
        <f t="shared" si="13"/>
        <v>1</v>
      </c>
      <c r="F137" s="102">
        <f t="shared" si="13"/>
        <v>1</v>
      </c>
      <c r="G137" s="102">
        <f t="shared" si="13"/>
        <v>1</v>
      </c>
      <c r="H137" s="102">
        <f t="shared" si="13"/>
        <v>1</v>
      </c>
    </row>
    <row r="138" spans="1:8" x14ac:dyDescent="0.25">
      <c r="B138" s="117"/>
      <c r="C138" s="27" t="s">
        <v>154</v>
      </c>
      <c r="D138" s="102">
        <f t="shared" si="13"/>
        <v>1</v>
      </c>
      <c r="E138" s="102">
        <f t="shared" si="13"/>
        <v>1</v>
      </c>
      <c r="F138" s="102">
        <f t="shared" si="13"/>
        <v>1</v>
      </c>
      <c r="G138" s="102">
        <f t="shared" si="13"/>
        <v>1</v>
      </c>
      <c r="H138" s="102">
        <f t="shared" si="13"/>
        <v>1</v>
      </c>
    </row>
    <row r="139" spans="1:8" x14ac:dyDescent="0.25">
      <c r="B139" s="117"/>
      <c r="C139" s="27" t="s">
        <v>155</v>
      </c>
      <c r="D139" s="102">
        <f t="shared" si="13"/>
        <v>1</v>
      </c>
      <c r="E139" s="102">
        <f t="shared" si="13"/>
        <v>1</v>
      </c>
      <c r="F139" s="102">
        <f t="shared" si="13"/>
        <v>1</v>
      </c>
      <c r="G139" s="102">
        <f t="shared" si="13"/>
        <v>1</v>
      </c>
      <c r="H139" s="102">
        <f t="shared" si="13"/>
        <v>1</v>
      </c>
    </row>
    <row r="140" spans="1:8" ht="13" x14ac:dyDescent="0.25">
      <c r="B140" s="76" t="s">
        <v>156</v>
      </c>
      <c r="C140" s="27" t="s">
        <v>155</v>
      </c>
      <c r="D140" s="102">
        <f t="shared" si="13"/>
        <v>1</v>
      </c>
      <c r="E140" s="102">
        <f t="shared" si="13"/>
        <v>1</v>
      </c>
      <c r="F140" s="102">
        <f t="shared" si="13"/>
        <v>1</v>
      </c>
      <c r="G140" s="102">
        <f t="shared" si="13"/>
        <v>1</v>
      </c>
      <c r="H140" s="102">
        <f t="shared" si="13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242</v>
      </c>
      <c r="B142" s="117" t="s">
        <v>100</v>
      </c>
      <c r="C142" s="27" t="s">
        <v>153</v>
      </c>
      <c r="D142" s="102">
        <f>IF(D36=1,1,D36*1.05)</f>
        <v>1</v>
      </c>
      <c r="E142" s="102">
        <f t="shared" ref="E142:H142" si="14">IF(E36=1,1,E36*1.05)</f>
        <v>1</v>
      </c>
      <c r="F142" s="102">
        <f t="shared" si="14"/>
        <v>1</v>
      </c>
      <c r="G142" s="102">
        <f t="shared" si="14"/>
        <v>1</v>
      </c>
      <c r="H142" s="102">
        <f t="shared" si="14"/>
        <v>1</v>
      </c>
    </row>
    <row r="143" spans="1:8" x14ac:dyDescent="0.25">
      <c r="B143" s="117"/>
      <c r="C143" s="27" t="s">
        <v>154</v>
      </c>
      <c r="D143" s="102">
        <f t="shared" ref="D143:H157" si="15">IF(D37=1,1,D37*1.05)</f>
        <v>1</v>
      </c>
      <c r="E143" s="102">
        <f t="shared" si="15"/>
        <v>1</v>
      </c>
      <c r="F143" s="102">
        <f t="shared" si="15"/>
        <v>1</v>
      </c>
      <c r="G143" s="102">
        <f t="shared" si="15"/>
        <v>1</v>
      </c>
      <c r="H143" s="102">
        <f t="shared" si="15"/>
        <v>1</v>
      </c>
    </row>
    <row r="144" spans="1:8" x14ac:dyDescent="0.25">
      <c r="B144" s="117"/>
      <c r="C144" s="27" t="s">
        <v>155</v>
      </c>
      <c r="D144" s="102">
        <f t="shared" si="15"/>
        <v>1</v>
      </c>
      <c r="E144" s="102">
        <f t="shared" si="15"/>
        <v>1</v>
      </c>
      <c r="F144" s="102">
        <f t="shared" si="15"/>
        <v>1</v>
      </c>
      <c r="G144" s="102">
        <f t="shared" si="15"/>
        <v>1</v>
      </c>
      <c r="H144" s="102">
        <f t="shared" si="15"/>
        <v>1</v>
      </c>
    </row>
    <row r="145" spans="2:8" x14ac:dyDescent="0.25">
      <c r="B145" s="117" t="s">
        <v>109</v>
      </c>
      <c r="C145" s="27" t="s">
        <v>153</v>
      </c>
      <c r="D145" s="102">
        <f t="shared" si="15"/>
        <v>1</v>
      </c>
      <c r="E145" s="102">
        <f t="shared" si="15"/>
        <v>1</v>
      </c>
      <c r="F145" s="102">
        <f t="shared" si="15"/>
        <v>1</v>
      </c>
      <c r="G145" s="102">
        <f t="shared" si="15"/>
        <v>1</v>
      </c>
      <c r="H145" s="102">
        <f t="shared" si="15"/>
        <v>1</v>
      </c>
    </row>
    <row r="146" spans="2:8" x14ac:dyDescent="0.25">
      <c r="B146" s="117"/>
      <c r="C146" s="27" t="s">
        <v>154</v>
      </c>
      <c r="D146" s="102">
        <f t="shared" si="15"/>
        <v>1</v>
      </c>
      <c r="E146" s="102">
        <f t="shared" si="15"/>
        <v>1</v>
      </c>
      <c r="F146" s="102">
        <f t="shared" si="15"/>
        <v>1</v>
      </c>
      <c r="G146" s="102">
        <f t="shared" si="15"/>
        <v>1</v>
      </c>
      <c r="H146" s="102">
        <f t="shared" si="15"/>
        <v>1</v>
      </c>
    </row>
    <row r="147" spans="2:8" x14ac:dyDescent="0.25">
      <c r="B147" s="117"/>
      <c r="C147" s="27" t="s">
        <v>155</v>
      </c>
      <c r="D147" s="102">
        <f t="shared" si="15"/>
        <v>1</v>
      </c>
      <c r="E147" s="102">
        <f t="shared" si="15"/>
        <v>1</v>
      </c>
      <c r="F147" s="102">
        <f t="shared" si="15"/>
        <v>1</v>
      </c>
      <c r="G147" s="102">
        <f t="shared" si="15"/>
        <v>1</v>
      </c>
      <c r="H147" s="102">
        <f t="shared" si="15"/>
        <v>1</v>
      </c>
    </row>
    <row r="148" spans="2:8" x14ac:dyDescent="0.25">
      <c r="B148" s="117" t="s">
        <v>96</v>
      </c>
      <c r="C148" s="27" t="s">
        <v>153</v>
      </c>
      <c r="D148" s="102">
        <f t="shared" si="15"/>
        <v>1</v>
      </c>
      <c r="E148" s="102">
        <f t="shared" si="15"/>
        <v>1</v>
      </c>
      <c r="F148" s="102">
        <f t="shared" si="15"/>
        <v>1</v>
      </c>
      <c r="G148" s="102">
        <f t="shared" si="15"/>
        <v>1</v>
      </c>
      <c r="H148" s="102">
        <f t="shared" si="15"/>
        <v>1</v>
      </c>
    </row>
    <row r="149" spans="2:8" x14ac:dyDescent="0.25">
      <c r="B149" s="117"/>
      <c r="C149" s="27" t="s">
        <v>154</v>
      </c>
      <c r="D149" s="102">
        <f t="shared" si="15"/>
        <v>1</v>
      </c>
      <c r="E149" s="102">
        <f t="shared" si="15"/>
        <v>1</v>
      </c>
      <c r="F149" s="102">
        <f t="shared" si="15"/>
        <v>1</v>
      </c>
      <c r="G149" s="102">
        <f t="shared" si="15"/>
        <v>1</v>
      </c>
      <c r="H149" s="102">
        <f t="shared" si="15"/>
        <v>1</v>
      </c>
    </row>
    <row r="150" spans="2:8" x14ac:dyDescent="0.25">
      <c r="B150" s="117"/>
      <c r="C150" s="27" t="s">
        <v>155</v>
      </c>
      <c r="D150" s="102">
        <f t="shared" si="15"/>
        <v>1</v>
      </c>
      <c r="E150" s="102">
        <f t="shared" si="15"/>
        <v>1</v>
      </c>
      <c r="F150" s="102">
        <f t="shared" si="15"/>
        <v>1</v>
      </c>
      <c r="G150" s="102">
        <f t="shared" si="15"/>
        <v>1</v>
      </c>
      <c r="H150" s="102">
        <f t="shared" si="15"/>
        <v>1</v>
      </c>
    </row>
    <row r="151" spans="2:8" x14ac:dyDescent="0.25">
      <c r="B151" s="117" t="s">
        <v>97</v>
      </c>
      <c r="C151" s="27" t="s">
        <v>153</v>
      </c>
      <c r="D151" s="102">
        <f t="shared" si="15"/>
        <v>1</v>
      </c>
      <c r="E151" s="102">
        <f t="shared" si="15"/>
        <v>1</v>
      </c>
      <c r="F151" s="102">
        <f t="shared" si="15"/>
        <v>1</v>
      </c>
      <c r="G151" s="102">
        <f t="shared" si="15"/>
        <v>1</v>
      </c>
      <c r="H151" s="102">
        <f t="shared" si="15"/>
        <v>1</v>
      </c>
    </row>
    <row r="152" spans="2:8" x14ac:dyDescent="0.25">
      <c r="B152" s="117"/>
      <c r="C152" s="27" t="s">
        <v>154</v>
      </c>
      <c r="D152" s="102">
        <f t="shared" si="15"/>
        <v>1</v>
      </c>
      <c r="E152" s="102">
        <f t="shared" si="15"/>
        <v>1</v>
      </c>
      <c r="F152" s="102">
        <f t="shared" si="15"/>
        <v>1</v>
      </c>
      <c r="G152" s="102">
        <f t="shared" si="15"/>
        <v>1</v>
      </c>
      <c r="H152" s="102">
        <f t="shared" si="15"/>
        <v>1</v>
      </c>
    </row>
    <row r="153" spans="2:8" x14ac:dyDescent="0.25">
      <c r="B153" s="117"/>
      <c r="C153" s="27" t="s">
        <v>155</v>
      </c>
      <c r="D153" s="102">
        <f t="shared" si="15"/>
        <v>1</v>
      </c>
      <c r="E153" s="102">
        <f t="shared" si="15"/>
        <v>1</v>
      </c>
      <c r="F153" s="102">
        <f t="shared" si="15"/>
        <v>1</v>
      </c>
      <c r="G153" s="102">
        <f t="shared" si="15"/>
        <v>1</v>
      </c>
      <c r="H153" s="102">
        <f t="shared" si="15"/>
        <v>1</v>
      </c>
    </row>
    <row r="154" spans="2:8" x14ac:dyDescent="0.25">
      <c r="B154" s="117" t="s">
        <v>98</v>
      </c>
      <c r="C154" s="27" t="s">
        <v>153</v>
      </c>
      <c r="D154" s="102">
        <f t="shared" si="15"/>
        <v>1</v>
      </c>
      <c r="E154" s="102">
        <f t="shared" si="15"/>
        <v>1</v>
      </c>
      <c r="F154" s="102">
        <f t="shared" si="15"/>
        <v>1</v>
      </c>
      <c r="G154" s="102">
        <f t="shared" si="15"/>
        <v>1</v>
      </c>
      <c r="H154" s="102">
        <f t="shared" si="15"/>
        <v>1</v>
      </c>
    </row>
    <row r="155" spans="2:8" x14ac:dyDescent="0.25">
      <c r="B155" s="117"/>
      <c r="C155" s="27" t="s">
        <v>154</v>
      </c>
      <c r="D155" s="102">
        <f t="shared" si="15"/>
        <v>1</v>
      </c>
      <c r="E155" s="102">
        <f t="shared" si="15"/>
        <v>1</v>
      </c>
      <c r="F155" s="102">
        <f t="shared" si="15"/>
        <v>1</v>
      </c>
      <c r="G155" s="102">
        <f t="shared" si="15"/>
        <v>1</v>
      </c>
      <c r="H155" s="102">
        <f t="shared" si="15"/>
        <v>1</v>
      </c>
    </row>
    <row r="156" spans="2:8" x14ac:dyDescent="0.25">
      <c r="B156" s="117"/>
      <c r="C156" s="27" t="s">
        <v>155</v>
      </c>
      <c r="D156" s="102">
        <f t="shared" si="15"/>
        <v>1</v>
      </c>
      <c r="E156" s="102">
        <f t="shared" si="15"/>
        <v>1</v>
      </c>
      <c r="F156" s="102">
        <f t="shared" si="15"/>
        <v>1</v>
      </c>
      <c r="G156" s="102">
        <f t="shared" si="15"/>
        <v>1</v>
      </c>
      <c r="H156" s="102">
        <f t="shared" si="15"/>
        <v>1</v>
      </c>
    </row>
    <row r="157" spans="2:8" ht="13" x14ac:dyDescent="0.25">
      <c r="B157" s="76" t="s">
        <v>156</v>
      </c>
      <c r="C157" s="27" t="s">
        <v>155</v>
      </c>
      <c r="D157" s="102">
        <f t="shared" si="15"/>
        <v>1</v>
      </c>
      <c r="E157" s="102">
        <f t="shared" si="15"/>
        <v>1</v>
      </c>
      <c r="F157" s="102">
        <f t="shared" si="15"/>
        <v>1</v>
      </c>
      <c r="G157" s="102">
        <f t="shared" si="15"/>
        <v>1</v>
      </c>
      <c r="H157" s="102">
        <f t="shared" si="15"/>
        <v>1</v>
      </c>
    </row>
  </sheetData>
  <sheetProtection algorithmName="SHA-512" hashValue="njkmh3gYG8TG1t2JPb6eb7CHKAeTfPh97A2fltiB1OPUpXjBVK54iabFWFku4ihgZLDkO1k9JBq1Xvt37Hnftg==" saltValue="AnTx1XW+p+FkljbdepTkR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243</v>
      </c>
    </row>
    <row r="2" spans="1:6" ht="15.75" customHeight="1" x14ac:dyDescent="0.3">
      <c r="B2" s="80"/>
      <c r="C2" s="81" t="s">
        <v>54</v>
      </c>
      <c r="D2" s="82" t="s">
        <v>53</v>
      </c>
      <c r="E2" s="82" t="s">
        <v>52</v>
      </c>
      <c r="F2" s="82" t="s">
        <v>51</v>
      </c>
    </row>
    <row r="3" spans="1:6" ht="15.75" customHeight="1" x14ac:dyDescent="0.3">
      <c r="A3" s="29" t="s">
        <v>244</v>
      </c>
      <c r="B3" s="83"/>
      <c r="C3" s="84"/>
      <c r="D3" s="85"/>
      <c r="E3" s="85"/>
      <c r="F3" s="85"/>
    </row>
    <row r="4" spans="1:6" ht="15.75" customHeight="1" x14ac:dyDescent="0.25">
      <c r="B4" s="72" t="s">
        <v>37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38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39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40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249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245</v>
      </c>
      <c r="C11" s="87"/>
      <c r="D11" s="88"/>
      <c r="E11" s="88"/>
      <c r="F11" s="88"/>
    </row>
    <row r="12" spans="1:6" ht="15.75" customHeight="1" x14ac:dyDescent="0.3">
      <c r="A12" s="29" t="s">
        <v>246</v>
      </c>
      <c r="C12" s="86"/>
      <c r="D12" s="75"/>
      <c r="E12" s="75"/>
      <c r="F12" s="75"/>
    </row>
    <row r="13" spans="1:6" ht="15.75" customHeight="1" x14ac:dyDescent="0.25">
      <c r="B13" s="45" t="s">
        <v>247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119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120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248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78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79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80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81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82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83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84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85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235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243</v>
      </c>
    </row>
    <row r="29" spans="1:6" ht="15.75" customHeight="1" x14ac:dyDescent="0.3">
      <c r="B29" s="80"/>
      <c r="C29" s="81" t="s">
        <v>54</v>
      </c>
      <c r="D29" s="82" t="s">
        <v>53</v>
      </c>
      <c r="E29" s="82" t="s">
        <v>52</v>
      </c>
      <c r="F29" s="82" t="s">
        <v>51</v>
      </c>
    </row>
    <row r="30" spans="1:6" ht="15.75" customHeight="1" x14ac:dyDescent="0.3">
      <c r="A30" s="29" t="s">
        <v>250</v>
      </c>
      <c r="B30" s="83"/>
      <c r="C30" s="84"/>
      <c r="D30" s="85"/>
      <c r="E30" s="85"/>
      <c r="F30" s="85"/>
    </row>
    <row r="31" spans="1:6" ht="15.75" customHeight="1" x14ac:dyDescent="0.25">
      <c r="B31" s="72" t="s">
        <v>37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38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39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40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262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245</v>
      </c>
      <c r="B38" s="79"/>
      <c r="C38" s="87"/>
      <c r="D38" s="88"/>
      <c r="E38" s="88"/>
      <c r="F38" s="88"/>
    </row>
    <row r="39" spans="1:6" ht="15.75" customHeight="1" x14ac:dyDescent="0.3">
      <c r="A39" s="29" t="s">
        <v>251</v>
      </c>
      <c r="C39" s="86"/>
      <c r="D39" s="75"/>
      <c r="E39" s="75"/>
      <c r="F39" s="75"/>
    </row>
    <row r="40" spans="1:6" ht="15.75" customHeight="1" x14ac:dyDescent="0.25">
      <c r="B40" s="45" t="s">
        <v>256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257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258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252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78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79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80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81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82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83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84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85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239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243</v>
      </c>
    </row>
    <row r="56" spans="1:6" ht="15.75" customHeight="1" x14ac:dyDescent="0.3">
      <c r="B56" s="80"/>
      <c r="C56" s="81" t="s">
        <v>54</v>
      </c>
      <c r="D56" s="82" t="s">
        <v>53</v>
      </c>
      <c r="E56" s="82" t="s">
        <v>52</v>
      </c>
      <c r="F56" s="82" t="s">
        <v>51</v>
      </c>
    </row>
    <row r="57" spans="1:6" ht="15.75" customHeight="1" x14ac:dyDescent="0.3">
      <c r="A57" s="29" t="s">
        <v>253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37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38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39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40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263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245</v>
      </c>
      <c r="B65" s="79"/>
      <c r="C65" s="87"/>
      <c r="D65" s="88"/>
      <c r="E65" s="88"/>
      <c r="F65" s="88"/>
    </row>
    <row r="66" spans="1:6" ht="15.75" customHeight="1" x14ac:dyDescent="0.3">
      <c r="A66" s="29" t="s">
        <v>254</v>
      </c>
      <c r="C66" s="86"/>
      <c r="D66" s="75"/>
      <c r="E66" s="75"/>
      <c r="F66" s="75"/>
    </row>
    <row r="67" spans="1:6" ht="15.75" customHeight="1" x14ac:dyDescent="0.25">
      <c r="B67" s="45" t="s">
        <v>259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260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261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255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78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79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80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81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82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83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84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85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zK6jUNhMqU73TLtjnO/GlT0NNEQY4F6CgQkSX+um3MXVJUx6osp2yM/RehhVfWgOuj+SYhSzLd48OAxyKNrCsA==" saltValue="UR6pHdX1QaDmKqMiYaFVc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264</v>
      </c>
    </row>
    <row r="2" spans="1:16" ht="13" x14ac:dyDescent="0.3">
      <c r="A2" s="92" t="s">
        <v>226</v>
      </c>
      <c r="B2" s="41" t="s">
        <v>265</v>
      </c>
      <c r="C2" s="41" t="s">
        <v>266</v>
      </c>
      <c r="D2" s="82" t="s">
        <v>109</v>
      </c>
      <c r="E2" s="82" t="s">
        <v>96</v>
      </c>
      <c r="F2" s="82" t="s">
        <v>97</v>
      </c>
      <c r="G2" s="82" t="s">
        <v>98</v>
      </c>
      <c r="H2" s="82" t="s">
        <v>99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87</v>
      </c>
      <c r="C3" s="31" t="s">
        <v>9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267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268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269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88</v>
      </c>
      <c r="C7" s="31" t="s">
        <v>9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267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268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269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90</v>
      </c>
      <c r="C11" s="31" t="s">
        <v>9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267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268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269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91</v>
      </c>
      <c r="C15" s="31" t="s">
        <v>9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267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268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269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89</v>
      </c>
      <c r="C19" s="31" t="s">
        <v>9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267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268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269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95</v>
      </c>
      <c r="C23" s="31" t="s">
        <v>9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267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268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269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278</v>
      </c>
    </row>
    <row r="29" spans="1:16" ht="13" x14ac:dyDescent="0.3">
      <c r="A29" s="92" t="s">
        <v>279</v>
      </c>
      <c r="B29" s="29" t="s">
        <v>265</v>
      </c>
      <c r="C29" s="29" t="s">
        <v>270</v>
      </c>
      <c r="D29" s="82" t="s">
        <v>109</v>
      </c>
      <c r="E29" s="82" t="s">
        <v>96</v>
      </c>
      <c r="F29" s="82" t="s">
        <v>97</v>
      </c>
      <c r="G29" s="82" t="s">
        <v>98</v>
      </c>
      <c r="H29" s="82" t="s">
        <v>99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87</v>
      </c>
      <c r="C30" s="31" t="s">
        <v>9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267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209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208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88</v>
      </c>
      <c r="C34" s="31" t="s">
        <v>9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267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209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208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90</v>
      </c>
      <c r="C38" s="31" t="s">
        <v>9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267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209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208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91</v>
      </c>
      <c r="C42" s="31" t="s">
        <v>9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267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209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208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89</v>
      </c>
      <c r="C46" s="31" t="s">
        <v>9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267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209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208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95</v>
      </c>
      <c r="C50" s="31" t="s">
        <v>9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267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209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208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271</v>
      </c>
    </row>
    <row r="56" spans="1:16" ht="26" x14ac:dyDescent="0.3">
      <c r="A56" s="92" t="s">
        <v>121</v>
      </c>
      <c r="B56" s="29" t="s">
        <v>265</v>
      </c>
      <c r="C56" s="80" t="s">
        <v>272</v>
      </c>
      <c r="D56" s="82" t="s">
        <v>122</v>
      </c>
      <c r="E56" s="82" t="s">
        <v>123</v>
      </c>
      <c r="F56" s="82" t="s">
        <v>124</v>
      </c>
      <c r="G56" s="82" t="s">
        <v>125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101</v>
      </c>
      <c r="C57" s="31" t="s">
        <v>273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274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102</v>
      </c>
      <c r="C59" s="31" t="s">
        <v>273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274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103</v>
      </c>
      <c r="C61" s="31" t="s">
        <v>273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274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275</v>
      </c>
    </row>
    <row r="65" spans="1:16" ht="26" x14ac:dyDescent="0.3">
      <c r="A65" s="92" t="s">
        <v>128</v>
      </c>
      <c r="B65" s="29" t="s">
        <v>265</v>
      </c>
      <c r="C65" s="80" t="s">
        <v>276</v>
      </c>
      <c r="D65" s="82" t="s">
        <v>109</v>
      </c>
      <c r="E65" s="82" t="s">
        <v>96</v>
      </c>
      <c r="F65" s="82" t="s">
        <v>97</v>
      </c>
      <c r="G65" s="82" t="s">
        <v>98</v>
      </c>
      <c r="H65" s="95" t="s">
        <v>99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78</v>
      </c>
      <c r="C66" s="31" t="s">
        <v>129</v>
      </c>
      <c r="D66" s="104">
        <v>1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130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131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132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79</v>
      </c>
      <c r="C70" s="31" t="s">
        <v>129</v>
      </c>
      <c r="D70" s="104">
        <v>1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130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131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132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80</v>
      </c>
      <c r="C74" s="31" t="s">
        <v>129</v>
      </c>
      <c r="D74" s="104">
        <v>1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130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131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132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82</v>
      </c>
      <c r="C78" s="31" t="s">
        <v>129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130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131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132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87</v>
      </c>
      <c r="C82" s="31" t="s">
        <v>129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130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131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132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88</v>
      </c>
      <c r="C86" s="31" t="s">
        <v>129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130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131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132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90</v>
      </c>
      <c r="C90" s="31" t="s">
        <v>129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130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131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132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89</v>
      </c>
      <c r="C94" s="31" t="s">
        <v>129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130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131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132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92</v>
      </c>
      <c r="C98" s="31" t="s">
        <v>129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130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131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132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277</v>
      </c>
    </row>
    <row r="104" spans="1:16" ht="26" x14ac:dyDescent="0.3">
      <c r="A104" s="92" t="s">
        <v>87</v>
      </c>
      <c r="B104" s="96" t="s">
        <v>132</v>
      </c>
      <c r="C104" s="80" t="s">
        <v>276</v>
      </c>
      <c r="D104" s="82" t="s">
        <v>109</v>
      </c>
      <c r="E104" s="82" t="s">
        <v>96</v>
      </c>
      <c r="F104" s="82" t="s">
        <v>97</v>
      </c>
      <c r="G104" s="82" t="s">
        <v>98</v>
      </c>
      <c r="H104" s="95" t="s">
        <v>99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129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130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131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132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235</v>
      </c>
      <c r="H110" s="106"/>
    </row>
    <row r="111" spans="1:16" ht="13" x14ac:dyDescent="0.3">
      <c r="A111" s="78" t="s">
        <v>264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226</v>
      </c>
      <c r="B112" s="41" t="s">
        <v>265</v>
      </c>
      <c r="C112" s="41" t="s">
        <v>266</v>
      </c>
      <c r="D112" s="82" t="s">
        <v>109</v>
      </c>
      <c r="E112" s="82" t="s">
        <v>96</v>
      </c>
      <c r="F112" s="82" t="s">
        <v>97</v>
      </c>
      <c r="G112" s="82" t="s">
        <v>98</v>
      </c>
      <c r="H112" s="82" t="s">
        <v>99</v>
      </c>
    </row>
    <row r="113" spans="1:8" ht="13" x14ac:dyDescent="0.3">
      <c r="A113" s="29"/>
      <c r="B113" s="27" t="s">
        <v>87</v>
      </c>
      <c r="C113" s="31" t="s">
        <v>9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267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268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269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88</v>
      </c>
      <c r="C117" s="31" t="s">
        <v>9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267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268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269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90</v>
      </c>
      <c r="C121" s="31" t="s">
        <v>9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267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268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269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91</v>
      </c>
      <c r="C125" s="31" t="s">
        <v>9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267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268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269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89</v>
      </c>
      <c r="C129" s="31" t="s">
        <v>9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267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268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269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95</v>
      </c>
      <c r="C133" s="31" t="s">
        <v>9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267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268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269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278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279</v>
      </c>
      <c r="B139" s="29" t="s">
        <v>265</v>
      </c>
      <c r="C139" s="29" t="s">
        <v>270</v>
      </c>
      <c r="D139" s="82" t="s">
        <v>109</v>
      </c>
      <c r="E139" s="82" t="s">
        <v>96</v>
      </c>
      <c r="F139" s="82" t="s">
        <v>97</v>
      </c>
      <c r="G139" s="82" t="s">
        <v>98</v>
      </c>
      <c r="H139" s="82" t="s">
        <v>99</v>
      </c>
    </row>
    <row r="140" spans="1:8" ht="13" x14ac:dyDescent="0.3">
      <c r="A140" s="29"/>
      <c r="B140" s="27" t="s">
        <v>87</v>
      </c>
      <c r="C140" s="31" t="s">
        <v>9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267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209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208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88</v>
      </c>
      <c r="C144" s="31" t="s">
        <v>9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267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209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208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90</v>
      </c>
      <c r="C148" s="31" t="s">
        <v>9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267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209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208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91</v>
      </c>
      <c r="C152" s="31" t="s">
        <v>9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267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209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208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89</v>
      </c>
      <c r="C156" s="31" t="s">
        <v>9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267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209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208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95</v>
      </c>
      <c r="C160" s="31" t="s">
        <v>9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267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209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208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271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121</v>
      </c>
      <c r="B166" s="29" t="s">
        <v>265</v>
      </c>
      <c r="C166" s="80" t="s">
        <v>272</v>
      </c>
      <c r="D166" s="82" t="s">
        <v>122</v>
      </c>
      <c r="E166" s="82" t="s">
        <v>123</v>
      </c>
      <c r="F166" s="82" t="s">
        <v>124</v>
      </c>
      <c r="G166" s="82" t="s">
        <v>125</v>
      </c>
      <c r="H166" s="93"/>
    </row>
    <row r="167" spans="1:8" ht="13" x14ac:dyDescent="0.3">
      <c r="A167" s="29"/>
      <c r="B167" s="27" t="s">
        <v>101</v>
      </c>
      <c r="C167" s="31" t="s">
        <v>273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274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102</v>
      </c>
      <c r="C169" s="31" t="s">
        <v>273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274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103</v>
      </c>
      <c r="C171" s="31" t="s">
        <v>273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274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275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128</v>
      </c>
      <c r="B175" s="29" t="s">
        <v>265</v>
      </c>
      <c r="C175" s="80" t="s">
        <v>276</v>
      </c>
      <c r="D175" s="82" t="s">
        <v>109</v>
      </c>
      <c r="E175" s="82" t="s">
        <v>96</v>
      </c>
      <c r="F175" s="82" t="s">
        <v>97</v>
      </c>
      <c r="G175" s="82" t="s">
        <v>98</v>
      </c>
      <c r="H175" s="95" t="s">
        <v>99</v>
      </c>
    </row>
    <row r="176" spans="1:8" ht="13" x14ac:dyDescent="0.3">
      <c r="A176" s="96"/>
      <c r="B176" s="27" t="s">
        <v>78</v>
      </c>
      <c r="C176" s="31" t="s">
        <v>129</v>
      </c>
      <c r="D176" s="105">
        <f>IF(D66=1,1,D66*0.9)</f>
        <v>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130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131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132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79</v>
      </c>
      <c r="C180" s="31" t="s">
        <v>129</v>
      </c>
      <c r="D180" s="105">
        <f t="shared" si="9"/>
        <v>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130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131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132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80</v>
      </c>
      <c r="C184" s="31" t="s">
        <v>129</v>
      </c>
      <c r="D184" s="105">
        <f t="shared" si="9"/>
        <v>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130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131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132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82</v>
      </c>
      <c r="C188" s="31" t="s">
        <v>129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130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131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132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87</v>
      </c>
      <c r="C192" s="31" t="s">
        <v>129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130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131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132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88</v>
      </c>
      <c r="C196" s="31" t="s">
        <v>129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130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131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132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90</v>
      </c>
      <c r="C200" s="31" t="s">
        <v>129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130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131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132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89</v>
      </c>
      <c r="C204" s="31" t="s">
        <v>129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130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131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132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92</v>
      </c>
      <c r="C208" s="31" t="s">
        <v>129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130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131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132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277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87</v>
      </c>
      <c r="B214" s="96" t="s">
        <v>132</v>
      </c>
      <c r="C214" s="80" t="s">
        <v>276</v>
      </c>
      <c r="D214" s="82" t="s">
        <v>109</v>
      </c>
      <c r="E214" s="82" t="s">
        <v>96</v>
      </c>
      <c r="F214" s="82" t="s">
        <v>97</v>
      </c>
      <c r="G214" s="82" t="s">
        <v>98</v>
      </c>
      <c r="H214" s="95" t="s">
        <v>99</v>
      </c>
    </row>
    <row r="215" spans="1:9" ht="13" x14ac:dyDescent="0.3">
      <c r="A215" s="29"/>
      <c r="C215" s="31" t="s">
        <v>129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130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131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132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239</v>
      </c>
      <c r="H220" s="106"/>
    </row>
    <row r="221" spans="1:9" ht="13" x14ac:dyDescent="0.3">
      <c r="A221" s="78" t="s">
        <v>264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226</v>
      </c>
      <c r="B222" s="41" t="s">
        <v>265</v>
      </c>
      <c r="C222" s="41" t="s">
        <v>266</v>
      </c>
      <c r="D222" s="82" t="s">
        <v>109</v>
      </c>
      <c r="E222" s="82" t="s">
        <v>96</v>
      </c>
      <c r="F222" s="82" t="s">
        <v>97</v>
      </c>
      <c r="G222" s="82" t="s">
        <v>98</v>
      </c>
      <c r="H222" s="82" t="s">
        <v>99</v>
      </c>
      <c r="I222" s="93"/>
    </row>
    <row r="223" spans="1:9" ht="13" x14ac:dyDescent="0.3">
      <c r="A223" s="29"/>
      <c r="B223" s="27" t="s">
        <v>87</v>
      </c>
      <c r="C223" s="31" t="s">
        <v>9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267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268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269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88</v>
      </c>
      <c r="C227" s="31" t="s">
        <v>9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267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268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269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90</v>
      </c>
      <c r="C231" s="31" t="s">
        <v>9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267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268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269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91</v>
      </c>
      <c r="C235" s="31" t="s">
        <v>9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267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268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269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89</v>
      </c>
      <c r="C239" s="31" t="s">
        <v>9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267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268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269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95</v>
      </c>
      <c r="C243" s="31" t="s">
        <v>9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267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268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269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278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279</v>
      </c>
      <c r="B249" s="29" t="s">
        <v>265</v>
      </c>
      <c r="C249" s="29" t="s">
        <v>270</v>
      </c>
      <c r="D249" s="82" t="s">
        <v>109</v>
      </c>
      <c r="E249" s="82" t="s">
        <v>96</v>
      </c>
      <c r="F249" s="82" t="s">
        <v>97</v>
      </c>
      <c r="G249" s="82" t="s">
        <v>98</v>
      </c>
      <c r="H249" s="82" t="s">
        <v>99</v>
      </c>
      <c r="I249" s="93"/>
    </row>
    <row r="250" spans="1:9" ht="13" x14ac:dyDescent="0.3">
      <c r="A250" s="29"/>
      <c r="B250" s="27" t="s">
        <v>87</v>
      </c>
      <c r="C250" s="31" t="s">
        <v>9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267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209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208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88</v>
      </c>
      <c r="C254" s="31" t="s">
        <v>9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267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209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208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90</v>
      </c>
      <c r="C258" s="31" t="s">
        <v>9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267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209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208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91</v>
      </c>
      <c r="C262" s="31" t="s">
        <v>9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267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209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208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89</v>
      </c>
      <c r="C266" s="31" t="s">
        <v>9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267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209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208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95</v>
      </c>
      <c r="C270" s="31" t="s">
        <v>9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267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209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208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271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121</v>
      </c>
      <c r="B276" s="29" t="s">
        <v>265</v>
      </c>
      <c r="C276" s="80" t="s">
        <v>272</v>
      </c>
      <c r="D276" s="82" t="s">
        <v>122</v>
      </c>
      <c r="E276" s="82" t="s">
        <v>123</v>
      </c>
      <c r="F276" s="82" t="s">
        <v>124</v>
      </c>
      <c r="G276" s="82" t="s">
        <v>125</v>
      </c>
      <c r="H276" s="93"/>
    </row>
    <row r="277" spans="1:9" ht="13" x14ac:dyDescent="0.3">
      <c r="A277" s="29"/>
      <c r="B277" s="27" t="s">
        <v>101</v>
      </c>
      <c r="C277" s="31" t="s">
        <v>273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274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102</v>
      </c>
      <c r="C279" s="31" t="s">
        <v>273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274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103</v>
      </c>
      <c r="C281" s="31" t="s">
        <v>273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274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275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128</v>
      </c>
      <c r="B285" s="29" t="s">
        <v>265</v>
      </c>
      <c r="C285" s="80" t="s">
        <v>276</v>
      </c>
      <c r="D285" s="82" t="s">
        <v>109</v>
      </c>
      <c r="E285" s="82" t="s">
        <v>96</v>
      </c>
      <c r="F285" s="82" t="s">
        <v>97</v>
      </c>
      <c r="G285" s="82" t="s">
        <v>98</v>
      </c>
      <c r="H285" s="95" t="s">
        <v>99</v>
      </c>
      <c r="I285" s="93"/>
    </row>
    <row r="286" spans="1:9" ht="13" x14ac:dyDescent="0.3">
      <c r="A286" s="96"/>
      <c r="B286" s="27" t="s">
        <v>78</v>
      </c>
      <c r="C286" s="31" t="s">
        <v>129</v>
      </c>
      <c r="D286" s="105">
        <f>IF(D66=1,1,D66*1.1)</f>
        <v>1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130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131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132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79</v>
      </c>
      <c r="C290" s="31" t="s">
        <v>129</v>
      </c>
      <c r="D290" s="105">
        <f t="shared" si="23"/>
        <v>1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130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131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132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80</v>
      </c>
      <c r="C294" s="31" t="s">
        <v>129</v>
      </c>
      <c r="D294" s="105">
        <f t="shared" si="23"/>
        <v>1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130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131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132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82</v>
      </c>
      <c r="C298" s="31" t="s">
        <v>129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130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131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132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87</v>
      </c>
      <c r="C302" s="31" t="s">
        <v>129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130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131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132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88</v>
      </c>
      <c r="C306" s="31" t="s">
        <v>129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130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131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132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90</v>
      </c>
      <c r="C310" s="31" t="s">
        <v>129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130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131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132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89</v>
      </c>
      <c r="C314" s="31" t="s">
        <v>129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130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131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132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92</v>
      </c>
      <c r="C318" s="31" t="s">
        <v>129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130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131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132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277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87</v>
      </c>
      <c r="B324" s="96" t="s">
        <v>132</v>
      </c>
      <c r="C324" s="80" t="s">
        <v>276</v>
      </c>
      <c r="D324" s="82" t="s">
        <v>109</v>
      </c>
      <c r="E324" s="82" t="s">
        <v>96</v>
      </c>
      <c r="F324" s="82" t="s">
        <v>97</v>
      </c>
      <c r="G324" s="82" t="s">
        <v>98</v>
      </c>
      <c r="H324" s="95" t="s">
        <v>99</v>
      </c>
      <c r="I324" s="93"/>
    </row>
    <row r="325" spans="1:9" ht="13" x14ac:dyDescent="0.3">
      <c r="A325" s="29"/>
      <c r="C325" s="31" t="s">
        <v>129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130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131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132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p5UR9iiaNgMYIFr/u/KgyxJBmnYGtd/iSgiNvQoDaVXb3Cg5IkcxYUFGQgd1nUi+ZH74eci14wjvrqADOhD8fQ==" saltValue="NSz3p8wAFZ6UTMdQjLjX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F29" sqref="F29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233</v>
      </c>
    </row>
    <row r="2" spans="1:7" ht="14.25" customHeight="1" x14ac:dyDescent="0.3">
      <c r="A2" s="96" t="s">
        <v>0</v>
      </c>
      <c r="B2" s="41"/>
      <c r="C2" s="29" t="s">
        <v>109</v>
      </c>
      <c r="D2" s="29" t="s">
        <v>96</v>
      </c>
      <c r="E2" s="29" t="s">
        <v>97</v>
      </c>
      <c r="F2" s="29" t="s">
        <v>98</v>
      </c>
      <c r="G2" s="29" t="s">
        <v>99</v>
      </c>
    </row>
    <row r="3" spans="1:7" ht="14.25" customHeight="1" x14ac:dyDescent="0.25">
      <c r="B3" s="45" t="s">
        <v>280</v>
      </c>
      <c r="C3" s="104" t="s">
        <v>10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281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282</v>
      </c>
    </row>
    <row r="6" spans="1:7" ht="14.25" customHeight="1" x14ac:dyDescent="0.25">
      <c r="B6" s="72" t="s">
        <v>192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185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205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200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286</v>
      </c>
    </row>
    <row r="12" spans="1:7" ht="14.25" customHeight="1" x14ac:dyDescent="0.3">
      <c r="A12" s="83"/>
      <c r="B12" s="45" t="s">
        <v>184</v>
      </c>
      <c r="C12" s="104">
        <v>1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283</v>
      </c>
    </row>
    <row r="15" spans="1:7" ht="14.25" customHeight="1" x14ac:dyDescent="0.3">
      <c r="A15" s="96" t="s">
        <v>279</v>
      </c>
      <c r="B15" s="72" t="s">
        <v>284</v>
      </c>
      <c r="C15" s="104">
        <v>1.024</v>
      </c>
      <c r="D15" s="104">
        <v>1.024</v>
      </c>
      <c r="E15" s="104">
        <v>1.024</v>
      </c>
      <c r="F15" s="104">
        <v>1.024</v>
      </c>
      <c r="G15" s="104">
        <v>1.024</v>
      </c>
    </row>
    <row r="16" spans="1:7" ht="14.25" customHeight="1" x14ac:dyDescent="0.3">
      <c r="A16" s="29"/>
      <c r="B16" s="72" t="s">
        <v>287</v>
      </c>
      <c r="C16" s="104">
        <v>1.024</v>
      </c>
      <c r="D16" s="104">
        <v>1.024</v>
      </c>
      <c r="E16" s="104">
        <v>1.024</v>
      </c>
      <c r="F16" s="104">
        <v>1.024</v>
      </c>
      <c r="G16" s="104">
        <v>1.024</v>
      </c>
    </row>
    <row r="17" spans="1:7" ht="14.25" customHeight="1" x14ac:dyDescent="0.3">
      <c r="A17" s="96" t="s">
        <v>121</v>
      </c>
      <c r="B17" s="45" t="s">
        <v>285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288</v>
      </c>
    </row>
    <row r="20" spans="1:7" s="83" customFormat="1" ht="14.25" customHeight="1" x14ac:dyDescent="0.3">
      <c r="C20" s="43" t="s">
        <v>69</v>
      </c>
      <c r="D20" s="43" t="s">
        <v>70</v>
      </c>
      <c r="E20" s="43" t="s">
        <v>71</v>
      </c>
      <c r="F20" s="43" t="s">
        <v>72</v>
      </c>
    </row>
    <row r="21" spans="1:7" x14ac:dyDescent="0.25">
      <c r="B21" s="45" t="s">
        <v>172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235</v>
      </c>
    </row>
    <row r="24" spans="1:7" ht="13" x14ac:dyDescent="0.3">
      <c r="A24" s="78" t="s">
        <v>233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0</v>
      </c>
      <c r="B25" s="41"/>
      <c r="C25" s="29" t="s">
        <v>109</v>
      </c>
      <c r="D25" s="29" t="s">
        <v>96</v>
      </c>
      <c r="E25" s="29" t="s">
        <v>97</v>
      </c>
      <c r="F25" s="29" t="s">
        <v>98</v>
      </c>
      <c r="G25" s="29" t="s">
        <v>99</v>
      </c>
    </row>
    <row r="26" spans="1:7" x14ac:dyDescent="0.25">
      <c r="B26" s="45" t="s">
        <v>289</v>
      </c>
      <c r="C26" s="104" t="s">
        <v>10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290</v>
      </c>
      <c r="C27" s="104">
        <v>1.014</v>
      </c>
      <c r="D27" s="104">
        <v>1.014</v>
      </c>
      <c r="E27" s="104">
        <v>1.014</v>
      </c>
      <c r="F27" s="104">
        <v>1.014</v>
      </c>
      <c r="G27" s="104">
        <v>1.014</v>
      </c>
    </row>
    <row r="28" spans="1:7" ht="13" x14ac:dyDescent="0.3">
      <c r="A28" s="83" t="s">
        <v>291</v>
      </c>
    </row>
    <row r="29" spans="1:7" x14ac:dyDescent="0.25">
      <c r="B29" s="72" t="s">
        <v>292</v>
      </c>
      <c r="C29" s="104">
        <f>IF(C6=1,1,C6*0.9)</f>
        <v>1</v>
      </c>
      <c r="D29" s="104">
        <f t="shared" ref="D29:G29" si="1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1"/>
        <v>1</v>
      </c>
    </row>
    <row r="30" spans="1:7" x14ac:dyDescent="0.25">
      <c r="B30" s="72" t="s">
        <v>293</v>
      </c>
      <c r="C30" s="104">
        <f t="shared" ref="C30:G32" si="2">IF(C7=1,1,C7*0.9)</f>
        <v>1</v>
      </c>
      <c r="D30" s="104">
        <f t="shared" si="2"/>
        <v>1</v>
      </c>
      <c r="E30" s="104">
        <v>0.85</v>
      </c>
      <c r="F30" s="104">
        <v>0.85</v>
      </c>
      <c r="G30" s="104">
        <f t="shared" si="2"/>
        <v>1</v>
      </c>
    </row>
    <row r="31" spans="1:7" x14ac:dyDescent="0.25">
      <c r="B31" s="72" t="s">
        <v>315</v>
      </c>
      <c r="C31" s="104">
        <f t="shared" si="2"/>
        <v>1</v>
      </c>
      <c r="D31" s="104">
        <f t="shared" si="2"/>
        <v>1</v>
      </c>
      <c r="E31" s="104">
        <v>0.85</v>
      </c>
      <c r="F31" s="104">
        <v>0.85</v>
      </c>
      <c r="G31" s="104">
        <f t="shared" si="2"/>
        <v>1</v>
      </c>
    </row>
    <row r="32" spans="1:7" x14ac:dyDescent="0.25">
      <c r="B32" s="72" t="s">
        <v>294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295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296</v>
      </c>
      <c r="C35" s="104">
        <v>1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283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279</v>
      </c>
      <c r="B38" s="72" t="s">
        <v>297</v>
      </c>
      <c r="C38" s="104">
        <v>1.016</v>
      </c>
      <c r="D38" s="104">
        <v>1.016</v>
      </c>
      <c r="E38" s="104">
        <v>1.016</v>
      </c>
      <c r="F38" s="104">
        <v>1.016</v>
      </c>
      <c r="G38" s="104">
        <v>1.016</v>
      </c>
    </row>
    <row r="39" spans="1:7" ht="13" x14ac:dyDescent="0.3">
      <c r="A39" s="29"/>
      <c r="B39" s="72" t="s">
        <v>298</v>
      </c>
      <c r="C39" s="104">
        <v>1.016</v>
      </c>
      <c r="D39" s="104">
        <v>1.016</v>
      </c>
      <c r="E39" s="104">
        <v>1.016</v>
      </c>
      <c r="F39" s="104">
        <v>1.016</v>
      </c>
      <c r="G39" s="104">
        <v>1.016</v>
      </c>
    </row>
    <row r="40" spans="1:7" ht="13" x14ac:dyDescent="0.3">
      <c r="A40" s="96" t="s">
        <v>121</v>
      </c>
      <c r="B40" s="45" t="s">
        <v>299</v>
      </c>
      <c r="C40" s="104">
        <f t="shared" ref="C40:G40" si="3">IF(C17=1,1,C17*0.9)</f>
        <v>1</v>
      </c>
      <c r="D40" s="104">
        <f t="shared" si="3"/>
        <v>1</v>
      </c>
      <c r="E40" s="104">
        <f t="shared" si="3"/>
        <v>1</v>
      </c>
      <c r="F40" s="104">
        <f t="shared" si="3"/>
        <v>1</v>
      </c>
      <c r="G40" s="104">
        <f t="shared" si="3"/>
        <v>1</v>
      </c>
    </row>
    <row r="42" spans="1:7" ht="13" x14ac:dyDescent="0.3">
      <c r="A42" s="78" t="s">
        <v>300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69</v>
      </c>
      <c r="D43" s="43" t="s">
        <v>70</v>
      </c>
      <c r="E43" s="43" t="s">
        <v>71</v>
      </c>
      <c r="F43" s="43" t="s">
        <v>72</v>
      </c>
      <c r="G43" s="83"/>
    </row>
    <row r="44" spans="1:7" x14ac:dyDescent="0.25">
      <c r="B44" s="45" t="s">
        <v>301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239</v>
      </c>
    </row>
    <row r="47" spans="1:7" ht="13" x14ac:dyDescent="0.3">
      <c r="A47" s="78" t="s">
        <v>233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0</v>
      </c>
      <c r="B48" s="41"/>
      <c r="C48" s="29" t="s">
        <v>109</v>
      </c>
      <c r="D48" s="29" t="s">
        <v>96</v>
      </c>
      <c r="E48" s="29" t="s">
        <v>97</v>
      </c>
      <c r="F48" s="29" t="s">
        <v>98</v>
      </c>
      <c r="G48" s="29" t="s">
        <v>99</v>
      </c>
    </row>
    <row r="49" spans="1:7" x14ac:dyDescent="0.25">
      <c r="B49" s="45" t="s">
        <v>302</v>
      </c>
      <c r="C49" s="104" t="s">
        <v>10</v>
      </c>
      <c r="D49" s="104">
        <f t="shared" ref="D49:G49" si="4">D3*1.05</f>
        <v>47.25</v>
      </c>
      <c r="E49" s="104">
        <f t="shared" si="4"/>
        <v>379.68000000000006</v>
      </c>
      <c r="F49" s="104">
        <f t="shared" si="4"/>
        <v>183.435</v>
      </c>
      <c r="G49" s="104">
        <f t="shared" si="4"/>
        <v>183.435</v>
      </c>
    </row>
    <row r="50" spans="1:7" ht="13" x14ac:dyDescent="0.3">
      <c r="A50" s="29"/>
      <c r="B50" s="72" t="s">
        <v>303</v>
      </c>
      <c r="C50" s="104">
        <v>1.0349999999999999</v>
      </c>
      <c r="D50" s="104">
        <v>1.0349999999999999</v>
      </c>
      <c r="E50" s="104">
        <v>1.0349999999999999</v>
      </c>
      <c r="F50" s="104">
        <v>1.0349999999999999</v>
      </c>
      <c r="G50" s="104">
        <v>1.0349999999999999</v>
      </c>
    </row>
    <row r="51" spans="1:7" ht="13" x14ac:dyDescent="0.3">
      <c r="A51" s="83" t="s">
        <v>304</v>
      </c>
    </row>
    <row r="52" spans="1:7" x14ac:dyDescent="0.25">
      <c r="B52" s="72" t="s">
        <v>305</v>
      </c>
      <c r="C52" s="104">
        <f>IF(C6=1,1,C6*1.1)</f>
        <v>1</v>
      </c>
      <c r="D52" s="104">
        <f t="shared" ref="D52:G52" si="5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5"/>
        <v>1</v>
      </c>
    </row>
    <row r="53" spans="1:7" x14ac:dyDescent="0.25">
      <c r="B53" s="72" t="s">
        <v>306</v>
      </c>
      <c r="C53" s="104">
        <f t="shared" ref="C53:G55" si="6">IF(C7=1,1,C7*1.1)</f>
        <v>1</v>
      </c>
      <c r="D53" s="104">
        <f t="shared" si="6"/>
        <v>1</v>
      </c>
      <c r="E53" s="104">
        <v>0.91</v>
      </c>
      <c r="F53" s="104">
        <v>0.91</v>
      </c>
      <c r="G53" s="104">
        <f t="shared" si="6"/>
        <v>1</v>
      </c>
    </row>
    <row r="54" spans="1:7" x14ac:dyDescent="0.25">
      <c r="B54" s="72" t="s">
        <v>316</v>
      </c>
      <c r="C54" s="104">
        <f t="shared" si="6"/>
        <v>1</v>
      </c>
      <c r="D54" s="104">
        <f t="shared" si="6"/>
        <v>1</v>
      </c>
      <c r="E54" s="104">
        <v>0.91</v>
      </c>
      <c r="F54" s="104">
        <v>0.91</v>
      </c>
      <c r="G54" s="104">
        <f t="shared" si="6"/>
        <v>1</v>
      </c>
    </row>
    <row r="55" spans="1:7" x14ac:dyDescent="0.25">
      <c r="B55" s="72" t="s">
        <v>307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308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309</v>
      </c>
      <c r="C58" s="104">
        <v>1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283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279</v>
      </c>
      <c r="B61" s="72" t="s">
        <v>310</v>
      </c>
      <c r="C61" s="104">
        <v>1.0309999999999999</v>
      </c>
      <c r="D61" s="104">
        <v>1.0309999999999999</v>
      </c>
      <c r="E61" s="104">
        <v>1.0309999999999999</v>
      </c>
      <c r="F61" s="104">
        <v>1.0309999999999999</v>
      </c>
      <c r="G61" s="104">
        <v>1.0309999999999999</v>
      </c>
    </row>
    <row r="62" spans="1:7" ht="13" x14ac:dyDescent="0.3">
      <c r="A62" s="29"/>
      <c r="B62" s="72" t="s">
        <v>311</v>
      </c>
      <c r="C62" s="104">
        <v>1.0309999999999999</v>
      </c>
      <c r="D62" s="104">
        <v>1.0309999999999999</v>
      </c>
      <c r="E62" s="104">
        <v>1.0309999999999999</v>
      </c>
      <c r="F62" s="104">
        <v>1.0309999999999999</v>
      </c>
      <c r="G62" s="104">
        <v>1.0309999999999999</v>
      </c>
    </row>
    <row r="63" spans="1:7" ht="13" x14ac:dyDescent="0.3">
      <c r="A63" s="96" t="s">
        <v>121</v>
      </c>
      <c r="B63" s="45" t="s">
        <v>312</v>
      </c>
      <c r="C63" s="104">
        <f t="shared" ref="C63:G63" si="7">IF(C17=1,1,C17*1.1)</f>
        <v>1</v>
      </c>
      <c r="D63" s="104">
        <f t="shared" si="7"/>
        <v>1</v>
      </c>
      <c r="E63" s="104">
        <f t="shared" si="7"/>
        <v>1</v>
      </c>
      <c r="F63" s="104">
        <f t="shared" si="7"/>
        <v>1</v>
      </c>
      <c r="G63" s="104">
        <f t="shared" si="7"/>
        <v>1</v>
      </c>
    </row>
    <row r="65" spans="1:7" ht="13" x14ac:dyDescent="0.3">
      <c r="A65" s="78" t="s">
        <v>313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69</v>
      </c>
      <c r="D66" s="43" t="s">
        <v>70</v>
      </c>
      <c r="E66" s="43" t="s">
        <v>71</v>
      </c>
      <c r="F66" s="43" t="s">
        <v>72</v>
      </c>
      <c r="G66" s="83"/>
    </row>
    <row r="67" spans="1:7" x14ac:dyDescent="0.25">
      <c r="B67" s="45" t="s">
        <v>314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B9TIck2PMPR5g4ne7LyuoyW+ozcNQ33uSClfXbqBt2bgLqEMV3ozmnWDVT9OnjnCHpfIsyNyYkdqhXaJk2LiuQ==" saltValue="o7inoM5+/GonvooTy1uq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topLeftCell="A7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160</v>
      </c>
      <c r="B1" s="29"/>
      <c r="C1" s="29" t="s">
        <v>51</v>
      </c>
      <c r="D1" s="29" t="s">
        <v>53</v>
      </c>
      <c r="E1" s="29" t="s">
        <v>52</v>
      </c>
      <c r="F1" s="41" t="s">
        <v>54</v>
      </c>
    </row>
    <row r="2" spans="1:6" ht="15.75" customHeight="1" x14ac:dyDescent="0.25">
      <c r="A2" s="72" t="s">
        <v>168</v>
      </c>
      <c r="B2" s="72" t="s">
        <v>317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318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180</v>
      </c>
      <c r="B4" s="72" t="s">
        <v>317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318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181</v>
      </c>
      <c r="B6" s="72" t="s">
        <v>317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318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182</v>
      </c>
      <c r="B8" s="72" t="s">
        <v>317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318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186</v>
      </c>
      <c r="B10" s="72" t="s">
        <v>317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318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190</v>
      </c>
      <c r="B12" s="72" t="s">
        <v>317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318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235</v>
      </c>
    </row>
    <row r="16" spans="1:6" ht="15.75" customHeight="1" x14ac:dyDescent="0.3">
      <c r="A16" s="41" t="s">
        <v>160</v>
      </c>
      <c r="B16" s="29"/>
      <c r="C16" s="29" t="s">
        <v>51</v>
      </c>
      <c r="D16" s="29" t="s">
        <v>53</v>
      </c>
      <c r="E16" s="29" t="s">
        <v>52</v>
      </c>
      <c r="F16" s="41" t="s">
        <v>54</v>
      </c>
    </row>
    <row r="17" spans="1:6" ht="15.75" customHeight="1" x14ac:dyDescent="0.25">
      <c r="A17" s="72" t="s">
        <v>168</v>
      </c>
      <c r="B17" s="72" t="s">
        <v>317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318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180</v>
      </c>
      <c r="B19" s="72" t="s">
        <v>317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318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181</v>
      </c>
      <c r="B21" s="72" t="s">
        <v>317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318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182</v>
      </c>
      <c r="B23" s="72" t="s">
        <v>317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318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186</v>
      </c>
      <c r="B25" s="72" t="s">
        <v>317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318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190</v>
      </c>
      <c r="B27" s="72" t="s">
        <v>317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318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239</v>
      </c>
    </row>
    <row r="31" spans="1:6" ht="15.75" customHeight="1" x14ac:dyDescent="0.3">
      <c r="A31" s="41" t="s">
        <v>160</v>
      </c>
      <c r="B31" s="29"/>
      <c r="C31" s="29" t="s">
        <v>51</v>
      </c>
      <c r="D31" s="29" t="s">
        <v>53</v>
      </c>
      <c r="E31" s="29" t="s">
        <v>52</v>
      </c>
      <c r="F31" s="41" t="s">
        <v>54</v>
      </c>
    </row>
    <row r="32" spans="1:6" ht="15.75" customHeight="1" x14ac:dyDescent="0.25">
      <c r="A32" s="72" t="s">
        <v>168</v>
      </c>
      <c r="B32" s="72" t="s">
        <v>317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318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180</v>
      </c>
      <c r="B34" s="72" t="s">
        <v>317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318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181</v>
      </c>
      <c r="B36" s="72" t="s">
        <v>317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318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182</v>
      </c>
      <c r="B38" s="72" t="s">
        <v>317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318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186</v>
      </c>
      <c r="B40" s="72" t="s">
        <v>317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318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190</v>
      </c>
      <c r="B42" s="72" t="s">
        <v>317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318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Lqwiyyl44GCj6rM4CKkVvLlRBJH8Iy/G8SMxvsgnAdHIGXydcebwboU1iWFAsIqXsyD83+Xc0yFb23ac1HggiA==" saltValue="GC//zVlnFszlnPASasJOI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3" zoomScale="70" zoomScaleNormal="70" workbookViewId="0">
      <selection activeCell="C3" sqref="C3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109</v>
      </c>
      <c r="D1" s="82" t="s">
        <v>96</v>
      </c>
      <c r="E1" s="82" t="s">
        <v>97</v>
      </c>
      <c r="F1" s="82" t="s">
        <v>98</v>
      </c>
      <c r="G1" s="82" t="s">
        <v>99</v>
      </c>
      <c r="H1" s="82" t="s">
        <v>69</v>
      </c>
      <c r="I1" s="82" t="s">
        <v>70</v>
      </c>
      <c r="J1" s="82" t="s">
        <v>71</v>
      </c>
      <c r="K1" s="82" t="s">
        <v>72</v>
      </c>
      <c r="L1" s="82" t="s">
        <v>122</v>
      </c>
      <c r="M1" s="82" t="s">
        <v>123</v>
      </c>
      <c r="N1" s="82" t="s">
        <v>124</v>
      </c>
      <c r="O1" s="82" t="s">
        <v>125</v>
      </c>
    </row>
    <row r="2" spans="1:15" ht="13" x14ac:dyDescent="0.3">
      <c r="A2" s="29" t="s">
        <v>319</v>
      </c>
    </row>
    <row r="3" spans="1:15" x14ac:dyDescent="0.25">
      <c r="B3" s="45" t="s">
        <v>171</v>
      </c>
      <c r="C3" s="104">
        <v>0.92</v>
      </c>
      <c r="D3" s="104">
        <v>0.92</v>
      </c>
      <c r="E3" s="104">
        <v>0.92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176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177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178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179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180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181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182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185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186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189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190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205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320</v>
      </c>
      <c r="B17" s="45"/>
    </row>
    <row r="18" spans="1:15" x14ac:dyDescent="0.25">
      <c r="B18" s="72" t="s">
        <v>173</v>
      </c>
      <c r="C18" s="104">
        <v>1</v>
      </c>
      <c r="D18" s="104">
        <v>1</v>
      </c>
      <c r="E18" s="104">
        <v>0.97599999999999998</v>
      </c>
      <c r="F18" s="104">
        <v>0.97599999999999998</v>
      </c>
      <c r="G18" s="104">
        <v>0.97599999999999998</v>
      </c>
      <c r="H18" s="104">
        <v>0.97599999999999998</v>
      </c>
      <c r="I18" s="104">
        <v>0.97599999999999998</v>
      </c>
      <c r="J18" s="104">
        <v>0.97599999999999998</v>
      </c>
      <c r="K18" s="104">
        <v>0.97599999999999998</v>
      </c>
      <c r="L18" s="104">
        <v>0.97599999999999998</v>
      </c>
      <c r="M18" s="104">
        <v>0.97599999999999998</v>
      </c>
      <c r="N18" s="104">
        <v>0.97599999999999998</v>
      </c>
      <c r="O18" s="104">
        <v>0.97599999999999998</v>
      </c>
    </row>
    <row r="19" spans="1:15" x14ac:dyDescent="0.25">
      <c r="B19" s="72" t="s">
        <v>174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175</v>
      </c>
      <c r="C20" s="104">
        <v>1</v>
      </c>
      <c r="D20" s="104">
        <v>1</v>
      </c>
      <c r="E20" s="104">
        <v>0.97599999999999998</v>
      </c>
      <c r="F20" s="104">
        <v>0.97599999999999998</v>
      </c>
      <c r="G20" s="104">
        <v>0.97599999999999998</v>
      </c>
      <c r="H20" s="104">
        <v>0.97599999999999998</v>
      </c>
      <c r="I20" s="104">
        <v>0.97599999999999998</v>
      </c>
      <c r="J20" s="104">
        <v>0.97599999999999998</v>
      </c>
      <c r="K20" s="104">
        <v>0.97599999999999998</v>
      </c>
      <c r="L20" s="104">
        <v>0.97599999999999998</v>
      </c>
      <c r="M20" s="104">
        <v>0.97599999999999998</v>
      </c>
      <c r="N20" s="104">
        <v>0.97599999999999998</v>
      </c>
      <c r="O20" s="104">
        <v>0.97599999999999998</v>
      </c>
    </row>
    <row r="21" spans="1:15" x14ac:dyDescent="0.25">
      <c r="B21" s="72" t="s">
        <v>183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235</v>
      </c>
    </row>
    <row r="24" spans="1:15" ht="26" x14ac:dyDescent="0.3">
      <c r="A24" s="29"/>
      <c r="B24" s="29"/>
      <c r="C24" s="82" t="s">
        <v>109</v>
      </c>
      <c r="D24" s="82" t="s">
        <v>96</v>
      </c>
      <c r="E24" s="82" t="s">
        <v>97</v>
      </c>
      <c r="F24" s="82" t="s">
        <v>98</v>
      </c>
      <c r="G24" s="82" t="s">
        <v>99</v>
      </c>
      <c r="H24" s="82" t="s">
        <v>69</v>
      </c>
      <c r="I24" s="82" t="s">
        <v>70</v>
      </c>
      <c r="J24" s="82" t="s">
        <v>71</v>
      </c>
      <c r="K24" s="82" t="s">
        <v>72</v>
      </c>
      <c r="L24" s="82" t="s">
        <v>122</v>
      </c>
      <c r="M24" s="82" t="s">
        <v>123</v>
      </c>
      <c r="N24" s="82" t="s">
        <v>124</v>
      </c>
      <c r="O24" s="82" t="s">
        <v>125</v>
      </c>
    </row>
    <row r="25" spans="1:15" ht="13" x14ac:dyDescent="0.3">
      <c r="A25" s="29" t="s">
        <v>321</v>
      </c>
    </row>
    <row r="26" spans="1:15" x14ac:dyDescent="0.25">
      <c r="B26" s="45" t="s">
        <v>171</v>
      </c>
      <c r="C26" s="104">
        <v>0.87</v>
      </c>
      <c r="D26" s="104">
        <v>0.87</v>
      </c>
      <c r="E26" s="104">
        <v>0.87</v>
      </c>
      <c r="F26" s="104">
        <f t="shared" ref="F26:O26" si="1">IF(F3=1,1,F3*0.9)</f>
        <v>1</v>
      </c>
      <c r="G26" s="104">
        <f t="shared" si="1"/>
        <v>1</v>
      </c>
      <c r="H26" s="104">
        <f t="shared" si="1"/>
        <v>1</v>
      </c>
      <c r="I26" s="104">
        <f t="shared" si="1"/>
        <v>1</v>
      </c>
      <c r="J26" s="104">
        <f t="shared" si="1"/>
        <v>1</v>
      </c>
      <c r="K26" s="104">
        <f t="shared" si="1"/>
        <v>1</v>
      </c>
      <c r="L26" s="104">
        <f t="shared" si="1"/>
        <v>1</v>
      </c>
      <c r="M26" s="104">
        <f t="shared" si="1"/>
        <v>1</v>
      </c>
      <c r="N26" s="104">
        <f t="shared" si="1"/>
        <v>1</v>
      </c>
      <c r="O26" s="104">
        <f t="shared" si="1"/>
        <v>1</v>
      </c>
    </row>
    <row r="27" spans="1:15" x14ac:dyDescent="0.25">
      <c r="B27" s="45" t="s">
        <v>176</v>
      </c>
      <c r="C27" s="104">
        <f t="shared" ref="C27:O34" si="2">IF(C4=1,1,C4*0.9)</f>
        <v>1</v>
      </c>
      <c r="D27" s="104">
        <f t="shared" si="2"/>
        <v>1</v>
      </c>
      <c r="E27" s="104">
        <f t="shared" si="2"/>
        <v>1</v>
      </c>
      <c r="F27" s="104">
        <f t="shared" si="2"/>
        <v>1</v>
      </c>
      <c r="G27" s="104">
        <f t="shared" si="2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2"/>
        <v>1</v>
      </c>
      <c r="M27" s="104">
        <f t="shared" si="2"/>
        <v>1</v>
      </c>
      <c r="N27" s="104">
        <f t="shared" si="2"/>
        <v>1</v>
      </c>
      <c r="O27" s="104">
        <f t="shared" si="2"/>
        <v>1</v>
      </c>
    </row>
    <row r="28" spans="1:15" x14ac:dyDescent="0.25">
      <c r="B28" s="45" t="s">
        <v>177</v>
      </c>
      <c r="C28" s="104">
        <f t="shared" si="2"/>
        <v>1</v>
      </c>
      <c r="D28" s="104">
        <f t="shared" si="2"/>
        <v>1</v>
      </c>
      <c r="E28" s="104">
        <f t="shared" si="2"/>
        <v>1</v>
      </c>
      <c r="F28" s="104">
        <f t="shared" si="2"/>
        <v>1</v>
      </c>
      <c r="G28" s="104">
        <f t="shared" si="2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2"/>
        <v>1</v>
      </c>
      <c r="M28" s="104">
        <f t="shared" si="2"/>
        <v>1</v>
      </c>
      <c r="N28" s="104">
        <f t="shared" si="2"/>
        <v>1</v>
      </c>
      <c r="O28" s="104">
        <f t="shared" si="2"/>
        <v>1</v>
      </c>
    </row>
    <row r="29" spans="1:15" x14ac:dyDescent="0.25">
      <c r="B29" s="45" t="s">
        <v>178</v>
      </c>
      <c r="C29" s="104">
        <f t="shared" si="2"/>
        <v>1</v>
      </c>
      <c r="D29" s="104">
        <f t="shared" si="2"/>
        <v>1</v>
      </c>
      <c r="E29" s="104">
        <f t="shared" si="2"/>
        <v>1</v>
      </c>
      <c r="F29" s="104">
        <f t="shared" si="2"/>
        <v>1</v>
      </c>
      <c r="G29" s="104">
        <f t="shared" si="2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2"/>
        <v>1</v>
      </c>
      <c r="M29" s="104">
        <f t="shared" si="2"/>
        <v>1</v>
      </c>
      <c r="N29" s="104">
        <f t="shared" si="2"/>
        <v>1</v>
      </c>
      <c r="O29" s="104">
        <f t="shared" si="2"/>
        <v>1</v>
      </c>
    </row>
    <row r="30" spans="1:15" x14ac:dyDescent="0.25">
      <c r="B30" s="45" t="s">
        <v>179</v>
      </c>
      <c r="C30" s="104">
        <f t="shared" si="2"/>
        <v>1</v>
      </c>
      <c r="D30" s="104">
        <f t="shared" si="2"/>
        <v>1</v>
      </c>
      <c r="E30" s="104">
        <f t="shared" si="2"/>
        <v>1</v>
      </c>
      <c r="F30" s="104">
        <f t="shared" si="2"/>
        <v>1</v>
      </c>
      <c r="G30" s="104">
        <f t="shared" si="2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2"/>
        <v>1</v>
      </c>
      <c r="M30" s="104">
        <f t="shared" si="2"/>
        <v>1</v>
      </c>
      <c r="N30" s="104">
        <f t="shared" si="2"/>
        <v>1</v>
      </c>
      <c r="O30" s="104">
        <f t="shared" si="2"/>
        <v>1</v>
      </c>
    </row>
    <row r="31" spans="1:15" x14ac:dyDescent="0.25">
      <c r="B31" s="72" t="s">
        <v>180</v>
      </c>
      <c r="C31" s="104">
        <f t="shared" si="2"/>
        <v>1</v>
      </c>
      <c r="D31" s="104">
        <f t="shared" si="2"/>
        <v>1</v>
      </c>
      <c r="E31" s="104">
        <f t="shared" si="2"/>
        <v>1</v>
      </c>
      <c r="F31" s="104">
        <f t="shared" si="2"/>
        <v>1</v>
      </c>
      <c r="G31" s="104">
        <f t="shared" si="2"/>
        <v>1</v>
      </c>
      <c r="H31" s="104">
        <f t="shared" si="2"/>
        <v>1</v>
      </c>
      <c r="I31" s="104">
        <f t="shared" si="2"/>
        <v>1</v>
      </c>
      <c r="J31" s="104">
        <f t="shared" si="2"/>
        <v>1</v>
      </c>
      <c r="K31" s="104">
        <f t="shared" si="2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181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  <c r="H32" s="104">
        <f t="shared" si="2"/>
        <v>1</v>
      </c>
      <c r="I32" s="104">
        <f t="shared" si="2"/>
        <v>1</v>
      </c>
      <c r="J32" s="104">
        <f t="shared" si="2"/>
        <v>1</v>
      </c>
      <c r="K32" s="104">
        <f t="shared" si="2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182</v>
      </c>
      <c r="C33" s="104">
        <f t="shared" si="2"/>
        <v>1</v>
      </c>
      <c r="D33" s="104">
        <f t="shared" si="2"/>
        <v>1</v>
      </c>
      <c r="E33" s="104">
        <f t="shared" si="2"/>
        <v>1</v>
      </c>
      <c r="F33" s="104">
        <f t="shared" si="2"/>
        <v>1</v>
      </c>
      <c r="G33" s="104">
        <f t="shared" si="2"/>
        <v>1</v>
      </c>
      <c r="H33" s="104">
        <f t="shared" si="2"/>
        <v>1</v>
      </c>
      <c r="I33" s="104">
        <f t="shared" si="2"/>
        <v>1</v>
      </c>
      <c r="J33" s="104">
        <f t="shared" si="2"/>
        <v>1</v>
      </c>
      <c r="K33" s="104">
        <f t="shared" si="2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185</v>
      </c>
      <c r="C34" s="104">
        <f t="shared" si="2"/>
        <v>1</v>
      </c>
      <c r="D34" s="104">
        <f t="shared" si="2"/>
        <v>1</v>
      </c>
      <c r="E34" s="104">
        <v>0.62</v>
      </c>
      <c r="F34" s="104">
        <v>0.62</v>
      </c>
      <c r="G34" s="104">
        <v>1</v>
      </c>
      <c r="H34" s="104">
        <f t="shared" si="2"/>
        <v>1</v>
      </c>
      <c r="I34" s="104">
        <f t="shared" si="2"/>
        <v>1</v>
      </c>
      <c r="J34" s="104">
        <f t="shared" si="2"/>
        <v>1</v>
      </c>
      <c r="K34" s="104">
        <f t="shared" si="2"/>
        <v>1</v>
      </c>
      <c r="L34" s="104">
        <f t="shared" si="2"/>
        <v>1</v>
      </c>
      <c r="M34" s="104">
        <f t="shared" si="2"/>
        <v>1</v>
      </c>
      <c r="N34" s="104">
        <f t="shared" si="2"/>
        <v>1</v>
      </c>
      <c r="O34" s="104">
        <f t="shared" si="2"/>
        <v>1</v>
      </c>
    </row>
    <row r="35" spans="1:15" x14ac:dyDescent="0.25">
      <c r="B35" s="45" t="s">
        <v>186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189</v>
      </c>
      <c r="C36" s="104">
        <f t="shared" ref="C36:O38" si="3">IF(C13=1,1,C13*0.9)</f>
        <v>1</v>
      </c>
      <c r="D36" s="104">
        <f t="shared" si="3"/>
        <v>1</v>
      </c>
      <c r="E36" s="104">
        <v>0.62</v>
      </c>
      <c r="F36" s="104">
        <v>0.62</v>
      </c>
      <c r="G36" s="104">
        <v>0.62</v>
      </c>
      <c r="H36" s="104">
        <f t="shared" si="3"/>
        <v>1</v>
      </c>
      <c r="I36" s="104">
        <f t="shared" si="3"/>
        <v>1</v>
      </c>
      <c r="J36" s="104">
        <f t="shared" si="3"/>
        <v>1</v>
      </c>
      <c r="K36" s="104">
        <f t="shared" si="3"/>
        <v>1</v>
      </c>
      <c r="L36" s="104">
        <f t="shared" si="3"/>
        <v>1</v>
      </c>
      <c r="M36" s="104">
        <f t="shared" si="3"/>
        <v>1</v>
      </c>
      <c r="N36" s="104">
        <f t="shared" si="3"/>
        <v>1</v>
      </c>
      <c r="O36" s="104">
        <f t="shared" si="3"/>
        <v>1</v>
      </c>
    </row>
    <row r="37" spans="1:15" x14ac:dyDescent="0.25">
      <c r="B37" s="45" t="s">
        <v>190</v>
      </c>
      <c r="C37" s="104">
        <f t="shared" si="3"/>
        <v>1</v>
      </c>
      <c r="D37" s="104">
        <f t="shared" si="3"/>
        <v>1</v>
      </c>
      <c r="E37" s="104">
        <f t="shared" si="3"/>
        <v>1</v>
      </c>
      <c r="F37" s="104">
        <f t="shared" si="3"/>
        <v>1</v>
      </c>
      <c r="G37" s="104">
        <f t="shared" si="3"/>
        <v>1</v>
      </c>
      <c r="H37" s="104">
        <f t="shared" si="3"/>
        <v>1</v>
      </c>
      <c r="I37" s="104">
        <f t="shared" si="3"/>
        <v>1</v>
      </c>
      <c r="J37" s="104">
        <f t="shared" si="3"/>
        <v>1</v>
      </c>
      <c r="K37" s="104">
        <f t="shared" si="3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205</v>
      </c>
      <c r="C38" s="104">
        <f t="shared" si="3"/>
        <v>1</v>
      </c>
      <c r="D38" s="104">
        <f t="shared" si="3"/>
        <v>1</v>
      </c>
      <c r="E38" s="104">
        <v>0.3</v>
      </c>
      <c r="F38" s="104">
        <v>0.3</v>
      </c>
      <c r="G38" s="104">
        <f t="shared" si="3"/>
        <v>1</v>
      </c>
      <c r="H38" s="104">
        <f t="shared" si="3"/>
        <v>1</v>
      </c>
      <c r="I38" s="104">
        <f t="shared" si="3"/>
        <v>1</v>
      </c>
      <c r="J38" s="104">
        <f t="shared" si="3"/>
        <v>1</v>
      </c>
      <c r="K38" s="104">
        <f t="shared" si="3"/>
        <v>1</v>
      </c>
      <c r="L38" s="104">
        <f t="shared" si="3"/>
        <v>1</v>
      </c>
      <c r="M38" s="104">
        <f t="shared" si="3"/>
        <v>1</v>
      </c>
      <c r="N38" s="104">
        <f t="shared" si="3"/>
        <v>1</v>
      </c>
      <c r="O38" s="104">
        <f t="shared" si="3"/>
        <v>1</v>
      </c>
    </row>
    <row r="40" spans="1:15" ht="13" x14ac:dyDescent="0.3">
      <c r="A40" s="29" t="s">
        <v>323</v>
      </c>
      <c r="B40" s="45"/>
    </row>
    <row r="41" spans="1:15" x14ac:dyDescent="0.25">
      <c r="B41" s="72" t="s">
        <v>173</v>
      </c>
      <c r="C41" s="104">
        <f t="shared" ref="C41:D44" si="4">IF(C18=1,1,C18*0.9)</f>
        <v>1</v>
      </c>
      <c r="D41" s="104">
        <f t="shared" si="4"/>
        <v>1</v>
      </c>
      <c r="E41" s="104">
        <v>0.97499999999999998</v>
      </c>
      <c r="F41" s="104">
        <v>0.97499999999999998</v>
      </c>
      <c r="G41" s="104">
        <v>0.97499999999999998</v>
      </c>
      <c r="H41" s="104">
        <v>0.97499999999999998</v>
      </c>
      <c r="I41" s="104">
        <v>0.97499999999999998</v>
      </c>
      <c r="J41" s="104">
        <v>0.97499999999999998</v>
      </c>
      <c r="K41" s="104">
        <v>0.97499999999999998</v>
      </c>
      <c r="L41" s="104">
        <v>0.97499999999999998</v>
      </c>
      <c r="M41" s="104">
        <v>0.97499999999999998</v>
      </c>
      <c r="N41" s="104">
        <v>0.97499999999999998</v>
      </c>
      <c r="O41" s="104">
        <v>0.97499999999999998</v>
      </c>
    </row>
    <row r="42" spans="1:15" x14ac:dyDescent="0.25">
      <c r="B42" s="72" t="s">
        <v>174</v>
      </c>
      <c r="C42" s="104">
        <f t="shared" si="4"/>
        <v>1</v>
      </c>
      <c r="D42" s="104">
        <f t="shared" si="4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175</v>
      </c>
      <c r="C43" s="104">
        <f t="shared" si="4"/>
        <v>1</v>
      </c>
      <c r="D43" s="104">
        <f t="shared" si="4"/>
        <v>1</v>
      </c>
      <c r="E43" s="104">
        <v>0.97499999999999998</v>
      </c>
      <c r="F43" s="104">
        <v>0.97499999999999998</v>
      </c>
      <c r="G43" s="104">
        <v>0.97499999999999998</v>
      </c>
      <c r="H43" s="104">
        <v>0.97499999999999998</v>
      </c>
      <c r="I43" s="104">
        <v>0.97499999999999998</v>
      </c>
      <c r="J43" s="104">
        <v>0.97499999999999998</v>
      </c>
      <c r="K43" s="104">
        <v>0.97499999999999998</v>
      </c>
      <c r="L43" s="104">
        <v>0.97499999999999998</v>
      </c>
      <c r="M43" s="104">
        <v>0.97499999999999998</v>
      </c>
      <c r="N43" s="104">
        <v>0.97499999999999998</v>
      </c>
      <c r="O43" s="104">
        <v>0.97499999999999998</v>
      </c>
    </row>
    <row r="44" spans="1:15" x14ac:dyDescent="0.25">
      <c r="B44" s="72" t="s">
        <v>183</v>
      </c>
      <c r="C44" s="104">
        <f t="shared" si="4"/>
        <v>1</v>
      </c>
      <c r="D44" s="104">
        <f t="shared" si="4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239</v>
      </c>
    </row>
    <row r="47" spans="1:15" ht="13" x14ac:dyDescent="0.3">
      <c r="A47" s="29"/>
      <c r="B47" s="29"/>
      <c r="C47" s="82" t="s">
        <v>109</v>
      </c>
      <c r="D47" s="82" t="s">
        <v>96</v>
      </c>
      <c r="E47" s="82" t="s">
        <v>97</v>
      </c>
      <c r="F47" s="82" t="s">
        <v>98</v>
      </c>
      <c r="G47" s="82" t="s">
        <v>99</v>
      </c>
      <c r="H47" s="82" t="s">
        <v>69</v>
      </c>
      <c r="I47" s="82" t="s">
        <v>70</v>
      </c>
      <c r="J47" s="82" t="s">
        <v>71</v>
      </c>
      <c r="K47" s="82" t="s">
        <v>72</v>
      </c>
      <c r="L47" s="82" t="s">
        <v>122</v>
      </c>
      <c r="M47" s="82" t="s">
        <v>123</v>
      </c>
      <c r="N47" s="82" t="s">
        <v>124</v>
      </c>
      <c r="O47" s="82" t="s">
        <v>125</v>
      </c>
    </row>
    <row r="48" spans="1:15" ht="13" x14ac:dyDescent="0.3">
      <c r="A48" s="29" t="s">
        <v>322</v>
      </c>
    </row>
    <row r="49" spans="1:15" x14ac:dyDescent="0.25">
      <c r="B49" s="45" t="s">
        <v>171</v>
      </c>
      <c r="C49" s="104">
        <v>0.99</v>
      </c>
      <c r="D49" s="104">
        <v>0.99</v>
      </c>
      <c r="E49" s="104">
        <v>0.99</v>
      </c>
      <c r="F49" s="104">
        <f t="shared" ref="F49:O49" si="5">IF(F3=1,1,F3*1.05)</f>
        <v>1</v>
      </c>
      <c r="G49" s="104">
        <f t="shared" si="5"/>
        <v>1</v>
      </c>
      <c r="H49" s="104">
        <f t="shared" si="5"/>
        <v>1</v>
      </c>
      <c r="I49" s="104">
        <f t="shared" si="5"/>
        <v>1</v>
      </c>
      <c r="J49" s="104">
        <f t="shared" si="5"/>
        <v>1</v>
      </c>
      <c r="K49" s="104">
        <f t="shared" si="5"/>
        <v>1</v>
      </c>
      <c r="L49" s="104">
        <f t="shared" si="5"/>
        <v>1</v>
      </c>
      <c r="M49" s="104">
        <f t="shared" si="5"/>
        <v>1</v>
      </c>
      <c r="N49" s="104">
        <f t="shared" si="5"/>
        <v>1</v>
      </c>
      <c r="O49" s="104">
        <f t="shared" si="5"/>
        <v>1</v>
      </c>
    </row>
    <row r="50" spans="1:15" x14ac:dyDescent="0.25">
      <c r="B50" s="45" t="s">
        <v>176</v>
      </c>
      <c r="C50" s="104">
        <f t="shared" ref="C50:O57" si="6">IF(C4=1,1,C4*1.05)</f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  <c r="G50" s="104">
        <f t="shared" si="6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6"/>
        <v>1</v>
      </c>
      <c r="M50" s="104">
        <f t="shared" si="6"/>
        <v>1</v>
      </c>
      <c r="N50" s="104">
        <f t="shared" si="6"/>
        <v>1</v>
      </c>
      <c r="O50" s="104">
        <f t="shared" si="6"/>
        <v>1</v>
      </c>
    </row>
    <row r="51" spans="1:15" x14ac:dyDescent="0.25">
      <c r="B51" s="45" t="s">
        <v>177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  <c r="G51" s="104">
        <f t="shared" si="6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6"/>
        <v>1</v>
      </c>
      <c r="M51" s="104">
        <f t="shared" si="6"/>
        <v>1</v>
      </c>
      <c r="N51" s="104">
        <f t="shared" si="6"/>
        <v>1</v>
      </c>
      <c r="O51" s="104">
        <f t="shared" si="6"/>
        <v>1</v>
      </c>
    </row>
    <row r="52" spans="1:15" x14ac:dyDescent="0.25">
      <c r="B52" s="45" t="s">
        <v>178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  <c r="G52" s="104">
        <f t="shared" si="6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6"/>
        <v>1</v>
      </c>
      <c r="M52" s="104">
        <f t="shared" si="6"/>
        <v>1</v>
      </c>
      <c r="N52" s="104">
        <f t="shared" si="6"/>
        <v>1</v>
      </c>
      <c r="O52" s="104">
        <f t="shared" si="6"/>
        <v>1</v>
      </c>
    </row>
    <row r="53" spans="1:15" x14ac:dyDescent="0.25">
      <c r="B53" s="45" t="s">
        <v>179</v>
      </c>
      <c r="C53" s="104">
        <f t="shared" si="6"/>
        <v>1</v>
      </c>
      <c r="D53" s="104">
        <f t="shared" si="6"/>
        <v>1</v>
      </c>
      <c r="E53" s="104">
        <f t="shared" si="6"/>
        <v>1</v>
      </c>
      <c r="F53" s="104">
        <f t="shared" si="6"/>
        <v>1</v>
      </c>
      <c r="G53" s="104">
        <f t="shared" si="6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6"/>
        <v>1</v>
      </c>
      <c r="M53" s="104">
        <f t="shared" si="6"/>
        <v>1</v>
      </c>
      <c r="N53" s="104">
        <f t="shared" si="6"/>
        <v>1</v>
      </c>
      <c r="O53" s="104">
        <f t="shared" si="6"/>
        <v>1</v>
      </c>
    </row>
    <row r="54" spans="1:15" x14ac:dyDescent="0.25">
      <c r="B54" s="72" t="s">
        <v>180</v>
      </c>
      <c r="C54" s="104">
        <f t="shared" si="6"/>
        <v>1</v>
      </c>
      <c r="D54" s="104">
        <f t="shared" si="6"/>
        <v>1</v>
      </c>
      <c r="E54" s="104">
        <f t="shared" si="6"/>
        <v>1</v>
      </c>
      <c r="F54" s="104">
        <f t="shared" si="6"/>
        <v>1</v>
      </c>
      <c r="G54" s="104">
        <f t="shared" si="6"/>
        <v>1</v>
      </c>
      <c r="H54" s="104">
        <f t="shared" si="6"/>
        <v>1</v>
      </c>
      <c r="I54" s="104">
        <f t="shared" si="6"/>
        <v>1</v>
      </c>
      <c r="J54" s="104">
        <f t="shared" si="6"/>
        <v>1</v>
      </c>
      <c r="K54" s="104">
        <f t="shared" si="6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181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  <c r="H55" s="104">
        <f t="shared" si="6"/>
        <v>1</v>
      </c>
      <c r="I55" s="104">
        <f t="shared" si="6"/>
        <v>1</v>
      </c>
      <c r="J55" s="104">
        <f t="shared" si="6"/>
        <v>1</v>
      </c>
      <c r="K55" s="104">
        <f t="shared" si="6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182</v>
      </c>
      <c r="C56" s="104">
        <f t="shared" si="6"/>
        <v>1</v>
      </c>
      <c r="D56" s="104">
        <f t="shared" si="6"/>
        <v>1</v>
      </c>
      <c r="E56" s="104">
        <f t="shared" si="6"/>
        <v>1</v>
      </c>
      <c r="F56" s="104">
        <f t="shared" si="6"/>
        <v>1</v>
      </c>
      <c r="G56" s="104">
        <f t="shared" si="6"/>
        <v>1</v>
      </c>
      <c r="H56" s="104">
        <f t="shared" si="6"/>
        <v>1</v>
      </c>
      <c r="I56" s="104">
        <f t="shared" si="6"/>
        <v>1</v>
      </c>
      <c r="J56" s="104">
        <f t="shared" si="6"/>
        <v>1</v>
      </c>
      <c r="K56" s="104">
        <f t="shared" si="6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185</v>
      </c>
      <c r="C57" s="104">
        <f t="shared" si="6"/>
        <v>1</v>
      </c>
      <c r="D57" s="104">
        <f t="shared" si="6"/>
        <v>1</v>
      </c>
      <c r="E57" s="104">
        <v>0.77</v>
      </c>
      <c r="F57" s="104">
        <v>0.77</v>
      </c>
      <c r="G57" s="104">
        <f t="shared" si="6"/>
        <v>1</v>
      </c>
      <c r="H57" s="104">
        <f t="shared" si="6"/>
        <v>1</v>
      </c>
      <c r="I57" s="104">
        <f t="shared" si="6"/>
        <v>1</v>
      </c>
      <c r="J57" s="104">
        <f t="shared" si="6"/>
        <v>1</v>
      </c>
      <c r="K57" s="104">
        <f t="shared" si="6"/>
        <v>1</v>
      </c>
      <c r="L57" s="104">
        <f t="shared" si="6"/>
        <v>1</v>
      </c>
      <c r="M57" s="104">
        <f t="shared" si="6"/>
        <v>1</v>
      </c>
      <c r="N57" s="104">
        <f t="shared" si="6"/>
        <v>1</v>
      </c>
      <c r="O57" s="104">
        <f t="shared" si="6"/>
        <v>1</v>
      </c>
    </row>
    <row r="58" spans="1:15" x14ac:dyDescent="0.25">
      <c r="B58" s="45" t="s">
        <v>186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189</v>
      </c>
      <c r="C59" s="104">
        <f t="shared" ref="C59:O61" si="7">IF(C13=1,1,C13*1.05)</f>
        <v>1</v>
      </c>
      <c r="D59" s="104">
        <f t="shared" si="7"/>
        <v>1</v>
      </c>
      <c r="E59" s="104">
        <v>0.77</v>
      </c>
      <c r="F59" s="104">
        <v>0.77</v>
      </c>
      <c r="G59" s="104">
        <v>0.77</v>
      </c>
      <c r="H59" s="104">
        <f t="shared" si="7"/>
        <v>1</v>
      </c>
      <c r="I59" s="104">
        <f t="shared" si="7"/>
        <v>1</v>
      </c>
      <c r="J59" s="104">
        <f t="shared" si="7"/>
        <v>1</v>
      </c>
      <c r="K59" s="104">
        <f t="shared" si="7"/>
        <v>1</v>
      </c>
      <c r="L59" s="104">
        <f t="shared" si="7"/>
        <v>1</v>
      </c>
      <c r="M59" s="104">
        <f t="shared" si="7"/>
        <v>1</v>
      </c>
      <c r="N59" s="104">
        <f t="shared" si="7"/>
        <v>1</v>
      </c>
      <c r="O59" s="104">
        <f t="shared" si="7"/>
        <v>1</v>
      </c>
    </row>
    <row r="60" spans="1:15" x14ac:dyDescent="0.25">
      <c r="B60" s="45" t="s">
        <v>190</v>
      </c>
      <c r="C60" s="104">
        <f t="shared" si="7"/>
        <v>1</v>
      </c>
      <c r="D60" s="104">
        <f t="shared" si="7"/>
        <v>1</v>
      </c>
      <c r="E60" s="104">
        <f t="shared" si="7"/>
        <v>1</v>
      </c>
      <c r="F60" s="104">
        <f t="shared" si="7"/>
        <v>1</v>
      </c>
      <c r="G60" s="104">
        <f t="shared" si="7"/>
        <v>1</v>
      </c>
      <c r="H60" s="104">
        <f t="shared" si="7"/>
        <v>1</v>
      </c>
      <c r="I60" s="104">
        <f t="shared" si="7"/>
        <v>1</v>
      </c>
      <c r="J60" s="104">
        <f t="shared" si="7"/>
        <v>1</v>
      </c>
      <c r="K60" s="104">
        <f t="shared" si="7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205</v>
      </c>
      <c r="C61" s="104">
        <f t="shared" si="7"/>
        <v>1</v>
      </c>
      <c r="D61" s="104">
        <f t="shared" si="7"/>
        <v>1</v>
      </c>
      <c r="E61" s="104">
        <v>0.44</v>
      </c>
      <c r="F61" s="104">
        <v>0.44</v>
      </c>
      <c r="G61" s="104">
        <f t="shared" si="7"/>
        <v>1</v>
      </c>
      <c r="H61" s="104">
        <f t="shared" si="7"/>
        <v>1</v>
      </c>
      <c r="I61" s="104">
        <f t="shared" si="7"/>
        <v>1</v>
      </c>
      <c r="J61" s="104">
        <f t="shared" si="7"/>
        <v>1</v>
      </c>
      <c r="K61" s="104">
        <f t="shared" si="7"/>
        <v>1</v>
      </c>
      <c r="L61" s="104">
        <f t="shared" si="7"/>
        <v>1</v>
      </c>
      <c r="M61" s="104">
        <f t="shared" si="7"/>
        <v>1</v>
      </c>
      <c r="N61" s="104">
        <f t="shared" si="7"/>
        <v>1</v>
      </c>
      <c r="O61" s="104">
        <f t="shared" si="7"/>
        <v>1</v>
      </c>
    </row>
    <row r="63" spans="1:15" ht="13" x14ac:dyDescent="0.3">
      <c r="A63" s="29" t="s">
        <v>324</v>
      </c>
      <c r="B63" s="45"/>
    </row>
    <row r="64" spans="1:15" x14ac:dyDescent="0.25">
      <c r="B64" s="72" t="s">
        <v>173</v>
      </c>
      <c r="C64" s="104">
        <f t="shared" ref="C64:D67" si="8">IF(C18=1,1,C18*1.05)</f>
        <v>1</v>
      </c>
      <c r="D64" s="104">
        <f t="shared" si="8"/>
        <v>1</v>
      </c>
      <c r="E64" s="104">
        <v>0.97799999999999998</v>
      </c>
      <c r="F64" s="104">
        <v>0.97799999999999998</v>
      </c>
      <c r="G64" s="104">
        <v>0.97799999999999998</v>
      </c>
      <c r="H64" s="104">
        <v>0.97799999999999998</v>
      </c>
      <c r="I64" s="104">
        <v>0.97799999999999998</v>
      </c>
      <c r="J64" s="104">
        <v>0.97799999999999998</v>
      </c>
      <c r="K64" s="104">
        <v>0.97799999999999998</v>
      </c>
      <c r="L64" s="104">
        <v>0.97799999999999998</v>
      </c>
      <c r="M64" s="104">
        <v>0.97799999999999998</v>
      </c>
      <c r="N64" s="104">
        <v>0.97799999999999998</v>
      </c>
      <c r="O64" s="104">
        <v>0.97799999999999998</v>
      </c>
    </row>
    <row r="65" spans="2:15" x14ac:dyDescent="0.25">
      <c r="B65" s="72" t="s">
        <v>174</v>
      </c>
      <c r="C65" s="104">
        <f t="shared" si="8"/>
        <v>1</v>
      </c>
      <c r="D65" s="104">
        <f t="shared" si="8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175</v>
      </c>
      <c r="C66" s="104">
        <f t="shared" si="8"/>
        <v>1</v>
      </c>
      <c r="D66" s="104">
        <f t="shared" si="8"/>
        <v>1</v>
      </c>
      <c r="E66" s="104">
        <v>0.97799999999999998</v>
      </c>
      <c r="F66" s="104">
        <v>0.97799999999999998</v>
      </c>
      <c r="G66" s="104">
        <v>0.97799999999999998</v>
      </c>
      <c r="H66" s="104">
        <v>0.97799999999999998</v>
      </c>
      <c r="I66" s="104">
        <v>0.97799999999999998</v>
      </c>
      <c r="J66" s="104">
        <v>0.97799999999999998</v>
      </c>
      <c r="K66" s="104">
        <v>0.97799999999999998</v>
      </c>
      <c r="L66" s="104">
        <v>0.97799999999999998</v>
      </c>
      <c r="M66" s="104">
        <v>0.97799999999999998</v>
      </c>
      <c r="N66" s="104">
        <v>0.97799999999999998</v>
      </c>
      <c r="O66" s="104">
        <v>0.97799999999999998</v>
      </c>
    </row>
    <row r="67" spans="2:15" x14ac:dyDescent="0.25">
      <c r="B67" s="72" t="s">
        <v>183</v>
      </c>
      <c r="C67" s="104">
        <f t="shared" si="8"/>
        <v>1</v>
      </c>
      <c r="D67" s="104">
        <f t="shared" si="8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I7sFqR6483cYNrB9IPUfMoUGg3C7wU8DQ3rKY+j9SIP2ZF2nYvx1Jz/6oS3QJX+i8KuPoP+UpMZp66AR0Xhrgw==" saltValue="PePe0frN0Ln9czSHI6BCI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109</v>
      </c>
      <c r="D1" s="29" t="s">
        <v>96</v>
      </c>
      <c r="E1" s="29" t="s">
        <v>97</v>
      </c>
      <c r="F1" s="29" t="s">
        <v>98</v>
      </c>
      <c r="G1" s="29" t="s">
        <v>99</v>
      </c>
    </row>
    <row r="2" spans="1:7" ht="13" x14ac:dyDescent="0.3">
      <c r="A2" s="29" t="s">
        <v>325</v>
      </c>
    </row>
    <row r="3" spans="1:7" x14ac:dyDescent="0.25">
      <c r="B3" s="45" t="s">
        <v>161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326</v>
      </c>
      <c r="B4" s="45"/>
      <c r="C4" s="97"/>
      <c r="D4" s="97"/>
      <c r="E4" s="97"/>
      <c r="F4" s="97"/>
      <c r="G4" s="97"/>
    </row>
    <row r="5" spans="1:7" x14ac:dyDescent="0.25">
      <c r="B5" s="72" t="s">
        <v>165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331</v>
      </c>
    </row>
    <row r="8" spans="1:7" ht="13" x14ac:dyDescent="0.3">
      <c r="A8" s="29"/>
      <c r="B8" s="41"/>
      <c r="C8" s="29" t="s">
        <v>109</v>
      </c>
      <c r="D8" s="29" t="s">
        <v>96</v>
      </c>
      <c r="E8" s="29" t="s">
        <v>97</v>
      </c>
      <c r="F8" s="29" t="s">
        <v>98</v>
      </c>
      <c r="G8" s="29" t="s">
        <v>99</v>
      </c>
    </row>
    <row r="9" spans="1:7" ht="13" x14ac:dyDescent="0.3">
      <c r="A9" s="29" t="s">
        <v>327</v>
      </c>
    </row>
    <row r="10" spans="1:7" x14ac:dyDescent="0.25">
      <c r="B10" s="45" t="s">
        <v>161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328</v>
      </c>
      <c r="B11" s="45"/>
      <c r="C11" s="97"/>
      <c r="D11" s="97"/>
      <c r="E11" s="97"/>
      <c r="F11" s="97"/>
      <c r="G11" s="97"/>
    </row>
    <row r="12" spans="1:7" x14ac:dyDescent="0.25">
      <c r="B12" s="72" t="s">
        <v>165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332</v>
      </c>
    </row>
    <row r="15" spans="1:7" ht="13" x14ac:dyDescent="0.3">
      <c r="A15" s="29"/>
      <c r="B15" s="41"/>
      <c r="C15" s="29" t="s">
        <v>109</v>
      </c>
      <c r="D15" s="29" t="s">
        <v>96</v>
      </c>
      <c r="E15" s="29" t="s">
        <v>97</v>
      </c>
      <c r="F15" s="29" t="s">
        <v>98</v>
      </c>
      <c r="G15" s="29" t="s">
        <v>99</v>
      </c>
    </row>
    <row r="16" spans="1:7" ht="13" x14ac:dyDescent="0.3">
      <c r="A16" s="29" t="s">
        <v>329</v>
      </c>
    </row>
    <row r="17" spans="1:7" x14ac:dyDescent="0.25">
      <c r="B17" s="45" t="s">
        <v>161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330</v>
      </c>
      <c r="B18" s="45"/>
      <c r="C18" s="97"/>
      <c r="D18" s="97"/>
      <c r="E18" s="97"/>
      <c r="F18" s="97"/>
      <c r="G18" s="97"/>
    </row>
    <row r="19" spans="1:7" x14ac:dyDescent="0.25">
      <c r="B19" s="72" t="s">
        <v>165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B/bJTAh605V2fFlLcEGdPQ8IJZgMAlb6aBNOGwQdz2uXJixVQNTtBvUpDF+gwhbVxLH3zdMN0Txi3rZseIx1Fw==" saltValue="kHEyrZjA/g2rgQIEf9fs3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zoomScale="70" zoomScaleNormal="70" workbookViewId="0">
      <selection activeCell="F18" sqref="F18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160</v>
      </c>
      <c r="B1" s="29" t="s">
        <v>333</v>
      </c>
      <c r="C1" s="96" t="s">
        <v>11</v>
      </c>
      <c r="D1" s="29" t="s">
        <v>109</v>
      </c>
      <c r="E1" s="29" t="s">
        <v>96</v>
      </c>
      <c r="F1" s="29" t="s">
        <v>97</v>
      </c>
      <c r="G1" s="29" t="s">
        <v>98</v>
      </c>
      <c r="H1" s="29" t="s">
        <v>99</v>
      </c>
    </row>
    <row r="2" spans="1:8" x14ac:dyDescent="0.25">
      <c r="A2" s="39" t="s">
        <v>193</v>
      </c>
      <c r="B2" s="39" t="s">
        <v>87</v>
      </c>
      <c r="C2" s="39" t="s">
        <v>334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335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336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192</v>
      </c>
      <c r="B5" s="39" t="s">
        <v>208</v>
      </c>
      <c r="C5" s="39" t="s">
        <v>334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336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209</v>
      </c>
      <c r="C7" s="39" t="s">
        <v>334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336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185</v>
      </c>
      <c r="B9" s="39" t="s">
        <v>208</v>
      </c>
      <c r="C9" s="39" t="s">
        <v>334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336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209</v>
      </c>
      <c r="C11" s="39" t="s">
        <v>334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336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205</v>
      </c>
      <c r="B13" s="39" t="s">
        <v>208</v>
      </c>
      <c r="C13" s="39" t="s">
        <v>334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336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209</v>
      </c>
      <c r="C15" s="39" t="s">
        <v>334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336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170</v>
      </c>
      <c r="B17" s="39" t="s">
        <v>208</v>
      </c>
      <c r="C17" s="39" t="s">
        <v>334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336</v>
      </c>
      <c r="D18" s="104">
        <v>0</v>
      </c>
      <c r="E18" s="104">
        <v>0</v>
      </c>
      <c r="F18" s="104">
        <f>MIN(MAX(1-0.89/(1-frac_sam_6_11months+(frac_sam_6_11months*0.89)),0),1)</f>
        <v>0.10845784237982603</v>
      </c>
      <c r="G18" s="104">
        <f>MIN(MAX(1-0.89/(1-frac_sam_12_23months+(frac_sam_12_23months*0.89)),0),1)</f>
        <v>0.10901055997751219</v>
      </c>
      <c r="H18" s="104">
        <f>MIN(MAX(1-0.89/(1-frac_sam_24_59months+(frac_sam_24_59months*0.89)),0),1)</f>
        <v>0.10928137311800357</v>
      </c>
    </row>
    <row r="19" spans="1:8" x14ac:dyDescent="0.25">
      <c r="B19" s="39" t="s">
        <v>209</v>
      </c>
      <c r="C19" s="39" t="s">
        <v>334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336</v>
      </c>
      <c r="D20" s="104">
        <v>0</v>
      </c>
      <c r="E20" s="104">
        <v>0</v>
      </c>
      <c r="F20" s="104">
        <f>MIN(MAX(1-0.89/(1-frac_mam_6_11months+(frac_mam_6_11months*0.89)),0),1)</f>
        <v>0.102693699554117</v>
      </c>
      <c r="G20" s="104">
        <f>MIN(MAX(1-0.89/(1-frac_mam_12_23months+(frac_mam_12_23months*0.89)),0),1)</f>
        <v>0.10383415684384856</v>
      </c>
      <c r="H20" s="104">
        <f>MIN(MAX(1-0.89/(1-frac_mam_24_59months+(frac_mam_24_59months*0.89)),0),1)</f>
        <v>0.10583644124371139</v>
      </c>
    </row>
    <row r="21" spans="1:8" x14ac:dyDescent="0.25">
      <c r="A21" s="39" t="s">
        <v>175</v>
      </c>
      <c r="B21" s="39" t="s">
        <v>84</v>
      </c>
      <c r="C21" s="39" t="s">
        <v>334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335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173</v>
      </c>
      <c r="B23" s="39" t="s">
        <v>84</v>
      </c>
      <c r="C23" s="39" t="s">
        <v>334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335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174</v>
      </c>
      <c r="B25" s="39" t="s">
        <v>84</v>
      </c>
      <c r="C25" s="39" t="s">
        <v>334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335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197</v>
      </c>
      <c r="B27" s="39" t="s">
        <v>87</v>
      </c>
      <c r="C27" s="39" t="s">
        <v>334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335</v>
      </c>
      <c r="D28" s="104">
        <v>0.3</v>
      </c>
      <c r="E28" s="104">
        <v>0.3</v>
      </c>
      <c r="F28" s="104">
        <v>0.3</v>
      </c>
      <c r="G28" s="104">
        <v>0.3</v>
      </c>
      <c r="H28" s="104">
        <v>0.3</v>
      </c>
    </row>
    <row r="29" spans="1:8" x14ac:dyDescent="0.25">
      <c r="C29" s="39" t="s">
        <v>336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198</v>
      </c>
      <c r="B30" s="39" t="s">
        <v>87</v>
      </c>
      <c r="C30" s="39" t="s">
        <v>334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335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336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196</v>
      </c>
      <c r="B33" s="39" t="s">
        <v>87</v>
      </c>
      <c r="C33" s="39" t="s">
        <v>334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335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336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195</v>
      </c>
      <c r="B36" s="39" t="s">
        <v>87</v>
      </c>
      <c r="C36" s="39" t="s">
        <v>334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335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336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194</v>
      </c>
      <c r="B39" s="39" t="s">
        <v>87</v>
      </c>
      <c r="C39" s="39" t="s">
        <v>334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335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336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200</v>
      </c>
      <c r="B42" s="39" t="s">
        <v>87</v>
      </c>
      <c r="C42" s="39" t="s">
        <v>334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335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336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88</v>
      </c>
      <c r="C45" s="39" t="s">
        <v>334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335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336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191</v>
      </c>
      <c r="B48" s="39" t="s">
        <v>87</v>
      </c>
      <c r="C48" s="39" t="s">
        <v>334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335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199</v>
      </c>
      <c r="B50" s="39" t="s">
        <v>87</v>
      </c>
      <c r="C50" s="39" t="s">
        <v>334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335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184</v>
      </c>
      <c r="B52" s="39" t="s">
        <v>82</v>
      </c>
      <c r="C52" s="39" t="s">
        <v>334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335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331</v>
      </c>
      <c r="B55" s="111"/>
      <c r="C55" s="111"/>
    </row>
    <row r="56" spans="1:8" ht="13" x14ac:dyDescent="0.3">
      <c r="A56" s="29" t="s">
        <v>160</v>
      </c>
      <c r="B56" s="29" t="s">
        <v>333</v>
      </c>
      <c r="C56" s="96" t="s">
        <v>11</v>
      </c>
      <c r="D56" s="29" t="s">
        <v>109</v>
      </c>
      <c r="E56" s="29" t="s">
        <v>96</v>
      </c>
      <c r="F56" s="29" t="s">
        <v>97</v>
      </c>
      <c r="G56" s="29" t="s">
        <v>98</v>
      </c>
      <c r="H56" s="29" t="s">
        <v>99</v>
      </c>
    </row>
    <row r="57" spans="1:8" x14ac:dyDescent="0.25">
      <c r="A57" s="39" t="s">
        <v>193</v>
      </c>
      <c r="B57" s="39" t="s">
        <v>87</v>
      </c>
      <c r="C57" s="39" t="s">
        <v>334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335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336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192</v>
      </c>
      <c r="B60" s="39" t="s">
        <v>208</v>
      </c>
      <c r="C60" s="39" t="s">
        <v>334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336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209</v>
      </c>
      <c r="C62" s="39" t="s">
        <v>334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336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185</v>
      </c>
      <c r="B64" s="39" t="s">
        <v>208</v>
      </c>
      <c r="C64" s="39" t="s">
        <v>334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336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209</v>
      </c>
      <c r="C66" s="39" t="s">
        <v>334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336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205</v>
      </c>
      <c r="B68" s="39" t="s">
        <v>208</v>
      </c>
      <c r="C68" s="39" t="s">
        <v>334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336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209</v>
      </c>
      <c r="C70" s="39" t="s">
        <v>334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336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170</v>
      </c>
      <c r="B72" s="39" t="s">
        <v>208</v>
      </c>
      <c r="C72" s="39" t="s">
        <v>334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336</v>
      </c>
      <c r="D73" s="104">
        <f t="shared" si="2"/>
        <v>0</v>
      </c>
      <c r="E73" s="104">
        <f t="shared" si="2"/>
        <v>0</v>
      </c>
      <c r="F73" s="104">
        <f>MIN(MAX(1-0.99/(1-frac_sam_6_11months+(frac_sam_6_11months*0.99)),0),1)</f>
        <v>9.8442967462329944E-3</v>
      </c>
      <c r="G73" s="104">
        <f>MIN(MAX(1-0.99/(1-frac_sam_12_23months+(frac_sam_12_23months*0.99)),0),1)</f>
        <v>9.9000452880145806E-3</v>
      </c>
      <c r="H73" s="104">
        <f>MIN(MAX(1-0.99/(1-frac_sam_24_59months+(frac_sam_24_59months*0.99)),0),1)</f>
        <v>9.9273831696513604E-3</v>
      </c>
    </row>
    <row r="74" spans="1:8" x14ac:dyDescent="0.25">
      <c r="B74" s="39" t="s">
        <v>209</v>
      </c>
      <c r="C74" s="39" t="s">
        <v>334</v>
      </c>
      <c r="D74" s="104">
        <f t="shared" si="2"/>
        <v>0</v>
      </c>
      <c r="E74" s="104">
        <f t="shared" si="2"/>
        <v>0</v>
      </c>
      <c r="F74" s="104">
        <v>1</v>
      </c>
      <c r="G74" s="104">
        <v>1</v>
      </c>
      <c r="H74" s="104">
        <v>1</v>
      </c>
    </row>
    <row r="75" spans="1:8" x14ac:dyDescent="0.25">
      <c r="C75" s="39" t="s">
        <v>336</v>
      </c>
      <c r="D75" s="104">
        <f t="shared" si="2"/>
        <v>0</v>
      </c>
      <c r="E75" s="104">
        <f t="shared" si="2"/>
        <v>0</v>
      </c>
      <c r="F75" s="104">
        <f>MIN(MAX(1-0.99/(1-frac_mam_6_11months+(frac_mam_6_11months*0.99)),0),1)</f>
        <v>9.2666337588885872E-3</v>
      </c>
      <c r="G75" s="104">
        <f>MIN(MAX(1-0.99/(1-frac_mam_12_23months+(frac_mam_12_23months*0.99)),0),1)</f>
        <v>9.3803901376610099E-3</v>
      </c>
      <c r="H75" s="104">
        <f>MIN(MAX(1-0.99/(1-frac_mam_24_59months+(frac_mam_24_59months*0.99)),0),1)</f>
        <v>9.5807489880992414E-3</v>
      </c>
    </row>
    <row r="76" spans="1:8" x14ac:dyDescent="0.25">
      <c r="A76" s="39" t="s">
        <v>175</v>
      </c>
      <c r="B76" s="39" t="s">
        <v>84</v>
      </c>
      <c r="C76" s="39" t="s">
        <v>334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335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173</v>
      </c>
      <c r="B78" s="39" t="s">
        <v>84</v>
      </c>
      <c r="C78" s="39" t="s">
        <v>334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335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174</v>
      </c>
      <c r="B80" s="39" t="s">
        <v>84</v>
      </c>
      <c r="C80" s="39" t="s">
        <v>334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335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197</v>
      </c>
      <c r="B82" s="39" t="s">
        <v>87</v>
      </c>
      <c r="C82" s="39" t="s">
        <v>334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335</v>
      </c>
      <c r="D83" s="104">
        <v>7.0000000000000007E-2</v>
      </c>
      <c r="E83" s="104">
        <v>7.0000000000000007E-2</v>
      </c>
      <c r="F83" s="104">
        <v>7.0000000000000007E-2</v>
      </c>
      <c r="G83" s="104">
        <v>7.0000000000000007E-2</v>
      </c>
      <c r="H83" s="104">
        <v>7.0000000000000007E-2</v>
      </c>
    </row>
    <row r="84" spans="1:8" x14ac:dyDescent="0.25">
      <c r="C84" s="39" t="s">
        <v>336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198</v>
      </c>
      <c r="B85" s="39" t="s">
        <v>87</v>
      </c>
      <c r="C85" s="39" t="s">
        <v>334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335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336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196</v>
      </c>
      <c r="B88" s="39" t="s">
        <v>87</v>
      </c>
      <c r="C88" s="39" t="s">
        <v>334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335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336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195</v>
      </c>
      <c r="B91" s="39" t="s">
        <v>87</v>
      </c>
      <c r="C91" s="39" t="s">
        <v>334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335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336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194</v>
      </c>
      <c r="B94" s="39" t="s">
        <v>87</v>
      </c>
      <c r="C94" s="39" t="s">
        <v>334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335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336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200</v>
      </c>
      <c r="B97" s="39" t="s">
        <v>87</v>
      </c>
      <c r="C97" s="39" t="s">
        <v>334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335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336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88</v>
      </c>
      <c r="C100" s="39" t="s">
        <v>334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335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336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191</v>
      </c>
      <c r="B103" s="39" t="s">
        <v>87</v>
      </c>
      <c r="C103" s="39" t="s">
        <v>334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335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199</v>
      </c>
      <c r="B105" s="39" t="s">
        <v>87</v>
      </c>
      <c r="C105" s="39" t="s">
        <v>334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335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184</v>
      </c>
      <c r="B107" s="39" t="s">
        <v>82</v>
      </c>
      <c r="C107" s="39" t="s">
        <v>334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335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332</v>
      </c>
      <c r="B110" s="111"/>
      <c r="C110" s="111"/>
    </row>
    <row r="111" spans="1:8" ht="13" x14ac:dyDescent="0.3">
      <c r="A111" s="29" t="s">
        <v>160</v>
      </c>
      <c r="B111" s="29" t="s">
        <v>333</v>
      </c>
      <c r="C111" s="96" t="s">
        <v>11</v>
      </c>
      <c r="D111" s="29" t="s">
        <v>109</v>
      </c>
      <c r="E111" s="29" t="s">
        <v>96</v>
      </c>
      <c r="F111" s="29" t="s">
        <v>97</v>
      </c>
      <c r="G111" s="29" t="s">
        <v>98</v>
      </c>
      <c r="H111" s="29" t="s">
        <v>99</v>
      </c>
    </row>
    <row r="112" spans="1:8" x14ac:dyDescent="0.25">
      <c r="A112" s="39" t="s">
        <v>193</v>
      </c>
      <c r="B112" s="39" t="s">
        <v>87</v>
      </c>
      <c r="C112" s="39" t="s">
        <v>334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335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336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192</v>
      </c>
      <c r="B115" s="39" t="s">
        <v>208</v>
      </c>
      <c r="C115" s="39" t="s">
        <v>334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336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209</v>
      </c>
      <c r="C117" s="39" t="s">
        <v>334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336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185</v>
      </c>
      <c r="B119" s="39" t="s">
        <v>208</v>
      </c>
      <c r="C119" s="39" t="s">
        <v>334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336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209</v>
      </c>
      <c r="C121" s="39" t="s">
        <v>334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336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205</v>
      </c>
      <c r="B123" s="39" t="s">
        <v>208</v>
      </c>
      <c r="C123" s="39" t="s">
        <v>334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336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209</v>
      </c>
      <c r="C125" s="39" t="s">
        <v>334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336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170</v>
      </c>
      <c r="B127" s="39" t="s">
        <v>208</v>
      </c>
      <c r="C127" s="39" t="s">
        <v>334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336</v>
      </c>
      <c r="D128" s="104">
        <f t="shared" si="9"/>
        <v>0</v>
      </c>
      <c r="E128" s="104">
        <f t="shared" si="9"/>
        <v>0</v>
      </c>
      <c r="F128" s="104">
        <f>MIN(MAX(1-0.8/(1-frac_sam_6_11months+(frac_sam_6_11months*0.8)),0),1)</f>
        <v>0.1974760415732103</v>
      </c>
      <c r="G128" s="104">
        <f>MIN(MAX(1-0.8/(1-frac_sam_12_23months+(frac_sam_12_23months*0.8)),0),1)</f>
        <v>0.19838146543966784</v>
      </c>
      <c r="H128" s="104">
        <f>MIN(MAX(1-0.8/(1-frac_sam_24_59months+(frac_sam_24_59months*0.8)),0),1)</f>
        <v>0.19882475677586242</v>
      </c>
    </row>
    <row r="129" spans="1:8" x14ac:dyDescent="0.25">
      <c r="B129" s="39" t="s">
        <v>209</v>
      </c>
      <c r="C129" s="39" t="s">
        <v>334</v>
      </c>
      <c r="D129" s="104">
        <f t="shared" si="9"/>
        <v>0</v>
      </c>
      <c r="E129" s="104">
        <f t="shared" si="9"/>
        <v>0</v>
      </c>
      <c r="F129" s="104">
        <v>1</v>
      </c>
      <c r="G129" s="104">
        <v>1</v>
      </c>
      <c r="H129" s="104">
        <v>1</v>
      </c>
    </row>
    <row r="130" spans="1:8" x14ac:dyDescent="0.25">
      <c r="C130" s="39" t="s">
        <v>336</v>
      </c>
      <c r="D130" s="104">
        <f t="shared" si="9"/>
        <v>0</v>
      </c>
      <c r="E130" s="104">
        <f t="shared" si="9"/>
        <v>0</v>
      </c>
      <c r="F130" s="104">
        <f>MIN(MAX(1-0.8/(1-frac_mam_6_11months+(frac_mam_6_11months*0.8)),0),1)</f>
        <v>0.18797841604987719</v>
      </c>
      <c r="G130" s="104">
        <f>MIN(MAX(1-0.8/(1-frac_mam_12_23months+(frac_mam_12_23months*0.8)),0),1)</f>
        <v>0.18986558987248614</v>
      </c>
      <c r="H130" s="104">
        <f>MIN(MAX(1-0.8/(1-frac_mam_24_59months+(frac_mam_24_59months*0.8)),0),1)</f>
        <v>0.19316926438997273</v>
      </c>
    </row>
    <row r="131" spans="1:8" x14ac:dyDescent="0.25">
      <c r="A131" s="39" t="s">
        <v>175</v>
      </c>
      <c r="B131" s="39" t="s">
        <v>84</v>
      </c>
      <c r="C131" s="39" t="s">
        <v>334</v>
      </c>
      <c r="D131" s="104">
        <f t="shared" ref="D131" si="10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335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173</v>
      </c>
      <c r="B133" s="39" t="s">
        <v>84</v>
      </c>
      <c r="C133" s="39" t="s">
        <v>334</v>
      </c>
      <c r="D133" s="104">
        <f t="shared" ref="D133" si="11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335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174</v>
      </c>
      <c r="B135" s="39" t="s">
        <v>84</v>
      </c>
      <c r="C135" s="39" t="s">
        <v>334</v>
      </c>
      <c r="D135" s="104">
        <f t="shared" ref="D135" si="12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335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197</v>
      </c>
      <c r="B137" s="39" t="s">
        <v>87</v>
      </c>
      <c r="C137" s="39" t="s">
        <v>334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335</v>
      </c>
      <c r="D138" s="104">
        <v>0.51</v>
      </c>
      <c r="E138" s="104">
        <v>0.51</v>
      </c>
      <c r="F138" s="104">
        <v>0.51</v>
      </c>
      <c r="G138" s="104">
        <v>0.51</v>
      </c>
      <c r="H138" s="104">
        <v>0.51</v>
      </c>
    </row>
    <row r="139" spans="1:8" x14ac:dyDescent="0.25">
      <c r="C139" s="39" t="s">
        <v>336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198</v>
      </c>
      <c r="B140" s="39" t="s">
        <v>87</v>
      </c>
      <c r="C140" s="39" t="s">
        <v>334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335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336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196</v>
      </c>
      <c r="B143" s="39" t="s">
        <v>87</v>
      </c>
      <c r="C143" s="39" t="s">
        <v>334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335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336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195</v>
      </c>
      <c r="B146" s="39" t="s">
        <v>87</v>
      </c>
      <c r="C146" s="39" t="s">
        <v>334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335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336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194</v>
      </c>
      <c r="B149" s="39" t="s">
        <v>87</v>
      </c>
      <c r="C149" s="39" t="s">
        <v>334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335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336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200</v>
      </c>
      <c r="B152" s="39" t="s">
        <v>87</v>
      </c>
      <c r="C152" s="39" t="s">
        <v>334</v>
      </c>
      <c r="D152" s="104">
        <f t="shared" ref="D152:H153" si="13">IF($C97="Affected fraction",D97,IF(D97=1,1,D97*0.9))</f>
        <v>0</v>
      </c>
      <c r="E152" s="104">
        <f t="shared" si="13"/>
        <v>1</v>
      </c>
      <c r="F152" s="104">
        <f t="shared" si="13"/>
        <v>1</v>
      </c>
      <c r="G152" s="104">
        <f t="shared" si="13"/>
        <v>1</v>
      </c>
      <c r="H152" s="104">
        <f t="shared" si="13"/>
        <v>1</v>
      </c>
    </row>
    <row r="153" spans="1:8" x14ac:dyDescent="0.25">
      <c r="C153" s="39" t="s">
        <v>335</v>
      </c>
      <c r="D153" s="104">
        <f t="shared" si="13"/>
        <v>0</v>
      </c>
      <c r="E153" s="104">
        <f t="shared" si="13"/>
        <v>0</v>
      </c>
      <c r="F153" s="104">
        <f t="shared" si="13"/>
        <v>0</v>
      </c>
      <c r="G153" s="104">
        <f t="shared" si="13"/>
        <v>0</v>
      </c>
      <c r="H153" s="104">
        <f t="shared" si="13"/>
        <v>0</v>
      </c>
    </row>
    <row r="154" spans="1:8" x14ac:dyDescent="0.25">
      <c r="C154" s="39" t="s">
        <v>336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88</v>
      </c>
      <c r="C155" s="39" t="s">
        <v>334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335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336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191</v>
      </c>
      <c r="B158" s="39" t="s">
        <v>87</v>
      </c>
      <c r="C158" s="39" t="s">
        <v>334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335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199</v>
      </c>
      <c r="B160" s="39" t="s">
        <v>87</v>
      </c>
      <c r="C160" s="39" t="s">
        <v>334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335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184</v>
      </c>
      <c r="B162" s="39" t="s">
        <v>82</v>
      </c>
      <c r="C162" s="39" t="s">
        <v>334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335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pre1GCjgCgWNnW3yl98P55tbYANnu7M+w6ySd7qd/E3EmapFXrPIf5PjVLKBlHqjIGVHfN3YnHPxDP+XBAbPcw==" saltValue="6GxF9twfLjmQMXrtw3z80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160</v>
      </c>
      <c r="B1" s="41" t="s">
        <v>333</v>
      </c>
      <c r="C1" s="41"/>
      <c r="D1" s="29" t="s">
        <v>122</v>
      </c>
      <c r="E1" s="29" t="s">
        <v>123</v>
      </c>
      <c r="F1" s="29" t="s">
        <v>124</v>
      </c>
      <c r="G1" s="29" t="s">
        <v>125</v>
      </c>
      <c r="H1" s="29"/>
    </row>
    <row r="2" spans="1:8" x14ac:dyDescent="0.25">
      <c r="A2" s="31" t="s">
        <v>169</v>
      </c>
      <c r="B2" s="27" t="s">
        <v>104</v>
      </c>
      <c r="C2" s="31" t="s">
        <v>334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335</v>
      </c>
      <c r="D3" s="104">
        <v>0</v>
      </c>
      <c r="E3" s="104">
        <v>0</v>
      </c>
      <c r="F3" s="104">
        <v>0</v>
      </c>
      <c r="G3" s="104">
        <v>0</v>
      </c>
      <c r="H3" s="31"/>
    </row>
    <row r="4" spans="1:8" x14ac:dyDescent="0.25">
      <c r="A4" s="31" t="s">
        <v>188</v>
      </c>
      <c r="B4" s="27" t="s">
        <v>104</v>
      </c>
      <c r="C4" s="31" t="s">
        <v>334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335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187</v>
      </c>
      <c r="B6" s="27" t="s">
        <v>104</v>
      </c>
      <c r="C6" s="31" t="s">
        <v>334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335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331</v>
      </c>
    </row>
    <row r="10" spans="1:8" ht="13" x14ac:dyDescent="0.3">
      <c r="A10" s="41" t="s">
        <v>160</v>
      </c>
      <c r="B10" s="41" t="s">
        <v>333</v>
      </c>
      <c r="C10" s="41"/>
      <c r="D10" s="29" t="s">
        <v>122</v>
      </c>
      <c r="E10" s="29" t="s">
        <v>123</v>
      </c>
      <c r="F10" s="29" t="s">
        <v>124</v>
      </c>
      <c r="G10" s="29" t="s">
        <v>125</v>
      </c>
    </row>
    <row r="11" spans="1:8" x14ac:dyDescent="0.25">
      <c r="A11" s="31" t="s">
        <v>169</v>
      </c>
      <c r="B11" s="27" t="s">
        <v>104</v>
      </c>
      <c r="C11" s="31" t="s">
        <v>334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335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188</v>
      </c>
      <c r="B13" s="27" t="s">
        <v>104</v>
      </c>
      <c r="C13" s="31" t="s">
        <v>334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335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187</v>
      </c>
      <c r="B15" s="27" t="s">
        <v>104</v>
      </c>
      <c r="C15" s="31" t="s">
        <v>334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335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332</v>
      </c>
    </row>
    <row r="19" spans="1:7" ht="13" x14ac:dyDescent="0.3">
      <c r="A19" s="41" t="s">
        <v>160</v>
      </c>
      <c r="B19" s="41" t="s">
        <v>333</v>
      </c>
      <c r="C19" s="41"/>
      <c r="D19" s="29" t="s">
        <v>122</v>
      </c>
      <c r="E19" s="29" t="s">
        <v>123</v>
      </c>
      <c r="F19" s="29" t="s">
        <v>124</v>
      </c>
      <c r="G19" s="29" t="s">
        <v>125</v>
      </c>
    </row>
    <row r="20" spans="1:7" x14ac:dyDescent="0.25">
      <c r="A20" s="31" t="s">
        <v>169</v>
      </c>
      <c r="B20" s="27" t="s">
        <v>104</v>
      </c>
      <c r="C20" s="31" t="s">
        <v>334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335</v>
      </c>
      <c r="D21" s="104">
        <v>0</v>
      </c>
      <c r="E21" s="104">
        <v>0</v>
      </c>
      <c r="F21" s="104">
        <v>0</v>
      </c>
      <c r="G21" s="104">
        <v>0</v>
      </c>
    </row>
    <row r="22" spans="1:7" x14ac:dyDescent="0.25">
      <c r="A22" s="31" t="s">
        <v>188</v>
      </c>
      <c r="B22" s="27" t="s">
        <v>104</v>
      </c>
      <c r="C22" s="31" t="s">
        <v>334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335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187</v>
      </c>
      <c r="B24" s="27" t="s">
        <v>104</v>
      </c>
      <c r="C24" s="31" t="s">
        <v>334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335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qw0ZL57nobDeYZHm8LBHwSC+smhSTYM35HSFnF/IOs+JZviDoK2+F1oxiinMGe3sXRvWuPs6vBM1U/cICW6HsA==" saltValue="ST2T4rd8RyS2fx0cNnfPOg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2024-08-06T08:38:59Z</dcterms:modified>
</cp:coreProperties>
</file>