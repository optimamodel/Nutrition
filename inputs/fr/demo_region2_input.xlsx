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"/>
    </mc:Choice>
  </mc:AlternateContent>
  <xr:revisionPtr revIDLastSave="0" documentId="8_{E2B5AF6B-C3E4-4089-AD4D-63C2D5C58F4B}" xr6:coauthVersionLast="47" xr6:coauthVersionMax="47" xr10:uidLastSave="{00000000-0000-0000-0000-000000000000}"/>
  <bookViews>
    <workbookView xWindow="20" yWindow="6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4" r:id="rId3"/>
    <sheet name="Dist. de l'état nutritionnel" sheetId="5" r:id="rId4"/>
    <sheet name="Dist. l'allaitement maternel" sheetId="50" r:id="rId5"/>
    <sheet name="Tendances temporelles" sheetId="75" state="hidden" r:id="rId6"/>
    <sheet name="Perte économique" sheetId="76" r:id="rId7"/>
    <sheet name="Paquets ANJE" sheetId="55" r:id="rId8"/>
    <sheet name="Traitement de la MAS" sheetId="60" r:id="rId9"/>
    <sheet name="Coûts et couvertures des prgms" sheetId="56" r:id="rId10"/>
    <sheet name="Dépendances du programme" sheetId="58" r:id="rId11"/>
    <sheet name="Programmes de référence" sheetId="59" state="hidden" r:id="rId12"/>
    <sheet name="Incidence des conditions" sheetId="7" state="hidden" r:id="rId13"/>
    <sheet name="Programmes-population cible" sheetId="21" state="hidden" r:id="rId14"/>
    <sheet name="Options de la courbe de coût" sheetId="61" state="hidden" r:id="rId15"/>
    <sheet name="Programmes-planification fam." sheetId="54" state="hidden" r:id="rId16"/>
    <sheet name="Programmes - population touchée" sheetId="62" state="hidden" r:id="rId17"/>
    <sheet name="Programme - secteurs à risque" sheetId="63" state="hidden" r:id="rId18"/>
    <sheet name="Population des sect. à risque" sheetId="64" state="hidden" r:id="rId19"/>
    <sheet name="Rapport des cotes ANJE" sheetId="65" state="hidden" r:id="rId20"/>
    <sheet name="Risques des rés. des naissances" sheetId="66" state="hidden" r:id="rId21"/>
    <sheet name="Risques relatifs" sheetId="67" state="hidden" r:id="rId22"/>
    <sheet name="Rapports des cotes" sheetId="68" state="hidden" r:id="rId23"/>
    <sheet name="Programmes-rés. des naissances" sheetId="69" state="hidden" r:id="rId24"/>
    <sheet name="Programmes-anémie" sheetId="70" state="hidden" r:id="rId25"/>
    <sheet name="Programmes-émaciation" sheetId="71" state="hidden" r:id="rId26"/>
    <sheet name="Programmes pour les enfants" sheetId="72" state="hidden" r:id="rId27"/>
    <sheet name="Programmes pour les FE" sheetId="73" state="hidden" r:id="rId28"/>
  </sheets>
  <externalReferences>
    <externalReference r:id="rId29"/>
  </externalReferences>
  <definedNames>
    <definedName name="_xlnm._FilterDatabase" localSheetId="20" hidden="1">'Risques des rés. des naissances'!$A$1:$F$7</definedName>
    <definedName name="abortion" localSheetId="7">'Données pop de l''année de ref'!$C$38</definedName>
    <definedName name="abortion" localSheetId="6">'[1]Baseline year population inputs'!$C$41</definedName>
    <definedName name="abortion" localSheetId="5">'[1]Baseline year population inputs'!$C$41</definedName>
    <definedName name="abortion">'Données pop de l''année de ref'!$C$41</definedName>
    <definedName name="comm_deliv" localSheetId="6">'[1]Treatment of SAM'!$D$3</definedName>
    <definedName name="comm_deliv" localSheetId="5">'[1]Treatment of SAM'!$D$3</definedName>
    <definedName name="comm_deliv">'Traitement de la MAS'!$D$3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'Données pop de l''année de ref'!$C$52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'Données pop de l''année de ref'!$C$54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'Données pop de l''année de ref'!$C$51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'Données pop de l''année de ref'!$C$55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'Données pop de l''année de ref'!$C$53</definedName>
    <definedName name="end_year" localSheetId="6">'[1]Baseline year population inputs'!$C$4</definedName>
    <definedName name="end_year" localSheetId="5">'[1]Baseline year population inputs'!$C$4</definedName>
    <definedName name="end_year">'Données pop de l''année de ref'!$C$4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'Données pop de l''année de ref'!$C$13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'Données pop de l''année de ref'!$C$8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'Données pop de l''année de ref'!$C$12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'Données pop de l''année de ref'!$C$58</definedName>
    <definedName name="frac_maize" localSheetId="6">'[1]Baseline year population inputs'!$C$19</definedName>
    <definedName name="frac_maize" localSheetId="5">'[1]Baseline year population inputs'!$C$19</definedName>
    <definedName name="frac_maize">'Données pop de l''année de ref'!$C$19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'Données pop de l''année de ref'!$C$9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'Dist. de l''état nutritionnel'!$D$10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'Dist. de l''état nutritionnel'!$F$10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'Dist. de l''état nutritionnel'!$C$10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'Dist. de l''état nutritionnel'!$G$10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'Dist. de l''état nutritionnel'!$E$10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'Données pop de l''année de ref'!#REF!</definedName>
    <definedName name="frac_other_staples">'Données pop de l''année de ref'!$C$20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'Données pop de l''année de ref'!$C$11</definedName>
    <definedName name="frac_rice" localSheetId="6">'[1]Baseline year population inputs'!$C$17</definedName>
    <definedName name="frac_rice" localSheetId="5">'[1]Baseline year population inputs'!$C$17</definedName>
    <definedName name="frac_rice">'Données pop de l''année de ref'!$C$17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'Dist. de l''état nutritionnel'!$D$11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'Dist. de l''état nutritionnel'!$F$11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'Dist. de l''état nutritionnel'!$C$11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'Dist. de l''état nutritionnel'!$G$11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'Dist. de l''état nutritionnel'!$E$11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'Données pop de l''année de ref'!#REF!</definedName>
    <definedName name="frac_subsistence_farming">'Données pop de l''année de ref'!$C$16</definedName>
    <definedName name="frac_wheat" localSheetId="6">'[1]Baseline year population inputs'!$C$18</definedName>
    <definedName name="frac_wheat" localSheetId="5">'[1]Baseline year population inputs'!$C$18</definedName>
    <definedName name="frac_wheat">'Données pop de l''année de ref'!$C$18</definedName>
    <definedName name="infant_mortality">'Données pop de l''année de ref'!$C$38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 localSheetId="6">'[1]Baseline year population inputs'!$C$46</definedName>
    <definedName name="preterm_AGA" localSheetId="5">'[1]Baseline year population inputs'!$C$46</definedName>
    <definedName name="preterm_AGA">'Données pop de l''année de ref'!$C$46</definedName>
    <definedName name="preterm_SGA" localSheetId="6">'[1]Baseline year population inputs'!$C$45</definedName>
    <definedName name="preterm_SGA" localSheetId="5">'[1]Baseline year population inputs'!$C$45</definedName>
    <definedName name="preterm_SGA">'Données pop de l''année de ref'!$C$45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'Données pop de l''année de ref'!$C$10</definedName>
    <definedName name="start_year" localSheetId="6">'[1]Baseline year population inputs'!$C$3</definedName>
    <definedName name="start_year" localSheetId="5">'[1]Baseline year population inputs'!$C$3</definedName>
    <definedName name="start_year">'Données pop de l''année de ref'!$C$3</definedName>
    <definedName name="stillbirth" localSheetId="7">'Données pop de l''année de ref'!$C$39</definedName>
    <definedName name="stillbirth" localSheetId="6">'[1]Baseline year population inputs'!$C$42</definedName>
    <definedName name="stillbirth" localSheetId="5">'[1]Baseline year population inputs'!$C$42</definedName>
    <definedName name="stillbirth">'Données pop de l''année de ref'!$C$42</definedName>
    <definedName name="term_AGA">'Données pop de l''année de ref'!$C$48</definedName>
    <definedName name="term_SGA" localSheetId="6">'[1]Baseline year population inputs'!$C$47</definedName>
    <definedName name="term_SGA" localSheetId="5">'[1]Baseline year population inputs'!$C$47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H153" i="72"/>
  <c r="G153" i="72"/>
  <c r="F153" i="72"/>
  <c r="E153" i="72"/>
  <c r="D153" i="72"/>
  <c r="H136" i="72"/>
  <c r="G136" i="72"/>
  <c r="F136" i="72"/>
  <c r="E136" i="72"/>
  <c r="H135" i="72"/>
  <c r="G135" i="72"/>
  <c r="F135" i="72"/>
  <c r="E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D131" i="72"/>
  <c r="H130" i="72"/>
  <c r="G130" i="72"/>
  <c r="F130" i="72"/>
  <c r="E130" i="72"/>
  <c r="D130" i="72"/>
  <c r="E129" i="72"/>
  <c r="D129" i="72"/>
  <c r="H128" i="72"/>
  <c r="G128" i="72"/>
  <c r="F128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H112" i="72"/>
  <c r="G112" i="72"/>
  <c r="F112" i="72"/>
  <c r="E112" i="72"/>
  <c r="D112" i="72"/>
  <c r="H97" i="72"/>
  <c r="H152" i="72" s="1"/>
  <c r="G97" i="72"/>
  <c r="G152" i="72" s="1"/>
  <c r="F97" i="72"/>
  <c r="F152" i="72" s="1"/>
  <c r="E97" i="72"/>
  <c r="E152" i="72" s="1"/>
  <c r="D97" i="72"/>
  <c r="D152" i="72" s="1"/>
  <c r="H81" i="72"/>
  <c r="G81" i="72"/>
  <c r="F81" i="72"/>
  <c r="E81" i="72"/>
  <c r="H80" i="72"/>
  <c r="G80" i="72"/>
  <c r="F80" i="72"/>
  <c r="E80" i="72"/>
  <c r="D80" i="72"/>
  <c r="D135" i="72" s="1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H75" i="72"/>
  <c r="G75" i="72"/>
  <c r="F75" i="72"/>
  <c r="E75" i="72"/>
  <c r="D75" i="72"/>
  <c r="E74" i="72"/>
  <c r="D74" i="72"/>
  <c r="H73" i="72"/>
  <c r="G73" i="72"/>
  <c r="F73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G57" i="72"/>
  <c r="F57" i="72"/>
  <c r="E57" i="72"/>
  <c r="D57" i="72"/>
  <c r="H20" i="72"/>
  <c r="G20" i="72"/>
  <c r="F20" i="72"/>
  <c r="H18" i="72"/>
  <c r="G18" i="72"/>
  <c r="F18" i="72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F42" i="69"/>
  <c r="E42" i="69"/>
  <c r="D42" i="69"/>
  <c r="C42" i="69"/>
  <c r="F40" i="69"/>
  <c r="E40" i="69"/>
  <c r="D40" i="69"/>
  <c r="C40" i="69"/>
  <c r="F38" i="69"/>
  <c r="E38" i="69"/>
  <c r="D38" i="69"/>
  <c r="C38" i="69"/>
  <c r="F36" i="69"/>
  <c r="E36" i="69"/>
  <c r="D36" i="69"/>
  <c r="C36" i="69"/>
  <c r="F34" i="69"/>
  <c r="E34" i="69"/>
  <c r="D34" i="69"/>
  <c r="C34" i="69"/>
  <c r="F32" i="69"/>
  <c r="E32" i="69"/>
  <c r="D32" i="69"/>
  <c r="C32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21" i="69"/>
  <c r="E21" i="69"/>
  <c r="D21" i="69"/>
  <c r="C21" i="69"/>
  <c r="F19" i="69"/>
  <c r="E19" i="69"/>
  <c r="D19" i="69"/>
  <c r="C19" i="69"/>
  <c r="F17" i="69"/>
  <c r="E17" i="69"/>
  <c r="D17" i="69"/>
  <c r="C17" i="69"/>
  <c r="D12" i="69"/>
  <c r="C12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67" i="68"/>
  <c r="G63" i="68"/>
  <c r="F63" i="68"/>
  <c r="E63" i="68"/>
  <c r="D63" i="68"/>
  <c r="C63" i="68"/>
  <c r="G55" i="68"/>
  <c r="F55" i="68"/>
  <c r="E55" i="68"/>
  <c r="D55" i="68"/>
  <c r="C55" i="68"/>
  <c r="G54" i="68"/>
  <c r="D54" i="68"/>
  <c r="C54" i="68"/>
  <c r="G53" i="68"/>
  <c r="D53" i="68"/>
  <c r="C53" i="68"/>
  <c r="G52" i="68"/>
  <c r="F52" i="68"/>
  <c r="E52" i="68"/>
  <c r="D52" i="68"/>
  <c r="C52" i="68"/>
  <c r="G49" i="68"/>
  <c r="F49" i="68"/>
  <c r="E49" i="68"/>
  <c r="D49" i="68"/>
  <c r="C44" i="68"/>
  <c r="G40" i="68"/>
  <c r="F40" i="68"/>
  <c r="E40" i="68"/>
  <c r="D40" i="68"/>
  <c r="C40" i="68"/>
  <c r="G32" i="68"/>
  <c r="F32" i="68"/>
  <c r="E32" i="68"/>
  <c r="D32" i="68"/>
  <c r="C32" i="68"/>
  <c r="G31" i="68"/>
  <c r="D31" i="68"/>
  <c r="C31" i="68"/>
  <c r="G30" i="68"/>
  <c r="D30" i="68"/>
  <c r="C30" i="68"/>
  <c r="G29" i="68"/>
  <c r="F29" i="68"/>
  <c r="E29" i="68"/>
  <c r="D29" i="68"/>
  <c r="C29" i="68"/>
  <c r="G26" i="68"/>
  <c r="F26" i="68"/>
  <c r="E26" i="68"/>
  <c r="D26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G25" i="73"/>
  <c r="F25" i="73"/>
  <c r="E25" i="73"/>
  <c r="D25" i="73"/>
  <c r="G24" i="73"/>
  <c r="F24" i="73"/>
  <c r="E24" i="73"/>
  <c r="D24" i="73"/>
  <c r="G23" i="73"/>
  <c r="F23" i="73"/>
  <c r="E23" i="73"/>
  <c r="D23" i="73"/>
  <c r="G22" i="73"/>
  <c r="F22" i="73"/>
  <c r="E22" i="73"/>
  <c r="D22" i="73"/>
  <c r="G20" i="73"/>
  <c r="F20" i="73"/>
  <c r="E20" i="73"/>
  <c r="D20" i="73"/>
  <c r="G16" i="73"/>
  <c r="F16" i="73"/>
  <c r="E16" i="73"/>
  <c r="D16" i="73"/>
  <c r="G15" i="73"/>
  <c r="F15" i="73"/>
  <c r="E15" i="73"/>
  <c r="D15" i="73"/>
  <c r="G14" i="73"/>
  <c r="F14" i="73"/>
  <c r="E14" i="73"/>
  <c r="D14" i="73"/>
  <c r="G13" i="73"/>
  <c r="F13" i="73"/>
  <c r="E13" i="73"/>
  <c r="D13" i="73"/>
  <c r="G11" i="73"/>
  <c r="F11" i="73"/>
  <c r="E11" i="73"/>
  <c r="D11" i="73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A23" i="2" l="1"/>
  <c r="A35" i="2"/>
  <c r="A20" i="2"/>
  <c r="I4" i="2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</commentList>
</comments>
</file>

<file path=xl/sharedStrings.xml><?xml version="1.0" encoding="utf-8"?>
<sst xmlns="http://schemas.openxmlformats.org/spreadsheetml/2006/main" count="2093" uniqueCount="337">
  <si>
    <t>Condition</t>
  </si>
  <si>
    <t>Sepsis</t>
  </si>
  <si>
    <t>Population</t>
  </si>
  <si>
    <t>Implant</t>
  </si>
  <si>
    <t>Distribution</t>
  </si>
  <si>
    <t>Field</t>
  </si>
  <si>
    <t>Extension</t>
  </si>
  <si>
    <t>x</t>
  </si>
  <si>
    <t>Causes</t>
  </si>
  <si>
    <t>Normal</t>
  </si>
  <si>
    <t>N/A</t>
  </si>
  <si>
    <t>Outcome</t>
  </si>
  <si>
    <t>Type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</si>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</sst>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</numFmts>
  <fonts count="2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1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51" sqref="C51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13</v>
      </c>
      <c r="B1" s="30" t="s">
        <v>5</v>
      </c>
      <c r="C1" s="30" t="s">
        <v>66</v>
      </c>
    </row>
    <row r="2" spans="1:3" ht="16" customHeight="1" x14ac:dyDescent="0.3">
      <c r="A2" s="8" t="s">
        <v>14</v>
      </c>
      <c r="B2" s="30"/>
      <c r="C2" s="30"/>
    </row>
    <row r="3" spans="1:3" ht="16" customHeight="1" x14ac:dyDescent="0.3">
      <c r="A3" s="1"/>
      <c r="B3" s="5" t="s">
        <v>15</v>
      </c>
      <c r="C3" s="48">
        <v>2017</v>
      </c>
    </row>
    <row r="4" spans="1:3" ht="16" customHeight="1" x14ac:dyDescent="0.3">
      <c r="A4" s="1"/>
      <c r="B4" s="5" t="s">
        <v>16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50">
        <v>9862402</v>
      </c>
    </row>
    <row r="8" spans="1:3" ht="15" customHeight="1" x14ac:dyDescent="0.25">
      <c r="B8" s="5" t="s">
        <v>19</v>
      </c>
      <c r="C8" s="51">
        <v>0.28199999999999997</v>
      </c>
    </row>
    <row r="9" spans="1:3" ht="15" customHeight="1" x14ac:dyDescent="0.25">
      <c r="B9" s="5" t="s">
        <v>20</v>
      </c>
      <c r="C9" s="52">
        <v>1</v>
      </c>
    </row>
    <row r="10" spans="1:3" ht="15" customHeight="1" x14ac:dyDescent="0.25">
      <c r="B10" s="5" t="s">
        <v>21</v>
      </c>
      <c r="C10" s="52">
        <v>0.23</v>
      </c>
    </row>
    <row r="11" spans="1:3" ht="15" customHeight="1" x14ac:dyDescent="0.25">
      <c r="B11" s="5" t="s">
        <v>22</v>
      </c>
      <c r="C11" s="51">
        <v>0.51</v>
      </c>
    </row>
    <row r="12" spans="1:3" ht="15" customHeight="1" x14ac:dyDescent="0.25">
      <c r="B12" s="5" t="s">
        <v>23</v>
      </c>
      <c r="C12" s="51">
        <v>0.37</v>
      </c>
    </row>
    <row r="13" spans="1:3" ht="15" customHeight="1" x14ac:dyDescent="0.25">
      <c r="B13" s="5" t="s">
        <v>24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52">
        <v>0.3</v>
      </c>
    </row>
    <row r="17" spans="1:3" ht="15" customHeight="1" x14ac:dyDescent="0.25">
      <c r="B17" s="5" t="s">
        <v>27</v>
      </c>
      <c r="C17" s="52">
        <v>0.1</v>
      </c>
    </row>
    <row r="18" spans="1:3" ht="15" customHeight="1" x14ac:dyDescent="0.25">
      <c r="B18" s="5" t="s">
        <v>28</v>
      </c>
      <c r="C18" s="52">
        <v>0.1</v>
      </c>
    </row>
    <row r="19" spans="1:3" ht="15" customHeight="1" x14ac:dyDescent="0.25">
      <c r="B19" s="5" t="s">
        <v>29</v>
      </c>
      <c r="C19" s="52">
        <v>0.8</v>
      </c>
    </row>
    <row r="20" spans="1:3" ht="15" customHeight="1" x14ac:dyDescent="0.25">
      <c r="B20" s="5" t="s">
        <v>30</v>
      </c>
      <c r="C20" s="112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52">
        <v>0.127</v>
      </c>
    </row>
    <row r="24" spans="1:3" ht="15" customHeight="1" x14ac:dyDescent="0.25">
      <c r="B24" s="15" t="s">
        <v>33</v>
      </c>
      <c r="C24" s="52">
        <v>0.45200000000000001</v>
      </c>
    </row>
    <row r="25" spans="1:3" ht="15" customHeight="1" x14ac:dyDescent="0.25">
      <c r="B25" s="15" t="s">
        <v>34</v>
      </c>
      <c r="C25" s="52">
        <v>0.33400000000000002</v>
      </c>
    </row>
    <row r="26" spans="1:3" ht="15" customHeight="1" x14ac:dyDescent="0.25">
      <c r="B26" s="15" t="s">
        <v>35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4" t="s">
        <v>37</v>
      </c>
      <c r="C29" s="53">
        <v>0.20799999999999999</v>
      </c>
    </row>
    <row r="30" spans="1:3" ht="14.25" customHeight="1" x14ac:dyDescent="0.25">
      <c r="B30" s="24" t="s">
        <v>38</v>
      </c>
      <c r="C30" s="53">
        <v>0.63700000000000001</v>
      </c>
    </row>
    <row r="31" spans="1:3" ht="14.25" customHeight="1" x14ac:dyDescent="0.25">
      <c r="B31" s="24" t="s">
        <v>39</v>
      </c>
      <c r="C31" s="53">
        <v>0.11899999999999999</v>
      </c>
    </row>
    <row r="32" spans="1:3" ht="14.25" customHeight="1" x14ac:dyDescent="0.25">
      <c r="B32" s="24" t="s">
        <v>40</v>
      </c>
      <c r="C32" s="53">
        <v>3.5999999999999997E-2</v>
      </c>
    </row>
    <row r="33" spans="1:5" ht="13" x14ac:dyDescent="0.25">
      <c r="B33" s="26" t="s">
        <v>41</v>
      </c>
      <c r="C33" s="113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54">
        <v>25</v>
      </c>
    </row>
    <row r="38" spans="1:5" ht="15" customHeight="1" x14ac:dyDescent="0.25">
      <c r="B38" s="11" t="s">
        <v>45</v>
      </c>
      <c r="C38" s="54">
        <v>43</v>
      </c>
      <c r="D38" s="12"/>
      <c r="E38" s="13"/>
    </row>
    <row r="39" spans="1:5" ht="15" customHeight="1" x14ac:dyDescent="0.25">
      <c r="B39" s="11" t="s">
        <v>46</v>
      </c>
      <c r="C39" s="54">
        <v>67</v>
      </c>
      <c r="D39" s="12"/>
      <c r="E39" s="12"/>
    </row>
    <row r="40" spans="1:5" ht="15" customHeight="1" x14ac:dyDescent="0.25">
      <c r="B40" s="11" t="s">
        <v>47</v>
      </c>
      <c r="C40" s="54">
        <v>4.01</v>
      </c>
    </row>
    <row r="41" spans="1:5" ht="15" customHeight="1" x14ac:dyDescent="0.25">
      <c r="B41" s="11" t="s">
        <v>48</v>
      </c>
      <c r="C41" s="52">
        <v>0.13</v>
      </c>
    </row>
    <row r="42" spans="1:5" ht="15" customHeight="1" x14ac:dyDescent="0.25">
      <c r="B42" s="11" t="s">
        <v>49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52">
        <v>3.1E-2</v>
      </c>
      <c r="D45" s="12"/>
    </row>
    <row r="46" spans="1:5" ht="15.75" customHeight="1" x14ac:dyDescent="0.25">
      <c r="B46" s="11" t="s">
        <v>52</v>
      </c>
      <c r="C46" s="52">
        <v>0.109</v>
      </c>
      <c r="D46" s="12"/>
    </row>
    <row r="47" spans="1:5" ht="15.75" customHeight="1" x14ac:dyDescent="0.25">
      <c r="B47" s="11" t="s">
        <v>53</v>
      </c>
      <c r="C47" s="52">
        <v>0.36499999999999999</v>
      </c>
      <c r="D47" s="12"/>
      <c r="E47" s="13"/>
    </row>
    <row r="48" spans="1:5" ht="15" customHeight="1" x14ac:dyDescent="0.25">
      <c r="B48" s="11" t="s">
        <v>54</v>
      </c>
      <c r="C48" s="112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55">
        <v>1.66</v>
      </c>
      <c r="D51" s="12"/>
    </row>
    <row r="52" spans="1:4" ht="15" customHeight="1" x14ac:dyDescent="0.25">
      <c r="B52" s="11" t="s">
        <v>57</v>
      </c>
      <c r="C52" s="55">
        <v>1.66</v>
      </c>
    </row>
    <row r="53" spans="1:4" ht="15.75" customHeight="1" x14ac:dyDescent="0.25">
      <c r="B53" s="11" t="s">
        <v>58</v>
      </c>
      <c r="C53" s="55">
        <v>5.64</v>
      </c>
    </row>
    <row r="54" spans="1:4" ht="15.75" customHeight="1" x14ac:dyDescent="0.25">
      <c r="B54" s="11" t="s">
        <v>59</v>
      </c>
      <c r="C54" s="55">
        <v>5.43</v>
      </c>
    </row>
    <row r="55" spans="1:4" ht="15.75" customHeight="1" x14ac:dyDescent="0.25">
      <c r="B55" s="11" t="s">
        <v>60</v>
      </c>
      <c r="C55" s="55">
        <v>1.91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51">
        <v>0.2</v>
      </c>
    </row>
    <row r="59" spans="1:4" ht="15.75" customHeight="1" x14ac:dyDescent="0.25">
      <c r="B59" s="11" t="s">
        <v>63</v>
      </c>
      <c r="C59" s="51">
        <v>0.42</v>
      </c>
    </row>
    <row r="60" spans="1:4" ht="15.75" customHeight="1" x14ac:dyDescent="0.25">
      <c r="B60" s="11" t="s">
        <v>64</v>
      </c>
      <c r="C60" s="51">
        <v>4.5999999999999999E-2</v>
      </c>
    </row>
    <row r="61" spans="1:4" ht="15.75" customHeight="1" x14ac:dyDescent="0.25">
      <c r="B61" s="11" t="s">
        <v>65</v>
      </c>
      <c r="C61" s="51">
        <v>1.4E-2</v>
      </c>
    </row>
    <row r="62" spans="1:4" ht="15.75" customHeight="1" x14ac:dyDescent="0.25">
      <c r="B62" s="11" t="s">
        <v>67</v>
      </c>
      <c r="C62" s="51">
        <v>0.02</v>
      </c>
    </row>
    <row r="63" spans="1:4" ht="15.75" customHeight="1" x14ac:dyDescent="0.3">
      <c r="A63" s="4"/>
    </row>
  </sheetData>
  <sheetProtection algorithmName="SHA-512" hashValue="8Wu6tZnfAAD3PwepjQf+OFW8G4iLAZRNwQV9eh/AhTYWZjuRDxnrLIlQzHeUmAyFUnnLJVuPSO/pOgY9ILPLjA==" saltValue="VNEY/CAhn60FrARhuZkndw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6" sqref="B6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V3uMuxzh+eRSldVD/kOy8uIRtsCns0FpFlz5Pe9oXjv9muuAA5VlB+kWBxK5mi0tIrzU0Jbq6r+5jXN4TFh5SQ==" saltValue="Wd0TuGKSnKyxRBdHb+3eb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(2017) imputable à chaque cause</v>
      </c>
      <c r="B1" s="30"/>
      <c r="C1" s="30"/>
      <c r="D1" s="30"/>
      <c r="E1" s="30"/>
      <c r="F1" s="30"/>
    </row>
    <row r="2" spans="1:8" ht="27.75" customHeight="1" x14ac:dyDescent="0.3">
      <c r="A2" t="s">
        <v>77</v>
      </c>
      <c r="B2" s="30" t="s">
        <v>8</v>
      </c>
      <c r="C2" s="30" t="s">
        <v>109</v>
      </c>
      <c r="D2" s="30"/>
      <c r="E2" s="30"/>
      <c r="F2" s="30"/>
      <c r="G2" s="30"/>
    </row>
    <row r="3" spans="1:8" ht="15.75" customHeight="1" x14ac:dyDescent="0.25">
      <c r="B3" s="19" t="s">
        <v>78</v>
      </c>
      <c r="C3" s="58">
        <v>2.7000000000000001E-3</v>
      </c>
    </row>
    <row r="4" spans="1:8" ht="15.75" customHeight="1" x14ac:dyDescent="0.25">
      <c r="B4" s="19" t="s">
        <v>79</v>
      </c>
      <c r="C4" s="58">
        <v>0.1966</v>
      </c>
    </row>
    <row r="5" spans="1:8" ht="15.75" customHeight="1" x14ac:dyDescent="0.25">
      <c r="B5" s="19" t="s">
        <v>80</v>
      </c>
      <c r="C5" s="58">
        <v>6.2100000000000002E-2</v>
      </c>
    </row>
    <row r="6" spans="1:8" ht="15.75" customHeight="1" x14ac:dyDescent="0.25">
      <c r="B6" s="19" t="s">
        <v>81</v>
      </c>
      <c r="C6" s="58">
        <v>0.29289999999999999</v>
      </c>
    </row>
    <row r="7" spans="1:8" ht="15.75" customHeight="1" x14ac:dyDescent="0.25">
      <c r="B7" s="19" t="s">
        <v>82</v>
      </c>
      <c r="C7" s="58">
        <v>0.24709999999999999</v>
      </c>
    </row>
    <row r="8" spans="1:8" ht="15.75" customHeight="1" x14ac:dyDescent="0.25">
      <c r="B8" s="19" t="s">
        <v>83</v>
      </c>
      <c r="C8" s="58">
        <v>4.7999999999999996E-3</v>
      </c>
    </row>
    <row r="9" spans="1:8" ht="15.75" customHeight="1" x14ac:dyDescent="0.25">
      <c r="B9" s="19" t="s">
        <v>84</v>
      </c>
      <c r="C9" s="58">
        <v>0.13200000000000001</v>
      </c>
    </row>
    <row r="10" spans="1:8" ht="15.75" customHeight="1" x14ac:dyDescent="0.25">
      <c r="B10" s="19" t="s">
        <v>85</v>
      </c>
      <c r="C10" s="58">
        <v>6.1800000000000001E-2</v>
      </c>
    </row>
    <row r="11" spans="1:8" ht="15.75" customHeight="1" x14ac:dyDescent="0.25">
      <c r="B11" s="26" t="s">
        <v>41</v>
      </c>
      <c r="C11" s="113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30" t="s">
        <v>8</v>
      </c>
      <c r="C13" s="18" t="s">
        <v>96</v>
      </c>
      <c r="D13" s="18" t="s">
        <v>97</v>
      </c>
      <c r="E13" s="18" t="s">
        <v>98</v>
      </c>
      <c r="F13" s="18" t="s">
        <v>99</v>
      </c>
      <c r="G13" s="19"/>
    </row>
    <row r="14" spans="1:8" ht="15.75" customHeight="1" x14ac:dyDescent="0.25">
      <c r="B14" s="19" t="s">
        <v>87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88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89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90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91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92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93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94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95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41</v>
      </c>
      <c r="C23" s="113">
        <f>SUM(C14:C22)</f>
        <v>1</v>
      </c>
      <c r="D23" s="113">
        <f t="shared" ref="D23:F23" si="0">SUM(D14:D22)</f>
        <v>1</v>
      </c>
      <c r="E23" s="113">
        <f t="shared" si="0"/>
        <v>1</v>
      </c>
      <c r="F23" s="113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30" t="s">
        <v>8</v>
      </c>
      <c r="C25" s="30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8">
        <v>0.10082724000000001</v>
      </c>
    </row>
    <row r="27" spans="1:8" ht="15.75" customHeight="1" x14ac:dyDescent="0.25">
      <c r="B27" s="19" t="s">
        <v>102</v>
      </c>
      <c r="C27" s="58">
        <v>3.1206000000000002E-4</v>
      </c>
    </row>
    <row r="28" spans="1:8" ht="15.75" customHeight="1" x14ac:dyDescent="0.25">
      <c r="B28" s="19" t="s">
        <v>103</v>
      </c>
      <c r="C28" s="58">
        <v>0.15891214000000001</v>
      </c>
    </row>
    <row r="29" spans="1:8" ht="15.75" customHeight="1" x14ac:dyDescent="0.25">
      <c r="B29" s="19" t="s">
        <v>104</v>
      </c>
      <c r="C29" s="58">
        <v>0.12598688999999999</v>
      </c>
    </row>
    <row r="30" spans="1:8" ht="15.75" customHeight="1" x14ac:dyDescent="0.25">
      <c r="B30" s="19" t="s">
        <v>1</v>
      </c>
      <c r="C30" s="58">
        <v>0.12434007</v>
      </c>
    </row>
    <row r="31" spans="1:8" ht="15.75" customHeight="1" x14ac:dyDescent="0.25">
      <c r="B31" s="19" t="s">
        <v>105</v>
      </c>
      <c r="C31" s="58">
        <v>3.9028409999999999E-2</v>
      </c>
    </row>
    <row r="32" spans="1:8" ht="15.75" customHeight="1" x14ac:dyDescent="0.25">
      <c r="B32" s="19" t="s">
        <v>106</v>
      </c>
      <c r="C32" s="58">
        <v>8.5254999999999999E-4</v>
      </c>
    </row>
    <row r="33" spans="2:3" ht="15.75" customHeight="1" x14ac:dyDescent="0.25">
      <c r="B33" s="19" t="s">
        <v>107</v>
      </c>
      <c r="C33" s="58">
        <v>6.8467810000000004E-2</v>
      </c>
    </row>
    <row r="34" spans="2:3" ht="15.75" customHeight="1" x14ac:dyDescent="0.25">
      <c r="B34" s="19" t="s">
        <v>108</v>
      </c>
      <c r="C34" s="58">
        <v>0.38127283000000001</v>
      </c>
    </row>
    <row r="35" spans="2:3" ht="15.75" customHeight="1" x14ac:dyDescent="0.25">
      <c r="B35" s="26" t="s">
        <v>41</v>
      </c>
      <c r="C35" s="113">
        <f>SUM(C26:C34)</f>
        <v>1</v>
      </c>
    </row>
  </sheetData>
  <sheetProtection algorithmName="SHA-512" hashValue="+8W8v2bvP1cdIrQWWkLmfc5JCBDvK/Cyz+RBAZnGE3DRHq1Lp/XcutR+IloaYqeEntFHOkyrh92WNw3mCdeUCg==" saltValue="pTQREaVNOArwGrwqhIyq7Q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4" sqref="C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(2017)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114">
        <f>IFERROR(1-_xlfn.NORM.DIST(_xlfn.NORM.INV(SUM(C4:C5), 0, 1) + 1, 0, 1, TRUE), "")</f>
        <v>0.54471569980476653</v>
      </c>
      <c r="D2" s="114">
        <f>IFERROR(1-_xlfn.NORM.DIST(_xlfn.NORM.INV(SUM(D4:D5), 0, 1) + 1, 0, 1, TRUE), "")</f>
        <v>0.54471569980476653</v>
      </c>
      <c r="E2" s="114">
        <f>IFERROR(1-_xlfn.NORM.DIST(_xlfn.NORM.INV(SUM(E4:E5), 0, 1) + 1, 0, 1, TRUE), "")</f>
        <v>0.44982829694488635</v>
      </c>
      <c r="F2" s="114">
        <f>IFERROR(1-_xlfn.NORM.DIST(_xlfn.NORM.INV(SUM(F4:F5), 0, 1) + 1, 0, 1, TRUE), "")</f>
        <v>0.24457139941017503</v>
      </c>
      <c r="G2" s="114">
        <f>IFERROR(1-_xlfn.NORM.DIST(_xlfn.NORM.INV(SUM(G4:G5), 0, 1) + 1, 0, 1, TRUE), "")</f>
        <v>0.23269074767298425</v>
      </c>
    </row>
    <row r="3" spans="1:15" ht="15.75" customHeight="1" x14ac:dyDescent="0.25">
      <c r="B3" s="5" t="s">
        <v>113</v>
      </c>
      <c r="C3" s="114">
        <f>IFERROR(_xlfn.NORM.DIST(_xlfn.NORM.INV(SUM(C4:C5), 0, 1) + 1, 0, 1, TRUE) - SUM(C4:C5), "")</f>
        <v>0.32228430019523346</v>
      </c>
      <c r="D3" s="114">
        <f>IFERROR(_xlfn.NORM.DIST(_xlfn.NORM.INV(SUM(D4:D5), 0, 1) + 1, 0, 1, TRUE) - SUM(D4:D5), "")</f>
        <v>0.32228430019523346</v>
      </c>
      <c r="E3" s="114">
        <f>IFERROR(_xlfn.NORM.DIST(_xlfn.NORM.INV(SUM(E4:E5), 0, 1) + 1, 0, 1, TRUE) - SUM(E4:E5), "")</f>
        <v>0.35908666207150708</v>
      </c>
      <c r="F3" s="114">
        <f>IFERROR(_xlfn.NORM.DIST(_xlfn.NORM.INV(SUM(F4:F5), 0, 1) + 1, 0, 1, TRUE) - SUM(F4:F5), "")</f>
        <v>0.37651189492768178</v>
      </c>
      <c r="G3" s="114">
        <f>IFERROR(_xlfn.NORM.DIST(_xlfn.NORM.INV(SUM(G4:G5), 0, 1) + 1, 0, 1, TRUE) - SUM(G4:G5), "")</f>
        <v>0.37372365733745416</v>
      </c>
    </row>
    <row r="4" spans="1:15" ht="15.75" customHeight="1" x14ac:dyDescent="0.25">
      <c r="B4" s="5" t="s">
        <v>114</v>
      </c>
      <c r="C4" s="59">
        <v>8.7000000000000008E-2</v>
      </c>
      <c r="D4" s="59">
        <v>8.7000000000000008E-2</v>
      </c>
      <c r="E4" s="59">
        <v>0.13443032786885245</v>
      </c>
      <c r="F4" s="59">
        <v>0.24673186710341602</v>
      </c>
      <c r="G4" s="59">
        <v>0.25929610299234518</v>
      </c>
    </row>
    <row r="5" spans="1:15" ht="15.75" customHeight="1" x14ac:dyDescent="0.25">
      <c r="B5" s="5" t="s">
        <v>115</v>
      </c>
      <c r="C5" s="59">
        <v>4.5999999999999999E-2</v>
      </c>
      <c r="D5" s="59">
        <v>4.5999999999999999E-2</v>
      </c>
      <c r="E5" s="59">
        <v>5.6654713114754097E-2</v>
      </c>
      <c r="F5" s="59">
        <v>0.13218483855872717</v>
      </c>
      <c r="G5" s="59">
        <v>0.13428949199721643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116</v>
      </c>
      <c r="B8" s="5" t="s">
        <v>117</v>
      </c>
      <c r="C8" s="114">
        <f>IFERROR(1-_xlfn.NORM.DIST(_xlfn.NORM.INV(SUM(C10:C11), 0, 1) + 1, 0, 1, TRUE), "")</f>
        <v>0.6241955901533508</v>
      </c>
      <c r="D8" s="114">
        <f>IFERROR(1-_xlfn.NORM.DIST(_xlfn.NORM.INV(SUM(D10:D11), 0, 1) + 1, 0, 1, TRUE), "")</f>
        <v>0.6241955901533508</v>
      </c>
      <c r="E8" s="114">
        <f>IFERROR(1-_xlfn.NORM.DIST(_xlfn.NORM.INV(SUM(E10:E11), 0, 1) + 1, 0, 1, TRUE), "")</f>
        <v>0.68355843805440353</v>
      </c>
      <c r="F8" s="114">
        <f>IFERROR(1-_xlfn.NORM.DIST(_xlfn.NORM.INV(SUM(F10:F11), 0, 1) + 1, 0, 1, TRUE), "")</f>
        <v>0.73228840888273117</v>
      </c>
      <c r="G8" s="114">
        <f>IFERROR(1-_xlfn.NORM.DIST(_xlfn.NORM.INV(SUM(G10:G11), 0, 1) + 1, 0, 1, TRUE), "")</f>
        <v>0.81212055177975573</v>
      </c>
    </row>
    <row r="9" spans="1:15" ht="15.75" customHeight="1" x14ac:dyDescent="0.25">
      <c r="B9" s="5" t="s">
        <v>118</v>
      </c>
      <c r="C9" s="114">
        <f>IFERROR(_xlfn.NORM.DIST(_xlfn.NORM.INV(SUM(C10:C11), 0, 1) + 1, 0, 1, TRUE) - SUM(C10:C11), "")</f>
        <v>0.28180440984664923</v>
      </c>
      <c r="D9" s="114">
        <f>IFERROR(_xlfn.NORM.DIST(_xlfn.NORM.INV(SUM(D10:D11), 0, 1) + 1, 0, 1, TRUE) - SUM(D10:D11), "")</f>
        <v>0.28180440984664923</v>
      </c>
      <c r="E9" s="114">
        <f>IFERROR(_xlfn.NORM.DIST(_xlfn.NORM.INV(SUM(E10:E11), 0, 1) + 1, 0, 1, TRUE) - SUM(E10:E11), "")</f>
        <v>0.2466938696379041</v>
      </c>
      <c r="F9" s="114">
        <f>IFERROR(_xlfn.NORM.DIST(_xlfn.NORM.INV(SUM(F10:F11), 0, 1) + 1, 0, 1, TRUE) - SUM(F10:F11), "")</f>
        <v>0.21506846670192739</v>
      </c>
      <c r="G9" s="114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119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120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127</v>
      </c>
      <c r="C15" s="114">
        <f t="shared" ref="C15:O15" si="0">iron_deficiency_anaemia*C14</f>
        <v>4.2000000000000003E-2</v>
      </c>
      <c r="D15" s="114">
        <f t="shared" si="0"/>
        <v>4.2000000000000003E-2</v>
      </c>
      <c r="E15" s="114">
        <f t="shared" si="0"/>
        <v>0.32801999999999998</v>
      </c>
      <c r="F15" s="114">
        <f t="shared" si="0"/>
        <v>0.30639</v>
      </c>
      <c r="G15" s="114">
        <f t="shared" si="0"/>
        <v>0.20314000000000002</v>
      </c>
      <c r="H15" s="114">
        <f t="shared" si="0"/>
        <v>0.19865999999999998</v>
      </c>
      <c r="I15" s="114">
        <f t="shared" si="0"/>
        <v>0.18773999999999999</v>
      </c>
      <c r="J15" s="114">
        <f t="shared" si="0"/>
        <v>0.18185999999999999</v>
      </c>
      <c r="K15" s="114">
        <f t="shared" si="0"/>
        <v>0.18564</v>
      </c>
      <c r="L15" s="114">
        <f t="shared" si="0"/>
        <v>0.19865999999999998</v>
      </c>
      <c r="M15" s="114">
        <f t="shared" si="0"/>
        <v>0.18773999999999999</v>
      </c>
      <c r="N15" s="114">
        <f t="shared" si="0"/>
        <v>0.18185999999999999</v>
      </c>
      <c r="O15" s="114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hVpf0g8BXDxyQBGhZEG4v/gwJiCIFz75Bu28keIRd2OKYKFm2mY2/ZV7mKSJeOac7m52UptIzNJg5TgbwHuDnA==" saltValue="dLcjg4aJKvxIvjZ8GZtOSg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4" sqref="D4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(2017)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1" t="s">
        <v>129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130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131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132</v>
      </c>
      <c r="C5" s="114">
        <f>1-SUM(C2:C4)</f>
        <v>1.0000000000000009E-2</v>
      </c>
      <c r="D5" s="114">
        <f t="shared" ref="D5:G5" si="0">1-SUM(D2:D4)</f>
        <v>2.4399366085578356E-2</v>
      </c>
      <c r="E5" s="114">
        <f t="shared" si="0"/>
        <v>1.8961838681699872E-2</v>
      </c>
      <c r="F5" s="114">
        <f t="shared" si="0"/>
        <v>0.27800000000000002</v>
      </c>
      <c r="G5" s="114">
        <f t="shared" si="0"/>
        <v>1</v>
      </c>
    </row>
  </sheetData>
  <sheetProtection algorithmName="SHA-512" hashValue="vuz2U6czbNJuh3B11oAUgCqBaPUUkv05Pfzf97U2dZFOy7M8mEKLCrtvlFNH3QO8U6R1pUldpdQs18hy6j6Zcg==" saltValue="5HZqkj4FJ7yLzvnaQHhdoA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133</v>
      </c>
      <c r="B1" s="29" t="s">
        <v>2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134</v>
      </c>
      <c r="B2" s="45" t="s">
        <v>143</v>
      </c>
      <c r="C2" s="115"/>
      <c r="D2" s="115"/>
      <c r="E2" s="115"/>
      <c r="F2" s="115"/>
      <c r="G2" s="115"/>
      <c r="H2" s="115"/>
      <c r="I2" s="115"/>
      <c r="J2" s="115"/>
      <c r="K2" s="115"/>
    </row>
    <row r="3" spans="1:11" x14ac:dyDescent="0.25">
      <c r="B3" s="45"/>
    </row>
    <row r="4" spans="1:11" x14ac:dyDescent="0.25">
      <c r="A4" s="27" t="s">
        <v>135</v>
      </c>
      <c r="B4" s="45" t="s">
        <v>143</v>
      </c>
      <c r="C4" s="115"/>
      <c r="D4" s="115"/>
      <c r="E4" s="115"/>
      <c r="F4" s="115"/>
      <c r="G4" s="115"/>
      <c r="H4" s="115"/>
      <c r="I4" s="115"/>
      <c r="J4" s="115"/>
      <c r="K4" s="115"/>
    </row>
    <row r="5" spans="1:11" x14ac:dyDescent="0.25">
      <c r="B5" s="45"/>
    </row>
    <row r="6" spans="1:11" x14ac:dyDescent="0.25">
      <c r="A6" s="27" t="s">
        <v>136</v>
      </c>
      <c r="B6" s="45" t="s">
        <v>143</v>
      </c>
      <c r="C6" s="115"/>
      <c r="D6" s="115"/>
      <c r="E6" s="115"/>
      <c r="F6" s="115"/>
      <c r="G6" s="115"/>
      <c r="H6" s="115"/>
      <c r="I6" s="115"/>
      <c r="J6" s="115"/>
      <c r="K6" s="115"/>
    </row>
    <row r="7" spans="1:11" x14ac:dyDescent="0.25">
      <c r="B7" s="45" t="s">
        <v>100</v>
      </c>
      <c r="C7" s="115"/>
      <c r="D7" s="115"/>
      <c r="E7" s="115"/>
      <c r="F7" s="115"/>
      <c r="G7" s="115"/>
      <c r="H7" s="115"/>
      <c r="I7" s="115"/>
      <c r="J7" s="115"/>
      <c r="K7" s="115"/>
    </row>
    <row r="8" spans="1:11" x14ac:dyDescent="0.25">
      <c r="B8" s="45" t="s">
        <v>137</v>
      </c>
      <c r="C8" s="115"/>
      <c r="D8" s="115"/>
      <c r="E8" s="115"/>
      <c r="F8" s="115"/>
      <c r="G8" s="115"/>
      <c r="H8" s="115"/>
      <c r="I8" s="115"/>
      <c r="J8" s="115"/>
      <c r="K8" s="115"/>
    </row>
    <row r="10" spans="1:11" x14ac:dyDescent="0.25">
      <c r="A10" s="27" t="s">
        <v>138</v>
      </c>
      <c r="B10" s="45" t="s">
        <v>139</v>
      </c>
      <c r="C10" s="115"/>
      <c r="D10" s="115"/>
      <c r="E10" s="115"/>
      <c r="F10" s="115"/>
      <c r="G10" s="115"/>
      <c r="H10" s="115"/>
      <c r="I10" s="115"/>
      <c r="J10" s="115"/>
      <c r="K10" s="115"/>
    </row>
    <row r="11" spans="1:11" x14ac:dyDescent="0.25">
      <c r="B11" s="45" t="s">
        <v>140</v>
      </c>
      <c r="C11" s="115"/>
      <c r="D11" s="115"/>
      <c r="E11" s="115"/>
      <c r="F11" s="115"/>
      <c r="G11" s="115"/>
      <c r="H11" s="115"/>
      <c r="I11" s="115"/>
      <c r="J11" s="115"/>
      <c r="K11" s="115"/>
    </row>
    <row r="13" spans="1:11" x14ac:dyDescent="0.25">
      <c r="A13" s="27" t="s">
        <v>43</v>
      </c>
      <c r="B13" s="45" t="s">
        <v>141</v>
      </c>
      <c r="C13" s="115"/>
      <c r="D13" s="115"/>
      <c r="E13" s="115"/>
      <c r="F13" s="115"/>
      <c r="G13" s="115"/>
      <c r="H13" s="115"/>
      <c r="I13" s="115"/>
      <c r="J13" s="115"/>
      <c r="K13" s="115"/>
    </row>
    <row r="14" spans="1:11" x14ac:dyDescent="0.25">
      <c r="B14" s="45" t="s">
        <v>142</v>
      </c>
      <c r="C14" s="115"/>
      <c r="D14" s="115"/>
      <c r="E14" s="115"/>
      <c r="F14" s="115"/>
      <c r="G14" s="115"/>
      <c r="H14" s="115"/>
      <c r="I14" s="115"/>
      <c r="J14" s="115"/>
      <c r="K14" s="115"/>
    </row>
  </sheetData>
  <sheetProtection algorithmName="SHA-512" hashValue="RSiooXnlk8Sb1mdypu1PEyrvPj75+zYMRSe5sK6iFfNHt8T9tNSA+lQwu5ZuMtpR9PPfUQEnJUk+lxHtg3ZOZQ==" saltValue="CALt9z/P3O4gupDxnBAhMQ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B7"/>
  <sheetViews>
    <sheetView workbookViewId="0">
      <selection activeCell="B5" sqref="B5"/>
    </sheetView>
  </sheetViews>
  <sheetFormatPr defaultColWidth="8.81640625" defaultRowHeight="12.5" x14ac:dyDescent="0.25"/>
  <cols>
    <col min="1" max="1" width="36.453125" style="27" bestFit="1" customWidth="1"/>
    <col min="2" max="2" width="15.26953125" style="27" customWidth="1"/>
    <col min="3" max="16384" width="8.81640625" style="27"/>
  </cols>
  <sheetData>
    <row r="1" spans="1:2" ht="13" x14ac:dyDescent="0.3">
      <c r="A1" s="29" t="s">
        <v>12</v>
      </c>
      <c r="B1" s="29" t="s">
        <v>144</v>
      </c>
    </row>
    <row r="2" spans="1:2" x14ac:dyDescent="0.25">
      <c r="A2" s="27" t="s">
        <v>145</v>
      </c>
      <c r="B2" s="116">
        <v>10</v>
      </c>
    </row>
    <row r="3" spans="1:2" x14ac:dyDescent="0.25">
      <c r="A3" s="27" t="s">
        <v>150</v>
      </c>
      <c r="B3" s="116">
        <v>10</v>
      </c>
    </row>
    <row r="4" spans="1:2" x14ac:dyDescent="0.25">
      <c r="A4" s="27" t="s">
        <v>146</v>
      </c>
      <c r="B4" s="116">
        <v>50</v>
      </c>
    </row>
    <row r="5" spans="1:2" x14ac:dyDescent="0.25">
      <c r="A5" s="27" t="s">
        <v>147</v>
      </c>
      <c r="B5" s="116">
        <v>100</v>
      </c>
    </row>
    <row r="6" spans="1:2" x14ac:dyDescent="0.25">
      <c r="A6" s="27" t="s">
        <v>148</v>
      </c>
      <c r="B6" s="116">
        <v>5</v>
      </c>
    </row>
    <row r="7" spans="1:2" x14ac:dyDescent="0.25">
      <c r="A7" s="27" t="s">
        <v>149</v>
      </c>
      <c r="B7" s="116">
        <v>5</v>
      </c>
    </row>
  </sheetData>
  <sheetProtection algorithmName="SHA-512" hashValue="KvXfG2I1Sbh0qwughJLkNeL67lJ/a4YpBiAGaauOmmNJMPV54JUCDEYTZct7lOzuVKb+WTp+4S1lajsl3l9xUw==" saltValue="ourCDPYmpEd6/dLCdrxGrw==" spinCount="100000" sheet="1" objects="1" scenarios="1" selectLockedCell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151</v>
      </c>
      <c r="B1" s="38" t="s">
        <v>152</v>
      </c>
      <c r="C1" s="38" t="s">
        <v>153</v>
      </c>
      <c r="D1" s="38" t="s">
        <v>154</v>
      </c>
      <c r="E1" s="38" t="s">
        <v>155</v>
      </c>
    </row>
    <row r="2" spans="1:5" ht="13" x14ac:dyDescent="0.3">
      <c r="A2" s="36" t="s">
        <v>157</v>
      </c>
      <c r="B2" s="34" t="s">
        <v>100</v>
      </c>
      <c r="C2" s="62"/>
      <c r="D2" s="62"/>
      <c r="E2" s="44" t="str">
        <f>IF(E$7="","",E$7)</f>
        <v/>
      </c>
    </row>
    <row r="3" spans="1:5" x14ac:dyDescent="0.25">
      <c r="B3" s="34" t="s">
        <v>109</v>
      </c>
      <c r="C3" s="62" t="s">
        <v>7</v>
      </c>
      <c r="D3" s="62"/>
      <c r="E3" s="44" t="str">
        <f>IF(E$7="","",E$7)</f>
        <v/>
      </c>
    </row>
    <row r="4" spans="1:5" x14ac:dyDescent="0.25">
      <c r="B4" s="34" t="s">
        <v>96</v>
      </c>
      <c r="C4" s="62" t="s">
        <v>7</v>
      </c>
      <c r="D4" s="62"/>
      <c r="E4" s="44" t="str">
        <f>IF(E$7="","",E$7)</f>
        <v/>
      </c>
    </row>
    <row r="5" spans="1:5" x14ac:dyDescent="0.25">
      <c r="B5" s="34" t="s">
        <v>97</v>
      </c>
      <c r="C5" s="62" t="s">
        <v>7</v>
      </c>
      <c r="D5" s="62"/>
      <c r="E5" s="44" t="str">
        <f>IF(E$7="","",E$7)</f>
        <v/>
      </c>
    </row>
    <row r="6" spans="1:5" x14ac:dyDescent="0.25">
      <c r="B6" s="34" t="s">
        <v>98</v>
      </c>
      <c r="C6" s="62" t="s">
        <v>7</v>
      </c>
      <c r="D6" s="62"/>
      <c r="E6" s="44" t="str">
        <f>IF(E$7="","",E$7)</f>
        <v/>
      </c>
    </row>
    <row r="7" spans="1:5" x14ac:dyDescent="0.25">
      <c r="B7" s="34" t="s">
        <v>156</v>
      </c>
      <c r="C7" s="33"/>
      <c r="D7" s="32"/>
      <c r="E7" s="62"/>
    </row>
    <row r="9" spans="1:5" ht="13" x14ac:dyDescent="0.3">
      <c r="A9" s="36" t="s">
        <v>158</v>
      </c>
      <c r="B9" s="34" t="s">
        <v>100</v>
      </c>
      <c r="C9" s="62"/>
      <c r="D9" s="62"/>
      <c r="E9" s="44" t="str">
        <f>IF(E$7="","",E$7)</f>
        <v/>
      </c>
    </row>
    <row r="10" spans="1:5" x14ac:dyDescent="0.25">
      <c r="B10" s="34" t="s">
        <v>109</v>
      </c>
      <c r="C10" s="62"/>
      <c r="D10" s="62" t="s">
        <v>7</v>
      </c>
      <c r="E10" s="44" t="str">
        <f>IF(E$7="","",E$7)</f>
        <v/>
      </c>
    </row>
    <row r="11" spans="1:5" x14ac:dyDescent="0.25">
      <c r="B11" s="34" t="s">
        <v>96</v>
      </c>
      <c r="C11" s="62"/>
      <c r="D11" s="62" t="s">
        <v>7</v>
      </c>
      <c r="E11" s="44" t="str">
        <f>IF(E$7="","",E$7)</f>
        <v/>
      </c>
    </row>
    <row r="12" spans="1:5" x14ac:dyDescent="0.25">
      <c r="B12" s="34" t="s">
        <v>97</v>
      </c>
      <c r="C12" s="62"/>
      <c r="D12" s="62" t="s">
        <v>7</v>
      </c>
      <c r="E12" s="44" t="str">
        <f>IF(E$7="","",E$7)</f>
        <v/>
      </c>
    </row>
    <row r="13" spans="1:5" x14ac:dyDescent="0.25">
      <c r="B13" s="34" t="s">
        <v>98</v>
      </c>
      <c r="C13" s="62"/>
      <c r="D13" s="62" t="s">
        <v>7</v>
      </c>
      <c r="E13" s="44" t="str">
        <f>IF(E$7="","",E$7)</f>
        <v/>
      </c>
    </row>
    <row r="14" spans="1:5" x14ac:dyDescent="0.25">
      <c r="B14" s="34" t="s">
        <v>156</v>
      </c>
      <c r="C14" s="33"/>
      <c r="D14" s="32"/>
      <c r="E14" s="62"/>
    </row>
    <row r="16" spans="1:5" ht="13" x14ac:dyDescent="0.3">
      <c r="A16" s="36" t="s">
        <v>159</v>
      </c>
      <c r="B16" s="34" t="s">
        <v>100</v>
      </c>
      <c r="C16" s="62"/>
      <c r="D16" s="62"/>
      <c r="E16" s="44" t="str">
        <f>IF(E$7="","",E$7)</f>
        <v/>
      </c>
    </row>
    <row r="17" spans="2:5" x14ac:dyDescent="0.25">
      <c r="B17" s="34" t="s">
        <v>109</v>
      </c>
      <c r="C17" s="62"/>
      <c r="D17" s="62" t="s">
        <v>7</v>
      </c>
      <c r="E17" s="44" t="str">
        <f>IF(E$7="","",E$7)</f>
        <v/>
      </c>
    </row>
    <row r="18" spans="2:5" x14ac:dyDescent="0.25">
      <c r="B18" s="34" t="s">
        <v>96</v>
      </c>
      <c r="C18" s="62"/>
      <c r="D18" s="62" t="s">
        <v>7</v>
      </c>
      <c r="E18" s="44" t="str">
        <f>IF(E$7="","",E$7)</f>
        <v/>
      </c>
    </row>
    <row r="19" spans="2:5" x14ac:dyDescent="0.25">
      <c r="B19" s="34" t="s">
        <v>97</v>
      </c>
      <c r="C19" s="62"/>
      <c r="D19" s="62"/>
      <c r="E19" s="44" t="str">
        <f>IF(E$7="","",E$7)</f>
        <v/>
      </c>
    </row>
    <row r="20" spans="2:5" x14ac:dyDescent="0.25">
      <c r="B20" s="34" t="s">
        <v>98</v>
      </c>
      <c r="C20" s="62"/>
      <c r="D20" s="62"/>
      <c r="E20" s="44" t="str">
        <f>IF(E$7="","",E$7)</f>
        <v/>
      </c>
    </row>
    <row r="21" spans="2:5" x14ac:dyDescent="0.25">
      <c r="B21" s="34" t="s">
        <v>156</v>
      </c>
      <c r="C21" s="33"/>
      <c r="D21" s="32"/>
      <c r="E21" s="62"/>
    </row>
  </sheetData>
  <sheetProtection algorithmName="SHA-512" hashValue="gXdietIjCKGq69Hs2iusuzVLAk/glVZ8y9p9dHJmVmEoZNsokv0GXgzNZXVxPJZwlU+GhPeKY7cLM/d/bMtTuw==" saltValue="QN06EygQTJq41Eeo5OH3T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5</v>
      </c>
      <c r="B1" s="38" t="s">
        <v>162</v>
      </c>
      <c r="C1" s="47" t="s">
        <v>6</v>
      </c>
      <c r="D1" s="47" t="s">
        <v>163</v>
      </c>
    </row>
    <row r="2" spans="1:4" ht="13" x14ac:dyDescent="0.3">
      <c r="A2" s="47" t="s">
        <v>160</v>
      </c>
      <c r="B2" s="34" t="s">
        <v>161</v>
      </c>
      <c r="C2" s="34" t="s">
        <v>165</v>
      </c>
      <c r="D2" s="62"/>
    </row>
    <row r="3" spans="1:4" ht="13" x14ac:dyDescent="0.3">
      <c r="A3" s="47" t="s">
        <v>164</v>
      </c>
      <c r="B3" s="34" t="s">
        <v>153</v>
      </c>
      <c r="C3" s="34" t="s">
        <v>154</v>
      </c>
      <c r="D3" s="62"/>
    </row>
  </sheetData>
  <sheetProtection algorithmName="SHA-512" hashValue="GeDdR2Ea+icFy8T0z8RbMGb8tLuhlJYJV4iUmNuGWncMae9UPkSTiyggGfv6Q2m5r3Ch1RK1SzQL7wqaaC0w5A==" saltValue="zuyDeRoxkEXvQGf9dqN2a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F2" sqref="F2:G39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160</v>
      </c>
      <c r="B1" s="40" t="str">
        <f>"Couverture de l'année de référence ("&amp;start_year&amp;")"</f>
        <v>Couverture de l'année de référence (2017)</v>
      </c>
      <c r="C1" s="40" t="s">
        <v>166</v>
      </c>
      <c r="D1" s="40" t="s">
        <v>202</v>
      </c>
      <c r="E1" s="40" t="s">
        <v>167</v>
      </c>
      <c r="F1" s="40" t="s">
        <v>203</v>
      </c>
      <c r="G1" s="40" t="s">
        <v>204</v>
      </c>
    </row>
    <row r="2" spans="1:7" ht="15.75" customHeight="1" x14ac:dyDescent="0.25">
      <c r="A2" s="39" t="s">
        <v>168</v>
      </c>
      <c r="B2" s="63">
        <v>0</v>
      </c>
      <c r="C2" s="63">
        <v>0.95</v>
      </c>
      <c r="D2" s="64">
        <v>25</v>
      </c>
      <c r="E2" s="64" t="s">
        <v>201</v>
      </c>
      <c r="F2" s="63">
        <v>1</v>
      </c>
      <c r="G2" s="63">
        <v>1</v>
      </c>
    </row>
    <row r="3" spans="1:7" ht="15.75" customHeight="1" x14ac:dyDescent="0.25">
      <c r="A3" s="39" t="s">
        <v>169</v>
      </c>
      <c r="B3" s="63">
        <v>0</v>
      </c>
      <c r="C3" s="63">
        <v>0.95</v>
      </c>
      <c r="D3" s="64">
        <v>1</v>
      </c>
      <c r="E3" s="64" t="s">
        <v>201</v>
      </c>
      <c r="F3" s="63">
        <v>1</v>
      </c>
      <c r="G3" s="63">
        <v>1</v>
      </c>
    </row>
    <row r="4" spans="1:7" ht="15.75" customHeight="1" x14ac:dyDescent="0.25">
      <c r="A4" s="39" t="s">
        <v>170</v>
      </c>
      <c r="B4" s="63">
        <v>0</v>
      </c>
      <c r="C4" s="63">
        <v>0.95</v>
      </c>
      <c r="D4" s="64">
        <v>90</v>
      </c>
      <c r="E4" s="64" t="s">
        <v>201</v>
      </c>
      <c r="F4" s="63">
        <v>1</v>
      </c>
      <c r="G4" s="63">
        <v>1</v>
      </c>
    </row>
    <row r="5" spans="1:7" ht="15.75" customHeight="1" x14ac:dyDescent="0.25">
      <c r="A5" s="39" t="s">
        <v>171</v>
      </c>
      <c r="B5" s="63">
        <v>0</v>
      </c>
      <c r="C5" s="63">
        <v>0.95</v>
      </c>
      <c r="D5" s="64">
        <v>1</v>
      </c>
      <c r="E5" s="64" t="s">
        <v>201</v>
      </c>
      <c r="F5" s="63">
        <v>1</v>
      </c>
      <c r="G5" s="63">
        <v>1</v>
      </c>
    </row>
    <row r="6" spans="1:7" ht="15.75" customHeight="1" x14ac:dyDescent="0.25">
      <c r="A6" s="39" t="s">
        <v>172</v>
      </c>
      <c r="B6" s="63">
        <v>0</v>
      </c>
      <c r="C6" s="63">
        <v>0.95</v>
      </c>
      <c r="D6" s="64">
        <v>0.82</v>
      </c>
      <c r="E6" s="64" t="s">
        <v>201</v>
      </c>
      <c r="F6" s="63">
        <v>1</v>
      </c>
      <c r="G6" s="63">
        <v>1</v>
      </c>
    </row>
    <row r="7" spans="1:7" ht="15.75" customHeight="1" x14ac:dyDescent="0.25">
      <c r="A7" s="39" t="s">
        <v>173</v>
      </c>
      <c r="B7" s="63">
        <v>0.36</v>
      </c>
      <c r="C7" s="63">
        <v>0.95</v>
      </c>
      <c r="D7" s="64">
        <v>0.25</v>
      </c>
      <c r="E7" s="64" t="s">
        <v>201</v>
      </c>
      <c r="F7" s="63">
        <v>1</v>
      </c>
      <c r="G7" s="63">
        <v>1</v>
      </c>
    </row>
    <row r="8" spans="1:7" ht="15.75" customHeight="1" x14ac:dyDescent="0.25">
      <c r="A8" s="39" t="s">
        <v>174</v>
      </c>
      <c r="B8" s="63">
        <v>0</v>
      </c>
      <c r="C8" s="63">
        <v>0.95</v>
      </c>
      <c r="D8" s="64">
        <v>0.75</v>
      </c>
      <c r="E8" s="64" t="s">
        <v>201</v>
      </c>
      <c r="F8" s="63">
        <v>1</v>
      </c>
      <c r="G8" s="63">
        <v>1</v>
      </c>
    </row>
    <row r="9" spans="1:7" ht="15.75" customHeight="1" x14ac:dyDescent="0.25">
      <c r="A9" s="39" t="s">
        <v>175</v>
      </c>
      <c r="B9" s="63">
        <v>0</v>
      </c>
      <c r="C9" s="63">
        <v>0.95</v>
      </c>
      <c r="D9" s="64">
        <v>0.19</v>
      </c>
      <c r="E9" s="64" t="s">
        <v>201</v>
      </c>
      <c r="F9" s="63">
        <v>1</v>
      </c>
      <c r="G9" s="63">
        <v>1</v>
      </c>
    </row>
    <row r="10" spans="1:7" ht="15.75" customHeight="1" x14ac:dyDescent="0.25">
      <c r="A10" s="45" t="s">
        <v>176</v>
      </c>
      <c r="B10" s="63">
        <v>0</v>
      </c>
      <c r="C10" s="63">
        <v>0.95</v>
      </c>
      <c r="D10" s="64">
        <v>0.73</v>
      </c>
      <c r="E10" s="64" t="s">
        <v>201</v>
      </c>
      <c r="F10" s="63">
        <v>1</v>
      </c>
      <c r="G10" s="63">
        <v>1</v>
      </c>
    </row>
    <row r="11" spans="1:7" ht="15.75" customHeight="1" x14ac:dyDescent="0.25">
      <c r="A11" s="45" t="s">
        <v>177</v>
      </c>
      <c r="B11" s="63">
        <v>0</v>
      </c>
      <c r="C11" s="63">
        <v>0.95</v>
      </c>
      <c r="D11" s="64">
        <v>1.78</v>
      </c>
      <c r="E11" s="64" t="s">
        <v>201</v>
      </c>
      <c r="F11" s="63">
        <v>1</v>
      </c>
      <c r="G11" s="63">
        <v>1</v>
      </c>
    </row>
    <row r="12" spans="1:7" ht="15.75" customHeight="1" x14ac:dyDescent="0.25">
      <c r="A12" s="45" t="s">
        <v>178</v>
      </c>
      <c r="B12" s="63">
        <v>0</v>
      </c>
      <c r="C12" s="63">
        <v>0.95</v>
      </c>
      <c r="D12" s="64">
        <v>0.24</v>
      </c>
      <c r="E12" s="64" t="s">
        <v>201</v>
      </c>
      <c r="F12" s="63">
        <v>1</v>
      </c>
      <c r="G12" s="63">
        <v>1</v>
      </c>
    </row>
    <row r="13" spans="1:7" ht="15.75" customHeight="1" x14ac:dyDescent="0.25">
      <c r="A13" s="45" t="s">
        <v>179</v>
      </c>
      <c r="B13" s="63">
        <v>0</v>
      </c>
      <c r="C13" s="63">
        <v>0.95</v>
      </c>
      <c r="D13" s="64">
        <v>0.55000000000000004</v>
      </c>
      <c r="E13" s="64" t="s">
        <v>201</v>
      </c>
      <c r="F13" s="63">
        <v>1</v>
      </c>
      <c r="G13" s="63">
        <v>1</v>
      </c>
    </row>
    <row r="14" spans="1:7" ht="15.75" customHeight="1" x14ac:dyDescent="0.25">
      <c r="A14" s="5" t="s">
        <v>180</v>
      </c>
      <c r="B14" s="63">
        <v>0</v>
      </c>
      <c r="C14" s="63">
        <v>0.95</v>
      </c>
      <c r="D14" s="64">
        <v>0.73</v>
      </c>
      <c r="E14" s="64" t="s">
        <v>201</v>
      </c>
      <c r="F14" s="63">
        <v>1</v>
      </c>
      <c r="G14" s="63">
        <v>1</v>
      </c>
    </row>
    <row r="15" spans="1:7" ht="15.75" customHeight="1" x14ac:dyDescent="0.25">
      <c r="A15" s="5" t="s">
        <v>181</v>
      </c>
      <c r="B15" s="63">
        <v>0</v>
      </c>
      <c r="C15" s="63">
        <v>0.95</v>
      </c>
      <c r="D15" s="64">
        <v>1.78</v>
      </c>
      <c r="E15" s="64" t="s">
        <v>201</v>
      </c>
      <c r="F15" s="63">
        <v>1</v>
      </c>
      <c r="G15" s="63">
        <v>1</v>
      </c>
    </row>
    <row r="16" spans="1:7" ht="15.75" customHeight="1" x14ac:dyDescent="0.25">
      <c r="A16" s="39" t="s">
        <v>182</v>
      </c>
      <c r="B16" s="63">
        <v>0.9</v>
      </c>
      <c r="C16" s="63">
        <v>0.95</v>
      </c>
      <c r="D16" s="64">
        <v>2.06</v>
      </c>
      <c r="E16" s="64" t="s">
        <v>201</v>
      </c>
      <c r="F16" s="63">
        <v>1</v>
      </c>
      <c r="G16" s="63">
        <v>1</v>
      </c>
    </row>
    <row r="17" spans="1:7" ht="15.75" customHeight="1" x14ac:dyDescent="0.25">
      <c r="A17" s="39" t="s">
        <v>183</v>
      </c>
      <c r="B17" s="63">
        <v>0.80800000000000005</v>
      </c>
      <c r="C17" s="63">
        <v>0.95</v>
      </c>
      <c r="D17" s="64">
        <v>0.05</v>
      </c>
      <c r="E17" s="64" t="s">
        <v>201</v>
      </c>
      <c r="F17" s="63">
        <v>1</v>
      </c>
      <c r="G17" s="63">
        <v>1</v>
      </c>
    </row>
    <row r="18" spans="1:7" ht="16" customHeight="1" x14ac:dyDescent="0.25">
      <c r="A18" s="39" t="s">
        <v>157</v>
      </c>
      <c r="B18" s="63">
        <v>0</v>
      </c>
      <c r="C18" s="63">
        <v>0.95</v>
      </c>
      <c r="D18" s="64">
        <v>5</v>
      </c>
      <c r="E18" s="64" t="s">
        <v>201</v>
      </c>
      <c r="F18" s="63">
        <v>1</v>
      </c>
      <c r="G18" s="63">
        <v>1</v>
      </c>
    </row>
    <row r="19" spans="1:7" ht="15.75" customHeight="1" x14ac:dyDescent="0.25">
      <c r="A19" s="39" t="s">
        <v>158</v>
      </c>
      <c r="B19" s="63">
        <v>0</v>
      </c>
      <c r="C19" s="63">
        <v>0.95</v>
      </c>
      <c r="D19" s="64">
        <v>5</v>
      </c>
      <c r="E19" s="64" t="s">
        <v>201</v>
      </c>
      <c r="F19" s="63">
        <v>1</v>
      </c>
      <c r="G19" s="63">
        <v>1</v>
      </c>
    </row>
    <row r="20" spans="1:7" ht="15.75" customHeight="1" x14ac:dyDescent="0.25">
      <c r="A20" s="39" t="s">
        <v>159</v>
      </c>
      <c r="B20" s="63">
        <v>0</v>
      </c>
      <c r="C20" s="63">
        <v>0.95</v>
      </c>
      <c r="D20" s="64">
        <v>5</v>
      </c>
      <c r="E20" s="64" t="s">
        <v>201</v>
      </c>
      <c r="F20" s="63">
        <v>1</v>
      </c>
      <c r="G20" s="63">
        <v>1</v>
      </c>
    </row>
    <row r="21" spans="1:7" ht="15.75" customHeight="1" x14ac:dyDescent="0.25">
      <c r="A21" s="39" t="s">
        <v>184</v>
      </c>
      <c r="B21" s="63">
        <v>0</v>
      </c>
      <c r="C21" s="63">
        <v>0.95</v>
      </c>
      <c r="D21" s="64">
        <v>8.84</v>
      </c>
      <c r="E21" s="64" t="s">
        <v>201</v>
      </c>
      <c r="F21" s="63">
        <v>1</v>
      </c>
      <c r="G21" s="63">
        <v>1</v>
      </c>
    </row>
    <row r="22" spans="1:7" ht="15.75" customHeight="1" x14ac:dyDescent="0.25">
      <c r="A22" s="39" t="s">
        <v>185</v>
      </c>
      <c r="B22" s="63">
        <v>0</v>
      </c>
      <c r="C22" s="63">
        <v>0.95</v>
      </c>
      <c r="D22" s="64">
        <v>50</v>
      </c>
      <c r="E22" s="64" t="s">
        <v>201</v>
      </c>
      <c r="F22" s="63">
        <v>1</v>
      </c>
      <c r="G22" s="63">
        <v>1</v>
      </c>
    </row>
    <row r="23" spans="1:7" ht="15.75" customHeight="1" x14ac:dyDescent="0.25">
      <c r="A23" s="39" t="s">
        <v>186</v>
      </c>
      <c r="B23" s="63">
        <v>0.50800000000000001</v>
      </c>
      <c r="C23" s="63">
        <v>0.95</v>
      </c>
      <c r="D23" s="64">
        <v>2.61</v>
      </c>
      <c r="E23" s="64" t="s">
        <v>201</v>
      </c>
      <c r="F23" s="63">
        <v>1</v>
      </c>
      <c r="G23" s="63">
        <v>1</v>
      </c>
    </row>
    <row r="24" spans="1:7" ht="15.75" customHeight="1" x14ac:dyDescent="0.25">
      <c r="A24" s="39" t="s">
        <v>187</v>
      </c>
      <c r="B24" s="63">
        <v>0</v>
      </c>
      <c r="C24" s="63">
        <v>0.95</v>
      </c>
      <c r="D24" s="64">
        <v>1</v>
      </c>
      <c r="E24" s="64" t="s">
        <v>201</v>
      </c>
      <c r="F24" s="63">
        <v>1</v>
      </c>
      <c r="G24" s="63">
        <v>1</v>
      </c>
    </row>
    <row r="25" spans="1:7" ht="15.75" customHeight="1" x14ac:dyDescent="0.25">
      <c r="A25" s="39" t="s">
        <v>188</v>
      </c>
      <c r="B25" s="63">
        <v>0</v>
      </c>
      <c r="C25" s="63">
        <v>0.95</v>
      </c>
      <c r="D25" s="64">
        <v>1</v>
      </c>
      <c r="E25" s="64" t="s">
        <v>201</v>
      </c>
      <c r="F25" s="63">
        <v>1</v>
      </c>
      <c r="G25" s="63">
        <v>1</v>
      </c>
    </row>
    <row r="26" spans="1:7" ht="15.75" customHeight="1" x14ac:dyDescent="0.25">
      <c r="A26" s="39" t="s">
        <v>189</v>
      </c>
      <c r="B26" s="63">
        <v>0.1</v>
      </c>
      <c r="C26" s="63">
        <v>0.95</v>
      </c>
      <c r="D26" s="64">
        <v>4.6500000000000004</v>
      </c>
      <c r="E26" s="64" t="s">
        <v>201</v>
      </c>
      <c r="F26" s="63">
        <v>1</v>
      </c>
      <c r="G26" s="63">
        <v>1</v>
      </c>
    </row>
    <row r="27" spans="1:7" ht="15.75" customHeight="1" x14ac:dyDescent="0.25">
      <c r="A27" s="39" t="s">
        <v>190</v>
      </c>
      <c r="B27" s="63">
        <v>0.3538</v>
      </c>
      <c r="C27" s="63">
        <v>0.95</v>
      </c>
      <c r="D27" s="64">
        <v>3.78</v>
      </c>
      <c r="E27" s="64" t="s">
        <v>201</v>
      </c>
      <c r="F27" s="63">
        <v>1</v>
      </c>
      <c r="G27" s="63">
        <v>1</v>
      </c>
    </row>
    <row r="28" spans="1:7" ht="15.75" customHeight="1" x14ac:dyDescent="0.25">
      <c r="A28" s="39" t="s">
        <v>191</v>
      </c>
      <c r="B28" s="63">
        <v>0</v>
      </c>
      <c r="C28" s="63">
        <v>0.95</v>
      </c>
      <c r="D28" s="64">
        <v>1</v>
      </c>
      <c r="E28" s="64" t="s">
        <v>201</v>
      </c>
      <c r="F28" s="63">
        <v>1</v>
      </c>
      <c r="G28" s="63">
        <v>1</v>
      </c>
    </row>
    <row r="29" spans="1:7" ht="15.75" customHeight="1" x14ac:dyDescent="0.25">
      <c r="A29" s="39" t="s">
        <v>192</v>
      </c>
      <c r="B29" s="63">
        <v>0</v>
      </c>
      <c r="C29" s="63">
        <v>0.95</v>
      </c>
      <c r="D29" s="64">
        <v>48</v>
      </c>
      <c r="E29" s="64" t="s">
        <v>201</v>
      </c>
      <c r="F29" s="63">
        <v>1</v>
      </c>
      <c r="G29" s="63">
        <v>1</v>
      </c>
    </row>
    <row r="30" spans="1:7" ht="15.75" customHeight="1" x14ac:dyDescent="0.25">
      <c r="A30" s="39" t="s">
        <v>205</v>
      </c>
      <c r="B30" s="63">
        <v>0</v>
      </c>
      <c r="C30" s="63">
        <v>0.95</v>
      </c>
      <c r="D30" s="64">
        <v>64</v>
      </c>
      <c r="E30" s="64" t="s">
        <v>201</v>
      </c>
      <c r="F30" s="63">
        <v>1</v>
      </c>
      <c r="G30" s="63">
        <v>1</v>
      </c>
    </row>
    <row r="31" spans="1:7" ht="15.75" customHeight="1" x14ac:dyDescent="0.25">
      <c r="A31" s="39" t="s">
        <v>161</v>
      </c>
      <c r="B31" s="63">
        <v>0</v>
      </c>
      <c r="C31" s="63">
        <v>0.95</v>
      </c>
      <c r="D31" s="64">
        <v>65</v>
      </c>
      <c r="E31" s="64" t="s">
        <v>201</v>
      </c>
      <c r="F31" s="63">
        <v>1</v>
      </c>
      <c r="G31" s="63">
        <v>1</v>
      </c>
    </row>
    <row r="32" spans="1:7" ht="15.75" customHeight="1" x14ac:dyDescent="0.25">
      <c r="A32" s="39" t="s">
        <v>193</v>
      </c>
      <c r="B32" s="63">
        <v>0.89970000000000006</v>
      </c>
      <c r="C32" s="63">
        <v>0.95</v>
      </c>
      <c r="D32" s="64">
        <v>0.41</v>
      </c>
      <c r="E32" s="64" t="s">
        <v>201</v>
      </c>
      <c r="F32" s="63">
        <v>1</v>
      </c>
      <c r="G32" s="63">
        <v>1</v>
      </c>
    </row>
    <row r="33" spans="1:7" ht="15.75" customHeight="1" x14ac:dyDescent="0.25">
      <c r="A33" s="39" t="s">
        <v>194</v>
      </c>
      <c r="B33" s="63">
        <v>0.80700000000000005</v>
      </c>
      <c r="C33" s="63">
        <v>0.95</v>
      </c>
      <c r="D33" s="64">
        <v>0.9</v>
      </c>
      <c r="E33" s="64" t="s">
        <v>201</v>
      </c>
      <c r="F33" s="63">
        <v>1</v>
      </c>
      <c r="G33" s="63">
        <v>1</v>
      </c>
    </row>
    <row r="34" spans="1:7" ht="15.75" customHeight="1" x14ac:dyDescent="0.25">
      <c r="A34" s="39" t="s">
        <v>195</v>
      </c>
      <c r="B34" s="63">
        <v>0.73199999999999998</v>
      </c>
      <c r="C34" s="63">
        <v>0.95</v>
      </c>
      <c r="D34" s="64">
        <v>0.9</v>
      </c>
      <c r="E34" s="64" t="s">
        <v>201</v>
      </c>
      <c r="F34" s="63">
        <v>1</v>
      </c>
      <c r="G34" s="63">
        <v>1</v>
      </c>
    </row>
    <row r="35" spans="1:7" ht="15.75" customHeight="1" x14ac:dyDescent="0.25">
      <c r="A35" s="39" t="s">
        <v>196</v>
      </c>
      <c r="B35" s="63">
        <v>0.316</v>
      </c>
      <c r="C35" s="63">
        <v>0.95</v>
      </c>
      <c r="D35" s="64">
        <v>79</v>
      </c>
      <c r="E35" s="64" t="s">
        <v>201</v>
      </c>
      <c r="F35" s="63">
        <v>1</v>
      </c>
      <c r="G35" s="63">
        <v>1</v>
      </c>
    </row>
    <row r="36" spans="1:7" ht="15.75" customHeight="1" x14ac:dyDescent="0.25">
      <c r="A36" s="39" t="s">
        <v>197</v>
      </c>
      <c r="B36" s="63">
        <v>0.59699999999999998</v>
      </c>
      <c r="C36" s="63">
        <v>0.95</v>
      </c>
      <c r="D36" s="64">
        <v>31</v>
      </c>
      <c r="E36" s="64" t="s">
        <v>201</v>
      </c>
      <c r="F36" s="63">
        <v>1</v>
      </c>
      <c r="G36" s="63">
        <v>1</v>
      </c>
    </row>
    <row r="37" spans="1:7" ht="15.75" customHeight="1" x14ac:dyDescent="0.25">
      <c r="A37" s="39" t="s">
        <v>198</v>
      </c>
      <c r="B37" s="63">
        <v>0.19900000000000001</v>
      </c>
      <c r="C37" s="63">
        <v>0.95</v>
      </c>
      <c r="D37" s="64">
        <v>102</v>
      </c>
      <c r="E37" s="64" t="s">
        <v>201</v>
      </c>
      <c r="F37" s="63">
        <v>1</v>
      </c>
      <c r="G37" s="63">
        <v>1</v>
      </c>
    </row>
    <row r="38" spans="1:7" ht="15.75" customHeight="1" x14ac:dyDescent="0.25">
      <c r="A38" s="39" t="s">
        <v>199</v>
      </c>
      <c r="B38" s="63">
        <v>0.13400000000000001</v>
      </c>
      <c r="C38" s="63">
        <v>0.95</v>
      </c>
      <c r="D38" s="64">
        <v>5.53</v>
      </c>
      <c r="E38" s="64" t="s">
        <v>201</v>
      </c>
      <c r="F38" s="63">
        <v>1</v>
      </c>
      <c r="G38" s="63">
        <v>1</v>
      </c>
    </row>
    <row r="39" spans="1:7" ht="15.75" customHeight="1" x14ac:dyDescent="0.25">
      <c r="A39" s="39" t="s">
        <v>200</v>
      </c>
      <c r="B39" s="63">
        <v>0</v>
      </c>
      <c r="C39" s="63">
        <v>0.95</v>
      </c>
      <c r="D39" s="64">
        <v>1</v>
      </c>
      <c r="E39" s="64" t="s">
        <v>201</v>
      </c>
      <c r="F39" s="63">
        <v>1</v>
      </c>
      <c r="G39" s="63">
        <v>1</v>
      </c>
    </row>
  </sheetData>
  <sheetProtection algorithmName="SHA-512" hashValue="dSflOLqmV6AyNx/cnGAdYu9P2pYahmp6VBc7crAVz4AvZs2tprN3KG1fD6KWu2bCWKFKswnzXTZBFhf4XPpjfA==" saltValue="DSMCnRD5CGho1a/Mc2oH3Q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'Options de la courbe de coût'!$A$1:$A$4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C14" sqref="C14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160</v>
      </c>
      <c r="B1" s="29" t="s">
        <v>206</v>
      </c>
      <c r="C1" s="29" t="s">
        <v>207</v>
      </c>
    </row>
    <row r="2" spans="1:3" x14ac:dyDescent="0.25">
      <c r="A2" s="65" t="s">
        <v>180</v>
      </c>
      <c r="B2" s="62" t="s">
        <v>190</v>
      </c>
      <c r="C2" s="62"/>
    </row>
    <row r="3" spans="1:3" x14ac:dyDescent="0.25">
      <c r="A3" s="65" t="s">
        <v>181</v>
      </c>
      <c r="B3" s="62" t="s">
        <v>190</v>
      </c>
      <c r="C3" s="62"/>
    </row>
    <row r="4" spans="1:3" x14ac:dyDescent="0.25">
      <c r="A4" s="66" t="s">
        <v>192</v>
      </c>
      <c r="B4" s="62" t="s">
        <v>185</v>
      </c>
      <c r="C4" s="62"/>
    </row>
    <row r="5" spans="1:3" x14ac:dyDescent="0.25">
      <c r="A5" s="66" t="s">
        <v>189</v>
      </c>
      <c r="B5" s="62" t="s">
        <v>185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IGmNEwmdhBU95Artnnu6C8i2y+PLhJS1top2cm+aWafj7GIf78tlRYFijpG5SLC8HnBEd9FK2kspUaPD0TzNaQ==" saltValue="EhtkzJagOdWCHYocBYVO4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160</v>
      </c>
    </row>
    <row r="2" spans="1:1" x14ac:dyDescent="0.25">
      <c r="A2" s="35" t="s">
        <v>172</v>
      </c>
    </row>
    <row r="3" spans="1:1" x14ac:dyDescent="0.25">
      <c r="A3" s="35" t="s">
        <v>182</v>
      </c>
    </row>
    <row r="4" spans="1:1" x14ac:dyDescent="0.25">
      <c r="A4" s="35" t="s">
        <v>186</v>
      </c>
    </row>
    <row r="5" spans="1:1" x14ac:dyDescent="0.25">
      <c r="A5" s="35" t="s">
        <v>194</v>
      </c>
    </row>
    <row r="6" spans="1:1" x14ac:dyDescent="0.25">
      <c r="A6" s="35" t="s">
        <v>195</v>
      </c>
    </row>
    <row r="7" spans="1:1" x14ac:dyDescent="0.25">
      <c r="A7" s="35" t="s">
        <v>196</v>
      </c>
    </row>
    <row r="8" spans="1:1" x14ac:dyDescent="0.25">
      <c r="A8" s="35" t="s">
        <v>197</v>
      </c>
    </row>
    <row r="9" spans="1:1" x14ac:dyDescent="0.25">
      <c r="A9" s="35" t="s">
        <v>198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t+NMX0qE9NQezSdYpmAjBoCWYZfzj6ZaQz0X4Wnw566SG6rUWpS5Kw+jM4SfNwuQPOlQO7GGtYUCabBfxpeyHw==" saltValue="ccEQPlo1Deky4MHt6DlrA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0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1.66</v>
      </c>
      <c r="C2" s="21">
        <f>'Données pop de l''année de ref'!C52</f>
        <v>1.66</v>
      </c>
      <c r="D2" s="21">
        <f>'Données pop de l''année de ref'!C53</f>
        <v>5.64</v>
      </c>
      <c r="E2" s="21">
        <f>'Données pop de l''année de ref'!C54</f>
        <v>5.43</v>
      </c>
      <c r="F2" s="21">
        <f>'Données pop de l''année de ref'!C55</f>
        <v>1.91</v>
      </c>
    </row>
    <row r="3" spans="1:6" ht="15.75" customHeight="1" x14ac:dyDescent="0.25">
      <c r="A3" s="3" t="s">
        <v>209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208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9ejbtmreDlZPSVoJaIfSH8sNn2VOT+glM4/azgsDuvC3Y0W+D/bSYJY6z07O6wv9TZcZx/pW/5AOWaOyTFI1IA==" saltValue="uPRU8zEdlDfYLSkuWR9aU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18" sqref="C18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9">
        <v>0</v>
      </c>
      <c r="D2" s="69">
        <f>food_insecure</f>
        <v>0.28199999999999997</v>
      </c>
      <c r="E2" s="69">
        <f>food_insecure</f>
        <v>0.28199999999999997</v>
      </c>
      <c r="F2" s="69">
        <f>food_insecure</f>
        <v>0.28199999999999997</v>
      </c>
      <c r="G2" s="69">
        <f>food_insecure</f>
        <v>0.28199999999999997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171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184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185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189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191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192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205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161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193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199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200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>food_insecure</f>
        <v>0.28199999999999997</v>
      </c>
      <c r="I15" s="69">
        <f>food_insecure</f>
        <v>0.28199999999999997</v>
      </c>
      <c r="J15" s="69">
        <f>food_insecure</f>
        <v>0.28199999999999997</v>
      </c>
      <c r="K15" s="69">
        <f>food_insecure</f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169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v>1</v>
      </c>
      <c r="I16" s="69">
        <v>1</v>
      </c>
      <c r="J16" s="69">
        <v>1</v>
      </c>
      <c r="K16" s="69">
        <v>1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180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181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182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187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188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190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45" t="s">
        <v>172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176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177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178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179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9">
        <v>0</v>
      </c>
      <c r="D30" s="69">
        <v>0</v>
      </c>
      <c r="E30" s="69">
        <f t="shared" ref="E30:O30" si="0">frac_maize</f>
        <v>0.8</v>
      </c>
      <c r="F30" s="69">
        <f t="shared" si="0"/>
        <v>0.8</v>
      </c>
      <c r="G30" s="69">
        <f t="shared" si="0"/>
        <v>0.8</v>
      </c>
      <c r="H30" s="69">
        <f t="shared" si="0"/>
        <v>0.8</v>
      </c>
      <c r="I30" s="69">
        <f t="shared" si="0"/>
        <v>0.8</v>
      </c>
      <c r="J30" s="69">
        <f t="shared" si="0"/>
        <v>0.8</v>
      </c>
      <c r="K30" s="69">
        <f t="shared" si="0"/>
        <v>0.8</v>
      </c>
      <c r="L30" s="69">
        <f t="shared" si="0"/>
        <v>0.8</v>
      </c>
      <c r="M30" s="69">
        <f t="shared" si="0"/>
        <v>0.8</v>
      </c>
      <c r="N30" s="69">
        <f t="shared" si="0"/>
        <v>0.8</v>
      </c>
      <c r="O30" s="69">
        <f t="shared" si="0"/>
        <v>0.8</v>
      </c>
    </row>
    <row r="31" spans="1:15" ht="15.75" customHeight="1" x14ac:dyDescent="0.25">
      <c r="B31" s="5" t="s">
        <v>174</v>
      </c>
      <c r="C31" s="69">
        <v>0</v>
      </c>
      <c r="D31" s="69">
        <v>0</v>
      </c>
      <c r="E31" s="69">
        <f t="shared" ref="E31:O31" si="1">frac_rice</f>
        <v>0.1</v>
      </c>
      <c r="F31" s="69">
        <f t="shared" si="1"/>
        <v>0.1</v>
      </c>
      <c r="G31" s="69">
        <f t="shared" si="1"/>
        <v>0.1</v>
      </c>
      <c r="H31" s="69">
        <f t="shared" si="1"/>
        <v>0.1</v>
      </c>
      <c r="I31" s="69">
        <f t="shared" si="1"/>
        <v>0.1</v>
      </c>
      <c r="J31" s="69">
        <f t="shared" si="1"/>
        <v>0.1</v>
      </c>
      <c r="K31" s="69">
        <f t="shared" si="1"/>
        <v>0.1</v>
      </c>
      <c r="L31" s="69">
        <f t="shared" si="1"/>
        <v>0.1</v>
      </c>
      <c r="M31" s="69">
        <f t="shared" si="1"/>
        <v>0.1</v>
      </c>
      <c r="N31" s="69">
        <f t="shared" si="1"/>
        <v>0.1</v>
      </c>
      <c r="O31" s="69">
        <f t="shared" si="1"/>
        <v>0.1</v>
      </c>
    </row>
    <row r="32" spans="1:15" ht="15.75" customHeight="1" x14ac:dyDescent="0.25">
      <c r="B32" s="5" t="s">
        <v>175</v>
      </c>
      <c r="C32" s="69">
        <v>0</v>
      </c>
      <c r="D32" s="69">
        <v>0</v>
      </c>
      <c r="E32" s="69">
        <f>frac_wheat</f>
        <v>0.1</v>
      </c>
      <c r="F32" s="69">
        <f t="shared" ref="F32:O32" si="2">frac_wheat</f>
        <v>0.1</v>
      </c>
      <c r="G32" s="69">
        <f t="shared" si="2"/>
        <v>0.1</v>
      </c>
      <c r="H32" s="69">
        <f t="shared" si="2"/>
        <v>0.1</v>
      </c>
      <c r="I32" s="69">
        <f t="shared" si="2"/>
        <v>0.1</v>
      </c>
      <c r="J32" s="69">
        <f t="shared" si="2"/>
        <v>0.1</v>
      </c>
      <c r="K32" s="69">
        <f t="shared" si="2"/>
        <v>0.1</v>
      </c>
      <c r="L32" s="69">
        <f t="shared" si="2"/>
        <v>0.1</v>
      </c>
      <c r="M32" s="69">
        <f t="shared" si="2"/>
        <v>0.1</v>
      </c>
      <c r="N32" s="69">
        <f t="shared" si="2"/>
        <v>0.1</v>
      </c>
      <c r="O32" s="69">
        <f t="shared" si="2"/>
        <v>0.1</v>
      </c>
    </row>
    <row r="33" spans="2:15" ht="15.75" customHeight="1" x14ac:dyDescent="0.25">
      <c r="B33" s="5" t="s">
        <v>183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186</v>
      </c>
      <c r="C34" s="69">
        <f t="shared" ref="C34:O34" si="3">frac_malaria_risk</f>
        <v>1</v>
      </c>
      <c r="D34" s="69">
        <f t="shared" si="3"/>
        <v>1</v>
      </c>
      <c r="E34" s="69">
        <f t="shared" si="3"/>
        <v>1</v>
      </c>
      <c r="F34" s="69">
        <f t="shared" si="3"/>
        <v>1</v>
      </c>
      <c r="G34" s="69">
        <f t="shared" si="3"/>
        <v>1</v>
      </c>
      <c r="H34" s="69">
        <f t="shared" si="3"/>
        <v>1</v>
      </c>
      <c r="I34" s="69">
        <f t="shared" si="3"/>
        <v>1</v>
      </c>
      <c r="J34" s="69">
        <f t="shared" si="3"/>
        <v>1</v>
      </c>
      <c r="K34" s="69">
        <f t="shared" si="3"/>
        <v>1</v>
      </c>
      <c r="L34" s="69">
        <f t="shared" si="3"/>
        <v>1</v>
      </c>
      <c r="M34" s="69">
        <f t="shared" si="3"/>
        <v>1</v>
      </c>
      <c r="N34" s="69">
        <f t="shared" si="3"/>
        <v>1</v>
      </c>
      <c r="O34" s="69">
        <f t="shared" si="3"/>
        <v>1</v>
      </c>
    </row>
    <row r="35" spans="2:15" ht="15.75" customHeight="1" x14ac:dyDescent="0.25">
      <c r="B35" s="9" t="s">
        <v>194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195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196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197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198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4p/UDN2dFQy6JnJk/fn6TJL5MmvCy9tLipfDtX8a9hLaofrzeUtCcl23dn3vnXDjYLkkzQicAmxtRNi9AZ9q1w==" saltValue="OdJyfinvkXt0rmb2MqZC9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wy6+2FktOaBYyoMH1WwRExlCbqKwTv/TDJjU9bDF/8hNaO4Uh8tv2LBZ4jFpI0zqruMqvf/SOT9wOmQdyg42Cw==" saltValue="nsiTNHiILlDEBQ5m3pYKB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216</v>
      </c>
      <c r="B1" s="29" t="s">
        <v>215</v>
      </c>
      <c r="C1" s="29" t="s">
        <v>4</v>
      </c>
      <c r="D1" s="29" t="s">
        <v>144</v>
      </c>
      <c r="E1" s="29" t="s">
        <v>225</v>
      </c>
    </row>
    <row r="2" spans="1:5" ht="14" x14ac:dyDescent="0.3">
      <c r="A2" s="28" t="s">
        <v>217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218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219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220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3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221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222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223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224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dJrOYdl/8sqqZaWr2slg+ujS8zM6XJYMikCyBh1MCUuiUDT6rHVOeAkHF62KYY2UJhEzBGHNRys/UbJOKgYWWQ==" saltValue="o6fzcJgrITpWNN1E0vTF8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7" workbookViewId="0">
      <selection activeCell="D24" sqref="D24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211</v>
      </c>
      <c r="B1" s="71" t="s">
        <v>160</v>
      </c>
      <c r="C1" s="43" t="s">
        <v>109</v>
      </c>
      <c r="D1" s="43" t="s">
        <v>96</v>
      </c>
      <c r="E1" s="43" t="s">
        <v>97</v>
      </c>
      <c r="F1" s="43" t="s">
        <v>98</v>
      </c>
      <c r="G1" s="43" t="s">
        <v>99</v>
      </c>
      <c r="H1" s="43" t="s">
        <v>122</v>
      </c>
      <c r="I1" s="43" t="s">
        <v>123</v>
      </c>
      <c r="J1" s="43" t="s">
        <v>124</v>
      </c>
      <c r="K1" s="43" t="s">
        <v>125</v>
      </c>
      <c r="L1" s="43" t="s">
        <v>69</v>
      </c>
      <c r="M1" s="43" t="s">
        <v>70</v>
      </c>
      <c r="N1" s="43" t="s">
        <v>71</v>
      </c>
      <c r="O1" s="43" t="s">
        <v>72</v>
      </c>
    </row>
    <row r="2" spans="1:15" ht="15.75" customHeight="1" x14ac:dyDescent="0.35">
      <c r="A2" s="43" t="s">
        <v>86</v>
      </c>
      <c r="B2" s="39" t="s">
        <v>170</v>
      </c>
      <c r="C2" s="101">
        <v>0</v>
      </c>
      <c r="D2" s="101">
        <v>1</v>
      </c>
      <c r="E2" s="101">
        <v>1</v>
      </c>
      <c r="F2" s="101">
        <v>1</v>
      </c>
      <c r="G2" s="101">
        <v>1</v>
      </c>
      <c r="H2" s="101">
        <v>0</v>
      </c>
      <c r="I2" s="101">
        <v>0</v>
      </c>
      <c r="J2" s="101">
        <v>0</v>
      </c>
      <c r="K2" s="101">
        <v>0</v>
      </c>
      <c r="L2" s="101">
        <v>0</v>
      </c>
      <c r="M2" s="101">
        <v>0</v>
      </c>
      <c r="N2" s="101">
        <v>0</v>
      </c>
      <c r="O2" s="101">
        <v>0</v>
      </c>
    </row>
    <row r="3" spans="1:15" ht="15.75" customHeight="1" x14ac:dyDescent="0.35">
      <c r="B3" s="39" t="s">
        <v>171</v>
      </c>
      <c r="C3" s="101">
        <v>1</v>
      </c>
      <c r="D3" s="101">
        <v>1</v>
      </c>
      <c r="E3" s="101">
        <v>0</v>
      </c>
      <c r="F3" s="101">
        <v>0</v>
      </c>
      <c r="G3" s="101">
        <v>0</v>
      </c>
      <c r="H3" s="101">
        <v>0</v>
      </c>
      <c r="I3" s="101">
        <v>0</v>
      </c>
      <c r="J3" s="101">
        <v>0</v>
      </c>
      <c r="K3" s="101">
        <v>0</v>
      </c>
      <c r="L3" s="101">
        <v>0</v>
      </c>
      <c r="M3" s="101">
        <v>0</v>
      </c>
      <c r="N3" s="101">
        <v>0</v>
      </c>
      <c r="O3" s="101">
        <v>0</v>
      </c>
    </row>
    <row r="4" spans="1:15" ht="15.75" customHeight="1" x14ac:dyDescent="0.35">
      <c r="B4" s="39" t="s">
        <v>157</v>
      </c>
      <c r="C4" s="101">
        <v>1</v>
      </c>
      <c r="D4" s="101">
        <v>1</v>
      </c>
      <c r="E4" s="101">
        <v>1</v>
      </c>
      <c r="F4" s="101">
        <v>1</v>
      </c>
      <c r="G4" s="101">
        <v>1</v>
      </c>
      <c r="H4" s="101">
        <v>0</v>
      </c>
      <c r="I4" s="101">
        <v>0</v>
      </c>
      <c r="J4" s="101">
        <v>0</v>
      </c>
      <c r="K4" s="101">
        <v>0</v>
      </c>
      <c r="L4" s="101">
        <v>0</v>
      </c>
      <c r="M4" s="101">
        <v>0</v>
      </c>
      <c r="N4" s="101">
        <v>0</v>
      </c>
      <c r="O4" s="101">
        <v>0</v>
      </c>
    </row>
    <row r="5" spans="1:15" ht="15.75" customHeight="1" x14ac:dyDescent="0.35">
      <c r="B5" s="39" t="s">
        <v>158</v>
      </c>
      <c r="C5" s="101">
        <v>1</v>
      </c>
      <c r="D5" s="101">
        <v>1</v>
      </c>
      <c r="E5" s="101">
        <v>1</v>
      </c>
      <c r="F5" s="101">
        <v>1</v>
      </c>
      <c r="G5" s="101">
        <v>1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1">
        <v>0</v>
      </c>
      <c r="N5" s="101">
        <v>0</v>
      </c>
      <c r="O5" s="101">
        <v>0</v>
      </c>
    </row>
    <row r="6" spans="1:15" ht="15.75" customHeight="1" x14ac:dyDescent="0.35">
      <c r="B6" s="39" t="s">
        <v>159</v>
      </c>
      <c r="C6" s="101">
        <v>1</v>
      </c>
      <c r="D6" s="101">
        <v>1</v>
      </c>
      <c r="E6" s="101">
        <v>1</v>
      </c>
      <c r="F6" s="101">
        <v>1</v>
      </c>
      <c r="G6" s="101">
        <v>1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1">
        <v>0</v>
      </c>
      <c r="N6" s="101">
        <v>0</v>
      </c>
      <c r="O6" s="101">
        <v>0</v>
      </c>
    </row>
    <row r="7" spans="1:15" ht="15.75" customHeight="1" x14ac:dyDescent="0.35">
      <c r="B7" s="39" t="s">
        <v>184</v>
      </c>
      <c r="C7" s="101">
        <v>1</v>
      </c>
      <c r="D7" s="101">
        <v>1</v>
      </c>
      <c r="E7" s="101">
        <v>0</v>
      </c>
      <c r="F7" s="101">
        <v>0</v>
      </c>
      <c r="G7" s="101">
        <v>0</v>
      </c>
      <c r="H7" s="101">
        <v>0</v>
      </c>
      <c r="I7" s="101">
        <v>0</v>
      </c>
      <c r="J7" s="101">
        <v>0</v>
      </c>
      <c r="K7" s="101">
        <v>0</v>
      </c>
      <c r="L7" s="101">
        <v>0</v>
      </c>
      <c r="M7" s="101">
        <v>0</v>
      </c>
      <c r="N7" s="101">
        <v>0</v>
      </c>
      <c r="O7" s="101">
        <v>0</v>
      </c>
    </row>
    <row r="8" spans="1:15" ht="15.75" customHeight="1" x14ac:dyDescent="0.35">
      <c r="B8" s="39" t="s">
        <v>185</v>
      </c>
      <c r="C8" s="101">
        <v>0</v>
      </c>
      <c r="D8" s="101">
        <v>0</v>
      </c>
      <c r="E8" s="101">
        <v>1</v>
      </c>
      <c r="F8" s="101">
        <v>1</v>
      </c>
      <c r="G8" s="101">
        <v>0</v>
      </c>
      <c r="H8" s="101">
        <v>0</v>
      </c>
      <c r="I8" s="101">
        <v>0</v>
      </c>
      <c r="J8" s="101">
        <v>0</v>
      </c>
      <c r="K8" s="101">
        <v>0</v>
      </c>
      <c r="L8" s="101">
        <v>0</v>
      </c>
      <c r="M8" s="101">
        <v>0</v>
      </c>
      <c r="N8" s="101">
        <v>0</v>
      </c>
      <c r="O8" s="101">
        <v>0</v>
      </c>
    </row>
    <row r="9" spans="1:15" ht="15.75" customHeight="1" x14ac:dyDescent="0.35">
      <c r="B9" s="39" t="s">
        <v>189</v>
      </c>
      <c r="C9" s="101">
        <v>0</v>
      </c>
      <c r="D9" s="101">
        <v>0</v>
      </c>
      <c r="E9" s="101">
        <v>1</v>
      </c>
      <c r="F9" s="101">
        <v>1</v>
      </c>
      <c r="G9" s="101">
        <v>1</v>
      </c>
      <c r="H9" s="101">
        <v>0</v>
      </c>
      <c r="I9" s="101">
        <v>0</v>
      </c>
      <c r="J9" s="101">
        <v>0</v>
      </c>
      <c r="K9" s="101">
        <v>0</v>
      </c>
      <c r="L9" s="101">
        <v>0</v>
      </c>
      <c r="M9" s="101">
        <v>0</v>
      </c>
      <c r="N9" s="101">
        <v>0</v>
      </c>
      <c r="O9" s="101">
        <v>0</v>
      </c>
    </row>
    <row r="10" spans="1:15" ht="15.75" customHeight="1" x14ac:dyDescent="0.35">
      <c r="B10" s="39" t="s">
        <v>191</v>
      </c>
      <c r="C10" s="101">
        <v>1</v>
      </c>
      <c r="D10" s="101">
        <v>1</v>
      </c>
      <c r="E10" s="101">
        <v>1</v>
      </c>
      <c r="F10" s="101">
        <v>1</v>
      </c>
      <c r="G10" s="101">
        <v>1</v>
      </c>
      <c r="H10" s="101">
        <v>0</v>
      </c>
      <c r="I10" s="101">
        <v>0</v>
      </c>
      <c r="J10" s="101">
        <v>0</v>
      </c>
      <c r="K10" s="101">
        <v>0</v>
      </c>
      <c r="L10" s="101">
        <v>0</v>
      </c>
      <c r="M10" s="101">
        <v>0</v>
      </c>
      <c r="N10" s="101">
        <v>0</v>
      </c>
      <c r="O10" s="101">
        <v>0</v>
      </c>
    </row>
    <row r="11" spans="1:15" ht="15.75" customHeight="1" x14ac:dyDescent="0.35">
      <c r="B11" s="39" t="s">
        <v>192</v>
      </c>
      <c r="C11" s="101">
        <v>0</v>
      </c>
      <c r="D11" s="101">
        <v>0</v>
      </c>
      <c r="E11" s="101">
        <v>1</v>
      </c>
      <c r="F11" s="101">
        <v>1</v>
      </c>
      <c r="G11" s="101">
        <v>0</v>
      </c>
      <c r="H11" s="101">
        <v>0</v>
      </c>
      <c r="I11" s="101">
        <v>0</v>
      </c>
      <c r="J11" s="101">
        <v>0</v>
      </c>
      <c r="K11" s="101">
        <v>0</v>
      </c>
      <c r="L11" s="101">
        <v>0</v>
      </c>
      <c r="M11" s="101">
        <v>0</v>
      </c>
      <c r="N11" s="101">
        <v>0</v>
      </c>
      <c r="O11" s="101">
        <v>0</v>
      </c>
    </row>
    <row r="12" spans="1:15" ht="15.75" customHeight="1" x14ac:dyDescent="0.35">
      <c r="B12" s="39" t="s">
        <v>205</v>
      </c>
      <c r="C12" s="101">
        <v>0</v>
      </c>
      <c r="D12" s="101">
        <v>0</v>
      </c>
      <c r="E12" s="101">
        <v>1</v>
      </c>
      <c r="F12" s="101">
        <v>1</v>
      </c>
      <c r="G12" s="101">
        <v>0</v>
      </c>
      <c r="H12" s="101">
        <v>0</v>
      </c>
      <c r="I12" s="101">
        <v>0</v>
      </c>
      <c r="J12" s="101">
        <v>0</v>
      </c>
      <c r="K12" s="101">
        <v>0</v>
      </c>
      <c r="L12" s="101">
        <v>0</v>
      </c>
      <c r="M12" s="101">
        <v>0</v>
      </c>
      <c r="N12" s="101">
        <v>0</v>
      </c>
      <c r="O12" s="101">
        <v>0</v>
      </c>
    </row>
    <row r="13" spans="1:15" ht="15.75" customHeight="1" x14ac:dyDescent="0.35">
      <c r="B13" s="39" t="s">
        <v>161</v>
      </c>
      <c r="C13" s="101">
        <v>0</v>
      </c>
      <c r="D13" s="101">
        <v>1</v>
      </c>
      <c r="E13" s="101">
        <v>1</v>
      </c>
      <c r="F13" s="101">
        <v>1</v>
      </c>
      <c r="G13" s="101">
        <v>1</v>
      </c>
      <c r="H13" s="101">
        <v>0</v>
      </c>
      <c r="I13" s="101">
        <v>0</v>
      </c>
      <c r="J13" s="101">
        <v>0</v>
      </c>
      <c r="K13" s="101">
        <v>0</v>
      </c>
      <c r="L13" s="101">
        <v>0</v>
      </c>
      <c r="M13" s="101">
        <v>0</v>
      </c>
      <c r="N13" s="101">
        <v>0</v>
      </c>
      <c r="O13" s="101">
        <v>0</v>
      </c>
    </row>
    <row r="14" spans="1:15" ht="15.75" customHeight="1" x14ac:dyDescent="0.35">
      <c r="B14" s="39" t="s">
        <v>193</v>
      </c>
      <c r="C14" s="101">
        <v>0</v>
      </c>
      <c r="D14" s="101">
        <v>0</v>
      </c>
      <c r="E14" s="101">
        <v>1</v>
      </c>
      <c r="F14" s="101">
        <v>1</v>
      </c>
      <c r="G14" s="101">
        <v>1</v>
      </c>
      <c r="H14" s="101">
        <v>0</v>
      </c>
      <c r="I14" s="101">
        <v>0</v>
      </c>
      <c r="J14" s="101">
        <v>0</v>
      </c>
      <c r="K14" s="101">
        <v>0</v>
      </c>
      <c r="L14" s="101">
        <v>0</v>
      </c>
      <c r="M14" s="101">
        <v>0</v>
      </c>
      <c r="N14" s="101">
        <v>0</v>
      </c>
      <c r="O14" s="101">
        <v>0</v>
      </c>
    </row>
    <row r="15" spans="1:15" ht="15.75" customHeight="1" x14ac:dyDescent="0.35">
      <c r="B15" s="39" t="s">
        <v>199</v>
      </c>
      <c r="C15" s="101">
        <v>1</v>
      </c>
      <c r="D15" s="101">
        <v>1</v>
      </c>
      <c r="E15" s="101">
        <v>1</v>
      </c>
      <c r="F15" s="101">
        <v>1</v>
      </c>
      <c r="G15" s="101">
        <v>1</v>
      </c>
      <c r="H15" s="101">
        <v>0</v>
      </c>
      <c r="I15" s="101">
        <v>0</v>
      </c>
      <c r="J15" s="101">
        <v>0</v>
      </c>
      <c r="K15" s="101">
        <v>0</v>
      </c>
      <c r="L15" s="101">
        <v>0</v>
      </c>
      <c r="M15" s="101">
        <v>0</v>
      </c>
      <c r="N15" s="101">
        <v>0</v>
      </c>
      <c r="O15" s="101">
        <v>0</v>
      </c>
    </row>
    <row r="16" spans="1:15" ht="15.75" customHeight="1" x14ac:dyDescent="0.35">
      <c r="B16" s="39" t="s">
        <v>200</v>
      </c>
      <c r="C16" s="101">
        <v>0</v>
      </c>
      <c r="D16" s="101">
        <v>0</v>
      </c>
      <c r="E16" s="101">
        <v>1</v>
      </c>
      <c r="F16" s="101">
        <v>1</v>
      </c>
      <c r="G16" s="101">
        <v>1</v>
      </c>
      <c r="H16" s="101">
        <v>0</v>
      </c>
      <c r="I16" s="101">
        <v>0</v>
      </c>
      <c r="J16" s="101">
        <v>0</v>
      </c>
      <c r="K16" s="101">
        <v>0</v>
      </c>
      <c r="L16" s="101">
        <v>0</v>
      </c>
      <c r="M16" s="101">
        <v>0</v>
      </c>
      <c r="N16" s="101">
        <v>0</v>
      </c>
      <c r="O16" s="101">
        <v>0</v>
      </c>
    </row>
    <row r="17" spans="1:16" ht="15.75" customHeight="1" x14ac:dyDescent="0.35">
      <c r="B17" s="39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</row>
    <row r="18" spans="1:16" ht="15.75" customHeight="1" x14ac:dyDescent="0.35">
      <c r="A18" s="43" t="s">
        <v>100</v>
      </c>
      <c r="B18" s="39" t="s">
        <v>168</v>
      </c>
      <c r="C18" s="101">
        <v>0</v>
      </c>
      <c r="D18" s="101">
        <v>0</v>
      </c>
      <c r="E18" s="101">
        <v>0</v>
      </c>
      <c r="F18" s="101">
        <v>0</v>
      </c>
      <c r="G18" s="101">
        <v>0</v>
      </c>
      <c r="H18" s="101">
        <v>1</v>
      </c>
      <c r="I18" s="101">
        <v>1</v>
      </c>
      <c r="J18" s="101">
        <v>1</v>
      </c>
      <c r="K18" s="101">
        <v>1</v>
      </c>
      <c r="L18" s="101">
        <v>0</v>
      </c>
      <c r="M18" s="101">
        <v>0</v>
      </c>
      <c r="N18" s="101">
        <v>0</v>
      </c>
      <c r="O18" s="101">
        <v>0</v>
      </c>
    </row>
    <row r="19" spans="1:16" ht="15.75" customHeight="1" x14ac:dyDescent="0.35">
      <c r="A19" s="43"/>
      <c r="B19" s="39" t="s">
        <v>169</v>
      </c>
      <c r="C19" s="101">
        <v>0</v>
      </c>
      <c r="D19" s="101">
        <v>0</v>
      </c>
      <c r="E19" s="101">
        <v>0</v>
      </c>
      <c r="F19" s="101">
        <v>0</v>
      </c>
      <c r="G19" s="101">
        <v>0</v>
      </c>
      <c r="H19" s="101">
        <v>1</v>
      </c>
      <c r="I19" s="101">
        <v>1</v>
      </c>
      <c r="J19" s="101">
        <v>1</v>
      </c>
      <c r="K19" s="101">
        <v>1</v>
      </c>
      <c r="L19" s="101">
        <v>0</v>
      </c>
      <c r="M19" s="101">
        <v>0</v>
      </c>
      <c r="N19" s="101">
        <v>0</v>
      </c>
      <c r="O19" s="101">
        <v>0</v>
      </c>
    </row>
    <row r="20" spans="1:16" ht="15.75" customHeight="1" x14ac:dyDescent="0.35">
      <c r="B20" s="72" t="s">
        <v>180</v>
      </c>
      <c r="C20" s="101">
        <v>0</v>
      </c>
      <c r="D20" s="101">
        <v>0</v>
      </c>
      <c r="E20" s="101">
        <v>0</v>
      </c>
      <c r="F20" s="101">
        <v>0</v>
      </c>
      <c r="G20" s="101">
        <v>0</v>
      </c>
      <c r="H20" s="101">
        <v>1</v>
      </c>
      <c r="I20" s="101">
        <v>1</v>
      </c>
      <c r="J20" s="101">
        <v>1</v>
      </c>
      <c r="K20" s="101">
        <v>1</v>
      </c>
      <c r="L20" s="101">
        <v>0</v>
      </c>
      <c r="M20" s="101">
        <v>0</v>
      </c>
      <c r="N20" s="101">
        <v>0</v>
      </c>
      <c r="O20" s="101">
        <v>0</v>
      </c>
    </row>
    <row r="21" spans="1:16" ht="15.75" customHeight="1" x14ac:dyDescent="0.35">
      <c r="B21" s="72" t="s">
        <v>181</v>
      </c>
      <c r="C21" s="101">
        <v>0</v>
      </c>
      <c r="D21" s="101">
        <v>0</v>
      </c>
      <c r="E21" s="101">
        <v>0</v>
      </c>
      <c r="F21" s="101">
        <v>0</v>
      </c>
      <c r="G21" s="101">
        <v>0</v>
      </c>
      <c r="H21" s="101">
        <v>1</v>
      </c>
      <c r="I21" s="101">
        <v>1</v>
      </c>
      <c r="J21" s="101">
        <v>1</v>
      </c>
      <c r="K21" s="101">
        <v>1</v>
      </c>
      <c r="L21" s="101">
        <v>0</v>
      </c>
      <c r="M21" s="101">
        <v>0</v>
      </c>
      <c r="N21" s="101">
        <v>0</v>
      </c>
      <c r="O21" s="101">
        <v>0</v>
      </c>
    </row>
    <row r="22" spans="1:16" ht="15.75" customHeight="1" x14ac:dyDescent="0.35">
      <c r="B22" s="73" t="s">
        <v>182</v>
      </c>
      <c r="C22" s="101">
        <v>0</v>
      </c>
      <c r="D22" s="101">
        <v>0</v>
      </c>
      <c r="E22" s="101">
        <v>0</v>
      </c>
      <c r="F22" s="101">
        <v>0</v>
      </c>
      <c r="G22" s="101">
        <v>0</v>
      </c>
      <c r="H22" s="101">
        <v>1</v>
      </c>
      <c r="I22" s="101">
        <v>1</v>
      </c>
      <c r="J22" s="101">
        <v>1</v>
      </c>
      <c r="K22" s="101">
        <v>1</v>
      </c>
      <c r="L22" s="101">
        <v>0</v>
      </c>
      <c r="M22" s="101">
        <v>0</v>
      </c>
      <c r="N22" s="101">
        <v>0</v>
      </c>
      <c r="O22" s="101">
        <v>0</v>
      </c>
    </row>
    <row r="23" spans="1:16" ht="15.75" customHeight="1" x14ac:dyDescent="0.35">
      <c r="B23" s="39" t="s">
        <v>187</v>
      </c>
      <c r="C23" s="101">
        <v>0</v>
      </c>
      <c r="D23" s="101">
        <v>0</v>
      </c>
      <c r="E23" s="101">
        <v>0</v>
      </c>
      <c r="F23" s="101">
        <v>0</v>
      </c>
      <c r="G23" s="101">
        <v>0</v>
      </c>
      <c r="H23" s="101">
        <v>1</v>
      </c>
      <c r="I23" s="101">
        <v>1</v>
      </c>
      <c r="J23" s="101">
        <v>1</v>
      </c>
      <c r="K23" s="101">
        <v>1</v>
      </c>
      <c r="L23" s="101">
        <v>0</v>
      </c>
      <c r="M23" s="101">
        <v>0</v>
      </c>
      <c r="N23" s="101">
        <v>0</v>
      </c>
      <c r="O23" s="101">
        <v>0</v>
      </c>
    </row>
    <row r="24" spans="1:16" ht="15.75" customHeight="1" x14ac:dyDescent="0.35">
      <c r="B24" s="39" t="s">
        <v>188</v>
      </c>
      <c r="C24" s="101">
        <v>0</v>
      </c>
      <c r="D24" s="101">
        <v>0</v>
      </c>
      <c r="E24" s="101">
        <v>0</v>
      </c>
      <c r="F24" s="101">
        <v>0</v>
      </c>
      <c r="G24" s="101">
        <v>0</v>
      </c>
      <c r="H24" s="101">
        <v>1</v>
      </c>
      <c r="I24" s="101">
        <v>1</v>
      </c>
      <c r="J24" s="101">
        <v>1</v>
      </c>
      <c r="K24" s="101">
        <v>1</v>
      </c>
      <c r="L24" s="101">
        <v>0</v>
      </c>
      <c r="M24" s="101">
        <v>0</v>
      </c>
      <c r="N24" s="101">
        <v>0</v>
      </c>
      <c r="O24" s="101">
        <v>0</v>
      </c>
    </row>
    <row r="25" spans="1:16" ht="15.75" customHeight="1" x14ac:dyDescent="0.35">
      <c r="B25" s="39" t="s">
        <v>190</v>
      </c>
      <c r="C25" s="101">
        <v>0</v>
      </c>
      <c r="D25" s="101">
        <v>0</v>
      </c>
      <c r="E25" s="101">
        <v>0</v>
      </c>
      <c r="F25" s="101">
        <v>0</v>
      </c>
      <c r="G25" s="101">
        <v>0</v>
      </c>
      <c r="H25" s="101">
        <v>1</v>
      </c>
      <c r="I25" s="101">
        <v>1</v>
      </c>
      <c r="J25" s="101">
        <v>1</v>
      </c>
      <c r="K25" s="101">
        <v>1</v>
      </c>
      <c r="L25" s="101">
        <v>0</v>
      </c>
      <c r="M25" s="101">
        <v>0</v>
      </c>
      <c r="N25" s="101">
        <v>0</v>
      </c>
      <c r="O25" s="101">
        <v>0</v>
      </c>
    </row>
    <row r="26" spans="1:16" ht="15.75" customHeight="1" x14ac:dyDescent="0.35">
      <c r="B26" s="39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</row>
    <row r="27" spans="1:16" ht="16.149999999999999" customHeight="1" x14ac:dyDescent="0.35">
      <c r="A27" s="43" t="s">
        <v>75</v>
      </c>
      <c r="B27" s="39" t="s">
        <v>172</v>
      </c>
      <c r="C27" s="101">
        <v>0</v>
      </c>
      <c r="D27" s="101">
        <v>0</v>
      </c>
      <c r="E27" s="101">
        <v>0</v>
      </c>
      <c r="F27" s="101">
        <v>0</v>
      </c>
      <c r="G27" s="101">
        <v>0</v>
      </c>
      <c r="H27" s="101">
        <v>0</v>
      </c>
      <c r="I27" s="101">
        <v>0</v>
      </c>
      <c r="J27" s="101">
        <v>0</v>
      </c>
      <c r="K27" s="101">
        <v>0</v>
      </c>
      <c r="L27" s="101">
        <v>1</v>
      </c>
      <c r="M27" s="101">
        <v>0</v>
      </c>
      <c r="N27" s="101">
        <v>0</v>
      </c>
      <c r="O27" s="101">
        <v>0</v>
      </c>
      <c r="P27" s="74"/>
    </row>
    <row r="28" spans="1:16" ht="15.75" customHeight="1" x14ac:dyDescent="0.35">
      <c r="B28" s="45" t="s">
        <v>176</v>
      </c>
      <c r="C28" s="101">
        <v>0</v>
      </c>
      <c r="D28" s="101">
        <v>0</v>
      </c>
      <c r="E28" s="101">
        <v>0</v>
      </c>
      <c r="F28" s="101">
        <v>0</v>
      </c>
      <c r="G28" s="101">
        <v>0</v>
      </c>
      <c r="H28" s="101">
        <v>0</v>
      </c>
      <c r="I28" s="101">
        <v>0</v>
      </c>
      <c r="J28" s="101">
        <v>0</v>
      </c>
      <c r="K28" s="101">
        <v>0</v>
      </c>
      <c r="L28" s="101">
        <v>1</v>
      </c>
      <c r="M28" s="101">
        <v>1</v>
      </c>
      <c r="N28" s="101">
        <v>1</v>
      </c>
      <c r="O28" s="101">
        <v>1</v>
      </c>
    </row>
    <row r="29" spans="1:16" ht="15.75" customHeight="1" x14ac:dyDescent="0.35">
      <c r="A29" s="43"/>
      <c r="B29" s="45" t="s">
        <v>177</v>
      </c>
      <c r="C29" s="101">
        <v>0</v>
      </c>
      <c r="D29" s="101">
        <v>0</v>
      </c>
      <c r="E29" s="101">
        <v>0</v>
      </c>
      <c r="F29" s="101">
        <v>0</v>
      </c>
      <c r="G29" s="101">
        <v>0</v>
      </c>
      <c r="H29" s="101">
        <v>0</v>
      </c>
      <c r="I29" s="101">
        <v>0</v>
      </c>
      <c r="J29" s="101">
        <v>0</v>
      </c>
      <c r="K29" s="101">
        <v>0</v>
      </c>
      <c r="L29" s="101">
        <v>1</v>
      </c>
      <c r="M29" s="101">
        <v>1</v>
      </c>
      <c r="N29" s="101">
        <v>1</v>
      </c>
      <c r="O29" s="101">
        <v>1</v>
      </c>
    </row>
    <row r="30" spans="1:16" ht="15.75" customHeight="1" x14ac:dyDescent="0.35">
      <c r="B30" s="45" t="s">
        <v>178</v>
      </c>
      <c r="C30" s="101">
        <v>0</v>
      </c>
      <c r="D30" s="101">
        <v>0</v>
      </c>
      <c r="E30" s="101">
        <v>0</v>
      </c>
      <c r="F30" s="101">
        <v>0</v>
      </c>
      <c r="G30" s="101">
        <v>0</v>
      </c>
      <c r="H30" s="101">
        <v>0</v>
      </c>
      <c r="I30" s="101">
        <v>0</v>
      </c>
      <c r="J30" s="101">
        <v>0</v>
      </c>
      <c r="K30" s="101">
        <v>0</v>
      </c>
      <c r="L30" s="101">
        <v>1</v>
      </c>
      <c r="M30" s="101">
        <v>1</v>
      </c>
      <c r="N30" s="101">
        <v>1</v>
      </c>
      <c r="O30" s="101">
        <v>1</v>
      </c>
    </row>
    <row r="31" spans="1:16" ht="15.75" customHeight="1" x14ac:dyDescent="0.35">
      <c r="B31" s="45" t="s">
        <v>179</v>
      </c>
      <c r="C31" s="101">
        <v>0</v>
      </c>
      <c r="D31" s="101">
        <v>0</v>
      </c>
      <c r="E31" s="101">
        <v>0</v>
      </c>
      <c r="F31" s="101">
        <v>0</v>
      </c>
      <c r="G31" s="101">
        <v>0</v>
      </c>
      <c r="H31" s="101">
        <v>0</v>
      </c>
      <c r="I31" s="101">
        <v>0</v>
      </c>
      <c r="J31" s="101">
        <v>0</v>
      </c>
      <c r="K31" s="101">
        <v>0</v>
      </c>
      <c r="L31" s="101">
        <v>1</v>
      </c>
      <c r="M31" s="101">
        <v>0</v>
      </c>
      <c r="N31" s="101">
        <v>0</v>
      </c>
      <c r="O31" s="101">
        <v>0</v>
      </c>
    </row>
    <row r="32" spans="1:16" ht="15.75" customHeight="1" x14ac:dyDescent="0.35">
      <c r="B32" s="39"/>
      <c r="C32" s="99"/>
      <c r="D32" s="99"/>
      <c r="E32" s="99"/>
      <c r="F32" s="99"/>
      <c r="G32" s="99"/>
      <c r="H32" s="99"/>
      <c r="I32" s="99"/>
      <c r="J32" s="98"/>
      <c r="K32" s="98"/>
      <c r="L32" s="98"/>
      <c r="M32" s="98"/>
      <c r="N32" s="98"/>
      <c r="O32" s="98"/>
    </row>
    <row r="33" spans="1:15" ht="15.75" customHeight="1" x14ac:dyDescent="0.35">
      <c r="A33" s="43" t="s">
        <v>210</v>
      </c>
      <c r="B33" s="39" t="s">
        <v>173</v>
      </c>
      <c r="C33" s="101">
        <v>1</v>
      </c>
      <c r="D33" s="101">
        <v>0</v>
      </c>
      <c r="E33" s="101">
        <v>1</v>
      </c>
      <c r="F33" s="101">
        <v>1</v>
      </c>
      <c r="G33" s="101">
        <v>1</v>
      </c>
      <c r="H33" s="101">
        <v>1</v>
      </c>
      <c r="I33" s="101">
        <v>1</v>
      </c>
      <c r="J33" s="101">
        <v>1</v>
      </c>
      <c r="K33" s="101">
        <v>1</v>
      </c>
      <c r="L33" s="101">
        <v>1</v>
      </c>
      <c r="M33" s="101">
        <v>1</v>
      </c>
      <c r="N33" s="101">
        <v>1</v>
      </c>
      <c r="O33" s="101">
        <v>1</v>
      </c>
    </row>
    <row r="34" spans="1:15" ht="15.75" customHeight="1" x14ac:dyDescent="0.35">
      <c r="B34" s="39" t="s">
        <v>174</v>
      </c>
      <c r="C34" s="101">
        <v>1</v>
      </c>
      <c r="D34" s="101">
        <v>0</v>
      </c>
      <c r="E34" s="101">
        <v>1</v>
      </c>
      <c r="F34" s="101">
        <v>1</v>
      </c>
      <c r="G34" s="101">
        <v>1</v>
      </c>
      <c r="H34" s="101">
        <v>1</v>
      </c>
      <c r="I34" s="101">
        <v>1</v>
      </c>
      <c r="J34" s="101">
        <v>1</v>
      </c>
      <c r="K34" s="101">
        <v>1</v>
      </c>
      <c r="L34" s="101">
        <v>1</v>
      </c>
      <c r="M34" s="101">
        <v>1</v>
      </c>
      <c r="N34" s="101">
        <v>1</v>
      </c>
      <c r="O34" s="101">
        <v>1</v>
      </c>
    </row>
    <row r="35" spans="1:15" ht="15.75" customHeight="1" x14ac:dyDescent="0.35">
      <c r="B35" s="39" t="s">
        <v>175</v>
      </c>
      <c r="C35" s="101">
        <v>1</v>
      </c>
      <c r="D35" s="101">
        <v>0</v>
      </c>
      <c r="E35" s="101">
        <v>1</v>
      </c>
      <c r="F35" s="101">
        <v>1</v>
      </c>
      <c r="G35" s="101">
        <v>1</v>
      </c>
      <c r="H35" s="101">
        <v>1</v>
      </c>
      <c r="I35" s="101">
        <v>1</v>
      </c>
      <c r="J35" s="101">
        <v>1</v>
      </c>
      <c r="K35" s="101">
        <v>1</v>
      </c>
      <c r="L35" s="101">
        <v>1</v>
      </c>
      <c r="M35" s="101">
        <v>1</v>
      </c>
      <c r="N35" s="101">
        <v>1</v>
      </c>
      <c r="O35" s="101">
        <v>1</v>
      </c>
    </row>
    <row r="36" spans="1:15" ht="15.75" customHeight="1" x14ac:dyDescent="0.35">
      <c r="B36" s="39" t="s">
        <v>183</v>
      </c>
      <c r="C36" s="101">
        <v>1</v>
      </c>
      <c r="D36" s="101">
        <v>0</v>
      </c>
      <c r="E36" s="101">
        <v>1</v>
      </c>
      <c r="F36" s="101">
        <v>1</v>
      </c>
      <c r="G36" s="101">
        <v>1</v>
      </c>
      <c r="H36" s="101">
        <v>1</v>
      </c>
      <c r="I36" s="101">
        <v>1</v>
      </c>
      <c r="J36" s="101">
        <v>1</v>
      </c>
      <c r="K36" s="101">
        <v>1</v>
      </c>
      <c r="L36" s="101">
        <v>1</v>
      </c>
      <c r="M36" s="101">
        <v>1</v>
      </c>
      <c r="N36" s="101">
        <v>1</v>
      </c>
      <c r="O36" s="101">
        <v>1</v>
      </c>
    </row>
    <row r="37" spans="1:15" ht="15.75" customHeight="1" x14ac:dyDescent="0.35">
      <c r="B37" s="39" t="s">
        <v>186</v>
      </c>
      <c r="C37" s="101">
        <v>1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  <c r="I37" s="101">
        <v>1</v>
      </c>
      <c r="J37" s="101">
        <v>1</v>
      </c>
      <c r="K37" s="101">
        <v>1</v>
      </c>
      <c r="L37" s="101">
        <v>1</v>
      </c>
      <c r="M37" s="101">
        <v>1</v>
      </c>
      <c r="N37" s="101">
        <v>1</v>
      </c>
      <c r="O37" s="101">
        <v>1</v>
      </c>
    </row>
    <row r="38" spans="1:15" ht="15.75" customHeight="1" x14ac:dyDescent="0.35">
      <c r="B38" s="39" t="s">
        <v>194</v>
      </c>
      <c r="C38" s="101">
        <v>1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  <c r="I38" s="101">
        <v>1</v>
      </c>
      <c r="J38" s="101">
        <v>1</v>
      </c>
      <c r="K38" s="101">
        <v>1</v>
      </c>
      <c r="L38" s="101">
        <v>1</v>
      </c>
      <c r="M38" s="101">
        <v>1</v>
      </c>
      <c r="N38" s="101">
        <v>1</v>
      </c>
      <c r="O38" s="101">
        <v>1</v>
      </c>
    </row>
    <row r="39" spans="1:15" ht="15.75" customHeight="1" x14ac:dyDescent="0.35">
      <c r="B39" s="39" t="s">
        <v>195</v>
      </c>
      <c r="C39" s="101">
        <v>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  <c r="I39" s="101">
        <v>1</v>
      </c>
      <c r="J39" s="101">
        <v>1</v>
      </c>
      <c r="K39" s="101">
        <v>1</v>
      </c>
      <c r="L39" s="101">
        <v>1</v>
      </c>
      <c r="M39" s="101">
        <v>1</v>
      </c>
      <c r="N39" s="101">
        <v>1</v>
      </c>
      <c r="O39" s="101">
        <v>1</v>
      </c>
    </row>
    <row r="40" spans="1:15" ht="15.75" customHeight="1" x14ac:dyDescent="0.35">
      <c r="B40" s="39" t="s">
        <v>196</v>
      </c>
      <c r="C40" s="101">
        <v>1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  <c r="I40" s="101">
        <v>1</v>
      </c>
      <c r="J40" s="101">
        <v>1</v>
      </c>
      <c r="K40" s="101">
        <v>1</v>
      </c>
      <c r="L40" s="101">
        <v>1</v>
      </c>
      <c r="M40" s="101">
        <v>1</v>
      </c>
      <c r="N40" s="101">
        <v>1</v>
      </c>
      <c r="O40" s="101">
        <v>1</v>
      </c>
    </row>
    <row r="41" spans="1:15" ht="15.75" customHeight="1" x14ac:dyDescent="0.35">
      <c r="B41" s="39" t="s">
        <v>197</v>
      </c>
      <c r="C41" s="101">
        <v>1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  <c r="I41" s="101">
        <v>1</v>
      </c>
      <c r="J41" s="101">
        <v>1</v>
      </c>
      <c r="K41" s="101">
        <v>1</v>
      </c>
      <c r="L41" s="101">
        <v>1</v>
      </c>
      <c r="M41" s="101">
        <v>1</v>
      </c>
      <c r="N41" s="101">
        <v>1</v>
      </c>
      <c r="O41" s="101">
        <v>1</v>
      </c>
    </row>
    <row r="42" spans="1:15" ht="15" customHeight="1" x14ac:dyDescent="0.35">
      <c r="B42" s="39" t="s">
        <v>198</v>
      </c>
      <c r="C42" s="101">
        <v>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  <c r="I42" s="101">
        <v>1</v>
      </c>
      <c r="J42" s="101">
        <v>1</v>
      </c>
      <c r="K42" s="101">
        <v>1</v>
      </c>
      <c r="L42" s="101">
        <v>1</v>
      </c>
      <c r="M42" s="101">
        <v>1</v>
      </c>
      <c r="N42" s="101">
        <v>1</v>
      </c>
      <c r="O42" s="101">
        <v>1</v>
      </c>
    </row>
  </sheetData>
  <sheetProtection algorithmName="SHA-512" hashValue="6PxJEDuzonIQdbOskG6UxaapjEIKub7acS6LmZddF/nORI+UFzMNGgL0O01KWkE0pjfVdmlVVt8YZyZOufg6iw==" saltValue="8iOm9XsY8JdRjGgy3UWiH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topLeftCell="A15" workbookViewId="0">
      <selection activeCell="D24" sqref="D24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160</v>
      </c>
      <c r="B1" s="27" t="s">
        <v>226</v>
      </c>
      <c r="C1" s="27" t="s">
        <v>121</v>
      </c>
      <c r="D1" s="27" t="s">
        <v>227</v>
      </c>
      <c r="E1" s="27" t="s">
        <v>228</v>
      </c>
      <c r="F1" s="27" t="s">
        <v>128</v>
      </c>
      <c r="G1" s="27" t="s">
        <v>87</v>
      </c>
      <c r="H1" s="27" t="s">
        <v>43</v>
      </c>
      <c r="I1" s="27" t="s">
        <v>229</v>
      </c>
      <c r="J1" s="27" t="s">
        <v>36</v>
      </c>
      <c r="K1" s="27" t="s">
        <v>68</v>
      </c>
    </row>
    <row r="2" spans="1:11" x14ac:dyDescent="0.25">
      <c r="A2" s="39" t="s">
        <v>168</v>
      </c>
      <c r="B2" s="101"/>
      <c r="C2" s="101"/>
      <c r="D2" s="101"/>
      <c r="E2" s="101"/>
      <c r="F2" s="101"/>
      <c r="G2" s="101"/>
      <c r="H2" s="101"/>
      <c r="I2" s="101" t="s">
        <v>7</v>
      </c>
      <c r="J2" s="101"/>
      <c r="K2" s="101"/>
    </row>
    <row r="3" spans="1:11" x14ac:dyDescent="0.25">
      <c r="A3" s="39" t="s">
        <v>169</v>
      </c>
      <c r="B3" s="101"/>
      <c r="C3" s="101"/>
      <c r="D3" s="101"/>
      <c r="E3" s="101"/>
      <c r="F3" s="101"/>
      <c r="G3" s="101"/>
      <c r="H3" s="101" t="s">
        <v>7</v>
      </c>
      <c r="I3" s="101"/>
      <c r="J3" s="101"/>
      <c r="K3" s="101"/>
    </row>
    <row r="4" spans="1:11" x14ac:dyDescent="0.25">
      <c r="A4" s="39" t="s">
        <v>170</v>
      </c>
      <c r="B4" s="101"/>
      <c r="C4" s="101"/>
      <c r="D4" s="101" t="s">
        <v>7</v>
      </c>
      <c r="E4" s="101"/>
      <c r="F4" s="101"/>
      <c r="G4" s="101"/>
      <c r="H4" s="101"/>
      <c r="I4" s="101"/>
      <c r="J4" s="101"/>
      <c r="K4" s="101"/>
    </row>
    <row r="5" spans="1:11" x14ac:dyDescent="0.25">
      <c r="A5" s="39" t="s">
        <v>171</v>
      </c>
      <c r="B5" s="101"/>
      <c r="C5" s="101" t="s">
        <v>7</v>
      </c>
      <c r="D5" s="101"/>
      <c r="E5" s="101"/>
      <c r="F5" s="101"/>
      <c r="G5" s="101"/>
      <c r="H5" s="101"/>
      <c r="I5" s="101"/>
      <c r="J5" s="101"/>
      <c r="K5" s="101"/>
    </row>
    <row r="6" spans="1:11" x14ac:dyDescent="0.25">
      <c r="A6" s="39" t="s">
        <v>172</v>
      </c>
      <c r="B6" s="101"/>
      <c r="C6" s="101"/>
      <c r="D6" s="101"/>
      <c r="E6" s="101"/>
      <c r="F6" s="101"/>
      <c r="G6" s="101"/>
      <c r="H6" s="101"/>
      <c r="I6" s="101"/>
      <c r="J6" s="101" t="s">
        <v>7</v>
      </c>
      <c r="K6" s="101" t="s">
        <v>7</v>
      </c>
    </row>
    <row r="7" spans="1:11" x14ac:dyDescent="0.25">
      <c r="A7" s="39" t="s">
        <v>173</v>
      </c>
      <c r="B7" s="101"/>
      <c r="C7" s="101" t="s">
        <v>7</v>
      </c>
      <c r="D7" s="101"/>
      <c r="E7" s="101"/>
      <c r="F7" s="101"/>
      <c r="G7" s="101"/>
      <c r="H7" s="101" t="s">
        <v>7</v>
      </c>
      <c r="I7" s="101"/>
      <c r="J7" s="101"/>
      <c r="K7" s="101"/>
    </row>
    <row r="8" spans="1:11" x14ac:dyDescent="0.25">
      <c r="A8" s="39" t="s">
        <v>174</v>
      </c>
      <c r="B8" s="101"/>
      <c r="C8" s="101" t="s">
        <v>7</v>
      </c>
      <c r="D8" s="101"/>
      <c r="E8" s="101"/>
      <c r="F8" s="101"/>
      <c r="G8" s="101"/>
      <c r="H8" s="101" t="s">
        <v>7</v>
      </c>
      <c r="I8" s="101"/>
      <c r="J8" s="101"/>
      <c r="K8" s="101"/>
    </row>
    <row r="9" spans="1:11" x14ac:dyDescent="0.25">
      <c r="A9" s="39" t="s">
        <v>175</v>
      </c>
      <c r="B9" s="101"/>
      <c r="C9" s="101" t="s">
        <v>7</v>
      </c>
      <c r="D9" s="101"/>
      <c r="E9" s="101"/>
      <c r="F9" s="101"/>
      <c r="G9" s="101"/>
      <c r="H9" s="101" t="s">
        <v>7</v>
      </c>
      <c r="I9" s="101"/>
      <c r="J9" s="101"/>
      <c r="K9" s="101"/>
    </row>
    <row r="10" spans="1:11" x14ac:dyDescent="0.25">
      <c r="A10" s="45" t="s">
        <v>176</v>
      </c>
      <c r="B10" s="101"/>
      <c r="C10" s="101" t="s">
        <v>7</v>
      </c>
      <c r="D10" s="101"/>
      <c r="E10" s="101"/>
      <c r="F10" s="101"/>
      <c r="G10" s="101"/>
      <c r="H10" s="101"/>
      <c r="I10" s="101"/>
      <c r="J10" s="101"/>
      <c r="K10" s="101"/>
    </row>
    <row r="11" spans="1:11" x14ac:dyDescent="0.25">
      <c r="A11" s="45" t="s">
        <v>177</v>
      </c>
      <c r="B11" s="101"/>
      <c r="C11" s="101" t="s">
        <v>7</v>
      </c>
      <c r="D11" s="101"/>
      <c r="E11" s="101"/>
      <c r="F11" s="101"/>
      <c r="G11" s="101"/>
      <c r="H11" s="101"/>
      <c r="I11" s="101"/>
      <c r="J11" s="101"/>
      <c r="K11" s="101"/>
    </row>
    <row r="12" spans="1:11" x14ac:dyDescent="0.25">
      <c r="A12" s="45" t="s">
        <v>178</v>
      </c>
      <c r="B12" s="101"/>
      <c r="C12" s="101" t="s">
        <v>7</v>
      </c>
      <c r="D12" s="101"/>
      <c r="E12" s="101"/>
      <c r="F12" s="101"/>
      <c r="G12" s="101"/>
      <c r="H12" s="101"/>
      <c r="I12" s="101"/>
      <c r="J12" s="101"/>
      <c r="K12" s="101"/>
    </row>
    <row r="13" spans="1:11" x14ac:dyDescent="0.25">
      <c r="A13" s="45" t="s">
        <v>179</v>
      </c>
      <c r="B13" s="101"/>
      <c r="C13" s="101" t="s">
        <v>7</v>
      </c>
      <c r="D13" s="101"/>
      <c r="E13" s="101"/>
      <c r="F13" s="101"/>
      <c r="G13" s="101"/>
      <c r="H13" s="101"/>
      <c r="I13" s="101"/>
      <c r="J13" s="101"/>
      <c r="K13" s="101"/>
    </row>
    <row r="14" spans="1:11" x14ac:dyDescent="0.25">
      <c r="A14" s="72" t="s">
        <v>180</v>
      </c>
      <c r="B14" s="101"/>
      <c r="C14" s="101" t="s">
        <v>7</v>
      </c>
      <c r="D14" s="101"/>
      <c r="E14" s="101"/>
      <c r="F14" s="101"/>
      <c r="G14" s="101"/>
      <c r="H14" s="101"/>
      <c r="I14" s="101" t="s">
        <v>7</v>
      </c>
      <c r="J14" s="101"/>
      <c r="K14" s="101"/>
    </row>
    <row r="15" spans="1:11" x14ac:dyDescent="0.25">
      <c r="A15" s="72" t="s">
        <v>181</v>
      </c>
      <c r="B15" s="101"/>
      <c r="C15" s="101" t="s">
        <v>7</v>
      </c>
      <c r="D15" s="101"/>
      <c r="E15" s="101"/>
      <c r="F15" s="101"/>
      <c r="G15" s="101"/>
      <c r="H15" s="101"/>
      <c r="I15" s="101" t="s">
        <v>7</v>
      </c>
      <c r="J15" s="101"/>
      <c r="K15" s="101"/>
    </row>
    <row r="16" spans="1:11" x14ac:dyDescent="0.25">
      <c r="A16" s="39" t="s">
        <v>182</v>
      </c>
      <c r="B16" s="101"/>
      <c r="C16" s="101" t="s">
        <v>7</v>
      </c>
      <c r="D16" s="101"/>
      <c r="E16" s="101"/>
      <c r="F16" s="101"/>
      <c r="G16" s="101"/>
      <c r="H16" s="101" t="s">
        <v>7</v>
      </c>
      <c r="I16" s="101" t="s">
        <v>7</v>
      </c>
      <c r="J16" s="101"/>
      <c r="K16" s="101"/>
    </row>
    <row r="17" spans="1:11" x14ac:dyDescent="0.25">
      <c r="A17" s="39" t="s">
        <v>183</v>
      </c>
      <c r="B17" s="101"/>
      <c r="C17" s="101" t="s">
        <v>7</v>
      </c>
      <c r="D17" s="101"/>
      <c r="E17" s="101"/>
      <c r="F17" s="101"/>
      <c r="G17" s="101"/>
      <c r="H17" s="101"/>
      <c r="I17" s="101"/>
      <c r="J17" s="101"/>
      <c r="K17" s="101"/>
    </row>
    <row r="18" spans="1:11" x14ac:dyDescent="0.25">
      <c r="A18" s="39" t="s">
        <v>157</v>
      </c>
      <c r="B18" s="101" t="s">
        <v>7</v>
      </c>
      <c r="C18" s="101"/>
      <c r="D18" s="101"/>
      <c r="E18" s="101"/>
      <c r="F18" s="101" t="s">
        <v>7</v>
      </c>
      <c r="G18" s="101"/>
      <c r="H18" s="101"/>
      <c r="I18" s="101"/>
      <c r="J18" s="101"/>
      <c r="K18" s="101"/>
    </row>
    <row r="19" spans="1:11" x14ac:dyDescent="0.25">
      <c r="A19" s="39" t="s">
        <v>158</v>
      </c>
      <c r="B19" s="101" t="s">
        <v>7</v>
      </c>
      <c r="C19" s="101"/>
      <c r="D19" s="101"/>
      <c r="E19" s="101"/>
      <c r="F19" s="101" t="s">
        <v>7</v>
      </c>
      <c r="G19" s="101"/>
      <c r="H19" s="101"/>
      <c r="I19" s="101"/>
      <c r="J19" s="101"/>
      <c r="K19" s="101"/>
    </row>
    <row r="20" spans="1:11" x14ac:dyDescent="0.25">
      <c r="A20" s="39" t="s">
        <v>159</v>
      </c>
      <c r="B20" s="101" t="s">
        <v>7</v>
      </c>
      <c r="C20" s="101"/>
      <c r="D20" s="101"/>
      <c r="E20" s="101"/>
      <c r="F20" s="101" t="s">
        <v>7</v>
      </c>
      <c r="G20" s="101"/>
      <c r="H20" s="101"/>
      <c r="I20" s="101"/>
      <c r="J20" s="101"/>
      <c r="K20" s="101"/>
    </row>
    <row r="21" spans="1:11" x14ac:dyDescent="0.25">
      <c r="A21" s="39" t="s">
        <v>184</v>
      </c>
      <c r="B21" s="101"/>
      <c r="C21" s="101"/>
      <c r="D21" s="101"/>
      <c r="E21" s="101"/>
      <c r="F21" s="101"/>
      <c r="G21" s="101"/>
      <c r="H21" s="101" t="s">
        <v>7</v>
      </c>
      <c r="I21" s="101" t="s">
        <v>7</v>
      </c>
      <c r="J21" s="101"/>
      <c r="K21" s="101"/>
    </row>
    <row r="22" spans="1:11" x14ac:dyDescent="0.25">
      <c r="A22" s="39" t="s">
        <v>185</v>
      </c>
      <c r="B22" s="101" t="s">
        <v>7</v>
      </c>
      <c r="C22" s="101" t="s">
        <v>7</v>
      </c>
      <c r="D22" s="101" t="s">
        <v>7</v>
      </c>
      <c r="E22" s="101"/>
      <c r="F22" s="101"/>
      <c r="G22" s="101"/>
      <c r="H22" s="101"/>
      <c r="I22" s="101"/>
      <c r="J22" s="101"/>
      <c r="K22" s="101"/>
    </row>
    <row r="23" spans="1:11" x14ac:dyDescent="0.25">
      <c r="A23" s="39" t="s">
        <v>186</v>
      </c>
      <c r="B23" s="101"/>
      <c r="C23" s="101" t="s">
        <v>7</v>
      </c>
      <c r="D23" s="101"/>
      <c r="E23" s="101"/>
      <c r="F23" s="101"/>
      <c r="G23" s="101"/>
      <c r="H23" s="101"/>
      <c r="I23" s="101" t="s">
        <v>7</v>
      </c>
      <c r="J23" s="101"/>
      <c r="K23" s="101"/>
    </row>
    <row r="24" spans="1:11" x14ac:dyDescent="0.25">
      <c r="A24" s="39" t="s">
        <v>187</v>
      </c>
      <c r="B24" s="101"/>
      <c r="C24" s="101"/>
      <c r="D24" s="101"/>
      <c r="E24" s="101"/>
      <c r="F24" s="101"/>
      <c r="G24" s="101"/>
      <c r="H24" s="101" t="s">
        <v>7</v>
      </c>
      <c r="I24" s="101"/>
      <c r="J24" s="101"/>
      <c r="K24" s="101"/>
    </row>
    <row r="25" spans="1:11" x14ac:dyDescent="0.25">
      <c r="A25" s="39" t="s">
        <v>188</v>
      </c>
      <c r="B25" s="101"/>
      <c r="C25" s="101"/>
      <c r="D25" s="101"/>
      <c r="E25" s="101"/>
      <c r="F25" s="101"/>
      <c r="G25" s="101"/>
      <c r="H25" s="101" t="s">
        <v>7</v>
      </c>
      <c r="I25" s="101"/>
      <c r="J25" s="101"/>
      <c r="K25" s="101"/>
    </row>
    <row r="26" spans="1:11" x14ac:dyDescent="0.25">
      <c r="A26" s="39" t="s">
        <v>189</v>
      </c>
      <c r="B26" s="101"/>
      <c r="C26" s="101" t="s">
        <v>7</v>
      </c>
      <c r="D26" s="101"/>
      <c r="E26" s="101"/>
      <c r="F26" s="101"/>
      <c r="G26" s="101"/>
      <c r="H26" s="101"/>
      <c r="I26" s="101"/>
      <c r="J26" s="101"/>
      <c r="K26" s="101"/>
    </row>
    <row r="27" spans="1:11" x14ac:dyDescent="0.25">
      <c r="A27" s="39" t="s">
        <v>190</v>
      </c>
      <c r="B27" s="101"/>
      <c r="C27" s="101" t="s">
        <v>7</v>
      </c>
      <c r="D27" s="101"/>
      <c r="E27" s="101"/>
      <c r="F27" s="101"/>
      <c r="G27" s="101"/>
      <c r="H27" s="101"/>
      <c r="I27" s="101" t="s">
        <v>7</v>
      </c>
      <c r="J27" s="101"/>
      <c r="K27" s="101"/>
    </row>
    <row r="28" spans="1:11" x14ac:dyDescent="0.25">
      <c r="A28" s="39" t="s">
        <v>191</v>
      </c>
      <c r="B28" s="101"/>
      <c r="C28" s="101"/>
      <c r="D28" s="101"/>
      <c r="E28" s="101"/>
      <c r="F28" s="101"/>
      <c r="G28" s="101"/>
      <c r="H28" s="101" t="s">
        <v>7</v>
      </c>
      <c r="I28" s="101"/>
      <c r="J28" s="101"/>
      <c r="K28" s="101"/>
    </row>
    <row r="29" spans="1:11" x14ac:dyDescent="0.25">
      <c r="A29" s="39" t="s">
        <v>192</v>
      </c>
      <c r="B29" s="101" t="s">
        <v>7</v>
      </c>
      <c r="C29" s="101"/>
      <c r="D29" s="101" t="s">
        <v>7</v>
      </c>
      <c r="E29" s="101"/>
      <c r="F29" s="101"/>
      <c r="G29" s="101"/>
      <c r="H29" s="101"/>
      <c r="I29" s="101"/>
      <c r="J29" s="101"/>
      <c r="K29" s="101"/>
    </row>
    <row r="30" spans="1:11" x14ac:dyDescent="0.25">
      <c r="A30" s="39" t="s">
        <v>205</v>
      </c>
      <c r="B30" s="101" t="s">
        <v>7</v>
      </c>
      <c r="C30" s="101" t="s">
        <v>7</v>
      </c>
      <c r="D30" s="101" t="s">
        <v>7</v>
      </c>
      <c r="E30" s="101"/>
      <c r="F30" s="101"/>
      <c r="G30" s="101"/>
      <c r="H30" s="101"/>
      <c r="I30" s="101"/>
      <c r="J30" s="101"/>
      <c r="K30" s="101"/>
    </row>
    <row r="31" spans="1:11" x14ac:dyDescent="0.25">
      <c r="A31" s="39" t="s">
        <v>161</v>
      </c>
      <c r="B31" s="101"/>
      <c r="C31" s="101"/>
      <c r="D31" s="101"/>
      <c r="E31" s="101" t="s">
        <v>7</v>
      </c>
      <c r="F31" s="101"/>
      <c r="G31" s="101"/>
      <c r="H31" s="101"/>
      <c r="I31" s="101"/>
      <c r="J31" s="101"/>
      <c r="K31" s="101"/>
    </row>
    <row r="32" spans="1:11" x14ac:dyDescent="0.25">
      <c r="A32" s="39" t="s">
        <v>193</v>
      </c>
      <c r="B32" s="101"/>
      <c r="C32" s="101"/>
      <c r="D32" s="101"/>
      <c r="E32" s="101"/>
      <c r="F32" s="101"/>
      <c r="G32" s="101" t="s">
        <v>7</v>
      </c>
      <c r="H32" s="101" t="s">
        <v>7</v>
      </c>
      <c r="I32" s="101"/>
      <c r="J32" s="101"/>
      <c r="K32" s="101"/>
    </row>
    <row r="33" spans="1:11" x14ac:dyDescent="0.25">
      <c r="A33" s="39" t="s">
        <v>194</v>
      </c>
      <c r="B33" s="101"/>
      <c r="C33" s="101"/>
      <c r="D33" s="101"/>
      <c r="E33" s="101"/>
      <c r="F33" s="101"/>
      <c r="G33" s="101" t="s">
        <v>7</v>
      </c>
      <c r="H33" s="101" t="s">
        <v>7</v>
      </c>
      <c r="I33" s="101"/>
      <c r="J33" s="101"/>
      <c r="K33" s="101"/>
    </row>
    <row r="34" spans="1:11" x14ac:dyDescent="0.25">
      <c r="A34" s="39" t="s">
        <v>195</v>
      </c>
      <c r="B34" s="101"/>
      <c r="C34" s="101"/>
      <c r="D34" s="101"/>
      <c r="E34" s="101"/>
      <c r="F34" s="101"/>
      <c r="G34" s="101" t="s">
        <v>7</v>
      </c>
      <c r="H34" s="101" t="s">
        <v>7</v>
      </c>
      <c r="I34" s="101"/>
      <c r="J34" s="101"/>
      <c r="K34" s="101"/>
    </row>
    <row r="35" spans="1:11" x14ac:dyDescent="0.25">
      <c r="A35" s="39" t="s">
        <v>196</v>
      </c>
      <c r="B35" s="101"/>
      <c r="C35" s="101"/>
      <c r="D35" s="101"/>
      <c r="E35" s="101"/>
      <c r="F35" s="101"/>
      <c r="G35" s="101" t="s">
        <v>7</v>
      </c>
      <c r="H35" s="101" t="s">
        <v>7</v>
      </c>
      <c r="I35" s="101"/>
      <c r="J35" s="101"/>
      <c r="K35" s="101"/>
    </row>
    <row r="36" spans="1:11" x14ac:dyDescent="0.25">
      <c r="A36" s="39" t="s">
        <v>197</v>
      </c>
      <c r="B36" s="101"/>
      <c r="C36" s="101"/>
      <c r="D36" s="101"/>
      <c r="E36" s="101"/>
      <c r="F36" s="101"/>
      <c r="G36" s="101" t="s">
        <v>7</v>
      </c>
      <c r="H36" s="101" t="s">
        <v>7</v>
      </c>
      <c r="I36" s="101"/>
      <c r="J36" s="101"/>
      <c r="K36" s="101"/>
    </row>
    <row r="37" spans="1:11" x14ac:dyDescent="0.25">
      <c r="A37" s="39" t="s">
        <v>198</v>
      </c>
      <c r="B37" s="101"/>
      <c r="C37" s="101"/>
      <c r="D37" s="101"/>
      <c r="E37" s="101"/>
      <c r="F37" s="101"/>
      <c r="G37" s="101" t="s">
        <v>7</v>
      </c>
      <c r="H37" s="101" t="s">
        <v>7</v>
      </c>
      <c r="I37" s="101"/>
      <c r="J37" s="101"/>
      <c r="K37" s="101"/>
    </row>
    <row r="38" spans="1:11" x14ac:dyDescent="0.25">
      <c r="A38" s="39" t="s">
        <v>199</v>
      </c>
      <c r="B38" s="101"/>
      <c r="C38" s="101"/>
      <c r="D38" s="101"/>
      <c r="E38" s="101"/>
      <c r="F38" s="101"/>
      <c r="G38" s="101"/>
      <c r="H38" s="101" t="s">
        <v>7</v>
      </c>
      <c r="I38" s="101"/>
      <c r="J38" s="101"/>
      <c r="K38" s="101"/>
    </row>
    <row r="39" spans="1:11" x14ac:dyDescent="0.25">
      <c r="A39" s="39" t="s">
        <v>200</v>
      </c>
      <c r="B39" s="101" t="s">
        <v>7</v>
      </c>
      <c r="C39" s="101"/>
      <c r="D39" s="101"/>
      <c r="E39" s="101"/>
      <c r="F39" s="101"/>
      <c r="G39" s="101" t="s">
        <v>7</v>
      </c>
      <c r="H39" s="101" t="s">
        <v>7</v>
      </c>
      <c r="I39" s="101"/>
      <c r="J39" s="101"/>
      <c r="K39" s="101"/>
    </row>
  </sheetData>
  <sheetProtection algorithmName="SHA-512" hashValue="/o+2nkQeZXtE5B7kWkM2nyXlcPH83pg9XDE4egivyZ/uIBc0piOTetYlY59QnBjY6CZEIhKK/WiyM5SQ+7QfPg==" saltValue="c9JnHD5w926HBO/eFRuTb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230</v>
      </c>
      <c r="B1" s="27" t="s">
        <v>226</v>
      </c>
      <c r="C1" s="27" t="s">
        <v>121</v>
      </c>
      <c r="D1" s="27" t="s">
        <v>227</v>
      </c>
      <c r="E1" s="27" t="s">
        <v>228</v>
      </c>
      <c r="F1" s="27" t="s">
        <v>128</v>
      </c>
      <c r="G1" s="27" t="s">
        <v>87</v>
      </c>
      <c r="H1" s="27" t="s">
        <v>43</v>
      </c>
      <c r="I1" s="27" t="s">
        <v>229</v>
      </c>
      <c r="J1" s="27" t="s">
        <v>36</v>
      </c>
      <c r="K1" s="27" t="s">
        <v>68</v>
      </c>
    </row>
    <row r="2" spans="1:11" x14ac:dyDescent="0.25">
      <c r="A2" s="27" t="s">
        <v>109</v>
      </c>
      <c r="B2" s="101" t="s">
        <v>7</v>
      </c>
      <c r="C2" s="101" t="s">
        <v>7</v>
      </c>
      <c r="D2" s="101" t="s">
        <v>7</v>
      </c>
      <c r="E2" s="101" t="s">
        <v>7</v>
      </c>
      <c r="F2" s="101" t="s">
        <v>7</v>
      </c>
      <c r="G2" s="101" t="s">
        <v>7</v>
      </c>
      <c r="H2" s="101" t="s">
        <v>7</v>
      </c>
      <c r="I2" s="101"/>
      <c r="J2" s="101"/>
      <c r="K2" s="101"/>
    </row>
    <row r="3" spans="1:11" x14ac:dyDescent="0.25">
      <c r="A3" s="27" t="s">
        <v>96</v>
      </c>
      <c r="B3" s="101" t="s">
        <v>7</v>
      </c>
      <c r="C3" s="101" t="s">
        <v>7</v>
      </c>
      <c r="D3" s="101" t="s">
        <v>7</v>
      </c>
      <c r="E3" s="101" t="s">
        <v>7</v>
      </c>
      <c r="F3" s="101" t="s">
        <v>7</v>
      </c>
      <c r="G3" s="101" t="s">
        <v>7</v>
      </c>
      <c r="H3" s="101" t="s">
        <v>7</v>
      </c>
      <c r="I3" s="101"/>
      <c r="J3" s="101"/>
      <c r="K3" s="101"/>
    </row>
    <row r="4" spans="1:11" x14ac:dyDescent="0.25">
      <c r="A4" s="27" t="s">
        <v>97</v>
      </c>
      <c r="B4" s="101" t="s">
        <v>7</v>
      </c>
      <c r="C4" s="101" t="s">
        <v>7</v>
      </c>
      <c r="D4" s="101" t="s">
        <v>7</v>
      </c>
      <c r="E4" s="101" t="s">
        <v>7</v>
      </c>
      <c r="F4" s="101" t="s">
        <v>7</v>
      </c>
      <c r="G4" s="101" t="s">
        <v>7</v>
      </c>
      <c r="H4" s="101" t="s">
        <v>7</v>
      </c>
      <c r="I4" s="101"/>
      <c r="J4" s="101"/>
      <c r="K4" s="101"/>
    </row>
    <row r="5" spans="1:11" x14ac:dyDescent="0.25">
      <c r="A5" s="27" t="s">
        <v>98</v>
      </c>
      <c r="B5" s="101" t="s">
        <v>7</v>
      </c>
      <c r="C5" s="101" t="s">
        <v>7</v>
      </c>
      <c r="D5" s="101" t="s">
        <v>7</v>
      </c>
      <c r="E5" s="101" t="s">
        <v>7</v>
      </c>
      <c r="F5" s="101" t="s">
        <v>7</v>
      </c>
      <c r="G5" s="101" t="s">
        <v>7</v>
      </c>
      <c r="H5" s="101" t="s">
        <v>7</v>
      </c>
      <c r="I5" s="101"/>
      <c r="J5" s="101"/>
      <c r="K5" s="101"/>
    </row>
    <row r="6" spans="1:11" x14ac:dyDescent="0.25">
      <c r="A6" s="27" t="s">
        <v>99</v>
      </c>
      <c r="B6" s="101" t="s">
        <v>7</v>
      </c>
      <c r="C6" s="101" t="s">
        <v>7</v>
      </c>
      <c r="D6" s="101" t="s">
        <v>7</v>
      </c>
      <c r="E6" s="101" t="s">
        <v>7</v>
      </c>
      <c r="F6" s="101" t="s">
        <v>7</v>
      </c>
      <c r="G6" s="101" t="s">
        <v>7</v>
      </c>
      <c r="H6" s="101" t="s">
        <v>7</v>
      </c>
      <c r="I6" s="101"/>
      <c r="J6" s="101"/>
      <c r="K6" s="101"/>
    </row>
    <row r="7" spans="1:11" x14ac:dyDescent="0.25">
      <c r="A7" s="27" t="s">
        <v>122</v>
      </c>
      <c r="B7" s="101"/>
      <c r="C7" s="101" t="s">
        <v>7</v>
      </c>
      <c r="D7" s="101"/>
      <c r="E7" s="101"/>
      <c r="F7" s="101"/>
      <c r="G7" s="101"/>
      <c r="H7" s="101" t="s">
        <v>7</v>
      </c>
      <c r="I7" s="101" t="s">
        <v>7</v>
      </c>
      <c r="J7" s="101"/>
      <c r="K7" s="101"/>
    </row>
    <row r="8" spans="1:11" x14ac:dyDescent="0.25">
      <c r="A8" s="27" t="s">
        <v>123</v>
      </c>
      <c r="B8" s="101"/>
      <c r="C8" s="101" t="s">
        <v>7</v>
      </c>
      <c r="D8" s="101"/>
      <c r="E8" s="101"/>
      <c r="F8" s="101"/>
      <c r="G8" s="101"/>
      <c r="H8" s="101" t="s">
        <v>7</v>
      </c>
      <c r="I8" s="101" t="s">
        <v>7</v>
      </c>
      <c r="J8" s="101"/>
      <c r="K8" s="101"/>
    </row>
    <row r="9" spans="1:11" x14ac:dyDescent="0.25">
      <c r="A9" s="27" t="s">
        <v>124</v>
      </c>
      <c r="B9" s="101"/>
      <c r="C9" s="101" t="s">
        <v>7</v>
      </c>
      <c r="D9" s="101"/>
      <c r="E9" s="101"/>
      <c r="F9" s="101"/>
      <c r="G9" s="101"/>
      <c r="H9" s="101" t="s">
        <v>7</v>
      </c>
      <c r="I9" s="101" t="s">
        <v>7</v>
      </c>
      <c r="J9" s="101"/>
      <c r="K9" s="101"/>
    </row>
    <row r="10" spans="1:11" x14ac:dyDescent="0.25">
      <c r="A10" s="27" t="s">
        <v>125</v>
      </c>
      <c r="B10" s="101"/>
      <c r="C10" s="101" t="s">
        <v>7</v>
      </c>
      <c r="D10" s="101"/>
      <c r="E10" s="101"/>
      <c r="F10" s="101"/>
      <c r="G10" s="101"/>
      <c r="H10" s="101" t="s">
        <v>7</v>
      </c>
      <c r="I10" s="101" t="s">
        <v>7</v>
      </c>
      <c r="J10" s="101"/>
      <c r="K10" s="101"/>
    </row>
    <row r="11" spans="1:11" x14ac:dyDescent="0.25">
      <c r="A11" s="27" t="s">
        <v>69</v>
      </c>
      <c r="B11" s="101"/>
      <c r="C11" s="101" t="s">
        <v>7</v>
      </c>
      <c r="D11" s="101"/>
      <c r="E11" s="101"/>
      <c r="F11" s="101"/>
      <c r="G11" s="101"/>
      <c r="H11" s="101"/>
      <c r="I11" s="101"/>
      <c r="J11" s="101" t="s">
        <v>7</v>
      </c>
      <c r="K11" s="101" t="s">
        <v>7</v>
      </c>
    </row>
    <row r="12" spans="1:11" x14ac:dyDescent="0.25">
      <c r="A12" s="27" t="s">
        <v>70</v>
      </c>
      <c r="B12" s="101"/>
      <c r="C12" s="101" t="s">
        <v>7</v>
      </c>
      <c r="D12" s="101"/>
      <c r="E12" s="101"/>
      <c r="F12" s="101"/>
      <c r="G12" s="101"/>
      <c r="H12" s="101"/>
      <c r="I12" s="101"/>
      <c r="J12" s="101"/>
      <c r="K12" s="101" t="s">
        <v>7</v>
      </c>
    </row>
    <row r="13" spans="1:11" x14ac:dyDescent="0.25">
      <c r="A13" s="27" t="s">
        <v>71</v>
      </c>
      <c r="B13" s="101"/>
      <c r="C13" s="101" t="s">
        <v>7</v>
      </c>
      <c r="D13" s="101"/>
      <c r="E13" s="101"/>
      <c r="F13" s="101"/>
      <c r="G13" s="101"/>
      <c r="H13" s="101"/>
      <c r="I13" s="101"/>
      <c r="J13" s="101"/>
      <c r="K13" s="101" t="s">
        <v>7</v>
      </c>
    </row>
    <row r="14" spans="1:11" x14ac:dyDescent="0.25">
      <c r="A14" s="27" t="s">
        <v>72</v>
      </c>
      <c r="B14" s="101"/>
      <c r="C14" s="101" t="s">
        <v>7</v>
      </c>
      <c r="D14" s="101"/>
      <c r="E14" s="101"/>
      <c r="F14" s="101"/>
      <c r="G14" s="101"/>
      <c r="H14" s="101"/>
      <c r="I14" s="101"/>
      <c r="J14" s="101"/>
      <c r="K14" s="101" t="s">
        <v>7</v>
      </c>
    </row>
  </sheetData>
  <sheetProtection algorithmName="SHA-512" hashValue="/S0jDmtDfg5qs1bj5gzlVnFh0MveP1T7OBD+UcttVJOxuU074Lop9OJNQ76B0qJQS6Kz1BhnMhSxWFondX2hrA==" saltValue="8LKhkHdDkESaPuZBIjFh+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231</v>
      </c>
      <c r="B1" s="29" t="s">
        <v>152</v>
      </c>
      <c r="C1" s="29" t="s">
        <v>164</v>
      </c>
      <c r="D1" s="29" t="s">
        <v>109</v>
      </c>
      <c r="E1" s="29" t="s">
        <v>96</v>
      </c>
      <c r="F1" s="29" t="s">
        <v>97</v>
      </c>
      <c r="G1" s="29" t="s">
        <v>98</v>
      </c>
      <c r="H1" s="29" t="s">
        <v>99</v>
      </c>
    </row>
    <row r="2" spans="1:10" ht="13" x14ac:dyDescent="0.3">
      <c r="A2" s="29" t="s">
        <v>232</v>
      </c>
      <c r="B2" s="117" t="s">
        <v>100</v>
      </c>
      <c r="C2" s="27" t="s">
        <v>153</v>
      </c>
      <c r="D2" s="102">
        <v>1</v>
      </c>
      <c r="E2" s="102">
        <v>1</v>
      </c>
      <c r="F2" s="102">
        <v>1</v>
      </c>
      <c r="G2" s="102">
        <v>1</v>
      </c>
      <c r="H2" s="102">
        <v>1</v>
      </c>
    </row>
    <row r="3" spans="1:10" x14ac:dyDescent="0.25">
      <c r="B3" s="117"/>
      <c r="C3" s="27" t="s">
        <v>154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J3" s="75"/>
    </row>
    <row r="4" spans="1:10" x14ac:dyDescent="0.25">
      <c r="B4" s="117"/>
      <c r="C4" s="27" t="s">
        <v>155</v>
      </c>
      <c r="D4" s="102">
        <v>1</v>
      </c>
      <c r="E4" s="102">
        <v>1</v>
      </c>
      <c r="F4" s="102">
        <v>1</v>
      </c>
      <c r="G4" s="102">
        <v>1</v>
      </c>
      <c r="H4" s="102">
        <v>1</v>
      </c>
      <c r="J4" s="75"/>
    </row>
    <row r="5" spans="1:10" x14ac:dyDescent="0.25">
      <c r="B5" s="117" t="s">
        <v>109</v>
      </c>
      <c r="C5" s="27" t="s">
        <v>153</v>
      </c>
      <c r="D5" s="102">
        <v>2.17</v>
      </c>
      <c r="E5" s="102">
        <v>1</v>
      </c>
      <c r="F5" s="102">
        <v>1</v>
      </c>
      <c r="G5" s="102">
        <v>1</v>
      </c>
      <c r="H5" s="102">
        <v>1</v>
      </c>
    </row>
    <row r="6" spans="1:10" x14ac:dyDescent="0.25">
      <c r="B6" s="117"/>
      <c r="C6" s="27" t="s">
        <v>154</v>
      </c>
      <c r="D6" s="102">
        <v>2.17</v>
      </c>
      <c r="E6" s="102">
        <v>1</v>
      </c>
      <c r="F6" s="102">
        <v>1</v>
      </c>
      <c r="G6" s="102">
        <v>1</v>
      </c>
      <c r="H6" s="102">
        <v>1</v>
      </c>
    </row>
    <row r="7" spans="1:10" x14ac:dyDescent="0.25">
      <c r="B7" s="117"/>
      <c r="C7" s="27" t="s">
        <v>155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</row>
    <row r="8" spans="1:10" x14ac:dyDescent="0.25">
      <c r="B8" s="117" t="s">
        <v>96</v>
      </c>
      <c r="C8" s="27" t="s">
        <v>153</v>
      </c>
      <c r="D8" s="102">
        <v>1</v>
      </c>
      <c r="E8" s="102">
        <v>2.48</v>
      </c>
      <c r="F8" s="102">
        <v>1</v>
      </c>
      <c r="G8" s="102">
        <v>1</v>
      </c>
      <c r="H8" s="102">
        <v>1</v>
      </c>
    </row>
    <row r="9" spans="1:10" x14ac:dyDescent="0.25">
      <c r="B9" s="117"/>
      <c r="C9" s="27" t="s">
        <v>154</v>
      </c>
      <c r="D9" s="102">
        <v>1</v>
      </c>
      <c r="E9" s="102">
        <v>2.48</v>
      </c>
      <c r="F9" s="102">
        <v>1</v>
      </c>
      <c r="G9" s="102">
        <v>1</v>
      </c>
      <c r="H9" s="102">
        <v>1</v>
      </c>
    </row>
    <row r="10" spans="1:10" x14ac:dyDescent="0.25">
      <c r="B10" s="117"/>
      <c r="C10" s="27" t="s">
        <v>155</v>
      </c>
      <c r="D10" s="102">
        <v>1</v>
      </c>
      <c r="E10" s="102">
        <v>1</v>
      </c>
      <c r="F10" s="102">
        <v>1</v>
      </c>
      <c r="G10" s="102">
        <v>1</v>
      </c>
      <c r="H10" s="102">
        <v>1</v>
      </c>
    </row>
    <row r="11" spans="1:10" x14ac:dyDescent="0.25">
      <c r="B11" s="117" t="s">
        <v>97</v>
      </c>
      <c r="C11" s="27" t="s">
        <v>153</v>
      </c>
      <c r="D11" s="102">
        <v>1</v>
      </c>
      <c r="E11" s="102">
        <v>1</v>
      </c>
      <c r="F11" s="102">
        <v>1.82</v>
      </c>
      <c r="G11" s="102">
        <v>1</v>
      </c>
      <c r="H11" s="102">
        <v>1</v>
      </c>
    </row>
    <row r="12" spans="1:10" x14ac:dyDescent="0.25">
      <c r="B12" s="117"/>
      <c r="C12" s="27" t="s">
        <v>154</v>
      </c>
      <c r="D12" s="102">
        <v>1</v>
      </c>
      <c r="E12" s="102">
        <v>1</v>
      </c>
      <c r="F12" s="102">
        <v>1.82</v>
      </c>
      <c r="G12" s="102">
        <v>1</v>
      </c>
      <c r="H12" s="102">
        <v>1</v>
      </c>
    </row>
    <row r="13" spans="1:10" x14ac:dyDescent="0.25">
      <c r="B13" s="117"/>
      <c r="C13" s="27" t="s">
        <v>155</v>
      </c>
      <c r="D13" s="102">
        <v>1</v>
      </c>
      <c r="E13" s="102">
        <v>1</v>
      </c>
      <c r="F13" s="102">
        <v>1</v>
      </c>
      <c r="G13" s="102">
        <v>1</v>
      </c>
      <c r="H13" s="102">
        <v>1</v>
      </c>
    </row>
    <row r="14" spans="1:10" x14ac:dyDescent="0.25">
      <c r="B14" s="117" t="s">
        <v>98</v>
      </c>
      <c r="C14" s="27" t="s">
        <v>153</v>
      </c>
      <c r="D14" s="102">
        <v>1</v>
      </c>
      <c r="E14" s="102">
        <v>1</v>
      </c>
      <c r="F14" s="102">
        <v>1</v>
      </c>
      <c r="G14" s="102">
        <v>1.82</v>
      </c>
      <c r="H14" s="102">
        <v>1</v>
      </c>
    </row>
    <row r="15" spans="1:10" x14ac:dyDescent="0.25">
      <c r="B15" s="117"/>
      <c r="C15" s="27" t="s">
        <v>154</v>
      </c>
      <c r="D15" s="102">
        <v>1</v>
      </c>
      <c r="E15" s="102">
        <v>1</v>
      </c>
      <c r="F15" s="102">
        <v>1</v>
      </c>
      <c r="G15" s="102">
        <v>1.82</v>
      </c>
      <c r="H15" s="102">
        <v>1</v>
      </c>
    </row>
    <row r="16" spans="1:10" x14ac:dyDescent="0.25">
      <c r="B16" s="117"/>
      <c r="C16" s="27" t="s">
        <v>155</v>
      </c>
      <c r="D16" s="102">
        <v>1</v>
      </c>
      <c r="E16" s="102">
        <v>1</v>
      </c>
      <c r="F16" s="102">
        <v>1</v>
      </c>
      <c r="G16" s="102">
        <v>1</v>
      </c>
      <c r="H16" s="102">
        <v>1</v>
      </c>
    </row>
    <row r="17" spans="1:8" ht="13" x14ac:dyDescent="0.25">
      <c r="B17" s="76" t="s">
        <v>156</v>
      </c>
      <c r="C17" s="27" t="s">
        <v>155</v>
      </c>
      <c r="D17" s="102">
        <v>1.05</v>
      </c>
      <c r="E17" s="102">
        <v>1.05</v>
      </c>
      <c r="F17" s="102">
        <v>1.05</v>
      </c>
      <c r="G17" s="102">
        <v>1.05</v>
      </c>
      <c r="H17" s="102">
        <v>1</v>
      </c>
    </row>
    <row r="18" spans="1:8" x14ac:dyDescent="0.25">
      <c r="D18" s="100"/>
      <c r="E18" s="100"/>
      <c r="F18" s="100"/>
      <c r="G18" s="100"/>
      <c r="H18" s="100"/>
    </row>
    <row r="19" spans="1:8" ht="13" x14ac:dyDescent="0.3">
      <c r="A19" s="29" t="s">
        <v>233</v>
      </c>
      <c r="B19" s="117" t="s">
        <v>100</v>
      </c>
      <c r="C19" s="27" t="s">
        <v>153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</row>
    <row r="20" spans="1:8" x14ac:dyDescent="0.25">
      <c r="B20" s="117"/>
      <c r="C20" s="27" t="s">
        <v>154</v>
      </c>
      <c r="D20" s="102">
        <v>1</v>
      </c>
      <c r="E20" s="102">
        <v>1</v>
      </c>
      <c r="F20" s="102">
        <v>1</v>
      </c>
      <c r="G20" s="102">
        <v>1</v>
      </c>
      <c r="H20" s="102">
        <v>1</v>
      </c>
    </row>
    <row r="21" spans="1:8" x14ac:dyDescent="0.25">
      <c r="B21" s="117"/>
      <c r="C21" s="27" t="s">
        <v>155</v>
      </c>
      <c r="D21" s="102">
        <v>1</v>
      </c>
      <c r="E21" s="102">
        <v>1</v>
      </c>
      <c r="F21" s="102">
        <v>1</v>
      </c>
      <c r="G21" s="102">
        <v>1</v>
      </c>
      <c r="H21" s="102">
        <v>1</v>
      </c>
    </row>
    <row r="22" spans="1:8" x14ac:dyDescent="0.25">
      <c r="B22" s="117" t="s">
        <v>109</v>
      </c>
      <c r="C22" s="27" t="s">
        <v>153</v>
      </c>
      <c r="D22" s="102">
        <v>1</v>
      </c>
      <c r="E22" s="102">
        <v>1</v>
      </c>
      <c r="F22" s="102">
        <v>1</v>
      </c>
      <c r="G22" s="102">
        <v>1</v>
      </c>
      <c r="H22" s="102">
        <v>1</v>
      </c>
    </row>
    <row r="23" spans="1:8" x14ac:dyDescent="0.25">
      <c r="B23" s="117"/>
      <c r="C23" s="27" t="s">
        <v>154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</row>
    <row r="24" spans="1:8" x14ac:dyDescent="0.25">
      <c r="B24" s="117"/>
      <c r="C24" s="27" t="s">
        <v>155</v>
      </c>
      <c r="D24" s="102">
        <v>1</v>
      </c>
      <c r="E24" s="102">
        <v>1</v>
      </c>
      <c r="F24" s="102">
        <v>1</v>
      </c>
      <c r="G24" s="102">
        <v>1</v>
      </c>
      <c r="H24" s="102">
        <v>1</v>
      </c>
    </row>
    <row r="25" spans="1:8" x14ac:dyDescent="0.25">
      <c r="B25" s="117" t="s">
        <v>96</v>
      </c>
      <c r="C25" s="27" t="s">
        <v>153</v>
      </c>
      <c r="D25" s="102">
        <v>1</v>
      </c>
      <c r="E25" s="102">
        <v>1</v>
      </c>
      <c r="F25" s="102">
        <v>1</v>
      </c>
      <c r="G25" s="102">
        <v>1</v>
      </c>
      <c r="H25" s="102">
        <v>1</v>
      </c>
    </row>
    <row r="26" spans="1:8" x14ac:dyDescent="0.25">
      <c r="B26" s="117"/>
      <c r="C26" s="27" t="s">
        <v>154</v>
      </c>
      <c r="D26" s="102">
        <v>1</v>
      </c>
      <c r="E26" s="102">
        <v>1</v>
      </c>
      <c r="F26" s="102">
        <v>1</v>
      </c>
      <c r="G26" s="102">
        <v>1</v>
      </c>
      <c r="H26" s="102">
        <v>1</v>
      </c>
    </row>
    <row r="27" spans="1:8" x14ac:dyDescent="0.25">
      <c r="B27" s="117"/>
      <c r="C27" s="27" t="s">
        <v>155</v>
      </c>
      <c r="D27" s="102">
        <v>1</v>
      </c>
      <c r="E27" s="102">
        <v>1</v>
      </c>
      <c r="F27" s="102">
        <v>1</v>
      </c>
      <c r="G27" s="102">
        <v>1</v>
      </c>
      <c r="H27" s="102">
        <v>1</v>
      </c>
    </row>
    <row r="28" spans="1:8" x14ac:dyDescent="0.25">
      <c r="B28" s="117" t="s">
        <v>97</v>
      </c>
      <c r="C28" s="27" t="s">
        <v>153</v>
      </c>
      <c r="D28" s="102">
        <v>1</v>
      </c>
      <c r="E28" s="102">
        <v>1</v>
      </c>
      <c r="F28" s="102">
        <v>1</v>
      </c>
      <c r="G28" s="102">
        <v>1</v>
      </c>
      <c r="H28" s="102">
        <v>1</v>
      </c>
    </row>
    <row r="29" spans="1:8" x14ac:dyDescent="0.25">
      <c r="B29" s="117"/>
      <c r="C29" s="27" t="s">
        <v>154</v>
      </c>
      <c r="D29" s="102">
        <v>1</v>
      </c>
      <c r="E29" s="102">
        <v>1</v>
      </c>
      <c r="F29" s="102">
        <v>1</v>
      </c>
      <c r="G29" s="102">
        <v>1</v>
      </c>
      <c r="H29" s="102">
        <v>1</v>
      </c>
    </row>
    <row r="30" spans="1:8" x14ac:dyDescent="0.25">
      <c r="B30" s="117"/>
      <c r="C30" s="27" t="s">
        <v>155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</row>
    <row r="31" spans="1:8" x14ac:dyDescent="0.25">
      <c r="B31" s="117" t="s">
        <v>98</v>
      </c>
      <c r="C31" s="27" t="s">
        <v>153</v>
      </c>
      <c r="D31" s="102">
        <v>1</v>
      </c>
      <c r="E31" s="102">
        <v>1</v>
      </c>
      <c r="F31" s="102">
        <v>1</v>
      </c>
      <c r="G31" s="102">
        <v>1</v>
      </c>
      <c r="H31" s="102">
        <v>1</v>
      </c>
    </row>
    <row r="32" spans="1:8" x14ac:dyDescent="0.25">
      <c r="B32" s="117"/>
      <c r="C32" s="27" t="s">
        <v>154</v>
      </c>
      <c r="D32" s="102">
        <v>1</v>
      </c>
      <c r="E32" s="102">
        <v>1</v>
      </c>
      <c r="F32" s="102">
        <v>1</v>
      </c>
      <c r="G32" s="102">
        <v>1</v>
      </c>
      <c r="H32" s="102">
        <v>1</v>
      </c>
    </row>
    <row r="33" spans="1:8" x14ac:dyDescent="0.25">
      <c r="B33" s="117"/>
      <c r="C33" s="27" t="s">
        <v>155</v>
      </c>
      <c r="D33" s="102">
        <v>1</v>
      </c>
      <c r="E33" s="102">
        <v>1</v>
      </c>
      <c r="F33" s="102">
        <v>1</v>
      </c>
      <c r="G33" s="102">
        <v>1</v>
      </c>
      <c r="H33" s="102">
        <v>1</v>
      </c>
    </row>
    <row r="34" spans="1:8" ht="13" x14ac:dyDescent="0.25">
      <c r="B34" s="76" t="s">
        <v>156</v>
      </c>
      <c r="C34" s="27" t="s">
        <v>155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</row>
    <row r="35" spans="1:8" x14ac:dyDescent="0.25">
      <c r="D35" s="100"/>
      <c r="E35" s="100"/>
      <c r="F35" s="100"/>
      <c r="G35" s="100"/>
      <c r="H35" s="100"/>
    </row>
    <row r="36" spans="1:8" ht="13" x14ac:dyDescent="0.3">
      <c r="A36" s="77" t="s">
        <v>234</v>
      </c>
      <c r="B36" s="117" t="s">
        <v>100</v>
      </c>
      <c r="C36" s="27" t="s">
        <v>153</v>
      </c>
      <c r="D36" s="102">
        <v>1</v>
      </c>
      <c r="E36" s="102">
        <v>1</v>
      </c>
      <c r="F36" s="102">
        <v>1</v>
      </c>
      <c r="G36" s="102">
        <v>1</v>
      </c>
      <c r="H36" s="102">
        <v>1</v>
      </c>
    </row>
    <row r="37" spans="1:8" x14ac:dyDescent="0.25">
      <c r="B37" s="117"/>
      <c r="C37" s="27" t="s">
        <v>154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</row>
    <row r="38" spans="1:8" x14ac:dyDescent="0.25">
      <c r="B38" s="117"/>
      <c r="C38" s="27" t="s">
        <v>155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</row>
    <row r="39" spans="1:8" x14ac:dyDescent="0.25">
      <c r="B39" s="117" t="s">
        <v>109</v>
      </c>
      <c r="C39" s="27" t="s">
        <v>153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</row>
    <row r="40" spans="1:8" x14ac:dyDescent="0.25">
      <c r="B40" s="117"/>
      <c r="C40" s="27" t="s">
        <v>154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</row>
    <row r="41" spans="1:8" x14ac:dyDescent="0.25">
      <c r="B41" s="117"/>
      <c r="C41" s="27" t="s">
        <v>155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</row>
    <row r="42" spans="1:8" x14ac:dyDescent="0.25">
      <c r="B42" s="117" t="s">
        <v>96</v>
      </c>
      <c r="C42" s="27" t="s">
        <v>153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</row>
    <row r="43" spans="1:8" x14ac:dyDescent="0.25">
      <c r="B43" s="117"/>
      <c r="C43" s="27" t="s">
        <v>154</v>
      </c>
      <c r="D43" s="102">
        <v>1</v>
      </c>
      <c r="E43" s="102">
        <v>1</v>
      </c>
      <c r="F43" s="102">
        <v>1</v>
      </c>
      <c r="G43" s="102">
        <v>1</v>
      </c>
      <c r="H43" s="102">
        <v>1</v>
      </c>
    </row>
    <row r="44" spans="1:8" x14ac:dyDescent="0.25">
      <c r="B44" s="117"/>
      <c r="C44" s="27" t="s">
        <v>155</v>
      </c>
      <c r="D44" s="102">
        <v>1</v>
      </c>
      <c r="E44" s="102">
        <v>1</v>
      </c>
      <c r="F44" s="102">
        <v>1</v>
      </c>
      <c r="G44" s="102">
        <v>1</v>
      </c>
      <c r="H44" s="102">
        <v>1</v>
      </c>
    </row>
    <row r="45" spans="1:8" x14ac:dyDescent="0.25">
      <c r="B45" s="117" t="s">
        <v>97</v>
      </c>
      <c r="C45" s="27" t="s">
        <v>153</v>
      </c>
      <c r="D45" s="102">
        <v>1</v>
      </c>
      <c r="E45" s="102">
        <v>1</v>
      </c>
      <c r="F45" s="102">
        <v>1</v>
      </c>
      <c r="G45" s="102">
        <v>1</v>
      </c>
      <c r="H45" s="102">
        <v>1</v>
      </c>
    </row>
    <row r="46" spans="1:8" x14ac:dyDescent="0.25">
      <c r="B46" s="117"/>
      <c r="C46" s="27" t="s">
        <v>154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</row>
    <row r="47" spans="1:8" x14ac:dyDescent="0.25">
      <c r="B47" s="117"/>
      <c r="C47" s="27" t="s">
        <v>155</v>
      </c>
      <c r="D47" s="102">
        <v>1</v>
      </c>
      <c r="E47" s="102">
        <v>1</v>
      </c>
      <c r="F47" s="102">
        <v>1</v>
      </c>
      <c r="G47" s="102">
        <v>1</v>
      </c>
      <c r="H47" s="102">
        <v>1</v>
      </c>
    </row>
    <row r="48" spans="1:8" x14ac:dyDescent="0.25">
      <c r="B48" s="117" t="s">
        <v>98</v>
      </c>
      <c r="C48" s="27" t="s">
        <v>153</v>
      </c>
      <c r="D48" s="102">
        <v>1</v>
      </c>
      <c r="E48" s="102">
        <v>1</v>
      </c>
      <c r="F48" s="102">
        <v>1</v>
      </c>
      <c r="G48" s="102">
        <v>1</v>
      </c>
      <c r="H48" s="102">
        <v>1</v>
      </c>
    </row>
    <row r="49" spans="1:8" x14ac:dyDescent="0.25">
      <c r="B49" s="117"/>
      <c r="C49" s="27" t="s">
        <v>154</v>
      </c>
      <c r="D49" s="102">
        <v>1</v>
      </c>
      <c r="E49" s="102">
        <v>1</v>
      </c>
      <c r="F49" s="102">
        <v>1</v>
      </c>
      <c r="G49" s="102">
        <v>1</v>
      </c>
      <c r="H49" s="102">
        <v>1</v>
      </c>
    </row>
    <row r="50" spans="1:8" x14ac:dyDescent="0.25">
      <c r="B50" s="117"/>
      <c r="C50" s="27" t="s">
        <v>155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</row>
    <row r="51" spans="1:8" ht="13" x14ac:dyDescent="0.25">
      <c r="B51" s="76" t="s">
        <v>156</v>
      </c>
      <c r="C51" s="27" t="s">
        <v>155</v>
      </c>
      <c r="D51" s="102">
        <v>1</v>
      </c>
      <c r="E51" s="102">
        <v>1</v>
      </c>
      <c r="F51" s="102">
        <v>1</v>
      </c>
      <c r="G51" s="102">
        <v>1</v>
      </c>
      <c r="H51" s="102">
        <v>1</v>
      </c>
    </row>
    <row r="53" spans="1:8" ht="13" x14ac:dyDescent="0.3">
      <c r="A53" s="106" t="s">
        <v>235</v>
      </c>
      <c r="B53" s="106"/>
      <c r="C53" s="106"/>
      <c r="D53" s="106"/>
      <c r="E53" s="106"/>
      <c r="F53" s="106"/>
      <c r="G53" s="106"/>
      <c r="H53" s="106"/>
    </row>
    <row r="54" spans="1:8" ht="13" x14ac:dyDescent="0.3">
      <c r="A54" s="29" t="s">
        <v>231</v>
      </c>
      <c r="B54" s="29" t="s">
        <v>152</v>
      </c>
      <c r="C54" s="29" t="s">
        <v>164</v>
      </c>
      <c r="D54" s="29" t="s">
        <v>109</v>
      </c>
      <c r="E54" s="29" t="s">
        <v>96</v>
      </c>
      <c r="F54" s="29" t="s">
        <v>97</v>
      </c>
      <c r="G54" s="29" t="s">
        <v>98</v>
      </c>
      <c r="H54" s="29" t="s">
        <v>99</v>
      </c>
    </row>
    <row r="55" spans="1:8" ht="13" x14ac:dyDescent="0.3">
      <c r="A55" s="29" t="s">
        <v>236</v>
      </c>
      <c r="B55" s="117" t="s">
        <v>100</v>
      </c>
      <c r="C55" s="27" t="s">
        <v>153</v>
      </c>
      <c r="D55" s="102">
        <f>IF(D2=1,1,D2*0.9)</f>
        <v>1</v>
      </c>
      <c r="E55" s="102">
        <f t="shared" ref="E55:H55" si="0">IF(E2=1,1,E2*0.9)</f>
        <v>1</v>
      </c>
      <c r="F55" s="102">
        <f t="shared" si="0"/>
        <v>1</v>
      </c>
      <c r="G55" s="102">
        <f t="shared" si="0"/>
        <v>1</v>
      </c>
      <c r="H55" s="102">
        <f t="shared" si="0"/>
        <v>1</v>
      </c>
    </row>
    <row r="56" spans="1:8" x14ac:dyDescent="0.25">
      <c r="B56" s="117"/>
      <c r="C56" s="27" t="s">
        <v>154</v>
      </c>
      <c r="D56" s="102">
        <f t="shared" ref="D56:H68" si="1">IF(D3=1,1,D3*0.9)</f>
        <v>1</v>
      </c>
      <c r="E56" s="102">
        <f t="shared" si="1"/>
        <v>1</v>
      </c>
      <c r="F56" s="102">
        <f t="shared" si="1"/>
        <v>1</v>
      </c>
      <c r="G56" s="102">
        <f t="shared" si="1"/>
        <v>1</v>
      </c>
      <c r="H56" s="102">
        <f t="shared" si="1"/>
        <v>1</v>
      </c>
    </row>
    <row r="57" spans="1:8" x14ac:dyDescent="0.25">
      <c r="B57" s="117"/>
      <c r="C57" s="27" t="s">
        <v>155</v>
      </c>
      <c r="D57" s="102">
        <f t="shared" si="1"/>
        <v>1</v>
      </c>
      <c r="E57" s="102">
        <f t="shared" si="1"/>
        <v>1</v>
      </c>
      <c r="F57" s="102">
        <f t="shared" si="1"/>
        <v>1</v>
      </c>
      <c r="G57" s="102">
        <f t="shared" si="1"/>
        <v>1</v>
      </c>
      <c r="H57" s="102">
        <f t="shared" si="1"/>
        <v>1</v>
      </c>
    </row>
    <row r="58" spans="1:8" x14ac:dyDescent="0.25">
      <c r="B58" s="117" t="s">
        <v>109</v>
      </c>
      <c r="C58" s="27" t="s">
        <v>153</v>
      </c>
      <c r="D58" s="102">
        <v>1.84</v>
      </c>
      <c r="E58" s="102">
        <f t="shared" si="1"/>
        <v>1</v>
      </c>
      <c r="F58" s="102">
        <f t="shared" si="1"/>
        <v>1</v>
      </c>
      <c r="G58" s="102">
        <f t="shared" si="1"/>
        <v>1</v>
      </c>
      <c r="H58" s="102">
        <f t="shared" si="1"/>
        <v>1</v>
      </c>
    </row>
    <row r="59" spans="1:8" x14ac:dyDescent="0.25">
      <c r="B59" s="117"/>
      <c r="C59" s="27" t="s">
        <v>154</v>
      </c>
      <c r="D59" s="102">
        <v>1.84</v>
      </c>
      <c r="E59" s="102">
        <f t="shared" si="1"/>
        <v>1</v>
      </c>
      <c r="F59" s="102">
        <f t="shared" si="1"/>
        <v>1</v>
      </c>
      <c r="G59" s="102">
        <f t="shared" si="1"/>
        <v>1</v>
      </c>
      <c r="H59" s="102">
        <f t="shared" si="1"/>
        <v>1</v>
      </c>
    </row>
    <row r="60" spans="1:8" x14ac:dyDescent="0.25">
      <c r="B60" s="117"/>
      <c r="C60" s="27" t="s">
        <v>155</v>
      </c>
      <c r="D60" s="102">
        <f t="shared" ref="D60:H70" si="2">IF(D7=1,1,D7*0.9)</f>
        <v>1</v>
      </c>
      <c r="E60" s="102">
        <f t="shared" si="2"/>
        <v>1</v>
      </c>
      <c r="F60" s="102">
        <f t="shared" si="2"/>
        <v>1</v>
      </c>
      <c r="G60" s="102">
        <f t="shared" si="2"/>
        <v>1</v>
      </c>
      <c r="H60" s="102">
        <f t="shared" si="1"/>
        <v>1</v>
      </c>
    </row>
    <row r="61" spans="1:8" x14ac:dyDescent="0.25">
      <c r="B61" s="117" t="s">
        <v>96</v>
      </c>
      <c r="C61" s="27" t="s">
        <v>153</v>
      </c>
      <c r="D61" s="102">
        <f t="shared" si="2"/>
        <v>1</v>
      </c>
      <c r="E61" s="102">
        <v>1.99</v>
      </c>
      <c r="F61" s="102">
        <f t="shared" si="2"/>
        <v>1</v>
      </c>
      <c r="G61" s="102">
        <f t="shared" si="2"/>
        <v>1</v>
      </c>
      <c r="H61" s="102">
        <f t="shared" si="1"/>
        <v>1</v>
      </c>
    </row>
    <row r="62" spans="1:8" x14ac:dyDescent="0.25">
      <c r="B62" s="117"/>
      <c r="C62" s="27" t="s">
        <v>154</v>
      </c>
      <c r="D62" s="102">
        <f t="shared" si="2"/>
        <v>1</v>
      </c>
      <c r="E62" s="102">
        <v>1.99</v>
      </c>
      <c r="F62" s="102">
        <f t="shared" si="2"/>
        <v>1</v>
      </c>
      <c r="G62" s="102">
        <f t="shared" si="2"/>
        <v>1</v>
      </c>
      <c r="H62" s="102">
        <f t="shared" si="1"/>
        <v>1</v>
      </c>
    </row>
    <row r="63" spans="1:8" x14ac:dyDescent="0.25">
      <c r="B63" s="117"/>
      <c r="C63" s="27" t="s">
        <v>155</v>
      </c>
      <c r="D63" s="102">
        <f t="shared" si="2"/>
        <v>1</v>
      </c>
      <c r="E63" s="102">
        <f t="shared" si="2"/>
        <v>1</v>
      </c>
      <c r="F63" s="102">
        <f t="shared" si="2"/>
        <v>1</v>
      </c>
      <c r="G63" s="102">
        <f t="shared" si="2"/>
        <v>1</v>
      </c>
      <c r="H63" s="102">
        <f t="shared" si="1"/>
        <v>1</v>
      </c>
    </row>
    <row r="64" spans="1:8" x14ac:dyDescent="0.25">
      <c r="B64" s="117" t="s">
        <v>97</v>
      </c>
      <c r="C64" s="27" t="s">
        <v>153</v>
      </c>
      <c r="D64" s="102">
        <f t="shared" si="2"/>
        <v>1</v>
      </c>
      <c r="E64" s="102">
        <f t="shared" si="2"/>
        <v>1</v>
      </c>
      <c r="F64" s="102">
        <v>1.36</v>
      </c>
      <c r="G64" s="102">
        <f t="shared" si="2"/>
        <v>1</v>
      </c>
      <c r="H64" s="102">
        <f t="shared" si="1"/>
        <v>1</v>
      </c>
    </row>
    <row r="65" spans="1:8" x14ac:dyDescent="0.25">
      <c r="B65" s="117"/>
      <c r="C65" s="27" t="s">
        <v>154</v>
      </c>
      <c r="D65" s="102">
        <f t="shared" si="2"/>
        <v>1</v>
      </c>
      <c r="E65" s="102">
        <f t="shared" si="2"/>
        <v>1</v>
      </c>
      <c r="F65" s="102">
        <v>1.36</v>
      </c>
      <c r="G65" s="102">
        <f t="shared" si="2"/>
        <v>1</v>
      </c>
      <c r="H65" s="102">
        <f t="shared" si="1"/>
        <v>1</v>
      </c>
    </row>
    <row r="66" spans="1:8" x14ac:dyDescent="0.25">
      <c r="B66" s="117"/>
      <c r="C66" s="27" t="s">
        <v>155</v>
      </c>
      <c r="D66" s="102">
        <f t="shared" si="2"/>
        <v>1</v>
      </c>
      <c r="E66" s="102">
        <f t="shared" si="2"/>
        <v>1</v>
      </c>
      <c r="F66" s="102">
        <f t="shared" si="2"/>
        <v>1</v>
      </c>
      <c r="G66" s="102">
        <f t="shared" si="2"/>
        <v>1</v>
      </c>
      <c r="H66" s="102">
        <f t="shared" si="1"/>
        <v>1</v>
      </c>
    </row>
    <row r="67" spans="1:8" x14ac:dyDescent="0.25">
      <c r="B67" s="117" t="s">
        <v>98</v>
      </c>
      <c r="C67" s="27" t="s">
        <v>153</v>
      </c>
      <c r="D67" s="102">
        <f t="shared" si="2"/>
        <v>1</v>
      </c>
      <c r="E67" s="102">
        <f t="shared" si="2"/>
        <v>1</v>
      </c>
      <c r="F67" s="102">
        <f t="shared" si="2"/>
        <v>1</v>
      </c>
      <c r="G67" s="102">
        <v>1.36</v>
      </c>
      <c r="H67" s="102">
        <f t="shared" si="1"/>
        <v>1</v>
      </c>
    </row>
    <row r="68" spans="1:8" x14ac:dyDescent="0.25">
      <c r="B68" s="117"/>
      <c r="C68" s="27" t="s">
        <v>154</v>
      </c>
      <c r="D68" s="102">
        <f t="shared" si="2"/>
        <v>1</v>
      </c>
      <c r="E68" s="102">
        <f t="shared" si="2"/>
        <v>1</v>
      </c>
      <c r="F68" s="102">
        <f t="shared" si="2"/>
        <v>1</v>
      </c>
      <c r="G68" s="102">
        <v>1.36</v>
      </c>
      <c r="H68" s="102">
        <f t="shared" si="1"/>
        <v>1</v>
      </c>
    </row>
    <row r="69" spans="1:8" x14ac:dyDescent="0.25">
      <c r="B69" s="117"/>
      <c r="C69" s="27" t="s">
        <v>155</v>
      </c>
      <c r="D69" s="102">
        <f t="shared" si="2"/>
        <v>1</v>
      </c>
      <c r="E69" s="102">
        <f t="shared" si="2"/>
        <v>1</v>
      </c>
      <c r="F69" s="102">
        <f t="shared" si="2"/>
        <v>1</v>
      </c>
      <c r="G69" s="102">
        <f t="shared" si="2"/>
        <v>1</v>
      </c>
      <c r="H69" s="102">
        <f t="shared" si="2"/>
        <v>1</v>
      </c>
    </row>
    <row r="70" spans="1:8" ht="13" x14ac:dyDescent="0.25">
      <c r="B70" s="76" t="s">
        <v>156</v>
      </c>
      <c r="C70" s="27" t="s">
        <v>155</v>
      </c>
      <c r="D70" s="102">
        <f t="shared" si="2"/>
        <v>0.94500000000000006</v>
      </c>
      <c r="E70" s="102">
        <f t="shared" si="2"/>
        <v>0.94500000000000006</v>
      </c>
      <c r="F70" s="102">
        <f t="shared" si="2"/>
        <v>0.94500000000000006</v>
      </c>
      <c r="G70" s="102">
        <f t="shared" si="2"/>
        <v>0.94500000000000006</v>
      </c>
      <c r="H70" s="102">
        <f t="shared" si="2"/>
        <v>1</v>
      </c>
    </row>
    <row r="71" spans="1:8" x14ac:dyDescent="0.25">
      <c r="D71" s="100"/>
      <c r="E71" s="100"/>
      <c r="F71" s="100"/>
      <c r="G71" s="100"/>
      <c r="H71" s="100"/>
    </row>
    <row r="72" spans="1:8" ht="13" x14ac:dyDescent="0.3">
      <c r="A72" s="29" t="s">
        <v>237</v>
      </c>
      <c r="B72" s="117" t="s">
        <v>100</v>
      </c>
      <c r="C72" s="27" t="s">
        <v>153</v>
      </c>
      <c r="D72" s="102">
        <f>IF(D19=1,1,D19*0.9)</f>
        <v>1</v>
      </c>
      <c r="E72" s="102">
        <f t="shared" ref="E72:H72" si="3">IF(E19=1,1,E19*0.9)</f>
        <v>1</v>
      </c>
      <c r="F72" s="102">
        <f t="shared" si="3"/>
        <v>1</v>
      </c>
      <c r="G72" s="102">
        <f t="shared" si="3"/>
        <v>1</v>
      </c>
      <c r="H72" s="102">
        <f t="shared" si="3"/>
        <v>1</v>
      </c>
    </row>
    <row r="73" spans="1:8" x14ac:dyDescent="0.25">
      <c r="B73" s="117"/>
      <c r="C73" s="27" t="s">
        <v>154</v>
      </c>
      <c r="D73" s="102">
        <f t="shared" ref="D73:H87" si="4">IF(D20=1,1,D20*0.9)</f>
        <v>1</v>
      </c>
      <c r="E73" s="102">
        <f t="shared" si="4"/>
        <v>1</v>
      </c>
      <c r="F73" s="102">
        <f t="shared" si="4"/>
        <v>1</v>
      </c>
      <c r="G73" s="102">
        <f t="shared" si="4"/>
        <v>1</v>
      </c>
      <c r="H73" s="102">
        <f t="shared" si="4"/>
        <v>1</v>
      </c>
    </row>
    <row r="74" spans="1:8" x14ac:dyDescent="0.25">
      <c r="B74" s="117"/>
      <c r="C74" s="27" t="s">
        <v>155</v>
      </c>
      <c r="D74" s="102">
        <f t="shared" si="4"/>
        <v>1</v>
      </c>
      <c r="E74" s="102">
        <f t="shared" si="4"/>
        <v>1</v>
      </c>
      <c r="F74" s="102">
        <f t="shared" si="4"/>
        <v>1</v>
      </c>
      <c r="G74" s="102">
        <f t="shared" si="4"/>
        <v>1</v>
      </c>
      <c r="H74" s="102">
        <f t="shared" si="4"/>
        <v>1</v>
      </c>
    </row>
    <row r="75" spans="1:8" x14ac:dyDescent="0.25">
      <c r="B75" s="117" t="s">
        <v>109</v>
      </c>
      <c r="C75" s="27" t="s">
        <v>153</v>
      </c>
      <c r="D75" s="102">
        <f t="shared" si="4"/>
        <v>1</v>
      </c>
      <c r="E75" s="102">
        <f t="shared" si="4"/>
        <v>1</v>
      </c>
      <c r="F75" s="102">
        <f t="shared" si="4"/>
        <v>1</v>
      </c>
      <c r="G75" s="102">
        <f t="shared" si="4"/>
        <v>1</v>
      </c>
      <c r="H75" s="102">
        <f t="shared" si="4"/>
        <v>1</v>
      </c>
    </row>
    <row r="76" spans="1:8" x14ac:dyDescent="0.25">
      <c r="B76" s="117"/>
      <c r="C76" s="27" t="s">
        <v>154</v>
      </c>
      <c r="D76" s="102">
        <f t="shared" si="4"/>
        <v>1</v>
      </c>
      <c r="E76" s="102">
        <f t="shared" si="4"/>
        <v>1</v>
      </c>
      <c r="F76" s="102">
        <f t="shared" si="4"/>
        <v>1</v>
      </c>
      <c r="G76" s="102">
        <f t="shared" si="4"/>
        <v>1</v>
      </c>
      <c r="H76" s="102">
        <f t="shared" si="4"/>
        <v>1</v>
      </c>
    </row>
    <row r="77" spans="1:8" x14ac:dyDescent="0.25">
      <c r="B77" s="117"/>
      <c r="C77" s="27" t="s">
        <v>155</v>
      </c>
      <c r="D77" s="102">
        <f t="shared" si="4"/>
        <v>1</v>
      </c>
      <c r="E77" s="102">
        <f t="shared" si="4"/>
        <v>1</v>
      </c>
      <c r="F77" s="102">
        <f t="shared" si="4"/>
        <v>1</v>
      </c>
      <c r="G77" s="102">
        <f t="shared" si="4"/>
        <v>1</v>
      </c>
      <c r="H77" s="102">
        <f t="shared" si="4"/>
        <v>1</v>
      </c>
    </row>
    <row r="78" spans="1:8" x14ac:dyDescent="0.25">
      <c r="B78" s="117" t="s">
        <v>96</v>
      </c>
      <c r="C78" s="27" t="s">
        <v>153</v>
      </c>
      <c r="D78" s="102">
        <f t="shared" si="4"/>
        <v>1</v>
      </c>
      <c r="E78" s="102">
        <f t="shared" si="4"/>
        <v>1</v>
      </c>
      <c r="F78" s="102">
        <f t="shared" si="4"/>
        <v>1</v>
      </c>
      <c r="G78" s="102">
        <f t="shared" si="4"/>
        <v>1</v>
      </c>
      <c r="H78" s="102">
        <f t="shared" si="4"/>
        <v>1</v>
      </c>
    </row>
    <row r="79" spans="1:8" x14ac:dyDescent="0.25">
      <c r="B79" s="117"/>
      <c r="C79" s="27" t="s">
        <v>154</v>
      </c>
      <c r="D79" s="102">
        <f t="shared" si="4"/>
        <v>1</v>
      </c>
      <c r="E79" s="102">
        <f t="shared" si="4"/>
        <v>1</v>
      </c>
      <c r="F79" s="102">
        <f t="shared" si="4"/>
        <v>1</v>
      </c>
      <c r="G79" s="102">
        <f t="shared" si="4"/>
        <v>1</v>
      </c>
      <c r="H79" s="102">
        <f t="shared" si="4"/>
        <v>1</v>
      </c>
    </row>
    <row r="80" spans="1:8" x14ac:dyDescent="0.25">
      <c r="B80" s="117"/>
      <c r="C80" s="27" t="s">
        <v>155</v>
      </c>
      <c r="D80" s="102">
        <f t="shared" si="4"/>
        <v>1</v>
      </c>
      <c r="E80" s="102">
        <f t="shared" si="4"/>
        <v>1</v>
      </c>
      <c r="F80" s="102">
        <f t="shared" si="4"/>
        <v>1</v>
      </c>
      <c r="G80" s="102">
        <f t="shared" si="4"/>
        <v>1</v>
      </c>
      <c r="H80" s="102">
        <f t="shared" si="4"/>
        <v>1</v>
      </c>
    </row>
    <row r="81" spans="1:8" x14ac:dyDescent="0.25">
      <c r="B81" s="117" t="s">
        <v>97</v>
      </c>
      <c r="C81" s="27" t="s">
        <v>153</v>
      </c>
      <c r="D81" s="102">
        <f t="shared" si="4"/>
        <v>1</v>
      </c>
      <c r="E81" s="102">
        <f t="shared" si="4"/>
        <v>1</v>
      </c>
      <c r="F81" s="102">
        <f t="shared" si="4"/>
        <v>1</v>
      </c>
      <c r="G81" s="102">
        <f t="shared" si="4"/>
        <v>1</v>
      </c>
      <c r="H81" s="102">
        <f t="shared" si="4"/>
        <v>1</v>
      </c>
    </row>
    <row r="82" spans="1:8" x14ac:dyDescent="0.25">
      <c r="B82" s="117"/>
      <c r="C82" s="27" t="s">
        <v>154</v>
      </c>
      <c r="D82" s="102">
        <f t="shared" si="4"/>
        <v>1</v>
      </c>
      <c r="E82" s="102">
        <f t="shared" si="4"/>
        <v>1</v>
      </c>
      <c r="F82" s="102">
        <f t="shared" si="4"/>
        <v>1</v>
      </c>
      <c r="G82" s="102">
        <f t="shared" si="4"/>
        <v>1</v>
      </c>
      <c r="H82" s="102">
        <f t="shared" si="4"/>
        <v>1</v>
      </c>
    </row>
    <row r="83" spans="1:8" x14ac:dyDescent="0.25">
      <c r="B83" s="117"/>
      <c r="C83" s="27" t="s">
        <v>155</v>
      </c>
      <c r="D83" s="102">
        <f t="shared" si="4"/>
        <v>1</v>
      </c>
      <c r="E83" s="102">
        <f t="shared" si="4"/>
        <v>1</v>
      </c>
      <c r="F83" s="102">
        <f t="shared" si="4"/>
        <v>1</v>
      </c>
      <c r="G83" s="102">
        <f t="shared" si="4"/>
        <v>1</v>
      </c>
      <c r="H83" s="102">
        <f t="shared" si="4"/>
        <v>1</v>
      </c>
    </row>
    <row r="84" spans="1:8" x14ac:dyDescent="0.25">
      <c r="B84" s="117" t="s">
        <v>98</v>
      </c>
      <c r="C84" s="27" t="s">
        <v>153</v>
      </c>
      <c r="D84" s="102">
        <f t="shared" si="4"/>
        <v>1</v>
      </c>
      <c r="E84" s="102">
        <f t="shared" si="4"/>
        <v>1</v>
      </c>
      <c r="F84" s="102">
        <f t="shared" si="4"/>
        <v>1</v>
      </c>
      <c r="G84" s="102">
        <f t="shared" si="4"/>
        <v>1</v>
      </c>
      <c r="H84" s="102">
        <f t="shared" si="4"/>
        <v>1</v>
      </c>
    </row>
    <row r="85" spans="1:8" x14ac:dyDescent="0.25">
      <c r="B85" s="117"/>
      <c r="C85" s="27" t="s">
        <v>154</v>
      </c>
      <c r="D85" s="102">
        <f t="shared" si="4"/>
        <v>1</v>
      </c>
      <c r="E85" s="102">
        <f t="shared" si="4"/>
        <v>1</v>
      </c>
      <c r="F85" s="102">
        <f t="shared" si="4"/>
        <v>1</v>
      </c>
      <c r="G85" s="102">
        <f t="shared" si="4"/>
        <v>1</v>
      </c>
      <c r="H85" s="102">
        <f t="shared" si="4"/>
        <v>1</v>
      </c>
    </row>
    <row r="86" spans="1:8" x14ac:dyDescent="0.25">
      <c r="B86" s="117"/>
      <c r="C86" s="27" t="s">
        <v>155</v>
      </c>
      <c r="D86" s="102">
        <f t="shared" si="4"/>
        <v>1</v>
      </c>
      <c r="E86" s="102">
        <f t="shared" si="4"/>
        <v>1</v>
      </c>
      <c r="F86" s="102">
        <f t="shared" si="4"/>
        <v>1</v>
      </c>
      <c r="G86" s="102">
        <f t="shared" si="4"/>
        <v>1</v>
      </c>
      <c r="H86" s="102">
        <f t="shared" si="4"/>
        <v>1</v>
      </c>
    </row>
    <row r="87" spans="1:8" ht="13" x14ac:dyDescent="0.25">
      <c r="B87" s="76" t="s">
        <v>156</v>
      </c>
      <c r="C87" s="27" t="s">
        <v>155</v>
      </c>
      <c r="D87" s="102">
        <f t="shared" si="4"/>
        <v>1</v>
      </c>
      <c r="E87" s="102">
        <f t="shared" si="4"/>
        <v>1</v>
      </c>
      <c r="F87" s="102">
        <f t="shared" si="4"/>
        <v>1</v>
      </c>
      <c r="G87" s="102">
        <f t="shared" si="4"/>
        <v>1</v>
      </c>
      <c r="H87" s="102">
        <f t="shared" si="4"/>
        <v>1</v>
      </c>
    </row>
    <row r="88" spans="1:8" x14ac:dyDescent="0.25">
      <c r="D88" s="100"/>
      <c r="E88" s="100"/>
      <c r="F88" s="100"/>
      <c r="G88" s="100"/>
      <c r="H88" s="100"/>
    </row>
    <row r="89" spans="1:8" ht="13" x14ac:dyDescent="0.3">
      <c r="A89" s="77" t="s">
        <v>238</v>
      </c>
      <c r="B89" s="117" t="s">
        <v>100</v>
      </c>
      <c r="C89" s="27" t="s">
        <v>153</v>
      </c>
      <c r="D89" s="102">
        <f>IF(D36=1,1,D36*0.9)</f>
        <v>1</v>
      </c>
      <c r="E89" s="102">
        <f t="shared" ref="E89:H89" si="5">IF(E36=1,1,E36*0.9)</f>
        <v>1</v>
      </c>
      <c r="F89" s="102">
        <f t="shared" si="5"/>
        <v>1</v>
      </c>
      <c r="G89" s="102">
        <f t="shared" si="5"/>
        <v>1</v>
      </c>
      <c r="H89" s="102">
        <f t="shared" si="5"/>
        <v>1</v>
      </c>
    </row>
    <row r="90" spans="1:8" x14ac:dyDescent="0.25">
      <c r="B90" s="117"/>
      <c r="C90" s="27" t="s">
        <v>154</v>
      </c>
      <c r="D90" s="102">
        <f t="shared" ref="D90:H104" si="6">IF(D37=1,1,D37*0.9)</f>
        <v>1</v>
      </c>
      <c r="E90" s="102">
        <f t="shared" si="6"/>
        <v>1</v>
      </c>
      <c r="F90" s="102">
        <f t="shared" si="6"/>
        <v>1</v>
      </c>
      <c r="G90" s="102">
        <f t="shared" si="6"/>
        <v>1</v>
      </c>
      <c r="H90" s="102">
        <f t="shared" si="6"/>
        <v>1</v>
      </c>
    </row>
    <row r="91" spans="1:8" x14ac:dyDescent="0.25">
      <c r="B91" s="117"/>
      <c r="C91" s="27" t="s">
        <v>155</v>
      </c>
      <c r="D91" s="102">
        <f t="shared" si="6"/>
        <v>1</v>
      </c>
      <c r="E91" s="102">
        <f t="shared" si="6"/>
        <v>1</v>
      </c>
      <c r="F91" s="102">
        <f t="shared" si="6"/>
        <v>1</v>
      </c>
      <c r="G91" s="102">
        <f t="shared" si="6"/>
        <v>1</v>
      </c>
      <c r="H91" s="102">
        <f t="shared" si="6"/>
        <v>1</v>
      </c>
    </row>
    <row r="92" spans="1:8" x14ac:dyDescent="0.25">
      <c r="B92" s="117" t="s">
        <v>109</v>
      </c>
      <c r="C92" s="27" t="s">
        <v>153</v>
      </c>
      <c r="D92" s="102">
        <f t="shared" si="6"/>
        <v>1</v>
      </c>
      <c r="E92" s="102">
        <f t="shared" si="6"/>
        <v>1</v>
      </c>
      <c r="F92" s="102">
        <f t="shared" si="6"/>
        <v>1</v>
      </c>
      <c r="G92" s="102">
        <f t="shared" si="6"/>
        <v>1</v>
      </c>
      <c r="H92" s="102">
        <f t="shared" si="6"/>
        <v>1</v>
      </c>
    </row>
    <row r="93" spans="1:8" x14ac:dyDescent="0.25">
      <c r="B93" s="117"/>
      <c r="C93" s="27" t="s">
        <v>154</v>
      </c>
      <c r="D93" s="102">
        <f t="shared" si="6"/>
        <v>1</v>
      </c>
      <c r="E93" s="102">
        <f t="shared" si="6"/>
        <v>1</v>
      </c>
      <c r="F93" s="102">
        <f t="shared" si="6"/>
        <v>1</v>
      </c>
      <c r="G93" s="102">
        <f t="shared" si="6"/>
        <v>1</v>
      </c>
      <c r="H93" s="102">
        <f t="shared" si="6"/>
        <v>1</v>
      </c>
    </row>
    <row r="94" spans="1:8" x14ac:dyDescent="0.25">
      <c r="B94" s="117"/>
      <c r="C94" s="27" t="s">
        <v>155</v>
      </c>
      <c r="D94" s="102">
        <f t="shared" si="6"/>
        <v>1</v>
      </c>
      <c r="E94" s="102">
        <f t="shared" si="6"/>
        <v>1</v>
      </c>
      <c r="F94" s="102">
        <f t="shared" si="6"/>
        <v>1</v>
      </c>
      <c r="G94" s="102">
        <f t="shared" si="6"/>
        <v>1</v>
      </c>
      <c r="H94" s="102">
        <f t="shared" si="6"/>
        <v>1</v>
      </c>
    </row>
    <row r="95" spans="1:8" x14ac:dyDescent="0.25">
      <c r="B95" s="117" t="s">
        <v>96</v>
      </c>
      <c r="C95" s="27" t="s">
        <v>153</v>
      </c>
      <c r="D95" s="102">
        <f t="shared" si="6"/>
        <v>1</v>
      </c>
      <c r="E95" s="102">
        <f t="shared" si="6"/>
        <v>1</v>
      </c>
      <c r="F95" s="102">
        <f t="shared" si="6"/>
        <v>1</v>
      </c>
      <c r="G95" s="102">
        <f t="shared" si="6"/>
        <v>1</v>
      </c>
      <c r="H95" s="102">
        <f t="shared" si="6"/>
        <v>1</v>
      </c>
    </row>
    <row r="96" spans="1:8" x14ac:dyDescent="0.25">
      <c r="B96" s="117"/>
      <c r="C96" s="27" t="s">
        <v>154</v>
      </c>
      <c r="D96" s="102">
        <f t="shared" si="6"/>
        <v>1</v>
      </c>
      <c r="E96" s="102">
        <f t="shared" si="6"/>
        <v>1</v>
      </c>
      <c r="F96" s="102">
        <f t="shared" si="6"/>
        <v>1</v>
      </c>
      <c r="G96" s="102">
        <f t="shared" si="6"/>
        <v>1</v>
      </c>
      <c r="H96" s="102">
        <f t="shared" si="6"/>
        <v>1</v>
      </c>
    </row>
    <row r="97" spans="1:8" x14ac:dyDescent="0.25">
      <c r="B97" s="117"/>
      <c r="C97" s="27" t="s">
        <v>155</v>
      </c>
      <c r="D97" s="102">
        <f t="shared" si="6"/>
        <v>1</v>
      </c>
      <c r="E97" s="102">
        <f t="shared" si="6"/>
        <v>1</v>
      </c>
      <c r="F97" s="102">
        <f t="shared" si="6"/>
        <v>1</v>
      </c>
      <c r="G97" s="102">
        <f t="shared" si="6"/>
        <v>1</v>
      </c>
      <c r="H97" s="102">
        <f t="shared" si="6"/>
        <v>1</v>
      </c>
    </row>
    <row r="98" spans="1:8" x14ac:dyDescent="0.25">
      <c r="B98" s="117" t="s">
        <v>97</v>
      </c>
      <c r="C98" s="27" t="s">
        <v>153</v>
      </c>
      <c r="D98" s="102">
        <f t="shared" si="6"/>
        <v>1</v>
      </c>
      <c r="E98" s="102">
        <f t="shared" si="6"/>
        <v>1</v>
      </c>
      <c r="F98" s="102">
        <f>IF(F45=1,1,F45*0.9)</f>
        <v>1</v>
      </c>
      <c r="G98" s="102">
        <f t="shared" si="6"/>
        <v>1</v>
      </c>
      <c r="H98" s="102">
        <f t="shared" si="6"/>
        <v>1</v>
      </c>
    </row>
    <row r="99" spans="1:8" x14ac:dyDescent="0.25">
      <c r="B99" s="117"/>
      <c r="C99" s="27" t="s">
        <v>154</v>
      </c>
      <c r="D99" s="102">
        <f t="shared" si="6"/>
        <v>1</v>
      </c>
      <c r="E99" s="102">
        <f t="shared" si="6"/>
        <v>1</v>
      </c>
      <c r="F99" s="102">
        <f>IF(F46=1,1,F46*0.9)</f>
        <v>1</v>
      </c>
      <c r="G99" s="102">
        <f t="shared" si="6"/>
        <v>1</v>
      </c>
      <c r="H99" s="102">
        <f t="shared" si="6"/>
        <v>1</v>
      </c>
    </row>
    <row r="100" spans="1:8" x14ac:dyDescent="0.25">
      <c r="B100" s="117"/>
      <c r="C100" s="27" t="s">
        <v>155</v>
      </c>
      <c r="D100" s="102">
        <f t="shared" si="6"/>
        <v>1</v>
      </c>
      <c r="E100" s="102">
        <f t="shared" si="6"/>
        <v>1</v>
      </c>
      <c r="F100" s="102">
        <f t="shared" si="6"/>
        <v>1</v>
      </c>
      <c r="G100" s="102">
        <f t="shared" si="6"/>
        <v>1</v>
      </c>
      <c r="H100" s="102">
        <f t="shared" si="6"/>
        <v>1</v>
      </c>
    </row>
    <row r="101" spans="1:8" x14ac:dyDescent="0.25">
      <c r="B101" s="117" t="s">
        <v>98</v>
      </c>
      <c r="C101" s="27" t="s">
        <v>153</v>
      </c>
      <c r="D101" s="102">
        <f t="shared" si="6"/>
        <v>1</v>
      </c>
      <c r="E101" s="102">
        <f t="shared" si="6"/>
        <v>1</v>
      </c>
      <c r="F101" s="102">
        <f t="shared" si="6"/>
        <v>1</v>
      </c>
      <c r="G101" s="102">
        <f>IF(G48=1,1,G48*0.9)</f>
        <v>1</v>
      </c>
      <c r="H101" s="102">
        <f t="shared" si="6"/>
        <v>1</v>
      </c>
    </row>
    <row r="102" spans="1:8" x14ac:dyDescent="0.25">
      <c r="B102" s="117"/>
      <c r="C102" s="27" t="s">
        <v>154</v>
      </c>
      <c r="D102" s="102">
        <f t="shared" si="6"/>
        <v>1</v>
      </c>
      <c r="E102" s="102">
        <f t="shared" si="6"/>
        <v>1</v>
      </c>
      <c r="F102" s="102">
        <f t="shared" si="6"/>
        <v>1</v>
      </c>
      <c r="G102" s="102">
        <f>IF(G49=1,1,G49*0.9)</f>
        <v>1</v>
      </c>
      <c r="H102" s="102">
        <f t="shared" si="6"/>
        <v>1</v>
      </c>
    </row>
    <row r="103" spans="1:8" x14ac:dyDescent="0.25">
      <c r="B103" s="117"/>
      <c r="C103" s="27" t="s">
        <v>155</v>
      </c>
      <c r="D103" s="102">
        <f t="shared" si="6"/>
        <v>1</v>
      </c>
      <c r="E103" s="102">
        <f t="shared" si="6"/>
        <v>1</v>
      </c>
      <c r="F103" s="102">
        <f t="shared" si="6"/>
        <v>1</v>
      </c>
      <c r="G103" s="102">
        <f t="shared" si="6"/>
        <v>1</v>
      </c>
      <c r="H103" s="102">
        <f t="shared" si="6"/>
        <v>1</v>
      </c>
    </row>
    <row r="104" spans="1:8" ht="13" x14ac:dyDescent="0.25">
      <c r="B104" s="76" t="s">
        <v>156</v>
      </c>
      <c r="C104" s="27" t="s">
        <v>155</v>
      </c>
      <c r="D104" s="102">
        <f t="shared" si="6"/>
        <v>1</v>
      </c>
      <c r="E104" s="102">
        <f t="shared" si="6"/>
        <v>1</v>
      </c>
      <c r="F104" s="102">
        <f t="shared" si="6"/>
        <v>1</v>
      </c>
      <c r="G104" s="102">
        <f t="shared" si="6"/>
        <v>1</v>
      </c>
      <c r="H104" s="102">
        <f t="shared" si="6"/>
        <v>1</v>
      </c>
    </row>
    <row r="106" spans="1:8" ht="13" x14ac:dyDescent="0.3">
      <c r="A106" s="106" t="s">
        <v>239</v>
      </c>
      <c r="B106" s="106"/>
      <c r="C106" s="106"/>
      <c r="D106" s="106"/>
      <c r="E106" s="106"/>
      <c r="F106" s="106"/>
      <c r="G106" s="106"/>
      <c r="H106" s="106"/>
    </row>
    <row r="107" spans="1:8" ht="13" x14ac:dyDescent="0.3">
      <c r="A107" s="29" t="s">
        <v>231</v>
      </c>
      <c r="B107" s="29" t="s">
        <v>152</v>
      </c>
      <c r="C107" s="29" t="s">
        <v>164</v>
      </c>
      <c r="D107" s="29" t="s">
        <v>109</v>
      </c>
      <c r="E107" s="29" t="s">
        <v>96</v>
      </c>
      <c r="F107" s="29" t="s">
        <v>97</v>
      </c>
      <c r="G107" s="29" t="s">
        <v>98</v>
      </c>
      <c r="H107" s="29" t="s">
        <v>99</v>
      </c>
    </row>
    <row r="108" spans="1:8" ht="13" x14ac:dyDescent="0.3">
      <c r="A108" s="29" t="s">
        <v>240</v>
      </c>
      <c r="B108" s="117" t="s">
        <v>100</v>
      </c>
      <c r="C108" s="27" t="s">
        <v>153</v>
      </c>
      <c r="D108" s="102">
        <f>IF(D2=1,1,D2*1.05)</f>
        <v>1</v>
      </c>
      <c r="E108" s="102">
        <f t="shared" ref="E108:H108" si="7">IF(E2=1,1,E2*1.05)</f>
        <v>1</v>
      </c>
      <c r="F108" s="102">
        <f t="shared" si="7"/>
        <v>1</v>
      </c>
      <c r="G108" s="102">
        <f t="shared" si="7"/>
        <v>1</v>
      </c>
      <c r="H108" s="102">
        <f t="shared" si="7"/>
        <v>1</v>
      </c>
    </row>
    <row r="109" spans="1:8" x14ac:dyDescent="0.25">
      <c r="B109" s="117"/>
      <c r="C109" s="27" t="s">
        <v>154</v>
      </c>
      <c r="D109" s="102">
        <f t="shared" ref="D109:H121" si="8">IF(D3=1,1,D3*1.05)</f>
        <v>1</v>
      </c>
      <c r="E109" s="102">
        <f t="shared" si="8"/>
        <v>1</v>
      </c>
      <c r="F109" s="102">
        <f t="shared" si="8"/>
        <v>1</v>
      </c>
      <c r="G109" s="102">
        <f t="shared" si="8"/>
        <v>1</v>
      </c>
      <c r="H109" s="102">
        <f t="shared" si="8"/>
        <v>1</v>
      </c>
    </row>
    <row r="110" spans="1:8" x14ac:dyDescent="0.25">
      <c r="B110" s="117"/>
      <c r="C110" s="27" t="s">
        <v>155</v>
      </c>
      <c r="D110" s="102">
        <f t="shared" si="8"/>
        <v>1</v>
      </c>
      <c r="E110" s="102">
        <f t="shared" si="8"/>
        <v>1</v>
      </c>
      <c r="F110" s="102">
        <f t="shared" si="8"/>
        <v>1</v>
      </c>
      <c r="G110" s="102">
        <f t="shared" si="8"/>
        <v>1</v>
      </c>
      <c r="H110" s="102">
        <f t="shared" si="8"/>
        <v>1</v>
      </c>
    </row>
    <row r="111" spans="1:8" x14ac:dyDescent="0.25">
      <c r="B111" s="117" t="s">
        <v>109</v>
      </c>
      <c r="C111" s="27" t="s">
        <v>153</v>
      </c>
      <c r="D111" s="102">
        <v>2.56</v>
      </c>
      <c r="E111" s="102">
        <f t="shared" ref="E111:G112" si="9">IF(E58=1,1,E58*0.9)</f>
        <v>1</v>
      </c>
      <c r="F111" s="102">
        <f t="shared" si="9"/>
        <v>1</v>
      </c>
      <c r="G111" s="102">
        <f t="shared" si="9"/>
        <v>1</v>
      </c>
      <c r="H111" s="102">
        <f t="shared" si="8"/>
        <v>1</v>
      </c>
    </row>
    <row r="112" spans="1:8" x14ac:dyDescent="0.25">
      <c r="B112" s="117"/>
      <c r="C112" s="27" t="s">
        <v>154</v>
      </c>
      <c r="D112" s="102">
        <v>2.56</v>
      </c>
      <c r="E112" s="102">
        <f t="shared" si="9"/>
        <v>1</v>
      </c>
      <c r="F112" s="102">
        <f t="shared" si="9"/>
        <v>1</v>
      </c>
      <c r="G112" s="102">
        <f t="shared" si="9"/>
        <v>1</v>
      </c>
      <c r="H112" s="102">
        <f t="shared" si="8"/>
        <v>1</v>
      </c>
    </row>
    <row r="113" spans="1:8" x14ac:dyDescent="0.25">
      <c r="B113" s="117"/>
      <c r="C113" s="27" t="s">
        <v>155</v>
      </c>
      <c r="D113" s="102">
        <f t="shared" ref="D113:G121" si="10">IF(D60=1,1,D60*0.9)</f>
        <v>1</v>
      </c>
      <c r="E113" s="102">
        <f t="shared" si="10"/>
        <v>1</v>
      </c>
      <c r="F113" s="102">
        <f t="shared" si="10"/>
        <v>1</v>
      </c>
      <c r="G113" s="102">
        <f t="shared" si="10"/>
        <v>1</v>
      </c>
      <c r="H113" s="102">
        <f t="shared" si="8"/>
        <v>1</v>
      </c>
    </row>
    <row r="114" spans="1:8" x14ac:dyDescent="0.25">
      <c r="B114" s="117" t="s">
        <v>96</v>
      </c>
      <c r="C114" s="27" t="s">
        <v>153</v>
      </c>
      <c r="D114" s="102">
        <f t="shared" si="10"/>
        <v>1</v>
      </c>
      <c r="E114" s="102">
        <v>3.09</v>
      </c>
      <c r="F114" s="102">
        <f t="shared" si="10"/>
        <v>1</v>
      </c>
      <c r="G114" s="102">
        <f t="shared" si="10"/>
        <v>1</v>
      </c>
      <c r="H114" s="102">
        <f t="shared" si="8"/>
        <v>1</v>
      </c>
    </row>
    <row r="115" spans="1:8" x14ac:dyDescent="0.25">
      <c r="B115" s="117"/>
      <c r="C115" s="27" t="s">
        <v>154</v>
      </c>
      <c r="D115" s="102">
        <f t="shared" si="10"/>
        <v>1</v>
      </c>
      <c r="E115" s="102">
        <v>3.09</v>
      </c>
      <c r="F115" s="102">
        <f t="shared" si="10"/>
        <v>1</v>
      </c>
      <c r="G115" s="102">
        <f t="shared" si="10"/>
        <v>1</v>
      </c>
      <c r="H115" s="102">
        <f t="shared" si="8"/>
        <v>1</v>
      </c>
    </row>
    <row r="116" spans="1:8" x14ac:dyDescent="0.25">
      <c r="B116" s="117"/>
      <c r="C116" s="27" t="s">
        <v>155</v>
      </c>
      <c r="D116" s="102">
        <f t="shared" si="10"/>
        <v>1</v>
      </c>
      <c r="E116" s="102">
        <f t="shared" si="10"/>
        <v>1</v>
      </c>
      <c r="F116" s="102">
        <f t="shared" si="10"/>
        <v>1</v>
      </c>
      <c r="G116" s="102">
        <f t="shared" si="10"/>
        <v>1</v>
      </c>
      <c r="H116" s="102">
        <f t="shared" si="8"/>
        <v>1</v>
      </c>
    </row>
    <row r="117" spans="1:8" x14ac:dyDescent="0.25">
      <c r="B117" s="117" t="s">
        <v>97</v>
      </c>
      <c r="C117" s="27" t="s">
        <v>153</v>
      </c>
      <c r="D117" s="102">
        <f t="shared" si="10"/>
        <v>1</v>
      </c>
      <c r="E117" s="102">
        <f t="shared" si="10"/>
        <v>1</v>
      </c>
      <c r="F117" s="102">
        <v>2.4500000000000002</v>
      </c>
      <c r="G117" s="102">
        <f t="shared" si="10"/>
        <v>1</v>
      </c>
      <c r="H117" s="102">
        <f t="shared" si="8"/>
        <v>1</v>
      </c>
    </row>
    <row r="118" spans="1:8" x14ac:dyDescent="0.25">
      <c r="B118" s="117"/>
      <c r="C118" s="27" t="s">
        <v>154</v>
      </c>
      <c r="D118" s="102">
        <f t="shared" si="10"/>
        <v>1</v>
      </c>
      <c r="E118" s="102">
        <f t="shared" si="10"/>
        <v>1</v>
      </c>
      <c r="F118" s="102">
        <v>2.4500000000000002</v>
      </c>
      <c r="G118" s="102">
        <f t="shared" si="10"/>
        <v>1</v>
      </c>
      <c r="H118" s="102">
        <f t="shared" si="8"/>
        <v>1</v>
      </c>
    </row>
    <row r="119" spans="1:8" x14ac:dyDescent="0.25">
      <c r="B119" s="117"/>
      <c r="C119" s="27" t="s">
        <v>155</v>
      </c>
      <c r="D119" s="102">
        <f t="shared" si="10"/>
        <v>1</v>
      </c>
      <c r="E119" s="102">
        <f t="shared" si="10"/>
        <v>1</v>
      </c>
      <c r="F119" s="102">
        <f t="shared" si="10"/>
        <v>1</v>
      </c>
      <c r="G119" s="102">
        <f t="shared" si="10"/>
        <v>1</v>
      </c>
      <c r="H119" s="102">
        <f t="shared" si="8"/>
        <v>1</v>
      </c>
    </row>
    <row r="120" spans="1:8" x14ac:dyDescent="0.25">
      <c r="B120" s="117" t="s">
        <v>98</v>
      </c>
      <c r="C120" s="27" t="s">
        <v>153</v>
      </c>
      <c r="D120" s="102">
        <f t="shared" si="10"/>
        <v>1</v>
      </c>
      <c r="E120" s="102">
        <f t="shared" si="10"/>
        <v>1</v>
      </c>
      <c r="F120" s="102">
        <f t="shared" si="10"/>
        <v>1</v>
      </c>
      <c r="G120" s="102">
        <v>2.4500000000000002</v>
      </c>
      <c r="H120" s="102">
        <f t="shared" si="8"/>
        <v>1</v>
      </c>
    </row>
    <row r="121" spans="1:8" x14ac:dyDescent="0.25">
      <c r="B121" s="117"/>
      <c r="C121" s="27" t="s">
        <v>154</v>
      </c>
      <c r="D121" s="102">
        <f t="shared" si="10"/>
        <v>1</v>
      </c>
      <c r="E121" s="102">
        <f t="shared" si="10"/>
        <v>1</v>
      </c>
      <c r="F121" s="102">
        <f t="shared" si="10"/>
        <v>1</v>
      </c>
      <c r="G121" s="102">
        <v>2.4500000000000002</v>
      </c>
      <c r="H121" s="102">
        <f t="shared" si="8"/>
        <v>1</v>
      </c>
    </row>
    <row r="122" spans="1:8" x14ac:dyDescent="0.25">
      <c r="B122" s="117"/>
      <c r="C122" s="27" t="s">
        <v>155</v>
      </c>
      <c r="D122" s="102">
        <f t="shared" ref="D122:H123" si="11">IF(D16=1,1,D16*1.05)</f>
        <v>1</v>
      </c>
      <c r="E122" s="102">
        <f t="shared" si="11"/>
        <v>1</v>
      </c>
      <c r="F122" s="102">
        <f t="shared" si="11"/>
        <v>1</v>
      </c>
      <c r="G122" s="102">
        <f t="shared" si="11"/>
        <v>1</v>
      </c>
      <c r="H122" s="102">
        <f t="shared" si="11"/>
        <v>1</v>
      </c>
    </row>
    <row r="123" spans="1:8" ht="13" x14ac:dyDescent="0.25">
      <c r="B123" s="76" t="s">
        <v>156</v>
      </c>
      <c r="C123" s="27" t="s">
        <v>155</v>
      </c>
      <c r="D123" s="102">
        <f t="shared" si="11"/>
        <v>1.1025</v>
      </c>
      <c r="E123" s="102">
        <f t="shared" si="11"/>
        <v>1.1025</v>
      </c>
      <c r="F123" s="102">
        <f t="shared" si="11"/>
        <v>1.1025</v>
      </c>
      <c r="G123" s="102">
        <f t="shared" si="11"/>
        <v>1.1025</v>
      </c>
      <c r="H123" s="102">
        <f t="shared" si="11"/>
        <v>1</v>
      </c>
    </row>
    <row r="124" spans="1:8" x14ac:dyDescent="0.25">
      <c r="D124" s="100"/>
      <c r="E124" s="100"/>
      <c r="F124" s="100"/>
      <c r="G124" s="100"/>
      <c r="H124" s="100"/>
    </row>
    <row r="125" spans="1:8" ht="13" x14ac:dyDescent="0.3">
      <c r="A125" s="29" t="s">
        <v>241</v>
      </c>
      <c r="B125" s="117" t="s">
        <v>100</v>
      </c>
      <c r="C125" s="27" t="s">
        <v>153</v>
      </c>
      <c r="D125" s="102">
        <f>IF(D19=1,1,D19*1.05)</f>
        <v>1</v>
      </c>
      <c r="E125" s="102">
        <f t="shared" ref="E125:H125" si="12">IF(E19=1,1,E19*1.05)</f>
        <v>1</v>
      </c>
      <c r="F125" s="102">
        <f t="shared" si="12"/>
        <v>1</v>
      </c>
      <c r="G125" s="102">
        <f t="shared" si="12"/>
        <v>1</v>
      </c>
      <c r="H125" s="102">
        <f t="shared" si="12"/>
        <v>1</v>
      </c>
    </row>
    <row r="126" spans="1:8" x14ac:dyDescent="0.25">
      <c r="B126" s="117"/>
      <c r="C126" s="27" t="s">
        <v>154</v>
      </c>
      <c r="D126" s="102">
        <f t="shared" ref="D126:H140" si="13">IF(D20=1,1,D20*1.05)</f>
        <v>1</v>
      </c>
      <c r="E126" s="102">
        <f t="shared" si="13"/>
        <v>1</v>
      </c>
      <c r="F126" s="102">
        <f t="shared" si="13"/>
        <v>1</v>
      </c>
      <c r="G126" s="102">
        <f t="shared" si="13"/>
        <v>1</v>
      </c>
      <c r="H126" s="102">
        <f t="shared" si="13"/>
        <v>1</v>
      </c>
    </row>
    <row r="127" spans="1:8" x14ac:dyDescent="0.25">
      <c r="B127" s="117"/>
      <c r="C127" s="27" t="s">
        <v>155</v>
      </c>
      <c r="D127" s="102">
        <f t="shared" si="13"/>
        <v>1</v>
      </c>
      <c r="E127" s="102">
        <f t="shared" si="13"/>
        <v>1</v>
      </c>
      <c r="F127" s="102">
        <f t="shared" si="13"/>
        <v>1</v>
      </c>
      <c r="G127" s="102">
        <f t="shared" si="13"/>
        <v>1</v>
      </c>
      <c r="H127" s="102">
        <f t="shared" si="13"/>
        <v>1</v>
      </c>
    </row>
    <row r="128" spans="1:8" x14ac:dyDescent="0.25">
      <c r="B128" s="117" t="s">
        <v>109</v>
      </c>
      <c r="C128" s="27" t="s">
        <v>153</v>
      </c>
      <c r="D128" s="102">
        <f t="shared" si="13"/>
        <v>1</v>
      </c>
      <c r="E128" s="102">
        <f t="shared" si="13"/>
        <v>1</v>
      </c>
      <c r="F128" s="102">
        <f t="shared" si="13"/>
        <v>1</v>
      </c>
      <c r="G128" s="102">
        <f t="shared" si="13"/>
        <v>1</v>
      </c>
      <c r="H128" s="102">
        <f t="shared" si="13"/>
        <v>1</v>
      </c>
    </row>
    <row r="129" spans="1:8" x14ac:dyDescent="0.25">
      <c r="B129" s="117"/>
      <c r="C129" s="27" t="s">
        <v>154</v>
      </c>
      <c r="D129" s="102">
        <f t="shared" si="13"/>
        <v>1</v>
      </c>
      <c r="E129" s="102">
        <f t="shared" si="13"/>
        <v>1</v>
      </c>
      <c r="F129" s="102">
        <f t="shared" si="13"/>
        <v>1</v>
      </c>
      <c r="G129" s="102">
        <f t="shared" si="13"/>
        <v>1</v>
      </c>
      <c r="H129" s="102">
        <f t="shared" si="13"/>
        <v>1</v>
      </c>
    </row>
    <row r="130" spans="1:8" x14ac:dyDescent="0.25">
      <c r="B130" s="117"/>
      <c r="C130" s="27" t="s">
        <v>155</v>
      </c>
      <c r="D130" s="102">
        <f t="shared" si="13"/>
        <v>1</v>
      </c>
      <c r="E130" s="102">
        <f t="shared" si="13"/>
        <v>1</v>
      </c>
      <c r="F130" s="102">
        <f t="shared" si="13"/>
        <v>1</v>
      </c>
      <c r="G130" s="102">
        <f t="shared" si="13"/>
        <v>1</v>
      </c>
      <c r="H130" s="102">
        <f t="shared" si="13"/>
        <v>1</v>
      </c>
    </row>
    <row r="131" spans="1:8" x14ac:dyDescent="0.25">
      <c r="B131" s="117" t="s">
        <v>96</v>
      </c>
      <c r="C131" s="27" t="s">
        <v>153</v>
      </c>
      <c r="D131" s="102">
        <f t="shared" si="13"/>
        <v>1</v>
      </c>
      <c r="E131" s="102">
        <f t="shared" si="13"/>
        <v>1</v>
      </c>
      <c r="F131" s="102">
        <f t="shared" si="13"/>
        <v>1</v>
      </c>
      <c r="G131" s="102">
        <f t="shared" si="13"/>
        <v>1</v>
      </c>
      <c r="H131" s="102">
        <f t="shared" si="13"/>
        <v>1</v>
      </c>
    </row>
    <row r="132" spans="1:8" x14ac:dyDescent="0.25">
      <c r="B132" s="117"/>
      <c r="C132" s="27" t="s">
        <v>154</v>
      </c>
      <c r="D132" s="102">
        <f t="shared" si="13"/>
        <v>1</v>
      </c>
      <c r="E132" s="102">
        <f t="shared" si="13"/>
        <v>1</v>
      </c>
      <c r="F132" s="102">
        <f t="shared" si="13"/>
        <v>1</v>
      </c>
      <c r="G132" s="102">
        <f t="shared" si="13"/>
        <v>1</v>
      </c>
      <c r="H132" s="102">
        <f t="shared" si="13"/>
        <v>1</v>
      </c>
    </row>
    <row r="133" spans="1:8" x14ac:dyDescent="0.25">
      <c r="B133" s="117"/>
      <c r="C133" s="27" t="s">
        <v>155</v>
      </c>
      <c r="D133" s="102">
        <f t="shared" si="13"/>
        <v>1</v>
      </c>
      <c r="E133" s="102">
        <f t="shared" si="13"/>
        <v>1</v>
      </c>
      <c r="F133" s="102">
        <f t="shared" si="13"/>
        <v>1</v>
      </c>
      <c r="G133" s="102">
        <f t="shared" si="13"/>
        <v>1</v>
      </c>
      <c r="H133" s="102">
        <f t="shared" si="13"/>
        <v>1</v>
      </c>
    </row>
    <row r="134" spans="1:8" x14ac:dyDescent="0.25">
      <c r="B134" s="117" t="s">
        <v>97</v>
      </c>
      <c r="C134" s="27" t="s">
        <v>153</v>
      </c>
      <c r="D134" s="102">
        <f t="shared" si="13"/>
        <v>1</v>
      </c>
      <c r="E134" s="102">
        <f t="shared" si="13"/>
        <v>1</v>
      </c>
      <c r="F134" s="102">
        <f t="shared" si="13"/>
        <v>1</v>
      </c>
      <c r="G134" s="102">
        <f t="shared" si="13"/>
        <v>1</v>
      </c>
      <c r="H134" s="102">
        <f t="shared" si="13"/>
        <v>1</v>
      </c>
    </row>
    <row r="135" spans="1:8" x14ac:dyDescent="0.25">
      <c r="B135" s="117"/>
      <c r="C135" s="27" t="s">
        <v>154</v>
      </c>
      <c r="D135" s="102">
        <f t="shared" si="13"/>
        <v>1</v>
      </c>
      <c r="E135" s="102">
        <f t="shared" si="13"/>
        <v>1</v>
      </c>
      <c r="F135" s="102">
        <f t="shared" si="13"/>
        <v>1</v>
      </c>
      <c r="G135" s="102">
        <f t="shared" si="13"/>
        <v>1</v>
      </c>
      <c r="H135" s="102">
        <f t="shared" si="13"/>
        <v>1</v>
      </c>
    </row>
    <row r="136" spans="1:8" x14ac:dyDescent="0.25">
      <c r="B136" s="117"/>
      <c r="C136" s="27" t="s">
        <v>155</v>
      </c>
      <c r="D136" s="102">
        <f t="shared" si="13"/>
        <v>1</v>
      </c>
      <c r="E136" s="102">
        <f t="shared" si="13"/>
        <v>1</v>
      </c>
      <c r="F136" s="102">
        <f t="shared" si="13"/>
        <v>1</v>
      </c>
      <c r="G136" s="102">
        <f t="shared" si="13"/>
        <v>1</v>
      </c>
      <c r="H136" s="102">
        <f t="shared" si="13"/>
        <v>1</v>
      </c>
    </row>
    <row r="137" spans="1:8" x14ac:dyDescent="0.25">
      <c r="B137" s="117" t="s">
        <v>98</v>
      </c>
      <c r="C137" s="27" t="s">
        <v>153</v>
      </c>
      <c r="D137" s="102">
        <f t="shared" si="13"/>
        <v>1</v>
      </c>
      <c r="E137" s="102">
        <f t="shared" si="13"/>
        <v>1</v>
      </c>
      <c r="F137" s="102">
        <f t="shared" si="13"/>
        <v>1</v>
      </c>
      <c r="G137" s="102">
        <f t="shared" si="13"/>
        <v>1</v>
      </c>
      <c r="H137" s="102">
        <f t="shared" si="13"/>
        <v>1</v>
      </c>
    </row>
    <row r="138" spans="1:8" x14ac:dyDescent="0.25">
      <c r="B138" s="117"/>
      <c r="C138" s="27" t="s">
        <v>154</v>
      </c>
      <c r="D138" s="102">
        <f t="shared" si="13"/>
        <v>1</v>
      </c>
      <c r="E138" s="102">
        <f t="shared" si="13"/>
        <v>1</v>
      </c>
      <c r="F138" s="102">
        <f t="shared" si="13"/>
        <v>1</v>
      </c>
      <c r="G138" s="102">
        <f t="shared" si="13"/>
        <v>1</v>
      </c>
      <c r="H138" s="102">
        <f t="shared" si="13"/>
        <v>1</v>
      </c>
    </row>
    <row r="139" spans="1:8" x14ac:dyDescent="0.25">
      <c r="B139" s="117"/>
      <c r="C139" s="27" t="s">
        <v>155</v>
      </c>
      <c r="D139" s="102">
        <f t="shared" si="13"/>
        <v>1</v>
      </c>
      <c r="E139" s="102">
        <f t="shared" si="13"/>
        <v>1</v>
      </c>
      <c r="F139" s="102">
        <f t="shared" si="13"/>
        <v>1</v>
      </c>
      <c r="G139" s="102">
        <f t="shared" si="13"/>
        <v>1</v>
      </c>
      <c r="H139" s="102">
        <f t="shared" si="13"/>
        <v>1</v>
      </c>
    </row>
    <row r="140" spans="1:8" ht="13" x14ac:dyDescent="0.25">
      <c r="B140" s="76" t="s">
        <v>156</v>
      </c>
      <c r="C140" s="27" t="s">
        <v>155</v>
      </c>
      <c r="D140" s="102">
        <f t="shared" si="13"/>
        <v>1</v>
      </c>
      <c r="E140" s="102">
        <f t="shared" si="13"/>
        <v>1</v>
      </c>
      <c r="F140" s="102">
        <f t="shared" si="13"/>
        <v>1</v>
      </c>
      <c r="G140" s="102">
        <f t="shared" si="13"/>
        <v>1</v>
      </c>
      <c r="H140" s="102">
        <f t="shared" si="13"/>
        <v>1</v>
      </c>
    </row>
    <row r="141" spans="1:8" x14ac:dyDescent="0.25">
      <c r="D141" s="100"/>
      <c r="E141" s="100"/>
      <c r="F141" s="100"/>
      <c r="G141" s="100"/>
      <c r="H141" s="100"/>
    </row>
    <row r="142" spans="1:8" ht="13" x14ac:dyDescent="0.3">
      <c r="A142" s="77" t="s">
        <v>242</v>
      </c>
      <c r="B142" s="117" t="s">
        <v>100</v>
      </c>
      <c r="C142" s="27" t="s">
        <v>153</v>
      </c>
      <c r="D142" s="102">
        <f>IF(D36=1,1,D36*1.05)</f>
        <v>1</v>
      </c>
      <c r="E142" s="102">
        <f t="shared" ref="E142:H142" si="14">IF(E36=1,1,E36*1.05)</f>
        <v>1</v>
      </c>
      <c r="F142" s="102">
        <f t="shared" si="14"/>
        <v>1</v>
      </c>
      <c r="G142" s="102">
        <f t="shared" si="14"/>
        <v>1</v>
      </c>
      <c r="H142" s="102">
        <f t="shared" si="14"/>
        <v>1</v>
      </c>
    </row>
    <row r="143" spans="1:8" x14ac:dyDescent="0.25">
      <c r="B143" s="117"/>
      <c r="C143" s="27" t="s">
        <v>154</v>
      </c>
      <c r="D143" s="102">
        <f t="shared" ref="D143:H157" si="15">IF(D37=1,1,D37*1.05)</f>
        <v>1</v>
      </c>
      <c r="E143" s="102">
        <f t="shared" si="15"/>
        <v>1</v>
      </c>
      <c r="F143" s="102">
        <f t="shared" si="15"/>
        <v>1</v>
      </c>
      <c r="G143" s="102">
        <f t="shared" si="15"/>
        <v>1</v>
      </c>
      <c r="H143" s="102">
        <f t="shared" si="15"/>
        <v>1</v>
      </c>
    </row>
    <row r="144" spans="1:8" x14ac:dyDescent="0.25">
      <c r="B144" s="117"/>
      <c r="C144" s="27" t="s">
        <v>155</v>
      </c>
      <c r="D144" s="102">
        <f t="shared" si="15"/>
        <v>1</v>
      </c>
      <c r="E144" s="102">
        <f t="shared" si="15"/>
        <v>1</v>
      </c>
      <c r="F144" s="102">
        <f t="shared" si="15"/>
        <v>1</v>
      </c>
      <c r="G144" s="102">
        <f t="shared" si="15"/>
        <v>1</v>
      </c>
      <c r="H144" s="102">
        <f t="shared" si="15"/>
        <v>1</v>
      </c>
    </row>
    <row r="145" spans="2:8" x14ac:dyDescent="0.25">
      <c r="B145" s="117" t="s">
        <v>109</v>
      </c>
      <c r="C145" s="27" t="s">
        <v>153</v>
      </c>
      <c r="D145" s="102">
        <f t="shared" si="15"/>
        <v>1</v>
      </c>
      <c r="E145" s="102">
        <f t="shared" si="15"/>
        <v>1</v>
      </c>
      <c r="F145" s="102">
        <f t="shared" si="15"/>
        <v>1</v>
      </c>
      <c r="G145" s="102">
        <f t="shared" si="15"/>
        <v>1</v>
      </c>
      <c r="H145" s="102">
        <f t="shared" si="15"/>
        <v>1</v>
      </c>
    </row>
    <row r="146" spans="2:8" x14ac:dyDescent="0.25">
      <c r="B146" s="117"/>
      <c r="C146" s="27" t="s">
        <v>154</v>
      </c>
      <c r="D146" s="102">
        <f t="shared" si="15"/>
        <v>1</v>
      </c>
      <c r="E146" s="102">
        <f t="shared" si="15"/>
        <v>1</v>
      </c>
      <c r="F146" s="102">
        <f t="shared" si="15"/>
        <v>1</v>
      </c>
      <c r="G146" s="102">
        <f t="shared" si="15"/>
        <v>1</v>
      </c>
      <c r="H146" s="102">
        <f t="shared" si="15"/>
        <v>1</v>
      </c>
    </row>
    <row r="147" spans="2:8" x14ac:dyDescent="0.25">
      <c r="B147" s="117"/>
      <c r="C147" s="27" t="s">
        <v>155</v>
      </c>
      <c r="D147" s="102">
        <f t="shared" si="15"/>
        <v>1</v>
      </c>
      <c r="E147" s="102">
        <f t="shared" si="15"/>
        <v>1</v>
      </c>
      <c r="F147" s="102">
        <f t="shared" si="15"/>
        <v>1</v>
      </c>
      <c r="G147" s="102">
        <f t="shared" si="15"/>
        <v>1</v>
      </c>
      <c r="H147" s="102">
        <f t="shared" si="15"/>
        <v>1</v>
      </c>
    </row>
    <row r="148" spans="2:8" x14ac:dyDescent="0.25">
      <c r="B148" s="117" t="s">
        <v>96</v>
      </c>
      <c r="C148" s="27" t="s">
        <v>153</v>
      </c>
      <c r="D148" s="102">
        <f t="shared" si="15"/>
        <v>1</v>
      </c>
      <c r="E148" s="102">
        <f t="shared" si="15"/>
        <v>1</v>
      </c>
      <c r="F148" s="102">
        <f t="shared" si="15"/>
        <v>1</v>
      </c>
      <c r="G148" s="102">
        <f t="shared" si="15"/>
        <v>1</v>
      </c>
      <c r="H148" s="102">
        <f t="shared" si="15"/>
        <v>1</v>
      </c>
    </row>
    <row r="149" spans="2:8" x14ac:dyDescent="0.25">
      <c r="B149" s="117"/>
      <c r="C149" s="27" t="s">
        <v>154</v>
      </c>
      <c r="D149" s="102">
        <f t="shared" si="15"/>
        <v>1</v>
      </c>
      <c r="E149" s="102">
        <f t="shared" si="15"/>
        <v>1</v>
      </c>
      <c r="F149" s="102">
        <f t="shared" si="15"/>
        <v>1</v>
      </c>
      <c r="G149" s="102">
        <f t="shared" si="15"/>
        <v>1</v>
      </c>
      <c r="H149" s="102">
        <f t="shared" si="15"/>
        <v>1</v>
      </c>
    </row>
    <row r="150" spans="2:8" x14ac:dyDescent="0.25">
      <c r="B150" s="117"/>
      <c r="C150" s="27" t="s">
        <v>155</v>
      </c>
      <c r="D150" s="102">
        <f t="shared" si="15"/>
        <v>1</v>
      </c>
      <c r="E150" s="102">
        <f t="shared" si="15"/>
        <v>1</v>
      </c>
      <c r="F150" s="102">
        <f t="shared" si="15"/>
        <v>1</v>
      </c>
      <c r="G150" s="102">
        <f t="shared" si="15"/>
        <v>1</v>
      </c>
      <c r="H150" s="102">
        <f t="shared" si="15"/>
        <v>1</v>
      </c>
    </row>
    <row r="151" spans="2:8" x14ac:dyDescent="0.25">
      <c r="B151" s="117" t="s">
        <v>97</v>
      </c>
      <c r="C151" s="27" t="s">
        <v>153</v>
      </c>
      <c r="D151" s="102">
        <f t="shared" si="15"/>
        <v>1</v>
      </c>
      <c r="E151" s="102">
        <f t="shared" si="15"/>
        <v>1</v>
      </c>
      <c r="F151" s="102">
        <f t="shared" si="15"/>
        <v>1</v>
      </c>
      <c r="G151" s="102">
        <f t="shared" si="15"/>
        <v>1</v>
      </c>
      <c r="H151" s="102">
        <f t="shared" si="15"/>
        <v>1</v>
      </c>
    </row>
    <row r="152" spans="2:8" x14ac:dyDescent="0.25">
      <c r="B152" s="117"/>
      <c r="C152" s="27" t="s">
        <v>154</v>
      </c>
      <c r="D152" s="102">
        <f t="shared" si="15"/>
        <v>1</v>
      </c>
      <c r="E152" s="102">
        <f t="shared" si="15"/>
        <v>1</v>
      </c>
      <c r="F152" s="102">
        <f t="shared" si="15"/>
        <v>1</v>
      </c>
      <c r="G152" s="102">
        <f t="shared" si="15"/>
        <v>1</v>
      </c>
      <c r="H152" s="102">
        <f t="shared" si="15"/>
        <v>1</v>
      </c>
    </row>
    <row r="153" spans="2:8" x14ac:dyDescent="0.25">
      <c r="B153" s="117"/>
      <c r="C153" s="27" t="s">
        <v>155</v>
      </c>
      <c r="D153" s="102">
        <f t="shared" si="15"/>
        <v>1</v>
      </c>
      <c r="E153" s="102">
        <f t="shared" si="15"/>
        <v>1</v>
      </c>
      <c r="F153" s="102">
        <f t="shared" si="15"/>
        <v>1</v>
      </c>
      <c r="G153" s="102">
        <f t="shared" si="15"/>
        <v>1</v>
      </c>
      <c r="H153" s="102">
        <f t="shared" si="15"/>
        <v>1</v>
      </c>
    </row>
    <row r="154" spans="2:8" x14ac:dyDescent="0.25">
      <c r="B154" s="117" t="s">
        <v>98</v>
      </c>
      <c r="C154" s="27" t="s">
        <v>153</v>
      </c>
      <c r="D154" s="102">
        <f t="shared" si="15"/>
        <v>1</v>
      </c>
      <c r="E154" s="102">
        <f t="shared" si="15"/>
        <v>1</v>
      </c>
      <c r="F154" s="102">
        <f t="shared" si="15"/>
        <v>1</v>
      </c>
      <c r="G154" s="102">
        <f t="shared" si="15"/>
        <v>1</v>
      </c>
      <c r="H154" s="102">
        <f t="shared" si="15"/>
        <v>1</v>
      </c>
    </row>
    <row r="155" spans="2:8" x14ac:dyDescent="0.25">
      <c r="B155" s="117"/>
      <c r="C155" s="27" t="s">
        <v>154</v>
      </c>
      <c r="D155" s="102">
        <f t="shared" si="15"/>
        <v>1</v>
      </c>
      <c r="E155" s="102">
        <f t="shared" si="15"/>
        <v>1</v>
      </c>
      <c r="F155" s="102">
        <f t="shared" si="15"/>
        <v>1</v>
      </c>
      <c r="G155" s="102">
        <f t="shared" si="15"/>
        <v>1</v>
      </c>
      <c r="H155" s="102">
        <f t="shared" si="15"/>
        <v>1</v>
      </c>
    </row>
    <row r="156" spans="2:8" x14ac:dyDescent="0.25">
      <c r="B156" s="117"/>
      <c r="C156" s="27" t="s">
        <v>155</v>
      </c>
      <c r="D156" s="102">
        <f t="shared" si="15"/>
        <v>1</v>
      </c>
      <c r="E156" s="102">
        <f t="shared" si="15"/>
        <v>1</v>
      </c>
      <c r="F156" s="102">
        <f t="shared" si="15"/>
        <v>1</v>
      </c>
      <c r="G156" s="102">
        <f t="shared" si="15"/>
        <v>1</v>
      </c>
      <c r="H156" s="102">
        <f t="shared" si="15"/>
        <v>1</v>
      </c>
    </row>
    <row r="157" spans="2:8" ht="13" x14ac:dyDescent="0.25">
      <c r="B157" s="76" t="s">
        <v>156</v>
      </c>
      <c r="C157" s="27" t="s">
        <v>155</v>
      </c>
      <c r="D157" s="102">
        <f t="shared" si="15"/>
        <v>1</v>
      </c>
      <c r="E157" s="102">
        <f t="shared" si="15"/>
        <v>1</v>
      </c>
      <c r="F157" s="102">
        <f t="shared" si="15"/>
        <v>1</v>
      </c>
      <c r="G157" s="102">
        <f t="shared" si="15"/>
        <v>1</v>
      </c>
      <c r="H157" s="102">
        <f t="shared" si="15"/>
        <v>1</v>
      </c>
    </row>
  </sheetData>
  <sheetProtection algorithmName="SHA-512" hashValue="WdNxMFO+jEOI5a72gcL0H6AO8yR1amWTs4jrJ/wiFioimlTpNGXcTcnwck/S/p8K9vHmb0hHlZKNqCPEZlWCnA==" saltValue="3UW+/LxXa3luM5KhaAfkAQ==" spinCount="100000" sheet="1" objects="1" scenarios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39"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243</v>
      </c>
    </row>
    <row r="2" spans="1:6" ht="15.75" customHeight="1" x14ac:dyDescent="0.3">
      <c r="B2" s="80"/>
      <c r="C2" s="81" t="s">
        <v>54</v>
      </c>
      <c r="D2" s="82" t="s">
        <v>53</v>
      </c>
      <c r="E2" s="82" t="s">
        <v>52</v>
      </c>
      <c r="F2" s="82" t="s">
        <v>51</v>
      </c>
    </row>
    <row r="3" spans="1:6" ht="15.75" customHeight="1" x14ac:dyDescent="0.3">
      <c r="A3" s="29" t="s">
        <v>244</v>
      </c>
      <c r="B3" s="83"/>
      <c r="C3" s="84"/>
      <c r="D3" s="85"/>
      <c r="E3" s="85"/>
      <c r="F3" s="85"/>
    </row>
    <row r="4" spans="1:6" ht="15.75" customHeight="1" x14ac:dyDescent="0.25">
      <c r="B4" s="72" t="s">
        <v>37</v>
      </c>
      <c r="C4" s="103">
        <v>1</v>
      </c>
      <c r="D4" s="104">
        <v>1</v>
      </c>
      <c r="E4" s="104">
        <v>1</v>
      </c>
      <c r="F4" s="104">
        <v>1</v>
      </c>
    </row>
    <row r="5" spans="1:6" ht="15.75" customHeight="1" x14ac:dyDescent="0.25">
      <c r="B5" s="72" t="s">
        <v>38</v>
      </c>
      <c r="C5" s="103">
        <v>1</v>
      </c>
      <c r="D5" s="104">
        <v>1.41</v>
      </c>
      <c r="E5" s="104">
        <v>1.49</v>
      </c>
      <c r="F5" s="104">
        <v>3.03</v>
      </c>
    </row>
    <row r="6" spans="1:6" ht="15.75" customHeight="1" x14ac:dyDescent="0.25">
      <c r="B6" s="72" t="s">
        <v>39</v>
      </c>
      <c r="C6" s="103">
        <v>1</v>
      </c>
      <c r="D6" s="104">
        <v>1.18</v>
      </c>
      <c r="E6" s="104">
        <v>1.1000000000000001</v>
      </c>
      <c r="F6" s="104">
        <v>1.77</v>
      </c>
    </row>
    <row r="7" spans="1:6" ht="15.75" customHeight="1" x14ac:dyDescent="0.25">
      <c r="B7" s="72" t="s">
        <v>40</v>
      </c>
      <c r="C7" s="103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249</v>
      </c>
      <c r="C9" s="103">
        <v>1</v>
      </c>
      <c r="D9" s="104">
        <v>1.53</v>
      </c>
      <c r="E9" s="104">
        <v>1.32</v>
      </c>
      <c r="F9" s="104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245</v>
      </c>
      <c r="C11" s="87"/>
      <c r="D11" s="88"/>
      <c r="E11" s="88"/>
      <c r="F11" s="88"/>
    </row>
    <row r="12" spans="1:6" ht="15.75" customHeight="1" x14ac:dyDescent="0.3">
      <c r="A12" s="29" t="s">
        <v>246</v>
      </c>
      <c r="C12" s="86"/>
      <c r="D12" s="75"/>
      <c r="E12" s="75"/>
      <c r="F12" s="75"/>
    </row>
    <row r="13" spans="1:6" ht="15.75" customHeight="1" x14ac:dyDescent="0.25">
      <c r="B13" s="45" t="s">
        <v>247</v>
      </c>
      <c r="C13" s="103">
        <v>1</v>
      </c>
      <c r="D13" s="104">
        <v>5</v>
      </c>
      <c r="E13" s="104">
        <v>6.4</v>
      </c>
      <c r="F13" s="104">
        <v>46.5</v>
      </c>
    </row>
    <row r="14" spans="1:6" ht="15.75" customHeight="1" x14ac:dyDescent="0.25">
      <c r="B14" s="45" t="s">
        <v>119</v>
      </c>
      <c r="C14" s="103">
        <v>1</v>
      </c>
      <c r="D14" s="104">
        <v>2.52</v>
      </c>
      <c r="E14" s="104">
        <v>1.96</v>
      </c>
      <c r="F14" s="104">
        <v>4.1900000000000004</v>
      </c>
    </row>
    <row r="15" spans="1:6" ht="15.75" customHeight="1" x14ac:dyDescent="0.25">
      <c r="B15" s="45" t="s">
        <v>120</v>
      </c>
      <c r="C15" s="103">
        <v>1</v>
      </c>
      <c r="D15" s="104">
        <v>2.52</v>
      </c>
      <c r="E15" s="104">
        <v>1.96</v>
      </c>
      <c r="F15" s="104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248</v>
      </c>
      <c r="B17" s="83"/>
      <c r="C17" s="90"/>
      <c r="D17" s="91"/>
      <c r="E17" s="91"/>
      <c r="F17" s="91"/>
    </row>
    <row r="18" spans="1:6" ht="15.75" customHeight="1" x14ac:dyDescent="0.25">
      <c r="B18" s="72" t="s">
        <v>78</v>
      </c>
      <c r="C18" s="103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B19" s="72" t="s">
        <v>79</v>
      </c>
      <c r="C19" s="103">
        <v>1</v>
      </c>
      <c r="D19" s="104">
        <v>2.0699999999999998</v>
      </c>
      <c r="E19" s="104">
        <v>3.39</v>
      </c>
      <c r="F19" s="104">
        <v>11.89</v>
      </c>
    </row>
    <row r="20" spans="1:6" ht="15.75" customHeight="1" x14ac:dyDescent="0.25">
      <c r="B20" s="72" t="s">
        <v>80</v>
      </c>
      <c r="C20" s="103">
        <v>1</v>
      </c>
      <c r="D20" s="104">
        <v>2.0699999999999998</v>
      </c>
      <c r="E20" s="104">
        <v>3.39</v>
      </c>
      <c r="F20" s="104">
        <v>11.89</v>
      </c>
    </row>
    <row r="21" spans="1:6" ht="15.75" customHeight="1" x14ac:dyDescent="0.25">
      <c r="B21" s="72" t="s">
        <v>81</v>
      </c>
      <c r="C21" s="103">
        <v>1</v>
      </c>
      <c r="D21" s="104">
        <v>2.0699999999999998</v>
      </c>
      <c r="E21" s="104">
        <v>3.39</v>
      </c>
      <c r="F21" s="104">
        <v>11.89</v>
      </c>
    </row>
    <row r="22" spans="1:6" ht="15.75" customHeight="1" x14ac:dyDescent="0.25">
      <c r="B22" s="72" t="s">
        <v>82</v>
      </c>
      <c r="C22" s="103">
        <v>1</v>
      </c>
      <c r="D22" s="104">
        <v>1</v>
      </c>
      <c r="E22" s="104">
        <v>999.99</v>
      </c>
      <c r="F22" s="104">
        <v>999.99</v>
      </c>
    </row>
    <row r="23" spans="1:6" ht="15.75" customHeight="1" x14ac:dyDescent="0.25">
      <c r="B23" s="72" t="s">
        <v>83</v>
      </c>
      <c r="C23" s="103">
        <v>1</v>
      </c>
      <c r="D23" s="104">
        <v>1</v>
      </c>
      <c r="E23" s="104">
        <v>1</v>
      </c>
      <c r="F23" s="104">
        <v>1</v>
      </c>
    </row>
    <row r="24" spans="1:6" ht="15.75" customHeight="1" x14ac:dyDescent="0.25">
      <c r="B24" s="72" t="s">
        <v>84</v>
      </c>
      <c r="C24" s="103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B25" s="72" t="s">
        <v>85</v>
      </c>
      <c r="C25" s="103">
        <v>1</v>
      </c>
      <c r="D25" s="104">
        <v>1</v>
      </c>
      <c r="E25" s="104">
        <v>1</v>
      </c>
      <c r="F25" s="104">
        <v>1</v>
      </c>
    </row>
    <row r="26" spans="1:6" ht="15.75" customHeight="1" x14ac:dyDescent="0.25">
      <c r="B26" s="45"/>
    </row>
    <row r="27" spans="1:6" ht="15.75" customHeight="1" x14ac:dyDescent="0.3">
      <c r="A27" s="106" t="s">
        <v>235</v>
      </c>
      <c r="B27" s="107"/>
      <c r="C27" s="108"/>
      <c r="D27" s="109"/>
      <c r="E27" s="109"/>
      <c r="F27" s="109"/>
    </row>
    <row r="28" spans="1:6" s="79" customFormat="1" ht="18.75" customHeight="1" x14ac:dyDescent="0.3">
      <c r="A28" s="78" t="s">
        <v>243</v>
      </c>
    </row>
    <row r="29" spans="1:6" ht="15.75" customHeight="1" x14ac:dyDescent="0.3">
      <c r="B29" s="80"/>
      <c r="C29" s="81" t="s">
        <v>54</v>
      </c>
      <c r="D29" s="82" t="s">
        <v>53</v>
      </c>
      <c r="E29" s="82" t="s">
        <v>52</v>
      </c>
      <c r="F29" s="82" t="s">
        <v>51</v>
      </c>
    </row>
    <row r="30" spans="1:6" ht="15.75" customHeight="1" x14ac:dyDescent="0.3">
      <c r="A30" s="29" t="s">
        <v>250</v>
      </c>
      <c r="B30" s="83"/>
      <c r="C30" s="84"/>
      <c r="D30" s="85"/>
      <c r="E30" s="85"/>
      <c r="F30" s="85"/>
    </row>
    <row r="31" spans="1:6" ht="15.75" customHeight="1" x14ac:dyDescent="0.25">
      <c r="B31" s="72" t="s">
        <v>37</v>
      </c>
      <c r="C31" s="105">
        <f>IF(C4=1,1,C4*0.9)</f>
        <v>1</v>
      </c>
      <c r="D31" s="105">
        <f t="shared" ref="D31:F31" si="0">IF(D4=1,1,D4*0.9)</f>
        <v>1</v>
      </c>
      <c r="E31" s="105">
        <f t="shared" si="0"/>
        <v>1</v>
      </c>
      <c r="F31" s="105">
        <f t="shared" si="0"/>
        <v>1</v>
      </c>
    </row>
    <row r="32" spans="1:6" ht="15.75" customHeight="1" x14ac:dyDescent="0.25">
      <c r="B32" s="72" t="s">
        <v>38</v>
      </c>
      <c r="C32" s="105">
        <f t="shared" ref="C32:F34" si="1">IF(C5=1,1,C5*0.9)</f>
        <v>1</v>
      </c>
      <c r="D32" s="105">
        <f t="shared" si="1"/>
        <v>1.2689999999999999</v>
      </c>
      <c r="E32" s="105">
        <f t="shared" si="1"/>
        <v>1.341</v>
      </c>
      <c r="F32" s="105">
        <f t="shared" si="1"/>
        <v>2.7269999999999999</v>
      </c>
    </row>
    <row r="33" spans="1:6" ht="15.75" customHeight="1" x14ac:dyDescent="0.25">
      <c r="B33" s="72" t="s">
        <v>39</v>
      </c>
      <c r="C33" s="105">
        <f t="shared" si="1"/>
        <v>1</v>
      </c>
      <c r="D33" s="105">
        <f t="shared" si="1"/>
        <v>1.0620000000000001</v>
      </c>
      <c r="E33" s="105">
        <f t="shared" si="1"/>
        <v>0.9900000000000001</v>
      </c>
      <c r="F33" s="105">
        <f t="shared" si="1"/>
        <v>1.593</v>
      </c>
    </row>
    <row r="34" spans="1:6" ht="15.75" customHeight="1" x14ac:dyDescent="0.25">
      <c r="B34" s="72" t="s">
        <v>40</v>
      </c>
      <c r="C34" s="105">
        <f t="shared" si="1"/>
        <v>1</v>
      </c>
      <c r="D34" s="105">
        <f t="shared" si="1"/>
        <v>1</v>
      </c>
      <c r="E34" s="105">
        <f t="shared" si="1"/>
        <v>1</v>
      </c>
      <c r="F34" s="105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262</v>
      </c>
      <c r="C36" s="105">
        <f>IF(C9=1,1,C9*0.9)</f>
        <v>1</v>
      </c>
      <c r="D36" s="105">
        <f t="shared" ref="D36:F36" si="2">IF(D9=1,1,D9*0.9)</f>
        <v>1.377</v>
      </c>
      <c r="E36" s="105">
        <f t="shared" si="2"/>
        <v>1.1880000000000002</v>
      </c>
      <c r="F36" s="105">
        <f t="shared" si="2"/>
        <v>1.377</v>
      </c>
    </row>
    <row r="38" spans="1:6" ht="15.75" customHeight="1" x14ac:dyDescent="0.3">
      <c r="A38" s="78" t="s">
        <v>245</v>
      </c>
      <c r="B38" s="79"/>
      <c r="C38" s="87"/>
      <c r="D38" s="88"/>
      <c r="E38" s="88"/>
      <c r="F38" s="88"/>
    </row>
    <row r="39" spans="1:6" ht="15.75" customHeight="1" x14ac:dyDescent="0.3">
      <c r="A39" s="29" t="s">
        <v>251</v>
      </c>
      <c r="C39" s="86"/>
      <c r="D39" s="75"/>
      <c r="E39" s="75"/>
      <c r="F39" s="75"/>
    </row>
    <row r="40" spans="1:6" ht="15.75" customHeight="1" x14ac:dyDescent="0.25">
      <c r="B40" s="45" t="s">
        <v>256</v>
      </c>
      <c r="C40" s="105">
        <f>IF(C13=1,1,C13*0.9)</f>
        <v>1</v>
      </c>
      <c r="D40" s="105">
        <f t="shared" ref="D40:F40" si="3">IF(D13=1,1,D13*0.9)</f>
        <v>4.5</v>
      </c>
      <c r="E40" s="105">
        <f t="shared" si="3"/>
        <v>5.7600000000000007</v>
      </c>
      <c r="F40" s="105">
        <f t="shared" si="3"/>
        <v>41.85</v>
      </c>
    </row>
    <row r="41" spans="1:6" ht="15.75" customHeight="1" x14ac:dyDescent="0.25">
      <c r="B41" s="45" t="s">
        <v>257</v>
      </c>
      <c r="C41" s="105">
        <f t="shared" ref="C41:F42" si="4">IF(C14=1,1,C14*0.9)</f>
        <v>1</v>
      </c>
      <c r="D41" s="105">
        <f t="shared" si="4"/>
        <v>2.2680000000000002</v>
      </c>
      <c r="E41" s="105">
        <f t="shared" si="4"/>
        <v>1.764</v>
      </c>
      <c r="F41" s="105">
        <f t="shared" si="4"/>
        <v>3.7710000000000004</v>
      </c>
    </row>
    <row r="42" spans="1:6" ht="15.75" customHeight="1" x14ac:dyDescent="0.25">
      <c r="B42" s="45" t="s">
        <v>258</v>
      </c>
      <c r="C42" s="105">
        <f t="shared" si="4"/>
        <v>1</v>
      </c>
      <c r="D42" s="105">
        <f t="shared" si="4"/>
        <v>2.2680000000000002</v>
      </c>
      <c r="E42" s="105">
        <f t="shared" si="4"/>
        <v>1.764</v>
      </c>
      <c r="F42" s="105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252</v>
      </c>
      <c r="B44" s="83"/>
      <c r="C44" s="90"/>
      <c r="D44" s="91"/>
      <c r="E44" s="91"/>
      <c r="F44" s="91"/>
    </row>
    <row r="45" spans="1:6" ht="15.75" customHeight="1" x14ac:dyDescent="0.25">
      <c r="B45" s="72" t="s">
        <v>78</v>
      </c>
      <c r="C45" s="105">
        <f>IF(C18=1,1,C18*0.9)</f>
        <v>1</v>
      </c>
      <c r="D45" s="105">
        <f t="shared" ref="D45:F45" si="5">IF(D18=1,1,D18*0.9)</f>
        <v>1</v>
      </c>
      <c r="E45" s="105">
        <f t="shared" si="5"/>
        <v>1</v>
      </c>
      <c r="F45" s="105">
        <f t="shared" si="5"/>
        <v>1</v>
      </c>
    </row>
    <row r="46" spans="1:6" ht="15.75" customHeight="1" x14ac:dyDescent="0.25">
      <c r="B46" s="72" t="s">
        <v>79</v>
      </c>
      <c r="C46" s="105">
        <f t="shared" ref="C46:F52" si="6">IF(C19=1,1,C19*0.9)</f>
        <v>1</v>
      </c>
      <c r="D46" s="105">
        <f t="shared" si="6"/>
        <v>1.863</v>
      </c>
      <c r="E46" s="105">
        <f t="shared" si="6"/>
        <v>3.0510000000000002</v>
      </c>
      <c r="F46" s="105">
        <f t="shared" si="6"/>
        <v>10.701000000000001</v>
      </c>
    </row>
    <row r="47" spans="1:6" ht="15.75" customHeight="1" x14ac:dyDescent="0.25">
      <c r="B47" s="72" t="s">
        <v>80</v>
      </c>
      <c r="C47" s="105">
        <f t="shared" si="6"/>
        <v>1</v>
      </c>
      <c r="D47" s="105">
        <f t="shared" si="6"/>
        <v>1.863</v>
      </c>
      <c r="E47" s="105">
        <f t="shared" si="6"/>
        <v>3.0510000000000002</v>
      </c>
      <c r="F47" s="105">
        <f t="shared" si="6"/>
        <v>10.701000000000001</v>
      </c>
    </row>
    <row r="48" spans="1:6" ht="15.75" customHeight="1" x14ac:dyDescent="0.25">
      <c r="B48" s="72" t="s">
        <v>81</v>
      </c>
      <c r="C48" s="105">
        <f t="shared" si="6"/>
        <v>1</v>
      </c>
      <c r="D48" s="105">
        <f t="shared" si="6"/>
        <v>1.863</v>
      </c>
      <c r="E48" s="105">
        <f t="shared" si="6"/>
        <v>3.0510000000000002</v>
      </c>
      <c r="F48" s="105">
        <f t="shared" si="6"/>
        <v>10.701000000000001</v>
      </c>
    </row>
    <row r="49" spans="1:6" ht="15.75" customHeight="1" x14ac:dyDescent="0.25">
      <c r="B49" s="72" t="s">
        <v>82</v>
      </c>
      <c r="C49" s="105">
        <f t="shared" si="6"/>
        <v>1</v>
      </c>
      <c r="D49" s="105">
        <f t="shared" si="6"/>
        <v>1</v>
      </c>
      <c r="E49" s="105">
        <f t="shared" si="6"/>
        <v>899.99099999999999</v>
      </c>
      <c r="F49" s="105">
        <f t="shared" si="6"/>
        <v>899.99099999999999</v>
      </c>
    </row>
    <row r="50" spans="1:6" ht="15.75" customHeight="1" x14ac:dyDescent="0.25">
      <c r="B50" s="72" t="s">
        <v>83</v>
      </c>
      <c r="C50" s="105">
        <f t="shared" si="6"/>
        <v>1</v>
      </c>
      <c r="D50" s="105">
        <f t="shared" si="6"/>
        <v>1</v>
      </c>
      <c r="E50" s="105">
        <f t="shared" si="6"/>
        <v>1</v>
      </c>
      <c r="F50" s="105">
        <f t="shared" si="6"/>
        <v>1</v>
      </c>
    </row>
    <row r="51" spans="1:6" ht="15.75" customHeight="1" x14ac:dyDescent="0.25">
      <c r="B51" s="72" t="s">
        <v>84</v>
      </c>
      <c r="C51" s="105">
        <f t="shared" si="6"/>
        <v>1</v>
      </c>
      <c r="D51" s="105">
        <f t="shared" si="6"/>
        <v>1</v>
      </c>
      <c r="E51" s="105">
        <f t="shared" si="6"/>
        <v>1</v>
      </c>
      <c r="F51" s="105">
        <f t="shared" si="6"/>
        <v>1</v>
      </c>
    </row>
    <row r="52" spans="1:6" ht="15.75" customHeight="1" x14ac:dyDescent="0.25">
      <c r="B52" s="72" t="s">
        <v>85</v>
      </c>
      <c r="C52" s="105">
        <f t="shared" si="6"/>
        <v>1</v>
      </c>
      <c r="D52" s="105">
        <f t="shared" si="6"/>
        <v>1</v>
      </c>
      <c r="E52" s="105">
        <f t="shared" si="6"/>
        <v>1</v>
      </c>
      <c r="F52" s="105">
        <f t="shared" si="6"/>
        <v>1</v>
      </c>
    </row>
    <row r="54" spans="1:6" ht="15.75" customHeight="1" x14ac:dyDescent="0.3">
      <c r="A54" s="106" t="s">
        <v>239</v>
      </c>
      <c r="B54" s="107"/>
      <c r="C54" s="108"/>
      <c r="D54" s="109"/>
      <c r="E54" s="109"/>
      <c r="F54" s="109"/>
    </row>
    <row r="55" spans="1:6" s="79" customFormat="1" ht="18.75" customHeight="1" x14ac:dyDescent="0.3">
      <c r="A55" s="78" t="s">
        <v>243</v>
      </c>
    </row>
    <row r="56" spans="1:6" ht="15.75" customHeight="1" x14ac:dyDescent="0.3">
      <c r="B56" s="80"/>
      <c r="C56" s="81" t="s">
        <v>54</v>
      </c>
      <c r="D56" s="82" t="s">
        <v>53</v>
      </c>
      <c r="E56" s="82" t="s">
        <v>52</v>
      </c>
      <c r="F56" s="82" t="s">
        <v>51</v>
      </c>
    </row>
    <row r="57" spans="1:6" ht="15.75" customHeight="1" x14ac:dyDescent="0.3">
      <c r="A57" s="29" t="s">
        <v>253</v>
      </c>
      <c r="B57" s="83"/>
      <c r="C57" s="84"/>
      <c r="D57" s="85"/>
      <c r="E57" s="85"/>
      <c r="F57" s="85"/>
    </row>
    <row r="58" spans="1:6" ht="15.75" customHeight="1" x14ac:dyDescent="0.25">
      <c r="B58" s="72" t="s">
        <v>37</v>
      </c>
      <c r="C58" s="105">
        <f>IF(C4=1,1,C4*1.1)</f>
        <v>1</v>
      </c>
      <c r="D58" s="105">
        <f t="shared" ref="D58:F58" si="7">IF(D4=1,1,D4*1.1)</f>
        <v>1</v>
      </c>
      <c r="E58" s="105">
        <f t="shared" si="7"/>
        <v>1</v>
      </c>
      <c r="F58" s="105">
        <f t="shared" si="7"/>
        <v>1</v>
      </c>
    </row>
    <row r="59" spans="1:6" ht="15.75" customHeight="1" x14ac:dyDescent="0.25">
      <c r="B59" s="72" t="s">
        <v>38</v>
      </c>
      <c r="C59" s="105">
        <f t="shared" ref="C59:F61" si="8">IF(C5=1,1,C5*1.1)</f>
        <v>1</v>
      </c>
      <c r="D59" s="105">
        <f t="shared" si="8"/>
        <v>1.5509999999999999</v>
      </c>
      <c r="E59" s="105">
        <f t="shared" si="8"/>
        <v>1.639</v>
      </c>
      <c r="F59" s="105">
        <f t="shared" si="8"/>
        <v>3.3330000000000002</v>
      </c>
    </row>
    <row r="60" spans="1:6" ht="15.75" customHeight="1" x14ac:dyDescent="0.25">
      <c r="B60" s="72" t="s">
        <v>39</v>
      </c>
      <c r="C60" s="105">
        <f t="shared" si="8"/>
        <v>1</v>
      </c>
      <c r="D60" s="105">
        <f t="shared" si="8"/>
        <v>1.298</v>
      </c>
      <c r="E60" s="105">
        <f t="shared" si="8"/>
        <v>1.2100000000000002</v>
      </c>
      <c r="F60" s="105">
        <f t="shared" si="8"/>
        <v>1.9470000000000003</v>
      </c>
    </row>
    <row r="61" spans="1:6" ht="15.75" customHeight="1" x14ac:dyDescent="0.25">
      <c r="B61" s="72" t="s">
        <v>40</v>
      </c>
      <c r="C61" s="105">
        <f t="shared" si="8"/>
        <v>1</v>
      </c>
      <c r="D61" s="105">
        <f t="shared" si="8"/>
        <v>1</v>
      </c>
      <c r="E61" s="105">
        <f t="shared" si="8"/>
        <v>1</v>
      </c>
      <c r="F61" s="105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263</v>
      </c>
      <c r="C63" s="105">
        <f>IF(C9=1,1,C9*1.1)</f>
        <v>1</v>
      </c>
      <c r="D63" s="105">
        <f t="shared" ref="D63:F63" si="9">IF(D9=1,1,D9*1.1)</f>
        <v>1.6830000000000003</v>
      </c>
      <c r="E63" s="105">
        <f t="shared" si="9"/>
        <v>1.4520000000000002</v>
      </c>
      <c r="F63" s="105">
        <f t="shared" si="9"/>
        <v>1.6830000000000003</v>
      </c>
    </row>
    <row r="65" spans="1:6" ht="15.75" customHeight="1" x14ac:dyDescent="0.3">
      <c r="A65" s="78" t="s">
        <v>245</v>
      </c>
      <c r="B65" s="79"/>
      <c r="C65" s="87"/>
      <c r="D65" s="88"/>
      <c r="E65" s="88"/>
      <c r="F65" s="88"/>
    </row>
    <row r="66" spans="1:6" ht="15.75" customHeight="1" x14ac:dyDescent="0.3">
      <c r="A66" s="29" t="s">
        <v>254</v>
      </c>
      <c r="C66" s="86"/>
      <c r="D66" s="75"/>
      <c r="E66" s="75"/>
      <c r="F66" s="75"/>
    </row>
    <row r="67" spans="1:6" ht="15.75" customHeight="1" x14ac:dyDescent="0.25">
      <c r="B67" s="45" t="s">
        <v>259</v>
      </c>
      <c r="C67" s="105">
        <f>IF(C13=1,1,C13*1.1)</f>
        <v>1</v>
      </c>
      <c r="D67" s="105">
        <f t="shared" ref="D67:F67" si="10">IF(D13=1,1,D13*1.1)</f>
        <v>5.5</v>
      </c>
      <c r="E67" s="105">
        <f t="shared" si="10"/>
        <v>7.0400000000000009</v>
      </c>
      <c r="F67" s="105">
        <f t="shared" si="10"/>
        <v>51.150000000000006</v>
      </c>
    </row>
    <row r="68" spans="1:6" ht="15.75" customHeight="1" x14ac:dyDescent="0.25">
      <c r="B68" s="45" t="s">
        <v>260</v>
      </c>
      <c r="C68" s="105">
        <f t="shared" ref="C68:F69" si="11">IF(C14=1,1,C14*1.1)</f>
        <v>1</v>
      </c>
      <c r="D68" s="105">
        <f t="shared" si="11"/>
        <v>2.7720000000000002</v>
      </c>
      <c r="E68" s="105">
        <f t="shared" si="11"/>
        <v>2.1560000000000001</v>
      </c>
      <c r="F68" s="105">
        <f t="shared" si="11"/>
        <v>4.6090000000000009</v>
      </c>
    </row>
    <row r="69" spans="1:6" ht="15.75" customHeight="1" x14ac:dyDescent="0.25">
      <c r="B69" s="45" t="s">
        <v>261</v>
      </c>
      <c r="C69" s="105">
        <f t="shared" si="11"/>
        <v>1</v>
      </c>
      <c r="D69" s="105">
        <f t="shared" si="11"/>
        <v>2.7720000000000002</v>
      </c>
      <c r="E69" s="105">
        <f t="shared" si="11"/>
        <v>2.1560000000000001</v>
      </c>
      <c r="F69" s="105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255</v>
      </c>
      <c r="B71" s="83"/>
      <c r="C71" s="90"/>
      <c r="D71" s="91"/>
      <c r="E71" s="91"/>
      <c r="F71" s="91"/>
    </row>
    <row r="72" spans="1:6" ht="15.75" customHeight="1" x14ac:dyDescent="0.25">
      <c r="B72" s="72" t="s">
        <v>78</v>
      </c>
      <c r="C72" s="105">
        <f>IF(C18=1,1,C18*1.1)</f>
        <v>1</v>
      </c>
      <c r="D72" s="105">
        <f t="shared" ref="D72:F72" si="12">IF(D18=1,1,D18*1.1)</f>
        <v>1</v>
      </c>
      <c r="E72" s="105">
        <f t="shared" si="12"/>
        <v>1</v>
      </c>
      <c r="F72" s="105">
        <f t="shared" si="12"/>
        <v>1</v>
      </c>
    </row>
    <row r="73" spans="1:6" ht="15.75" customHeight="1" x14ac:dyDescent="0.25">
      <c r="B73" s="72" t="s">
        <v>79</v>
      </c>
      <c r="C73" s="105">
        <f t="shared" ref="C73:F79" si="13">IF(C19=1,1,C19*1.1)</f>
        <v>1</v>
      </c>
      <c r="D73" s="105">
        <f t="shared" si="13"/>
        <v>2.2770000000000001</v>
      </c>
      <c r="E73" s="105">
        <f t="shared" si="13"/>
        <v>3.7290000000000005</v>
      </c>
      <c r="F73" s="105">
        <f t="shared" si="13"/>
        <v>13.079000000000002</v>
      </c>
    </row>
    <row r="74" spans="1:6" ht="15.75" customHeight="1" x14ac:dyDescent="0.25">
      <c r="B74" s="72" t="s">
        <v>80</v>
      </c>
      <c r="C74" s="105">
        <f t="shared" si="13"/>
        <v>1</v>
      </c>
      <c r="D74" s="105">
        <f t="shared" si="13"/>
        <v>2.2770000000000001</v>
      </c>
      <c r="E74" s="105">
        <f t="shared" si="13"/>
        <v>3.7290000000000005</v>
      </c>
      <c r="F74" s="105">
        <f t="shared" si="13"/>
        <v>13.079000000000002</v>
      </c>
    </row>
    <row r="75" spans="1:6" ht="15.75" customHeight="1" x14ac:dyDescent="0.25">
      <c r="B75" s="72" t="s">
        <v>81</v>
      </c>
      <c r="C75" s="105">
        <f t="shared" si="13"/>
        <v>1</v>
      </c>
      <c r="D75" s="105">
        <f t="shared" si="13"/>
        <v>2.2770000000000001</v>
      </c>
      <c r="E75" s="105">
        <f t="shared" si="13"/>
        <v>3.7290000000000005</v>
      </c>
      <c r="F75" s="105">
        <f t="shared" si="13"/>
        <v>13.079000000000002</v>
      </c>
    </row>
    <row r="76" spans="1:6" ht="15.75" customHeight="1" x14ac:dyDescent="0.25">
      <c r="B76" s="72" t="s">
        <v>82</v>
      </c>
      <c r="C76" s="105">
        <f t="shared" si="13"/>
        <v>1</v>
      </c>
      <c r="D76" s="105">
        <f t="shared" si="13"/>
        <v>1</v>
      </c>
      <c r="E76" s="105">
        <f t="shared" si="13"/>
        <v>1099.989</v>
      </c>
      <c r="F76" s="105">
        <f t="shared" si="13"/>
        <v>1099.989</v>
      </c>
    </row>
    <row r="77" spans="1:6" ht="15.75" customHeight="1" x14ac:dyDescent="0.25">
      <c r="B77" s="72" t="s">
        <v>83</v>
      </c>
      <c r="C77" s="105">
        <f t="shared" si="13"/>
        <v>1</v>
      </c>
      <c r="D77" s="105">
        <f t="shared" si="13"/>
        <v>1</v>
      </c>
      <c r="E77" s="105">
        <f t="shared" si="13"/>
        <v>1</v>
      </c>
      <c r="F77" s="105">
        <f t="shared" si="13"/>
        <v>1</v>
      </c>
    </row>
    <row r="78" spans="1:6" ht="15.75" customHeight="1" x14ac:dyDescent="0.25">
      <c r="B78" s="72" t="s">
        <v>84</v>
      </c>
      <c r="C78" s="105">
        <f t="shared" si="13"/>
        <v>1</v>
      </c>
      <c r="D78" s="105">
        <f t="shared" si="13"/>
        <v>1</v>
      </c>
      <c r="E78" s="105">
        <f t="shared" si="13"/>
        <v>1</v>
      </c>
      <c r="F78" s="105">
        <f t="shared" si="13"/>
        <v>1</v>
      </c>
    </row>
    <row r="79" spans="1:6" ht="15.75" customHeight="1" x14ac:dyDescent="0.25">
      <c r="B79" s="72" t="s">
        <v>85</v>
      </c>
      <c r="C79" s="105">
        <f t="shared" si="13"/>
        <v>1</v>
      </c>
      <c r="D79" s="105">
        <f t="shared" si="13"/>
        <v>1</v>
      </c>
      <c r="E79" s="105">
        <f t="shared" si="13"/>
        <v>1</v>
      </c>
      <c r="F79" s="105">
        <f t="shared" si="13"/>
        <v>1</v>
      </c>
    </row>
  </sheetData>
  <sheetProtection algorithmName="SHA-512" hashValue="uFE3S8Q+fID/G+jdyQNjAkpgZ38iSR2W+NKv8wSGzcMzKba/JgiqPtAJY+CoXkpqjdVio2VfvIXyk5hV5JWcRg==" saltValue="bji6k2Stq6rVb7IBnCMS7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264</v>
      </c>
    </row>
    <row r="2" spans="1:16" ht="13" x14ac:dyDescent="0.3">
      <c r="A2" s="92" t="s">
        <v>226</v>
      </c>
      <c r="B2" s="41" t="s">
        <v>265</v>
      </c>
      <c r="C2" s="41" t="s">
        <v>266</v>
      </c>
      <c r="D2" s="82" t="s">
        <v>109</v>
      </c>
      <c r="E2" s="82" t="s">
        <v>96</v>
      </c>
      <c r="F2" s="82" t="s">
        <v>97</v>
      </c>
      <c r="G2" s="82" t="s">
        <v>98</v>
      </c>
      <c r="H2" s="82" t="s">
        <v>99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87</v>
      </c>
      <c r="C3" s="31" t="s">
        <v>9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267</v>
      </c>
      <c r="D4" s="104">
        <v>1</v>
      </c>
      <c r="E4" s="104">
        <v>1.67</v>
      </c>
      <c r="F4" s="104">
        <v>1.67</v>
      </c>
      <c r="G4" s="104">
        <v>1.67</v>
      </c>
      <c r="H4" s="104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268</v>
      </c>
      <c r="D5" s="104">
        <v>1</v>
      </c>
      <c r="E5" s="104">
        <v>2.38</v>
      </c>
      <c r="F5" s="104">
        <v>2.38</v>
      </c>
      <c r="G5" s="104">
        <v>2.38</v>
      </c>
      <c r="H5" s="104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269</v>
      </c>
      <c r="D6" s="104">
        <v>1</v>
      </c>
      <c r="E6" s="104">
        <v>6.33</v>
      </c>
      <c r="F6" s="104">
        <v>6.33</v>
      </c>
      <c r="G6" s="104">
        <v>6.33</v>
      </c>
      <c r="H6" s="104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88</v>
      </c>
      <c r="C7" s="31" t="s">
        <v>9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267</v>
      </c>
      <c r="D8" s="104">
        <v>1</v>
      </c>
      <c r="E8" s="104">
        <v>1.55</v>
      </c>
      <c r="F8" s="104">
        <v>1.55</v>
      </c>
      <c r="G8" s="104">
        <v>1.55</v>
      </c>
      <c r="H8" s="104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268</v>
      </c>
      <c r="D9" s="104">
        <v>1</v>
      </c>
      <c r="E9" s="104">
        <v>2.1800000000000002</v>
      </c>
      <c r="F9" s="104">
        <v>2.1800000000000002</v>
      </c>
      <c r="G9" s="104">
        <v>2.1800000000000002</v>
      </c>
      <c r="H9" s="104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269</v>
      </c>
      <c r="D10" s="104">
        <v>1</v>
      </c>
      <c r="E10" s="104">
        <v>6.39</v>
      </c>
      <c r="F10" s="104">
        <v>6.39</v>
      </c>
      <c r="G10" s="104">
        <v>6.39</v>
      </c>
      <c r="H10" s="104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90</v>
      </c>
      <c r="C11" s="31" t="s">
        <v>9</v>
      </c>
      <c r="D11" s="103">
        <v>1</v>
      </c>
      <c r="E11" s="103">
        <v>1</v>
      </c>
      <c r="F11" s="103">
        <v>1</v>
      </c>
      <c r="G11" s="103">
        <v>1</v>
      </c>
      <c r="H11" s="103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267</v>
      </c>
      <c r="D12" s="104">
        <v>1</v>
      </c>
      <c r="E12" s="104">
        <v>1</v>
      </c>
      <c r="F12" s="104">
        <v>1</v>
      </c>
      <c r="G12" s="104">
        <v>1</v>
      </c>
      <c r="H12" s="104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268</v>
      </c>
      <c r="D13" s="104">
        <v>1</v>
      </c>
      <c r="E13" s="104">
        <v>2.79</v>
      </c>
      <c r="F13" s="104">
        <v>2.79</v>
      </c>
      <c r="G13" s="104">
        <v>2.79</v>
      </c>
      <c r="H13" s="104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269</v>
      </c>
      <c r="D14" s="104">
        <v>1</v>
      </c>
      <c r="E14" s="104">
        <v>6.01</v>
      </c>
      <c r="F14" s="104">
        <v>6.01</v>
      </c>
      <c r="G14" s="104">
        <v>6.01</v>
      </c>
      <c r="H14" s="104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91</v>
      </c>
      <c r="C15" s="31" t="s">
        <v>9</v>
      </c>
      <c r="D15" s="103">
        <v>1</v>
      </c>
      <c r="E15" s="103">
        <v>1</v>
      </c>
      <c r="F15" s="103">
        <v>1</v>
      </c>
      <c r="G15" s="103">
        <v>1</v>
      </c>
      <c r="H15" s="103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267</v>
      </c>
      <c r="D16" s="104">
        <v>1</v>
      </c>
      <c r="E16" s="104">
        <v>1</v>
      </c>
      <c r="F16" s="104">
        <v>1</v>
      </c>
      <c r="G16" s="104">
        <v>1</v>
      </c>
      <c r="H16" s="104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268</v>
      </c>
      <c r="D17" s="104">
        <v>1</v>
      </c>
      <c r="E17" s="104">
        <v>1</v>
      </c>
      <c r="F17" s="104">
        <v>1</v>
      </c>
      <c r="G17" s="104">
        <v>1</v>
      </c>
      <c r="H17" s="104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269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89</v>
      </c>
      <c r="C19" s="31" t="s">
        <v>9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267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268</v>
      </c>
      <c r="D21" s="104">
        <v>1</v>
      </c>
      <c r="E21" s="104">
        <v>1.86</v>
      </c>
      <c r="F21" s="104">
        <v>1.86</v>
      </c>
      <c r="G21" s="104">
        <v>1.86</v>
      </c>
      <c r="H21" s="104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269</v>
      </c>
      <c r="D22" s="104">
        <v>1</v>
      </c>
      <c r="E22" s="104">
        <v>3.01</v>
      </c>
      <c r="F22" s="104">
        <v>3.01</v>
      </c>
      <c r="G22" s="104">
        <v>3.01</v>
      </c>
      <c r="H22" s="104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95</v>
      </c>
      <c r="C23" s="31" t="s">
        <v>9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267</v>
      </c>
      <c r="D24" s="104">
        <v>1</v>
      </c>
      <c r="E24" s="104">
        <v>1</v>
      </c>
      <c r="F24" s="104">
        <v>1</v>
      </c>
      <c r="G24" s="104">
        <v>1</v>
      </c>
      <c r="H24" s="104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268</v>
      </c>
      <c r="D25" s="104">
        <v>1</v>
      </c>
      <c r="E25" s="104">
        <v>1.86</v>
      </c>
      <c r="F25" s="104">
        <v>1.86</v>
      </c>
      <c r="G25" s="104">
        <v>1.86</v>
      </c>
      <c r="H25" s="104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269</v>
      </c>
      <c r="D26" s="104">
        <v>1</v>
      </c>
      <c r="E26" s="104">
        <v>3.01</v>
      </c>
      <c r="F26" s="104">
        <v>3.01</v>
      </c>
      <c r="G26" s="104">
        <v>3.01</v>
      </c>
      <c r="H26" s="104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278</v>
      </c>
    </row>
    <row r="29" spans="1:16" ht="13" x14ac:dyDescent="0.3">
      <c r="A29" s="92" t="s">
        <v>279</v>
      </c>
      <c r="B29" s="29" t="s">
        <v>265</v>
      </c>
      <c r="C29" s="29" t="s">
        <v>270</v>
      </c>
      <c r="D29" s="82" t="s">
        <v>109</v>
      </c>
      <c r="E29" s="82" t="s">
        <v>96</v>
      </c>
      <c r="F29" s="82" t="s">
        <v>97</v>
      </c>
      <c r="G29" s="82" t="s">
        <v>98</v>
      </c>
      <c r="H29" s="82" t="s">
        <v>99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87</v>
      </c>
      <c r="C30" s="31" t="s">
        <v>9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267</v>
      </c>
      <c r="D31" s="104">
        <v>1</v>
      </c>
      <c r="E31" s="104">
        <v>1.6</v>
      </c>
      <c r="F31" s="104">
        <v>1.6</v>
      </c>
      <c r="G31" s="104">
        <v>1.6</v>
      </c>
      <c r="H31" s="104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209</v>
      </c>
      <c r="D32" s="104">
        <v>1</v>
      </c>
      <c r="E32" s="104">
        <v>3.41</v>
      </c>
      <c r="F32" s="104">
        <v>3.41</v>
      </c>
      <c r="G32" s="104">
        <v>3.41</v>
      </c>
      <c r="H32" s="104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208</v>
      </c>
      <c r="D33" s="104">
        <v>1</v>
      </c>
      <c r="E33" s="104">
        <v>12.33</v>
      </c>
      <c r="F33" s="104">
        <v>12.33</v>
      </c>
      <c r="G33" s="104">
        <v>12.33</v>
      </c>
      <c r="H33" s="104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88</v>
      </c>
      <c r="C34" s="31" t="s">
        <v>9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267</v>
      </c>
      <c r="D35" s="104">
        <v>1</v>
      </c>
      <c r="E35" s="104">
        <v>1.92</v>
      </c>
      <c r="F35" s="104">
        <v>1.92</v>
      </c>
      <c r="G35" s="104">
        <v>1.92</v>
      </c>
      <c r="H35" s="104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209</v>
      </c>
      <c r="D36" s="104">
        <v>1</v>
      </c>
      <c r="E36" s="104">
        <v>4.66</v>
      </c>
      <c r="F36" s="104">
        <v>4.66</v>
      </c>
      <c r="G36" s="104">
        <v>4.66</v>
      </c>
      <c r="H36" s="104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208</v>
      </c>
      <c r="D37" s="104">
        <v>1</v>
      </c>
      <c r="E37" s="104">
        <v>9.68</v>
      </c>
      <c r="F37" s="104">
        <v>9.68</v>
      </c>
      <c r="G37" s="104">
        <v>9.68</v>
      </c>
      <c r="H37" s="104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90</v>
      </c>
      <c r="C38" s="31" t="s">
        <v>9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267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209</v>
      </c>
      <c r="D40" s="104">
        <v>1</v>
      </c>
      <c r="E40" s="104">
        <v>2.58</v>
      </c>
      <c r="F40" s="104">
        <v>2.58</v>
      </c>
      <c r="G40" s="104">
        <v>2.58</v>
      </c>
      <c r="H40" s="104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208</v>
      </c>
      <c r="D41" s="104">
        <v>1</v>
      </c>
      <c r="E41" s="104">
        <v>9.6300000000000008</v>
      </c>
      <c r="F41" s="104">
        <v>9.6300000000000008</v>
      </c>
      <c r="G41" s="104">
        <v>9.6300000000000008</v>
      </c>
      <c r="H41" s="104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91</v>
      </c>
      <c r="C42" s="31" t="s">
        <v>9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267</v>
      </c>
      <c r="D43" s="104">
        <v>1</v>
      </c>
      <c r="E43" s="104">
        <v>1</v>
      </c>
      <c r="F43" s="104">
        <v>1</v>
      </c>
      <c r="G43" s="104">
        <v>1</v>
      </c>
      <c r="H43" s="104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209</v>
      </c>
      <c r="D44" s="104">
        <v>1</v>
      </c>
      <c r="E44" s="104">
        <v>1</v>
      </c>
      <c r="F44" s="104">
        <v>1</v>
      </c>
      <c r="G44" s="104">
        <v>1</v>
      </c>
      <c r="H44" s="104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208</v>
      </c>
      <c r="D45" s="104">
        <v>1</v>
      </c>
      <c r="E45" s="104">
        <v>1</v>
      </c>
      <c r="F45" s="104">
        <v>1</v>
      </c>
      <c r="G45" s="104">
        <v>1</v>
      </c>
      <c r="H45" s="104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89</v>
      </c>
      <c r="C46" s="31" t="s">
        <v>9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267</v>
      </c>
      <c r="D47" s="104">
        <v>1</v>
      </c>
      <c r="E47" s="104">
        <v>1.65</v>
      </c>
      <c r="F47" s="104">
        <v>1.65</v>
      </c>
      <c r="G47" s="104">
        <v>1.65</v>
      </c>
      <c r="H47" s="104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209</v>
      </c>
      <c r="D48" s="104">
        <v>1</v>
      </c>
      <c r="E48" s="104">
        <v>2.73</v>
      </c>
      <c r="F48" s="104">
        <v>2.73</v>
      </c>
      <c r="G48" s="104">
        <v>2.73</v>
      </c>
      <c r="H48" s="104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208</v>
      </c>
      <c r="D49" s="104">
        <v>1</v>
      </c>
      <c r="E49" s="104">
        <v>11.21</v>
      </c>
      <c r="F49" s="104">
        <v>11.21</v>
      </c>
      <c r="G49" s="104">
        <v>11.21</v>
      </c>
      <c r="H49" s="104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95</v>
      </c>
      <c r="C50" s="31" t="s">
        <v>9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267</v>
      </c>
      <c r="D51" s="104">
        <v>1</v>
      </c>
      <c r="E51" s="104">
        <v>1.65</v>
      </c>
      <c r="F51" s="104">
        <v>1.65</v>
      </c>
      <c r="G51" s="104">
        <v>1.65</v>
      </c>
      <c r="H51" s="104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209</v>
      </c>
      <c r="D52" s="104">
        <v>1</v>
      </c>
      <c r="E52" s="104">
        <v>2.73</v>
      </c>
      <c r="F52" s="104">
        <v>2.73</v>
      </c>
      <c r="G52" s="104">
        <v>2.73</v>
      </c>
      <c r="H52" s="104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208</v>
      </c>
      <c r="D53" s="104">
        <v>1</v>
      </c>
      <c r="E53" s="104">
        <v>11.21</v>
      </c>
      <c r="F53" s="104">
        <v>11.21</v>
      </c>
      <c r="G53" s="104">
        <v>11.21</v>
      </c>
      <c r="H53" s="104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271</v>
      </c>
    </row>
    <row r="56" spans="1:16" ht="26" x14ac:dyDescent="0.3">
      <c r="A56" s="92" t="s">
        <v>121</v>
      </c>
      <c r="B56" s="29" t="s">
        <v>265</v>
      </c>
      <c r="C56" s="80" t="s">
        <v>272</v>
      </c>
      <c r="D56" s="82" t="s">
        <v>122</v>
      </c>
      <c r="E56" s="82" t="s">
        <v>123</v>
      </c>
      <c r="F56" s="82" t="s">
        <v>124</v>
      </c>
      <c r="G56" s="82" t="s">
        <v>125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101</v>
      </c>
      <c r="C57" s="31" t="s">
        <v>273</v>
      </c>
      <c r="D57" s="103">
        <v>1</v>
      </c>
      <c r="E57" s="103">
        <v>1</v>
      </c>
      <c r="F57" s="103">
        <v>1</v>
      </c>
      <c r="G57" s="103">
        <v>1</v>
      </c>
      <c r="H57" s="92"/>
      <c r="M57" s="92"/>
      <c r="N57" s="92"/>
      <c r="O57" s="92"/>
      <c r="P57" s="92"/>
    </row>
    <row r="58" spans="1:16" x14ac:dyDescent="0.25">
      <c r="C58" s="31" t="s">
        <v>274</v>
      </c>
      <c r="D58" s="104">
        <v>10.675000000000001</v>
      </c>
      <c r="E58" s="104">
        <v>10.675000000000001</v>
      </c>
      <c r="F58" s="104">
        <v>10.675000000000001</v>
      </c>
      <c r="G58" s="104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102</v>
      </c>
      <c r="C59" s="31" t="s">
        <v>273</v>
      </c>
      <c r="D59" s="103">
        <v>1</v>
      </c>
      <c r="E59" s="103">
        <v>1</v>
      </c>
      <c r="F59" s="103">
        <v>1</v>
      </c>
      <c r="G59" s="103">
        <v>1</v>
      </c>
      <c r="H59" s="92"/>
      <c r="M59" s="92"/>
      <c r="N59" s="92"/>
      <c r="O59" s="92"/>
      <c r="P59" s="92"/>
    </row>
    <row r="60" spans="1:16" x14ac:dyDescent="0.25">
      <c r="C60" s="31" t="s">
        <v>274</v>
      </c>
      <c r="D60" s="104">
        <v>10.675000000000001</v>
      </c>
      <c r="E60" s="104">
        <v>10.675000000000001</v>
      </c>
      <c r="F60" s="104">
        <v>10.675000000000001</v>
      </c>
      <c r="G60" s="104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103</v>
      </c>
      <c r="C61" s="31" t="s">
        <v>273</v>
      </c>
      <c r="D61" s="103">
        <v>1</v>
      </c>
      <c r="E61" s="103">
        <v>1</v>
      </c>
      <c r="F61" s="103">
        <v>1</v>
      </c>
      <c r="G61" s="103">
        <v>1</v>
      </c>
      <c r="H61" s="92"/>
      <c r="M61" s="92"/>
      <c r="N61" s="92"/>
      <c r="O61" s="92"/>
      <c r="P61" s="92"/>
    </row>
    <row r="62" spans="1:16" x14ac:dyDescent="0.25">
      <c r="C62" s="31" t="s">
        <v>274</v>
      </c>
      <c r="D62" s="104">
        <v>10.675000000000001</v>
      </c>
      <c r="E62" s="104">
        <v>10.675000000000001</v>
      </c>
      <c r="F62" s="104">
        <v>10.675000000000001</v>
      </c>
      <c r="G62" s="104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275</v>
      </c>
    </row>
    <row r="65" spans="1:16" ht="26" x14ac:dyDescent="0.3">
      <c r="A65" s="92" t="s">
        <v>128</v>
      </c>
      <c r="B65" s="29" t="s">
        <v>265</v>
      </c>
      <c r="C65" s="80" t="s">
        <v>276</v>
      </c>
      <c r="D65" s="82" t="s">
        <v>109</v>
      </c>
      <c r="E65" s="82" t="s">
        <v>96</v>
      </c>
      <c r="F65" s="82" t="s">
        <v>97</v>
      </c>
      <c r="G65" s="82" t="s">
        <v>98</v>
      </c>
      <c r="H65" s="95" t="s">
        <v>99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78</v>
      </c>
      <c r="C66" s="31" t="s">
        <v>129</v>
      </c>
      <c r="D66" s="104">
        <v>1</v>
      </c>
      <c r="E66" s="103">
        <v>1</v>
      </c>
      <c r="F66" s="103">
        <v>1</v>
      </c>
      <c r="G66" s="103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130</v>
      </c>
      <c r="D67" s="104">
        <v>1.35</v>
      </c>
      <c r="E67" s="104">
        <v>1</v>
      </c>
      <c r="F67" s="104">
        <v>1</v>
      </c>
      <c r="G67" s="104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131</v>
      </c>
      <c r="D68" s="104">
        <v>1.35</v>
      </c>
      <c r="E68" s="104">
        <v>1</v>
      </c>
      <c r="F68" s="104">
        <v>1</v>
      </c>
      <c r="G68" s="104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132</v>
      </c>
      <c r="D69" s="104">
        <v>5.4</v>
      </c>
      <c r="E69" s="104">
        <v>1</v>
      </c>
      <c r="F69" s="104">
        <v>1</v>
      </c>
      <c r="G69" s="104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79</v>
      </c>
      <c r="C70" s="31" t="s">
        <v>129</v>
      </c>
      <c r="D70" s="104">
        <v>1</v>
      </c>
      <c r="E70" s="103">
        <v>1</v>
      </c>
      <c r="F70" s="103">
        <v>1</v>
      </c>
      <c r="G70" s="103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130</v>
      </c>
      <c r="D71" s="104">
        <v>1.35</v>
      </c>
      <c r="E71" s="104">
        <v>1</v>
      </c>
      <c r="F71" s="104">
        <v>1</v>
      </c>
      <c r="G71" s="104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131</v>
      </c>
      <c r="D72" s="104">
        <v>1.35</v>
      </c>
      <c r="E72" s="104">
        <v>1</v>
      </c>
      <c r="F72" s="104">
        <v>1</v>
      </c>
      <c r="G72" s="104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132</v>
      </c>
      <c r="D73" s="104">
        <v>5.4</v>
      </c>
      <c r="E73" s="104">
        <v>1</v>
      </c>
      <c r="F73" s="104">
        <v>1</v>
      </c>
      <c r="G73" s="104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80</v>
      </c>
      <c r="C74" s="31" t="s">
        <v>129</v>
      </c>
      <c r="D74" s="104">
        <v>1</v>
      </c>
      <c r="E74" s="103">
        <v>1</v>
      </c>
      <c r="F74" s="103">
        <v>1</v>
      </c>
      <c r="G74" s="103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130</v>
      </c>
      <c r="D75" s="104">
        <v>1.35</v>
      </c>
      <c r="E75" s="104">
        <v>1</v>
      </c>
      <c r="F75" s="104">
        <v>1</v>
      </c>
      <c r="G75" s="104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131</v>
      </c>
      <c r="D76" s="104">
        <v>1.35</v>
      </c>
      <c r="E76" s="104">
        <v>1</v>
      </c>
      <c r="F76" s="104">
        <v>1</v>
      </c>
      <c r="G76" s="104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132</v>
      </c>
      <c r="D77" s="104">
        <v>5.4</v>
      </c>
      <c r="E77" s="104">
        <v>1</v>
      </c>
      <c r="F77" s="104">
        <v>1</v>
      </c>
      <c r="G77" s="104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82</v>
      </c>
      <c r="C78" s="31" t="s">
        <v>129</v>
      </c>
      <c r="D78" s="103">
        <v>1</v>
      </c>
      <c r="E78" s="103">
        <v>1</v>
      </c>
      <c r="F78" s="103">
        <v>1</v>
      </c>
      <c r="G78" s="103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130</v>
      </c>
      <c r="D79" s="104">
        <v>1</v>
      </c>
      <c r="E79" s="104">
        <v>1</v>
      </c>
      <c r="F79" s="104">
        <v>1</v>
      </c>
      <c r="G79" s="104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131</v>
      </c>
      <c r="D80" s="104">
        <v>1</v>
      </c>
      <c r="E80" s="104">
        <v>1</v>
      </c>
      <c r="F80" s="104">
        <v>1</v>
      </c>
      <c r="G80" s="104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132</v>
      </c>
      <c r="D81" s="104">
        <v>1</v>
      </c>
      <c r="E81" s="104">
        <v>1</v>
      </c>
      <c r="F81" s="104">
        <v>1</v>
      </c>
      <c r="G81" s="104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87</v>
      </c>
      <c r="C82" s="31" t="s">
        <v>129</v>
      </c>
      <c r="D82" s="103">
        <v>1</v>
      </c>
      <c r="E82" s="103">
        <v>1</v>
      </c>
      <c r="F82" s="103">
        <v>1</v>
      </c>
      <c r="G82" s="103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130</v>
      </c>
      <c r="D83" s="104">
        <v>1</v>
      </c>
      <c r="E83" s="104">
        <v>2.2799999999999998</v>
      </c>
      <c r="F83" s="104">
        <v>1</v>
      </c>
      <c r="G83" s="104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131</v>
      </c>
      <c r="D84" s="104">
        <v>1</v>
      </c>
      <c r="E84" s="104">
        <v>4.62</v>
      </c>
      <c r="F84" s="104">
        <v>1</v>
      </c>
      <c r="G84" s="104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132</v>
      </c>
      <c r="D85" s="104">
        <v>1</v>
      </c>
      <c r="E85" s="104">
        <v>10.53</v>
      </c>
      <c r="F85" s="104">
        <v>1.47</v>
      </c>
      <c r="G85" s="104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88</v>
      </c>
      <c r="C86" s="31" t="s">
        <v>129</v>
      </c>
      <c r="D86" s="103">
        <v>1</v>
      </c>
      <c r="E86" s="103">
        <v>1</v>
      </c>
      <c r="F86" s="103">
        <v>1</v>
      </c>
      <c r="G86" s="103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130</v>
      </c>
      <c r="D87" s="104">
        <v>1</v>
      </c>
      <c r="E87" s="104">
        <v>1.66</v>
      </c>
      <c r="F87" s="104">
        <v>1</v>
      </c>
      <c r="G87" s="104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131</v>
      </c>
      <c r="D88" s="104">
        <v>1</v>
      </c>
      <c r="E88" s="104">
        <v>2.5</v>
      </c>
      <c r="F88" s="104">
        <v>1</v>
      </c>
      <c r="G88" s="104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132</v>
      </c>
      <c r="D89" s="104">
        <v>1</v>
      </c>
      <c r="E89" s="104">
        <v>14.97</v>
      </c>
      <c r="F89" s="104">
        <v>1.92</v>
      </c>
      <c r="G89" s="104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90</v>
      </c>
      <c r="C90" s="31" t="s">
        <v>129</v>
      </c>
      <c r="D90" s="103">
        <v>1</v>
      </c>
      <c r="E90" s="103">
        <v>1</v>
      </c>
      <c r="F90" s="103">
        <v>1</v>
      </c>
      <c r="G90" s="103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130</v>
      </c>
      <c r="D91" s="104">
        <v>1</v>
      </c>
      <c r="E91" s="104">
        <v>1.48</v>
      </c>
      <c r="F91" s="104">
        <v>1</v>
      </c>
      <c r="G91" s="104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131</v>
      </c>
      <c r="D92" s="104">
        <v>1</v>
      </c>
      <c r="E92" s="104">
        <v>2.84</v>
      </c>
      <c r="F92" s="104">
        <v>1</v>
      </c>
      <c r="G92" s="104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132</v>
      </c>
      <c r="D93" s="104">
        <v>1</v>
      </c>
      <c r="E93" s="104">
        <v>14.4</v>
      </c>
      <c r="F93" s="104">
        <v>3.69</v>
      </c>
      <c r="G93" s="104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89</v>
      </c>
      <c r="C94" s="31" t="s">
        <v>129</v>
      </c>
      <c r="D94" s="103">
        <v>1</v>
      </c>
      <c r="E94" s="103">
        <v>1</v>
      </c>
      <c r="F94" s="103">
        <v>1</v>
      </c>
      <c r="G94" s="103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130</v>
      </c>
      <c r="D95" s="104">
        <v>1</v>
      </c>
      <c r="E95" s="104">
        <v>1.48</v>
      </c>
      <c r="F95" s="104">
        <v>1</v>
      </c>
      <c r="G95" s="104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131</v>
      </c>
      <c r="D96" s="104">
        <v>1</v>
      </c>
      <c r="E96" s="104">
        <v>2.84</v>
      </c>
      <c r="F96" s="104">
        <v>1</v>
      </c>
      <c r="G96" s="104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132</v>
      </c>
      <c r="D97" s="104">
        <v>1</v>
      </c>
      <c r="E97" s="104">
        <v>14.4</v>
      </c>
      <c r="F97" s="104">
        <v>3.69</v>
      </c>
      <c r="G97" s="104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92</v>
      </c>
      <c r="C98" s="31" t="s">
        <v>129</v>
      </c>
      <c r="D98" s="103">
        <v>1</v>
      </c>
      <c r="E98" s="103">
        <v>1</v>
      </c>
      <c r="F98" s="103">
        <v>1</v>
      </c>
      <c r="G98" s="103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130</v>
      </c>
      <c r="D99" s="104">
        <v>1</v>
      </c>
      <c r="E99" s="104">
        <v>1.48</v>
      </c>
      <c r="F99" s="104">
        <v>1</v>
      </c>
      <c r="G99" s="104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131</v>
      </c>
      <c r="D100" s="104">
        <v>1</v>
      </c>
      <c r="E100" s="104">
        <v>2.84</v>
      </c>
      <c r="F100" s="104">
        <v>1</v>
      </c>
      <c r="G100" s="104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132</v>
      </c>
      <c r="D101" s="104">
        <v>1</v>
      </c>
      <c r="E101" s="104">
        <v>14.4</v>
      </c>
      <c r="F101" s="104">
        <v>3.69</v>
      </c>
      <c r="G101" s="104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277</v>
      </c>
    </row>
    <row r="104" spans="1:16" ht="26" x14ac:dyDescent="0.3">
      <c r="A104" s="92" t="s">
        <v>87</v>
      </c>
      <c r="B104" s="96" t="s">
        <v>132</v>
      </c>
      <c r="C104" s="80" t="s">
        <v>276</v>
      </c>
      <c r="D104" s="82" t="s">
        <v>109</v>
      </c>
      <c r="E104" s="82" t="s">
        <v>96</v>
      </c>
      <c r="F104" s="82" t="s">
        <v>97</v>
      </c>
      <c r="G104" s="82" t="s">
        <v>98</v>
      </c>
      <c r="H104" s="95" t="s">
        <v>99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129</v>
      </c>
      <c r="D105" s="103">
        <v>1</v>
      </c>
      <c r="E105" s="103">
        <v>1</v>
      </c>
      <c r="F105" s="103">
        <v>1</v>
      </c>
      <c r="G105" s="103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130</v>
      </c>
      <c r="D106" s="104">
        <v>1.26</v>
      </c>
      <c r="E106" s="104">
        <v>1.26</v>
      </c>
      <c r="F106" s="104">
        <v>1</v>
      </c>
      <c r="G106" s="104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131</v>
      </c>
      <c r="D107" s="104">
        <v>1.68</v>
      </c>
      <c r="E107" s="104">
        <v>1.68</v>
      </c>
      <c r="F107" s="104">
        <v>1</v>
      </c>
      <c r="G107" s="104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132</v>
      </c>
      <c r="D108" s="104">
        <v>2.65</v>
      </c>
      <c r="E108" s="104">
        <v>2.65</v>
      </c>
      <c r="F108" s="104">
        <v>2.0699999999999998</v>
      </c>
      <c r="G108" s="104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7" customFormat="1" ht="13" x14ac:dyDescent="0.3">
      <c r="A110" s="106" t="s">
        <v>235</v>
      </c>
      <c r="H110" s="106"/>
    </row>
    <row r="111" spans="1:16" ht="13" x14ac:dyDescent="0.3">
      <c r="A111" s="78" t="s">
        <v>264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226</v>
      </c>
      <c r="B112" s="41" t="s">
        <v>265</v>
      </c>
      <c r="C112" s="41" t="s">
        <v>266</v>
      </c>
      <c r="D112" s="82" t="s">
        <v>109</v>
      </c>
      <c r="E112" s="82" t="s">
        <v>96</v>
      </c>
      <c r="F112" s="82" t="s">
        <v>97</v>
      </c>
      <c r="G112" s="82" t="s">
        <v>98</v>
      </c>
      <c r="H112" s="82" t="s">
        <v>99</v>
      </c>
    </row>
    <row r="113" spans="1:8" ht="13" x14ac:dyDescent="0.3">
      <c r="A113" s="29"/>
      <c r="B113" s="27" t="s">
        <v>87</v>
      </c>
      <c r="C113" s="31" t="s">
        <v>9</v>
      </c>
      <c r="D113" s="105">
        <f>IF(D3=1,1,D3*0.9)</f>
        <v>1</v>
      </c>
      <c r="E113" s="105">
        <f t="shared" ref="E113:H113" si="0">IF(E3=1,1,E3*0.9)</f>
        <v>1</v>
      </c>
      <c r="F113" s="105">
        <f t="shared" si="0"/>
        <v>1</v>
      </c>
      <c r="G113" s="105">
        <f t="shared" si="0"/>
        <v>1</v>
      </c>
      <c r="H113" s="105">
        <f t="shared" si="0"/>
        <v>1</v>
      </c>
    </row>
    <row r="114" spans="1:8" x14ac:dyDescent="0.25">
      <c r="C114" s="31" t="s">
        <v>267</v>
      </c>
      <c r="D114" s="105">
        <f t="shared" ref="D114:H129" si="1">IF(D4=1,1,D4*0.9)</f>
        <v>1</v>
      </c>
      <c r="E114" s="105">
        <f t="shared" si="1"/>
        <v>1.5029999999999999</v>
      </c>
      <c r="F114" s="105">
        <f t="shared" si="1"/>
        <v>1.5029999999999999</v>
      </c>
      <c r="G114" s="105">
        <f t="shared" si="1"/>
        <v>1.5029999999999999</v>
      </c>
      <c r="H114" s="105">
        <f t="shared" si="1"/>
        <v>1.5029999999999999</v>
      </c>
    </row>
    <row r="115" spans="1:8" x14ac:dyDescent="0.25">
      <c r="C115" s="31" t="s">
        <v>268</v>
      </c>
      <c r="D115" s="105">
        <f t="shared" si="1"/>
        <v>1</v>
      </c>
      <c r="E115" s="105">
        <f t="shared" si="1"/>
        <v>2.1419999999999999</v>
      </c>
      <c r="F115" s="105">
        <f t="shared" si="1"/>
        <v>2.1419999999999999</v>
      </c>
      <c r="G115" s="105">
        <f t="shared" si="1"/>
        <v>2.1419999999999999</v>
      </c>
      <c r="H115" s="105">
        <f t="shared" si="1"/>
        <v>2.1419999999999999</v>
      </c>
    </row>
    <row r="116" spans="1:8" x14ac:dyDescent="0.25">
      <c r="C116" s="31" t="s">
        <v>269</v>
      </c>
      <c r="D116" s="105">
        <f t="shared" si="1"/>
        <v>1</v>
      </c>
      <c r="E116" s="105">
        <f t="shared" si="1"/>
        <v>5.6970000000000001</v>
      </c>
      <c r="F116" s="105">
        <f t="shared" si="1"/>
        <v>5.6970000000000001</v>
      </c>
      <c r="G116" s="105">
        <f t="shared" si="1"/>
        <v>5.6970000000000001</v>
      </c>
      <c r="H116" s="105">
        <f t="shared" si="1"/>
        <v>5.6970000000000001</v>
      </c>
    </row>
    <row r="117" spans="1:8" x14ac:dyDescent="0.25">
      <c r="B117" s="27" t="s">
        <v>88</v>
      </c>
      <c r="C117" s="31" t="s">
        <v>9</v>
      </c>
      <c r="D117" s="105">
        <f t="shared" si="1"/>
        <v>1</v>
      </c>
      <c r="E117" s="105">
        <f t="shared" si="1"/>
        <v>1</v>
      </c>
      <c r="F117" s="105">
        <f t="shared" si="1"/>
        <v>1</v>
      </c>
      <c r="G117" s="105">
        <f t="shared" si="1"/>
        <v>1</v>
      </c>
      <c r="H117" s="105">
        <f t="shared" si="1"/>
        <v>1</v>
      </c>
    </row>
    <row r="118" spans="1:8" x14ac:dyDescent="0.25">
      <c r="C118" s="31" t="s">
        <v>267</v>
      </c>
      <c r="D118" s="105">
        <f t="shared" si="1"/>
        <v>1</v>
      </c>
      <c r="E118" s="105">
        <f t="shared" si="1"/>
        <v>1.395</v>
      </c>
      <c r="F118" s="105">
        <f t="shared" si="1"/>
        <v>1.395</v>
      </c>
      <c r="G118" s="105">
        <f t="shared" si="1"/>
        <v>1.395</v>
      </c>
      <c r="H118" s="105">
        <f t="shared" si="1"/>
        <v>1.395</v>
      </c>
    </row>
    <row r="119" spans="1:8" x14ac:dyDescent="0.25">
      <c r="C119" s="31" t="s">
        <v>268</v>
      </c>
      <c r="D119" s="105">
        <f t="shared" si="1"/>
        <v>1</v>
      </c>
      <c r="E119" s="105">
        <f t="shared" si="1"/>
        <v>1.9620000000000002</v>
      </c>
      <c r="F119" s="105">
        <f t="shared" si="1"/>
        <v>1.9620000000000002</v>
      </c>
      <c r="G119" s="105">
        <f t="shared" si="1"/>
        <v>1.9620000000000002</v>
      </c>
      <c r="H119" s="105">
        <f t="shared" si="1"/>
        <v>1.9620000000000002</v>
      </c>
    </row>
    <row r="120" spans="1:8" x14ac:dyDescent="0.25">
      <c r="C120" s="31" t="s">
        <v>269</v>
      </c>
      <c r="D120" s="105">
        <f t="shared" si="1"/>
        <v>1</v>
      </c>
      <c r="E120" s="105">
        <f t="shared" si="1"/>
        <v>5.7509999999999994</v>
      </c>
      <c r="F120" s="105">
        <f t="shared" si="1"/>
        <v>5.7509999999999994</v>
      </c>
      <c r="G120" s="105">
        <f t="shared" si="1"/>
        <v>5.7509999999999994</v>
      </c>
      <c r="H120" s="105">
        <f t="shared" si="1"/>
        <v>5.7509999999999994</v>
      </c>
    </row>
    <row r="121" spans="1:8" x14ac:dyDescent="0.25">
      <c r="B121" s="27" t="s">
        <v>90</v>
      </c>
      <c r="C121" s="31" t="s">
        <v>9</v>
      </c>
      <c r="D121" s="105">
        <f t="shared" si="1"/>
        <v>1</v>
      </c>
      <c r="E121" s="105">
        <f t="shared" si="1"/>
        <v>1</v>
      </c>
      <c r="F121" s="105">
        <f t="shared" si="1"/>
        <v>1</v>
      </c>
      <c r="G121" s="105">
        <f t="shared" si="1"/>
        <v>1</v>
      </c>
      <c r="H121" s="105">
        <f t="shared" si="1"/>
        <v>1</v>
      </c>
    </row>
    <row r="122" spans="1:8" x14ac:dyDescent="0.25">
      <c r="C122" s="31" t="s">
        <v>267</v>
      </c>
      <c r="D122" s="105">
        <f t="shared" si="1"/>
        <v>1</v>
      </c>
      <c r="E122" s="105">
        <f t="shared" si="1"/>
        <v>1</v>
      </c>
      <c r="F122" s="105">
        <f t="shared" si="1"/>
        <v>1</v>
      </c>
      <c r="G122" s="105">
        <f t="shared" si="1"/>
        <v>1</v>
      </c>
      <c r="H122" s="105">
        <f t="shared" si="1"/>
        <v>1</v>
      </c>
    </row>
    <row r="123" spans="1:8" x14ac:dyDescent="0.25">
      <c r="C123" s="31" t="s">
        <v>268</v>
      </c>
      <c r="D123" s="105">
        <f t="shared" si="1"/>
        <v>1</v>
      </c>
      <c r="E123" s="105">
        <f t="shared" si="1"/>
        <v>2.5110000000000001</v>
      </c>
      <c r="F123" s="105">
        <f t="shared" si="1"/>
        <v>2.5110000000000001</v>
      </c>
      <c r="G123" s="105">
        <f t="shared" si="1"/>
        <v>2.5110000000000001</v>
      </c>
      <c r="H123" s="105">
        <f t="shared" si="1"/>
        <v>2.5110000000000001</v>
      </c>
    </row>
    <row r="124" spans="1:8" x14ac:dyDescent="0.25">
      <c r="C124" s="31" t="s">
        <v>269</v>
      </c>
      <c r="D124" s="105">
        <f t="shared" si="1"/>
        <v>1</v>
      </c>
      <c r="E124" s="105">
        <f t="shared" si="1"/>
        <v>5.4089999999999998</v>
      </c>
      <c r="F124" s="105">
        <f t="shared" si="1"/>
        <v>5.4089999999999998</v>
      </c>
      <c r="G124" s="105">
        <f t="shared" si="1"/>
        <v>5.4089999999999998</v>
      </c>
      <c r="H124" s="105">
        <f t="shared" si="1"/>
        <v>5.4089999999999998</v>
      </c>
    </row>
    <row r="125" spans="1:8" x14ac:dyDescent="0.25">
      <c r="B125" s="27" t="s">
        <v>91</v>
      </c>
      <c r="C125" s="31" t="s">
        <v>9</v>
      </c>
      <c r="D125" s="105">
        <f t="shared" si="1"/>
        <v>1</v>
      </c>
      <c r="E125" s="105">
        <f t="shared" si="1"/>
        <v>1</v>
      </c>
      <c r="F125" s="105">
        <f t="shared" si="1"/>
        <v>1</v>
      </c>
      <c r="G125" s="105">
        <f t="shared" si="1"/>
        <v>1</v>
      </c>
      <c r="H125" s="105">
        <f t="shared" si="1"/>
        <v>1</v>
      </c>
    </row>
    <row r="126" spans="1:8" x14ac:dyDescent="0.25">
      <c r="C126" s="31" t="s">
        <v>267</v>
      </c>
      <c r="D126" s="105">
        <f t="shared" si="1"/>
        <v>1</v>
      </c>
      <c r="E126" s="105">
        <f t="shared" si="1"/>
        <v>1</v>
      </c>
      <c r="F126" s="105">
        <f t="shared" si="1"/>
        <v>1</v>
      </c>
      <c r="G126" s="105">
        <f t="shared" si="1"/>
        <v>1</v>
      </c>
      <c r="H126" s="105">
        <f t="shared" si="1"/>
        <v>1</v>
      </c>
    </row>
    <row r="127" spans="1:8" x14ac:dyDescent="0.25">
      <c r="C127" s="31" t="s">
        <v>268</v>
      </c>
      <c r="D127" s="105">
        <f t="shared" si="1"/>
        <v>1</v>
      </c>
      <c r="E127" s="105">
        <f t="shared" si="1"/>
        <v>1</v>
      </c>
      <c r="F127" s="105">
        <f t="shared" si="1"/>
        <v>1</v>
      </c>
      <c r="G127" s="105">
        <f t="shared" si="1"/>
        <v>1</v>
      </c>
      <c r="H127" s="105">
        <f t="shared" si="1"/>
        <v>1</v>
      </c>
    </row>
    <row r="128" spans="1:8" x14ac:dyDescent="0.25">
      <c r="C128" s="31" t="s">
        <v>269</v>
      </c>
      <c r="D128" s="105">
        <f t="shared" si="1"/>
        <v>1</v>
      </c>
      <c r="E128" s="105">
        <f t="shared" si="1"/>
        <v>1</v>
      </c>
      <c r="F128" s="105">
        <f t="shared" si="1"/>
        <v>1</v>
      </c>
      <c r="G128" s="105">
        <f t="shared" si="1"/>
        <v>1</v>
      </c>
      <c r="H128" s="105">
        <f t="shared" si="1"/>
        <v>1</v>
      </c>
    </row>
    <row r="129" spans="1:8" x14ac:dyDescent="0.25">
      <c r="B129" s="27" t="s">
        <v>89</v>
      </c>
      <c r="C129" s="31" t="s">
        <v>9</v>
      </c>
      <c r="D129" s="105">
        <f t="shared" si="1"/>
        <v>1</v>
      </c>
      <c r="E129" s="105">
        <f t="shared" si="1"/>
        <v>1</v>
      </c>
      <c r="F129" s="105">
        <f t="shared" si="1"/>
        <v>1</v>
      </c>
      <c r="G129" s="105">
        <f t="shared" si="1"/>
        <v>1</v>
      </c>
      <c r="H129" s="105">
        <f t="shared" si="1"/>
        <v>1</v>
      </c>
    </row>
    <row r="130" spans="1:8" x14ac:dyDescent="0.25">
      <c r="C130" s="31" t="s">
        <v>267</v>
      </c>
      <c r="D130" s="105">
        <f t="shared" ref="D130:H136" si="2">IF(D20=1,1,D20*0.9)</f>
        <v>1</v>
      </c>
      <c r="E130" s="105">
        <f t="shared" si="2"/>
        <v>1</v>
      </c>
      <c r="F130" s="105">
        <f t="shared" si="2"/>
        <v>1</v>
      </c>
      <c r="G130" s="105">
        <f t="shared" si="2"/>
        <v>1</v>
      </c>
      <c r="H130" s="105">
        <f t="shared" si="2"/>
        <v>1</v>
      </c>
    </row>
    <row r="131" spans="1:8" x14ac:dyDescent="0.25">
      <c r="C131" s="31" t="s">
        <v>268</v>
      </c>
      <c r="D131" s="105">
        <f t="shared" si="2"/>
        <v>1</v>
      </c>
      <c r="E131" s="105">
        <f t="shared" si="2"/>
        <v>1.6740000000000002</v>
      </c>
      <c r="F131" s="105">
        <f t="shared" si="2"/>
        <v>1.6740000000000002</v>
      </c>
      <c r="G131" s="105">
        <f t="shared" si="2"/>
        <v>1.6740000000000002</v>
      </c>
      <c r="H131" s="105">
        <f t="shared" si="2"/>
        <v>1.6740000000000002</v>
      </c>
    </row>
    <row r="132" spans="1:8" x14ac:dyDescent="0.25">
      <c r="C132" s="31" t="s">
        <v>269</v>
      </c>
      <c r="D132" s="105">
        <f t="shared" si="2"/>
        <v>1</v>
      </c>
      <c r="E132" s="105">
        <f t="shared" si="2"/>
        <v>2.7090000000000001</v>
      </c>
      <c r="F132" s="105">
        <f t="shared" si="2"/>
        <v>2.7090000000000001</v>
      </c>
      <c r="G132" s="105">
        <f t="shared" si="2"/>
        <v>2.7090000000000001</v>
      </c>
      <c r="H132" s="105">
        <f t="shared" si="2"/>
        <v>2.7090000000000001</v>
      </c>
    </row>
    <row r="133" spans="1:8" x14ac:dyDescent="0.25">
      <c r="B133" s="27" t="s">
        <v>95</v>
      </c>
      <c r="C133" s="31" t="s">
        <v>9</v>
      </c>
      <c r="D133" s="105">
        <f t="shared" si="2"/>
        <v>1</v>
      </c>
      <c r="E133" s="105">
        <f t="shared" si="2"/>
        <v>1</v>
      </c>
      <c r="F133" s="105">
        <f t="shared" si="2"/>
        <v>1</v>
      </c>
      <c r="G133" s="105">
        <f t="shared" si="2"/>
        <v>1</v>
      </c>
      <c r="H133" s="105">
        <f t="shared" si="2"/>
        <v>1</v>
      </c>
    </row>
    <row r="134" spans="1:8" x14ac:dyDescent="0.25">
      <c r="C134" s="31" t="s">
        <v>267</v>
      </c>
      <c r="D134" s="105">
        <f t="shared" si="2"/>
        <v>1</v>
      </c>
      <c r="E134" s="105">
        <f t="shared" si="2"/>
        <v>1</v>
      </c>
      <c r="F134" s="105">
        <f t="shared" si="2"/>
        <v>1</v>
      </c>
      <c r="G134" s="105">
        <f t="shared" si="2"/>
        <v>1</v>
      </c>
      <c r="H134" s="105">
        <f t="shared" si="2"/>
        <v>1</v>
      </c>
    </row>
    <row r="135" spans="1:8" x14ac:dyDescent="0.25">
      <c r="C135" s="31" t="s">
        <v>268</v>
      </c>
      <c r="D135" s="105">
        <f t="shared" si="2"/>
        <v>1</v>
      </c>
      <c r="E135" s="105">
        <f t="shared" si="2"/>
        <v>1.6740000000000002</v>
      </c>
      <c r="F135" s="105">
        <f t="shared" si="2"/>
        <v>1.6740000000000002</v>
      </c>
      <c r="G135" s="105">
        <f t="shared" si="2"/>
        <v>1.6740000000000002</v>
      </c>
      <c r="H135" s="105">
        <f t="shared" si="2"/>
        <v>1.6740000000000002</v>
      </c>
    </row>
    <row r="136" spans="1:8" x14ac:dyDescent="0.25">
      <c r="C136" s="31" t="s">
        <v>269</v>
      </c>
      <c r="D136" s="105">
        <f t="shared" si="2"/>
        <v>1</v>
      </c>
      <c r="E136" s="105">
        <f t="shared" si="2"/>
        <v>2.7090000000000001</v>
      </c>
      <c r="F136" s="105">
        <f t="shared" si="2"/>
        <v>2.7090000000000001</v>
      </c>
      <c r="G136" s="105">
        <f t="shared" si="2"/>
        <v>2.7090000000000001</v>
      </c>
      <c r="H136" s="105">
        <f t="shared" si="2"/>
        <v>2.7090000000000001</v>
      </c>
    </row>
    <row r="138" spans="1:8" ht="13" x14ac:dyDescent="0.3">
      <c r="A138" s="78" t="s">
        <v>278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279</v>
      </c>
      <c r="B139" s="29" t="s">
        <v>265</v>
      </c>
      <c r="C139" s="29" t="s">
        <v>270</v>
      </c>
      <c r="D139" s="82" t="s">
        <v>109</v>
      </c>
      <c r="E139" s="82" t="s">
        <v>96</v>
      </c>
      <c r="F139" s="82" t="s">
        <v>97</v>
      </c>
      <c r="G139" s="82" t="s">
        <v>98</v>
      </c>
      <c r="H139" s="82" t="s">
        <v>99</v>
      </c>
    </row>
    <row r="140" spans="1:8" ht="13" x14ac:dyDescent="0.3">
      <c r="A140" s="29"/>
      <c r="B140" s="27" t="s">
        <v>87</v>
      </c>
      <c r="C140" s="31" t="s">
        <v>9</v>
      </c>
      <c r="D140" s="105">
        <f>IF(D30=1,1,D30*0.9)</f>
        <v>1</v>
      </c>
      <c r="E140" s="105">
        <f t="shared" ref="E140:H140" si="3">IF(E30=1,1,E30*0.9)</f>
        <v>1</v>
      </c>
      <c r="F140" s="105">
        <f t="shared" si="3"/>
        <v>1</v>
      </c>
      <c r="G140" s="105">
        <f t="shared" si="3"/>
        <v>1</v>
      </c>
      <c r="H140" s="105">
        <f t="shared" si="3"/>
        <v>1</v>
      </c>
    </row>
    <row r="141" spans="1:8" x14ac:dyDescent="0.25">
      <c r="C141" s="31" t="s">
        <v>267</v>
      </c>
      <c r="D141" s="105">
        <f t="shared" ref="D141:H156" si="4">IF(D31=1,1,D31*0.9)</f>
        <v>1</v>
      </c>
      <c r="E141" s="105">
        <f t="shared" si="4"/>
        <v>1.4400000000000002</v>
      </c>
      <c r="F141" s="105">
        <f t="shared" si="4"/>
        <v>1.4400000000000002</v>
      </c>
      <c r="G141" s="105">
        <f t="shared" si="4"/>
        <v>1.4400000000000002</v>
      </c>
      <c r="H141" s="105">
        <f t="shared" si="4"/>
        <v>1.4400000000000002</v>
      </c>
    </row>
    <row r="142" spans="1:8" x14ac:dyDescent="0.25">
      <c r="C142" s="31" t="s">
        <v>209</v>
      </c>
      <c r="D142" s="105">
        <f t="shared" si="4"/>
        <v>1</v>
      </c>
      <c r="E142" s="105">
        <f t="shared" si="4"/>
        <v>3.0690000000000004</v>
      </c>
      <c r="F142" s="105">
        <f t="shared" si="4"/>
        <v>3.0690000000000004</v>
      </c>
      <c r="G142" s="105">
        <f t="shared" si="4"/>
        <v>3.0690000000000004</v>
      </c>
      <c r="H142" s="105">
        <f t="shared" si="4"/>
        <v>3.0690000000000004</v>
      </c>
    </row>
    <row r="143" spans="1:8" x14ac:dyDescent="0.25">
      <c r="C143" s="31" t="s">
        <v>208</v>
      </c>
      <c r="D143" s="105">
        <f t="shared" si="4"/>
        <v>1</v>
      </c>
      <c r="E143" s="105">
        <f t="shared" si="4"/>
        <v>11.097</v>
      </c>
      <c r="F143" s="105">
        <f t="shared" si="4"/>
        <v>11.097</v>
      </c>
      <c r="G143" s="105">
        <f t="shared" si="4"/>
        <v>11.097</v>
      </c>
      <c r="H143" s="105">
        <f t="shared" si="4"/>
        <v>11.097</v>
      </c>
    </row>
    <row r="144" spans="1:8" x14ac:dyDescent="0.25">
      <c r="B144" s="27" t="s">
        <v>88</v>
      </c>
      <c r="C144" s="31" t="s">
        <v>9</v>
      </c>
      <c r="D144" s="105">
        <f t="shared" si="4"/>
        <v>1</v>
      </c>
      <c r="E144" s="105">
        <f t="shared" si="4"/>
        <v>1</v>
      </c>
      <c r="F144" s="105">
        <f t="shared" si="4"/>
        <v>1</v>
      </c>
      <c r="G144" s="105">
        <f t="shared" si="4"/>
        <v>1</v>
      </c>
      <c r="H144" s="105">
        <f t="shared" si="4"/>
        <v>1</v>
      </c>
    </row>
    <row r="145" spans="2:8" x14ac:dyDescent="0.25">
      <c r="C145" s="31" t="s">
        <v>267</v>
      </c>
      <c r="D145" s="105">
        <f t="shared" si="4"/>
        <v>1</v>
      </c>
      <c r="E145" s="105">
        <f t="shared" si="4"/>
        <v>1.728</v>
      </c>
      <c r="F145" s="105">
        <f t="shared" si="4"/>
        <v>1.728</v>
      </c>
      <c r="G145" s="105">
        <f t="shared" si="4"/>
        <v>1.728</v>
      </c>
      <c r="H145" s="105">
        <f t="shared" si="4"/>
        <v>1.728</v>
      </c>
    </row>
    <row r="146" spans="2:8" x14ac:dyDescent="0.25">
      <c r="C146" s="31" t="s">
        <v>209</v>
      </c>
      <c r="D146" s="105">
        <f t="shared" si="4"/>
        <v>1</v>
      </c>
      <c r="E146" s="105">
        <f t="shared" si="4"/>
        <v>4.194</v>
      </c>
      <c r="F146" s="105">
        <f t="shared" si="4"/>
        <v>4.194</v>
      </c>
      <c r="G146" s="105">
        <f t="shared" si="4"/>
        <v>4.194</v>
      </c>
      <c r="H146" s="105">
        <f t="shared" si="4"/>
        <v>4.194</v>
      </c>
    </row>
    <row r="147" spans="2:8" x14ac:dyDescent="0.25">
      <c r="C147" s="31" t="s">
        <v>208</v>
      </c>
      <c r="D147" s="105">
        <f t="shared" si="4"/>
        <v>1</v>
      </c>
      <c r="E147" s="105">
        <f t="shared" si="4"/>
        <v>8.7119999999999997</v>
      </c>
      <c r="F147" s="105">
        <f t="shared" si="4"/>
        <v>8.7119999999999997</v>
      </c>
      <c r="G147" s="105">
        <f t="shared" si="4"/>
        <v>8.7119999999999997</v>
      </c>
      <c r="H147" s="105">
        <f t="shared" si="4"/>
        <v>8.7119999999999997</v>
      </c>
    </row>
    <row r="148" spans="2:8" x14ac:dyDescent="0.25">
      <c r="B148" s="27" t="s">
        <v>90</v>
      </c>
      <c r="C148" s="31" t="s">
        <v>9</v>
      </c>
      <c r="D148" s="105">
        <f t="shared" si="4"/>
        <v>1</v>
      </c>
      <c r="E148" s="105">
        <f t="shared" si="4"/>
        <v>1</v>
      </c>
      <c r="F148" s="105">
        <f t="shared" si="4"/>
        <v>1</v>
      </c>
      <c r="G148" s="105">
        <f t="shared" si="4"/>
        <v>1</v>
      </c>
      <c r="H148" s="105">
        <f t="shared" si="4"/>
        <v>1</v>
      </c>
    </row>
    <row r="149" spans="2:8" x14ac:dyDescent="0.25">
      <c r="C149" s="31" t="s">
        <v>267</v>
      </c>
      <c r="D149" s="105">
        <f t="shared" si="4"/>
        <v>1</v>
      </c>
      <c r="E149" s="105">
        <f t="shared" si="4"/>
        <v>1</v>
      </c>
      <c r="F149" s="105">
        <f t="shared" si="4"/>
        <v>1</v>
      </c>
      <c r="G149" s="105">
        <f t="shared" si="4"/>
        <v>1</v>
      </c>
      <c r="H149" s="105">
        <f t="shared" si="4"/>
        <v>1</v>
      </c>
    </row>
    <row r="150" spans="2:8" x14ac:dyDescent="0.25">
      <c r="C150" s="31" t="s">
        <v>209</v>
      </c>
      <c r="D150" s="105">
        <f t="shared" si="4"/>
        <v>1</v>
      </c>
      <c r="E150" s="105">
        <f t="shared" si="4"/>
        <v>2.3220000000000001</v>
      </c>
      <c r="F150" s="105">
        <f t="shared" si="4"/>
        <v>2.3220000000000001</v>
      </c>
      <c r="G150" s="105">
        <f t="shared" si="4"/>
        <v>2.3220000000000001</v>
      </c>
      <c r="H150" s="105">
        <f t="shared" si="4"/>
        <v>2.3220000000000001</v>
      </c>
    </row>
    <row r="151" spans="2:8" x14ac:dyDescent="0.25">
      <c r="C151" s="31" t="s">
        <v>208</v>
      </c>
      <c r="D151" s="105">
        <f t="shared" si="4"/>
        <v>1</v>
      </c>
      <c r="E151" s="105">
        <f t="shared" si="4"/>
        <v>8.6670000000000016</v>
      </c>
      <c r="F151" s="105">
        <f t="shared" si="4"/>
        <v>8.6670000000000016</v>
      </c>
      <c r="G151" s="105">
        <f t="shared" si="4"/>
        <v>8.6670000000000016</v>
      </c>
      <c r="H151" s="105">
        <f t="shared" si="4"/>
        <v>8.6670000000000016</v>
      </c>
    </row>
    <row r="152" spans="2:8" x14ac:dyDescent="0.25">
      <c r="B152" s="27" t="s">
        <v>91</v>
      </c>
      <c r="C152" s="31" t="s">
        <v>9</v>
      </c>
      <c r="D152" s="105">
        <f t="shared" si="4"/>
        <v>1</v>
      </c>
      <c r="E152" s="105">
        <f t="shared" si="4"/>
        <v>1</v>
      </c>
      <c r="F152" s="105">
        <f t="shared" si="4"/>
        <v>1</v>
      </c>
      <c r="G152" s="105">
        <f t="shared" si="4"/>
        <v>1</v>
      </c>
      <c r="H152" s="105">
        <f t="shared" si="4"/>
        <v>1</v>
      </c>
    </row>
    <row r="153" spans="2:8" x14ac:dyDescent="0.25">
      <c r="C153" s="31" t="s">
        <v>267</v>
      </c>
      <c r="D153" s="105">
        <f t="shared" si="4"/>
        <v>1</v>
      </c>
      <c r="E153" s="105">
        <f t="shared" si="4"/>
        <v>1</v>
      </c>
      <c r="F153" s="105">
        <f t="shared" si="4"/>
        <v>1</v>
      </c>
      <c r="G153" s="105">
        <f t="shared" si="4"/>
        <v>1</v>
      </c>
      <c r="H153" s="105">
        <f t="shared" si="4"/>
        <v>1</v>
      </c>
    </row>
    <row r="154" spans="2:8" x14ac:dyDescent="0.25">
      <c r="C154" s="31" t="s">
        <v>209</v>
      </c>
      <c r="D154" s="105">
        <f t="shared" si="4"/>
        <v>1</v>
      </c>
      <c r="E154" s="105">
        <f t="shared" si="4"/>
        <v>1</v>
      </c>
      <c r="F154" s="105">
        <f t="shared" si="4"/>
        <v>1</v>
      </c>
      <c r="G154" s="105">
        <f t="shared" si="4"/>
        <v>1</v>
      </c>
      <c r="H154" s="105">
        <f t="shared" si="4"/>
        <v>1</v>
      </c>
    </row>
    <row r="155" spans="2:8" x14ac:dyDescent="0.25">
      <c r="C155" s="31" t="s">
        <v>208</v>
      </c>
      <c r="D155" s="105">
        <f t="shared" si="4"/>
        <v>1</v>
      </c>
      <c r="E155" s="105">
        <f t="shared" si="4"/>
        <v>1</v>
      </c>
      <c r="F155" s="105">
        <f t="shared" si="4"/>
        <v>1</v>
      </c>
      <c r="G155" s="105">
        <f t="shared" si="4"/>
        <v>1</v>
      </c>
      <c r="H155" s="105">
        <f t="shared" si="4"/>
        <v>1</v>
      </c>
    </row>
    <row r="156" spans="2:8" x14ac:dyDescent="0.25">
      <c r="B156" s="27" t="s">
        <v>89</v>
      </c>
      <c r="C156" s="31" t="s">
        <v>9</v>
      </c>
      <c r="D156" s="105">
        <f t="shared" si="4"/>
        <v>1</v>
      </c>
      <c r="E156" s="105">
        <f t="shared" si="4"/>
        <v>1</v>
      </c>
      <c r="F156" s="105">
        <f t="shared" si="4"/>
        <v>1</v>
      </c>
      <c r="G156" s="105">
        <f t="shared" si="4"/>
        <v>1</v>
      </c>
      <c r="H156" s="105">
        <f t="shared" si="4"/>
        <v>1</v>
      </c>
    </row>
    <row r="157" spans="2:8" x14ac:dyDescent="0.25">
      <c r="C157" s="31" t="s">
        <v>267</v>
      </c>
      <c r="D157" s="105">
        <f t="shared" ref="D157:H163" si="5">IF(D47=1,1,D47*0.9)</f>
        <v>1</v>
      </c>
      <c r="E157" s="105">
        <f t="shared" si="5"/>
        <v>1.4849999999999999</v>
      </c>
      <c r="F157" s="105">
        <f t="shared" si="5"/>
        <v>1.4849999999999999</v>
      </c>
      <c r="G157" s="105">
        <f t="shared" si="5"/>
        <v>1.4849999999999999</v>
      </c>
      <c r="H157" s="105">
        <f t="shared" si="5"/>
        <v>1.4849999999999999</v>
      </c>
    </row>
    <row r="158" spans="2:8" x14ac:dyDescent="0.25">
      <c r="C158" s="31" t="s">
        <v>209</v>
      </c>
      <c r="D158" s="105">
        <f t="shared" si="5"/>
        <v>1</v>
      </c>
      <c r="E158" s="105">
        <f t="shared" si="5"/>
        <v>2.4569999999999999</v>
      </c>
      <c r="F158" s="105">
        <f t="shared" si="5"/>
        <v>2.4569999999999999</v>
      </c>
      <c r="G158" s="105">
        <f t="shared" si="5"/>
        <v>2.4569999999999999</v>
      </c>
      <c r="H158" s="105">
        <f t="shared" si="5"/>
        <v>2.4569999999999999</v>
      </c>
    </row>
    <row r="159" spans="2:8" x14ac:dyDescent="0.25">
      <c r="C159" s="31" t="s">
        <v>208</v>
      </c>
      <c r="D159" s="105">
        <f t="shared" si="5"/>
        <v>1</v>
      </c>
      <c r="E159" s="105">
        <f t="shared" si="5"/>
        <v>10.089</v>
      </c>
      <c r="F159" s="105">
        <f t="shared" si="5"/>
        <v>10.089</v>
      </c>
      <c r="G159" s="105">
        <f t="shared" si="5"/>
        <v>10.089</v>
      </c>
      <c r="H159" s="105">
        <f t="shared" si="5"/>
        <v>10.089</v>
      </c>
    </row>
    <row r="160" spans="2:8" x14ac:dyDescent="0.25">
      <c r="B160" s="27" t="s">
        <v>95</v>
      </c>
      <c r="C160" s="31" t="s">
        <v>9</v>
      </c>
      <c r="D160" s="105">
        <f t="shared" si="5"/>
        <v>1</v>
      </c>
      <c r="E160" s="105">
        <f t="shared" si="5"/>
        <v>1</v>
      </c>
      <c r="F160" s="105">
        <f t="shared" si="5"/>
        <v>1</v>
      </c>
      <c r="G160" s="105">
        <f t="shared" si="5"/>
        <v>1</v>
      </c>
      <c r="H160" s="105">
        <f t="shared" si="5"/>
        <v>1</v>
      </c>
    </row>
    <row r="161" spans="1:8" x14ac:dyDescent="0.25">
      <c r="C161" s="31" t="s">
        <v>267</v>
      </c>
      <c r="D161" s="105">
        <f t="shared" si="5"/>
        <v>1</v>
      </c>
      <c r="E161" s="105">
        <f t="shared" si="5"/>
        <v>1.4849999999999999</v>
      </c>
      <c r="F161" s="105">
        <f t="shared" si="5"/>
        <v>1.4849999999999999</v>
      </c>
      <c r="G161" s="105">
        <f t="shared" si="5"/>
        <v>1.4849999999999999</v>
      </c>
      <c r="H161" s="105">
        <f t="shared" si="5"/>
        <v>1.4849999999999999</v>
      </c>
    </row>
    <row r="162" spans="1:8" x14ac:dyDescent="0.25">
      <c r="C162" s="31" t="s">
        <v>209</v>
      </c>
      <c r="D162" s="105">
        <f t="shared" si="5"/>
        <v>1</v>
      </c>
      <c r="E162" s="105">
        <f t="shared" si="5"/>
        <v>2.4569999999999999</v>
      </c>
      <c r="F162" s="105">
        <f t="shared" si="5"/>
        <v>2.4569999999999999</v>
      </c>
      <c r="G162" s="105">
        <f t="shared" si="5"/>
        <v>2.4569999999999999</v>
      </c>
      <c r="H162" s="105">
        <f t="shared" si="5"/>
        <v>2.4569999999999999</v>
      </c>
    </row>
    <row r="163" spans="1:8" x14ac:dyDescent="0.25">
      <c r="C163" s="31" t="s">
        <v>208</v>
      </c>
      <c r="D163" s="105">
        <f t="shared" si="5"/>
        <v>1</v>
      </c>
      <c r="E163" s="105">
        <f t="shared" si="5"/>
        <v>10.089</v>
      </c>
      <c r="F163" s="105">
        <f t="shared" si="5"/>
        <v>10.089</v>
      </c>
      <c r="G163" s="105">
        <f t="shared" si="5"/>
        <v>10.089</v>
      </c>
      <c r="H163" s="105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271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121</v>
      </c>
      <c r="B166" s="29" t="s">
        <v>265</v>
      </c>
      <c r="C166" s="80" t="s">
        <v>272</v>
      </c>
      <c r="D166" s="82" t="s">
        <v>122</v>
      </c>
      <c r="E166" s="82" t="s">
        <v>123</v>
      </c>
      <c r="F166" s="82" t="s">
        <v>124</v>
      </c>
      <c r="G166" s="82" t="s">
        <v>125</v>
      </c>
      <c r="H166" s="93"/>
    </row>
    <row r="167" spans="1:8" ht="13" x14ac:dyDescent="0.3">
      <c r="A167" s="29"/>
      <c r="B167" s="27" t="s">
        <v>101</v>
      </c>
      <c r="C167" s="31" t="s">
        <v>273</v>
      </c>
      <c r="D167" s="105">
        <f>IF(D57=1,1,D57*0.9)</f>
        <v>1</v>
      </c>
      <c r="E167" s="105">
        <f t="shared" ref="E167:G167" si="6">IF(E57=1,1,E57*0.9)</f>
        <v>1</v>
      </c>
      <c r="F167" s="105">
        <f t="shared" si="6"/>
        <v>1</v>
      </c>
      <c r="G167" s="105">
        <f t="shared" si="6"/>
        <v>1</v>
      </c>
      <c r="H167" s="92"/>
    </row>
    <row r="168" spans="1:8" x14ac:dyDescent="0.25">
      <c r="C168" s="31" t="s">
        <v>274</v>
      </c>
      <c r="D168" s="105">
        <f t="shared" ref="D168:G172" si="7">IF(D58=1,1,D58*0.9)</f>
        <v>9.6075000000000017</v>
      </c>
      <c r="E168" s="105">
        <f t="shared" si="7"/>
        <v>9.6075000000000017</v>
      </c>
      <c r="F168" s="105">
        <f t="shared" si="7"/>
        <v>9.6075000000000017</v>
      </c>
      <c r="G168" s="105">
        <f t="shared" si="7"/>
        <v>9.6075000000000017</v>
      </c>
      <c r="H168" s="92"/>
    </row>
    <row r="169" spans="1:8" x14ac:dyDescent="0.25">
      <c r="B169" s="27" t="s">
        <v>102</v>
      </c>
      <c r="C169" s="31" t="s">
        <v>273</v>
      </c>
      <c r="D169" s="105">
        <f t="shared" si="7"/>
        <v>1</v>
      </c>
      <c r="E169" s="105">
        <f t="shared" si="7"/>
        <v>1</v>
      </c>
      <c r="F169" s="105">
        <f t="shared" si="7"/>
        <v>1</v>
      </c>
      <c r="G169" s="105">
        <f t="shared" si="7"/>
        <v>1</v>
      </c>
      <c r="H169" s="92"/>
    </row>
    <row r="170" spans="1:8" x14ac:dyDescent="0.25">
      <c r="C170" s="31" t="s">
        <v>274</v>
      </c>
      <c r="D170" s="105">
        <f t="shared" si="7"/>
        <v>9.6075000000000017</v>
      </c>
      <c r="E170" s="105">
        <f t="shared" si="7"/>
        <v>9.6075000000000017</v>
      </c>
      <c r="F170" s="105">
        <f t="shared" si="7"/>
        <v>9.6075000000000017</v>
      </c>
      <c r="G170" s="105">
        <f t="shared" si="7"/>
        <v>9.6075000000000017</v>
      </c>
      <c r="H170" s="92"/>
    </row>
    <row r="171" spans="1:8" x14ac:dyDescent="0.25">
      <c r="B171" s="27" t="s">
        <v>103</v>
      </c>
      <c r="C171" s="31" t="s">
        <v>273</v>
      </c>
      <c r="D171" s="105">
        <f t="shared" si="7"/>
        <v>1</v>
      </c>
      <c r="E171" s="105">
        <f t="shared" si="7"/>
        <v>1</v>
      </c>
      <c r="F171" s="105">
        <f t="shared" si="7"/>
        <v>1</v>
      </c>
      <c r="G171" s="105">
        <f t="shared" si="7"/>
        <v>1</v>
      </c>
      <c r="H171" s="92"/>
    </row>
    <row r="172" spans="1:8" x14ac:dyDescent="0.25">
      <c r="C172" s="31" t="s">
        <v>274</v>
      </c>
      <c r="D172" s="105">
        <f t="shared" si="7"/>
        <v>9.6075000000000017</v>
      </c>
      <c r="E172" s="105">
        <f t="shared" si="7"/>
        <v>9.6075000000000017</v>
      </c>
      <c r="F172" s="105">
        <f t="shared" si="7"/>
        <v>9.6075000000000017</v>
      </c>
      <c r="G172" s="105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275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128</v>
      </c>
      <c r="B175" s="29" t="s">
        <v>265</v>
      </c>
      <c r="C175" s="80" t="s">
        <v>276</v>
      </c>
      <c r="D175" s="82" t="s">
        <v>109</v>
      </c>
      <c r="E175" s="82" t="s">
        <v>96</v>
      </c>
      <c r="F175" s="82" t="s">
        <v>97</v>
      </c>
      <c r="G175" s="82" t="s">
        <v>98</v>
      </c>
      <c r="H175" s="95" t="s">
        <v>99</v>
      </c>
    </row>
    <row r="176" spans="1:8" ht="13" x14ac:dyDescent="0.3">
      <c r="A176" s="96"/>
      <c r="B176" s="27" t="s">
        <v>78</v>
      </c>
      <c r="C176" s="31" t="s">
        <v>129</v>
      </c>
      <c r="D176" s="105">
        <f>IF(D66=1,1,D66*0.9)</f>
        <v>1</v>
      </c>
      <c r="E176" s="105">
        <f t="shared" ref="E176:G176" si="8">IF(E66=1,1,E66*0.9)</f>
        <v>1</v>
      </c>
      <c r="F176" s="105">
        <f t="shared" si="8"/>
        <v>1</v>
      </c>
      <c r="G176" s="105">
        <f t="shared" si="8"/>
        <v>1</v>
      </c>
      <c r="H176" s="92">
        <v>0.9</v>
      </c>
    </row>
    <row r="177" spans="2:8" x14ac:dyDescent="0.25">
      <c r="C177" s="31" t="s">
        <v>130</v>
      </c>
      <c r="D177" s="105">
        <f t="shared" ref="D177:G192" si="9">IF(D67=1,1,D67*0.9)</f>
        <v>1.2150000000000001</v>
      </c>
      <c r="E177" s="105">
        <f t="shared" si="9"/>
        <v>1</v>
      </c>
      <c r="F177" s="105">
        <f t="shared" si="9"/>
        <v>1</v>
      </c>
      <c r="G177" s="105">
        <f t="shared" si="9"/>
        <v>1</v>
      </c>
      <c r="H177" s="92">
        <v>0.9</v>
      </c>
    </row>
    <row r="178" spans="2:8" x14ac:dyDescent="0.25">
      <c r="C178" s="31" t="s">
        <v>131</v>
      </c>
      <c r="D178" s="105">
        <f t="shared" si="9"/>
        <v>1.2150000000000001</v>
      </c>
      <c r="E178" s="105">
        <f t="shared" si="9"/>
        <v>1</v>
      </c>
      <c r="F178" s="105">
        <f t="shared" si="9"/>
        <v>1</v>
      </c>
      <c r="G178" s="105">
        <f t="shared" si="9"/>
        <v>1</v>
      </c>
      <c r="H178" s="92">
        <v>0.9</v>
      </c>
    </row>
    <row r="179" spans="2:8" x14ac:dyDescent="0.25">
      <c r="C179" s="31" t="s">
        <v>132</v>
      </c>
      <c r="D179" s="105">
        <f t="shared" si="9"/>
        <v>4.8600000000000003</v>
      </c>
      <c r="E179" s="105">
        <f t="shared" si="9"/>
        <v>1</v>
      </c>
      <c r="F179" s="105">
        <f t="shared" si="9"/>
        <v>1</v>
      </c>
      <c r="G179" s="105">
        <f t="shared" si="9"/>
        <v>1</v>
      </c>
      <c r="H179" s="92">
        <v>0.9</v>
      </c>
    </row>
    <row r="180" spans="2:8" x14ac:dyDescent="0.25">
      <c r="B180" s="27" t="s">
        <v>79</v>
      </c>
      <c r="C180" s="31" t="s">
        <v>129</v>
      </c>
      <c r="D180" s="105">
        <f t="shared" si="9"/>
        <v>1</v>
      </c>
      <c r="E180" s="105">
        <f t="shared" si="9"/>
        <v>1</v>
      </c>
      <c r="F180" s="105">
        <f t="shared" si="9"/>
        <v>1</v>
      </c>
      <c r="G180" s="105">
        <f t="shared" si="9"/>
        <v>1</v>
      </c>
      <c r="H180" s="92">
        <v>0.9</v>
      </c>
    </row>
    <row r="181" spans="2:8" x14ac:dyDescent="0.25">
      <c r="C181" s="31" t="s">
        <v>130</v>
      </c>
      <c r="D181" s="105">
        <f t="shared" si="9"/>
        <v>1.2150000000000001</v>
      </c>
      <c r="E181" s="105">
        <f t="shared" si="9"/>
        <v>1</v>
      </c>
      <c r="F181" s="105">
        <f t="shared" si="9"/>
        <v>1</v>
      </c>
      <c r="G181" s="105">
        <f t="shared" si="9"/>
        <v>1</v>
      </c>
      <c r="H181" s="92">
        <v>0.9</v>
      </c>
    </row>
    <row r="182" spans="2:8" x14ac:dyDescent="0.25">
      <c r="C182" s="31" t="s">
        <v>131</v>
      </c>
      <c r="D182" s="105">
        <f t="shared" si="9"/>
        <v>1.2150000000000001</v>
      </c>
      <c r="E182" s="105">
        <f t="shared" si="9"/>
        <v>1</v>
      </c>
      <c r="F182" s="105">
        <f t="shared" si="9"/>
        <v>1</v>
      </c>
      <c r="G182" s="105">
        <f t="shared" si="9"/>
        <v>1</v>
      </c>
      <c r="H182" s="92">
        <v>0.9</v>
      </c>
    </row>
    <row r="183" spans="2:8" x14ac:dyDescent="0.25">
      <c r="C183" s="31" t="s">
        <v>132</v>
      </c>
      <c r="D183" s="105">
        <f t="shared" si="9"/>
        <v>4.8600000000000003</v>
      </c>
      <c r="E183" s="105">
        <f t="shared" si="9"/>
        <v>1</v>
      </c>
      <c r="F183" s="105">
        <f t="shared" si="9"/>
        <v>1</v>
      </c>
      <c r="G183" s="105">
        <f t="shared" si="9"/>
        <v>1</v>
      </c>
      <c r="H183" s="92">
        <v>0.9</v>
      </c>
    </row>
    <row r="184" spans="2:8" x14ac:dyDescent="0.25">
      <c r="B184" s="27" t="s">
        <v>80</v>
      </c>
      <c r="C184" s="31" t="s">
        <v>129</v>
      </c>
      <c r="D184" s="105">
        <f t="shared" si="9"/>
        <v>1</v>
      </c>
      <c r="E184" s="105">
        <f t="shared" si="9"/>
        <v>1</v>
      </c>
      <c r="F184" s="105">
        <f t="shared" si="9"/>
        <v>1</v>
      </c>
      <c r="G184" s="105">
        <f t="shared" si="9"/>
        <v>1</v>
      </c>
      <c r="H184" s="92">
        <v>0.9</v>
      </c>
    </row>
    <row r="185" spans="2:8" x14ac:dyDescent="0.25">
      <c r="C185" s="31" t="s">
        <v>130</v>
      </c>
      <c r="D185" s="105">
        <f t="shared" si="9"/>
        <v>1.2150000000000001</v>
      </c>
      <c r="E185" s="105">
        <f t="shared" si="9"/>
        <v>1</v>
      </c>
      <c r="F185" s="105">
        <f t="shared" si="9"/>
        <v>1</v>
      </c>
      <c r="G185" s="105">
        <f t="shared" si="9"/>
        <v>1</v>
      </c>
      <c r="H185" s="92">
        <v>0.9</v>
      </c>
    </row>
    <row r="186" spans="2:8" x14ac:dyDescent="0.25">
      <c r="C186" s="31" t="s">
        <v>131</v>
      </c>
      <c r="D186" s="105">
        <f t="shared" si="9"/>
        <v>1.2150000000000001</v>
      </c>
      <c r="E186" s="105">
        <f t="shared" si="9"/>
        <v>1</v>
      </c>
      <c r="F186" s="105">
        <f t="shared" si="9"/>
        <v>1</v>
      </c>
      <c r="G186" s="105">
        <f t="shared" si="9"/>
        <v>1</v>
      </c>
      <c r="H186" s="92">
        <v>0.9</v>
      </c>
    </row>
    <row r="187" spans="2:8" x14ac:dyDescent="0.25">
      <c r="C187" s="31" t="s">
        <v>132</v>
      </c>
      <c r="D187" s="105">
        <f t="shared" si="9"/>
        <v>4.8600000000000003</v>
      </c>
      <c r="E187" s="105">
        <f t="shared" si="9"/>
        <v>1</v>
      </c>
      <c r="F187" s="105">
        <f t="shared" si="9"/>
        <v>1</v>
      </c>
      <c r="G187" s="105">
        <f t="shared" si="9"/>
        <v>1</v>
      </c>
      <c r="H187" s="92">
        <v>0.9</v>
      </c>
    </row>
    <row r="188" spans="2:8" x14ac:dyDescent="0.25">
      <c r="B188" s="27" t="s">
        <v>82</v>
      </c>
      <c r="C188" s="31" t="s">
        <v>129</v>
      </c>
      <c r="D188" s="105">
        <f t="shared" si="9"/>
        <v>1</v>
      </c>
      <c r="E188" s="105">
        <f t="shared" si="9"/>
        <v>1</v>
      </c>
      <c r="F188" s="105">
        <f t="shared" si="9"/>
        <v>1</v>
      </c>
      <c r="G188" s="105">
        <f t="shared" si="9"/>
        <v>1</v>
      </c>
      <c r="H188" s="92">
        <v>0.9</v>
      </c>
    </row>
    <row r="189" spans="2:8" x14ac:dyDescent="0.25">
      <c r="C189" s="31" t="s">
        <v>130</v>
      </c>
      <c r="D189" s="105">
        <f t="shared" si="9"/>
        <v>1</v>
      </c>
      <c r="E189" s="105">
        <f t="shared" si="9"/>
        <v>1</v>
      </c>
      <c r="F189" s="105">
        <f t="shared" si="9"/>
        <v>1</v>
      </c>
      <c r="G189" s="105">
        <f t="shared" si="9"/>
        <v>1</v>
      </c>
      <c r="H189" s="92">
        <v>0.9</v>
      </c>
    </row>
    <row r="190" spans="2:8" x14ac:dyDescent="0.25">
      <c r="C190" s="31" t="s">
        <v>131</v>
      </c>
      <c r="D190" s="105">
        <f t="shared" si="9"/>
        <v>1</v>
      </c>
      <c r="E190" s="105">
        <f t="shared" si="9"/>
        <v>1</v>
      </c>
      <c r="F190" s="105">
        <f t="shared" si="9"/>
        <v>1</v>
      </c>
      <c r="G190" s="105">
        <f t="shared" si="9"/>
        <v>1</v>
      </c>
      <c r="H190" s="92">
        <v>0.9</v>
      </c>
    </row>
    <row r="191" spans="2:8" x14ac:dyDescent="0.25">
      <c r="C191" s="31" t="s">
        <v>132</v>
      </c>
      <c r="D191" s="105">
        <f t="shared" si="9"/>
        <v>1</v>
      </c>
      <c r="E191" s="105">
        <f t="shared" si="9"/>
        <v>1</v>
      </c>
      <c r="F191" s="105">
        <f t="shared" si="9"/>
        <v>1</v>
      </c>
      <c r="G191" s="105">
        <f t="shared" si="9"/>
        <v>1</v>
      </c>
      <c r="H191" s="92">
        <v>0.9</v>
      </c>
    </row>
    <row r="192" spans="2:8" x14ac:dyDescent="0.25">
      <c r="B192" s="27" t="s">
        <v>87</v>
      </c>
      <c r="C192" s="31" t="s">
        <v>129</v>
      </c>
      <c r="D192" s="105">
        <f t="shared" si="9"/>
        <v>1</v>
      </c>
      <c r="E192" s="105">
        <f t="shared" si="9"/>
        <v>1</v>
      </c>
      <c r="F192" s="105">
        <f t="shared" si="9"/>
        <v>1</v>
      </c>
      <c r="G192" s="105">
        <f t="shared" si="9"/>
        <v>1</v>
      </c>
      <c r="H192" s="92">
        <v>0.9</v>
      </c>
    </row>
    <row r="193" spans="2:8" x14ac:dyDescent="0.25">
      <c r="C193" s="31" t="s">
        <v>130</v>
      </c>
      <c r="D193" s="105">
        <f t="shared" ref="D193:G208" si="10">IF(D83=1,1,D83*0.9)</f>
        <v>1</v>
      </c>
      <c r="E193" s="105">
        <f t="shared" si="10"/>
        <v>2.052</v>
      </c>
      <c r="F193" s="105">
        <f t="shared" si="10"/>
        <v>1</v>
      </c>
      <c r="G193" s="105">
        <f t="shared" si="10"/>
        <v>1</v>
      </c>
      <c r="H193" s="92">
        <v>0.9</v>
      </c>
    </row>
    <row r="194" spans="2:8" x14ac:dyDescent="0.25">
      <c r="C194" s="31" t="s">
        <v>131</v>
      </c>
      <c r="D194" s="105">
        <f t="shared" si="10"/>
        <v>1</v>
      </c>
      <c r="E194" s="105">
        <f t="shared" si="10"/>
        <v>4.1580000000000004</v>
      </c>
      <c r="F194" s="105">
        <f t="shared" si="10"/>
        <v>1</v>
      </c>
      <c r="G194" s="105">
        <f t="shared" si="10"/>
        <v>1</v>
      </c>
      <c r="H194" s="92">
        <v>0.9</v>
      </c>
    </row>
    <row r="195" spans="2:8" x14ac:dyDescent="0.25">
      <c r="C195" s="31" t="s">
        <v>132</v>
      </c>
      <c r="D195" s="105">
        <f t="shared" si="10"/>
        <v>1</v>
      </c>
      <c r="E195" s="105">
        <f t="shared" si="10"/>
        <v>9.4770000000000003</v>
      </c>
      <c r="F195" s="105">
        <f t="shared" si="10"/>
        <v>1.323</v>
      </c>
      <c r="G195" s="105">
        <f t="shared" si="10"/>
        <v>2.3129999999999997</v>
      </c>
      <c r="H195" s="92">
        <v>0.9</v>
      </c>
    </row>
    <row r="196" spans="2:8" x14ac:dyDescent="0.25">
      <c r="B196" s="27" t="s">
        <v>88</v>
      </c>
      <c r="C196" s="31" t="s">
        <v>129</v>
      </c>
      <c r="D196" s="105">
        <f t="shared" si="10"/>
        <v>1</v>
      </c>
      <c r="E196" s="105">
        <f t="shared" si="10"/>
        <v>1</v>
      </c>
      <c r="F196" s="105">
        <f t="shared" si="10"/>
        <v>1</v>
      </c>
      <c r="G196" s="105">
        <f t="shared" si="10"/>
        <v>1</v>
      </c>
      <c r="H196" s="92">
        <v>0.9</v>
      </c>
    </row>
    <row r="197" spans="2:8" x14ac:dyDescent="0.25">
      <c r="C197" s="31" t="s">
        <v>130</v>
      </c>
      <c r="D197" s="105">
        <f t="shared" si="10"/>
        <v>1</v>
      </c>
      <c r="E197" s="105">
        <f t="shared" si="10"/>
        <v>1.494</v>
      </c>
      <c r="F197" s="105">
        <f t="shared" si="10"/>
        <v>1</v>
      </c>
      <c r="G197" s="105">
        <f t="shared" si="10"/>
        <v>1</v>
      </c>
      <c r="H197" s="92">
        <v>0.9</v>
      </c>
    </row>
    <row r="198" spans="2:8" x14ac:dyDescent="0.25">
      <c r="C198" s="31" t="s">
        <v>131</v>
      </c>
      <c r="D198" s="105">
        <f t="shared" si="10"/>
        <v>1</v>
      </c>
      <c r="E198" s="105">
        <f t="shared" si="10"/>
        <v>2.25</v>
      </c>
      <c r="F198" s="105">
        <f t="shared" si="10"/>
        <v>1</v>
      </c>
      <c r="G198" s="105">
        <f t="shared" si="10"/>
        <v>1</v>
      </c>
      <c r="H198" s="92">
        <v>0.9</v>
      </c>
    </row>
    <row r="199" spans="2:8" x14ac:dyDescent="0.25">
      <c r="C199" s="31" t="s">
        <v>132</v>
      </c>
      <c r="D199" s="105">
        <f t="shared" si="10"/>
        <v>1</v>
      </c>
      <c r="E199" s="105">
        <f t="shared" si="10"/>
        <v>13.473000000000001</v>
      </c>
      <c r="F199" s="105">
        <f t="shared" si="10"/>
        <v>1.728</v>
      </c>
      <c r="G199" s="105">
        <f t="shared" si="10"/>
        <v>1.728</v>
      </c>
      <c r="H199" s="92">
        <v>0.9</v>
      </c>
    </row>
    <row r="200" spans="2:8" x14ac:dyDescent="0.25">
      <c r="B200" s="27" t="s">
        <v>90</v>
      </c>
      <c r="C200" s="31" t="s">
        <v>129</v>
      </c>
      <c r="D200" s="105">
        <f t="shared" si="10"/>
        <v>1</v>
      </c>
      <c r="E200" s="105">
        <f t="shared" si="10"/>
        <v>1</v>
      </c>
      <c r="F200" s="105">
        <f t="shared" si="10"/>
        <v>1</v>
      </c>
      <c r="G200" s="105">
        <f t="shared" si="10"/>
        <v>1</v>
      </c>
      <c r="H200" s="92">
        <v>0.9</v>
      </c>
    </row>
    <row r="201" spans="2:8" x14ac:dyDescent="0.25">
      <c r="C201" s="31" t="s">
        <v>130</v>
      </c>
      <c r="D201" s="105">
        <f t="shared" si="10"/>
        <v>1</v>
      </c>
      <c r="E201" s="105">
        <f t="shared" si="10"/>
        <v>1.3320000000000001</v>
      </c>
      <c r="F201" s="105">
        <f t="shared" si="10"/>
        <v>1</v>
      </c>
      <c r="G201" s="105">
        <f t="shared" si="10"/>
        <v>1</v>
      </c>
      <c r="H201" s="92">
        <v>0.9</v>
      </c>
    </row>
    <row r="202" spans="2:8" x14ac:dyDescent="0.25">
      <c r="C202" s="31" t="s">
        <v>131</v>
      </c>
      <c r="D202" s="105">
        <f t="shared" si="10"/>
        <v>1</v>
      </c>
      <c r="E202" s="105">
        <f t="shared" si="10"/>
        <v>2.556</v>
      </c>
      <c r="F202" s="105">
        <f t="shared" si="10"/>
        <v>1</v>
      </c>
      <c r="G202" s="105">
        <f t="shared" si="10"/>
        <v>1</v>
      </c>
      <c r="H202" s="92">
        <v>0.9</v>
      </c>
    </row>
    <row r="203" spans="2:8" x14ac:dyDescent="0.25">
      <c r="C203" s="31" t="s">
        <v>132</v>
      </c>
      <c r="D203" s="105">
        <f t="shared" si="10"/>
        <v>1</v>
      </c>
      <c r="E203" s="105">
        <f t="shared" si="10"/>
        <v>12.96</v>
      </c>
      <c r="F203" s="105">
        <f t="shared" si="10"/>
        <v>3.3210000000000002</v>
      </c>
      <c r="G203" s="105">
        <f t="shared" si="10"/>
        <v>3.3210000000000002</v>
      </c>
      <c r="H203" s="92">
        <v>0.9</v>
      </c>
    </row>
    <row r="204" spans="2:8" x14ac:dyDescent="0.25">
      <c r="B204" s="27" t="s">
        <v>89</v>
      </c>
      <c r="C204" s="31" t="s">
        <v>129</v>
      </c>
      <c r="D204" s="105">
        <f t="shared" si="10"/>
        <v>1</v>
      </c>
      <c r="E204" s="105">
        <f t="shared" si="10"/>
        <v>1</v>
      </c>
      <c r="F204" s="105">
        <f t="shared" si="10"/>
        <v>1</v>
      </c>
      <c r="G204" s="105">
        <f t="shared" si="10"/>
        <v>1</v>
      </c>
      <c r="H204" s="92">
        <v>0.9</v>
      </c>
    </row>
    <row r="205" spans="2:8" x14ac:dyDescent="0.25">
      <c r="C205" s="31" t="s">
        <v>130</v>
      </c>
      <c r="D205" s="105">
        <f t="shared" si="10"/>
        <v>1</v>
      </c>
      <c r="E205" s="105">
        <f t="shared" si="10"/>
        <v>1.3320000000000001</v>
      </c>
      <c r="F205" s="105">
        <f t="shared" si="10"/>
        <v>1</v>
      </c>
      <c r="G205" s="105">
        <f t="shared" si="10"/>
        <v>1</v>
      </c>
      <c r="H205" s="92">
        <v>0.9</v>
      </c>
    </row>
    <row r="206" spans="2:8" x14ac:dyDescent="0.25">
      <c r="C206" s="31" t="s">
        <v>131</v>
      </c>
      <c r="D206" s="105">
        <f t="shared" si="10"/>
        <v>1</v>
      </c>
      <c r="E206" s="105">
        <f t="shared" si="10"/>
        <v>2.556</v>
      </c>
      <c r="F206" s="105">
        <f t="shared" si="10"/>
        <v>1</v>
      </c>
      <c r="G206" s="105">
        <f t="shared" si="10"/>
        <v>1</v>
      </c>
      <c r="H206" s="92">
        <v>0.9</v>
      </c>
    </row>
    <row r="207" spans="2:8" x14ac:dyDescent="0.25">
      <c r="C207" s="31" t="s">
        <v>132</v>
      </c>
      <c r="D207" s="105">
        <f t="shared" si="10"/>
        <v>1</v>
      </c>
      <c r="E207" s="105">
        <f t="shared" si="10"/>
        <v>12.96</v>
      </c>
      <c r="F207" s="105">
        <f t="shared" si="10"/>
        <v>3.3210000000000002</v>
      </c>
      <c r="G207" s="105">
        <f t="shared" si="10"/>
        <v>3.3210000000000002</v>
      </c>
      <c r="H207" s="92">
        <v>0.9</v>
      </c>
    </row>
    <row r="208" spans="2:8" x14ac:dyDescent="0.25">
      <c r="B208" s="27" t="s">
        <v>92</v>
      </c>
      <c r="C208" s="31" t="s">
        <v>129</v>
      </c>
      <c r="D208" s="105">
        <f t="shared" si="10"/>
        <v>1</v>
      </c>
      <c r="E208" s="105">
        <f t="shared" si="10"/>
        <v>1</v>
      </c>
      <c r="F208" s="105">
        <f t="shared" si="10"/>
        <v>1</v>
      </c>
      <c r="G208" s="105">
        <f t="shared" si="10"/>
        <v>1</v>
      </c>
      <c r="H208" s="92">
        <v>0.9</v>
      </c>
    </row>
    <row r="209" spans="1:9" x14ac:dyDescent="0.25">
      <c r="C209" s="31" t="s">
        <v>130</v>
      </c>
      <c r="D209" s="105">
        <f t="shared" ref="D209:G211" si="11">IF(D99=1,1,D99*0.9)</f>
        <v>1</v>
      </c>
      <c r="E209" s="105">
        <f t="shared" si="11"/>
        <v>1.3320000000000001</v>
      </c>
      <c r="F209" s="105">
        <f t="shared" si="11"/>
        <v>1</v>
      </c>
      <c r="G209" s="105">
        <f t="shared" si="11"/>
        <v>1</v>
      </c>
      <c r="H209" s="92">
        <v>0.9</v>
      </c>
    </row>
    <row r="210" spans="1:9" x14ac:dyDescent="0.25">
      <c r="C210" s="31" t="s">
        <v>131</v>
      </c>
      <c r="D210" s="105">
        <f t="shared" si="11"/>
        <v>1</v>
      </c>
      <c r="E210" s="105">
        <f t="shared" si="11"/>
        <v>2.556</v>
      </c>
      <c r="F210" s="105">
        <f t="shared" si="11"/>
        <v>1</v>
      </c>
      <c r="G210" s="105">
        <f t="shared" si="11"/>
        <v>1</v>
      </c>
      <c r="H210" s="92">
        <v>0.9</v>
      </c>
    </row>
    <row r="211" spans="1:9" x14ac:dyDescent="0.25">
      <c r="C211" s="31" t="s">
        <v>132</v>
      </c>
      <c r="D211" s="105">
        <f t="shared" si="11"/>
        <v>1</v>
      </c>
      <c r="E211" s="105">
        <f t="shared" si="11"/>
        <v>12.96</v>
      </c>
      <c r="F211" s="105">
        <f t="shared" si="11"/>
        <v>3.3210000000000002</v>
      </c>
      <c r="G211" s="105">
        <f t="shared" si="11"/>
        <v>3.3210000000000002</v>
      </c>
      <c r="H211" s="92">
        <v>0.9</v>
      </c>
    </row>
    <row r="213" spans="1:9" ht="13" x14ac:dyDescent="0.3">
      <c r="A213" s="78" t="s">
        <v>277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87</v>
      </c>
      <c r="B214" s="96" t="s">
        <v>132</v>
      </c>
      <c r="C214" s="80" t="s">
        <v>276</v>
      </c>
      <c r="D214" s="82" t="s">
        <v>109</v>
      </c>
      <c r="E214" s="82" t="s">
        <v>96</v>
      </c>
      <c r="F214" s="82" t="s">
        <v>97</v>
      </c>
      <c r="G214" s="82" t="s">
        <v>98</v>
      </c>
      <c r="H214" s="95" t="s">
        <v>99</v>
      </c>
    </row>
    <row r="215" spans="1:9" ht="13" x14ac:dyDescent="0.3">
      <c r="A215" s="29"/>
      <c r="C215" s="31" t="s">
        <v>129</v>
      </c>
      <c r="D215" s="105">
        <f>IF(D105=1,1,D105*0.9)</f>
        <v>1</v>
      </c>
      <c r="E215" s="105">
        <f t="shared" ref="E215:G215" si="12">IF(E105=1,1,E105*0.9)</f>
        <v>1</v>
      </c>
      <c r="F215" s="105">
        <f t="shared" si="12"/>
        <v>1</v>
      </c>
      <c r="G215" s="105">
        <f t="shared" si="12"/>
        <v>1</v>
      </c>
      <c r="H215" s="92">
        <v>0.9</v>
      </c>
    </row>
    <row r="216" spans="1:9" x14ac:dyDescent="0.25">
      <c r="C216" s="31" t="s">
        <v>130</v>
      </c>
      <c r="D216" s="105">
        <f t="shared" ref="D216:G218" si="13">IF(D106=1,1,D106*0.9)</f>
        <v>1.1340000000000001</v>
      </c>
      <c r="E216" s="105">
        <f t="shared" si="13"/>
        <v>1.1340000000000001</v>
      </c>
      <c r="F216" s="105">
        <f t="shared" si="13"/>
        <v>1</v>
      </c>
      <c r="G216" s="105">
        <f t="shared" si="13"/>
        <v>1</v>
      </c>
      <c r="H216" s="92">
        <v>0.9</v>
      </c>
    </row>
    <row r="217" spans="1:9" x14ac:dyDescent="0.25">
      <c r="C217" s="31" t="s">
        <v>131</v>
      </c>
      <c r="D217" s="105">
        <f t="shared" si="13"/>
        <v>1.512</v>
      </c>
      <c r="E217" s="105">
        <f t="shared" si="13"/>
        <v>1.512</v>
      </c>
      <c r="F217" s="105">
        <f t="shared" si="13"/>
        <v>1</v>
      </c>
      <c r="G217" s="105">
        <f t="shared" si="13"/>
        <v>1</v>
      </c>
      <c r="H217" s="92">
        <v>0.9</v>
      </c>
    </row>
    <row r="218" spans="1:9" x14ac:dyDescent="0.25">
      <c r="C218" s="31" t="s">
        <v>132</v>
      </c>
      <c r="D218" s="105">
        <f t="shared" si="13"/>
        <v>2.3849999999999998</v>
      </c>
      <c r="E218" s="105">
        <f t="shared" si="13"/>
        <v>2.3849999999999998</v>
      </c>
      <c r="F218" s="105">
        <f t="shared" si="13"/>
        <v>1.863</v>
      </c>
      <c r="G218" s="105">
        <f t="shared" si="13"/>
        <v>1.863</v>
      </c>
      <c r="H218" s="92">
        <v>0.9</v>
      </c>
    </row>
    <row r="220" spans="1:9" s="107" customFormat="1" ht="13" x14ac:dyDescent="0.3">
      <c r="A220" s="106" t="s">
        <v>239</v>
      </c>
      <c r="H220" s="106"/>
    </row>
    <row r="221" spans="1:9" ht="13" x14ac:dyDescent="0.3">
      <c r="A221" s="78" t="s">
        <v>264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226</v>
      </c>
      <c r="B222" s="41" t="s">
        <v>265</v>
      </c>
      <c r="C222" s="41" t="s">
        <v>266</v>
      </c>
      <c r="D222" s="82" t="s">
        <v>109</v>
      </c>
      <c r="E222" s="82" t="s">
        <v>96</v>
      </c>
      <c r="F222" s="82" t="s">
        <v>97</v>
      </c>
      <c r="G222" s="82" t="s">
        <v>98</v>
      </c>
      <c r="H222" s="82" t="s">
        <v>99</v>
      </c>
      <c r="I222" s="93"/>
    </row>
    <row r="223" spans="1:9" ht="13" x14ac:dyDescent="0.3">
      <c r="A223" s="29"/>
      <c r="B223" s="27" t="s">
        <v>87</v>
      </c>
      <c r="C223" s="31" t="s">
        <v>9</v>
      </c>
      <c r="D223" s="105">
        <f>IF(D3=1,1,D3*1.1)</f>
        <v>1</v>
      </c>
      <c r="E223" s="105">
        <f t="shared" ref="E223:H223" si="14">IF(E3=1,1,E3*1.1)</f>
        <v>1</v>
      </c>
      <c r="F223" s="105">
        <f t="shared" si="14"/>
        <v>1</v>
      </c>
      <c r="G223" s="105">
        <f t="shared" si="14"/>
        <v>1</v>
      </c>
      <c r="H223" s="105">
        <f t="shared" si="14"/>
        <v>1</v>
      </c>
      <c r="I223" s="92"/>
    </row>
    <row r="224" spans="1:9" x14ac:dyDescent="0.25">
      <c r="C224" s="31" t="s">
        <v>267</v>
      </c>
      <c r="D224" s="105">
        <f t="shared" ref="D224:H239" si="15">IF(D4=1,1,D4*1.1)</f>
        <v>1</v>
      </c>
      <c r="E224" s="105">
        <f t="shared" si="15"/>
        <v>1.837</v>
      </c>
      <c r="F224" s="105">
        <f t="shared" si="15"/>
        <v>1.837</v>
      </c>
      <c r="G224" s="105">
        <f t="shared" si="15"/>
        <v>1.837</v>
      </c>
      <c r="H224" s="105">
        <f t="shared" si="15"/>
        <v>1.837</v>
      </c>
      <c r="I224" s="92"/>
    </row>
    <row r="225" spans="2:9" x14ac:dyDescent="0.25">
      <c r="C225" s="31" t="s">
        <v>268</v>
      </c>
      <c r="D225" s="105">
        <f t="shared" si="15"/>
        <v>1</v>
      </c>
      <c r="E225" s="105">
        <f t="shared" si="15"/>
        <v>2.6179999999999999</v>
      </c>
      <c r="F225" s="105">
        <f t="shared" si="15"/>
        <v>2.6179999999999999</v>
      </c>
      <c r="G225" s="105">
        <f t="shared" si="15"/>
        <v>2.6179999999999999</v>
      </c>
      <c r="H225" s="105">
        <f t="shared" si="15"/>
        <v>2.6179999999999999</v>
      </c>
      <c r="I225" s="92"/>
    </row>
    <row r="226" spans="2:9" x14ac:dyDescent="0.25">
      <c r="C226" s="31" t="s">
        <v>269</v>
      </c>
      <c r="D226" s="105">
        <f t="shared" si="15"/>
        <v>1</v>
      </c>
      <c r="E226" s="105">
        <f t="shared" si="15"/>
        <v>6.963000000000001</v>
      </c>
      <c r="F226" s="105">
        <f t="shared" si="15"/>
        <v>6.963000000000001</v>
      </c>
      <c r="G226" s="105">
        <f t="shared" si="15"/>
        <v>6.963000000000001</v>
      </c>
      <c r="H226" s="105">
        <f t="shared" si="15"/>
        <v>6.963000000000001</v>
      </c>
      <c r="I226" s="92"/>
    </row>
    <row r="227" spans="2:9" x14ac:dyDescent="0.25">
      <c r="B227" s="27" t="s">
        <v>88</v>
      </c>
      <c r="C227" s="31" t="s">
        <v>9</v>
      </c>
      <c r="D227" s="105">
        <f t="shared" si="15"/>
        <v>1</v>
      </c>
      <c r="E227" s="105">
        <f t="shared" si="15"/>
        <v>1</v>
      </c>
      <c r="F227" s="105">
        <f t="shared" si="15"/>
        <v>1</v>
      </c>
      <c r="G227" s="105">
        <f t="shared" si="15"/>
        <v>1</v>
      </c>
      <c r="H227" s="105">
        <f t="shared" si="15"/>
        <v>1</v>
      </c>
      <c r="I227" s="92"/>
    </row>
    <row r="228" spans="2:9" x14ac:dyDescent="0.25">
      <c r="C228" s="31" t="s">
        <v>267</v>
      </c>
      <c r="D228" s="105">
        <f t="shared" si="15"/>
        <v>1</v>
      </c>
      <c r="E228" s="105">
        <f t="shared" si="15"/>
        <v>1.7050000000000003</v>
      </c>
      <c r="F228" s="105">
        <f t="shared" si="15"/>
        <v>1.7050000000000003</v>
      </c>
      <c r="G228" s="105">
        <f t="shared" si="15"/>
        <v>1.7050000000000003</v>
      </c>
      <c r="H228" s="105">
        <f t="shared" si="15"/>
        <v>1.7050000000000003</v>
      </c>
      <c r="I228" s="92"/>
    </row>
    <row r="229" spans="2:9" x14ac:dyDescent="0.25">
      <c r="C229" s="31" t="s">
        <v>268</v>
      </c>
      <c r="D229" s="105">
        <f t="shared" si="15"/>
        <v>1</v>
      </c>
      <c r="E229" s="105">
        <f t="shared" si="15"/>
        <v>2.3980000000000006</v>
      </c>
      <c r="F229" s="105">
        <f t="shared" si="15"/>
        <v>2.3980000000000006</v>
      </c>
      <c r="G229" s="105">
        <f t="shared" si="15"/>
        <v>2.3980000000000006</v>
      </c>
      <c r="H229" s="105">
        <f t="shared" si="15"/>
        <v>2.3980000000000006</v>
      </c>
      <c r="I229" s="92"/>
    </row>
    <row r="230" spans="2:9" x14ac:dyDescent="0.25">
      <c r="C230" s="31" t="s">
        <v>269</v>
      </c>
      <c r="D230" s="105">
        <f t="shared" si="15"/>
        <v>1</v>
      </c>
      <c r="E230" s="105">
        <f t="shared" si="15"/>
        <v>7.0289999999999999</v>
      </c>
      <c r="F230" s="105">
        <f t="shared" si="15"/>
        <v>7.0289999999999999</v>
      </c>
      <c r="G230" s="105">
        <f t="shared" si="15"/>
        <v>7.0289999999999999</v>
      </c>
      <c r="H230" s="105">
        <f t="shared" si="15"/>
        <v>7.0289999999999999</v>
      </c>
      <c r="I230" s="92"/>
    </row>
    <row r="231" spans="2:9" x14ac:dyDescent="0.25">
      <c r="B231" s="27" t="s">
        <v>90</v>
      </c>
      <c r="C231" s="31" t="s">
        <v>9</v>
      </c>
      <c r="D231" s="105">
        <f t="shared" si="15"/>
        <v>1</v>
      </c>
      <c r="E231" s="105">
        <f t="shared" si="15"/>
        <v>1</v>
      </c>
      <c r="F231" s="105">
        <f t="shared" si="15"/>
        <v>1</v>
      </c>
      <c r="G231" s="105">
        <f t="shared" si="15"/>
        <v>1</v>
      </c>
      <c r="H231" s="105">
        <f t="shared" si="15"/>
        <v>1</v>
      </c>
      <c r="I231" s="92"/>
    </row>
    <row r="232" spans="2:9" x14ac:dyDescent="0.25">
      <c r="C232" s="31" t="s">
        <v>267</v>
      </c>
      <c r="D232" s="105">
        <f t="shared" si="15"/>
        <v>1</v>
      </c>
      <c r="E232" s="105">
        <f t="shared" si="15"/>
        <v>1</v>
      </c>
      <c r="F232" s="105">
        <f t="shared" si="15"/>
        <v>1</v>
      </c>
      <c r="G232" s="105">
        <f t="shared" si="15"/>
        <v>1</v>
      </c>
      <c r="H232" s="105">
        <f t="shared" si="15"/>
        <v>1</v>
      </c>
      <c r="I232" s="92"/>
    </row>
    <row r="233" spans="2:9" x14ac:dyDescent="0.25">
      <c r="C233" s="31" t="s">
        <v>268</v>
      </c>
      <c r="D233" s="105">
        <f t="shared" si="15"/>
        <v>1</v>
      </c>
      <c r="E233" s="105">
        <f t="shared" si="15"/>
        <v>3.0690000000000004</v>
      </c>
      <c r="F233" s="105">
        <f t="shared" si="15"/>
        <v>3.0690000000000004</v>
      </c>
      <c r="G233" s="105">
        <f t="shared" si="15"/>
        <v>3.0690000000000004</v>
      </c>
      <c r="H233" s="105">
        <f t="shared" si="15"/>
        <v>3.0690000000000004</v>
      </c>
      <c r="I233" s="92"/>
    </row>
    <row r="234" spans="2:9" x14ac:dyDescent="0.25">
      <c r="C234" s="31" t="s">
        <v>269</v>
      </c>
      <c r="D234" s="105">
        <f t="shared" si="15"/>
        <v>1</v>
      </c>
      <c r="E234" s="105">
        <f t="shared" si="15"/>
        <v>6.6110000000000007</v>
      </c>
      <c r="F234" s="105">
        <f t="shared" si="15"/>
        <v>6.6110000000000007</v>
      </c>
      <c r="G234" s="105">
        <f t="shared" si="15"/>
        <v>6.6110000000000007</v>
      </c>
      <c r="H234" s="105">
        <f t="shared" si="15"/>
        <v>6.6110000000000007</v>
      </c>
      <c r="I234" s="92"/>
    </row>
    <row r="235" spans="2:9" x14ac:dyDescent="0.25">
      <c r="B235" s="27" t="s">
        <v>91</v>
      </c>
      <c r="C235" s="31" t="s">
        <v>9</v>
      </c>
      <c r="D235" s="105">
        <f t="shared" si="15"/>
        <v>1</v>
      </c>
      <c r="E235" s="105">
        <f t="shared" si="15"/>
        <v>1</v>
      </c>
      <c r="F235" s="105">
        <f t="shared" si="15"/>
        <v>1</v>
      </c>
      <c r="G235" s="105">
        <f t="shared" si="15"/>
        <v>1</v>
      </c>
      <c r="H235" s="105">
        <f t="shared" si="15"/>
        <v>1</v>
      </c>
      <c r="I235" s="92"/>
    </row>
    <row r="236" spans="2:9" x14ac:dyDescent="0.25">
      <c r="C236" s="31" t="s">
        <v>267</v>
      </c>
      <c r="D236" s="105">
        <f t="shared" si="15"/>
        <v>1</v>
      </c>
      <c r="E236" s="105">
        <f t="shared" si="15"/>
        <v>1</v>
      </c>
      <c r="F236" s="105">
        <f t="shared" si="15"/>
        <v>1</v>
      </c>
      <c r="G236" s="105">
        <f t="shared" si="15"/>
        <v>1</v>
      </c>
      <c r="H236" s="105">
        <f t="shared" si="15"/>
        <v>1</v>
      </c>
      <c r="I236" s="92"/>
    </row>
    <row r="237" spans="2:9" x14ac:dyDescent="0.25">
      <c r="C237" s="31" t="s">
        <v>268</v>
      </c>
      <c r="D237" s="105">
        <f t="shared" si="15"/>
        <v>1</v>
      </c>
      <c r="E237" s="105">
        <f t="shared" si="15"/>
        <v>1</v>
      </c>
      <c r="F237" s="105">
        <f t="shared" si="15"/>
        <v>1</v>
      </c>
      <c r="G237" s="105">
        <f t="shared" si="15"/>
        <v>1</v>
      </c>
      <c r="H237" s="105">
        <f t="shared" si="15"/>
        <v>1</v>
      </c>
      <c r="I237" s="92"/>
    </row>
    <row r="238" spans="2:9" x14ac:dyDescent="0.25">
      <c r="C238" s="31" t="s">
        <v>269</v>
      </c>
      <c r="D238" s="105">
        <f t="shared" si="15"/>
        <v>1</v>
      </c>
      <c r="E238" s="105">
        <f t="shared" si="15"/>
        <v>1</v>
      </c>
      <c r="F238" s="105">
        <f t="shared" si="15"/>
        <v>1</v>
      </c>
      <c r="G238" s="105">
        <f t="shared" si="15"/>
        <v>1</v>
      </c>
      <c r="H238" s="105">
        <f t="shared" si="15"/>
        <v>1</v>
      </c>
      <c r="I238" s="92"/>
    </row>
    <row r="239" spans="2:9" x14ac:dyDescent="0.25">
      <c r="B239" s="27" t="s">
        <v>89</v>
      </c>
      <c r="C239" s="31" t="s">
        <v>9</v>
      </c>
      <c r="D239" s="105">
        <f t="shared" si="15"/>
        <v>1</v>
      </c>
      <c r="E239" s="105">
        <f t="shared" si="15"/>
        <v>1</v>
      </c>
      <c r="F239" s="105">
        <f t="shared" si="15"/>
        <v>1</v>
      </c>
      <c r="G239" s="105">
        <f t="shared" si="15"/>
        <v>1</v>
      </c>
      <c r="H239" s="105">
        <f t="shared" si="15"/>
        <v>1</v>
      </c>
      <c r="I239" s="92"/>
    </row>
    <row r="240" spans="2:9" x14ac:dyDescent="0.25">
      <c r="C240" s="31" t="s">
        <v>267</v>
      </c>
      <c r="D240" s="105">
        <f t="shared" ref="D240:H246" si="16">IF(D20=1,1,D20*1.1)</f>
        <v>1</v>
      </c>
      <c r="E240" s="105">
        <f t="shared" si="16"/>
        <v>1</v>
      </c>
      <c r="F240" s="105">
        <f t="shared" si="16"/>
        <v>1</v>
      </c>
      <c r="G240" s="105">
        <f t="shared" si="16"/>
        <v>1</v>
      </c>
      <c r="H240" s="105">
        <f t="shared" si="16"/>
        <v>1</v>
      </c>
      <c r="I240" s="92"/>
    </row>
    <row r="241" spans="1:9" x14ac:dyDescent="0.25">
      <c r="C241" s="31" t="s">
        <v>268</v>
      </c>
      <c r="D241" s="105">
        <f t="shared" si="16"/>
        <v>1</v>
      </c>
      <c r="E241" s="105">
        <f t="shared" si="16"/>
        <v>2.0460000000000003</v>
      </c>
      <c r="F241" s="105">
        <f t="shared" si="16"/>
        <v>2.0460000000000003</v>
      </c>
      <c r="G241" s="105">
        <f t="shared" si="16"/>
        <v>2.0460000000000003</v>
      </c>
      <c r="H241" s="105">
        <f t="shared" si="16"/>
        <v>2.0460000000000003</v>
      </c>
      <c r="I241" s="92"/>
    </row>
    <row r="242" spans="1:9" x14ac:dyDescent="0.25">
      <c r="C242" s="31" t="s">
        <v>269</v>
      </c>
      <c r="D242" s="105">
        <f t="shared" si="16"/>
        <v>1</v>
      </c>
      <c r="E242" s="105">
        <f t="shared" si="16"/>
        <v>3.3109999999999999</v>
      </c>
      <c r="F242" s="105">
        <f t="shared" si="16"/>
        <v>3.3109999999999999</v>
      </c>
      <c r="G242" s="105">
        <f t="shared" si="16"/>
        <v>3.3109999999999999</v>
      </c>
      <c r="H242" s="105">
        <f t="shared" si="16"/>
        <v>3.3109999999999999</v>
      </c>
      <c r="I242" s="92"/>
    </row>
    <row r="243" spans="1:9" x14ac:dyDescent="0.25">
      <c r="B243" s="27" t="s">
        <v>95</v>
      </c>
      <c r="C243" s="31" t="s">
        <v>9</v>
      </c>
      <c r="D243" s="105">
        <f t="shared" si="16"/>
        <v>1</v>
      </c>
      <c r="E243" s="105">
        <f t="shared" si="16"/>
        <v>1</v>
      </c>
      <c r="F243" s="105">
        <f t="shared" si="16"/>
        <v>1</v>
      </c>
      <c r="G243" s="105">
        <f t="shared" si="16"/>
        <v>1</v>
      </c>
      <c r="H243" s="105">
        <f t="shared" si="16"/>
        <v>1</v>
      </c>
      <c r="I243" s="92"/>
    </row>
    <row r="244" spans="1:9" x14ac:dyDescent="0.25">
      <c r="C244" s="31" t="s">
        <v>267</v>
      </c>
      <c r="D244" s="105">
        <f t="shared" si="16"/>
        <v>1</v>
      </c>
      <c r="E244" s="105">
        <f t="shared" si="16"/>
        <v>1</v>
      </c>
      <c r="F244" s="105">
        <f t="shared" si="16"/>
        <v>1</v>
      </c>
      <c r="G244" s="105">
        <f t="shared" si="16"/>
        <v>1</v>
      </c>
      <c r="H244" s="105">
        <f t="shared" si="16"/>
        <v>1</v>
      </c>
      <c r="I244" s="92"/>
    </row>
    <row r="245" spans="1:9" x14ac:dyDescent="0.25">
      <c r="C245" s="31" t="s">
        <v>268</v>
      </c>
      <c r="D245" s="105">
        <f t="shared" si="16"/>
        <v>1</v>
      </c>
      <c r="E245" s="105">
        <f t="shared" si="16"/>
        <v>2.0460000000000003</v>
      </c>
      <c r="F245" s="105">
        <f t="shared" si="16"/>
        <v>2.0460000000000003</v>
      </c>
      <c r="G245" s="105">
        <f t="shared" si="16"/>
        <v>2.0460000000000003</v>
      </c>
      <c r="H245" s="105">
        <f t="shared" si="16"/>
        <v>2.0460000000000003</v>
      </c>
      <c r="I245" s="92"/>
    </row>
    <row r="246" spans="1:9" x14ac:dyDescent="0.25">
      <c r="C246" s="31" t="s">
        <v>269</v>
      </c>
      <c r="D246" s="105">
        <f t="shared" si="16"/>
        <v>1</v>
      </c>
      <c r="E246" s="105">
        <f t="shared" si="16"/>
        <v>3.3109999999999999</v>
      </c>
      <c r="F246" s="105">
        <f t="shared" si="16"/>
        <v>3.3109999999999999</v>
      </c>
      <c r="G246" s="105">
        <f t="shared" si="16"/>
        <v>3.3109999999999999</v>
      </c>
      <c r="H246" s="105">
        <f t="shared" si="16"/>
        <v>3.3109999999999999</v>
      </c>
      <c r="I246" s="92"/>
    </row>
    <row r="248" spans="1:9" ht="13" x14ac:dyDescent="0.3">
      <c r="A248" s="78" t="s">
        <v>278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279</v>
      </c>
      <c r="B249" s="29" t="s">
        <v>265</v>
      </c>
      <c r="C249" s="29" t="s">
        <v>270</v>
      </c>
      <c r="D249" s="82" t="s">
        <v>109</v>
      </c>
      <c r="E249" s="82" t="s">
        <v>96</v>
      </c>
      <c r="F249" s="82" t="s">
        <v>97</v>
      </c>
      <c r="G249" s="82" t="s">
        <v>98</v>
      </c>
      <c r="H249" s="82" t="s">
        <v>99</v>
      </c>
      <c r="I249" s="93"/>
    </row>
    <row r="250" spans="1:9" ht="13" x14ac:dyDescent="0.3">
      <c r="A250" s="29"/>
      <c r="B250" s="27" t="s">
        <v>87</v>
      </c>
      <c r="C250" s="31" t="s">
        <v>9</v>
      </c>
      <c r="D250" s="105">
        <f>IF(D30=1,1,D30*1.1)</f>
        <v>1</v>
      </c>
      <c r="E250" s="105">
        <f t="shared" ref="E250:H250" si="17">IF(E30=1,1,E30*1.1)</f>
        <v>1</v>
      </c>
      <c r="F250" s="105">
        <f t="shared" si="17"/>
        <v>1</v>
      </c>
      <c r="G250" s="105">
        <f t="shared" si="17"/>
        <v>1</v>
      </c>
      <c r="H250" s="105">
        <f t="shared" si="17"/>
        <v>1</v>
      </c>
      <c r="I250" s="94"/>
    </row>
    <row r="251" spans="1:9" x14ac:dyDescent="0.25">
      <c r="C251" s="31" t="s">
        <v>267</v>
      </c>
      <c r="D251" s="105">
        <f t="shared" ref="D251:H266" si="18">IF(D31=1,1,D31*1.1)</f>
        <v>1</v>
      </c>
      <c r="E251" s="105">
        <f t="shared" si="18"/>
        <v>1.7600000000000002</v>
      </c>
      <c r="F251" s="105">
        <f t="shared" si="18"/>
        <v>1.7600000000000002</v>
      </c>
      <c r="G251" s="105">
        <f t="shared" si="18"/>
        <v>1.7600000000000002</v>
      </c>
      <c r="H251" s="105">
        <f t="shared" si="18"/>
        <v>1.7600000000000002</v>
      </c>
      <c r="I251" s="92"/>
    </row>
    <row r="252" spans="1:9" x14ac:dyDescent="0.25">
      <c r="C252" s="31" t="s">
        <v>209</v>
      </c>
      <c r="D252" s="105">
        <f t="shared" si="18"/>
        <v>1</v>
      </c>
      <c r="E252" s="105">
        <f t="shared" si="18"/>
        <v>3.7510000000000003</v>
      </c>
      <c r="F252" s="105">
        <f t="shared" si="18"/>
        <v>3.7510000000000003</v>
      </c>
      <c r="G252" s="105">
        <f t="shared" si="18"/>
        <v>3.7510000000000003</v>
      </c>
      <c r="H252" s="105">
        <f t="shared" si="18"/>
        <v>3.7510000000000003</v>
      </c>
      <c r="I252" s="92"/>
    </row>
    <row r="253" spans="1:9" x14ac:dyDescent="0.25">
      <c r="C253" s="31" t="s">
        <v>208</v>
      </c>
      <c r="D253" s="105">
        <f t="shared" si="18"/>
        <v>1</v>
      </c>
      <c r="E253" s="105">
        <f t="shared" si="18"/>
        <v>13.563000000000001</v>
      </c>
      <c r="F253" s="105">
        <f t="shared" si="18"/>
        <v>13.563000000000001</v>
      </c>
      <c r="G253" s="105">
        <f t="shared" si="18"/>
        <v>13.563000000000001</v>
      </c>
      <c r="H253" s="105">
        <f t="shared" si="18"/>
        <v>13.563000000000001</v>
      </c>
      <c r="I253" s="92"/>
    </row>
    <row r="254" spans="1:9" x14ac:dyDescent="0.25">
      <c r="B254" s="27" t="s">
        <v>88</v>
      </c>
      <c r="C254" s="31" t="s">
        <v>9</v>
      </c>
      <c r="D254" s="105">
        <f t="shared" si="18"/>
        <v>1</v>
      </c>
      <c r="E254" s="105">
        <f t="shared" si="18"/>
        <v>1</v>
      </c>
      <c r="F254" s="105">
        <f t="shared" si="18"/>
        <v>1</v>
      </c>
      <c r="G254" s="105">
        <f t="shared" si="18"/>
        <v>1</v>
      </c>
      <c r="H254" s="105">
        <f t="shared" si="18"/>
        <v>1</v>
      </c>
      <c r="I254" s="92"/>
    </row>
    <row r="255" spans="1:9" x14ac:dyDescent="0.25">
      <c r="C255" s="31" t="s">
        <v>267</v>
      </c>
      <c r="D255" s="105">
        <f t="shared" si="18"/>
        <v>1</v>
      </c>
      <c r="E255" s="105">
        <f t="shared" si="18"/>
        <v>2.1120000000000001</v>
      </c>
      <c r="F255" s="105">
        <f t="shared" si="18"/>
        <v>2.1120000000000001</v>
      </c>
      <c r="G255" s="105">
        <f t="shared" si="18"/>
        <v>2.1120000000000001</v>
      </c>
      <c r="H255" s="105">
        <f t="shared" si="18"/>
        <v>2.1120000000000001</v>
      </c>
      <c r="I255" s="92"/>
    </row>
    <row r="256" spans="1:9" x14ac:dyDescent="0.25">
      <c r="C256" s="31" t="s">
        <v>209</v>
      </c>
      <c r="D256" s="105">
        <f t="shared" si="18"/>
        <v>1</v>
      </c>
      <c r="E256" s="105">
        <f t="shared" si="18"/>
        <v>5.1260000000000003</v>
      </c>
      <c r="F256" s="105">
        <f t="shared" si="18"/>
        <v>5.1260000000000003</v>
      </c>
      <c r="G256" s="105">
        <f t="shared" si="18"/>
        <v>5.1260000000000003</v>
      </c>
      <c r="H256" s="105">
        <f t="shared" si="18"/>
        <v>5.1260000000000003</v>
      </c>
      <c r="I256" s="92"/>
    </row>
    <row r="257" spans="2:9" x14ac:dyDescent="0.25">
      <c r="C257" s="31" t="s">
        <v>208</v>
      </c>
      <c r="D257" s="105">
        <f t="shared" si="18"/>
        <v>1</v>
      </c>
      <c r="E257" s="105">
        <f t="shared" si="18"/>
        <v>10.648</v>
      </c>
      <c r="F257" s="105">
        <f t="shared" si="18"/>
        <v>10.648</v>
      </c>
      <c r="G257" s="105">
        <f t="shared" si="18"/>
        <v>10.648</v>
      </c>
      <c r="H257" s="105">
        <f t="shared" si="18"/>
        <v>10.648</v>
      </c>
      <c r="I257" s="92"/>
    </row>
    <row r="258" spans="2:9" x14ac:dyDescent="0.25">
      <c r="B258" s="27" t="s">
        <v>90</v>
      </c>
      <c r="C258" s="31" t="s">
        <v>9</v>
      </c>
      <c r="D258" s="105">
        <f t="shared" si="18"/>
        <v>1</v>
      </c>
      <c r="E258" s="105">
        <f t="shared" si="18"/>
        <v>1</v>
      </c>
      <c r="F258" s="105">
        <f t="shared" si="18"/>
        <v>1</v>
      </c>
      <c r="G258" s="105">
        <f t="shared" si="18"/>
        <v>1</v>
      </c>
      <c r="H258" s="105">
        <f t="shared" si="18"/>
        <v>1</v>
      </c>
      <c r="I258" s="92"/>
    </row>
    <row r="259" spans="2:9" x14ac:dyDescent="0.25">
      <c r="C259" s="31" t="s">
        <v>267</v>
      </c>
      <c r="D259" s="105">
        <f t="shared" si="18"/>
        <v>1</v>
      </c>
      <c r="E259" s="105">
        <f t="shared" si="18"/>
        <v>1</v>
      </c>
      <c r="F259" s="105">
        <f t="shared" si="18"/>
        <v>1</v>
      </c>
      <c r="G259" s="105">
        <f t="shared" si="18"/>
        <v>1</v>
      </c>
      <c r="H259" s="105">
        <f t="shared" si="18"/>
        <v>1</v>
      </c>
      <c r="I259" s="92"/>
    </row>
    <row r="260" spans="2:9" x14ac:dyDescent="0.25">
      <c r="C260" s="31" t="s">
        <v>209</v>
      </c>
      <c r="D260" s="105">
        <f t="shared" si="18"/>
        <v>1</v>
      </c>
      <c r="E260" s="105">
        <f t="shared" si="18"/>
        <v>2.8380000000000005</v>
      </c>
      <c r="F260" s="105">
        <f t="shared" si="18"/>
        <v>2.8380000000000005</v>
      </c>
      <c r="G260" s="105">
        <f t="shared" si="18"/>
        <v>2.8380000000000005</v>
      </c>
      <c r="H260" s="105">
        <f t="shared" si="18"/>
        <v>2.8380000000000005</v>
      </c>
      <c r="I260" s="92"/>
    </row>
    <row r="261" spans="2:9" x14ac:dyDescent="0.25">
      <c r="C261" s="31" t="s">
        <v>208</v>
      </c>
      <c r="D261" s="105">
        <f t="shared" si="18"/>
        <v>1</v>
      </c>
      <c r="E261" s="105">
        <f t="shared" si="18"/>
        <v>10.593000000000002</v>
      </c>
      <c r="F261" s="105">
        <f t="shared" si="18"/>
        <v>10.593000000000002</v>
      </c>
      <c r="G261" s="105">
        <f t="shared" si="18"/>
        <v>10.593000000000002</v>
      </c>
      <c r="H261" s="105">
        <f t="shared" si="18"/>
        <v>10.593000000000002</v>
      </c>
      <c r="I261" s="92"/>
    </row>
    <row r="262" spans="2:9" x14ac:dyDescent="0.25">
      <c r="B262" s="27" t="s">
        <v>91</v>
      </c>
      <c r="C262" s="31" t="s">
        <v>9</v>
      </c>
      <c r="D262" s="105">
        <f t="shared" si="18"/>
        <v>1</v>
      </c>
      <c r="E262" s="105">
        <f t="shared" si="18"/>
        <v>1</v>
      </c>
      <c r="F262" s="105">
        <f t="shared" si="18"/>
        <v>1</v>
      </c>
      <c r="G262" s="105">
        <f t="shared" si="18"/>
        <v>1</v>
      </c>
      <c r="H262" s="105">
        <f t="shared" si="18"/>
        <v>1</v>
      </c>
      <c r="I262" s="92"/>
    </row>
    <row r="263" spans="2:9" x14ac:dyDescent="0.25">
      <c r="C263" s="31" t="s">
        <v>267</v>
      </c>
      <c r="D263" s="105">
        <f t="shared" si="18"/>
        <v>1</v>
      </c>
      <c r="E263" s="105">
        <f t="shared" si="18"/>
        <v>1</v>
      </c>
      <c r="F263" s="105">
        <f t="shared" si="18"/>
        <v>1</v>
      </c>
      <c r="G263" s="105">
        <f t="shared" si="18"/>
        <v>1</v>
      </c>
      <c r="H263" s="105">
        <f t="shared" si="18"/>
        <v>1</v>
      </c>
      <c r="I263" s="92"/>
    </row>
    <row r="264" spans="2:9" x14ac:dyDescent="0.25">
      <c r="C264" s="31" t="s">
        <v>209</v>
      </c>
      <c r="D264" s="105">
        <f t="shared" si="18"/>
        <v>1</v>
      </c>
      <c r="E264" s="105">
        <f t="shared" si="18"/>
        <v>1</v>
      </c>
      <c r="F264" s="105">
        <f t="shared" si="18"/>
        <v>1</v>
      </c>
      <c r="G264" s="105">
        <f t="shared" si="18"/>
        <v>1</v>
      </c>
      <c r="H264" s="105">
        <f t="shared" si="18"/>
        <v>1</v>
      </c>
      <c r="I264" s="92"/>
    </row>
    <row r="265" spans="2:9" x14ac:dyDescent="0.25">
      <c r="C265" s="31" t="s">
        <v>208</v>
      </c>
      <c r="D265" s="105">
        <f t="shared" si="18"/>
        <v>1</v>
      </c>
      <c r="E265" s="105">
        <f t="shared" si="18"/>
        <v>1</v>
      </c>
      <c r="F265" s="105">
        <f t="shared" si="18"/>
        <v>1</v>
      </c>
      <c r="G265" s="105">
        <f t="shared" si="18"/>
        <v>1</v>
      </c>
      <c r="H265" s="105">
        <f t="shared" si="18"/>
        <v>1</v>
      </c>
      <c r="I265" s="92"/>
    </row>
    <row r="266" spans="2:9" x14ac:dyDescent="0.25">
      <c r="B266" s="27" t="s">
        <v>89</v>
      </c>
      <c r="C266" s="31" t="s">
        <v>9</v>
      </c>
      <c r="D266" s="105">
        <f t="shared" si="18"/>
        <v>1</v>
      </c>
      <c r="E266" s="105">
        <f t="shared" si="18"/>
        <v>1</v>
      </c>
      <c r="F266" s="105">
        <f t="shared" si="18"/>
        <v>1</v>
      </c>
      <c r="G266" s="105">
        <f t="shared" si="18"/>
        <v>1</v>
      </c>
      <c r="H266" s="105">
        <f t="shared" si="18"/>
        <v>1</v>
      </c>
      <c r="I266" s="92"/>
    </row>
    <row r="267" spans="2:9" x14ac:dyDescent="0.25">
      <c r="C267" s="31" t="s">
        <v>267</v>
      </c>
      <c r="D267" s="105">
        <f t="shared" ref="D267:H273" si="19">IF(D47=1,1,D47*1.1)</f>
        <v>1</v>
      </c>
      <c r="E267" s="105">
        <f t="shared" si="19"/>
        <v>1.8149999999999999</v>
      </c>
      <c r="F267" s="105">
        <f t="shared" si="19"/>
        <v>1.8149999999999999</v>
      </c>
      <c r="G267" s="105">
        <f t="shared" si="19"/>
        <v>1.8149999999999999</v>
      </c>
      <c r="H267" s="105">
        <f t="shared" si="19"/>
        <v>1.8149999999999999</v>
      </c>
      <c r="I267" s="92"/>
    </row>
    <row r="268" spans="2:9" x14ac:dyDescent="0.25">
      <c r="C268" s="31" t="s">
        <v>209</v>
      </c>
      <c r="D268" s="105">
        <f t="shared" si="19"/>
        <v>1</v>
      </c>
      <c r="E268" s="105">
        <f t="shared" si="19"/>
        <v>3.0030000000000001</v>
      </c>
      <c r="F268" s="105">
        <f t="shared" si="19"/>
        <v>3.0030000000000001</v>
      </c>
      <c r="G268" s="105">
        <f t="shared" si="19"/>
        <v>3.0030000000000001</v>
      </c>
      <c r="H268" s="105">
        <f t="shared" si="19"/>
        <v>3.0030000000000001</v>
      </c>
      <c r="I268" s="92"/>
    </row>
    <row r="269" spans="2:9" x14ac:dyDescent="0.25">
      <c r="C269" s="31" t="s">
        <v>208</v>
      </c>
      <c r="D269" s="105">
        <f t="shared" si="19"/>
        <v>1</v>
      </c>
      <c r="E269" s="105">
        <f t="shared" si="19"/>
        <v>12.331000000000001</v>
      </c>
      <c r="F269" s="105">
        <f t="shared" si="19"/>
        <v>12.331000000000001</v>
      </c>
      <c r="G269" s="105">
        <f t="shared" si="19"/>
        <v>12.331000000000001</v>
      </c>
      <c r="H269" s="105">
        <f t="shared" si="19"/>
        <v>12.331000000000001</v>
      </c>
      <c r="I269" s="92"/>
    </row>
    <row r="270" spans="2:9" x14ac:dyDescent="0.25">
      <c r="B270" s="27" t="s">
        <v>95</v>
      </c>
      <c r="C270" s="31" t="s">
        <v>9</v>
      </c>
      <c r="D270" s="105">
        <f t="shared" si="19"/>
        <v>1</v>
      </c>
      <c r="E270" s="105">
        <f t="shared" si="19"/>
        <v>1</v>
      </c>
      <c r="F270" s="105">
        <f t="shared" si="19"/>
        <v>1</v>
      </c>
      <c r="G270" s="105">
        <f t="shared" si="19"/>
        <v>1</v>
      </c>
      <c r="H270" s="105">
        <f t="shared" si="19"/>
        <v>1</v>
      </c>
      <c r="I270" s="92"/>
    </row>
    <row r="271" spans="2:9" x14ac:dyDescent="0.25">
      <c r="C271" s="31" t="s">
        <v>267</v>
      </c>
      <c r="D271" s="105">
        <f t="shared" si="19"/>
        <v>1</v>
      </c>
      <c r="E271" s="105">
        <f t="shared" si="19"/>
        <v>1.8149999999999999</v>
      </c>
      <c r="F271" s="105">
        <f t="shared" si="19"/>
        <v>1.8149999999999999</v>
      </c>
      <c r="G271" s="105">
        <f t="shared" si="19"/>
        <v>1.8149999999999999</v>
      </c>
      <c r="H271" s="105">
        <f t="shared" si="19"/>
        <v>1.8149999999999999</v>
      </c>
      <c r="I271" s="92"/>
    </row>
    <row r="272" spans="2:9" x14ac:dyDescent="0.25">
      <c r="C272" s="31" t="s">
        <v>209</v>
      </c>
      <c r="D272" s="105">
        <f t="shared" si="19"/>
        <v>1</v>
      </c>
      <c r="E272" s="105">
        <f t="shared" si="19"/>
        <v>3.0030000000000001</v>
      </c>
      <c r="F272" s="105">
        <f t="shared" si="19"/>
        <v>3.0030000000000001</v>
      </c>
      <c r="G272" s="105">
        <f t="shared" si="19"/>
        <v>3.0030000000000001</v>
      </c>
      <c r="H272" s="105">
        <f t="shared" si="19"/>
        <v>3.0030000000000001</v>
      </c>
      <c r="I272" s="92"/>
    </row>
    <row r="273" spans="1:9" x14ac:dyDescent="0.25">
      <c r="C273" s="31" t="s">
        <v>208</v>
      </c>
      <c r="D273" s="105">
        <f t="shared" si="19"/>
        <v>1</v>
      </c>
      <c r="E273" s="105">
        <f t="shared" si="19"/>
        <v>12.331000000000001</v>
      </c>
      <c r="F273" s="105">
        <f t="shared" si="19"/>
        <v>12.331000000000001</v>
      </c>
      <c r="G273" s="105">
        <f t="shared" si="19"/>
        <v>12.331000000000001</v>
      </c>
      <c r="H273" s="105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271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121</v>
      </c>
      <c r="B276" s="29" t="s">
        <v>265</v>
      </c>
      <c r="C276" s="80" t="s">
        <v>272</v>
      </c>
      <c r="D276" s="82" t="s">
        <v>122</v>
      </c>
      <c r="E276" s="82" t="s">
        <v>123</v>
      </c>
      <c r="F276" s="82" t="s">
        <v>124</v>
      </c>
      <c r="G276" s="82" t="s">
        <v>125</v>
      </c>
      <c r="H276" s="93"/>
    </row>
    <row r="277" spans="1:9" ht="13" x14ac:dyDescent="0.3">
      <c r="A277" s="29"/>
      <c r="B277" s="27" t="s">
        <v>101</v>
      </c>
      <c r="C277" s="31" t="s">
        <v>273</v>
      </c>
      <c r="D277" s="105">
        <f>IF(D57=1,1,D57*1.1)</f>
        <v>1</v>
      </c>
      <c r="E277" s="105">
        <f t="shared" ref="E277:G277" si="20">IF(E57=1,1,E57*1.1)</f>
        <v>1</v>
      </c>
      <c r="F277" s="105">
        <f t="shared" si="20"/>
        <v>1</v>
      </c>
      <c r="G277" s="105">
        <f t="shared" si="20"/>
        <v>1</v>
      </c>
      <c r="H277" s="92"/>
    </row>
    <row r="278" spans="1:9" x14ac:dyDescent="0.25">
      <c r="C278" s="31" t="s">
        <v>274</v>
      </c>
      <c r="D278" s="105">
        <f t="shared" ref="D278:G282" si="21">IF(D58=1,1,D58*1.1)</f>
        <v>11.742500000000001</v>
      </c>
      <c r="E278" s="105">
        <f t="shared" si="21"/>
        <v>11.742500000000001</v>
      </c>
      <c r="F278" s="105">
        <f t="shared" si="21"/>
        <v>11.742500000000001</v>
      </c>
      <c r="G278" s="105">
        <f t="shared" si="21"/>
        <v>11.742500000000001</v>
      </c>
      <c r="H278" s="92"/>
    </row>
    <row r="279" spans="1:9" x14ac:dyDescent="0.25">
      <c r="B279" s="27" t="s">
        <v>102</v>
      </c>
      <c r="C279" s="31" t="s">
        <v>273</v>
      </c>
      <c r="D279" s="105">
        <f t="shared" si="21"/>
        <v>1</v>
      </c>
      <c r="E279" s="105">
        <f t="shared" si="21"/>
        <v>1</v>
      </c>
      <c r="F279" s="105">
        <f t="shared" si="21"/>
        <v>1</v>
      </c>
      <c r="G279" s="105">
        <f t="shared" si="21"/>
        <v>1</v>
      </c>
      <c r="H279" s="92"/>
    </row>
    <row r="280" spans="1:9" x14ac:dyDescent="0.25">
      <c r="C280" s="31" t="s">
        <v>274</v>
      </c>
      <c r="D280" s="105">
        <f t="shared" si="21"/>
        <v>11.742500000000001</v>
      </c>
      <c r="E280" s="105">
        <f t="shared" si="21"/>
        <v>11.742500000000001</v>
      </c>
      <c r="F280" s="105">
        <f t="shared" si="21"/>
        <v>11.742500000000001</v>
      </c>
      <c r="G280" s="105">
        <f t="shared" si="21"/>
        <v>11.742500000000001</v>
      </c>
      <c r="H280" s="92"/>
    </row>
    <row r="281" spans="1:9" x14ac:dyDescent="0.25">
      <c r="B281" s="27" t="s">
        <v>103</v>
      </c>
      <c r="C281" s="31" t="s">
        <v>273</v>
      </c>
      <c r="D281" s="105">
        <f t="shared" si="21"/>
        <v>1</v>
      </c>
      <c r="E281" s="105">
        <f t="shared" si="21"/>
        <v>1</v>
      </c>
      <c r="F281" s="105">
        <f t="shared" si="21"/>
        <v>1</v>
      </c>
      <c r="G281" s="105">
        <f t="shared" si="21"/>
        <v>1</v>
      </c>
      <c r="H281" s="92"/>
    </row>
    <row r="282" spans="1:9" x14ac:dyDescent="0.25">
      <c r="C282" s="31" t="s">
        <v>274</v>
      </c>
      <c r="D282" s="105">
        <f t="shared" si="21"/>
        <v>11.742500000000001</v>
      </c>
      <c r="E282" s="105">
        <f t="shared" si="21"/>
        <v>11.742500000000001</v>
      </c>
      <c r="F282" s="105">
        <f t="shared" si="21"/>
        <v>11.742500000000001</v>
      </c>
      <c r="G282" s="105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275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128</v>
      </c>
      <c r="B285" s="29" t="s">
        <v>265</v>
      </c>
      <c r="C285" s="80" t="s">
        <v>276</v>
      </c>
      <c r="D285" s="82" t="s">
        <v>109</v>
      </c>
      <c r="E285" s="82" t="s">
        <v>96</v>
      </c>
      <c r="F285" s="82" t="s">
        <v>97</v>
      </c>
      <c r="G285" s="82" t="s">
        <v>98</v>
      </c>
      <c r="H285" s="95" t="s">
        <v>99</v>
      </c>
      <c r="I285" s="93"/>
    </row>
    <row r="286" spans="1:9" ht="13" x14ac:dyDescent="0.3">
      <c r="A286" s="96"/>
      <c r="B286" s="27" t="s">
        <v>78</v>
      </c>
      <c r="C286" s="31" t="s">
        <v>129</v>
      </c>
      <c r="D286" s="105">
        <f>IF(D66=1,1,D66*1.1)</f>
        <v>1</v>
      </c>
      <c r="E286" s="105">
        <f t="shared" ref="E286:G286" si="22">IF(E66=1,1,E66*1.1)</f>
        <v>1</v>
      </c>
      <c r="F286" s="105">
        <f t="shared" si="22"/>
        <v>1</v>
      </c>
      <c r="G286" s="105">
        <f t="shared" si="22"/>
        <v>1</v>
      </c>
      <c r="H286" s="92">
        <v>1.05</v>
      </c>
      <c r="I286" s="92"/>
    </row>
    <row r="287" spans="1:9" x14ac:dyDescent="0.25">
      <c r="C287" s="31" t="s">
        <v>130</v>
      </c>
      <c r="D287" s="105">
        <f t="shared" ref="D287:G302" si="23">IF(D67=1,1,D67*1.1)</f>
        <v>1.4850000000000003</v>
      </c>
      <c r="E287" s="105">
        <f t="shared" si="23"/>
        <v>1</v>
      </c>
      <c r="F287" s="105">
        <f t="shared" si="23"/>
        <v>1</v>
      </c>
      <c r="G287" s="105">
        <f t="shared" si="23"/>
        <v>1</v>
      </c>
      <c r="H287" s="92">
        <v>1.05</v>
      </c>
      <c r="I287" s="92"/>
    </row>
    <row r="288" spans="1:9" x14ac:dyDescent="0.25">
      <c r="C288" s="31" t="s">
        <v>131</v>
      </c>
      <c r="D288" s="105">
        <f t="shared" si="23"/>
        <v>1.4850000000000003</v>
      </c>
      <c r="E288" s="105">
        <f t="shared" si="23"/>
        <v>1</v>
      </c>
      <c r="F288" s="105">
        <f t="shared" si="23"/>
        <v>1</v>
      </c>
      <c r="G288" s="105">
        <f t="shared" si="23"/>
        <v>1</v>
      </c>
      <c r="H288" s="92">
        <v>1.05</v>
      </c>
      <c r="I288" s="92"/>
    </row>
    <row r="289" spans="2:9" x14ac:dyDescent="0.25">
      <c r="C289" s="31" t="s">
        <v>132</v>
      </c>
      <c r="D289" s="105">
        <f t="shared" si="23"/>
        <v>5.9400000000000013</v>
      </c>
      <c r="E289" s="105">
        <f t="shared" si="23"/>
        <v>1</v>
      </c>
      <c r="F289" s="105">
        <f t="shared" si="23"/>
        <v>1</v>
      </c>
      <c r="G289" s="105">
        <f t="shared" si="23"/>
        <v>1</v>
      </c>
      <c r="H289" s="92">
        <v>1.05</v>
      </c>
      <c r="I289" s="92"/>
    </row>
    <row r="290" spans="2:9" x14ac:dyDescent="0.25">
      <c r="B290" s="27" t="s">
        <v>79</v>
      </c>
      <c r="C290" s="31" t="s">
        <v>129</v>
      </c>
      <c r="D290" s="105">
        <f t="shared" si="23"/>
        <v>1</v>
      </c>
      <c r="E290" s="105">
        <f t="shared" si="23"/>
        <v>1</v>
      </c>
      <c r="F290" s="105">
        <f t="shared" si="23"/>
        <v>1</v>
      </c>
      <c r="G290" s="105">
        <f t="shared" si="23"/>
        <v>1</v>
      </c>
      <c r="H290" s="92">
        <v>1.05</v>
      </c>
      <c r="I290" s="92"/>
    </row>
    <row r="291" spans="2:9" x14ac:dyDescent="0.25">
      <c r="C291" s="31" t="s">
        <v>130</v>
      </c>
      <c r="D291" s="105">
        <f t="shared" si="23"/>
        <v>1.4850000000000003</v>
      </c>
      <c r="E291" s="105">
        <f t="shared" si="23"/>
        <v>1</v>
      </c>
      <c r="F291" s="105">
        <f t="shared" si="23"/>
        <v>1</v>
      </c>
      <c r="G291" s="105">
        <f t="shared" si="23"/>
        <v>1</v>
      </c>
      <c r="H291" s="92">
        <v>1.05</v>
      </c>
      <c r="I291" s="92"/>
    </row>
    <row r="292" spans="2:9" x14ac:dyDescent="0.25">
      <c r="C292" s="31" t="s">
        <v>131</v>
      </c>
      <c r="D292" s="105">
        <f t="shared" si="23"/>
        <v>1.4850000000000003</v>
      </c>
      <c r="E292" s="105">
        <f t="shared" si="23"/>
        <v>1</v>
      </c>
      <c r="F292" s="105">
        <f t="shared" si="23"/>
        <v>1</v>
      </c>
      <c r="G292" s="105">
        <f t="shared" si="23"/>
        <v>1</v>
      </c>
      <c r="H292" s="92">
        <v>1.05</v>
      </c>
      <c r="I292" s="92"/>
    </row>
    <row r="293" spans="2:9" x14ac:dyDescent="0.25">
      <c r="C293" s="31" t="s">
        <v>132</v>
      </c>
      <c r="D293" s="105">
        <f t="shared" si="23"/>
        <v>5.9400000000000013</v>
      </c>
      <c r="E293" s="105">
        <f t="shared" si="23"/>
        <v>1</v>
      </c>
      <c r="F293" s="105">
        <f t="shared" si="23"/>
        <v>1</v>
      </c>
      <c r="G293" s="105">
        <f t="shared" si="23"/>
        <v>1</v>
      </c>
      <c r="H293" s="92">
        <v>1.05</v>
      </c>
      <c r="I293" s="92"/>
    </row>
    <row r="294" spans="2:9" x14ac:dyDescent="0.25">
      <c r="B294" s="27" t="s">
        <v>80</v>
      </c>
      <c r="C294" s="31" t="s">
        <v>129</v>
      </c>
      <c r="D294" s="105">
        <f t="shared" si="23"/>
        <v>1</v>
      </c>
      <c r="E294" s="105">
        <f t="shared" si="23"/>
        <v>1</v>
      </c>
      <c r="F294" s="105">
        <f t="shared" si="23"/>
        <v>1</v>
      </c>
      <c r="G294" s="105">
        <f t="shared" si="23"/>
        <v>1</v>
      </c>
      <c r="H294" s="92">
        <v>1.05</v>
      </c>
      <c r="I294" s="92"/>
    </row>
    <row r="295" spans="2:9" x14ac:dyDescent="0.25">
      <c r="C295" s="31" t="s">
        <v>130</v>
      </c>
      <c r="D295" s="105">
        <f t="shared" si="23"/>
        <v>1.4850000000000003</v>
      </c>
      <c r="E295" s="105">
        <f t="shared" si="23"/>
        <v>1</v>
      </c>
      <c r="F295" s="105">
        <f t="shared" si="23"/>
        <v>1</v>
      </c>
      <c r="G295" s="105">
        <f t="shared" si="23"/>
        <v>1</v>
      </c>
      <c r="H295" s="92">
        <v>1.05</v>
      </c>
      <c r="I295" s="92"/>
    </row>
    <row r="296" spans="2:9" x14ac:dyDescent="0.25">
      <c r="C296" s="31" t="s">
        <v>131</v>
      </c>
      <c r="D296" s="105">
        <f t="shared" si="23"/>
        <v>1.4850000000000003</v>
      </c>
      <c r="E296" s="105">
        <f t="shared" si="23"/>
        <v>1</v>
      </c>
      <c r="F296" s="105">
        <f t="shared" si="23"/>
        <v>1</v>
      </c>
      <c r="G296" s="105">
        <f t="shared" si="23"/>
        <v>1</v>
      </c>
      <c r="H296" s="92">
        <v>1.05</v>
      </c>
      <c r="I296" s="92"/>
    </row>
    <row r="297" spans="2:9" x14ac:dyDescent="0.25">
      <c r="C297" s="31" t="s">
        <v>132</v>
      </c>
      <c r="D297" s="105">
        <f t="shared" si="23"/>
        <v>5.9400000000000013</v>
      </c>
      <c r="E297" s="105">
        <f t="shared" si="23"/>
        <v>1</v>
      </c>
      <c r="F297" s="105">
        <f t="shared" si="23"/>
        <v>1</v>
      </c>
      <c r="G297" s="105">
        <f t="shared" si="23"/>
        <v>1</v>
      </c>
      <c r="H297" s="92">
        <v>1.05</v>
      </c>
      <c r="I297" s="92"/>
    </row>
    <row r="298" spans="2:9" x14ac:dyDescent="0.25">
      <c r="B298" s="27" t="s">
        <v>82</v>
      </c>
      <c r="C298" s="31" t="s">
        <v>129</v>
      </c>
      <c r="D298" s="105">
        <f t="shared" si="23"/>
        <v>1</v>
      </c>
      <c r="E298" s="105">
        <f t="shared" si="23"/>
        <v>1</v>
      </c>
      <c r="F298" s="105">
        <f t="shared" si="23"/>
        <v>1</v>
      </c>
      <c r="G298" s="105">
        <f t="shared" si="23"/>
        <v>1</v>
      </c>
      <c r="H298" s="92">
        <v>1.05</v>
      </c>
      <c r="I298" s="92"/>
    </row>
    <row r="299" spans="2:9" x14ac:dyDescent="0.25">
      <c r="C299" s="31" t="s">
        <v>130</v>
      </c>
      <c r="D299" s="105">
        <f t="shared" si="23"/>
        <v>1</v>
      </c>
      <c r="E299" s="105">
        <f t="shared" si="23"/>
        <v>1</v>
      </c>
      <c r="F299" s="105">
        <f t="shared" si="23"/>
        <v>1</v>
      </c>
      <c r="G299" s="105">
        <f t="shared" si="23"/>
        <v>1</v>
      </c>
      <c r="H299" s="92">
        <v>1.05</v>
      </c>
      <c r="I299" s="92"/>
    </row>
    <row r="300" spans="2:9" x14ac:dyDescent="0.25">
      <c r="C300" s="31" t="s">
        <v>131</v>
      </c>
      <c r="D300" s="105">
        <f t="shared" si="23"/>
        <v>1</v>
      </c>
      <c r="E300" s="105">
        <f t="shared" si="23"/>
        <v>1</v>
      </c>
      <c r="F300" s="105">
        <f t="shared" si="23"/>
        <v>1</v>
      </c>
      <c r="G300" s="105">
        <f t="shared" si="23"/>
        <v>1</v>
      </c>
      <c r="H300" s="92">
        <v>1.05</v>
      </c>
      <c r="I300" s="92"/>
    </row>
    <row r="301" spans="2:9" x14ac:dyDescent="0.25">
      <c r="C301" s="31" t="s">
        <v>132</v>
      </c>
      <c r="D301" s="105">
        <f t="shared" si="23"/>
        <v>1</v>
      </c>
      <c r="E301" s="105">
        <f t="shared" si="23"/>
        <v>1</v>
      </c>
      <c r="F301" s="105">
        <f t="shared" si="23"/>
        <v>1</v>
      </c>
      <c r="G301" s="105">
        <f t="shared" si="23"/>
        <v>1</v>
      </c>
      <c r="H301" s="92">
        <v>1.05</v>
      </c>
      <c r="I301" s="92"/>
    </row>
    <row r="302" spans="2:9" x14ac:dyDescent="0.25">
      <c r="B302" s="27" t="s">
        <v>87</v>
      </c>
      <c r="C302" s="31" t="s">
        <v>129</v>
      </c>
      <c r="D302" s="105">
        <f t="shared" si="23"/>
        <v>1</v>
      </c>
      <c r="E302" s="105">
        <f t="shared" si="23"/>
        <v>1</v>
      </c>
      <c r="F302" s="105">
        <f t="shared" si="23"/>
        <v>1</v>
      </c>
      <c r="G302" s="105">
        <f t="shared" si="23"/>
        <v>1</v>
      </c>
      <c r="H302" s="92">
        <v>1.05</v>
      </c>
      <c r="I302" s="92"/>
    </row>
    <row r="303" spans="2:9" x14ac:dyDescent="0.25">
      <c r="C303" s="31" t="s">
        <v>130</v>
      </c>
      <c r="D303" s="105">
        <f t="shared" ref="D303:G318" si="24">IF(D83=1,1,D83*1.1)</f>
        <v>1</v>
      </c>
      <c r="E303" s="105">
        <f t="shared" si="24"/>
        <v>2.508</v>
      </c>
      <c r="F303" s="105">
        <f t="shared" si="24"/>
        <v>1</v>
      </c>
      <c r="G303" s="105">
        <f t="shared" si="24"/>
        <v>1</v>
      </c>
      <c r="H303" s="92">
        <v>1.05</v>
      </c>
      <c r="I303" s="92"/>
    </row>
    <row r="304" spans="2:9" x14ac:dyDescent="0.25">
      <c r="C304" s="31" t="s">
        <v>131</v>
      </c>
      <c r="D304" s="105">
        <f t="shared" si="24"/>
        <v>1</v>
      </c>
      <c r="E304" s="105">
        <f t="shared" si="24"/>
        <v>5.0820000000000007</v>
      </c>
      <c r="F304" s="105">
        <f t="shared" si="24"/>
        <v>1</v>
      </c>
      <c r="G304" s="105">
        <f t="shared" si="24"/>
        <v>1</v>
      </c>
      <c r="H304" s="92">
        <v>1.05</v>
      </c>
      <c r="I304" s="92"/>
    </row>
    <row r="305" spans="2:9" x14ac:dyDescent="0.25">
      <c r="C305" s="31" t="s">
        <v>132</v>
      </c>
      <c r="D305" s="105">
        <f t="shared" si="24"/>
        <v>1</v>
      </c>
      <c r="E305" s="105">
        <f t="shared" si="24"/>
        <v>11.583</v>
      </c>
      <c r="F305" s="105">
        <f t="shared" si="24"/>
        <v>1.617</v>
      </c>
      <c r="G305" s="105">
        <f t="shared" si="24"/>
        <v>2.827</v>
      </c>
      <c r="H305" s="92">
        <v>1.05</v>
      </c>
      <c r="I305" s="92"/>
    </row>
    <row r="306" spans="2:9" x14ac:dyDescent="0.25">
      <c r="B306" s="27" t="s">
        <v>88</v>
      </c>
      <c r="C306" s="31" t="s">
        <v>129</v>
      </c>
      <c r="D306" s="105">
        <f t="shared" si="24"/>
        <v>1</v>
      </c>
      <c r="E306" s="105">
        <f t="shared" si="24"/>
        <v>1</v>
      </c>
      <c r="F306" s="105">
        <f t="shared" si="24"/>
        <v>1</v>
      </c>
      <c r="G306" s="105">
        <f t="shared" si="24"/>
        <v>1</v>
      </c>
      <c r="H306" s="92">
        <v>1.05</v>
      </c>
      <c r="I306" s="92"/>
    </row>
    <row r="307" spans="2:9" x14ac:dyDescent="0.25">
      <c r="C307" s="31" t="s">
        <v>130</v>
      </c>
      <c r="D307" s="105">
        <f t="shared" si="24"/>
        <v>1</v>
      </c>
      <c r="E307" s="105">
        <f t="shared" si="24"/>
        <v>1.8260000000000001</v>
      </c>
      <c r="F307" s="105">
        <f t="shared" si="24"/>
        <v>1</v>
      </c>
      <c r="G307" s="105">
        <f t="shared" si="24"/>
        <v>1</v>
      </c>
      <c r="H307" s="92">
        <v>1.05</v>
      </c>
      <c r="I307" s="92"/>
    </row>
    <row r="308" spans="2:9" x14ac:dyDescent="0.25">
      <c r="C308" s="31" t="s">
        <v>131</v>
      </c>
      <c r="D308" s="105">
        <f t="shared" si="24"/>
        <v>1</v>
      </c>
      <c r="E308" s="105">
        <f t="shared" si="24"/>
        <v>2.75</v>
      </c>
      <c r="F308" s="105">
        <f t="shared" si="24"/>
        <v>1</v>
      </c>
      <c r="G308" s="105">
        <f t="shared" si="24"/>
        <v>1</v>
      </c>
      <c r="H308" s="92">
        <v>1.05</v>
      </c>
      <c r="I308" s="92"/>
    </row>
    <row r="309" spans="2:9" x14ac:dyDescent="0.25">
      <c r="C309" s="31" t="s">
        <v>132</v>
      </c>
      <c r="D309" s="105">
        <f t="shared" si="24"/>
        <v>1</v>
      </c>
      <c r="E309" s="105">
        <f t="shared" si="24"/>
        <v>16.467000000000002</v>
      </c>
      <c r="F309" s="105">
        <f t="shared" si="24"/>
        <v>2.1120000000000001</v>
      </c>
      <c r="G309" s="105">
        <f t="shared" si="24"/>
        <v>2.1120000000000001</v>
      </c>
      <c r="H309" s="92">
        <v>1.05</v>
      </c>
      <c r="I309" s="92"/>
    </row>
    <row r="310" spans="2:9" x14ac:dyDescent="0.25">
      <c r="B310" s="27" t="s">
        <v>90</v>
      </c>
      <c r="C310" s="31" t="s">
        <v>129</v>
      </c>
      <c r="D310" s="105">
        <f t="shared" si="24"/>
        <v>1</v>
      </c>
      <c r="E310" s="105">
        <f t="shared" si="24"/>
        <v>1</v>
      </c>
      <c r="F310" s="105">
        <f t="shared" si="24"/>
        <v>1</v>
      </c>
      <c r="G310" s="105">
        <f t="shared" si="24"/>
        <v>1</v>
      </c>
      <c r="H310" s="92">
        <v>1.05</v>
      </c>
      <c r="I310" s="92"/>
    </row>
    <row r="311" spans="2:9" x14ac:dyDescent="0.25">
      <c r="C311" s="31" t="s">
        <v>130</v>
      </c>
      <c r="D311" s="105">
        <f t="shared" si="24"/>
        <v>1</v>
      </c>
      <c r="E311" s="105">
        <f t="shared" si="24"/>
        <v>1.6280000000000001</v>
      </c>
      <c r="F311" s="105">
        <f t="shared" si="24"/>
        <v>1</v>
      </c>
      <c r="G311" s="105">
        <f t="shared" si="24"/>
        <v>1</v>
      </c>
      <c r="H311" s="92">
        <v>1.05</v>
      </c>
      <c r="I311" s="92"/>
    </row>
    <row r="312" spans="2:9" x14ac:dyDescent="0.25">
      <c r="C312" s="31" t="s">
        <v>131</v>
      </c>
      <c r="D312" s="105">
        <f t="shared" si="24"/>
        <v>1</v>
      </c>
      <c r="E312" s="105">
        <f t="shared" si="24"/>
        <v>3.1240000000000001</v>
      </c>
      <c r="F312" s="105">
        <f t="shared" si="24"/>
        <v>1</v>
      </c>
      <c r="G312" s="105">
        <f t="shared" si="24"/>
        <v>1</v>
      </c>
      <c r="H312" s="92">
        <v>1.05</v>
      </c>
      <c r="I312" s="92"/>
    </row>
    <row r="313" spans="2:9" x14ac:dyDescent="0.25">
      <c r="C313" s="31" t="s">
        <v>132</v>
      </c>
      <c r="D313" s="105">
        <f t="shared" si="24"/>
        <v>1</v>
      </c>
      <c r="E313" s="105">
        <f t="shared" si="24"/>
        <v>15.840000000000002</v>
      </c>
      <c r="F313" s="105">
        <f t="shared" si="24"/>
        <v>4.0590000000000002</v>
      </c>
      <c r="G313" s="105">
        <f t="shared" si="24"/>
        <v>4.0590000000000002</v>
      </c>
      <c r="H313" s="92">
        <v>1.05</v>
      </c>
      <c r="I313" s="92"/>
    </row>
    <row r="314" spans="2:9" x14ac:dyDescent="0.25">
      <c r="B314" s="27" t="s">
        <v>89</v>
      </c>
      <c r="C314" s="31" t="s">
        <v>129</v>
      </c>
      <c r="D314" s="105">
        <f t="shared" si="24"/>
        <v>1</v>
      </c>
      <c r="E314" s="105">
        <f t="shared" si="24"/>
        <v>1</v>
      </c>
      <c r="F314" s="105">
        <f t="shared" si="24"/>
        <v>1</v>
      </c>
      <c r="G314" s="105">
        <f t="shared" si="24"/>
        <v>1</v>
      </c>
      <c r="H314" s="92">
        <v>1.05</v>
      </c>
      <c r="I314" s="92"/>
    </row>
    <row r="315" spans="2:9" x14ac:dyDescent="0.25">
      <c r="C315" s="31" t="s">
        <v>130</v>
      </c>
      <c r="D315" s="105">
        <f t="shared" si="24"/>
        <v>1</v>
      </c>
      <c r="E315" s="105">
        <f t="shared" si="24"/>
        <v>1.6280000000000001</v>
      </c>
      <c r="F315" s="105">
        <f t="shared" si="24"/>
        <v>1</v>
      </c>
      <c r="G315" s="105">
        <f t="shared" si="24"/>
        <v>1</v>
      </c>
      <c r="H315" s="92">
        <v>1.05</v>
      </c>
      <c r="I315" s="92"/>
    </row>
    <row r="316" spans="2:9" x14ac:dyDescent="0.25">
      <c r="C316" s="31" t="s">
        <v>131</v>
      </c>
      <c r="D316" s="105">
        <f t="shared" si="24"/>
        <v>1</v>
      </c>
      <c r="E316" s="105">
        <f t="shared" si="24"/>
        <v>3.1240000000000001</v>
      </c>
      <c r="F316" s="105">
        <f t="shared" si="24"/>
        <v>1</v>
      </c>
      <c r="G316" s="105">
        <f t="shared" si="24"/>
        <v>1</v>
      </c>
      <c r="H316" s="92">
        <v>1.05</v>
      </c>
      <c r="I316" s="92"/>
    </row>
    <row r="317" spans="2:9" x14ac:dyDescent="0.25">
      <c r="C317" s="31" t="s">
        <v>132</v>
      </c>
      <c r="D317" s="105">
        <f t="shared" si="24"/>
        <v>1</v>
      </c>
      <c r="E317" s="105">
        <f t="shared" si="24"/>
        <v>15.840000000000002</v>
      </c>
      <c r="F317" s="105">
        <f t="shared" si="24"/>
        <v>4.0590000000000002</v>
      </c>
      <c r="G317" s="105">
        <f t="shared" si="24"/>
        <v>4.0590000000000002</v>
      </c>
      <c r="H317" s="92">
        <v>1.05</v>
      </c>
      <c r="I317" s="92"/>
    </row>
    <row r="318" spans="2:9" x14ac:dyDescent="0.25">
      <c r="B318" s="27" t="s">
        <v>92</v>
      </c>
      <c r="C318" s="31" t="s">
        <v>129</v>
      </c>
      <c r="D318" s="105">
        <f t="shared" si="24"/>
        <v>1</v>
      </c>
      <c r="E318" s="105">
        <f t="shared" si="24"/>
        <v>1</v>
      </c>
      <c r="F318" s="105">
        <f t="shared" si="24"/>
        <v>1</v>
      </c>
      <c r="G318" s="105">
        <f t="shared" si="24"/>
        <v>1</v>
      </c>
      <c r="H318" s="92">
        <v>1.05</v>
      </c>
      <c r="I318" s="92"/>
    </row>
    <row r="319" spans="2:9" x14ac:dyDescent="0.25">
      <c r="C319" s="31" t="s">
        <v>130</v>
      </c>
      <c r="D319" s="105">
        <f t="shared" ref="D319:G321" si="25">IF(D99=1,1,D99*1.1)</f>
        <v>1</v>
      </c>
      <c r="E319" s="105">
        <f t="shared" si="25"/>
        <v>1.6280000000000001</v>
      </c>
      <c r="F319" s="105">
        <f t="shared" si="25"/>
        <v>1</v>
      </c>
      <c r="G319" s="105">
        <f t="shared" si="25"/>
        <v>1</v>
      </c>
      <c r="H319" s="92">
        <v>1.05</v>
      </c>
      <c r="I319" s="92"/>
    </row>
    <row r="320" spans="2:9" x14ac:dyDescent="0.25">
      <c r="C320" s="31" t="s">
        <v>131</v>
      </c>
      <c r="D320" s="105">
        <f t="shared" si="25"/>
        <v>1</v>
      </c>
      <c r="E320" s="105">
        <f t="shared" si="25"/>
        <v>3.1240000000000001</v>
      </c>
      <c r="F320" s="105">
        <f t="shared" si="25"/>
        <v>1</v>
      </c>
      <c r="G320" s="105">
        <f t="shared" si="25"/>
        <v>1</v>
      </c>
      <c r="H320" s="92">
        <v>1.05</v>
      </c>
      <c r="I320" s="92"/>
    </row>
    <row r="321" spans="1:9" x14ac:dyDescent="0.25">
      <c r="C321" s="31" t="s">
        <v>132</v>
      </c>
      <c r="D321" s="105">
        <f t="shared" si="25"/>
        <v>1</v>
      </c>
      <c r="E321" s="105">
        <f t="shared" si="25"/>
        <v>15.840000000000002</v>
      </c>
      <c r="F321" s="105">
        <f t="shared" si="25"/>
        <v>4.0590000000000002</v>
      </c>
      <c r="G321" s="105">
        <f t="shared" si="25"/>
        <v>4.0590000000000002</v>
      </c>
      <c r="H321" s="92">
        <v>1.05</v>
      </c>
      <c r="I321" s="92"/>
    </row>
    <row r="323" spans="1:9" ht="13" x14ac:dyDescent="0.3">
      <c r="A323" s="78" t="s">
        <v>277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87</v>
      </c>
      <c r="B324" s="96" t="s">
        <v>132</v>
      </c>
      <c r="C324" s="80" t="s">
        <v>276</v>
      </c>
      <c r="D324" s="82" t="s">
        <v>109</v>
      </c>
      <c r="E324" s="82" t="s">
        <v>96</v>
      </c>
      <c r="F324" s="82" t="s">
        <v>97</v>
      </c>
      <c r="G324" s="82" t="s">
        <v>98</v>
      </c>
      <c r="H324" s="95" t="s">
        <v>99</v>
      </c>
      <c r="I324" s="93"/>
    </row>
    <row r="325" spans="1:9" ht="13" x14ac:dyDescent="0.3">
      <c r="A325" s="29"/>
      <c r="C325" s="31" t="s">
        <v>129</v>
      </c>
      <c r="D325" s="105">
        <f>IF(D105=1,1,D105*1.1)</f>
        <v>1</v>
      </c>
      <c r="E325" s="105">
        <f t="shared" ref="E325:G325" si="26">IF(E105=1,1,E105*1.1)</f>
        <v>1</v>
      </c>
      <c r="F325" s="105">
        <f t="shared" si="26"/>
        <v>1</v>
      </c>
      <c r="G325" s="105">
        <f t="shared" si="26"/>
        <v>1</v>
      </c>
      <c r="H325" s="92">
        <v>1.05</v>
      </c>
      <c r="I325" s="92"/>
    </row>
    <row r="326" spans="1:9" x14ac:dyDescent="0.25">
      <c r="C326" s="31" t="s">
        <v>130</v>
      </c>
      <c r="D326" s="105">
        <f t="shared" ref="D326:G328" si="27">IF(D106=1,1,D106*1.1)</f>
        <v>1.3860000000000001</v>
      </c>
      <c r="E326" s="105">
        <f t="shared" si="27"/>
        <v>1.3860000000000001</v>
      </c>
      <c r="F326" s="105">
        <f t="shared" si="27"/>
        <v>1</v>
      </c>
      <c r="G326" s="105">
        <f t="shared" si="27"/>
        <v>1</v>
      </c>
      <c r="H326" s="92">
        <v>1.05</v>
      </c>
      <c r="I326" s="92"/>
    </row>
    <row r="327" spans="1:9" x14ac:dyDescent="0.25">
      <c r="C327" s="31" t="s">
        <v>131</v>
      </c>
      <c r="D327" s="105">
        <f t="shared" si="27"/>
        <v>1.8480000000000001</v>
      </c>
      <c r="E327" s="105">
        <f t="shared" si="27"/>
        <v>1.8480000000000001</v>
      </c>
      <c r="F327" s="105">
        <f t="shared" si="27"/>
        <v>1</v>
      </c>
      <c r="G327" s="105">
        <f t="shared" si="27"/>
        <v>1</v>
      </c>
      <c r="H327" s="92">
        <v>1.05</v>
      </c>
      <c r="I327" s="92"/>
    </row>
    <row r="328" spans="1:9" x14ac:dyDescent="0.25">
      <c r="C328" s="31" t="s">
        <v>132</v>
      </c>
      <c r="D328" s="105">
        <f t="shared" si="27"/>
        <v>2.915</v>
      </c>
      <c r="E328" s="105">
        <f t="shared" si="27"/>
        <v>2.915</v>
      </c>
      <c r="F328" s="105">
        <f t="shared" si="27"/>
        <v>2.2770000000000001</v>
      </c>
      <c r="G328" s="105">
        <f t="shared" si="27"/>
        <v>2.2770000000000001</v>
      </c>
      <c r="H328" s="92">
        <v>1.05</v>
      </c>
      <c r="I328" s="92"/>
    </row>
  </sheetData>
  <sheetProtection algorithmName="SHA-512" hashValue="OoxNWqeUQj5ZYFOk8TteZvTLdWkMzkqHEp24k4Gp6EUhJZWODM8fmE1QIq20Fz17YvJ6zdje9GSp79g6iuFvRQ==" saltValue="u/79osk/N3S8tjG1QaCT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zoomScale="70" zoomScaleNormal="70" workbookViewId="0">
      <selection activeCell="F29" sqref="F29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233</v>
      </c>
    </row>
    <row r="2" spans="1:7" ht="14.25" customHeight="1" x14ac:dyDescent="0.3">
      <c r="A2" s="96" t="s">
        <v>0</v>
      </c>
      <c r="B2" s="41"/>
      <c r="C2" s="29" t="s">
        <v>109</v>
      </c>
      <c r="D2" s="29" t="s">
        <v>96</v>
      </c>
      <c r="E2" s="29" t="s">
        <v>97</v>
      </c>
      <c r="F2" s="29" t="s">
        <v>98</v>
      </c>
      <c r="G2" s="29" t="s">
        <v>99</v>
      </c>
    </row>
    <row r="3" spans="1:7" ht="14.25" customHeight="1" x14ac:dyDescent="0.25">
      <c r="B3" s="45" t="s">
        <v>280</v>
      </c>
      <c r="C3" s="104" t="s">
        <v>10</v>
      </c>
      <c r="D3" s="104">
        <v>45</v>
      </c>
      <c r="E3" s="104">
        <v>361.6</v>
      </c>
      <c r="F3" s="104">
        <v>174.7</v>
      </c>
      <c r="G3" s="104">
        <v>174.7</v>
      </c>
    </row>
    <row r="4" spans="1:7" ht="14.25" customHeight="1" x14ac:dyDescent="0.3">
      <c r="A4" s="29"/>
      <c r="B4" s="72" t="s">
        <v>281</v>
      </c>
      <c r="C4" s="104">
        <v>1.0249999999999999</v>
      </c>
      <c r="D4" s="104">
        <v>1.0249999999999999</v>
      </c>
      <c r="E4" s="104">
        <v>1.0249999999999999</v>
      </c>
      <c r="F4" s="104">
        <v>1.0249999999999999</v>
      </c>
      <c r="G4" s="104">
        <v>1.0249999999999999</v>
      </c>
    </row>
    <row r="5" spans="1:7" ht="14.25" customHeight="1" x14ac:dyDescent="0.3">
      <c r="A5" s="83" t="s">
        <v>282</v>
      </c>
    </row>
    <row r="6" spans="1:7" ht="14.25" customHeight="1" x14ac:dyDescent="0.25">
      <c r="B6" s="72" t="s">
        <v>192</v>
      </c>
      <c r="C6" s="104">
        <v>1</v>
      </c>
      <c r="D6" s="104">
        <v>1</v>
      </c>
      <c r="E6" s="104">
        <v>0.89</v>
      </c>
      <c r="F6" s="104">
        <v>0.89</v>
      </c>
      <c r="G6" s="104">
        <v>1</v>
      </c>
    </row>
    <row r="7" spans="1:7" ht="14.25" customHeight="1" x14ac:dyDescent="0.25">
      <c r="B7" s="72" t="s">
        <v>185</v>
      </c>
      <c r="C7" s="104">
        <v>1</v>
      </c>
      <c r="D7" s="104">
        <v>1</v>
      </c>
      <c r="E7" s="104">
        <v>0.88</v>
      </c>
      <c r="F7" s="104">
        <v>0.88</v>
      </c>
      <c r="G7" s="104">
        <v>1</v>
      </c>
    </row>
    <row r="8" spans="1:7" ht="14.25" customHeight="1" x14ac:dyDescent="0.25">
      <c r="B8" s="72" t="s">
        <v>205</v>
      </c>
      <c r="C8" s="104">
        <v>1</v>
      </c>
      <c r="D8" s="104">
        <v>1</v>
      </c>
      <c r="E8" s="104">
        <v>0.88</v>
      </c>
      <c r="F8" s="104">
        <v>0.88</v>
      </c>
      <c r="G8" s="104">
        <v>1</v>
      </c>
    </row>
    <row r="9" spans="1:7" ht="14.25" customHeight="1" x14ac:dyDescent="0.25">
      <c r="B9" s="72" t="s">
        <v>200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</row>
    <row r="10" spans="1:7" ht="14.25" customHeight="1" x14ac:dyDescent="0.25">
      <c r="B10" s="72"/>
      <c r="C10" s="72"/>
      <c r="D10" s="72"/>
      <c r="E10" s="72"/>
      <c r="F10" s="72"/>
      <c r="G10" s="72"/>
    </row>
    <row r="11" spans="1:7" s="79" customFormat="1" ht="14.25" customHeight="1" x14ac:dyDescent="0.3">
      <c r="A11" s="78" t="s">
        <v>286</v>
      </c>
    </row>
    <row r="12" spans="1:7" ht="14.25" customHeight="1" x14ac:dyDescent="0.3">
      <c r="A12" s="83"/>
      <c r="B12" s="45" t="s">
        <v>184</v>
      </c>
      <c r="C12" s="104">
        <v>1</v>
      </c>
      <c r="D12" s="104">
        <v>1.39</v>
      </c>
      <c r="E12" s="104">
        <v>1</v>
      </c>
      <c r="F12" s="104">
        <v>1</v>
      </c>
      <c r="G12" s="104">
        <v>1</v>
      </c>
    </row>
    <row r="13" spans="1:7" ht="14.25" customHeight="1" x14ac:dyDescent="0.3">
      <c r="A13" s="83"/>
      <c r="B13" s="45"/>
    </row>
    <row r="14" spans="1:7" s="79" customFormat="1" ht="14.25" customHeight="1" x14ac:dyDescent="0.3">
      <c r="A14" s="78" t="s">
        <v>283</v>
      </c>
    </row>
    <row r="15" spans="1:7" ht="14.25" customHeight="1" x14ac:dyDescent="0.3">
      <c r="A15" s="96" t="s">
        <v>279</v>
      </c>
      <c r="B15" s="72" t="s">
        <v>284</v>
      </c>
      <c r="C15" s="104">
        <v>1.024</v>
      </c>
      <c r="D15" s="104">
        <v>1.024</v>
      </c>
      <c r="E15" s="104">
        <v>1.024</v>
      </c>
      <c r="F15" s="104">
        <v>1.024</v>
      </c>
      <c r="G15" s="104">
        <v>1.024</v>
      </c>
    </row>
    <row r="16" spans="1:7" ht="14.25" customHeight="1" x14ac:dyDescent="0.3">
      <c r="A16" s="29"/>
      <c r="B16" s="72" t="s">
        <v>287</v>
      </c>
      <c r="C16" s="104">
        <v>1.024</v>
      </c>
      <c r="D16" s="104">
        <v>1.024</v>
      </c>
      <c r="E16" s="104">
        <v>1.024</v>
      </c>
      <c r="F16" s="104">
        <v>1.024</v>
      </c>
      <c r="G16" s="104">
        <v>1.024</v>
      </c>
    </row>
    <row r="17" spans="1:7" ht="14.25" customHeight="1" x14ac:dyDescent="0.3">
      <c r="A17" s="96" t="s">
        <v>121</v>
      </c>
      <c r="B17" s="45" t="s">
        <v>285</v>
      </c>
      <c r="C17" s="104">
        <v>1</v>
      </c>
      <c r="D17" s="104">
        <v>1</v>
      </c>
      <c r="E17" s="104">
        <v>1</v>
      </c>
      <c r="F17" s="104">
        <v>1</v>
      </c>
      <c r="G17" s="104">
        <v>1</v>
      </c>
    </row>
    <row r="18" spans="1:7" ht="14.25" customHeight="1" x14ac:dyDescent="0.25"/>
    <row r="19" spans="1:7" s="79" customFormat="1" ht="14.25" customHeight="1" x14ac:dyDescent="0.3">
      <c r="A19" s="78" t="s">
        <v>288</v>
      </c>
    </row>
    <row r="20" spans="1:7" s="83" customFormat="1" ht="14.25" customHeight="1" x14ac:dyDescent="0.3">
      <c r="C20" s="43" t="s">
        <v>69</v>
      </c>
      <c r="D20" s="43" t="s">
        <v>70</v>
      </c>
      <c r="E20" s="43" t="s">
        <v>71</v>
      </c>
      <c r="F20" s="43" t="s">
        <v>72</v>
      </c>
    </row>
    <row r="21" spans="1:7" x14ac:dyDescent="0.25">
      <c r="B21" s="45" t="s">
        <v>172</v>
      </c>
      <c r="C21" s="104">
        <v>1.52</v>
      </c>
      <c r="D21" s="104">
        <v>1</v>
      </c>
      <c r="E21" s="104">
        <v>1</v>
      </c>
      <c r="F21" s="104">
        <v>1</v>
      </c>
    </row>
    <row r="23" spans="1:7" s="106" customFormat="1" ht="13" x14ac:dyDescent="0.3">
      <c r="A23" s="106" t="s">
        <v>235</v>
      </c>
    </row>
    <row r="24" spans="1:7" ht="13" x14ac:dyDescent="0.3">
      <c r="A24" s="78" t="s">
        <v>233</v>
      </c>
      <c r="B24" s="79"/>
      <c r="C24" s="79"/>
      <c r="D24" s="79"/>
      <c r="E24" s="79"/>
      <c r="F24" s="79"/>
      <c r="G24" s="79"/>
    </row>
    <row r="25" spans="1:7" ht="13" x14ac:dyDescent="0.3">
      <c r="A25" s="96" t="s">
        <v>0</v>
      </c>
      <c r="B25" s="41"/>
      <c r="C25" s="29" t="s">
        <v>109</v>
      </c>
      <c r="D25" s="29" t="s">
        <v>96</v>
      </c>
      <c r="E25" s="29" t="s">
        <v>97</v>
      </c>
      <c r="F25" s="29" t="s">
        <v>98</v>
      </c>
      <c r="G25" s="29" t="s">
        <v>99</v>
      </c>
    </row>
    <row r="26" spans="1:7" x14ac:dyDescent="0.25">
      <c r="B26" s="45" t="s">
        <v>289</v>
      </c>
      <c r="C26" s="104" t="s">
        <v>10</v>
      </c>
      <c r="D26" s="104">
        <f t="shared" ref="D26:G26" si="0">D3*0.9</f>
        <v>40.5</v>
      </c>
      <c r="E26" s="104">
        <f t="shared" si="0"/>
        <v>325.44000000000005</v>
      </c>
      <c r="F26" s="104">
        <f t="shared" si="0"/>
        <v>157.22999999999999</v>
      </c>
      <c r="G26" s="104">
        <f t="shared" si="0"/>
        <v>157.22999999999999</v>
      </c>
    </row>
    <row r="27" spans="1:7" ht="13" x14ac:dyDescent="0.3">
      <c r="A27" s="29"/>
      <c r="B27" s="72" t="s">
        <v>290</v>
      </c>
      <c r="C27" s="104">
        <v>1.014</v>
      </c>
      <c r="D27" s="104">
        <v>1.014</v>
      </c>
      <c r="E27" s="104">
        <v>1.014</v>
      </c>
      <c r="F27" s="104">
        <v>1.014</v>
      </c>
      <c r="G27" s="104">
        <v>1.014</v>
      </c>
    </row>
    <row r="28" spans="1:7" ht="13" x14ac:dyDescent="0.3">
      <c r="A28" s="83" t="s">
        <v>291</v>
      </c>
    </row>
    <row r="29" spans="1:7" x14ac:dyDescent="0.25">
      <c r="B29" s="72" t="s">
        <v>292</v>
      </c>
      <c r="C29" s="104">
        <f>IF(C6=1,1,C6*0.9)</f>
        <v>1</v>
      </c>
      <c r="D29" s="104">
        <f t="shared" ref="D29:G29" si="1">IF(D6=1,1,D6*0.9)</f>
        <v>1</v>
      </c>
      <c r="E29" s="104">
        <f>E6*0.9</f>
        <v>0.80100000000000005</v>
      </c>
      <c r="F29" s="104">
        <f>F6*0.9</f>
        <v>0.80100000000000005</v>
      </c>
      <c r="G29" s="104">
        <f t="shared" si="1"/>
        <v>1</v>
      </c>
    </row>
    <row r="30" spans="1:7" x14ac:dyDescent="0.25">
      <c r="B30" s="72" t="s">
        <v>293</v>
      </c>
      <c r="C30" s="104">
        <f t="shared" ref="C30:G32" si="2">IF(C7=1,1,C7*0.9)</f>
        <v>1</v>
      </c>
      <c r="D30" s="104">
        <f t="shared" si="2"/>
        <v>1</v>
      </c>
      <c r="E30" s="104">
        <v>0.85</v>
      </c>
      <c r="F30" s="104">
        <v>0.85</v>
      </c>
      <c r="G30" s="104">
        <f t="shared" si="2"/>
        <v>1</v>
      </c>
    </row>
    <row r="31" spans="1:7" x14ac:dyDescent="0.25">
      <c r="B31" s="72" t="s">
        <v>315</v>
      </c>
      <c r="C31" s="104">
        <f t="shared" si="2"/>
        <v>1</v>
      </c>
      <c r="D31" s="104">
        <f t="shared" si="2"/>
        <v>1</v>
      </c>
      <c r="E31" s="104">
        <v>0.85</v>
      </c>
      <c r="F31" s="104">
        <v>0.85</v>
      </c>
      <c r="G31" s="104">
        <f t="shared" si="2"/>
        <v>1</v>
      </c>
    </row>
    <row r="32" spans="1:7" x14ac:dyDescent="0.25">
      <c r="B32" s="72" t="s">
        <v>294</v>
      </c>
      <c r="C32" s="104">
        <f t="shared" si="2"/>
        <v>1</v>
      </c>
      <c r="D32" s="104">
        <f t="shared" si="2"/>
        <v>1</v>
      </c>
      <c r="E32" s="104">
        <f t="shared" si="2"/>
        <v>1</v>
      </c>
      <c r="F32" s="104">
        <f t="shared" si="2"/>
        <v>1</v>
      </c>
      <c r="G32" s="104">
        <f t="shared" si="2"/>
        <v>1</v>
      </c>
    </row>
    <row r="33" spans="1:7" x14ac:dyDescent="0.25">
      <c r="B33" s="72"/>
      <c r="C33" s="72"/>
      <c r="D33" s="72"/>
      <c r="E33" s="72"/>
      <c r="F33" s="72"/>
      <c r="G33" s="72"/>
    </row>
    <row r="34" spans="1:7" ht="13" x14ac:dyDescent="0.3">
      <c r="A34" s="78" t="s">
        <v>295</v>
      </c>
      <c r="B34" s="79"/>
      <c r="C34" s="79"/>
      <c r="D34" s="79"/>
      <c r="E34" s="79"/>
      <c r="F34" s="79"/>
      <c r="G34" s="79"/>
    </row>
    <row r="35" spans="1:7" ht="13" x14ac:dyDescent="0.3">
      <c r="A35" s="83"/>
      <c r="B35" s="45" t="s">
        <v>296</v>
      </c>
      <c r="C35" s="104">
        <v>1</v>
      </c>
      <c r="D35" s="104">
        <v>1.1100000000000001</v>
      </c>
      <c r="E35" s="104">
        <v>1</v>
      </c>
      <c r="F35" s="104">
        <v>1</v>
      </c>
      <c r="G35" s="104">
        <v>1</v>
      </c>
    </row>
    <row r="36" spans="1:7" ht="13" x14ac:dyDescent="0.3">
      <c r="A36" s="83"/>
      <c r="B36" s="45"/>
    </row>
    <row r="37" spans="1:7" ht="13" x14ac:dyDescent="0.3">
      <c r="A37" s="78" t="s">
        <v>283</v>
      </c>
      <c r="B37" s="79"/>
      <c r="C37" s="79"/>
      <c r="D37" s="79"/>
      <c r="E37" s="79"/>
      <c r="F37" s="79"/>
      <c r="G37" s="79"/>
    </row>
    <row r="38" spans="1:7" ht="13" x14ac:dyDescent="0.3">
      <c r="A38" s="96" t="s">
        <v>279</v>
      </c>
      <c r="B38" s="72" t="s">
        <v>297</v>
      </c>
      <c r="C38" s="104">
        <v>1.016</v>
      </c>
      <c r="D38" s="104">
        <v>1.016</v>
      </c>
      <c r="E38" s="104">
        <v>1.016</v>
      </c>
      <c r="F38" s="104">
        <v>1.016</v>
      </c>
      <c r="G38" s="104">
        <v>1.016</v>
      </c>
    </row>
    <row r="39" spans="1:7" ht="13" x14ac:dyDescent="0.3">
      <c r="A39" s="29"/>
      <c r="B39" s="72" t="s">
        <v>298</v>
      </c>
      <c r="C39" s="104">
        <v>1.016</v>
      </c>
      <c r="D39" s="104">
        <v>1.016</v>
      </c>
      <c r="E39" s="104">
        <v>1.016</v>
      </c>
      <c r="F39" s="104">
        <v>1.016</v>
      </c>
      <c r="G39" s="104">
        <v>1.016</v>
      </c>
    </row>
    <row r="40" spans="1:7" ht="13" x14ac:dyDescent="0.3">
      <c r="A40" s="96" t="s">
        <v>121</v>
      </c>
      <c r="B40" s="45" t="s">
        <v>299</v>
      </c>
      <c r="C40" s="104">
        <f t="shared" ref="C40:G40" si="3">IF(C17=1,1,C17*0.9)</f>
        <v>1</v>
      </c>
      <c r="D40" s="104">
        <f t="shared" si="3"/>
        <v>1</v>
      </c>
      <c r="E40" s="104">
        <f t="shared" si="3"/>
        <v>1</v>
      </c>
      <c r="F40" s="104">
        <f t="shared" si="3"/>
        <v>1</v>
      </c>
      <c r="G40" s="104">
        <f t="shared" si="3"/>
        <v>1</v>
      </c>
    </row>
    <row r="42" spans="1:7" ht="13" x14ac:dyDescent="0.3">
      <c r="A42" s="78" t="s">
        <v>300</v>
      </c>
      <c r="B42" s="79"/>
      <c r="C42" s="79"/>
      <c r="D42" s="79"/>
      <c r="E42" s="79"/>
      <c r="F42" s="79"/>
      <c r="G42" s="79"/>
    </row>
    <row r="43" spans="1:7" ht="13" x14ac:dyDescent="0.3">
      <c r="A43" s="83"/>
      <c r="B43" s="83"/>
      <c r="C43" s="43" t="s">
        <v>69</v>
      </c>
      <c r="D43" s="43" t="s">
        <v>70</v>
      </c>
      <c r="E43" s="43" t="s">
        <v>71</v>
      </c>
      <c r="F43" s="43" t="s">
        <v>72</v>
      </c>
      <c r="G43" s="83"/>
    </row>
    <row r="44" spans="1:7" x14ac:dyDescent="0.25">
      <c r="B44" s="45" t="s">
        <v>301</v>
      </c>
      <c r="C44" s="104">
        <f>C21*0.9</f>
        <v>1.3680000000000001</v>
      </c>
      <c r="D44" s="104">
        <v>1</v>
      </c>
      <c r="E44" s="104">
        <v>1</v>
      </c>
      <c r="F44" s="104">
        <v>1</v>
      </c>
    </row>
    <row r="46" spans="1:7" s="106" customFormat="1" ht="13" x14ac:dyDescent="0.3">
      <c r="A46" s="106" t="s">
        <v>239</v>
      </c>
    </row>
    <row r="47" spans="1:7" ht="13" x14ac:dyDescent="0.3">
      <c r="A47" s="78" t="s">
        <v>233</v>
      </c>
      <c r="B47" s="79"/>
      <c r="C47" s="79"/>
      <c r="D47" s="79"/>
      <c r="E47" s="79"/>
      <c r="F47" s="79"/>
      <c r="G47" s="79"/>
    </row>
    <row r="48" spans="1:7" ht="13" x14ac:dyDescent="0.3">
      <c r="A48" s="96" t="s">
        <v>0</v>
      </c>
      <c r="B48" s="41"/>
      <c r="C48" s="29" t="s">
        <v>109</v>
      </c>
      <c r="D48" s="29" t="s">
        <v>96</v>
      </c>
      <c r="E48" s="29" t="s">
        <v>97</v>
      </c>
      <c r="F48" s="29" t="s">
        <v>98</v>
      </c>
      <c r="G48" s="29" t="s">
        <v>99</v>
      </c>
    </row>
    <row r="49" spans="1:7" x14ac:dyDescent="0.25">
      <c r="B49" s="45" t="s">
        <v>302</v>
      </c>
      <c r="C49" s="104" t="s">
        <v>10</v>
      </c>
      <c r="D49" s="104">
        <f t="shared" ref="D49:G49" si="4">D3*1.05</f>
        <v>47.25</v>
      </c>
      <c r="E49" s="104">
        <f t="shared" si="4"/>
        <v>379.68000000000006</v>
      </c>
      <c r="F49" s="104">
        <f t="shared" si="4"/>
        <v>183.435</v>
      </c>
      <c r="G49" s="104">
        <f t="shared" si="4"/>
        <v>183.435</v>
      </c>
    </row>
    <row r="50" spans="1:7" ht="13" x14ac:dyDescent="0.3">
      <c r="A50" s="29"/>
      <c r="B50" s="72" t="s">
        <v>303</v>
      </c>
      <c r="C50" s="104">
        <v>1.0349999999999999</v>
      </c>
      <c r="D50" s="104">
        <v>1.0349999999999999</v>
      </c>
      <c r="E50" s="104">
        <v>1.0349999999999999</v>
      </c>
      <c r="F50" s="104">
        <v>1.0349999999999999</v>
      </c>
      <c r="G50" s="104">
        <v>1.0349999999999999</v>
      </c>
    </row>
    <row r="51" spans="1:7" ht="13" x14ac:dyDescent="0.3">
      <c r="A51" s="83" t="s">
        <v>304</v>
      </c>
    </row>
    <row r="52" spans="1:7" x14ac:dyDescent="0.25">
      <c r="B52" s="72" t="s">
        <v>305</v>
      </c>
      <c r="C52" s="104">
        <f>IF(C6=1,1,C6*1.1)</f>
        <v>1</v>
      </c>
      <c r="D52" s="104">
        <f t="shared" ref="D52:G52" si="5">IF(D6=1,1,D6*1.1)</f>
        <v>1</v>
      </c>
      <c r="E52" s="104">
        <f>E6*1.05</f>
        <v>0.93450000000000011</v>
      </c>
      <c r="F52" s="104">
        <f>F6*1.05</f>
        <v>0.93450000000000011</v>
      </c>
      <c r="G52" s="104">
        <f t="shared" si="5"/>
        <v>1</v>
      </c>
    </row>
    <row r="53" spans="1:7" x14ac:dyDescent="0.25">
      <c r="B53" s="72" t="s">
        <v>306</v>
      </c>
      <c r="C53" s="104">
        <f t="shared" ref="C53:G55" si="6">IF(C7=1,1,C7*1.1)</f>
        <v>1</v>
      </c>
      <c r="D53" s="104">
        <f t="shared" si="6"/>
        <v>1</v>
      </c>
      <c r="E53" s="104">
        <v>0.91</v>
      </c>
      <c r="F53" s="104">
        <v>0.91</v>
      </c>
      <c r="G53" s="104">
        <f t="shared" si="6"/>
        <v>1</v>
      </c>
    </row>
    <row r="54" spans="1:7" x14ac:dyDescent="0.25">
      <c r="B54" s="72" t="s">
        <v>316</v>
      </c>
      <c r="C54" s="104">
        <f t="shared" si="6"/>
        <v>1</v>
      </c>
      <c r="D54" s="104">
        <f t="shared" si="6"/>
        <v>1</v>
      </c>
      <c r="E54" s="104">
        <v>0.91</v>
      </c>
      <c r="F54" s="104">
        <v>0.91</v>
      </c>
      <c r="G54" s="104">
        <f t="shared" si="6"/>
        <v>1</v>
      </c>
    </row>
    <row r="55" spans="1:7" x14ac:dyDescent="0.25">
      <c r="B55" s="72" t="s">
        <v>307</v>
      </c>
      <c r="C55" s="104">
        <f t="shared" si="6"/>
        <v>1</v>
      </c>
      <c r="D55" s="104">
        <f t="shared" si="6"/>
        <v>1</v>
      </c>
      <c r="E55" s="104">
        <f t="shared" si="6"/>
        <v>1</v>
      </c>
      <c r="F55" s="104">
        <f t="shared" si="6"/>
        <v>1</v>
      </c>
      <c r="G55" s="104">
        <f t="shared" si="6"/>
        <v>1</v>
      </c>
    </row>
    <row r="56" spans="1:7" x14ac:dyDescent="0.25">
      <c r="B56" s="72"/>
      <c r="C56" s="72"/>
      <c r="D56" s="72"/>
      <c r="E56" s="72"/>
      <c r="F56" s="72"/>
      <c r="G56" s="72"/>
    </row>
    <row r="57" spans="1:7" ht="13" x14ac:dyDescent="0.3">
      <c r="A57" s="78" t="s">
        <v>308</v>
      </c>
      <c r="B57" s="79"/>
      <c r="C57" s="79"/>
      <c r="D57" s="79"/>
      <c r="E57" s="79"/>
      <c r="F57" s="79"/>
      <c r="G57" s="79"/>
    </row>
    <row r="58" spans="1:7" ht="13" x14ac:dyDescent="0.3">
      <c r="A58" s="83"/>
      <c r="B58" s="45" t="s">
        <v>309</v>
      </c>
      <c r="C58" s="104">
        <v>1</v>
      </c>
      <c r="D58" s="104">
        <v>1.74</v>
      </c>
      <c r="E58" s="104">
        <v>1</v>
      </c>
      <c r="F58" s="104">
        <v>1</v>
      </c>
      <c r="G58" s="104">
        <v>1</v>
      </c>
    </row>
    <row r="59" spans="1:7" ht="13" x14ac:dyDescent="0.3">
      <c r="A59" s="83"/>
      <c r="B59" s="45"/>
    </row>
    <row r="60" spans="1:7" ht="13" x14ac:dyDescent="0.3">
      <c r="A60" s="78" t="s">
        <v>283</v>
      </c>
      <c r="B60" s="79"/>
      <c r="C60" s="79"/>
      <c r="D60" s="79"/>
      <c r="E60" s="79"/>
      <c r="F60" s="79"/>
      <c r="G60" s="79"/>
    </row>
    <row r="61" spans="1:7" ht="13" x14ac:dyDescent="0.3">
      <c r="A61" s="96" t="s">
        <v>279</v>
      </c>
      <c r="B61" s="72" t="s">
        <v>310</v>
      </c>
      <c r="C61" s="104">
        <v>1.0309999999999999</v>
      </c>
      <c r="D61" s="104">
        <v>1.0309999999999999</v>
      </c>
      <c r="E61" s="104">
        <v>1.0309999999999999</v>
      </c>
      <c r="F61" s="104">
        <v>1.0309999999999999</v>
      </c>
      <c r="G61" s="104">
        <v>1.0309999999999999</v>
      </c>
    </row>
    <row r="62" spans="1:7" ht="13" x14ac:dyDescent="0.3">
      <c r="A62" s="29"/>
      <c r="B62" s="72" t="s">
        <v>311</v>
      </c>
      <c r="C62" s="104">
        <v>1.0309999999999999</v>
      </c>
      <c r="D62" s="104">
        <v>1.0309999999999999</v>
      </c>
      <c r="E62" s="104">
        <v>1.0309999999999999</v>
      </c>
      <c r="F62" s="104">
        <v>1.0309999999999999</v>
      </c>
      <c r="G62" s="104">
        <v>1.0309999999999999</v>
      </c>
    </row>
    <row r="63" spans="1:7" ht="13" x14ac:dyDescent="0.3">
      <c r="A63" s="96" t="s">
        <v>121</v>
      </c>
      <c r="B63" s="45" t="s">
        <v>312</v>
      </c>
      <c r="C63" s="104">
        <f t="shared" ref="C63:G63" si="7">IF(C17=1,1,C17*1.1)</f>
        <v>1</v>
      </c>
      <c r="D63" s="104">
        <f t="shared" si="7"/>
        <v>1</v>
      </c>
      <c r="E63" s="104">
        <f t="shared" si="7"/>
        <v>1</v>
      </c>
      <c r="F63" s="104">
        <f t="shared" si="7"/>
        <v>1</v>
      </c>
      <c r="G63" s="104">
        <f t="shared" si="7"/>
        <v>1</v>
      </c>
    </row>
    <row r="65" spans="1:7" ht="13" x14ac:dyDescent="0.3">
      <c r="A65" s="78" t="s">
        <v>313</v>
      </c>
      <c r="B65" s="79"/>
      <c r="C65" s="79"/>
      <c r="D65" s="79"/>
      <c r="E65" s="79"/>
      <c r="F65" s="79"/>
      <c r="G65" s="79"/>
    </row>
    <row r="66" spans="1:7" ht="13" x14ac:dyDescent="0.3">
      <c r="A66" s="83"/>
      <c r="B66" s="83"/>
      <c r="C66" s="43" t="s">
        <v>69</v>
      </c>
      <c r="D66" s="43" t="s">
        <v>70</v>
      </c>
      <c r="E66" s="43" t="s">
        <v>71</v>
      </c>
      <c r="F66" s="43" t="s">
        <v>72</v>
      </c>
      <c r="G66" s="83"/>
    </row>
    <row r="67" spans="1:7" x14ac:dyDescent="0.25">
      <c r="B67" s="45" t="s">
        <v>314</v>
      </c>
      <c r="C67" s="104">
        <f>C21*1.1</f>
        <v>1.6720000000000002</v>
      </c>
      <c r="D67" s="104">
        <v>1</v>
      </c>
      <c r="E67" s="104">
        <v>1</v>
      </c>
      <c r="F67" s="104">
        <v>1</v>
      </c>
    </row>
  </sheetData>
  <sheetProtection algorithmName="SHA-512" hashValue="ZzkF62RvFdvCzpp3hO0rHmnU3uGgVoRE4LnslMm04+2YZ/JFeSUvSjFIPUxZicsUrj4Hg/QB75jlGrCjCEZRdQ==" saltValue="ciGPwZWnZ65FnZpJCuU+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topLeftCell="A7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160</v>
      </c>
      <c r="B1" s="29"/>
      <c r="C1" s="29" t="s">
        <v>51</v>
      </c>
      <c r="D1" s="29" t="s">
        <v>53</v>
      </c>
      <c r="E1" s="29" t="s">
        <v>52</v>
      </c>
      <c r="F1" s="41" t="s">
        <v>54</v>
      </c>
    </row>
    <row r="2" spans="1:6" ht="15.75" customHeight="1" x14ac:dyDescent="0.25">
      <c r="A2" s="72" t="s">
        <v>168</v>
      </c>
      <c r="B2" s="72" t="s">
        <v>317</v>
      </c>
      <c r="C2" s="104">
        <v>0.28999999999999998</v>
      </c>
      <c r="D2" s="104">
        <v>0.28999999999999998</v>
      </c>
      <c r="E2" s="104">
        <v>0</v>
      </c>
      <c r="F2" s="104">
        <v>0</v>
      </c>
    </row>
    <row r="3" spans="1:6" ht="15.75" customHeight="1" x14ac:dyDescent="0.25">
      <c r="A3" s="72"/>
      <c r="B3" s="72" t="s">
        <v>318</v>
      </c>
      <c r="C3" s="104">
        <v>1</v>
      </c>
      <c r="D3" s="104">
        <v>1</v>
      </c>
      <c r="E3" s="104">
        <v>1</v>
      </c>
      <c r="F3" s="104">
        <v>1</v>
      </c>
    </row>
    <row r="4" spans="1:6" ht="15.75" customHeight="1" x14ac:dyDescent="0.25">
      <c r="A4" s="72" t="s">
        <v>180</v>
      </c>
      <c r="B4" s="72" t="s">
        <v>317</v>
      </c>
      <c r="C4" s="104">
        <v>0.61</v>
      </c>
      <c r="D4" s="104">
        <v>0.61</v>
      </c>
      <c r="E4" s="104">
        <v>0</v>
      </c>
      <c r="F4" s="104">
        <v>0</v>
      </c>
    </row>
    <row r="5" spans="1:6" ht="15.75" customHeight="1" x14ac:dyDescent="0.25">
      <c r="A5" s="72"/>
      <c r="B5" s="72" t="s">
        <v>318</v>
      </c>
      <c r="C5" s="104">
        <v>1</v>
      </c>
      <c r="D5" s="104">
        <v>1</v>
      </c>
      <c r="E5" s="104">
        <v>1</v>
      </c>
      <c r="F5" s="104">
        <v>1</v>
      </c>
    </row>
    <row r="6" spans="1:6" ht="15.75" customHeight="1" x14ac:dyDescent="0.25">
      <c r="A6" s="72" t="s">
        <v>181</v>
      </c>
      <c r="B6" s="72" t="s">
        <v>317</v>
      </c>
      <c r="C6" s="104">
        <v>0.61</v>
      </c>
      <c r="D6" s="104">
        <v>0.61</v>
      </c>
      <c r="E6" s="104">
        <v>0</v>
      </c>
      <c r="F6" s="104">
        <v>0</v>
      </c>
    </row>
    <row r="7" spans="1:6" ht="15.75" customHeight="1" x14ac:dyDescent="0.25">
      <c r="A7" s="72"/>
      <c r="B7" s="72" t="s">
        <v>318</v>
      </c>
      <c r="C7" s="104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A8" s="72" t="s">
        <v>182</v>
      </c>
      <c r="B8" s="72" t="s">
        <v>317</v>
      </c>
      <c r="C8" s="104">
        <v>0.35</v>
      </c>
      <c r="D8" s="104">
        <v>0.35</v>
      </c>
      <c r="E8" s="104">
        <v>0</v>
      </c>
      <c r="F8" s="104">
        <v>0</v>
      </c>
    </row>
    <row r="9" spans="1:6" ht="15.75" customHeight="1" x14ac:dyDescent="0.25">
      <c r="A9" s="72"/>
      <c r="B9" s="72" t="s">
        <v>318</v>
      </c>
      <c r="C9" s="104">
        <v>1</v>
      </c>
      <c r="D9" s="104">
        <v>1</v>
      </c>
      <c r="E9" s="104">
        <v>0</v>
      </c>
      <c r="F9" s="104">
        <v>0</v>
      </c>
    </row>
    <row r="10" spans="1:6" ht="15.75" customHeight="1" x14ac:dyDescent="0.25">
      <c r="A10" s="72" t="s">
        <v>186</v>
      </c>
      <c r="B10" s="72" t="s">
        <v>317</v>
      </c>
      <c r="C10" s="104">
        <v>0.35</v>
      </c>
      <c r="D10" s="104">
        <v>0.35</v>
      </c>
      <c r="E10" s="104">
        <v>0</v>
      </c>
      <c r="F10" s="104">
        <v>0</v>
      </c>
    </row>
    <row r="11" spans="1:6" ht="15.75" customHeight="1" x14ac:dyDescent="0.25">
      <c r="A11" s="72"/>
      <c r="B11" s="72" t="s">
        <v>318</v>
      </c>
      <c r="C11" s="104">
        <v>1</v>
      </c>
      <c r="D11" s="104">
        <v>1</v>
      </c>
      <c r="E11" s="104">
        <v>0</v>
      </c>
      <c r="F11" s="104">
        <v>0</v>
      </c>
    </row>
    <row r="12" spans="1:6" ht="15.75" customHeight="1" x14ac:dyDescent="0.25">
      <c r="A12" s="72" t="s">
        <v>190</v>
      </c>
      <c r="B12" s="72" t="s">
        <v>317</v>
      </c>
      <c r="C12" s="104">
        <f>1-0.93*0.39</f>
        <v>0.63729999999999998</v>
      </c>
      <c r="D12" s="104">
        <f>1-0.93*0.39</f>
        <v>0.63729999999999998</v>
      </c>
      <c r="E12" s="104">
        <v>0</v>
      </c>
      <c r="F12" s="104">
        <v>0</v>
      </c>
    </row>
    <row r="13" spans="1:6" ht="15.75" customHeight="1" x14ac:dyDescent="0.25">
      <c r="A13" s="72"/>
      <c r="B13" s="72" t="s">
        <v>318</v>
      </c>
      <c r="C13" s="104">
        <v>1</v>
      </c>
      <c r="D13" s="104">
        <v>1</v>
      </c>
      <c r="E13" s="104">
        <v>1</v>
      </c>
      <c r="F13" s="104">
        <v>1</v>
      </c>
    </row>
    <row r="15" spans="1:6" s="106" customFormat="1" ht="15.75" customHeight="1" x14ac:dyDescent="0.3">
      <c r="A15" s="106" t="s">
        <v>235</v>
      </c>
    </row>
    <row r="16" spans="1:6" ht="15.75" customHeight="1" x14ac:dyDescent="0.3">
      <c r="A16" s="41" t="s">
        <v>160</v>
      </c>
      <c r="B16" s="29"/>
      <c r="C16" s="29" t="s">
        <v>51</v>
      </c>
      <c r="D16" s="29" t="s">
        <v>53</v>
      </c>
      <c r="E16" s="29" t="s">
        <v>52</v>
      </c>
      <c r="F16" s="41" t="s">
        <v>54</v>
      </c>
    </row>
    <row r="17" spans="1:6" ht="15.75" customHeight="1" x14ac:dyDescent="0.25">
      <c r="A17" s="72" t="s">
        <v>168</v>
      </c>
      <c r="B17" s="72" t="s">
        <v>317</v>
      </c>
      <c r="C17" s="104">
        <f>1-0.94</f>
        <v>6.0000000000000053E-2</v>
      </c>
      <c r="D17" s="104">
        <f>1-0.94</f>
        <v>6.0000000000000053E-2</v>
      </c>
      <c r="E17" s="104">
        <f t="shared" ref="E17:F17" si="0">E2*0.9</f>
        <v>0</v>
      </c>
      <c r="F17" s="104">
        <f t="shared" si="0"/>
        <v>0</v>
      </c>
    </row>
    <row r="18" spans="1:6" ht="15.75" customHeight="1" x14ac:dyDescent="0.25">
      <c r="A18" s="72"/>
      <c r="B18" s="72" t="s">
        <v>318</v>
      </c>
      <c r="C18" s="104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A19" s="72" t="s">
        <v>180</v>
      </c>
      <c r="B19" s="72" t="s">
        <v>317</v>
      </c>
      <c r="C19" s="104">
        <f>1-0.86</f>
        <v>0.14000000000000001</v>
      </c>
      <c r="D19" s="104">
        <f>1-0.86</f>
        <v>0.14000000000000001</v>
      </c>
      <c r="E19" s="104">
        <f t="shared" ref="E19:F19" si="1">E4*0.9</f>
        <v>0</v>
      </c>
      <c r="F19" s="104">
        <f t="shared" si="1"/>
        <v>0</v>
      </c>
    </row>
    <row r="20" spans="1:6" ht="15.75" customHeight="1" x14ac:dyDescent="0.25">
      <c r="A20" s="72"/>
      <c r="B20" s="72" t="s">
        <v>318</v>
      </c>
      <c r="C20" s="104">
        <v>1</v>
      </c>
      <c r="D20" s="104">
        <v>1</v>
      </c>
      <c r="E20" s="104">
        <v>1</v>
      </c>
      <c r="F20" s="104">
        <v>1</v>
      </c>
    </row>
    <row r="21" spans="1:6" ht="15.75" customHeight="1" x14ac:dyDescent="0.25">
      <c r="A21" s="72" t="s">
        <v>181</v>
      </c>
      <c r="B21" s="72" t="s">
        <v>317</v>
      </c>
      <c r="C21" s="104">
        <f>1-0.86</f>
        <v>0.14000000000000001</v>
      </c>
      <c r="D21" s="104">
        <f>1-0.86</f>
        <v>0.14000000000000001</v>
      </c>
      <c r="E21" s="104">
        <f t="shared" ref="E21:F21" si="2">E6*0.9</f>
        <v>0</v>
      </c>
      <c r="F21" s="104">
        <f t="shared" si="2"/>
        <v>0</v>
      </c>
    </row>
    <row r="22" spans="1:6" ht="15.75" customHeight="1" x14ac:dyDescent="0.25">
      <c r="A22" s="72"/>
      <c r="B22" s="72" t="s">
        <v>318</v>
      </c>
      <c r="C22" s="104">
        <v>1</v>
      </c>
      <c r="D22" s="104">
        <v>1</v>
      </c>
      <c r="E22" s="104">
        <v>1</v>
      </c>
      <c r="F22" s="104">
        <v>1</v>
      </c>
    </row>
    <row r="23" spans="1:6" ht="15.75" customHeight="1" x14ac:dyDescent="0.25">
      <c r="A23" s="72" t="s">
        <v>182</v>
      </c>
      <c r="B23" s="72" t="s">
        <v>317</v>
      </c>
      <c r="C23" s="104">
        <f>1-0.77</f>
        <v>0.22999999999999998</v>
      </c>
      <c r="D23" s="104">
        <f>1-0.77</f>
        <v>0.22999999999999998</v>
      </c>
      <c r="E23" s="104">
        <f t="shared" ref="E23:F23" si="3">E10*0.9</f>
        <v>0</v>
      </c>
      <c r="F23" s="104">
        <f t="shared" si="3"/>
        <v>0</v>
      </c>
    </row>
    <row r="24" spans="1:6" ht="15.75" customHeight="1" x14ac:dyDescent="0.25">
      <c r="A24" s="72"/>
      <c r="B24" s="72" t="s">
        <v>318</v>
      </c>
      <c r="C24" s="104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A25" s="72" t="s">
        <v>186</v>
      </c>
      <c r="B25" s="72" t="s">
        <v>317</v>
      </c>
      <c r="C25" s="104">
        <f>1-0.77</f>
        <v>0.22999999999999998</v>
      </c>
      <c r="D25" s="104">
        <f>1-0.77</f>
        <v>0.22999999999999998</v>
      </c>
      <c r="E25" s="104">
        <f t="shared" ref="E25:F25" si="4">E10*0.9</f>
        <v>0</v>
      </c>
      <c r="F25" s="104">
        <f t="shared" si="4"/>
        <v>0</v>
      </c>
    </row>
    <row r="26" spans="1:6" ht="15.75" customHeight="1" x14ac:dyDescent="0.25">
      <c r="A26" s="72"/>
      <c r="B26" s="72" t="s">
        <v>318</v>
      </c>
      <c r="C26" s="104">
        <v>1</v>
      </c>
      <c r="D26" s="104">
        <v>1</v>
      </c>
      <c r="E26" s="104">
        <v>1</v>
      </c>
      <c r="F26" s="104">
        <v>1</v>
      </c>
    </row>
    <row r="27" spans="1:6" ht="15.75" customHeight="1" x14ac:dyDescent="0.25">
      <c r="A27" s="72" t="s">
        <v>190</v>
      </c>
      <c r="B27" s="72" t="s">
        <v>317</v>
      </c>
      <c r="C27" s="104">
        <f>1-0.98*0.86</f>
        <v>0.15720000000000001</v>
      </c>
      <c r="D27" s="104">
        <f>1-0.98*0.86</f>
        <v>0.15720000000000001</v>
      </c>
      <c r="E27" s="104">
        <f t="shared" ref="E27:F27" si="5">E12*0.9</f>
        <v>0</v>
      </c>
      <c r="F27" s="104">
        <f t="shared" si="5"/>
        <v>0</v>
      </c>
    </row>
    <row r="28" spans="1:6" ht="15.75" customHeight="1" x14ac:dyDescent="0.25">
      <c r="A28" s="72"/>
      <c r="B28" s="72" t="s">
        <v>318</v>
      </c>
      <c r="C28" s="104">
        <v>1</v>
      </c>
      <c r="D28" s="104">
        <v>1</v>
      </c>
      <c r="E28" s="104">
        <v>1</v>
      </c>
      <c r="F28" s="104">
        <v>1</v>
      </c>
    </row>
    <row r="30" spans="1:6" s="106" customFormat="1" ht="15.75" customHeight="1" x14ac:dyDescent="0.3">
      <c r="A30" s="106" t="s">
        <v>239</v>
      </c>
    </row>
    <row r="31" spans="1:6" ht="15.75" customHeight="1" x14ac:dyDescent="0.3">
      <c r="A31" s="41" t="s">
        <v>160</v>
      </c>
      <c r="B31" s="29"/>
      <c r="C31" s="29" t="s">
        <v>51</v>
      </c>
      <c r="D31" s="29" t="s">
        <v>53</v>
      </c>
      <c r="E31" s="29" t="s">
        <v>52</v>
      </c>
      <c r="F31" s="41" t="s">
        <v>54</v>
      </c>
    </row>
    <row r="32" spans="1:6" ht="15.75" customHeight="1" x14ac:dyDescent="0.25">
      <c r="A32" s="72" t="s">
        <v>168</v>
      </c>
      <c r="B32" s="72" t="s">
        <v>317</v>
      </c>
      <c r="C32" s="104">
        <f>1-0.54</f>
        <v>0.45999999999999996</v>
      </c>
      <c r="D32" s="104">
        <f>1-0.54</f>
        <v>0.45999999999999996</v>
      </c>
      <c r="E32" s="104">
        <f t="shared" ref="E32:F32" si="6">E2*1.1</f>
        <v>0</v>
      </c>
      <c r="F32" s="104">
        <f t="shared" si="6"/>
        <v>0</v>
      </c>
    </row>
    <row r="33" spans="1:6" ht="15.75" customHeight="1" x14ac:dyDescent="0.25">
      <c r="A33" s="72"/>
      <c r="B33" s="72" t="s">
        <v>318</v>
      </c>
      <c r="C33" s="104">
        <v>1</v>
      </c>
      <c r="D33" s="104">
        <v>1</v>
      </c>
      <c r="E33" s="104">
        <v>1</v>
      </c>
      <c r="F33" s="104">
        <v>1</v>
      </c>
    </row>
    <row r="34" spans="1:6" ht="15.75" customHeight="1" x14ac:dyDescent="0.25">
      <c r="A34" s="72" t="s">
        <v>180</v>
      </c>
      <c r="B34" s="72" t="s">
        <v>317</v>
      </c>
      <c r="C34" s="104">
        <f>1-0.17</f>
        <v>0.83</v>
      </c>
      <c r="D34" s="104">
        <f>1-0.17</f>
        <v>0.83</v>
      </c>
      <c r="E34" s="104">
        <f t="shared" ref="E34:F34" si="7">E4*1.1</f>
        <v>0</v>
      </c>
      <c r="F34" s="104">
        <f t="shared" si="7"/>
        <v>0</v>
      </c>
    </row>
    <row r="35" spans="1:6" ht="15.75" customHeight="1" x14ac:dyDescent="0.25">
      <c r="A35" s="72"/>
      <c r="B35" s="72" t="s">
        <v>318</v>
      </c>
      <c r="C35" s="104">
        <v>1</v>
      </c>
      <c r="D35" s="104">
        <v>1</v>
      </c>
      <c r="E35" s="104">
        <v>1</v>
      </c>
      <c r="F35" s="104">
        <v>1</v>
      </c>
    </row>
    <row r="36" spans="1:6" ht="15.75" customHeight="1" x14ac:dyDescent="0.25">
      <c r="A36" s="72" t="s">
        <v>181</v>
      </c>
      <c r="B36" s="72" t="s">
        <v>317</v>
      </c>
      <c r="C36" s="104">
        <f>1-0.17</f>
        <v>0.83</v>
      </c>
      <c r="D36" s="104">
        <f>1-0.17</f>
        <v>0.83</v>
      </c>
      <c r="E36" s="104">
        <f t="shared" ref="E36:F36" si="8">E6*1.1</f>
        <v>0</v>
      </c>
      <c r="F36" s="104">
        <f t="shared" si="8"/>
        <v>0</v>
      </c>
    </row>
    <row r="37" spans="1:6" ht="15.75" customHeight="1" x14ac:dyDescent="0.25">
      <c r="A37" s="72"/>
      <c r="B37" s="72" t="s">
        <v>318</v>
      </c>
      <c r="C37" s="104">
        <v>1</v>
      </c>
      <c r="D37" s="104">
        <v>1</v>
      </c>
      <c r="E37" s="104">
        <v>1</v>
      </c>
      <c r="F37" s="104">
        <v>1</v>
      </c>
    </row>
    <row r="38" spans="1:6" ht="15.75" customHeight="1" x14ac:dyDescent="0.25">
      <c r="A38" s="72" t="s">
        <v>182</v>
      </c>
      <c r="B38" s="72" t="s">
        <v>317</v>
      </c>
      <c r="C38" s="104">
        <f>1-0.55</f>
        <v>0.44999999999999996</v>
      </c>
      <c r="D38" s="104">
        <f>1-0.55</f>
        <v>0.44999999999999996</v>
      </c>
      <c r="E38" s="104">
        <f t="shared" ref="E38:F38" si="9">E8*1.1</f>
        <v>0</v>
      </c>
      <c r="F38" s="104">
        <f t="shared" si="9"/>
        <v>0</v>
      </c>
    </row>
    <row r="39" spans="1:6" ht="15.75" customHeight="1" x14ac:dyDescent="0.25">
      <c r="A39" s="72"/>
      <c r="B39" s="72" t="s">
        <v>318</v>
      </c>
      <c r="C39" s="104">
        <v>1</v>
      </c>
      <c r="D39" s="104">
        <v>1</v>
      </c>
      <c r="E39" s="104">
        <v>1</v>
      </c>
      <c r="F39" s="104">
        <v>1</v>
      </c>
    </row>
    <row r="40" spans="1:6" ht="15.75" customHeight="1" x14ac:dyDescent="0.25">
      <c r="A40" s="72" t="s">
        <v>186</v>
      </c>
      <c r="B40" s="72" t="s">
        <v>317</v>
      </c>
      <c r="C40" s="104">
        <f>1-0.55</f>
        <v>0.44999999999999996</v>
      </c>
      <c r="D40" s="104">
        <f>1-0.55</f>
        <v>0.44999999999999996</v>
      </c>
      <c r="E40" s="104">
        <f t="shared" ref="E40:F40" si="10">E10*1.1</f>
        <v>0</v>
      </c>
      <c r="F40" s="104">
        <f t="shared" si="10"/>
        <v>0</v>
      </c>
    </row>
    <row r="41" spans="1:6" ht="15.75" customHeight="1" x14ac:dyDescent="0.25">
      <c r="A41" s="72"/>
      <c r="B41" s="72" t="s">
        <v>318</v>
      </c>
      <c r="C41" s="104">
        <v>1</v>
      </c>
      <c r="D41" s="104">
        <v>1</v>
      </c>
      <c r="E41" s="104">
        <v>1</v>
      </c>
      <c r="F41" s="104">
        <v>1</v>
      </c>
    </row>
    <row r="42" spans="1:6" ht="15.75" customHeight="1" x14ac:dyDescent="0.25">
      <c r="A42" s="72" t="s">
        <v>190</v>
      </c>
      <c r="B42" s="72" t="s">
        <v>317</v>
      </c>
      <c r="C42" s="104">
        <f>1-0.88*0.17</f>
        <v>0.85040000000000004</v>
      </c>
      <c r="D42" s="104">
        <f>1-0.88*0.17</f>
        <v>0.85040000000000004</v>
      </c>
      <c r="E42" s="104">
        <f t="shared" ref="E42:F42" si="11">E12*1.1</f>
        <v>0</v>
      </c>
      <c r="F42" s="104">
        <f t="shared" si="11"/>
        <v>0</v>
      </c>
    </row>
    <row r="43" spans="1:6" ht="15.75" customHeight="1" x14ac:dyDescent="0.25">
      <c r="A43" s="72"/>
      <c r="B43" s="72" t="s">
        <v>318</v>
      </c>
      <c r="C43" s="104">
        <v>1</v>
      </c>
      <c r="D43" s="104">
        <v>1</v>
      </c>
      <c r="E43" s="104">
        <v>1</v>
      </c>
      <c r="F43" s="104">
        <v>1</v>
      </c>
    </row>
  </sheetData>
  <sheetProtection algorithmName="SHA-512" hashValue="2zuwDNG3cpVg8n8HicTGctGw+v9pQ4f3RS+RZ+tsZCMfPqFURPW3cUCeoBWVFUjAAg4UA2JWuJ0ihQs73NcCGw==" saltValue="kxYD2aAPnfzueDNejNGq5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3" zoomScale="70" zoomScaleNormal="70" workbookViewId="0">
      <selection activeCell="C3" sqref="C3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27" customWidth="1"/>
    <col min="16" max="16384" width="12.7265625" style="27"/>
  </cols>
  <sheetData>
    <row r="1" spans="1:15" ht="35.25" customHeight="1" x14ac:dyDescent="0.3">
      <c r="A1" s="29"/>
      <c r="B1" s="29"/>
      <c r="C1" s="82" t="s">
        <v>109</v>
      </c>
      <c r="D1" s="82" t="s">
        <v>96</v>
      </c>
      <c r="E1" s="82" t="s">
        <v>97</v>
      </c>
      <c r="F1" s="82" t="s">
        <v>98</v>
      </c>
      <c r="G1" s="82" t="s">
        <v>99</v>
      </c>
      <c r="H1" s="82" t="s">
        <v>69</v>
      </c>
      <c r="I1" s="82" t="s">
        <v>70</v>
      </c>
      <c r="J1" s="82" t="s">
        <v>71</v>
      </c>
      <c r="K1" s="82" t="s">
        <v>72</v>
      </c>
      <c r="L1" s="82" t="s">
        <v>122</v>
      </c>
      <c r="M1" s="82" t="s">
        <v>123</v>
      </c>
      <c r="N1" s="82" t="s">
        <v>124</v>
      </c>
      <c r="O1" s="82" t="s">
        <v>125</v>
      </c>
    </row>
    <row r="2" spans="1:15" ht="13" x14ac:dyDescent="0.3">
      <c r="A2" s="29" t="s">
        <v>319</v>
      </c>
    </row>
    <row r="3" spans="1:15" x14ac:dyDescent="0.25">
      <c r="B3" s="45" t="s">
        <v>171</v>
      </c>
      <c r="C3" s="104">
        <v>0.92</v>
      </c>
      <c r="D3" s="104">
        <v>0.92</v>
      </c>
      <c r="E3" s="104">
        <v>0.92</v>
      </c>
      <c r="F3" s="104">
        <v>1</v>
      </c>
      <c r="G3" s="104">
        <v>1</v>
      </c>
      <c r="H3" s="104">
        <v>1</v>
      </c>
      <c r="I3" s="104">
        <v>1</v>
      </c>
      <c r="J3" s="104">
        <v>1</v>
      </c>
      <c r="K3" s="104">
        <v>1</v>
      </c>
      <c r="L3" s="104">
        <v>1</v>
      </c>
      <c r="M3" s="104">
        <v>1</v>
      </c>
      <c r="N3" s="104">
        <v>1</v>
      </c>
      <c r="O3" s="104">
        <v>1</v>
      </c>
    </row>
    <row r="4" spans="1:15" x14ac:dyDescent="0.25">
      <c r="B4" s="45" t="s">
        <v>176</v>
      </c>
      <c r="C4" s="104">
        <v>1</v>
      </c>
      <c r="D4" s="104">
        <v>1</v>
      </c>
      <c r="E4" s="104">
        <v>1</v>
      </c>
      <c r="F4" s="104">
        <v>1</v>
      </c>
      <c r="G4" s="104">
        <v>1</v>
      </c>
      <c r="H4" s="104">
        <v>0.73</v>
      </c>
      <c r="I4" s="104">
        <v>0.73</v>
      </c>
      <c r="J4" s="104">
        <v>0.73</v>
      </c>
      <c r="K4" s="104">
        <v>0.73</v>
      </c>
      <c r="L4" s="104">
        <v>1</v>
      </c>
      <c r="M4" s="104">
        <v>1</v>
      </c>
      <c r="N4" s="104">
        <v>1</v>
      </c>
      <c r="O4" s="104">
        <v>1</v>
      </c>
    </row>
    <row r="5" spans="1:15" x14ac:dyDescent="0.25">
      <c r="B5" s="45" t="s">
        <v>177</v>
      </c>
      <c r="C5" s="104">
        <v>1</v>
      </c>
      <c r="D5" s="104">
        <v>1</v>
      </c>
      <c r="E5" s="104">
        <v>1</v>
      </c>
      <c r="F5" s="104">
        <v>1</v>
      </c>
      <c r="G5" s="104">
        <v>1</v>
      </c>
      <c r="H5" s="104">
        <v>0.73</v>
      </c>
      <c r="I5" s="104">
        <v>0.73</v>
      </c>
      <c r="J5" s="104">
        <v>0.73</v>
      </c>
      <c r="K5" s="104">
        <v>0.73</v>
      </c>
      <c r="L5" s="104">
        <v>1</v>
      </c>
      <c r="M5" s="104">
        <v>1</v>
      </c>
      <c r="N5" s="104">
        <v>1</v>
      </c>
      <c r="O5" s="104">
        <v>1</v>
      </c>
    </row>
    <row r="6" spans="1:15" x14ac:dyDescent="0.25">
      <c r="B6" s="45" t="s">
        <v>178</v>
      </c>
      <c r="C6" s="104">
        <v>1</v>
      </c>
      <c r="D6" s="104">
        <v>1</v>
      </c>
      <c r="E6" s="104">
        <v>1</v>
      </c>
      <c r="F6" s="104">
        <v>1</v>
      </c>
      <c r="G6" s="104">
        <v>1</v>
      </c>
      <c r="H6" s="104">
        <v>0.73</v>
      </c>
      <c r="I6" s="104">
        <v>0.73</v>
      </c>
      <c r="J6" s="104">
        <v>0.73</v>
      </c>
      <c r="K6" s="104">
        <v>0.73</v>
      </c>
      <c r="L6" s="104">
        <v>1</v>
      </c>
      <c r="M6" s="104">
        <v>1</v>
      </c>
      <c r="N6" s="104">
        <v>1</v>
      </c>
      <c r="O6" s="104">
        <v>1</v>
      </c>
    </row>
    <row r="7" spans="1:15" x14ac:dyDescent="0.25">
      <c r="B7" s="45" t="s">
        <v>179</v>
      </c>
      <c r="C7" s="104">
        <v>1</v>
      </c>
      <c r="D7" s="104">
        <v>1</v>
      </c>
      <c r="E7" s="104">
        <v>1</v>
      </c>
      <c r="F7" s="104">
        <v>1</v>
      </c>
      <c r="G7" s="104">
        <v>1</v>
      </c>
      <c r="H7" s="104">
        <v>0.73</v>
      </c>
      <c r="I7" s="104">
        <v>0.73</v>
      </c>
      <c r="J7" s="104">
        <v>0.73</v>
      </c>
      <c r="K7" s="104">
        <v>0.73</v>
      </c>
      <c r="L7" s="104">
        <v>1</v>
      </c>
      <c r="M7" s="104">
        <v>1</v>
      </c>
      <c r="N7" s="104">
        <v>1</v>
      </c>
      <c r="O7" s="104">
        <v>1</v>
      </c>
    </row>
    <row r="8" spans="1:15" x14ac:dyDescent="0.25">
      <c r="B8" s="72" t="s">
        <v>180</v>
      </c>
      <c r="C8" s="104">
        <v>1</v>
      </c>
      <c r="D8" s="104">
        <v>1</v>
      </c>
      <c r="E8" s="104">
        <v>1</v>
      </c>
      <c r="F8" s="104">
        <v>1</v>
      </c>
      <c r="G8" s="104">
        <v>1</v>
      </c>
      <c r="H8" s="104">
        <v>1</v>
      </c>
      <c r="I8" s="104">
        <v>1</v>
      </c>
      <c r="J8" s="104">
        <v>1</v>
      </c>
      <c r="K8" s="104">
        <v>1</v>
      </c>
      <c r="L8" s="104">
        <v>0.51</v>
      </c>
      <c r="M8" s="104">
        <v>0.51</v>
      </c>
      <c r="N8" s="104">
        <v>0.51</v>
      </c>
      <c r="O8" s="104">
        <v>0.51</v>
      </c>
    </row>
    <row r="9" spans="1:15" x14ac:dyDescent="0.25">
      <c r="B9" s="72" t="s">
        <v>181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  <c r="H9" s="104">
        <v>1</v>
      </c>
      <c r="I9" s="104">
        <v>1</v>
      </c>
      <c r="J9" s="104">
        <v>1</v>
      </c>
      <c r="K9" s="104">
        <v>1</v>
      </c>
      <c r="L9" s="104">
        <v>0.51</v>
      </c>
      <c r="M9" s="104">
        <v>0.51</v>
      </c>
      <c r="N9" s="104">
        <v>0.51</v>
      </c>
      <c r="O9" s="104">
        <v>0.51</v>
      </c>
    </row>
    <row r="10" spans="1:15" x14ac:dyDescent="0.25">
      <c r="B10" s="45" t="s">
        <v>182</v>
      </c>
      <c r="C10" s="104">
        <v>1</v>
      </c>
      <c r="D10" s="104">
        <v>1</v>
      </c>
      <c r="E10" s="104">
        <v>1</v>
      </c>
      <c r="F10" s="104">
        <v>1</v>
      </c>
      <c r="G10" s="104">
        <v>1</v>
      </c>
      <c r="H10" s="104">
        <v>1</v>
      </c>
      <c r="I10" s="104">
        <v>1</v>
      </c>
      <c r="J10" s="104">
        <v>1</v>
      </c>
      <c r="K10" s="104">
        <v>1</v>
      </c>
      <c r="L10" s="104">
        <v>0.9</v>
      </c>
      <c r="M10" s="104">
        <v>0.9</v>
      </c>
      <c r="N10" s="104">
        <v>0.9</v>
      </c>
      <c r="O10" s="104">
        <v>0.9</v>
      </c>
    </row>
    <row r="11" spans="1:15" x14ac:dyDescent="0.25">
      <c r="B11" s="72" t="s">
        <v>185</v>
      </c>
      <c r="C11" s="104">
        <v>1</v>
      </c>
      <c r="D11" s="104">
        <v>1</v>
      </c>
      <c r="E11" s="104">
        <v>0.69</v>
      </c>
      <c r="F11" s="104">
        <v>0.69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45" t="s">
        <v>186</v>
      </c>
      <c r="C12" s="104">
        <v>0.83</v>
      </c>
      <c r="D12" s="104">
        <v>0.83</v>
      </c>
      <c r="E12" s="104">
        <v>0.83</v>
      </c>
      <c r="F12" s="104">
        <v>0.83</v>
      </c>
      <c r="G12" s="104">
        <v>0.83</v>
      </c>
      <c r="H12" s="104">
        <v>0.83</v>
      </c>
      <c r="I12" s="104">
        <v>0.83</v>
      </c>
      <c r="J12" s="104">
        <v>0.83</v>
      </c>
      <c r="K12" s="104">
        <v>0.83</v>
      </c>
      <c r="L12" s="104">
        <v>0.83</v>
      </c>
      <c r="M12" s="104">
        <v>0.83</v>
      </c>
      <c r="N12" s="104">
        <v>0.83</v>
      </c>
      <c r="O12" s="104">
        <v>0.83</v>
      </c>
    </row>
    <row r="13" spans="1:15" ht="13.15" customHeight="1" x14ac:dyDescent="0.25">
      <c r="B13" s="45" t="s">
        <v>189</v>
      </c>
      <c r="C13" s="104">
        <v>1</v>
      </c>
      <c r="D13" s="104">
        <v>1</v>
      </c>
      <c r="E13" s="104">
        <v>0.69</v>
      </c>
      <c r="F13" s="104">
        <v>0.69</v>
      </c>
      <c r="G13" s="104">
        <v>0.69</v>
      </c>
      <c r="H13" s="104">
        <v>1</v>
      </c>
      <c r="I13" s="104">
        <v>1</v>
      </c>
      <c r="J13" s="104">
        <v>1</v>
      </c>
      <c r="K13" s="104">
        <v>1</v>
      </c>
      <c r="L13" s="104">
        <v>1</v>
      </c>
      <c r="M13" s="104">
        <v>1</v>
      </c>
      <c r="N13" s="104">
        <v>1</v>
      </c>
      <c r="O13" s="104">
        <v>1</v>
      </c>
    </row>
    <row r="14" spans="1:15" x14ac:dyDescent="0.25">
      <c r="B14" s="45" t="s">
        <v>190</v>
      </c>
      <c r="C14" s="104">
        <v>1</v>
      </c>
      <c r="D14" s="104">
        <v>1</v>
      </c>
      <c r="E14" s="104">
        <v>1</v>
      </c>
      <c r="F14" s="104">
        <v>1</v>
      </c>
      <c r="G14" s="104">
        <v>1</v>
      </c>
      <c r="H14" s="104">
        <v>1</v>
      </c>
      <c r="I14" s="104">
        <v>1</v>
      </c>
      <c r="J14" s="104">
        <v>1</v>
      </c>
      <c r="K14" s="104">
        <v>1</v>
      </c>
      <c r="L14" s="104">
        <f>L8</f>
        <v>0.51</v>
      </c>
      <c r="M14" s="104">
        <f t="shared" ref="M14:O14" si="0">M8</f>
        <v>0.51</v>
      </c>
      <c r="N14" s="104">
        <f t="shared" si="0"/>
        <v>0.51</v>
      </c>
      <c r="O14" s="104">
        <f t="shared" si="0"/>
        <v>0.51</v>
      </c>
    </row>
    <row r="15" spans="1:15" x14ac:dyDescent="0.25">
      <c r="B15" s="72" t="s">
        <v>205</v>
      </c>
      <c r="C15" s="104">
        <v>1</v>
      </c>
      <c r="D15" s="104">
        <v>1</v>
      </c>
      <c r="E15" s="104">
        <v>0.36</v>
      </c>
      <c r="F15" s="104">
        <v>0.36</v>
      </c>
      <c r="G15" s="104">
        <v>1</v>
      </c>
      <c r="H15" s="104">
        <v>1</v>
      </c>
      <c r="I15" s="104">
        <v>1</v>
      </c>
      <c r="J15" s="104">
        <v>1</v>
      </c>
      <c r="K15" s="104">
        <v>1</v>
      </c>
      <c r="L15" s="104">
        <v>1</v>
      </c>
      <c r="M15" s="104">
        <v>1</v>
      </c>
      <c r="N15" s="104">
        <v>1</v>
      </c>
      <c r="O15" s="104">
        <v>1</v>
      </c>
    </row>
    <row r="17" spans="1:15" ht="13" x14ac:dyDescent="0.3">
      <c r="A17" s="29" t="s">
        <v>320</v>
      </c>
      <c r="B17" s="45"/>
    </row>
    <row r="18" spans="1:15" x14ac:dyDescent="0.25">
      <c r="B18" s="72" t="s">
        <v>173</v>
      </c>
      <c r="C18" s="104">
        <v>1</v>
      </c>
      <c r="D18" s="104">
        <v>1</v>
      </c>
      <c r="E18" s="104">
        <v>0.97599999999999998</v>
      </c>
      <c r="F18" s="104">
        <v>0.97599999999999998</v>
      </c>
      <c r="G18" s="104">
        <v>0.97599999999999998</v>
      </c>
      <c r="H18" s="104">
        <v>0.97599999999999998</v>
      </c>
      <c r="I18" s="104">
        <v>0.97599999999999998</v>
      </c>
      <c r="J18" s="104">
        <v>0.97599999999999998</v>
      </c>
      <c r="K18" s="104">
        <v>0.97599999999999998</v>
      </c>
      <c r="L18" s="104">
        <v>0.97599999999999998</v>
      </c>
      <c r="M18" s="104">
        <v>0.97599999999999998</v>
      </c>
      <c r="N18" s="104">
        <v>0.97599999999999998</v>
      </c>
      <c r="O18" s="104">
        <v>0.97599999999999998</v>
      </c>
    </row>
    <row r="19" spans="1:15" x14ac:dyDescent="0.25">
      <c r="B19" s="72" t="s">
        <v>174</v>
      </c>
      <c r="C19" s="104">
        <v>1</v>
      </c>
      <c r="D19" s="104">
        <v>1</v>
      </c>
      <c r="E19" s="104">
        <v>0.97599999999999998</v>
      </c>
      <c r="F19" s="104">
        <v>0.97599999999999998</v>
      </c>
      <c r="G19" s="104">
        <v>0.97599999999999998</v>
      </c>
      <c r="H19" s="104">
        <v>0.97599999999999998</v>
      </c>
      <c r="I19" s="104">
        <v>0.97599999999999998</v>
      </c>
      <c r="J19" s="104">
        <v>0.97599999999999998</v>
      </c>
      <c r="K19" s="104">
        <v>0.97599999999999998</v>
      </c>
      <c r="L19" s="104">
        <v>0.97599999999999998</v>
      </c>
      <c r="M19" s="104">
        <v>0.97599999999999998</v>
      </c>
      <c r="N19" s="104">
        <v>0.97599999999999998</v>
      </c>
      <c r="O19" s="104">
        <v>0.97599999999999998</v>
      </c>
    </row>
    <row r="20" spans="1:15" x14ac:dyDescent="0.25">
      <c r="B20" s="72" t="s">
        <v>175</v>
      </c>
      <c r="C20" s="104">
        <v>1</v>
      </c>
      <c r="D20" s="104">
        <v>1</v>
      </c>
      <c r="E20" s="104">
        <v>0.97599999999999998</v>
      </c>
      <c r="F20" s="104">
        <v>0.97599999999999998</v>
      </c>
      <c r="G20" s="104">
        <v>0.97599999999999998</v>
      </c>
      <c r="H20" s="104">
        <v>0.97599999999999998</v>
      </c>
      <c r="I20" s="104">
        <v>0.97599999999999998</v>
      </c>
      <c r="J20" s="104">
        <v>0.97599999999999998</v>
      </c>
      <c r="K20" s="104">
        <v>0.97599999999999998</v>
      </c>
      <c r="L20" s="104">
        <v>0.97599999999999998</v>
      </c>
      <c r="M20" s="104">
        <v>0.97599999999999998</v>
      </c>
      <c r="N20" s="104">
        <v>0.97599999999999998</v>
      </c>
      <c r="O20" s="104">
        <v>0.97599999999999998</v>
      </c>
    </row>
    <row r="21" spans="1:15" x14ac:dyDescent="0.25">
      <c r="B21" s="72" t="s">
        <v>183</v>
      </c>
      <c r="C21" s="104">
        <v>1</v>
      </c>
      <c r="D21" s="104">
        <v>1</v>
      </c>
      <c r="E21" s="104">
        <v>0.97599999999999998</v>
      </c>
      <c r="F21" s="104">
        <v>0.97599999999999998</v>
      </c>
      <c r="G21" s="104">
        <v>0.97599999999999998</v>
      </c>
      <c r="H21" s="104">
        <v>0.97599999999999998</v>
      </c>
      <c r="I21" s="104">
        <v>0.97599999999999998</v>
      </c>
      <c r="J21" s="104">
        <v>0.97599999999999998</v>
      </c>
      <c r="K21" s="104">
        <v>0.97599999999999998</v>
      </c>
      <c r="L21" s="104">
        <v>0.97599999999999998</v>
      </c>
      <c r="M21" s="104">
        <v>0.97599999999999998</v>
      </c>
      <c r="N21" s="104">
        <v>0.97599999999999998</v>
      </c>
      <c r="O21" s="104">
        <v>0.97599999999999998</v>
      </c>
    </row>
    <row r="23" spans="1:15" s="106" customFormat="1" ht="13" x14ac:dyDescent="0.3">
      <c r="A23" s="106" t="s">
        <v>235</v>
      </c>
    </row>
    <row r="24" spans="1:15" ht="26" x14ac:dyDescent="0.3">
      <c r="A24" s="29"/>
      <c r="B24" s="29"/>
      <c r="C24" s="82" t="s">
        <v>109</v>
      </c>
      <c r="D24" s="82" t="s">
        <v>96</v>
      </c>
      <c r="E24" s="82" t="s">
        <v>97</v>
      </c>
      <c r="F24" s="82" t="s">
        <v>98</v>
      </c>
      <c r="G24" s="82" t="s">
        <v>99</v>
      </c>
      <c r="H24" s="82" t="s">
        <v>69</v>
      </c>
      <c r="I24" s="82" t="s">
        <v>70</v>
      </c>
      <c r="J24" s="82" t="s">
        <v>71</v>
      </c>
      <c r="K24" s="82" t="s">
        <v>72</v>
      </c>
      <c r="L24" s="82" t="s">
        <v>122</v>
      </c>
      <c r="M24" s="82" t="s">
        <v>123</v>
      </c>
      <c r="N24" s="82" t="s">
        <v>124</v>
      </c>
      <c r="O24" s="82" t="s">
        <v>125</v>
      </c>
    </row>
    <row r="25" spans="1:15" ht="13" x14ac:dyDescent="0.3">
      <c r="A25" s="29" t="s">
        <v>321</v>
      </c>
    </row>
    <row r="26" spans="1:15" x14ac:dyDescent="0.25">
      <c r="B26" s="45" t="s">
        <v>171</v>
      </c>
      <c r="C26" s="104">
        <v>0.87</v>
      </c>
      <c r="D26" s="104">
        <v>0.87</v>
      </c>
      <c r="E26" s="104">
        <v>0.87</v>
      </c>
      <c r="F26" s="104">
        <f t="shared" ref="F26:O26" si="1">IF(F3=1,1,F3*0.9)</f>
        <v>1</v>
      </c>
      <c r="G26" s="104">
        <f t="shared" si="1"/>
        <v>1</v>
      </c>
      <c r="H26" s="104">
        <f t="shared" si="1"/>
        <v>1</v>
      </c>
      <c r="I26" s="104">
        <f t="shared" si="1"/>
        <v>1</v>
      </c>
      <c r="J26" s="104">
        <f t="shared" si="1"/>
        <v>1</v>
      </c>
      <c r="K26" s="104">
        <f t="shared" si="1"/>
        <v>1</v>
      </c>
      <c r="L26" s="104">
        <f t="shared" si="1"/>
        <v>1</v>
      </c>
      <c r="M26" s="104">
        <f t="shared" si="1"/>
        <v>1</v>
      </c>
      <c r="N26" s="104">
        <f t="shared" si="1"/>
        <v>1</v>
      </c>
      <c r="O26" s="104">
        <f t="shared" si="1"/>
        <v>1</v>
      </c>
    </row>
    <row r="27" spans="1:15" x14ac:dyDescent="0.25">
      <c r="B27" s="45" t="s">
        <v>176</v>
      </c>
      <c r="C27" s="104">
        <f t="shared" ref="C27:O34" si="2">IF(C4=1,1,C4*0.9)</f>
        <v>1</v>
      </c>
      <c r="D27" s="104">
        <f t="shared" si="2"/>
        <v>1</v>
      </c>
      <c r="E27" s="104">
        <f t="shared" si="2"/>
        <v>1</v>
      </c>
      <c r="F27" s="104">
        <f t="shared" si="2"/>
        <v>1</v>
      </c>
      <c r="G27" s="104">
        <f t="shared" si="2"/>
        <v>1</v>
      </c>
      <c r="H27" s="104">
        <v>0.56000000000000005</v>
      </c>
      <c r="I27" s="104">
        <v>0.56000000000000005</v>
      </c>
      <c r="J27" s="104">
        <v>0.56000000000000005</v>
      </c>
      <c r="K27" s="104">
        <v>0.56000000000000005</v>
      </c>
      <c r="L27" s="104">
        <f t="shared" si="2"/>
        <v>1</v>
      </c>
      <c r="M27" s="104">
        <f t="shared" si="2"/>
        <v>1</v>
      </c>
      <c r="N27" s="104">
        <f t="shared" si="2"/>
        <v>1</v>
      </c>
      <c r="O27" s="104">
        <f t="shared" si="2"/>
        <v>1</v>
      </c>
    </row>
    <row r="28" spans="1:15" x14ac:dyDescent="0.25">
      <c r="B28" s="45" t="s">
        <v>177</v>
      </c>
      <c r="C28" s="104">
        <f t="shared" si="2"/>
        <v>1</v>
      </c>
      <c r="D28" s="104">
        <f t="shared" si="2"/>
        <v>1</v>
      </c>
      <c r="E28" s="104">
        <f t="shared" si="2"/>
        <v>1</v>
      </c>
      <c r="F28" s="104">
        <f t="shared" si="2"/>
        <v>1</v>
      </c>
      <c r="G28" s="104">
        <f t="shared" si="2"/>
        <v>1</v>
      </c>
      <c r="H28" s="104">
        <v>0.56000000000000005</v>
      </c>
      <c r="I28" s="104">
        <v>0.56000000000000005</v>
      </c>
      <c r="J28" s="104">
        <v>0.56000000000000005</v>
      </c>
      <c r="K28" s="104">
        <v>0.56000000000000005</v>
      </c>
      <c r="L28" s="104">
        <f t="shared" si="2"/>
        <v>1</v>
      </c>
      <c r="M28" s="104">
        <f t="shared" si="2"/>
        <v>1</v>
      </c>
      <c r="N28" s="104">
        <f t="shared" si="2"/>
        <v>1</v>
      </c>
      <c r="O28" s="104">
        <f t="shared" si="2"/>
        <v>1</v>
      </c>
    </row>
    <row r="29" spans="1:15" x14ac:dyDescent="0.25">
      <c r="B29" s="45" t="s">
        <v>178</v>
      </c>
      <c r="C29" s="104">
        <f t="shared" si="2"/>
        <v>1</v>
      </c>
      <c r="D29" s="104">
        <f t="shared" si="2"/>
        <v>1</v>
      </c>
      <c r="E29" s="104">
        <f t="shared" si="2"/>
        <v>1</v>
      </c>
      <c r="F29" s="104">
        <f t="shared" si="2"/>
        <v>1</v>
      </c>
      <c r="G29" s="104">
        <f t="shared" si="2"/>
        <v>1</v>
      </c>
      <c r="H29" s="104">
        <v>0.56000000000000005</v>
      </c>
      <c r="I29" s="104">
        <v>0.56000000000000005</v>
      </c>
      <c r="J29" s="104">
        <v>0.56000000000000005</v>
      </c>
      <c r="K29" s="104">
        <v>0.56000000000000005</v>
      </c>
      <c r="L29" s="104">
        <f t="shared" si="2"/>
        <v>1</v>
      </c>
      <c r="M29" s="104">
        <f t="shared" si="2"/>
        <v>1</v>
      </c>
      <c r="N29" s="104">
        <f t="shared" si="2"/>
        <v>1</v>
      </c>
      <c r="O29" s="104">
        <f t="shared" si="2"/>
        <v>1</v>
      </c>
    </row>
    <row r="30" spans="1:15" x14ac:dyDescent="0.25">
      <c r="B30" s="45" t="s">
        <v>179</v>
      </c>
      <c r="C30" s="104">
        <f t="shared" si="2"/>
        <v>1</v>
      </c>
      <c r="D30" s="104">
        <f t="shared" si="2"/>
        <v>1</v>
      </c>
      <c r="E30" s="104">
        <f t="shared" si="2"/>
        <v>1</v>
      </c>
      <c r="F30" s="104">
        <f t="shared" si="2"/>
        <v>1</v>
      </c>
      <c r="G30" s="104">
        <f t="shared" si="2"/>
        <v>1</v>
      </c>
      <c r="H30" s="104">
        <v>0.56000000000000005</v>
      </c>
      <c r="I30" s="104">
        <v>0.56000000000000005</v>
      </c>
      <c r="J30" s="104">
        <v>0.56000000000000005</v>
      </c>
      <c r="K30" s="104">
        <v>0.56000000000000005</v>
      </c>
      <c r="L30" s="104">
        <f t="shared" si="2"/>
        <v>1</v>
      </c>
      <c r="M30" s="104">
        <f t="shared" si="2"/>
        <v>1</v>
      </c>
      <c r="N30" s="104">
        <f t="shared" si="2"/>
        <v>1</v>
      </c>
      <c r="O30" s="104">
        <f t="shared" si="2"/>
        <v>1</v>
      </c>
    </row>
    <row r="31" spans="1:15" x14ac:dyDescent="0.25">
      <c r="B31" s="72" t="s">
        <v>180</v>
      </c>
      <c r="C31" s="104">
        <f t="shared" si="2"/>
        <v>1</v>
      </c>
      <c r="D31" s="104">
        <f t="shared" si="2"/>
        <v>1</v>
      </c>
      <c r="E31" s="104">
        <f t="shared" si="2"/>
        <v>1</v>
      </c>
      <c r="F31" s="104">
        <f t="shared" si="2"/>
        <v>1</v>
      </c>
      <c r="G31" s="104">
        <f t="shared" si="2"/>
        <v>1</v>
      </c>
      <c r="H31" s="104">
        <f t="shared" si="2"/>
        <v>1</v>
      </c>
      <c r="I31" s="104">
        <f t="shared" si="2"/>
        <v>1</v>
      </c>
      <c r="J31" s="104">
        <f t="shared" si="2"/>
        <v>1</v>
      </c>
      <c r="K31" s="104">
        <f t="shared" si="2"/>
        <v>1</v>
      </c>
      <c r="L31" s="104">
        <v>0.38</v>
      </c>
      <c r="M31" s="104">
        <v>0.38</v>
      </c>
      <c r="N31" s="104">
        <v>0.38</v>
      </c>
      <c r="O31" s="104">
        <v>0.38</v>
      </c>
    </row>
    <row r="32" spans="1:15" x14ac:dyDescent="0.25">
      <c r="B32" s="72" t="s">
        <v>181</v>
      </c>
      <c r="C32" s="104">
        <f t="shared" si="2"/>
        <v>1</v>
      </c>
      <c r="D32" s="104">
        <f t="shared" si="2"/>
        <v>1</v>
      </c>
      <c r="E32" s="104">
        <f t="shared" si="2"/>
        <v>1</v>
      </c>
      <c r="F32" s="104">
        <f t="shared" si="2"/>
        <v>1</v>
      </c>
      <c r="G32" s="104">
        <f t="shared" si="2"/>
        <v>1</v>
      </c>
      <c r="H32" s="104">
        <f t="shared" si="2"/>
        <v>1</v>
      </c>
      <c r="I32" s="104">
        <f t="shared" si="2"/>
        <v>1</v>
      </c>
      <c r="J32" s="104">
        <f t="shared" si="2"/>
        <v>1</v>
      </c>
      <c r="K32" s="104">
        <f t="shared" si="2"/>
        <v>1</v>
      </c>
      <c r="L32" s="104">
        <v>0.38</v>
      </c>
      <c r="M32" s="104">
        <v>0.38</v>
      </c>
      <c r="N32" s="104">
        <v>0.38</v>
      </c>
      <c r="O32" s="104">
        <v>0.38</v>
      </c>
    </row>
    <row r="33" spans="1:15" x14ac:dyDescent="0.25">
      <c r="B33" s="45" t="s">
        <v>182</v>
      </c>
      <c r="C33" s="104">
        <f t="shared" si="2"/>
        <v>1</v>
      </c>
      <c r="D33" s="104">
        <f t="shared" si="2"/>
        <v>1</v>
      </c>
      <c r="E33" s="104">
        <f t="shared" si="2"/>
        <v>1</v>
      </c>
      <c r="F33" s="104">
        <f t="shared" si="2"/>
        <v>1</v>
      </c>
      <c r="G33" s="104">
        <f t="shared" si="2"/>
        <v>1</v>
      </c>
      <c r="H33" s="104">
        <f t="shared" si="2"/>
        <v>1</v>
      </c>
      <c r="I33" s="104">
        <f t="shared" si="2"/>
        <v>1</v>
      </c>
      <c r="J33" s="104">
        <f t="shared" si="2"/>
        <v>1</v>
      </c>
      <c r="K33" s="104">
        <f t="shared" si="2"/>
        <v>1</v>
      </c>
      <c r="L33" s="104">
        <v>0.74</v>
      </c>
      <c r="M33" s="104">
        <v>0.74</v>
      </c>
      <c r="N33" s="104">
        <v>0.74</v>
      </c>
      <c r="O33" s="104">
        <v>0.74</v>
      </c>
    </row>
    <row r="34" spans="1:15" x14ac:dyDescent="0.25">
      <c r="B34" s="72" t="s">
        <v>185</v>
      </c>
      <c r="C34" s="104">
        <f t="shared" si="2"/>
        <v>1</v>
      </c>
      <c r="D34" s="104">
        <f t="shared" si="2"/>
        <v>1</v>
      </c>
      <c r="E34" s="104">
        <v>0.62</v>
      </c>
      <c r="F34" s="104">
        <v>0.62</v>
      </c>
      <c r="G34" s="104">
        <v>1</v>
      </c>
      <c r="H34" s="104">
        <f t="shared" si="2"/>
        <v>1</v>
      </c>
      <c r="I34" s="104">
        <f t="shared" si="2"/>
        <v>1</v>
      </c>
      <c r="J34" s="104">
        <f t="shared" si="2"/>
        <v>1</v>
      </c>
      <c r="K34" s="104">
        <f t="shared" si="2"/>
        <v>1</v>
      </c>
      <c r="L34" s="104">
        <f t="shared" si="2"/>
        <v>1</v>
      </c>
      <c r="M34" s="104">
        <f t="shared" si="2"/>
        <v>1</v>
      </c>
      <c r="N34" s="104">
        <f t="shared" si="2"/>
        <v>1</v>
      </c>
      <c r="O34" s="104">
        <f t="shared" si="2"/>
        <v>1</v>
      </c>
    </row>
    <row r="35" spans="1:15" x14ac:dyDescent="0.25">
      <c r="B35" s="45" t="s">
        <v>186</v>
      </c>
      <c r="C35" s="104">
        <v>0.74</v>
      </c>
      <c r="D35" s="104">
        <v>0.74</v>
      </c>
      <c r="E35" s="104">
        <v>0.74</v>
      </c>
      <c r="F35" s="104">
        <v>0.74</v>
      </c>
      <c r="G35" s="104">
        <v>0.74</v>
      </c>
      <c r="H35" s="104">
        <v>0.74</v>
      </c>
      <c r="I35" s="104">
        <v>0.74</v>
      </c>
      <c r="J35" s="104">
        <v>0.74</v>
      </c>
      <c r="K35" s="104">
        <v>0.74</v>
      </c>
      <c r="L35" s="104">
        <v>0.74</v>
      </c>
      <c r="M35" s="104">
        <v>0.74</v>
      </c>
      <c r="N35" s="104">
        <v>0.74</v>
      </c>
      <c r="O35" s="104">
        <v>0.74</v>
      </c>
    </row>
    <row r="36" spans="1:15" x14ac:dyDescent="0.25">
      <c r="B36" s="45" t="s">
        <v>189</v>
      </c>
      <c r="C36" s="104">
        <f t="shared" ref="C36:O38" si="3">IF(C13=1,1,C13*0.9)</f>
        <v>1</v>
      </c>
      <c r="D36" s="104">
        <f t="shared" si="3"/>
        <v>1</v>
      </c>
      <c r="E36" s="104">
        <v>0.62</v>
      </c>
      <c r="F36" s="104">
        <v>0.62</v>
      </c>
      <c r="G36" s="104">
        <v>0.62</v>
      </c>
      <c r="H36" s="104">
        <f t="shared" si="3"/>
        <v>1</v>
      </c>
      <c r="I36" s="104">
        <f t="shared" si="3"/>
        <v>1</v>
      </c>
      <c r="J36" s="104">
        <f t="shared" si="3"/>
        <v>1</v>
      </c>
      <c r="K36" s="104">
        <f t="shared" si="3"/>
        <v>1</v>
      </c>
      <c r="L36" s="104">
        <f t="shared" si="3"/>
        <v>1</v>
      </c>
      <c r="M36" s="104">
        <f t="shared" si="3"/>
        <v>1</v>
      </c>
      <c r="N36" s="104">
        <f t="shared" si="3"/>
        <v>1</v>
      </c>
      <c r="O36" s="104">
        <f t="shared" si="3"/>
        <v>1</v>
      </c>
    </row>
    <row r="37" spans="1:15" x14ac:dyDescent="0.25">
      <c r="B37" s="45" t="s">
        <v>190</v>
      </c>
      <c r="C37" s="104">
        <f t="shared" si="3"/>
        <v>1</v>
      </c>
      <c r="D37" s="104">
        <f t="shared" si="3"/>
        <v>1</v>
      </c>
      <c r="E37" s="104">
        <f t="shared" si="3"/>
        <v>1</v>
      </c>
      <c r="F37" s="104">
        <f t="shared" si="3"/>
        <v>1</v>
      </c>
      <c r="G37" s="104">
        <f t="shared" si="3"/>
        <v>1</v>
      </c>
      <c r="H37" s="104">
        <f t="shared" si="3"/>
        <v>1</v>
      </c>
      <c r="I37" s="104">
        <f t="shared" si="3"/>
        <v>1</v>
      </c>
      <c r="J37" s="104">
        <f t="shared" si="3"/>
        <v>1</v>
      </c>
      <c r="K37" s="104">
        <f t="shared" si="3"/>
        <v>1</v>
      </c>
      <c r="L37" s="104">
        <v>1</v>
      </c>
      <c r="M37" s="104">
        <v>1</v>
      </c>
      <c r="N37" s="104">
        <v>1</v>
      </c>
      <c r="O37" s="104">
        <v>1</v>
      </c>
    </row>
    <row r="38" spans="1:15" x14ac:dyDescent="0.25">
      <c r="B38" s="72" t="s">
        <v>205</v>
      </c>
      <c r="C38" s="104">
        <f t="shared" si="3"/>
        <v>1</v>
      </c>
      <c r="D38" s="104">
        <f t="shared" si="3"/>
        <v>1</v>
      </c>
      <c r="E38" s="104">
        <v>0.3</v>
      </c>
      <c r="F38" s="104">
        <v>0.3</v>
      </c>
      <c r="G38" s="104">
        <f t="shared" si="3"/>
        <v>1</v>
      </c>
      <c r="H38" s="104">
        <f t="shared" si="3"/>
        <v>1</v>
      </c>
      <c r="I38" s="104">
        <f t="shared" si="3"/>
        <v>1</v>
      </c>
      <c r="J38" s="104">
        <f t="shared" si="3"/>
        <v>1</v>
      </c>
      <c r="K38" s="104">
        <f t="shared" si="3"/>
        <v>1</v>
      </c>
      <c r="L38" s="104">
        <f t="shared" si="3"/>
        <v>1</v>
      </c>
      <c r="M38" s="104">
        <f t="shared" si="3"/>
        <v>1</v>
      </c>
      <c r="N38" s="104">
        <f t="shared" si="3"/>
        <v>1</v>
      </c>
      <c r="O38" s="104">
        <f t="shared" si="3"/>
        <v>1</v>
      </c>
    </row>
    <row r="40" spans="1:15" ht="13" x14ac:dyDescent="0.3">
      <c r="A40" s="29" t="s">
        <v>323</v>
      </c>
      <c r="B40" s="45"/>
    </row>
    <row r="41" spans="1:15" x14ac:dyDescent="0.25">
      <c r="B41" s="72" t="s">
        <v>173</v>
      </c>
      <c r="C41" s="104">
        <f t="shared" ref="C41:D44" si="4">IF(C18=1,1,C18*0.9)</f>
        <v>1</v>
      </c>
      <c r="D41" s="104">
        <f t="shared" si="4"/>
        <v>1</v>
      </c>
      <c r="E41" s="104">
        <v>0.97499999999999998</v>
      </c>
      <c r="F41" s="104">
        <v>0.97499999999999998</v>
      </c>
      <c r="G41" s="104">
        <v>0.97499999999999998</v>
      </c>
      <c r="H41" s="104">
        <v>0.97499999999999998</v>
      </c>
      <c r="I41" s="104">
        <v>0.97499999999999998</v>
      </c>
      <c r="J41" s="104">
        <v>0.97499999999999998</v>
      </c>
      <c r="K41" s="104">
        <v>0.97499999999999998</v>
      </c>
      <c r="L41" s="104">
        <v>0.97499999999999998</v>
      </c>
      <c r="M41" s="104">
        <v>0.97499999999999998</v>
      </c>
      <c r="N41" s="104">
        <v>0.97499999999999998</v>
      </c>
      <c r="O41" s="104">
        <v>0.97499999999999998</v>
      </c>
    </row>
    <row r="42" spans="1:15" x14ac:dyDescent="0.25">
      <c r="B42" s="72" t="s">
        <v>174</v>
      </c>
      <c r="C42" s="104">
        <f t="shared" si="4"/>
        <v>1</v>
      </c>
      <c r="D42" s="104">
        <f t="shared" si="4"/>
        <v>1</v>
      </c>
      <c r="E42" s="104">
        <v>0.97499999999999998</v>
      </c>
      <c r="F42" s="104">
        <v>0.97499999999999998</v>
      </c>
      <c r="G42" s="104">
        <v>0.97499999999999998</v>
      </c>
      <c r="H42" s="104">
        <v>0.97499999999999998</v>
      </c>
      <c r="I42" s="104">
        <v>0.97499999999999998</v>
      </c>
      <c r="J42" s="104">
        <v>0.97499999999999998</v>
      </c>
      <c r="K42" s="104">
        <v>0.97499999999999998</v>
      </c>
      <c r="L42" s="104">
        <v>0.97499999999999998</v>
      </c>
      <c r="M42" s="104">
        <v>0.97499999999999998</v>
      </c>
      <c r="N42" s="104">
        <v>0.97499999999999998</v>
      </c>
      <c r="O42" s="104">
        <v>0.97499999999999998</v>
      </c>
    </row>
    <row r="43" spans="1:15" x14ac:dyDescent="0.25">
      <c r="B43" s="72" t="s">
        <v>175</v>
      </c>
      <c r="C43" s="104">
        <f t="shared" si="4"/>
        <v>1</v>
      </c>
      <c r="D43" s="104">
        <f t="shared" si="4"/>
        <v>1</v>
      </c>
      <c r="E43" s="104">
        <v>0.97499999999999998</v>
      </c>
      <c r="F43" s="104">
        <v>0.97499999999999998</v>
      </c>
      <c r="G43" s="104">
        <v>0.97499999999999998</v>
      </c>
      <c r="H43" s="104">
        <v>0.97499999999999998</v>
      </c>
      <c r="I43" s="104">
        <v>0.97499999999999998</v>
      </c>
      <c r="J43" s="104">
        <v>0.97499999999999998</v>
      </c>
      <c r="K43" s="104">
        <v>0.97499999999999998</v>
      </c>
      <c r="L43" s="104">
        <v>0.97499999999999998</v>
      </c>
      <c r="M43" s="104">
        <v>0.97499999999999998</v>
      </c>
      <c r="N43" s="104">
        <v>0.97499999999999998</v>
      </c>
      <c r="O43" s="104">
        <v>0.97499999999999998</v>
      </c>
    </row>
    <row r="44" spans="1:15" x14ac:dyDescent="0.25">
      <c r="B44" s="72" t="s">
        <v>183</v>
      </c>
      <c r="C44" s="104">
        <f t="shared" si="4"/>
        <v>1</v>
      </c>
      <c r="D44" s="104">
        <f t="shared" si="4"/>
        <v>1</v>
      </c>
      <c r="E44" s="104">
        <v>0.97499999999999998</v>
      </c>
      <c r="F44" s="104">
        <v>0.97499999999999998</v>
      </c>
      <c r="G44" s="104">
        <v>0.97499999999999998</v>
      </c>
      <c r="H44" s="104">
        <v>0.97499999999999998</v>
      </c>
      <c r="I44" s="104">
        <v>0.97499999999999998</v>
      </c>
      <c r="J44" s="104">
        <v>0.97499999999999998</v>
      </c>
      <c r="K44" s="104">
        <v>0.97499999999999998</v>
      </c>
      <c r="L44" s="104">
        <v>0.97499999999999998</v>
      </c>
      <c r="M44" s="104">
        <v>0.97499999999999998</v>
      </c>
      <c r="N44" s="104">
        <v>0.97499999999999998</v>
      </c>
      <c r="O44" s="104">
        <v>0.97499999999999998</v>
      </c>
    </row>
    <row r="46" spans="1:15" s="106" customFormat="1" ht="13" x14ac:dyDescent="0.3">
      <c r="A46" s="106" t="s">
        <v>239</v>
      </c>
    </row>
    <row r="47" spans="1:15" ht="13" x14ac:dyDescent="0.3">
      <c r="A47" s="29"/>
      <c r="B47" s="29"/>
      <c r="C47" s="82" t="s">
        <v>109</v>
      </c>
      <c r="D47" s="82" t="s">
        <v>96</v>
      </c>
      <c r="E47" s="82" t="s">
        <v>97</v>
      </c>
      <c r="F47" s="82" t="s">
        <v>98</v>
      </c>
      <c r="G47" s="82" t="s">
        <v>99</v>
      </c>
      <c r="H47" s="82" t="s">
        <v>69</v>
      </c>
      <c r="I47" s="82" t="s">
        <v>70</v>
      </c>
      <c r="J47" s="82" t="s">
        <v>71</v>
      </c>
      <c r="K47" s="82" t="s">
        <v>72</v>
      </c>
      <c r="L47" s="82" t="s">
        <v>122</v>
      </c>
      <c r="M47" s="82" t="s">
        <v>123</v>
      </c>
      <c r="N47" s="82" t="s">
        <v>124</v>
      </c>
      <c r="O47" s="82" t="s">
        <v>125</v>
      </c>
    </row>
    <row r="48" spans="1:15" ht="13" x14ac:dyDescent="0.3">
      <c r="A48" s="29" t="s">
        <v>322</v>
      </c>
    </row>
    <row r="49" spans="1:15" x14ac:dyDescent="0.25">
      <c r="B49" s="45" t="s">
        <v>171</v>
      </c>
      <c r="C49" s="104">
        <v>0.99</v>
      </c>
      <c r="D49" s="104">
        <v>0.99</v>
      </c>
      <c r="E49" s="104">
        <v>0.99</v>
      </c>
      <c r="F49" s="104">
        <f t="shared" ref="F49:O49" si="5">IF(F3=1,1,F3*1.05)</f>
        <v>1</v>
      </c>
      <c r="G49" s="104">
        <f t="shared" si="5"/>
        <v>1</v>
      </c>
      <c r="H49" s="104">
        <f t="shared" si="5"/>
        <v>1</v>
      </c>
      <c r="I49" s="104">
        <f t="shared" si="5"/>
        <v>1</v>
      </c>
      <c r="J49" s="104">
        <f t="shared" si="5"/>
        <v>1</v>
      </c>
      <c r="K49" s="104">
        <f t="shared" si="5"/>
        <v>1</v>
      </c>
      <c r="L49" s="104">
        <f t="shared" si="5"/>
        <v>1</v>
      </c>
      <c r="M49" s="104">
        <f t="shared" si="5"/>
        <v>1</v>
      </c>
      <c r="N49" s="104">
        <f t="shared" si="5"/>
        <v>1</v>
      </c>
      <c r="O49" s="104">
        <f t="shared" si="5"/>
        <v>1</v>
      </c>
    </row>
    <row r="50" spans="1:15" x14ac:dyDescent="0.25">
      <c r="B50" s="45" t="s">
        <v>176</v>
      </c>
      <c r="C50" s="104">
        <f t="shared" ref="C50:O57" si="6">IF(C4=1,1,C4*1.05)</f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  <c r="G50" s="104">
        <f t="shared" si="6"/>
        <v>1</v>
      </c>
      <c r="H50" s="104">
        <v>0.95</v>
      </c>
      <c r="I50" s="104">
        <v>0.95</v>
      </c>
      <c r="J50" s="104">
        <v>0.95</v>
      </c>
      <c r="K50" s="104">
        <v>0.95</v>
      </c>
      <c r="L50" s="104">
        <f t="shared" si="6"/>
        <v>1</v>
      </c>
      <c r="M50" s="104">
        <f t="shared" si="6"/>
        <v>1</v>
      </c>
      <c r="N50" s="104">
        <f t="shared" si="6"/>
        <v>1</v>
      </c>
      <c r="O50" s="104">
        <f t="shared" si="6"/>
        <v>1</v>
      </c>
    </row>
    <row r="51" spans="1:15" x14ac:dyDescent="0.25">
      <c r="B51" s="45" t="s">
        <v>177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  <c r="G51" s="104">
        <f t="shared" si="6"/>
        <v>1</v>
      </c>
      <c r="H51" s="104">
        <v>0.95</v>
      </c>
      <c r="I51" s="104">
        <v>0.95</v>
      </c>
      <c r="J51" s="104">
        <v>0.95</v>
      </c>
      <c r="K51" s="104">
        <v>0.95</v>
      </c>
      <c r="L51" s="104">
        <f t="shared" si="6"/>
        <v>1</v>
      </c>
      <c r="M51" s="104">
        <f t="shared" si="6"/>
        <v>1</v>
      </c>
      <c r="N51" s="104">
        <f t="shared" si="6"/>
        <v>1</v>
      </c>
      <c r="O51" s="104">
        <f t="shared" si="6"/>
        <v>1</v>
      </c>
    </row>
    <row r="52" spans="1:15" x14ac:dyDescent="0.25">
      <c r="B52" s="45" t="s">
        <v>178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  <c r="G52" s="104">
        <f t="shared" si="6"/>
        <v>1</v>
      </c>
      <c r="H52" s="104">
        <v>0.95</v>
      </c>
      <c r="I52" s="104">
        <v>0.95</v>
      </c>
      <c r="J52" s="104">
        <v>0.95</v>
      </c>
      <c r="K52" s="104">
        <v>0.95</v>
      </c>
      <c r="L52" s="104">
        <f t="shared" si="6"/>
        <v>1</v>
      </c>
      <c r="M52" s="104">
        <f t="shared" si="6"/>
        <v>1</v>
      </c>
      <c r="N52" s="104">
        <f t="shared" si="6"/>
        <v>1</v>
      </c>
      <c r="O52" s="104">
        <f t="shared" si="6"/>
        <v>1</v>
      </c>
    </row>
    <row r="53" spans="1:15" x14ac:dyDescent="0.25">
      <c r="B53" s="45" t="s">
        <v>179</v>
      </c>
      <c r="C53" s="104">
        <f t="shared" si="6"/>
        <v>1</v>
      </c>
      <c r="D53" s="104">
        <f t="shared" si="6"/>
        <v>1</v>
      </c>
      <c r="E53" s="104">
        <f t="shared" si="6"/>
        <v>1</v>
      </c>
      <c r="F53" s="104">
        <f t="shared" si="6"/>
        <v>1</v>
      </c>
      <c r="G53" s="104">
        <f t="shared" si="6"/>
        <v>1</v>
      </c>
      <c r="H53" s="104">
        <v>0.95</v>
      </c>
      <c r="I53" s="104">
        <v>0.95</v>
      </c>
      <c r="J53" s="104">
        <v>0.95</v>
      </c>
      <c r="K53" s="104">
        <v>0.95</v>
      </c>
      <c r="L53" s="104">
        <f t="shared" si="6"/>
        <v>1</v>
      </c>
      <c r="M53" s="104">
        <f t="shared" si="6"/>
        <v>1</v>
      </c>
      <c r="N53" s="104">
        <f t="shared" si="6"/>
        <v>1</v>
      </c>
      <c r="O53" s="104">
        <f t="shared" si="6"/>
        <v>1</v>
      </c>
    </row>
    <row r="54" spans="1:15" x14ac:dyDescent="0.25">
      <c r="B54" s="72" t="s">
        <v>180</v>
      </c>
      <c r="C54" s="104">
        <f t="shared" si="6"/>
        <v>1</v>
      </c>
      <c r="D54" s="104">
        <f t="shared" si="6"/>
        <v>1</v>
      </c>
      <c r="E54" s="104">
        <f t="shared" si="6"/>
        <v>1</v>
      </c>
      <c r="F54" s="104">
        <f t="shared" si="6"/>
        <v>1</v>
      </c>
      <c r="G54" s="104">
        <f t="shared" si="6"/>
        <v>1</v>
      </c>
      <c r="H54" s="104">
        <f t="shared" si="6"/>
        <v>1</v>
      </c>
      <c r="I54" s="104">
        <f t="shared" si="6"/>
        <v>1</v>
      </c>
      <c r="J54" s="104">
        <f t="shared" si="6"/>
        <v>1</v>
      </c>
      <c r="K54" s="104">
        <f t="shared" si="6"/>
        <v>1</v>
      </c>
      <c r="L54" s="104">
        <v>0.7</v>
      </c>
      <c r="M54" s="104">
        <v>0.7</v>
      </c>
      <c r="N54" s="104">
        <v>0.7</v>
      </c>
      <c r="O54" s="104">
        <v>0.7</v>
      </c>
    </row>
    <row r="55" spans="1:15" x14ac:dyDescent="0.25">
      <c r="B55" s="72" t="s">
        <v>181</v>
      </c>
      <c r="C55" s="104">
        <f t="shared" si="6"/>
        <v>1</v>
      </c>
      <c r="D55" s="104">
        <f t="shared" si="6"/>
        <v>1</v>
      </c>
      <c r="E55" s="104">
        <f t="shared" si="6"/>
        <v>1</v>
      </c>
      <c r="F55" s="104">
        <f t="shared" si="6"/>
        <v>1</v>
      </c>
      <c r="G55" s="104">
        <f t="shared" si="6"/>
        <v>1</v>
      </c>
      <c r="H55" s="104">
        <f t="shared" si="6"/>
        <v>1</v>
      </c>
      <c r="I55" s="104">
        <f t="shared" si="6"/>
        <v>1</v>
      </c>
      <c r="J55" s="104">
        <f t="shared" si="6"/>
        <v>1</v>
      </c>
      <c r="K55" s="104">
        <f t="shared" si="6"/>
        <v>1</v>
      </c>
      <c r="L55" s="104">
        <v>0.7</v>
      </c>
      <c r="M55" s="104">
        <v>0.7</v>
      </c>
      <c r="N55" s="104">
        <v>0.7</v>
      </c>
      <c r="O55" s="104">
        <v>0.7</v>
      </c>
    </row>
    <row r="56" spans="1:15" x14ac:dyDescent="0.25">
      <c r="B56" s="45" t="s">
        <v>182</v>
      </c>
      <c r="C56" s="104">
        <f t="shared" si="6"/>
        <v>1</v>
      </c>
      <c r="D56" s="104">
        <f t="shared" si="6"/>
        <v>1</v>
      </c>
      <c r="E56" s="104">
        <f t="shared" si="6"/>
        <v>1</v>
      </c>
      <c r="F56" s="104">
        <f t="shared" si="6"/>
        <v>1</v>
      </c>
      <c r="G56" s="104">
        <f t="shared" si="6"/>
        <v>1</v>
      </c>
      <c r="H56" s="104">
        <f t="shared" si="6"/>
        <v>1</v>
      </c>
      <c r="I56" s="104">
        <f t="shared" si="6"/>
        <v>1</v>
      </c>
      <c r="J56" s="104">
        <f t="shared" si="6"/>
        <v>1</v>
      </c>
      <c r="K56" s="104">
        <f t="shared" si="6"/>
        <v>1</v>
      </c>
      <c r="L56" s="104">
        <v>0.95</v>
      </c>
      <c r="M56" s="104">
        <v>0.95</v>
      </c>
      <c r="N56" s="104">
        <v>0.95</v>
      </c>
      <c r="O56" s="104">
        <v>0.95</v>
      </c>
    </row>
    <row r="57" spans="1:15" x14ac:dyDescent="0.25">
      <c r="B57" s="72" t="s">
        <v>185</v>
      </c>
      <c r="C57" s="104">
        <f t="shared" si="6"/>
        <v>1</v>
      </c>
      <c r="D57" s="104">
        <f t="shared" si="6"/>
        <v>1</v>
      </c>
      <c r="E57" s="104">
        <v>0.77</v>
      </c>
      <c r="F57" s="104">
        <v>0.77</v>
      </c>
      <c r="G57" s="104">
        <f t="shared" si="6"/>
        <v>1</v>
      </c>
      <c r="H57" s="104">
        <f t="shared" si="6"/>
        <v>1</v>
      </c>
      <c r="I57" s="104">
        <f t="shared" si="6"/>
        <v>1</v>
      </c>
      <c r="J57" s="104">
        <f t="shared" si="6"/>
        <v>1</v>
      </c>
      <c r="K57" s="104">
        <f t="shared" si="6"/>
        <v>1</v>
      </c>
      <c r="L57" s="104">
        <f t="shared" si="6"/>
        <v>1</v>
      </c>
      <c r="M57" s="104">
        <f t="shared" si="6"/>
        <v>1</v>
      </c>
      <c r="N57" s="104">
        <f t="shared" si="6"/>
        <v>1</v>
      </c>
      <c r="O57" s="104">
        <f t="shared" si="6"/>
        <v>1</v>
      </c>
    </row>
    <row r="58" spans="1:15" x14ac:dyDescent="0.25">
      <c r="B58" s="45" t="s">
        <v>186</v>
      </c>
      <c r="C58" s="104">
        <v>0.93</v>
      </c>
      <c r="D58" s="104">
        <v>0.93</v>
      </c>
      <c r="E58" s="104">
        <v>0.93</v>
      </c>
      <c r="F58" s="104">
        <v>0.93</v>
      </c>
      <c r="G58" s="104">
        <v>0.93</v>
      </c>
      <c r="H58" s="104">
        <v>0.93</v>
      </c>
      <c r="I58" s="104">
        <v>0.93</v>
      </c>
      <c r="J58" s="104">
        <v>0.93</v>
      </c>
      <c r="K58" s="104">
        <v>0.93</v>
      </c>
      <c r="L58" s="104">
        <v>0.93</v>
      </c>
      <c r="M58" s="104">
        <v>0.93</v>
      </c>
      <c r="N58" s="104">
        <v>0.93</v>
      </c>
      <c r="O58" s="104">
        <v>0.93</v>
      </c>
    </row>
    <row r="59" spans="1:15" x14ac:dyDescent="0.25">
      <c r="B59" s="45" t="s">
        <v>189</v>
      </c>
      <c r="C59" s="104">
        <f t="shared" ref="C59:O61" si="7">IF(C13=1,1,C13*1.05)</f>
        <v>1</v>
      </c>
      <c r="D59" s="104">
        <f t="shared" si="7"/>
        <v>1</v>
      </c>
      <c r="E59" s="104">
        <v>0.77</v>
      </c>
      <c r="F59" s="104">
        <v>0.77</v>
      </c>
      <c r="G59" s="104">
        <v>0.77</v>
      </c>
      <c r="H59" s="104">
        <f t="shared" si="7"/>
        <v>1</v>
      </c>
      <c r="I59" s="104">
        <f t="shared" si="7"/>
        <v>1</v>
      </c>
      <c r="J59" s="104">
        <f t="shared" si="7"/>
        <v>1</v>
      </c>
      <c r="K59" s="104">
        <f t="shared" si="7"/>
        <v>1</v>
      </c>
      <c r="L59" s="104">
        <f t="shared" si="7"/>
        <v>1</v>
      </c>
      <c r="M59" s="104">
        <f t="shared" si="7"/>
        <v>1</v>
      </c>
      <c r="N59" s="104">
        <f t="shared" si="7"/>
        <v>1</v>
      </c>
      <c r="O59" s="104">
        <f t="shared" si="7"/>
        <v>1</v>
      </c>
    </row>
    <row r="60" spans="1:15" x14ac:dyDescent="0.25">
      <c r="B60" s="45" t="s">
        <v>190</v>
      </c>
      <c r="C60" s="104">
        <f t="shared" si="7"/>
        <v>1</v>
      </c>
      <c r="D60" s="104">
        <f t="shared" si="7"/>
        <v>1</v>
      </c>
      <c r="E60" s="104">
        <f t="shared" si="7"/>
        <v>1</v>
      </c>
      <c r="F60" s="104">
        <f t="shared" si="7"/>
        <v>1</v>
      </c>
      <c r="G60" s="104">
        <f t="shared" si="7"/>
        <v>1</v>
      </c>
      <c r="H60" s="104">
        <f t="shared" si="7"/>
        <v>1</v>
      </c>
      <c r="I60" s="104">
        <f t="shared" si="7"/>
        <v>1</v>
      </c>
      <c r="J60" s="104">
        <f t="shared" si="7"/>
        <v>1</v>
      </c>
      <c r="K60" s="104">
        <f t="shared" si="7"/>
        <v>1</v>
      </c>
      <c r="L60" s="104">
        <v>1</v>
      </c>
      <c r="M60" s="104">
        <v>1</v>
      </c>
      <c r="N60" s="104">
        <v>1</v>
      </c>
      <c r="O60" s="104">
        <v>1</v>
      </c>
    </row>
    <row r="61" spans="1:15" x14ac:dyDescent="0.25">
      <c r="B61" s="72" t="s">
        <v>205</v>
      </c>
      <c r="C61" s="104">
        <f t="shared" si="7"/>
        <v>1</v>
      </c>
      <c r="D61" s="104">
        <f t="shared" si="7"/>
        <v>1</v>
      </c>
      <c r="E61" s="104">
        <v>0.44</v>
      </c>
      <c r="F61" s="104">
        <v>0.44</v>
      </c>
      <c r="G61" s="104">
        <f t="shared" si="7"/>
        <v>1</v>
      </c>
      <c r="H61" s="104">
        <f t="shared" si="7"/>
        <v>1</v>
      </c>
      <c r="I61" s="104">
        <f t="shared" si="7"/>
        <v>1</v>
      </c>
      <c r="J61" s="104">
        <f t="shared" si="7"/>
        <v>1</v>
      </c>
      <c r="K61" s="104">
        <f t="shared" si="7"/>
        <v>1</v>
      </c>
      <c r="L61" s="104">
        <f t="shared" si="7"/>
        <v>1</v>
      </c>
      <c r="M61" s="104">
        <f t="shared" si="7"/>
        <v>1</v>
      </c>
      <c r="N61" s="104">
        <f t="shared" si="7"/>
        <v>1</v>
      </c>
      <c r="O61" s="104">
        <f t="shared" si="7"/>
        <v>1</v>
      </c>
    </row>
    <row r="63" spans="1:15" ht="13" x14ac:dyDescent="0.3">
      <c r="A63" s="29" t="s">
        <v>324</v>
      </c>
      <c r="B63" s="45"/>
    </row>
    <row r="64" spans="1:15" x14ac:dyDescent="0.25">
      <c r="B64" s="72" t="s">
        <v>173</v>
      </c>
      <c r="C64" s="104">
        <f t="shared" ref="C64:D67" si="8">IF(C18=1,1,C18*1.05)</f>
        <v>1</v>
      </c>
      <c r="D64" s="104">
        <f t="shared" si="8"/>
        <v>1</v>
      </c>
      <c r="E64" s="104">
        <v>0.97799999999999998</v>
      </c>
      <c r="F64" s="104">
        <v>0.97799999999999998</v>
      </c>
      <c r="G64" s="104">
        <v>0.97799999999999998</v>
      </c>
      <c r="H64" s="104">
        <v>0.97799999999999998</v>
      </c>
      <c r="I64" s="104">
        <v>0.97799999999999998</v>
      </c>
      <c r="J64" s="104">
        <v>0.97799999999999998</v>
      </c>
      <c r="K64" s="104">
        <v>0.97799999999999998</v>
      </c>
      <c r="L64" s="104">
        <v>0.97799999999999998</v>
      </c>
      <c r="M64" s="104">
        <v>0.97799999999999998</v>
      </c>
      <c r="N64" s="104">
        <v>0.97799999999999998</v>
      </c>
      <c r="O64" s="104">
        <v>0.97799999999999998</v>
      </c>
    </row>
    <row r="65" spans="2:15" x14ac:dyDescent="0.25">
      <c r="B65" s="72" t="s">
        <v>174</v>
      </c>
      <c r="C65" s="104">
        <f t="shared" si="8"/>
        <v>1</v>
      </c>
      <c r="D65" s="104">
        <f t="shared" si="8"/>
        <v>1</v>
      </c>
      <c r="E65" s="104">
        <v>0.97799999999999998</v>
      </c>
      <c r="F65" s="104">
        <v>0.97799999999999998</v>
      </c>
      <c r="G65" s="104">
        <v>0.97799999999999998</v>
      </c>
      <c r="H65" s="104">
        <v>0.97799999999999998</v>
      </c>
      <c r="I65" s="104">
        <v>0.97799999999999998</v>
      </c>
      <c r="J65" s="104">
        <v>0.97799999999999998</v>
      </c>
      <c r="K65" s="104">
        <v>0.97799999999999998</v>
      </c>
      <c r="L65" s="104">
        <v>0.97799999999999998</v>
      </c>
      <c r="M65" s="104">
        <v>0.97799999999999998</v>
      </c>
      <c r="N65" s="104">
        <v>0.97799999999999998</v>
      </c>
      <c r="O65" s="104">
        <v>0.97799999999999998</v>
      </c>
    </row>
    <row r="66" spans="2:15" x14ac:dyDescent="0.25">
      <c r="B66" s="72" t="s">
        <v>175</v>
      </c>
      <c r="C66" s="104">
        <f t="shared" si="8"/>
        <v>1</v>
      </c>
      <c r="D66" s="104">
        <f t="shared" si="8"/>
        <v>1</v>
      </c>
      <c r="E66" s="104">
        <v>0.97799999999999998</v>
      </c>
      <c r="F66" s="104">
        <v>0.97799999999999998</v>
      </c>
      <c r="G66" s="104">
        <v>0.97799999999999998</v>
      </c>
      <c r="H66" s="104">
        <v>0.97799999999999998</v>
      </c>
      <c r="I66" s="104">
        <v>0.97799999999999998</v>
      </c>
      <c r="J66" s="104">
        <v>0.97799999999999998</v>
      </c>
      <c r="K66" s="104">
        <v>0.97799999999999998</v>
      </c>
      <c r="L66" s="104">
        <v>0.97799999999999998</v>
      </c>
      <c r="M66" s="104">
        <v>0.97799999999999998</v>
      </c>
      <c r="N66" s="104">
        <v>0.97799999999999998</v>
      </c>
      <c r="O66" s="104">
        <v>0.97799999999999998</v>
      </c>
    </row>
    <row r="67" spans="2:15" x14ac:dyDescent="0.25">
      <c r="B67" s="72" t="s">
        <v>183</v>
      </c>
      <c r="C67" s="104">
        <f t="shared" si="8"/>
        <v>1</v>
      </c>
      <c r="D67" s="104">
        <f t="shared" si="8"/>
        <v>1</v>
      </c>
      <c r="E67" s="104">
        <v>0.97799999999999998</v>
      </c>
      <c r="F67" s="104">
        <v>0.97799999999999998</v>
      </c>
      <c r="G67" s="104">
        <v>0.97799999999999998</v>
      </c>
      <c r="H67" s="104">
        <v>0.97799999999999998</v>
      </c>
      <c r="I67" s="104">
        <v>0.97799999999999998</v>
      </c>
      <c r="J67" s="104">
        <v>0.97799999999999998</v>
      </c>
      <c r="K67" s="104">
        <v>0.97799999999999998</v>
      </c>
      <c r="L67" s="104">
        <v>0.97799999999999998</v>
      </c>
      <c r="M67" s="104">
        <v>0.97799999999999998</v>
      </c>
      <c r="N67" s="104">
        <v>0.97799999999999998</v>
      </c>
      <c r="O67" s="104">
        <v>0.97799999999999998</v>
      </c>
    </row>
  </sheetData>
  <sheetProtection algorithmName="SHA-512" hashValue="UO+fI5Cx7JT5UJa9ZODFj/9NoAQGZHzROG6lYYItMJj1XT5Fb3ABkGXVxEiWQzGml2WhKg5J1mhW6A/zOd9+Lg==" saltValue="KNHTL1XN+YRGPsl931m8s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27" customWidth="1"/>
    <col min="8" max="16384" width="12.7265625" style="27"/>
  </cols>
  <sheetData>
    <row r="1" spans="1:7" ht="13" x14ac:dyDescent="0.3">
      <c r="A1" s="29"/>
      <c r="B1" s="41"/>
      <c r="C1" s="29" t="s">
        <v>109</v>
      </c>
      <c r="D1" s="29" t="s">
        <v>96</v>
      </c>
      <c r="E1" s="29" t="s">
        <v>97</v>
      </c>
      <c r="F1" s="29" t="s">
        <v>98</v>
      </c>
      <c r="G1" s="29" t="s">
        <v>99</v>
      </c>
    </row>
    <row r="2" spans="1:7" ht="13" x14ac:dyDescent="0.3">
      <c r="A2" s="29" t="s">
        <v>325</v>
      </c>
    </row>
    <row r="3" spans="1:7" x14ac:dyDescent="0.25">
      <c r="B3" s="45" t="s">
        <v>161</v>
      </c>
      <c r="C3" s="104">
        <v>1</v>
      </c>
      <c r="D3" s="104">
        <f>1/1.33</f>
        <v>0.75187969924812026</v>
      </c>
      <c r="E3" s="104">
        <f t="shared" ref="E3:G3" si="0">1/1.33</f>
        <v>0.75187969924812026</v>
      </c>
      <c r="F3" s="104">
        <f t="shared" si="0"/>
        <v>0.75187969924812026</v>
      </c>
      <c r="G3" s="104">
        <f t="shared" si="0"/>
        <v>0.75187969924812026</v>
      </c>
    </row>
    <row r="4" spans="1:7" ht="13" x14ac:dyDescent="0.3">
      <c r="A4" s="29" t="s">
        <v>326</v>
      </c>
      <c r="B4" s="45"/>
      <c r="C4" s="97"/>
      <c r="D4" s="97"/>
      <c r="E4" s="97"/>
      <c r="F4" s="97"/>
      <c r="G4" s="97"/>
    </row>
    <row r="5" spans="1:7" x14ac:dyDescent="0.25">
      <c r="B5" s="72" t="s">
        <v>165</v>
      </c>
      <c r="C5" s="104">
        <v>1</v>
      </c>
      <c r="D5" s="104">
        <f>1/1.33</f>
        <v>0.75187969924812026</v>
      </c>
      <c r="E5" s="104">
        <f t="shared" ref="E5:G5" si="1">1/1.33</f>
        <v>0.75187969924812026</v>
      </c>
      <c r="F5" s="104">
        <f t="shared" si="1"/>
        <v>0.75187969924812026</v>
      </c>
      <c r="G5" s="104">
        <f t="shared" si="1"/>
        <v>0.75187969924812026</v>
      </c>
    </row>
    <row r="7" spans="1:7" s="106" customFormat="1" ht="13" x14ac:dyDescent="0.3">
      <c r="A7" s="106" t="s">
        <v>331</v>
      </c>
    </row>
    <row r="8" spans="1:7" ht="13" x14ac:dyDescent="0.3">
      <c r="A8" s="29"/>
      <c r="B8" s="41"/>
      <c r="C8" s="29" t="s">
        <v>109</v>
      </c>
      <c r="D8" s="29" t="s">
        <v>96</v>
      </c>
      <c r="E8" s="29" t="s">
        <v>97</v>
      </c>
      <c r="F8" s="29" t="s">
        <v>98</v>
      </c>
      <c r="G8" s="29" t="s">
        <v>99</v>
      </c>
    </row>
    <row r="9" spans="1:7" ht="13" x14ac:dyDescent="0.3">
      <c r="A9" s="29" t="s">
        <v>327</v>
      </c>
    </row>
    <row r="10" spans="1:7" x14ac:dyDescent="0.25">
      <c r="B10" s="45" t="s">
        <v>161</v>
      </c>
      <c r="C10" s="104">
        <v>1</v>
      </c>
      <c r="D10" s="104">
        <f>1/1.54</f>
        <v>0.64935064935064934</v>
      </c>
      <c r="E10" s="104">
        <f t="shared" ref="E10:G10" si="2">1/1.54</f>
        <v>0.64935064935064934</v>
      </c>
      <c r="F10" s="104">
        <f t="shared" si="2"/>
        <v>0.64935064935064934</v>
      </c>
      <c r="G10" s="104">
        <f t="shared" si="2"/>
        <v>0.64935064935064934</v>
      </c>
    </row>
    <row r="11" spans="1:7" ht="13" x14ac:dyDescent="0.3">
      <c r="A11" s="29" t="s">
        <v>328</v>
      </c>
      <c r="B11" s="45"/>
      <c r="C11" s="97"/>
      <c r="D11" s="97"/>
      <c r="E11" s="97"/>
      <c r="F11" s="97"/>
      <c r="G11" s="97"/>
    </row>
    <row r="12" spans="1:7" x14ac:dyDescent="0.25">
      <c r="B12" s="72" t="s">
        <v>165</v>
      </c>
      <c r="C12" s="104">
        <v>1</v>
      </c>
      <c r="D12" s="104">
        <f>1/1.54</f>
        <v>0.64935064935064934</v>
      </c>
      <c r="E12" s="104">
        <f t="shared" ref="E12:G12" si="3">1/1.54</f>
        <v>0.64935064935064934</v>
      </c>
      <c r="F12" s="104">
        <f t="shared" si="3"/>
        <v>0.64935064935064934</v>
      </c>
      <c r="G12" s="104">
        <f t="shared" si="3"/>
        <v>0.64935064935064934</v>
      </c>
    </row>
    <row r="14" spans="1:7" s="106" customFormat="1" ht="13" x14ac:dyDescent="0.3">
      <c r="A14" s="106" t="s">
        <v>332</v>
      </c>
    </row>
    <row r="15" spans="1:7" ht="13" x14ac:dyDescent="0.3">
      <c r="A15" s="29"/>
      <c r="B15" s="41"/>
      <c r="C15" s="29" t="s">
        <v>109</v>
      </c>
      <c r="D15" s="29" t="s">
        <v>96</v>
      </c>
      <c r="E15" s="29" t="s">
        <v>97</v>
      </c>
      <c r="F15" s="29" t="s">
        <v>98</v>
      </c>
      <c r="G15" s="29" t="s">
        <v>99</v>
      </c>
    </row>
    <row r="16" spans="1:7" ht="13" x14ac:dyDescent="0.3">
      <c r="A16" s="29" t="s">
        <v>329</v>
      </c>
    </row>
    <row r="17" spans="1:7" x14ac:dyDescent="0.25">
      <c r="B17" s="45" t="s">
        <v>161</v>
      </c>
      <c r="C17" s="104">
        <v>1</v>
      </c>
      <c r="D17" s="104">
        <f>1/1.16</f>
        <v>0.86206896551724144</v>
      </c>
      <c r="E17" s="104">
        <f t="shared" ref="E17:G17" si="4">1/1.16</f>
        <v>0.86206896551724144</v>
      </c>
      <c r="F17" s="104">
        <f t="shared" si="4"/>
        <v>0.86206896551724144</v>
      </c>
      <c r="G17" s="104">
        <f t="shared" si="4"/>
        <v>0.86206896551724144</v>
      </c>
    </row>
    <row r="18" spans="1:7" ht="13" x14ac:dyDescent="0.3">
      <c r="A18" s="29" t="s">
        <v>330</v>
      </c>
      <c r="B18" s="45"/>
      <c r="C18" s="97"/>
      <c r="D18" s="97"/>
      <c r="E18" s="97"/>
      <c r="F18" s="97"/>
      <c r="G18" s="97"/>
    </row>
    <row r="19" spans="1:7" x14ac:dyDescent="0.25">
      <c r="B19" s="72" t="s">
        <v>165</v>
      </c>
      <c r="C19" s="104">
        <v>1</v>
      </c>
      <c r="D19" s="104">
        <f>1/1.16</f>
        <v>0.86206896551724144</v>
      </c>
      <c r="E19" s="104">
        <f t="shared" ref="E19:G19" si="5">1/1.16</f>
        <v>0.86206896551724144</v>
      </c>
      <c r="F19" s="104">
        <f t="shared" si="5"/>
        <v>0.86206896551724144</v>
      </c>
      <c r="G19" s="104">
        <f t="shared" si="5"/>
        <v>0.86206896551724144</v>
      </c>
    </row>
  </sheetData>
  <sheetProtection algorithmName="SHA-512" hashValue="k/OUqRlZYPmDWp2VBR1RE5T2yeJ7CfWh/GzLM0kqleYVVh4arluMRWhsm/0FjVxqV81wBy8IDtuJ3FSeDk9lUw==" saltValue="2VjUxnsss+3xRS8t6q09r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zoomScale="70" zoomScaleNormal="70" workbookViewId="0">
      <selection activeCell="F18" sqref="F18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27" customWidth="1"/>
    <col min="5" max="5" width="13.7265625" style="27" customWidth="1"/>
    <col min="6" max="6" width="14.453125" style="27" customWidth="1"/>
    <col min="7" max="7" width="12.7265625" style="27"/>
    <col min="8" max="8" width="17.54296875" style="27" customWidth="1"/>
    <col min="9" max="16384" width="12.7265625" style="27"/>
  </cols>
  <sheetData>
    <row r="1" spans="1:8" ht="13" x14ac:dyDescent="0.3">
      <c r="A1" s="29" t="s">
        <v>160</v>
      </c>
      <c r="B1" s="29" t="s">
        <v>333</v>
      </c>
      <c r="C1" s="96" t="s">
        <v>11</v>
      </c>
      <c r="D1" s="29" t="s">
        <v>109</v>
      </c>
      <c r="E1" s="29" t="s">
        <v>96</v>
      </c>
      <c r="F1" s="29" t="s">
        <v>97</v>
      </c>
      <c r="G1" s="29" t="s">
        <v>98</v>
      </c>
      <c r="H1" s="29" t="s">
        <v>99</v>
      </c>
    </row>
    <row r="2" spans="1:8" x14ac:dyDescent="0.25">
      <c r="A2" s="39" t="s">
        <v>193</v>
      </c>
      <c r="B2" s="39" t="s">
        <v>87</v>
      </c>
      <c r="C2" s="39" t="s">
        <v>334</v>
      </c>
      <c r="D2" s="104">
        <v>0</v>
      </c>
      <c r="E2" s="104">
        <v>0</v>
      </c>
      <c r="F2" s="104">
        <v>1</v>
      </c>
      <c r="G2" s="104">
        <v>1</v>
      </c>
      <c r="H2" s="104">
        <v>1</v>
      </c>
    </row>
    <row r="3" spans="1:8" x14ac:dyDescent="0.25">
      <c r="C3" s="39" t="s">
        <v>335</v>
      </c>
      <c r="D3" s="104">
        <v>0</v>
      </c>
      <c r="E3" s="104">
        <v>0</v>
      </c>
      <c r="F3" s="104">
        <v>0.12</v>
      </c>
      <c r="G3" s="104">
        <v>0.12</v>
      </c>
      <c r="H3" s="104">
        <v>0.12</v>
      </c>
    </row>
    <row r="4" spans="1:8" x14ac:dyDescent="0.25">
      <c r="C4" s="39" t="s">
        <v>336</v>
      </c>
      <c r="D4" s="104">
        <v>0</v>
      </c>
      <c r="E4" s="104">
        <v>0</v>
      </c>
      <c r="F4" s="104">
        <v>0.15</v>
      </c>
      <c r="G4" s="104">
        <v>0.15</v>
      </c>
      <c r="H4" s="104">
        <v>0.15</v>
      </c>
    </row>
    <row r="5" spans="1:8" x14ac:dyDescent="0.25">
      <c r="A5" s="39" t="s">
        <v>192</v>
      </c>
      <c r="B5" s="39" t="s">
        <v>208</v>
      </c>
      <c r="C5" s="39" t="s">
        <v>334</v>
      </c>
      <c r="D5" s="104">
        <v>0</v>
      </c>
      <c r="E5" s="104">
        <v>0</v>
      </c>
      <c r="F5" s="104">
        <v>1</v>
      </c>
      <c r="G5" s="104">
        <v>1</v>
      </c>
      <c r="H5" s="104">
        <v>0</v>
      </c>
    </row>
    <row r="6" spans="1:8" x14ac:dyDescent="0.25">
      <c r="C6" s="39" t="s">
        <v>336</v>
      </c>
      <c r="D6" s="104">
        <v>0</v>
      </c>
      <c r="E6" s="104">
        <v>0</v>
      </c>
      <c r="F6" s="104">
        <v>0</v>
      </c>
      <c r="G6" s="104">
        <v>0</v>
      </c>
      <c r="H6" s="104">
        <v>0</v>
      </c>
    </row>
    <row r="7" spans="1:8" x14ac:dyDescent="0.25">
      <c r="B7" s="39" t="s">
        <v>209</v>
      </c>
      <c r="C7" s="39" t="s">
        <v>334</v>
      </c>
      <c r="D7" s="104">
        <v>0</v>
      </c>
      <c r="E7" s="104">
        <v>0</v>
      </c>
      <c r="F7" s="104">
        <v>1</v>
      </c>
      <c r="G7" s="104">
        <v>1</v>
      </c>
      <c r="H7" s="104">
        <v>0</v>
      </c>
    </row>
    <row r="8" spans="1:8" x14ac:dyDescent="0.25">
      <c r="C8" s="39" t="s">
        <v>336</v>
      </c>
      <c r="D8" s="104">
        <v>0</v>
      </c>
      <c r="E8" s="104">
        <v>0</v>
      </c>
      <c r="F8" s="104">
        <v>0</v>
      </c>
      <c r="G8" s="104">
        <v>0</v>
      </c>
      <c r="H8" s="104">
        <v>0</v>
      </c>
    </row>
    <row r="9" spans="1:8" x14ac:dyDescent="0.25">
      <c r="A9" s="39" t="s">
        <v>185</v>
      </c>
      <c r="B9" s="39" t="s">
        <v>208</v>
      </c>
      <c r="C9" s="39" t="s">
        <v>334</v>
      </c>
      <c r="D9" s="104">
        <v>0</v>
      </c>
      <c r="E9" s="104">
        <v>0</v>
      </c>
      <c r="F9" s="104">
        <v>1</v>
      </c>
      <c r="G9" s="104">
        <v>1</v>
      </c>
      <c r="H9" s="104">
        <v>0</v>
      </c>
    </row>
    <row r="10" spans="1:8" x14ac:dyDescent="0.25">
      <c r="C10" s="39" t="s">
        <v>336</v>
      </c>
      <c r="D10" s="104">
        <v>0</v>
      </c>
      <c r="E10" s="104">
        <v>0</v>
      </c>
      <c r="F10" s="104">
        <v>0</v>
      </c>
      <c r="G10" s="104">
        <v>0</v>
      </c>
      <c r="H10" s="104">
        <v>0</v>
      </c>
    </row>
    <row r="11" spans="1:8" x14ac:dyDescent="0.25">
      <c r="B11" s="39" t="s">
        <v>209</v>
      </c>
      <c r="C11" s="39" t="s">
        <v>334</v>
      </c>
      <c r="D11" s="104">
        <v>0</v>
      </c>
      <c r="E11" s="104">
        <v>0</v>
      </c>
      <c r="F11" s="104">
        <v>1</v>
      </c>
      <c r="G11" s="104">
        <v>1</v>
      </c>
      <c r="H11" s="104">
        <v>0</v>
      </c>
    </row>
    <row r="12" spans="1:8" x14ac:dyDescent="0.25">
      <c r="C12" s="39" t="s">
        <v>336</v>
      </c>
      <c r="D12" s="104">
        <v>0</v>
      </c>
      <c r="E12" s="104">
        <v>0</v>
      </c>
      <c r="F12" s="104">
        <v>0</v>
      </c>
      <c r="G12" s="104">
        <v>0</v>
      </c>
      <c r="H12" s="104">
        <v>0</v>
      </c>
    </row>
    <row r="13" spans="1:8" x14ac:dyDescent="0.25">
      <c r="A13" s="39" t="s">
        <v>205</v>
      </c>
      <c r="B13" s="39" t="s">
        <v>208</v>
      </c>
      <c r="C13" s="39" t="s">
        <v>334</v>
      </c>
      <c r="D13" s="104">
        <v>0</v>
      </c>
      <c r="E13" s="104">
        <v>0</v>
      </c>
      <c r="F13" s="104">
        <v>1</v>
      </c>
      <c r="G13" s="104">
        <v>1</v>
      </c>
      <c r="H13" s="104">
        <v>0</v>
      </c>
    </row>
    <row r="14" spans="1:8" x14ac:dyDescent="0.25">
      <c r="C14" s="39" t="s">
        <v>336</v>
      </c>
      <c r="D14" s="104">
        <v>0</v>
      </c>
      <c r="E14" s="104">
        <v>0</v>
      </c>
      <c r="F14" s="104">
        <v>0.31</v>
      </c>
      <c r="G14" s="104">
        <v>0.31</v>
      </c>
      <c r="H14" s="104">
        <v>0</v>
      </c>
    </row>
    <row r="15" spans="1:8" x14ac:dyDescent="0.25">
      <c r="B15" s="39" t="s">
        <v>209</v>
      </c>
      <c r="C15" s="39" t="s">
        <v>334</v>
      </c>
      <c r="D15" s="104">
        <v>0</v>
      </c>
      <c r="E15" s="104">
        <v>0</v>
      </c>
      <c r="F15" s="104">
        <v>1</v>
      </c>
      <c r="G15" s="104">
        <v>1</v>
      </c>
      <c r="H15" s="104">
        <v>0</v>
      </c>
    </row>
    <row r="16" spans="1:8" x14ac:dyDescent="0.25">
      <c r="C16" s="39" t="s">
        <v>336</v>
      </c>
      <c r="D16" s="104">
        <v>0</v>
      </c>
      <c r="E16" s="104">
        <v>0</v>
      </c>
      <c r="F16" s="104">
        <v>0.14000000000000001</v>
      </c>
      <c r="G16" s="104">
        <v>0.14000000000000001</v>
      </c>
      <c r="H16" s="104">
        <v>0</v>
      </c>
    </row>
    <row r="17" spans="1:8" x14ac:dyDescent="0.25">
      <c r="A17" s="39" t="s">
        <v>170</v>
      </c>
      <c r="B17" s="39" t="s">
        <v>208</v>
      </c>
      <c r="C17" s="39" t="s">
        <v>334</v>
      </c>
      <c r="D17" s="104">
        <v>0</v>
      </c>
      <c r="E17" s="104">
        <v>0</v>
      </c>
      <c r="F17" s="104">
        <v>1</v>
      </c>
      <c r="G17" s="104">
        <v>1</v>
      </c>
      <c r="H17" s="104">
        <v>1</v>
      </c>
    </row>
    <row r="18" spans="1:8" x14ac:dyDescent="0.25">
      <c r="C18" s="39" t="s">
        <v>336</v>
      </c>
      <c r="D18" s="104">
        <v>0</v>
      </c>
      <c r="E18" s="104">
        <v>0</v>
      </c>
      <c r="F18" s="104">
        <f>MIN(MAX(1-0.89/(1-frac_sam_6_11months+(frac_sam_6_11months*0.89)),0),1)</f>
        <v>0.10845784237982603</v>
      </c>
      <c r="G18" s="104">
        <f>MIN(MAX(1-0.89/(1-frac_sam_12_23months+(frac_sam_12_23months*0.89)),0),1)</f>
        <v>0.10901055997751219</v>
      </c>
      <c r="H18" s="104">
        <f>MIN(MAX(1-0.89/(1-frac_sam_24_59months+(frac_sam_24_59months*0.89)),0),1)</f>
        <v>0.10928137311800357</v>
      </c>
    </row>
    <row r="19" spans="1:8" x14ac:dyDescent="0.25">
      <c r="B19" s="39" t="s">
        <v>209</v>
      </c>
      <c r="C19" s="39" t="s">
        <v>334</v>
      </c>
      <c r="D19" s="104">
        <v>0</v>
      </c>
      <c r="E19" s="104">
        <v>0</v>
      </c>
      <c r="F19" s="104">
        <v>1</v>
      </c>
      <c r="G19" s="104">
        <v>1</v>
      </c>
      <c r="H19" s="104">
        <v>1</v>
      </c>
    </row>
    <row r="20" spans="1:8" x14ac:dyDescent="0.25">
      <c r="C20" s="39" t="s">
        <v>336</v>
      </c>
      <c r="D20" s="104">
        <v>0</v>
      </c>
      <c r="E20" s="104">
        <v>0</v>
      </c>
      <c r="F20" s="104">
        <f>MIN(MAX(1-0.89/(1-frac_mam_6_11months+(frac_mam_6_11months*0.89)),0),1)</f>
        <v>0.1046795744409692</v>
      </c>
      <c r="G20" s="104">
        <f>MIN(MAX(1-0.89/(1-frac_mam_12_23months+(frac_mam_12_23months*0.89)),0),1)</f>
        <v>0.10581499250070592</v>
      </c>
      <c r="H20" s="104">
        <f>MIN(MAX(1-0.89/(1-frac_mam_24_59months+(frac_mam_24_59months*0.89)),0),1)</f>
        <v>0.10780844504922549</v>
      </c>
    </row>
    <row r="21" spans="1:8" x14ac:dyDescent="0.25">
      <c r="A21" s="39" t="s">
        <v>175</v>
      </c>
      <c r="B21" s="39" t="s">
        <v>84</v>
      </c>
      <c r="C21" s="39" t="s">
        <v>334</v>
      </c>
      <c r="D21" s="104">
        <v>1</v>
      </c>
      <c r="E21" s="104">
        <v>0</v>
      </c>
      <c r="F21" s="104">
        <v>0</v>
      </c>
      <c r="G21" s="104">
        <v>0</v>
      </c>
      <c r="H21" s="104">
        <v>0</v>
      </c>
    </row>
    <row r="22" spans="1:8" x14ac:dyDescent="0.25">
      <c r="C22" s="39" t="s">
        <v>335</v>
      </c>
      <c r="D22" s="104">
        <v>0.13</v>
      </c>
      <c r="E22" s="104">
        <v>0</v>
      </c>
      <c r="F22" s="104">
        <v>0</v>
      </c>
      <c r="G22" s="104">
        <v>0</v>
      </c>
      <c r="H22" s="104">
        <v>0</v>
      </c>
    </row>
    <row r="23" spans="1:8" x14ac:dyDescent="0.25">
      <c r="A23" s="39" t="s">
        <v>173</v>
      </c>
      <c r="B23" s="39" t="s">
        <v>84</v>
      </c>
      <c r="C23" s="39" t="s">
        <v>334</v>
      </c>
      <c r="D23" s="104">
        <v>1</v>
      </c>
      <c r="E23" s="104">
        <v>0</v>
      </c>
      <c r="F23" s="104">
        <v>0</v>
      </c>
      <c r="G23" s="104">
        <v>0</v>
      </c>
      <c r="H23" s="104">
        <v>0</v>
      </c>
    </row>
    <row r="24" spans="1:8" x14ac:dyDescent="0.25">
      <c r="C24" s="39" t="s">
        <v>335</v>
      </c>
      <c r="D24" s="104">
        <v>0.13</v>
      </c>
      <c r="E24" s="104">
        <v>0</v>
      </c>
      <c r="F24" s="104">
        <v>0</v>
      </c>
      <c r="G24" s="104">
        <v>0</v>
      </c>
      <c r="H24" s="104">
        <v>0</v>
      </c>
    </row>
    <row r="25" spans="1:8" x14ac:dyDescent="0.25">
      <c r="A25" s="39" t="s">
        <v>174</v>
      </c>
      <c r="B25" s="39" t="s">
        <v>84</v>
      </c>
      <c r="C25" s="39" t="s">
        <v>334</v>
      </c>
      <c r="D25" s="104">
        <v>1</v>
      </c>
      <c r="E25" s="104">
        <v>0</v>
      </c>
      <c r="F25" s="104">
        <v>0</v>
      </c>
      <c r="G25" s="104">
        <v>0</v>
      </c>
      <c r="H25" s="104">
        <v>0</v>
      </c>
    </row>
    <row r="26" spans="1:8" x14ac:dyDescent="0.25">
      <c r="C26" s="39" t="s">
        <v>335</v>
      </c>
      <c r="D26" s="104">
        <v>0.13</v>
      </c>
      <c r="E26" s="104">
        <v>0</v>
      </c>
      <c r="F26" s="104">
        <v>0</v>
      </c>
      <c r="G26" s="104">
        <v>0</v>
      </c>
      <c r="H26" s="104">
        <v>0</v>
      </c>
    </row>
    <row r="27" spans="1:8" x14ac:dyDescent="0.25">
      <c r="A27" s="39" t="s">
        <v>197</v>
      </c>
      <c r="B27" s="39" t="s">
        <v>87</v>
      </c>
      <c r="C27" s="39" t="s">
        <v>334</v>
      </c>
      <c r="D27" s="104">
        <v>1</v>
      </c>
      <c r="E27" s="104">
        <v>1</v>
      </c>
      <c r="F27" s="104">
        <v>1</v>
      </c>
      <c r="G27" s="104">
        <v>1</v>
      </c>
      <c r="H27" s="104">
        <v>1</v>
      </c>
    </row>
    <row r="28" spans="1:8" x14ac:dyDescent="0.25">
      <c r="C28" s="39" t="s">
        <v>335</v>
      </c>
      <c r="D28" s="104">
        <v>0.3</v>
      </c>
      <c r="E28" s="104">
        <v>0.3</v>
      </c>
      <c r="F28" s="104">
        <v>0.3</v>
      </c>
      <c r="G28" s="104">
        <v>0.3</v>
      </c>
      <c r="H28" s="104">
        <v>0.3</v>
      </c>
    </row>
    <row r="29" spans="1:8" x14ac:dyDescent="0.25">
      <c r="C29" s="39" t="s">
        <v>336</v>
      </c>
      <c r="D29" s="104">
        <v>0</v>
      </c>
      <c r="E29" s="104">
        <v>0</v>
      </c>
      <c r="F29" s="104">
        <v>0</v>
      </c>
      <c r="G29" s="104">
        <v>0</v>
      </c>
      <c r="H29" s="104">
        <v>0</v>
      </c>
    </row>
    <row r="30" spans="1:8" x14ac:dyDescent="0.25">
      <c r="A30" s="39" t="s">
        <v>198</v>
      </c>
      <c r="B30" s="39" t="s">
        <v>87</v>
      </c>
      <c r="C30" s="39" t="s">
        <v>334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</row>
    <row r="31" spans="1:8" x14ac:dyDescent="0.25">
      <c r="C31" s="39" t="s">
        <v>335</v>
      </c>
      <c r="D31" s="104">
        <v>0</v>
      </c>
      <c r="E31" s="104">
        <v>0</v>
      </c>
      <c r="F31" s="104">
        <v>0</v>
      </c>
      <c r="G31" s="104">
        <v>0</v>
      </c>
      <c r="H31" s="104">
        <v>0</v>
      </c>
    </row>
    <row r="32" spans="1:8" x14ac:dyDescent="0.25">
      <c r="C32" s="39" t="s">
        <v>336</v>
      </c>
      <c r="D32" s="104">
        <v>0</v>
      </c>
      <c r="E32" s="104">
        <v>0</v>
      </c>
      <c r="F32" s="104">
        <v>0</v>
      </c>
      <c r="G32" s="104">
        <v>0</v>
      </c>
      <c r="H32" s="104">
        <v>0</v>
      </c>
    </row>
    <row r="33" spans="1:8" x14ac:dyDescent="0.25">
      <c r="A33" s="39" t="s">
        <v>196</v>
      </c>
      <c r="B33" s="39" t="s">
        <v>87</v>
      </c>
      <c r="C33" s="39" t="s">
        <v>334</v>
      </c>
      <c r="D33" s="104">
        <v>1</v>
      </c>
      <c r="E33" s="104">
        <v>1</v>
      </c>
      <c r="F33" s="104">
        <v>1</v>
      </c>
      <c r="G33" s="104">
        <v>1</v>
      </c>
      <c r="H33" s="104">
        <v>1</v>
      </c>
    </row>
    <row r="34" spans="1:8" x14ac:dyDescent="0.25">
      <c r="C34" s="39" t="s">
        <v>335</v>
      </c>
      <c r="D34" s="104">
        <v>0</v>
      </c>
      <c r="E34" s="104">
        <v>0</v>
      </c>
      <c r="F34" s="104">
        <v>0</v>
      </c>
      <c r="G34" s="104">
        <v>0</v>
      </c>
      <c r="H34" s="104">
        <v>0</v>
      </c>
    </row>
    <row r="35" spans="1:8" x14ac:dyDescent="0.25">
      <c r="C35" s="39" t="s">
        <v>336</v>
      </c>
      <c r="D35" s="104">
        <v>0</v>
      </c>
      <c r="E35" s="104">
        <v>0</v>
      </c>
      <c r="F35" s="104">
        <v>0</v>
      </c>
      <c r="G35" s="104">
        <v>0</v>
      </c>
      <c r="H35" s="104">
        <v>0</v>
      </c>
    </row>
    <row r="36" spans="1:8" x14ac:dyDescent="0.25">
      <c r="A36" s="39" t="s">
        <v>195</v>
      </c>
      <c r="B36" s="39" t="s">
        <v>87</v>
      </c>
      <c r="C36" s="39" t="s">
        <v>334</v>
      </c>
      <c r="D36" s="104">
        <v>1</v>
      </c>
      <c r="E36" s="104">
        <v>1</v>
      </c>
      <c r="F36" s="104">
        <v>1</v>
      </c>
      <c r="G36" s="104">
        <v>1</v>
      </c>
      <c r="H36" s="104">
        <v>1</v>
      </c>
    </row>
    <row r="37" spans="1:8" x14ac:dyDescent="0.25">
      <c r="C37" s="39" t="s">
        <v>335</v>
      </c>
      <c r="D37" s="104">
        <v>0</v>
      </c>
      <c r="E37" s="104">
        <v>0</v>
      </c>
      <c r="F37" s="104">
        <v>0</v>
      </c>
      <c r="G37" s="104">
        <v>0</v>
      </c>
      <c r="H37" s="104">
        <v>0</v>
      </c>
    </row>
    <row r="38" spans="1:8" x14ac:dyDescent="0.25">
      <c r="C38" s="39" t="s">
        <v>336</v>
      </c>
      <c r="D38" s="104">
        <v>0</v>
      </c>
      <c r="E38" s="104">
        <v>0</v>
      </c>
      <c r="F38" s="104">
        <v>0</v>
      </c>
      <c r="G38" s="104">
        <v>0</v>
      </c>
      <c r="H38" s="104">
        <v>0</v>
      </c>
    </row>
    <row r="39" spans="1:8" x14ac:dyDescent="0.25">
      <c r="A39" s="39" t="s">
        <v>194</v>
      </c>
      <c r="B39" s="39" t="s">
        <v>87</v>
      </c>
      <c r="C39" s="39" t="s">
        <v>334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</row>
    <row r="40" spans="1:8" x14ac:dyDescent="0.25">
      <c r="C40" s="39" t="s">
        <v>335</v>
      </c>
      <c r="D40" s="104">
        <v>0</v>
      </c>
      <c r="E40" s="104">
        <v>0</v>
      </c>
      <c r="F40" s="104">
        <v>0</v>
      </c>
      <c r="G40" s="104">
        <v>0</v>
      </c>
      <c r="H40" s="104">
        <v>0</v>
      </c>
    </row>
    <row r="41" spans="1:8" x14ac:dyDescent="0.25">
      <c r="C41" s="39" t="s">
        <v>336</v>
      </c>
      <c r="D41" s="104">
        <v>0</v>
      </c>
      <c r="E41" s="104">
        <v>0</v>
      </c>
      <c r="F41" s="104">
        <v>0</v>
      </c>
      <c r="G41" s="104">
        <v>0</v>
      </c>
      <c r="H41" s="104">
        <v>0</v>
      </c>
    </row>
    <row r="42" spans="1:8" x14ac:dyDescent="0.25">
      <c r="A42" s="39" t="s">
        <v>200</v>
      </c>
      <c r="B42" s="39" t="s">
        <v>87</v>
      </c>
      <c r="C42" s="39" t="s">
        <v>334</v>
      </c>
      <c r="D42" s="104">
        <v>0</v>
      </c>
      <c r="E42" s="104">
        <v>1</v>
      </c>
      <c r="F42" s="104">
        <v>1</v>
      </c>
      <c r="G42" s="104">
        <v>1</v>
      </c>
      <c r="H42" s="104">
        <v>1</v>
      </c>
    </row>
    <row r="43" spans="1:8" x14ac:dyDescent="0.25">
      <c r="C43" s="39" t="s">
        <v>335</v>
      </c>
      <c r="D43" s="104">
        <v>0</v>
      </c>
      <c r="E43" s="104">
        <v>0</v>
      </c>
      <c r="F43" s="104">
        <v>0</v>
      </c>
      <c r="G43" s="104">
        <v>0</v>
      </c>
      <c r="H43" s="104">
        <v>0</v>
      </c>
    </row>
    <row r="44" spans="1:8" x14ac:dyDescent="0.25">
      <c r="C44" s="39" t="s">
        <v>336</v>
      </c>
      <c r="D44" s="104">
        <v>0.09</v>
      </c>
      <c r="E44" s="104">
        <v>0.09</v>
      </c>
      <c r="F44" s="104">
        <v>0.09</v>
      </c>
      <c r="G44" s="104">
        <v>0.09</v>
      </c>
      <c r="H44" s="104">
        <v>0.09</v>
      </c>
    </row>
    <row r="45" spans="1:8" x14ac:dyDescent="0.25">
      <c r="B45" s="39" t="s">
        <v>88</v>
      </c>
      <c r="C45" s="39" t="s">
        <v>334</v>
      </c>
      <c r="D45" s="104">
        <v>0</v>
      </c>
      <c r="E45" s="104">
        <v>1</v>
      </c>
      <c r="F45" s="104">
        <v>1</v>
      </c>
      <c r="G45" s="104">
        <v>1</v>
      </c>
      <c r="H45" s="104">
        <v>1</v>
      </c>
    </row>
    <row r="46" spans="1:8" x14ac:dyDescent="0.25">
      <c r="C46" s="39" t="s">
        <v>335</v>
      </c>
      <c r="D46" s="104">
        <v>0</v>
      </c>
      <c r="E46" s="104">
        <v>0</v>
      </c>
      <c r="F46" s="104">
        <v>0</v>
      </c>
      <c r="G46" s="104">
        <v>0</v>
      </c>
      <c r="H46" s="104">
        <v>0</v>
      </c>
    </row>
    <row r="47" spans="1:8" x14ac:dyDescent="0.25">
      <c r="C47" s="39" t="s">
        <v>336</v>
      </c>
      <c r="D47" s="104">
        <v>0</v>
      </c>
      <c r="E47" s="104">
        <v>0</v>
      </c>
      <c r="F47" s="104">
        <v>0</v>
      </c>
      <c r="G47" s="104">
        <v>0</v>
      </c>
      <c r="H47" s="104">
        <v>0</v>
      </c>
    </row>
    <row r="48" spans="1:8" x14ac:dyDescent="0.25">
      <c r="A48" s="39" t="s">
        <v>191</v>
      </c>
      <c r="B48" s="39" t="s">
        <v>87</v>
      </c>
      <c r="C48" s="39" t="s">
        <v>334</v>
      </c>
      <c r="D48" s="104">
        <v>1</v>
      </c>
      <c r="E48" s="104">
        <v>1</v>
      </c>
      <c r="F48" s="104">
        <v>1</v>
      </c>
      <c r="G48" s="104">
        <v>1</v>
      </c>
      <c r="H48" s="104">
        <v>1</v>
      </c>
    </row>
    <row r="49" spans="1:8" x14ac:dyDescent="0.25">
      <c r="C49" s="39" t="s">
        <v>335</v>
      </c>
      <c r="D49" s="104">
        <v>0.69</v>
      </c>
      <c r="E49" s="104">
        <v>0.69</v>
      </c>
      <c r="F49" s="104">
        <v>0.69</v>
      </c>
      <c r="G49" s="104">
        <v>0.69</v>
      </c>
      <c r="H49" s="104">
        <v>0.69</v>
      </c>
    </row>
    <row r="50" spans="1:8" x14ac:dyDescent="0.25">
      <c r="A50" s="39" t="s">
        <v>199</v>
      </c>
      <c r="B50" s="39" t="s">
        <v>87</v>
      </c>
      <c r="C50" s="39" t="s">
        <v>334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</row>
    <row r="51" spans="1:8" x14ac:dyDescent="0.25">
      <c r="C51" s="39" t="s">
        <v>335</v>
      </c>
      <c r="D51" s="104">
        <v>0.76</v>
      </c>
      <c r="E51" s="104">
        <v>0.76</v>
      </c>
      <c r="F51" s="104">
        <v>0.76</v>
      </c>
      <c r="G51" s="104">
        <v>0.76</v>
      </c>
      <c r="H51" s="104">
        <v>0.76</v>
      </c>
    </row>
    <row r="52" spans="1:8" x14ac:dyDescent="0.25">
      <c r="A52" s="39" t="s">
        <v>184</v>
      </c>
      <c r="B52" s="39" t="s">
        <v>82</v>
      </c>
      <c r="C52" s="39" t="s">
        <v>334</v>
      </c>
      <c r="D52" s="104">
        <v>1</v>
      </c>
      <c r="E52" s="104">
        <v>0</v>
      </c>
      <c r="F52" s="104">
        <v>0</v>
      </c>
      <c r="G52" s="104">
        <v>0</v>
      </c>
      <c r="H52" s="104">
        <v>0</v>
      </c>
    </row>
    <row r="53" spans="1:8" x14ac:dyDescent="0.25">
      <c r="C53" s="39" t="s">
        <v>335</v>
      </c>
      <c r="D53" s="104">
        <v>0.32</v>
      </c>
      <c r="E53" s="104">
        <v>0</v>
      </c>
      <c r="F53" s="104">
        <v>0</v>
      </c>
      <c r="G53" s="104">
        <v>0</v>
      </c>
      <c r="H53" s="104">
        <v>0</v>
      </c>
    </row>
    <row r="55" spans="1:8" s="107" customFormat="1" ht="13" x14ac:dyDescent="0.3">
      <c r="A55" s="110" t="s">
        <v>331</v>
      </c>
      <c r="B55" s="111"/>
      <c r="C55" s="111"/>
    </row>
    <row r="56" spans="1:8" ht="13" x14ac:dyDescent="0.3">
      <c r="A56" s="29" t="s">
        <v>160</v>
      </c>
      <c r="B56" s="29" t="s">
        <v>333</v>
      </c>
      <c r="C56" s="96" t="s">
        <v>11</v>
      </c>
      <c r="D56" s="29" t="s">
        <v>109</v>
      </c>
      <c r="E56" s="29" t="s">
        <v>96</v>
      </c>
      <c r="F56" s="29" t="s">
        <v>97</v>
      </c>
      <c r="G56" s="29" t="s">
        <v>98</v>
      </c>
      <c r="H56" s="29" t="s">
        <v>99</v>
      </c>
    </row>
    <row r="57" spans="1:8" x14ac:dyDescent="0.25">
      <c r="A57" s="39" t="s">
        <v>193</v>
      </c>
      <c r="B57" s="39" t="s">
        <v>87</v>
      </c>
      <c r="C57" s="39" t="s">
        <v>334</v>
      </c>
      <c r="D57" s="104">
        <f>IF($C2="Affected fraction",D2,IF(D2=1,1,D2*0.9))</f>
        <v>0</v>
      </c>
      <c r="E57" s="104">
        <f t="shared" ref="E57:H57" si="0">IF($C2="Affected fraction",E2,IF(E2=1,1,E2*0.9))</f>
        <v>0</v>
      </c>
      <c r="F57" s="104">
        <f t="shared" si="0"/>
        <v>1</v>
      </c>
      <c r="G57" s="104">
        <f t="shared" si="0"/>
        <v>1</v>
      </c>
      <c r="H57" s="104">
        <f t="shared" si="0"/>
        <v>1</v>
      </c>
    </row>
    <row r="58" spans="1:8" x14ac:dyDescent="0.25">
      <c r="C58" s="39" t="s">
        <v>335</v>
      </c>
      <c r="D58" s="104">
        <f t="shared" ref="D58:E59" si="1">IF($C3="Affected fraction",D3,IF(D3=1,1,D3*0.9))</f>
        <v>0</v>
      </c>
      <c r="E58" s="104">
        <f t="shared" si="1"/>
        <v>0</v>
      </c>
      <c r="F58" s="104">
        <v>0.02</v>
      </c>
      <c r="G58" s="104">
        <v>0.02</v>
      </c>
      <c r="H58" s="104">
        <v>0.02</v>
      </c>
    </row>
    <row r="59" spans="1:8" x14ac:dyDescent="0.25">
      <c r="C59" s="39" t="s">
        <v>336</v>
      </c>
      <c r="D59" s="104">
        <f t="shared" si="1"/>
        <v>0</v>
      </c>
      <c r="E59" s="104">
        <f t="shared" si="1"/>
        <v>0</v>
      </c>
      <c r="F59" s="104">
        <v>0.13</v>
      </c>
      <c r="G59" s="104">
        <v>0.13</v>
      </c>
      <c r="H59" s="104">
        <v>0.13</v>
      </c>
    </row>
    <row r="60" spans="1:8" x14ac:dyDescent="0.25">
      <c r="A60" s="39" t="s">
        <v>192</v>
      </c>
      <c r="B60" s="39" t="s">
        <v>208</v>
      </c>
      <c r="C60" s="39" t="s">
        <v>334</v>
      </c>
      <c r="D60" s="104">
        <v>0</v>
      </c>
      <c r="E60" s="104">
        <v>0</v>
      </c>
      <c r="F60" s="104">
        <v>1</v>
      </c>
      <c r="G60" s="104">
        <v>1</v>
      </c>
      <c r="H60" s="104">
        <v>0</v>
      </c>
    </row>
    <row r="61" spans="1:8" x14ac:dyDescent="0.25">
      <c r="C61" s="39" t="s">
        <v>336</v>
      </c>
      <c r="D61" s="104">
        <v>0</v>
      </c>
      <c r="E61" s="104">
        <v>0</v>
      </c>
      <c r="F61" s="104">
        <v>0</v>
      </c>
      <c r="G61" s="104">
        <v>0</v>
      </c>
      <c r="H61" s="104">
        <v>0</v>
      </c>
    </row>
    <row r="62" spans="1:8" x14ac:dyDescent="0.25">
      <c r="B62" s="39" t="s">
        <v>209</v>
      </c>
      <c r="C62" s="39" t="s">
        <v>334</v>
      </c>
      <c r="D62" s="104">
        <v>0</v>
      </c>
      <c r="E62" s="104">
        <v>0</v>
      </c>
      <c r="F62" s="104">
        <v>1</v>
      </c>
      <c r="G62" s="104">
        <v>1</v>
      </c>
      <c r="H62" s="104">
        <v>0</v>
      </c>
    </row>
    <row r="63" spans="1:8" x14ac:dyDescent="0.25">
      <c r="C63" s="39" t="s">
        <v>336</v>
      </c>
      <c r="D63" s="104">
        <v>0</v>
      </c>
      <c r="E63" s="104">
        <v>0</v>
      </c>
      <c r="F63" s="104">
        <v>0</v>
      </c>
      <c r="G63" s="104">
        <v>0</v>
      </c>
      <c r="H63" s="104">
        <v>0</v>
      </c>
    </row>
    <row r="64" spans="1:8" x14ac:dyDescent="0.25">
      <c r="A64" s="39" t="s">
        <v>185</v>
      </c>
      <c r="B64" s="39" t="s">
        <v>208</v>
      </c>
      <c r="C64" s="39" t="s">
        <v>334</v>
      </c>
      <c r="D64" s="104">
        <v>0</v>
      </c>
      <c r="E64" s="104">
        <v>0</v>
      </c>
      <c r="F64" s="104">
        <v>1</v>
      </c>
      <c r="G64" s="104">
        <v>1</v>
      </c>
      <c r="H64" s="104">
        <v>0</v>
      </c>
    </row>
    <row r="65" spans="1:8" x14ac:dyDescent="0.25">
      <c r="C65" s="39" t="s">
        <v>336</v>
      </c>
      <c r="D65" s="104">
        <v>0</v>
      </c>
      <c r="E65" s="104">
        <v>0</v>
      </c>
      <c r="F65" s="104">
        <v>0</v>
      </c>
      <c r="G65" s="104">
        <v>0</v>
      </c>
      <c r="H65" s="104">
        <v>0</v>
      </c>
    </row>
    <row r="66" spans="1:8" x14ac:dyDescent="0.25">
      <c r="B66" s="39" t="s">
        <v>209</v>
      </c>
      <c r="C66" s="39" t="s">
        <v>334</v>
      </c>
      <c r="D66" s="104">
        <v>0</v>
      </c>
      <c r="E66" s="104">
        <v>0</v>
      </c>
      <c r="F66" s="104">
        <v>1</v>
      </c>
      <c r="G66" s="104">
        <v>1</v>
      </c>
      <c r="H66" s="104">
        <v>0</v>
      </c>
    </row>
    <row r="67" spans="1:8" x14ac:dyDescent="0.25">
      <c r="C67" s="39" t="s">
        <v>336</v>
      </c>
      <c r="D67" s="104">
        <v>0</v>
      </c>
      <c r="E67" s="104">
        <v>0</v>
      </c>
      <c r="F67" s="104">
        <v>0</v>
      </c>
      <c r="G67" s="104">
        <v>0</v>
      </c>
      <c r="H67" s="104">
        <v>0</v>
      </c>
    </row>
    <row r="68" spans="1:8" x14ac:dyDescent="0.25">
      <c r="A68" s="39" t="s">
        <v>205</v>
      </c>
      <c r="B68" s="39" t="s">
        <v>208</v>
      </c>
      <c r="C68" s="39" t="s">
        <v>334</v>
      </c>
      <c r="D68" s="104">
        <v>0</v>
      </c>
      <c r="E68" s="104">
        <v>0</v>
      </c>
      <c r="F68" s="104">
        <v>1</v>
      </c>
      <c r="G68" s="104">
        <v>1</v>
      </c>
      <c r="H68" s="104">
        <v>0</v>
      </c>
    </row>
    <row r="69" spans="1:8" x14ac:dyDescent="0.25">
      <c r="C69" s="39" t="s">
        <v>336</v>
      </c>
      <c r="D69" s="104">
        <f t="shared" ref="D69:H77" si="2">IF($C14="Affected fraction",D14,IF(D14=1,1,D14*0.9))</f>
        <v>0</v>
      </c>
      <c r="E69" s="104">
        <f>IF($C14="Affected fraction",E14,IF(E14=1,1,E14*0.9))</f>
        <v>0</v>
      </c>
      <c r="F69" s="104">
        <v>0.14000000000000001</v>
      </c>
      <c r="G69" s="104">
        <v>0.14000000000000001</v>
      </c>
      <c r="H69" s="104">
        <f t="shared" si="2"/>
        <v>0</v>
      </c>
    </row>
    <row r="70" spans="1:8" x14ac:dyDescent="0.25">
      <c r="B70" s="39" t="s">
        <v>209</v>
      </c>
      <c r="C70" s="39" t="s">
        <v>334</v>
      </c>
      <c r="D70" s="104">
        <f t="shared" si="2"/>
        <v>0</v>
      </c>
      <c r="E70" s="104">
        <f t="shared" si="2"/>
        <v>0</v>
      </c>
      <c r="F70" s="104">
        <f t="shared" si="2"/>
        <v>1</v>
      </c>
      <c r="G70" s="104">
        <f t="shared" si="2"/>
        <v>1</v>
      </c>
      <c r="H70" s="104">
        <f t="shared" si="2"/>
        <v>0</v>
      </c>
    </row>
    <row r="71" spans="1:8" x14ac:dyDescent="0.25">
      <c r="C71" s="39" t="s">
        <v>336</v>
      </c>
      <c r="D71" s="104">
        <f t="shared" si="2"/>
        <v>0</v>
      </c>
      <c r="E71" s="104">
        <f t="shared" si="2"/>
        <v>0</v>
      </c>
      <c r="F71" s="104">
        <v>7.0000000000000007E-2</v>
      </c>
      <c r="G71" s="104">
        <v>7.0000000000000007E-2</v>
      </c>
      <c r="H71" s="104">
        <f t="shared" si="2"/>
        <v>0</v>
      </c>
    </row>
    <row r="72" spans="1:8" x14ac:dyDescent="0.25">
      <c r="A72" s="39" t="s">
        <v>170</v>
      </c>
      <c r="B72" s="39" t="s">
        <v>208</v>
      </c>
      <c r="C72" s="39" t="s">
        <v>334</v>
      </c>
      <c r="D72" s="104">
        <f t="shared" si="2"/>
        <v>0</v>
      </c>
      <c r="E72" s="104">
        <f t="shared" si="2"/>
        <v>0</v>
      </c>
      <c r="F72" s="104">
        <f t="shared" si="2"/>
        <v>1</v>
      </c>
      <c r="G72" s="104">
        <f t="shared" si="2"/>
        <v>1</v>
      </c>
      <c r="H72" s="104">
        <f t="shared" si="2"/>
        <v>1</v>
      </c>
    </row>
    <row r="73" spans="1:8" x14ac:dyDescent="0.25">
      <c r="C73" s="39" t="s">
        <v>336</v>
      </c>
      <c r="D73" s="104">
        <f t="shared" si="2"/>
        <v>0</v>
      </c>
      <c r="E73" s="104">
        <f t="shared" si="2"/>
        <v>0</v>
      </c>
      <c r="F73" s="104">
        <f>MIN(MAX(1-0.99/(1-frac_sam_6_11months+(frac_sam_6_11months*0.99)),0),1)</f>
        <v>9.8442967462329944E-3</v>
      </c>
      <c r="G73" s="104">
        <f>MIN(MAX(1-0.99/(1-frac_sam_12_23months+(frac_sam_12_23months*0.99)),0),1)</f>
        <v>9.9000452880145806E-3</v>
      </c>
      <c r="H73" s="104">
        <f>MIN(MAX(1-0.99/(1-frac_sam_24_59months+(frac_sam_24_59months*0.99)),0),1)</f>
        <v>9.9273831696513604E-3</v>
      </c>
    </row>
    <row r="74" spans="1:8" x14ac:dyDescent="0.25">
      <c r="B74" s="39" t="s">
        <v>209</v>
      </c>
      <c r="C74" s="39" t="s">
        <v>334</v>
      </c>
      <c r="D74" s="104">
        <f t="shared" si="2"/>
        <v>0</v>
      </c>
      <c r="E74" s="104">
        <f t="shared" si="2"/>
        <v>0</v>
      </c>
      <c r="F74" s="104">
        <v>1</v>
      </c>
      <c r="G74" s="104">
        <v>1</v>
      </c>
      <c r="H74" s="104">
        <v>1</v>
      </c>
    </row>
    <row r="75" spans="1:8" x14ac:dyDescent="0.25">
      <c r="C75" s="39" t="s">
        <v>336</v>
      </c>
      <c r="D75" s="104">
        <f t="shared" si="2"/>
        <v>0</v>
      </c>
      <c r="E75" s="104">
        <f t="shared" si="2"/>
        <v>0</v>
      </c>
      <c r="F75" s="104">
        <f>MIN(MAX(1-0.99/(1-frac_mam_6_11months+(frac_mam_6_11months*0.99)),0),1)</f>
        <v>9.4648875339096161E-3</v>
      </c>
      <c r="G75" s="104">
        <f>MIN(MAX(1-0.99/(1-frac_mam_12_23months+(frac_mam_12_23months*0.99)),0),1)</f>
        <v>9.5785983927034746E-3</v>
      </c>
      <c r="H75" s="104">
        <f>MIN(MAX(1-0.99/(1-frac_mam_24_59months+(frac_mam_24_59months*0.99)),0),1)</f>
        <v>9.7788770816137349E-3</v>
      </c>
    </row>
    <row r="76" spans="1:8" x14ac:dyDescent="0.25">
      <c r="A76" s="39" t="s">
        <v>175</v>
      </c>
      <c r="B76" s="39" t="s">
        <v>84</v>
      </c>
      <c r="C76" s="39" t="s">
        <v>334</v>
      </c>
      <c r="D76" s="104">
        <f t="shared" si="2"/>
        <v>1</v>
      </c>
      <c r="E76" s="104">
        <f t="shared" si="2"/>
        <v>0</v>
      </c>
      <c r="F76" s="104">
        <f t="shared" si="2"/>
        <v>0</v>
      </c>
      <c r="G76" s="104">
        <f t="shared" si="2"/>
        <v>0</v>
      </c>
      <c r="H76" s="104">
        <f t="shared" si="2"/>
        <v>0</v>
      </c>
    </row>
    <row r="77" spans="1:8" x14ac:dyDescent="0.25">
      <c r="C77" s="39" t="s">
        <v>335</v>
      </c>
      <c r="D77" s="104">
        <v>0.11</v>
      </c>
      <c r="E77" s="104">
        <f t="shared" si="2"/>
        <v>0</v>
      </c>
      <c r="F77" s="104">
        <f t="shared" si="2"/>
        <v>0</v>
      </c>
      <c r="G77" s="104">
        <f t="shared" si="2"/>
        <v>0</v>
      </c>
      <c r="H77" s="104">
        <f t="shared" si="2"/>
        <v>0</v>
      </c>
    </row>
    <row r="78" spans="1:8" x14ac:dyDescent="0.25">
      <c r="A78" s="39" t="s">
        <v>173</v>
      </c>
      <c r="B78" s="39" t="s">
        <v>84</v>
      </c>
      <c r="C78" s="39" t="s">
        <v>334</v>
      </c>
      <c r="D78" s="104">
        <f t="shared" ref="D78:H79" si="3">IF($C23="Affected fraction",D23,IF(D23=1,1,D23*0.9))</f>
        <v>1</v>
      </c>
      <c r="E78" s="104">
        <f t="shared" si="3"/>
        <v>0</v>
      </c>
      <c r="F78" s="104">
        <f t="shared" si="3"/>
        <v>0</v>
      </c>
      <c r="G78" s="104">
        <f t="shared" si="3"/>
        <v>0</v>
      </c>
      <c r="H78" s="104">
        <f t="shared" si="3"/>
        <v>0</v>
      </c>
    </row>
    <row r="79" spans="1:8" x14ac:dyDescent="0.25">
      <c r="C79" s="39" t="s">
        <v>335</v>
      </c>
      <c r="D79" s="104">
        <v>0.11</v>
      </c>
      <c r="E79" s="104">
        <f t="shared" si="3"/>
        <v>0</v>
      </c>
      <c r="F79" s="104">
        <f t="shared" si="3"/>
        <v>0</v>
      </c>
      <c r="G79" s="104">
        <f t="shared" si="3"/>
        <v>0</v>
      </c>
      <c r="H79" s="104">
        <f t="shared" si="3"/>
        <v>0</v>
      </c>
    </row>
    <row r="80" spans="1:8" x14ac:dyDescent="0.25">
      <c r="A80" s="39" t="s">
        <v>174</v>
      </c>
      <c r="B80" s="39" t="s">
        <v>84</v>
      </c>
      <c r="C80" s="39" t="s">
        <v>334</v>
      </c>
      <c r="D80" s="104">
        <f t="shared" ref="D80:H81" si="4">IF($C25="Affected fraction",D25,IF(D25=1,1,D25*0.9))</f>
        <v>1</v>
      </c>
      <c r="E80" s="104">
        <f t="shared" si="4"/>
        <v>0</v>
      </c>
      <c r="F80" s="104">
        <f t="shared" si="4"/>
        <v>0</v>
      </c>
      <c r="G80" s="104">
        <f t="shared" si="4"/>
        <v>0</v>
      </c>
      <c r="H80" s="104">
        <f t="shared" si="4"/>
        <v>0</v>
      </c>
    </row>
    <row r="81" spans="1:8" x14ac:dyDescent="0.25">
      <c r="C81" s="39" t="s">
        <v>335</v>
      </c>
      <c r="D81" s="104">
        <v>0.11</v>
      </c>
      <c r="E81" s="104">
        <f t="shared" si="4"/>
        <v>0</v>
      </c>
      <c r="F81" s="104">
        <f t="shared" si="4"/>
        <v>0</v>
      </c>
      <c r="G81" s="104">
        <f t="shared" si="4"/>
        <v>0</v>
      </c>
      <c r="H81" s="104">
        <f t="shared" si="4"/>
        <v>0</v>
      </c>
    </row>
    <row r="82" spans="1:8" x14ac:dyDescent="0.25">
      <c r="A82" s="39" t="s">
        <v>197</v>
      </c>
      <c r="B82" s="39" t="s">
        <v>87</v>
      </c>
      <c r="C82" s="39" t="s">
        <v>334</v>
      </c>
      <c r="D82" s="104">
        <v>1</v>
      </c>
      <c r="E82" s="104">
        <v>1</v>
      </c>
      <c r="F82" s="104">
        <v>1</v>
      </c>
      <c r="G82" s="104">
        <v>1</v>
      </c>
      <c r="H82" s="104">
        <v>1</v>
      </c>
    </row>
    <row r="83" spans="1:8" x14ac:dyDescent="0.25">
      <c r="C83" s="39" t="s">
        <v>335</v>
      </c>
      <c r="D83" s="104">
        <v>7.0000000000000007E-2</v>
      </c>
      <c r="E83" s="104">
        <v>7.0000000000000007E-2</v>
      </c>
      <c r="F83" s="104">
        <v>7.0000000000000007E-2</v>
      </c>
      <c r="G83" s="104">
        <v>7.0000000000000007E-2</v>
      </c>
      <c r="H83" s="104">
        <v>7.0000000000000007E-2</v>
      </c>
    </row>
    <row r="84" spans="1:8" x14ac:dyDescent="0.25">
      <c r="C84" s="39" t="s">
        <v>336</v>
      </c>
      <c r="D84" s="104">
        <v>0</v>
      </c>
      <c r="E84" s="104">
        <v>0</v>
      </c>
      <c r="F84" s="104">
        <v>0</v>
      </c>
      <c r="G84" s="104">
        <v>0</v>
      </c>
      <c r="H84" s="104">
        <v>0</v>
      </c>
    </row>
    <row r="85" spans="1:8" x14ac:dyDescent="0.25">
      <c r="A85" s="39" t="s">
        <v>198</v>
      </c>
      <c r="B85" s="39" t="s">
        <v>87</v>
      </c>
      <c r="C85" s="39" t="s">
        <v>334</v>
      </c>
      <c r="D85" s="104">
        <v>1</v>
      </c>
      <c r="E85" s="104">
        <v>1</v>
      </c>
      <c r="F85" s="104">
        <v>1</v>
      </c>
      <c r="G85" s="104">
        <v>1</v>
      </c>
      <c r="H85" s="104">
        <v>1</v>
      </c>
    </row>
    <row r="86" spans="1:8" x14ac:dyDescent="0.25">
      <c r="C86" s="39" t="s">
        <v>335</v>
      </c>
      <c r="D86" s="104">
        <v>0</v>
      </c>
      <c r="E86" s="104">
        <v>0</v>
      </c>
      <c r="F86" s="104">
        <v>0</v>
      </c>
      <c r="G86" s="104">
        <v>0</v>
      </c>
      <c r="H86" s="104">
        <v>0</v>
      </c>
    </row>
    <row r="87" spans="1:8" x14ac:dyDescent="0.25">
      <c r="C87" s="39" t="s">
        <v>336</v>
      </c>
      <c r="D87" s="104">
        <v>0</v>
      </c>
      <c r="E87" s="104">
        <v>0</v>
      </c>
      <c r="F87" s="104">
        <v>0</v>
      </c>
      <c r="G87" s="104">
        <v>0</v>
      </c>
      <c r="H87" s="104">
        <v>0</v>
      </c>
    </row>
    <row r="88" spans="1:8" x14ac:dyDescent="0.25">
      <c r="A88" s="39" t="s">
        <v>196</v>
      </c>
      <c r="B88" s="39" t="s">
        <v>87</v>
      </c>
      <c r="C88" s="39" t="s">
        <v>334</v>
      </c>
      <c r="D88" s="104">
        <v>1</v>
      </c>
      <c r="E88" s="104">
        <v>1</v>
      </c>
      <c r="F88" s="104">
        <v>1</v>
      </c>
      <c r="G88" s="104">
        <v>1</v>
      </c>
      <c r="H88" s="104">
        <v>1</v>
      </c>
    </row>
    <row r="89" spans="1:8" x14ac:dyDescent="0.25">
      <c r="C89" s="39" t="s">
        <v>335</v>
      </c>
      <c r="D89" s="104">
        <v>0</v>
      </c>
      <c r="E89" s="104">
        <v>0</v>
      </c>
      <c r="F89" s="104">
        <v>0</v>
      </c>
      <c r="G89" s="104">
        <v>0</v>
      </c>
      <c r="H89" s="104">
        <v>0</v>
      </c>
    </row>
    <row r="90" spans="1:8" x14ac:dyDescent="0.25">
      <c r="C90" s="39" t="s">
        <v>336</v>
      </c>
      <c r="D90" s="104">
        <v>0</v>
      </c>
      <c r="E90" s="104">
        <v>0</v>
      </c>
      <c r="F90" s="104">
        <v>0</v>
      </c>
      <c r="G90" s="104">
        <v>0</v>
      </c>
      <c r="H90" s="104">
        <v>0</v>
      </c>
    </row>
    <row r="91" spans="1:8" x14ac:dyDescent="0.25">
      <c r="A91" s="39" t="s">
        <v>195</v>
      </c>
      <c r="B91" s="39" t="s">
        <v>87</v>
      </c>
      <c r="C91" s="39" t="s">
        <v>334</v>
      </c>
      <c r="D91" s="104">
        <v>1</v>
      </c>
      <c r="E91" s="104">
        <v>1</v>
      </c>
      <c r="F91" s="104">
        <v>1</v>
      </c>
      <c r="G91" s="104">
        <v>1</v>
      </c>
      <c r="H91" s="104">
        <v>1</v>
      </c>
    </row>
    <row r="92" spans="1:8" x14ac:dyDescent="0.25">
      <c r="C92" s="39" t="s">
        <v>335</v>
      </c>
      <c r="D92" s="104">
        <v>0</v>
      </c>
      <c r="E92" s="104">
        <v>0</v>
      </c>
      <c r="F92" s="104">
        <v>0</v>
      </c>
      <c r="G92" s="104">
        <v>0</v>
      </c>
      <c r="H92" s="104">
        <v>0</v>
      </c>
    </row>
    <row r="93" spans="1:8" x14ac:dyDescent="0.25">
      <c r="C93" s="39" t="s">
        <v>336</v>
      </c>
      <c r="D93" s="104">
        <v>0</v>
      </c>
      <c r="E93" s="104">
        <v>0</v>
      </c>
      <c r="F93" s="104">
        <v>0</v>
      </c>
      <c r="G93" s="104">
        <v>0</v>
      </c>
      <c r="H93" s="104">
        <v>0</v>
      </c>
    </row>
    <row r="94" spans="1:8" x14ac:dyDescent="0.25">
      <c r="A94" s="39" t="s">
        <v>194</v>
      </c>
      <c r="B94" s="39" t="s">
        <v>87</v>
      </c>
      <c r="C94" s="39" t="s">
        <v>334</v>
      </c>
      <c r="D94" s="104">
        <v>1</v>
      </c>
      <c r="E94" s="104">
        <v>1</v>
      </c>
      <c r="F94" s="104">
        <v>1</v>
      </c>
      <c r="G94" s="104">
        <v>1</v>
      </c>
      <c r="H94" s="104">
        <v>1</v>
      </c>
    </row>
    <row r="95" spans="1:8" x14ac:dyDescent="0.25">
      <c r="C95" s="39" t="s">
        <v>335</v>
      </c>
      <c r="D95" s="104">
        <v>0</v>
      </c>
      <c r="E95" s="104">
        <v>0</v>
      </c>
      <c r="F95" s="104">
        <v>0</v>
      </c>
      <c r="G95" s="104">
        <v>0</v>
      </c>
      <c r="H95" s="104">
        <v>0</v>
      </c>
    </row>
    <row r="96" spans="1:8" x14ac:dyDescent="0.25">
      <c r="C96" s="39" t="s">
        <v>336</v>
      </c>
      <c r="D96" s="104">
        <v>0</v>
      </c>
      <c r="E96" s="104">
        <v>0</v>
      </c>
      <c r="F96" s="104">
        <v>0</v>
      </c>
      <c r="G96" s="104">
        <v>0</v>
      </c>
      <c r="H96" s="104">
        <v>0</v>
      </c>
    </row>
    <row r="97" spans="1:8" x14ac:dyDescent="0.25">
      <c r="A97" s="39" t="s">
        <v>200</v>
      </c>
      <c r="B97" s="39" t="s">
        <v>87</v>
      </c>
      <c r="C97" s="39" t="s">
        <v>334</v>
      </c>
      <c r="D97" s="104">
        <f t="shared" ref="D97:H97" si="5">IF($C42="Affected fraction",D42,IF(D42=1,1,D42*0.9))</f>
        <v>0</v>
      </c>
      <c r="E97" s="104">
        <f t="shared" si="5"/>
        <v>1</v>
      </c>
      <c r="F97" s="104">
        <f t="shared" si="5"/>
        <v>1</v>
      </c>
      <c r="G97" s="104">
        <f t="shared" si="5"/>
        <v>1</v>
      </c>
      <c r="H97" s="104">
        <f t="shared" si="5"/>
        <v>1</v>
      </c>
    </row>
    <row r="98" spans="1:8" x14ac:dyDescent="0.25">
      <c r="C98" s="39" t="s">
        <v>335</v>
      </c>
      <c r="D98" s="104">
        <v>0</v>
      </c>
      <c r="E98" s="104">
        <v>0</v>
      </c>
      <c r="F98" s="104">
        <v>0</v>
      </c>
      <c r="G98" s="104">
        <v>0</v>
      </c>
      <c r="H98" s="104">
        <v>0</v>
      </c>
    </row>
    <row r="99" spans="1:8" x14ac:dyDescent="0.25">
      <c r="C99" s="39" t="s">
        <v>336</v>
      </c>
      <c r="D99" s="104">
        <v>7.0000000000000007E-2</v>
      </c>
      <c r="E99" s="104">
        <v>7.0000000000000007E-2</v>
      </c>
      <c r="F99" s="104">
        <v>7.0000000000000007E-2</v>
      </c>
      <c r="G99" s="104">
        <v>7.0000000000000007E-2</v>
      </c>
      <c r="H99" s="104">
        <v>7.0000000000000007E-2</v>
      </c>
    </row>
    <row r="100" spans="1:8" x14ac:dyDescent="0.25">
      <c r="B100" s="39" t="s">
        <v>88</v>
      </c>
      <c r="C100" s="39" t="s">
        <v>334</v>
      </c>
      <c r="D100" s="104">
        <v>0</v>
      </c>
      <c r="E100" s="104">
        <v>1</v>
      </c>
      <c r="F100" s="104">
        <v>1</v>
      </c>
      <c r="G100" s="104">
        <v>1</v>
      </c>
      <c r="H100" s="104">
        <v>1</v>
      </c>
    </row>
    <row r="101" spans="1:8" x14ac:dyDescent="0.25">
      <c r="C101" s="39" t="s">
        <v>335</v>
      </c>
      <c r="D101" s="104">
        <v>0</v>
      </c>
      <c r="E101" s="104">
        <v>0</v>
      </c>
      <c r="F101" s="104">
        <v>0</v>
      </c>
      <c r="G101" s="104">
        <v>0</v>
      </c>
      <c r="H101" s="104">
        <v>0</v>
      </c>
    </row>
    <row r="102" spans="1:8" x14ac:dyDescent="0.25">
      <c r="C102" s="39" t="s">
        <v>336</v>
      </c>
      <c r="D102" s="104">
        <v>0</v>
      </c>
      <c r="E102" s="104">
        <v>0</v>
      </c>
      <c r="F102" s="104">
        <v>0</v>
      </c>
      <c r="G102" s="104">
        <v>0</v>
      </c>
      <c r="H102" s="104">
        <v>0</v>
      </c>
    </row>
    <row r="103" spans="1:8" x14ac:dyDescent="0.25">
      <c r="A103" s="39" t="s">
        <v>191</v>
      </c>
      <c r="B103" s="39" t="s">
        <v>87</v>
      </c>
      <c r="C103" s="39" t="s">
        <v>334</v>
      </c>
      <c r="D103" s="104">
        <v>1</v>
      </c>
      <c r="E103" s="104">
        <v>1</v>
      </c>
      <c r="F103" s="104">
        <v>1</v>
      </c>
      <c r="G103" s="104">
        <v>1</v>
      </c>
      <c r="H103" s="104">
        <v>1</v>
      </c>
    </row>
    <row r="104" spans="1:8" x14ac:dyDescent="0.25">
      <c r="C104" s="39" t="s">
        <v>335</v>
      </c>
      <c r="D104" s="104">
        <v>0.51</v>
      </c>
      <c r="E104" s="104">
        <v>0.51</v>
      </c>
      <c r="F104" s="104">
        <v>0.51</v>
      </c>
      <c r="G104" s="104">
        <v>0.51</v>
      </c>
      <c r="H104" s="104">
        <v>0.51</v>
      </c>
    </row>
    <row r="105" spans="1:8" x14ac:dyDescent="0.25">
      <c r="A105" s="39" t="s">
        <v>199</v>
      </c>
      <c r="B105" s="39" t="s">
        <v>87</v>
      </c>
      <c r="C105" s="39" t="s">
        <v>334</v>
      </c>
      <c r="D105" s="104">
        <v>1</v>
      </c>
      <c r="E105" s="104">
        <v>1</v>
      </c>
      <c r="F105" s="104">
        <v>1</v>
      </c>
      <c r="G105" s="104">
        <v>1</v>
      </c>
      <c r="H105" s="104">
        <v>1</v>
      </c>
    </row>
    <row r="106" spans="1:8" x14ac:dyDescent="0.25">
      <c r="C106" s="39" t="s">
        <v>335</v>
      </c>
      <c r="D106" s="104">
        <v>0.62</v>
      </c>
      <c r="E106" s="104">
        <v>0.62</v>
      </c>
      <c r="F106" s="104">
        <v>0.62</v>
      </c>
      <c r="G106" s="104">
        <v>0.62</v>
      </c>
      <c r="H106" s="104">
        <v>0.62</v>
      </c>
    </row>
    <row r="107" spans="1:8" x14ac:dyDescent="0.25">
      <c r="A107" s="39" t="s">
        <v>184</v>
      </c>
      <c r="B107" s="39" t="s">
        <v>82</v>
      </c>
      <c r="C107" s="39" t="s">
        <v>334</v>
      </c>
      <c r="D107" s="104">
        <v>1</v>
      </c>
      <c r="E107" s="104">
        <v>0</v>
      </c>
      <c r="F107" s="104">
        <v>0</v>
      </c>
      <c r="G107" s="104">
        <v>0</v>
      </c>
      <c r="H107" s="104">
        <v>0</v>
      </c>
    </row>
    <row r="108" spans="1:8" x14ac:dyDescent="0.25">
      <c r="C108" s="39" t="s">
        <v>335</v>
      </c>
      <c r="D108" s="104">
        <v>0.14000000000000001</v>
      </c>
      <c r="E108" s="104">
        <v>0</v>
      </c>
      <c r="F108" s="104">
        <v>0</v>
      </c>
      <c r="G108" s="104">
        <v>0</v>
      </c>
      <c r="H108" s="104">
        <v>0</v>
      </c>
    </row>
    <row r="110" spans="1:8" s="107" customFormat="1" ht="13" x14ac:dyDescent="0.3">
      <c r="A110" s="110" t="s">
        <v>332</v>
      </c>
      <c r="B110" s="111"/>
      <c r="C110" s="111"/>
    </row>
    <row r="111" spans="1:8" ht="13" x14ac:dyDescent="0.3">
      <c r="A111" s="29" t="s">
        <v>160</v>
      </c>
      <c r="B111" s="29" t="s">
        <v>333</v>
      </c>
      <c r="C111" s="96" t="s">
        <v>11</v>
      </c>
      <c r="D111" s="29" t="s">
        <v>109</v>
      </c>
      <c r="E111" s="29" t="s">
        <v>96</v>
      </c>
      <c r="F111" s="29" t="s">
        <v>97</v>
      </c>
      <c r="G111" s="29" t="s">
        <v>98</v>
      </c>
      <c r="H111" s="29" t="s">
        <v>99</v>
      </c>
    </row>
    <row r="112" spans="1:8" x14ac:dyDescent="0.25">
      <c r="A112" s="39" t="s">
        <v>193</v>
      </c>
      <c r="B112" s="39" t="s">
        <v>87</v>
      </c>
      <c r="C112" s="39" t="s">
        <v>334</v>
      </c>
      <c r="D112" s="104">
        <f>IF($C2="Affected fraction",D2,IF(D2=1,1,D2*1.05))</f>
        <v>0</v>
      </c>
      <c r="E112" s="104">
        <f t="shared" ref="E112" si="6">IF($C2="Affected fraction",E2,IF(E2=1,1,E2*1.05))</f>
        <v>0</v>
      </c>
      <c r="F112" s="104">
        <f t="shared" ref="F112:H112" si="7">IF($C57="Affected fraction",F57,IF(F57=1,1,F57*0.9))</f>
        <v>1</v>
      </c>
      <c r="G112" s="104">
        <f t="shared" si="7"/>
        <v>1</v>
      </c>
      <c r="H112" s="104">
        <f t="shared" si="7"/>
        <v>1</v>
      </c>
    </row>
    <row r="113" spans="1:8" x14ac:dyDescent="0.25">
      <c r="C113" s="39" t="s">
        <v>335</v>
      </c>
      <c r="D113" s="104">
        <f t="shared" ref="D113:E114" si="8">IF($C3="Affected fraction",D3,IF(D3=1,1,D3*1.05))</f>
        <v>0</v>
      </c>
      <c r="E113" s="104">
        <f t="shared" si="8"/>
        <v>0</v>
      </c>
      <c r="F113" s="104">
        <v>0.21</v>
      </c>
      <c r="G113" s="104">
        <v>0.21</v>
      </c>
      <c r="H113" s="104">
        <v>0.21</v>
      </c>
    </row>
    <row r="114" spans="1:8" x14ac:dyDescent="0.25">
      <c r="C114" s="39" t="s">
        <v>336</v>
      </c>
      <c r="D114" s="104">
        <f t="shared" si="8"/>
        <v>0</v>
      </c>
      <c r="E114" s="104">
        <f t="shared" si="8"/>
        <v>0</v>
      </c>
      <c r="F114" s="104">
        <v>0.18</v>
      </c>
      <c r="G114" s="104">
        <v>0.18</v>
      </c>
      <c r="H114" s="104">
        <v>0.18</v>
      </c>
    </row>
    <row r="115" spans="1:8" x14ac:dyDescent="0.25">
      <c r="A115" s="39" t="s">
        <v>192</v>
      </c>
      <c r="B115" s="39" t="s">
        <v>208</v>
      </c>
      <c r="C115" s="39" t="s">
        <v>334</v>
      </c>
      <c r="D115" s="104">
        <v>0</v>
      </c>
      <c r="E115" s="104">
        <v>0</v>
      </c>
      <c r="F115" s="104">
        <v>1</v>
      </c>
      <c r="G115" s="104">
        <v>1</v>
      </c>
      <c r="H115" s="104">
        <v>0</v>
      </c>
    </row>
    <row r="116" spans="1:8" x14ac:dyDescent="0.25">
      <c r="C116" s="39" t="s">
        <v>336</v>
      </c>
      <c r="D116" s="104">
        <v>0</v>
      </c>
      <c r="E116" s="104">
        <v>0</v>
      </c>
      <c r="F116" s="104">
        <v>0</v>
      </c>
      <c r="G116" s="104">
        <v>0</v>
      </c>
      <c r="H116" s="104">
        <v>0</v>
      </c>
    </row>
    <row r="117" spans="1:8" x14ac:dyDescent="0.25">
      <c r="B117" s="39" t="s">
        <v>209</v>
      </c>
      <c r="C117" s="39" t="s">
        <v>334</v>
      </c>
      <c r="D117" s="104">
        <v>0</v>
      </c>
      <c r="E117" s="104">
        <v>0</v>
      </c>
      <c r="F117" s="104">
        <v>1</v>
      </c>
      <c r="G117" s="104">
        <v>1</v>
      </c>
      <c r="H117" s="104">
        <v>0</v>
      </c>
    </row>
    <row r="118" spans="1:8" x14ac:dyDescent="0.25">
      <c r="C118" s="39" t="s">
        <v>336</v>
      </c>
      <c r="D118" s="104">
        <v>0</v>
      </c>
      <c r="E118" s="104">
        <v>0</v>
      </c>
      <c r="F118" s="104">
        <v>0</v>
      </c>
      <c r="G118" s="104">
        <v>0</v>
      </c>
      <c r="H118" s="104">
        <v>0</v>
      </c>
    </row>
    <row r="119" spans="1:8" x14ac:dyDescent="0.25">
      <c r="A119" s="39" t="s">
        <v>185</v>
      </c>
      <c r="B119" s="39" t="s">
        <v>208</v>
      </c>
      <c r="C119" s="39" t="s">
        <v>334</v>
      </c>
      <c r="D119" s="104">
        <v>0</v>
      </c>
      <c r="E119" s="104">
        <v>0</v>
      </c>
      <c r="F119" s="104">
        <v>1</v>
      </c>
      <c r="G119" s="104">
        <v>1</v>
      </c>
      <c r="H119" s="104">
        <v>0</v>
      </c>
    </row>
    <row r="120" spans="1:8" x14ac:dyDescent="0.25">
      <c r="C120" s="39" t="s">
        <v>336</v>
      </c>
      <c r="D120" s="104">
        <v>0</v>
      </c>
      <c r="E120" s="104">
        <v>0</v>
      </c>
      <c r="F120" s="104">
        <v>0</v>
      </c>
      <c r="G120" s="104">
        <v>0</v>
      </c>
      <c r="H120" s="104">
        <v>0</v>
      </c>
    </row>
    <row r="121" spans="1:8" x14ac:dyDescent="0.25">
      <c r="B121" s="39" t="s">
        <v>209</v>
      </c>
      <c r="C121" s="39" t="s">
        <v>334</v>
      </c>
      <c r="D121" s="104">
        <v>0</v>
      </c>
      <c r="E121" s="104">
        <v>0</v>
      </c>
      <c r="F121" s="104">
        <v>1</v>
      </c>
      <c r="G121" s="104">
        <v>1</v>
      </c>
      <c r="H121" s="104">
        <v>0</v>
      </c>
    </row>
    <row r="122" spans="1:8" x14ac:dyDescent="0.25">
      <c r="C122" s="39" t="s">
        <v>336</v>
      </c>
      <c r="D122" s="104">
        <v>0</v>
      </c>
      <c r="E122" s="104">
        <v>0</v>
      </c>
      <c r="F122" s="104">
        <v>0</v>
      </c>
      <c r="G122" s="104">
        <v>0</v>
      </c>
      <c r="H122" s="104">
        <v>0</v>
      </c>
    </row>
    <row r="123" spans="1:8" x14ac:dyDescent="0.25">
      <c r="A123" s="39" t="s">
        <v>205</v>
      </c>
      <c r="B123" s="39" t="s">
        <v>208</v>
      </c>
      <c r="C123" s="39" t="s">
        <v>334</v>
      </c>
      <c r="D123" s="104">
        <v>0</v>
      </c>
      <c r="E123" s="104">
        <v>0</v>
      </c>
      <c r="F123" s="104">
        <v>1</v>
      </c>
      <c r="G123" s="104">
        <v>1</v>
      </c>
      <c r="H123" s="104">
        <v>0</v>
      </c>
    </row>
    <row r="124" spans="1:8" x14ac:dyDescent="0.25">
      <c r="C124" s="39" t="s">
        <v>336</v>
      </c>
      <c r="D124" s="104">
        <f t="shared" ref="D124:H136" si="9">IF($C14="Affected fraction",D14,IF(D14=1,1,D14*1.05))</f>
        <v>0</v>
      </c>
      <c r="E124" s="104">
        <f t="shared" si="9"/>
        <v>0</v>
      </c>
      <c r="F124" s="104">
        <v>0.45</v>
      </c>
      <c r="G124" s="104">
        <v>0.45</v>
      </c>
      <c r="H124" s="104">
        <f t="shared" si="9"/>
        <v>0</v>
      </c>
    </row>
    <row r="125" spans="1:8" x14ac:dyDescent="0.25">
      <c r="B125" s="39" t="s">
        <v>209</v>
      </c>
      <c r="C125" s="39" t="s">
        <v>334</v>
      </c>
      <c r="D125" s="104">
        <f t="shared" si="9"/>
        <v>0</v>
      </c>
      <c r="E125" s="104">
        <f t="shared" si="9"/>
        <v>0</v>
      </c>
      <c r="F125" s="104">
        <f t="shared" si="9"/>
        <v>1</v>
      </c>
      <c r="G125" s="104">
        <f t="shared" si="9"/>
        <v>1</v>
      </c>
      <c r="H125" s="104">
        <f t="shared" si="9"/>
        <v>0</v>
      </c>
    </row>
    <row r="126" spans="1:8" x14ac:dyDescent="0.25">
      <c r="C126" s="39" t="s">
        <v>336</v>
      </c>
      <c r="D126" s="104">
        <f t="shared" si="9"/>
        <v>0</v>
      </c>
      <c r="E126" s="104">
        <f t="shared" si="9"/>
        <v>0</v>
      </c>
      <c r="F126" s="104">
        <v>0.2</v>
      </c>
      <c r="G126" s="104">
        <v>0.2</v>
      </c>
      <c r="H126" s="104">
        <f t="shared" si="9"/>
        <v>0</v>
      </c>
    </row>
    <row r="127" spans="1:8" x14ac:dyDescent="0.25">
      <c r="A127" s="39" t="s">
        <v>170</v>
      </c>
      <c r="B127" s="39" t="s">
        <v>208</v>
      </c>
      <c r="C127" s="39" t="s">
        <v>334</v>
      </c>
      <c r="D127" s="104">
        <f t="shared" si="9"/>
        <v>0</v>
      </c>
      <c r="E127" s="104">
        <f t="shared" si="9"/>
        <v>0</v>
      </c>
      <c r="F127" s="104">
        <f t="shared" si="9"/>
        <v>1</v>
      </c>
      <c r="G127" s="104">
        <f t="shared" si="9"/>
        <v>1</v>
      </c>
      <c r="H127" s="104">
        <f t="shared" si="9"/>
        <v>1</v>
      </c>
    </row>
    <row r="128" spans="1:8" x14ac:dyDescent="0.25">
      <c r="C128" s="39" t="s">
        <v>336</v>
      </c>
      <c r="D128" s="104">
        <f t="shared" si="9"/>
        <v>0</v>
      </c>
      <c r="E128" s="104">
        <f t="shared" si="9"/>
        <v>0</v>
      </c>
      <c r="F128" s="104">
        <f>MIN(MAX(1-0.8/(1-frac_sam_6_11months+(frac_sam_6_11months*0.8)),0),1)</f>
        <v>0.1974760415732103</v>
      </c>
      <c r="G128" s="104">
        <f>MIN(MAX(1-0.8/(1-frac_sam_12_23months+(frac_sam_12_23months*0.8)),0),1)</f>
        <v>0.19838146543966784</v>
      </c>
      <c r="H128" s="104">
        <f>MIN(MAX(1-0.8/(1-frac_sam_24_59months+(frac_sam_24_59months*0.8)),0),1)</f>
        <v>0.19882475677586242</v>
      </c>
    </row>
    <row r="129" spans="1:8" x14ac:dyDescent="0.25">
      <c r="B129" s="39" t="s">
        <v>209</v>
      </c>
      <c r="C129" s="39" t="s">
        <v>334</v>
      </c>
      <c r="D129" s="104">
        <f t="shared" si="9"/>
        <v>0</v>
      </c>
      <c r="E129" s="104">
        <f t="shared" si="9"/>
        <v>0</v>
      </c>
      <c r="F129" s="104">
        <v>1</v>
      </c>
      <c r="G129" s="104">
        <v>1</v>
      </c>
      <c r="H129" s="104">
        <v>1</v>
      </c>
    </row>
    <row r="130" spans="1:8" x14ac:dyDescent="0.25">
      <c r="C130" s="39" t="s">
        <v>336</v>
      </c>
      <c r="D130" s="104">
        <f t="shared" si="9"/>
        <v>0</v>
      </c>
      <c r="E130" s="104">
        <f t="shared" si="9"/>
        <v>0</v>
      </c>
      <c r="F130" s="104">
        <f>MIN(MAX(1-0.8/(1-frac_mam_6_11months+(frac_mam_6_11months*0.8)),0),1)</f>
        <v>0.19126197969113667</v>
      </c>
      <c r="G130" s="104">
        <f>MIN(MAX(1-0.8/(1-frac_mam_12_23months+(frac_mam_12_23months*0.8)),0),1)</f>
        <v>0.19313393967166625</v>
      </c>
      <c r="H130" s="104">
        <f>MIN(MAX(1-0.8/(1-frac_mam_24_59months+(frac_mam_24_59months*0.8)),0),1)</f>
        <v>0.19641106564514077</v>
      </c>
    </row>
    <row r="131" spans="1:8" x14ac:dyDescent="0.25">
      <c r="A131" s="39" t="s">
        <v>175</v>
      </c>
      <c r="B131" s="39" t="s">
        <v>84</v>
      </c>
      <c r="C131" s="39" t="s">
        <v>334</v>
      </c>
      <c r="D131" s="104">
        <f t="shared" ref="D131" si="10">IF($C76="Affected fraction",D76,IF(D76=1,1,D76*0.9))</f>
        <v>1</v>
      </c>
      <c r="E131" s="104">
        <f t="shared" si="9"/>
        <v>0</v>
      </c>
      <c r="F131" s="104">
        <f t="shared" si="9"/>
        <v>0</v>
      </c>
      <c r="G131" s="104">
        <f t="shared" si="9"/>
        <v>0</v>
      </c>
      <c r="H131" s="104">
        <f t="shared" si="9"/>
        <v>0</v>
      </c>
    </row>
    <row r="132" spans="1:8" x14ac:dyDescent="0.25">
      <c r="C132" s="39" t="s">
        <v>335</v>
      </c>
      <c r="D132" s="104">
        <v>0.16</v>
      </c>
      <c r="E132" s="104">
        <f t="shared" si="9"/>
        <v>0</v>
      </c>
      <c r="F132" s="104">
        <f t="shared" si="9"/>
        <v>0</v>
      </c>
      <c r="G132" s="104">
        <f t="shared" si="9"/>
        <v>0</v>
      </c>
      <c r="H132" s="104">
        <f t="shared" si="9"/>
        <v>0</v>
      </c>
    </row>
    <row r="133" spans="1:8" x14ac:dyDescent="0.25">
      <c r="A133" s="39" t="s">
        <v>173</v>
      </c>
      <c r="B133" s="39" t="s">
        <v>84</v>
      </c>
      <c r="C133" s="39" t="s">
        <v>334</v>
      </c>
      <c r="D133" s="104">
        <f t="shared" ref="D133" si="11">IF($C78="Affected fraction",D78,IF(D78=1,1,D78*0.9))</f>
        <v>1</v>
      </c>
      <c r="E133" s="104">
        <f t="shared" si="9"/>
        <v>0</v>
      </c>
      <c r="F133" s="104">
        <f t="shared" si="9"/>
        <v>0</v>
      </c>
      <c r="G133" s="104">
        <f t="shared" si="9"/>
        <v>0</v>
      </c>
      <c r="H133" s="104">
        <f t="shared" si="9"/>
        <v>0</v>
      </c>
    </row>
    <row r="134" spans="1:8" x14ac:dyDescent="0.25">
      <c r="C134" s="39" t="s">
        <v>335</v>
      </c>
      <c r="D134" s="104">
        <v>0.16</v>
      </c>
      <c r="E134" s="104">
        <f t="shared" si="9"/>
        <v>0</v>
      </c>
      <c r="F134" s="104">
        <f t="shared" si="9"/>
        <v>0</v>
      </c>
      <c r="G134" s="104">
        <f t="shared" si="9"/>
        <v>0</v>
      </c>
      <c r="H134" s="104">
        <f t="shared" si="9"/>
        <v>0</v>
      </c>
    </row>
    <row r="135" spans="1:8" x14ac:dyDescent="0.25">
      <c r="A135" s="39" t="s">
        <v>174</v>
      </c>
      <c r="B135" s="39" t="s">
        <v>84</v>
      </c>
      <c r="C135" s="39" t="s">
        <v>334</v>
      </c>
      <c r="D135" s="104">
        <f t="shared" ref="D135" si="12">IF($C80="Affected fraction",D80,IF(D80=1,1,D80*0.9))</f>
        <v>1</v>
      </c>
      <c r="E135" s="104">
        <f t="shared" si="9"/>
        <v>0</v>
      </c>
      <c r="F135" s="104">
        <f t="shared" si="9"/>
        <v>0</v>
      </c>
      <c r="G135" s="104">
        <f t="shared" si="9"/>
        <v>0</v>
      </c>
      <c r="H135" s="104">
        <f t="shared" si="9"/>
        <v>0</v>
      </c>
    </row>
    <row r="136" spans="1:8" x14ac:dyDescent="0.25">
      <c r="C136" s="39" t="s">
        <v>335</v>
      </c>
      <c r="D136" s="104">
        <v>0.16</v>
      </c>
      <c r="E136" s="104">
        <f t="shared" si="9"/>
        <v>0</v>
      </c>
      <c r="F136" s="104">
        <f t="shared" si="9"/>
        <v>0</v>
      </c>
      <c r="G136" s="104">
        <f t="shared" si="9"/>
        <v>0</v>
      </c>
      <c r="H136" s="104">
        <f t="shared" si="9"/>
        <v>0</v>
      </c>
    </row>
    <row r="137" spans="1:8" x14ac:dyDescent="0.25">
      <c r="A137" s="39" t="s">
        <v>197</v>
      </c>
      <c r="B137" s="39" t="s">
        <v>87</v>
      </c>
      <c r="C137" s="39" t="s">
        <v>334</v>
      </c>
      <c r="D137" s="104">
        <v>1</v>
      </c>
      <c r="E137" s="104">
        <v>1</v>
      </c>
      <c r="F137" s="104">
        <v>1</v>
      </c>
      <c r="G137" s="104">
        <v>1</v>
      </c>
      <c r="H137" s="104">
        <v>1</v>
      </c>
    </row>
    <row r="138" spans="1:8" x14ac:dyDescent="0.25">
      <c r="C138" s="39" t="s">
        <v>335</v>
      </c>
      <c r="D138" s="104">
        <v>0.51</v>
      </c>
      <c r="E138" s="104">
        <v>0.51</v>
      </c>
      <c r="F138" s="104">
        <v>0.51</v>
      </c>
      <c r="G138" s="104">
        <v>0.51</v>
      </c>
      <c r="H138" s="104">
        <v>0.51</v>
      </c>
    </row>
    <row r="139" spans="1:8" x14ac:dyDescent="0.25">
      <c r="C139" s="39" t="s">
        <v>336</v>
      </c>
      <c r="D139" s="104">
        <v>0</v>
      </c>
      <c r="E139" s="104">
        <v>0</v>
      </c>
      <c r="F139" s="104">
        <v>0</v>
      </c>
      <c r="G139" s="104">
        <v>0</v>
      </c>
      <c r="H139" s="104">
        <v>0</v>
      </c>
    </row>
    <row r="140" spans="1:8" x14ac:dyDescent="0.25">
      <c r="A140" s="39" t="s">
        <v>198</v>
      </c>
      <c r="B140" s="39" t="s">
        <v>87</v>
      </c>
      <c r="C140" s="39" t="s">
        <v>334</v>
      </c>
      <c r="D140" s="104">
        <v>1</v>
      </c>
      <c r="E140" s="104">
        <v>1</v>
      </c>
      <c r="F140" s="104">
        <v>1</v>
      </c>
      <c r="G140" s="104">
        <v>1</v>
      </c>
      <c r="H140" s="104">
        <v>1</v>
      </c>
    </row>
    <row r="141" spans="1:8" x14ac:dyDescent="0.25">
      <c r="C141" s="39" t="s">
        <v>335</v>
      </c>
      <c r="D141" s="104">
        <v>0</v>
      </c>
      <c r="E141" s="104">
        <v>0</v>
      </c>
      <c r="F141" s="104">
        <v>0</v>
      </c>
      <c r="G141" s="104">
        <v>0</v>
      </c>
      <c r="H141" s="104">
        <v>0</v>
      </c>
    </row>
    <row r="142" spans="1:8" x14ac:dyDescent="0.25">
      <c r="C142" s="39" t="s">
        <v>336</v>
      </c>
      <c r="D142" s="104">
        <v>0</v>
      </c>
      <c r="E142" s="104">
        <v>0</v>
      </c>
      <c r="F142" s="104">
        <v>0</v>
      </c>
      <c r="G142" s="104">
        <v>0</v>
      </c>
      <c r="H142" s="104">
        <v>0</v>
      </c>
    </row>
    <row r="143" spans="1:8" x14ac:dyDescent="0.25">
      <c r="A143" s="39" t="s">
        <v>196</v>
      </c>
      <c r="B143" s="39" t="s">
        <v>87</v>
      </c>
      <c r="C143" s="39" t="s">
        <v>334</v>
      </c>
      <c r="D143" s="104">
        <v>1</v>
      </c>
      <c r="E143" s="104">
        <v>1</v>
      </c>
      <c r="F143" s="104">
        <v>1</v>
      </c>
      <c r="G143" s="104">
        <v>1</v>
      </c>
      <c r="H143" s="104">
        <v>1</v>
      </c>
    </row>
    <row r="144" spans="1:8" x14ac:dyDescent="0.25">
      <c r="C144" s="39" t="s">
        <v>335</v>
      </c>
      <c r="D144" s="104">
        <v>0</v>
      </c>
      <c r="E144" s="104">
        <v>0</v>
      </c>
      <c r="F144" s="104">
        <v>0</v>
      </c>
      <c r="G144" s="104">
        <v>0</v>
      </c>
      <c r="H144" s="104">
        <v>0</v>
      </c>
    </row>
    <row r="145" spans="1:8" x14ac:dyDescent="0.25">
      <c r="C145" s="39" t="s">
        <v>336</v>
      </c>
      <c r="D145" s="104">
        <v>0</v>
      </c>
      <c r="E145" s="104">
        <v>0</v>
      </c>
      <c r="F145" s="104">
        <v>0</v>
      </c>
      <c r="G145" s="104">
        <v>0</v>
      </c>
      <c r="H145" s="104">
        <v>0</v>
      </c>
    </row>
    <row r="146" spans="1:8" x14ac:dyDescent="0.25">
      <c r="A146" s="39" t="s">
        <v>195</v>
      </c>
      <c r="B146" s="39" t="s">
        <v>87</v>
      </c>
      <c r="C146" s="39" t="s">
        <v>334</v>
      </c>
      <c r="D146" s="104">
        <v>1</v>
      </c>
      <c r="E146" s="104">
        <v>1</v>
      </c>
      <c r="F146" s="104">
        <v>1</v>
      </c>
      <c r="G146" s="104">
        <v>1</v>
      </c>
      <c r="H146" s="104">
        <v>1</v>
      </c>
    </row>
    <row r="147" spans="1:8" x14ac:dyDescent="0.25">
      <c r="C147" s="39" t="s">
        <v>335</v>
      </c>
      <c r="D147" s="104">
        <v>0</v>
      </c>
      <c r="E147" s="104">
        <v>0</v>
      </c>
      <c r="F147" s="104">
        <v>0</v>
      </c>
      <c r="G147" s="104">
        <v>0</v>
      </c>
      <c r="H147" s="104">
        <v>0</v>
      </c>
    </row>
    <row r="148" spans="1:8" x14ac:dyDescent="0.25">
      <c r="C148" s="39" t="s">
        <v>336</v>
      </c>
      <c r="D148" s="104">
        <v>0</v>
      </c>
      <c r="E148" s="104">
        <v>0</v>
      </c>
      <c r="F148" s="104">
        <v>0</v>
      </c>
      <c r="G148" s="104">
        <v>0</v>
      </c>
      <c r="H148" s="104">
        <v>0</v>
      </c>
    </row>
    <row r="149" spans="1:8" x14ac:dyDescent="0.25">
      <c r="A149" s="39" t="s">
        <v>194</v>
      </c>
      <c r="B149" s="39" t="s">
        <v>87</v>
      </c>
      <c r="C149" s="39" t="s">
        <v>334</v>
      </c>
      <c r="D149" s="104">
        <v>1</v>
      </c>
      <c r="E149" s="104">
        <v>1</v>
      </c>
      <c r="F149" s="104">
        <v>1</v>
      </c>
      <c r="G149" s="104">
        <v>1</v>
      </c>
      <c r="H149" s="104">
        <v>1</v>
      </c>
    </row>
    <row r="150" spans="1:8" x14ac:dyDescent="0.25">
      <c r="C150" s="39" t="s">
        <v>335</v>
      </c>
      <c r="D150" s="104">
        <v>0</v>
      </c>
      <c r="E150" s="104">
        <v>0</v>
      </c>
      <c r="F150" s="104">
        <v>0</v>
      </c>
      <c r="G150" s="104">
        <v>0</v>
      </c>
      <c r="H150" s="104">
        <v>0</v>
      </c>
    </row>
    <row r="151" spans="1:8" x14ac:dyDescent="0.25">
      <c r="C151" s="39" t="s">
        <v>336</v>
      </c>
      <c r="D151" s="104">
        <v>0</v>
      </c>
      <c r="E151" s="104">
        <v>0</v>
      </c>
      <c r="F151" s="104">
        <v>0</v>
      </c>
      <c r="G151" s="104">
        <v>0</v>
      </c>
      <c r="H151" s="104">
        <v>0</v>
      </c>
    </row>
    <row r="152" spans="1:8" x14ac:dyDescent="0.25">
      <c r="A152" s="39" t="s">
        <v>200</v>
      </c>
      <c r="B152" s="39" t="s">
        <v>87</v>
      </c>
      <c r="C152" s="39" t="s">
        <v>334</v>
      </c>
      <c r="D152" s="104">
        <f t="shared" ref="D152:H153" si="13">IF($C97="Affected fraction",D97,IF(D97=1,1,D97*0.9))</f>
        <v>0</v>
      </c>
      <c r="E152" s="104">
        <f t="shared" si="13"/>
        <v>1</v>
      </c>
      <c r="F152" s="104">
        <f t="shared" si="13"/>
        <v>1</v>
      </c>
      <c r="G152" s="104">
        <f t="shared" si="13"/>
        <v>1</v>
      </c>
      <c r="H152" s="104">
        <f t="shared" si="13"/>
        <v>1</v>
      </c>
    </row>
    <row r="153" spans="1:8" x14ac:dyDescent="0.25">
      <c r="C153" s="39" t="s">
        <v>335</v>
      </c>
      <c r="D153" s="104">
        <f t="shared" si="13"/>
        <v>0</v>
      </c>
      <c r="E153" s="104">
        <f t="shared" si="13"/>
        <v>0</v>
      </c>
      <c r="F153" s="104">
        <f t="shared" si="13"/>
        <v>0</v>
      </c>
      <c r="G153" s="104">
        <f t="shared" si="13"/>
        <v>0</v>
      </c>
      <c r="H153" s="104">
        <f t="shared" si="13"/>
        <v>0</v>
      </c>
    </row>
    <row r="154" spans="1:8" x14ac:dyDescent="0.25">
      <c r="C154" s="39" t="s">
        <v>336</v>
      </c>
      <c r="D154" s="104">
        <v>0.1</v>
      </c>
      <c r="E154" s="104">
        <v>0.1</v>
      </c>
      <c r="F154" s="104">
        <v>0.1</v>
      </c>
      <c r="G154" s="104">
        <v>0.1</v>
      </c>
      <c r="H154" s="104">
        <v>0.1</v>
      </c>
    </row>
    <row r="155" spans="1:8" x14ac:dyDescent="0.25">
      <c r="B155" s="39" t="s">
        <v>88</v>
      </c>
      <c r="C155" s="39" t="s">
        <v>334</v>
      </c>
      <c r="D155" s="104">
        <v>0</v>
      </c>
      <c r="E155" s="104">
        <v>1</v>
      </c>
      <c r="F155" s="104">
        <v>1</v>
      </c>
      <c r="G155" s="104">
        <v>1</v>
      </c>
      <c r="H155" s="104">
        <v>1</v>
      </c>
    </row>
    <row r="156" spans="1:8" x14ac:dyDescent="0.25">
      <c r="C156" s="39" t="s">
        <v>335</v>
      </c>
      <c r="D156" s="104">
        <v>0</v>
      </c>
      <c r="E156" s="104">
        <v>0</v>
      </c>
      <c r="F156" s="104">
        <v>0</v>
      </c>
      <c r="G156" s="104">
        <v>0</v>
      </c>
      <c r="H156" s="104">
        <v>0</v>
      </c>
    </row>
    <row r="157" spans="1:8" x14ac:dyDescent="0.25">
      <c r="C157" s="39" t="s">
        <v>336</v>
      </c>
      <c r="D157" s="104">
        <v>0</v>
      </c>
      <c r="E157" s="104">
        <v>0</v>
      </c>
      <c r="F157" s="104">
        <v>0</v>
      </c>
      <c r="G157" s="104">
        <v>0</v>
      </c>
      <c r="H157" s="104">
        <v>0</v>
      </c>
    </row>
    <row r="158" spans="1:8" x14ac:dyDescent="0.25">
      <c r="A158" s="39" t="s">
        <v>191</v>
      </c>
      <c r="B158" s="39" t="s">
        <v>87</v>
      </c>
      <c r="C158" s="39" t="s">
        <v>334</v>
      </c>
      <c r="D158" s="104">
        <v>1</v>
      </c>
      <c r="E158" s="104">
        <v>1</v>
      </c>
      <c r="F158" s="104">
        <v>1</v>
      </c>
      <c r="G158" s="104">
        <v>1</v>
      </c>
      <c r="H158" s="104">
        <v>1</v>
      </c>
    </row>
    <row r="159" spans="1:8" x14ac:dyDescent="0.25">
      <c r="C159" s="39" t="s">
        <v>335</v>
      </c>
      <c r="D159" s="104">
        <v>0.8</v>
      </c>
      <c r="E159" s="104">
        <v>0.8</v>
      </c>
      <c r="F159" s="104">
        <v>0.8</v>
      </c>
      <c r="G159" s="104">
        <v>0.8</v>
      </c>
      <c r="H159" s="104">
        <v>0.8</v>
      </c>
    </row>
    <row r="160" spans="1:8" x14ac:dyDescent="0.25">
      <c r="A160" s="39" t="s">
        <v>199</v>
      </c>
      <c r="B160" s="39" t="s">
        <v>87</v>
      </c>
      <c r="C160" s="39" t="s">
        <v>334</v>
      </c>
      <c r="D160" s="104">
        <v>1</v>
      </c>
      <c r="E160" s="104">
        <v>1</v>
      </c>
      <c r="F160" s="104">
        <v>1</v>
      </c>
      <c r="G160" s="104">
        <v>1</v>
      </c>
      <c r="H160" s="104">
        <v>1</v>
      </c>
    </row>
    <row r="161" spans="1:8" x14ac:dyDescent="0.25">
      <c r="C161" s="39" t="s">
        <v>335</v>
      </c>
      <c r="D161" s="104">
        <v>0.85</v>
      </c>
      <c r="E161" s="104">
        <v>0.85</v>
      </c>
      <c r="F161" s="104">
        <v>0.85</v>
      </c>
      <c r="G161" s="104">
        <v>0.85</v>
      </c>
      <c r="H161" s="104">
        <v>0.85</v>
      </c>
    </row>
    <row r="162" spans="1:8" x14ac:dyDescent="0.25">
      <c r="A162" s="39" t="s">
        <v>184</v>
      </c>
      <c r="B162" s="39" t="s">
        <v>82</v>
      </c>
      <c r="C162" s="39" t="s">
        <v>334</v>
      </c>
      <c r="D162" s="104">
        <v>1</v>
      </c>
      <c r="E162" s="104">
        <v>0</v>
      </c>
      <c r="F162" s="104">
        <v>0</v>
      </c>
      <c r="G162" s="104">
        <v>0</v>
      </c>
      <c r="H162" s="104">
        <v>0</v>
      </c>
    </row>
    <row r="163" spans="1:8" x14ac:dyDescent="0.25">
      <c r="C163" s="39" t="s">
        <v>335</v>
      </c>
      <c r="D163" s="104">
        <v>0.47</v>
      </c>
      <c r="E163" s="104">
        <v>0</v>
      </c>
      <c r="F163" s="104">
        <v>0</v>
      </c>
      <c r="G163" s="104">
        <v>0</v>
      </c>
      <c r="H163" s="104">
        <v>0</v>
      </c>
    </row>
  </sheetData>
  <sheetProtection algorithmName="SHA-512" hashValue="mSmAxsTw8HQgdfksccvSbO3FfYHSL58wPknHKROHcrRXVqH2D9ZE3NsYmThoNfqT3Oasx35yMpn4fyHy1/06GA==" saltValue="MmVhitxZkdjAzTIfP+hZ0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26953125" style="27" customWidth="1"/>
    <col min="8" max="16384" width="12.7265625" style="27"/>
  </cols>
  <sheetData>
    <row r="1" spans="1:8" ht="13" x14ac:dyDescent="0.3">
      <c r="A1" s="41" t="s">
        <v>160</v>
      </c>
      <c r="B1" s="41" t="s">
        <v>333</v>
      </c>
      <c r="C1" s="41"/>
      <c r="D1" s="29" t="s">
        <v>122</v>
      </c>
      <c r="E1" s="29" t="s">
        <v>123</v>
      </c>
      <c r="F1" s="29" t="s">
        <v>124</v>
      </c>
      <c r="G1" s="29" t="s">
        <v>125</v>
      </c>
      <c r="H1" s="29"/>
    </row>
    <row r="2" spans="1:8" x14ac:dyDescent="0.25">
      <c r="A2" s="31" t="s">
        <v>169</v>
      </c>
      <c r="B2" s="27" t="s">
        <v>104</v>
      </c>
      <c r="C2" s="31" t="s">
        <v>334</v>
      </c>
      <c r="D2" s="104">
        <v>1</v>
      </c>
      <c r="E2" s="104">
        <v>1</v>
      </c>
      <c r="F2" s="104">
        <v>1</v>
      </c>
      <c r="G2" s="104">
        <v>1</v>
      </c>
      <c r="H2" s="72"/>
    </row>
    <row r="3" spans="1:8" x14ac:dyDescent="0.25">
      <c r="C3" s="27" t="s">
        <v>335</v>
      </c>
      <c r="D3" s="104">
        <v>0</v>
      </c>
      <c r="E3" s="104">
        <v>0</v>
      </c>
      <c r="F3" s="104">
        <v>0</v>
      </c>
      <c r="G3" s="104">
        <v>0</v>
      </c>
      <c r="H3" s="31"/>
    </row>
    <row r="4" spans="1:8" x14ac:dyDescent="0.25">
      <c r="A4" s="31" t="s">
        <v>188</v>
      </c>
      <c r="B4" s="27" t="s">
        <v>104</v>
      </c>
      <c r="C4" s="31" t="s">
        <v>334</v>
      </c>
      <c r="D4" s="104">
        <v>1</v>
      </c>
      <c r="E4" s="104">
        <v>1</v>
      </c>
      <c r="F4" s="104">
        <v>1</v>
      </c>
      <c r="G4" s="104">
        <v>1</v>
      </c>
      <c r="H4" s="31"/>
    </row>
    <row r="5" spans="1:8" x14ac:dyDescent="0.25">
      <c r="C5" s="27" t="s">
        <v>335</v>
      </c>
      <c r="D5" s="104">
        <v>0.59</v>
      </c>
      <c r="E5" s="104">
        <v>0.59</v>
      </c>
      <c r="F5" s="104">
        <v>0.59</v>
      </c>
      <c r="G5" s="104">
        <v>0.59</v>
      </c>
      <c r="H5" s="72"/>
    </row>
    <row r="6" spans="1:8" x14ac:dyDescent="0.25">
      <c r="A6" s="31" t="s">
        <v>187</v>
      </c>
      <c r="B6" s="27" t="s">
        <v>104</v>
      </c>
      <c r="C6" s="31" t="s">
        <v>334</v>
      </c>
      <c r="D6" s="104">
        <v>1</v>
      </c>
      <c r="E6" s="104">
        <v>1</v>
      </c>
      <c r="F6" s="104">
        <v>1</v>
      </c>
      <c r="G6" s="104">
        <v>1</v>
      </c>
      <c r="H6" s="72"/>
    </row>
    <row r="7" spans="1:8" x14ac:dyDescent="0.25">
      <c r="C7" s="27" t="s">
        <v>335</v>
      </c>
      <c r="D7" s="104">
        <v>0.59</v>
      </c>
      <c r="E7" s="104">
        <v>0.59</v>
      </c>
      <c r="F7" s="104">
        <v>0.59</v>
      </c>
      <c r="G7" s="104">
        <v>0.59</v>
      </c>
      <c r="H7" s="31"/>
    </row>
    <row r="9" spans="1:8" s="106" customFormat="1" ht="13" x14ac:dyDescent="0.3">
      <c r="A9" s="106" t="s">
        <v>331</v>
      </c>
    </row>
    <row r="10" spans="1:8" ht="13" x14ac:dyDescent="0.3">
      <c r="A10" s="41" t="s">
        <v>160</v>
      </c>
      <c r="B10" s="41" t="s">
        <v>333</v>
      </c>
      <c r="C10" s="41"/>
      <c r="D10" s="29" t="s">
        <v>122</v>
      </c>
      <c r="E10" s="29" t="s">
        <v>123</v>
      </c>
      <c r="F10" s="29" t="s">
        <v>124</v>
      </c>
      <c r="G10" s="29" t="s">
        <v>125</v>
      </c>
    </row>
    <row r="11" spans="1:8" x14ac:dyDescent="0.25">
      <c r="A11" s="31" t="s">
        <v>169</v>
      </c>
      <c r="B11" s="27" t="s">
        <v>104</v>
      </c>
      <c r="C11" s="31" t="s">
        <v>334</v>
      </c>
      <c r="D11" s="104">
        <f>IF($C2="Affected fraction",D2,IF(D2=1,1,D2*0.9))</f>
        <v>1</v>
      </c>
      <c r="E11" s="104">
        <f t="shared" ref="E11:G11" si="0">IF($C2="Affected fraction",E2,IF(E2=1,1,E2*0.9))</f>
        <v>1</v>
      </c>
      <c r="F11" s="104">
        <f t="shared" si="0"/>
        <v>1</v>
      </c>
      <c r="G11" s="104">
        <f t="shared" si="0"/>
        <v>1</v>
      </c>
    </row>
    <row r="12" spans="1:8" x14ac:dyDescent="0.25">
      <c r="C12" s="27" t="s">
        <v>335</v>
      </c>
      <c r="D12" s="104">
        <v>0</v>
      </c>
      <c r="E12" s="104">
        <v>0</v>
      </c>
      <c r="F12" s="104">
        <v>0</v>
      </c>
      <c r="G12" s="104">
        <v>0</v>
      </c>
    </row>
    <row r="13" spans="1:8" x14ac:dyDescent="0.25">
      <c r="A13" s="31" t="s">
        <v>188</v>
      </c>
      <c r="B13" s="27" t="s">
        <v>104</v>
      </c>
      <c r="C13" s="31" t="s">
        <v>334</v>
      </c>
      <c r="D13" s="104">
        <f t="shared" ref="D13:G16" si="1">IF($C4="Affected fraction",D4,IF(D4=1,1,D4*0.9))</f>
        <v>1</v>
      </c>
      <c r="E13" s="104">
        <f t="shared" si="1"/>
        <v>1</v>
      </c>
      <c r="F13" s="104">
        <f t="shared" si="1"/>
        <v>1</v>
      </c>
      <c r="G13" s="104">
        <f t="shared" si="1"/>
        <v>1</v>
      </c>
    </row>
    <row r="14" spans="1:8" x14ac:dyDescent="0.25">
      <c r="C14" s="27" t="s">
        <v>335</v>
      </c>
      <c r="D14" s="104">
        <f t="shared" si="1"/>
        <v>0.53100000000000003</v>
      </c>
      <c r="E14" s="104">
        <f t="shared" si="1"/>
        <v>0.53100000000000003</v>
      </c>
      <c r="F14" s="104">
        <f t="shared" si="1"/>
        <v>0.53100000000000003</v>
      </c>
      <c r="G14" s="104">
        <f t="shared" si="1"/>
        <v>0.53100000000000003</v>
      </c>
    </row>
    <row r="15" spans="1:8" x14ac:dyDescent="0.25">
      <c r="A15" s="31" t="s">
        <v>187</v>
      </c>
      <c r="B15" s="27" t="s">
        <v>104</v>
      </c>
      <c r="C15" s="31" t="s">
        <v>334</v>
      </c>
      <c r="D15" s="104">
        <f t="shared" si="1"/>
        <v>1</v>
      </c>
      <c r="E15" s="104">
        <f t="shared" si="1"/>
        <v>1</v>
      </c>
      <c r="F15" s="104">
        <f t="shared" si="1"/>
        <v>1</v>
      </c>
      <c r="G15" s="104">
        <f t="shared" si="1"/>
        <v>1</v>
      </c>
    </row>
    <row r="16" spans="1:8" x14ac:dyDescent="0.25">
      <c r="C16" s="27" t="s">
        <v>335</v>
      </c>
      <c r="D16" s="104">
        <f t="shared" si="1"/>
        <v>0.53100000000000003</v>
      </c>
      <c r="E16" s="104">
        <f t="shared" si="1"/>
        <v>0.53100000000000003</v>
      </c>
      <c r="F16" s="104">
        <f t="shared" si="1"/>
        <v>0.53100000000000003</v>
      </c>
      <c r="G16" s="104">
        <f t="shared" si="1"/>
        <v>0.53100000000000003</v>
      </c>
    </row>
    <row r="18" spans="1:7" s="106" customFormat="1" ht="13" x14ac:dyDescent="0.3">
      <c r="A18" s="106" t="s">
        <v>332</v>
      </c>
    </row>
    <row r="19" spans="1:7" ht="13" x14ac:dyDescent="0.3">
      <c r="A19" s="41" t="s">
        <v>160</v>
      </c>
      <c r="B19" s="41" t="s">
        <v>333</v>
      </c>
      <c r="C19" s="41"/>
      <c r="D19" s="29" t="s">
        <v>122</v>
      </c>
      <c r="E19" s="29" t="s">
        <v>123</v>
      </c>
      <c r="F19" s="29" t="s">
        <v>124</v>
      </c>
      <c r="G19" s="29" t="s">
        <v>125</v>
      </c>
    </row>
    <row r="20" spans="1:7" x14ac:dyDescent="0.25">
      <c r="A20" s="31" t="s">
        <v>169</v>
      </c>
      <c r="B20" s="27" t="s">
        <v>104</v>
      </c>
      <c r="C20" s="31" t="s">
        <v>334</v>
      </c>
      <c r="D20" s="104">
        <f>IF($C2="Affected fraction",D2,IF(D2=1,1,D2*1.05))</f>
        <v>1</v>
      </c>
      <c r="E20" s="104">
        <f t="shared" ref="E20:G20" si="2">IF($C2="Affected fraction",E2,IF(E2=1,1,E2*1.05))</f>
        <v>1</v>
      </c>
      <c r="F20" s="104">
        <f t="shared" si="2"/>
        <v>1</v>
      </c>
      <c r="G20" s="104">
        <f t="shared" si="2"/>
        <v>1</v>
      </c>
    </row>
    <row r="21" spans="1:7" x14ac:dyDescent="0.25">
      <c r="C21" s="27" t="s">
        <v>335</v>
      </c>
      <c r="D21" s="104">
        <v>0</v>
      </c>
      <c r="E21" s="104">
        <v>0</v>
      </c>
      <c r="F21" s="104">
        <v>0</v>
      </c>
      <c r="G21" s="104">
        <v>0</v>
      </c>
    </row>
    <row r="22" spans="1:7" x14ac:dyDescent="0.25">
      <c r="A22" s="31" t="s">
        <v>188</v>
      </c>
      <c r="B22" s="27" t="s">
        <v>104</v>
      </c>
      <c r="C22" s="31" t="s">
        <v>334</v>
      </c>
      <c r="D22" s="104">
        <f t="shared" ref="D22:G22" si="3">IF($C4="Affected fraction",D4,IF(D4=1,1,D4*1.05))</f>
        <v>1</v>
      </c>
      <c r="E22" s="104">
        <f t="shared" si="3"/>
        <v>1</v>
      </c>
      <c r="F22" s="104">
        <f t="shared" si="3"/>
        <v>1</v>
      </c>
      <c r="G22" s="104">
        <f t="shared" si="3"/>
        <v>1</v>
      </c>
    </row>
    <row r="23" spans="1:7" x14ac:dyDescent="0.25">
      <c r="C23" s="27" t="s">
        <v>335</v>
      </c>
      <c r="D23" s="104">
        <f>IF($C5="Affected fraction",D5,IF(D5=1,1,D5*1.1))</f>
        <v>0.64900000000000002</v>
      </c>
      <c r="E23" s="104">
        <f t="shared" ref="E23:G23" si="4">IF($C5="Affected fraction",E5,IF(E5=1,1,E5*1.1))</f>
        <v>0.64900000000000002</v>
      </c>
      <c r="F23" s="104">
        <f t="shared" si="4"/>
        <v>0.64900000000000002</v>
      </c>
      <c r="G23" s="104">
        <f t="shared" si="4"/>
        <v>0.64900000000000002</v>
      </c>
    </row>
    <row r="24" spans="1:7" x14ac:dyDescent="0.25">
      <c r="A24" s="31" t="s">
        <v>187</v>
      </c>
      <c r="B24" s="27" t="s">
        <v>104</v>
      </c>
      <c r="C24" s="31" t="s">
        <v>334</v>
      </c>
      <c r="D24" s="104">
        <f t="shared" ref="D24:G24" si="5">IF($C6="Affected fraction",D6,IF(D6=1,1,D6*1.05))</f>
        <v>1</v>
      </c>
      <c r="E24" s="104">
        <f t="shared" si="5"/>
        <v>1</v>
      </c>
      <c r="F24" s="104">
        <f t="shared" si="5"/>
        <v>1</v>
      </c>
      <c r="G24" s="104">
        <f t="shared" si="5"/>
        <v>1</v>
      </c>
    </row>
    <row r="25" spans="1:7" x14ac:dyDescent="0.25">
      <c r="C25" s="27" t="s">
        <v>335</v>
      </c>
      <c r="D25" s="104">
        <f>IF($C7="Affected fraction",D7,IF(D7=1,1,D7*1.1))</f>
        <v>0.64900000000000002</v>
      </c>
      <c r="E25" s="104">
        <f t="shared" ref="E25:G25" si="6">IF($C7="Affected fraction",E7,IF(E7=1,1,E7*1.1))</f>
        <v>0.64900000000000002</v>
      </c>
      <c r="F25" s="104">
        <f t="shared" si="6"/>
        <v>0.64900000000000002</v>
      </c>
      <c r="G25" s="104">
        <f t="shared" si="6"/>
        <v>0.64900000000000002</v>
      </c>
    </row>
  </sheetData>
  <sheetProtection algorithmName="SHA-512" hashValue="IWBrOJrHWVbcp8XYaxpynZp0370x76GDzF+4d473sYJPUDQnd2cD3CucNmc5+P1pIwpNubWI6pOy/yqHK4UPRQ==" saltValue="z4US8llBoJkYJ9sMmy0e8w==" spinCount="100000" sheet="1" objects="1" scenarios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2024-08-06T08:37:49Z</dcterms:modified>
</cp:coreProperties>
</file>