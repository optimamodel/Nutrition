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BC8F917-0CFB-4793-9E20-33088ACAF18F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I40" i="2"/>
  <c r="H40" i="2"/>
  <c r="G40" i="2"/>
  <c r="H39" i="2"/>
  <c r="G39" i="2"/>
  <c r="I39" i="2" s="1"/>
  <c r="H38" i="2"/>
  <c r="I38" i="2" s="1"/>
  <c r="G38" i="2"/>
  <c r="A36" i="2"/>
  <c r="A26" i="2"/>
  <c r="A25" i="2"/>
  <c r="H13" i="2"/>
  <c r="G13" i="2"/>
  <c r="I13" i="2" s="1"/>
  <c r="I12" i="2"/>
  <c r="H12" i="2"/>
  <c r="G12" i="2"/>
  <c r="H11" i="2"/>
  <c r="G11" i="2"/>
  <c r="I11" i="2" s="1"/>
  <c r="H10" i="2"/>
  <c r="I10" i="2" s="1"/>
  <c r="G10" i="2"/>
  <c r="H9" i="2"/>
  <c r="G9" i="2"/>
  <c r="H8" i="2"/>
  <c r="I8" i="2" s="1"/>
  <c r="G8" i="2"/>
  <c r="H7" i="2"/>
  <c r="G7" i="2"/>
  <c r="I7" i="2" s="1"/>
  <c r="I6" i="2"/>
  <c r="H6" i="2"/>
  <c r="G6" i="2"/>
  <c r="H5" i="2"/>
  <c r="G5" i="2"/>
  <c r="I5" i="2" s="1"/>
  <c r="H4" i="2"/>
  <c r="I4" i="2" s="1"/>
  <c r="G4" i="2"/>
  <c r="H3" i="2"/>
  <c r="G3" i="2"/>
  <c r="H2" i="2"/>
  <c r="I2" i="2" s="1"/>
  <c r="G2" i="2"/>
  <c r="A2" i="2"/>
  <c r="A40" i="2" s="1"/>
  <c r="C33" i="1"/>
  <c r="C20" i="1"/>
  <c r="A18" i="2" l="1"/>
  <c r="A32" i="2"/>
  <c r="A19" i="2"/>
  <c r="A33" i="2"/>
  <c r="A3" i="2"/>
  <c r="I9" i="2"/>
  <c r="A20" i="2"/>
  <c r="A34" i="2"/>
  <c r="A16" i="2"/>
  <c r="A27" i="2"/>
  <c r="A17" i="2"/>
  <c r="A28" i="2"/>
  <c r="I3" i="2"/>
  <c r="A24" i="2"/>
  <c r="A35" i="2"/>
  <c r="A15" i="2"/>
  <c r="A23" i="2"/>
  <c r="A31" i="2"/>
  <c r="A39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<sst xmlns="http://schemas.openxmlformats.org/spreadsheetml/2006/main" count="2101" uniqueCount="337">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</sst>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48375.50732421875</v>
      </c>
    </row>
    <row r="8" spans="1:3" ht="15" customHeight="1" x14ac:dyDescent="0.25">
      <c r="B8" s="5" t="s">
        <v>19</v>
      </c>
      <c r="C8" s="44">
        <v>3.2000000000000001E-2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0.67868072509765598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0.16</v>
      </c>
    </row>
    <row r="24" spans="1:3" ht="15" customHeight="1" x14ac:dyDescent="0.25">
      <c r="B24" s="15" t="s">
        <v>33</v>
      </c>
      <c r="C24" s="45">
        <v>0.51100000000000001</v>
      </c>
    </row>
    <row r="25" spans="1:3" ht="15" customHeight="1" x14ac:dyDescent="0.25">
      <c r="B25" s="15" t="s">
        <v>34</v>
      </c>
      <c r="C25" s="45">
        <v>0.26350000000000001</v>
      </c>
    </row>
    <row r="26" spans="1:3" ht="15" customHeight="1" x14ac:dyDescent="0.25">
      <c r="B26" s="15" t="s">
        <v>35</v>
      </c>
      <c r="C26" s="45">
        <v>6.5500000000000003E-2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0.27342300031322098</v>
      </c>
    </row>
    <row r="30" spans="1:3" ht="14.25" customHeight="1" x14ac:dyDescent="0.25">
      <c r="B30" s="25" t="s">
        <v>38</v>
      </c>
      <c r="C30" s="99">
        <v>5.2040607424200101E-2</v>
      </c>
    </row>
    <row r="31" spans="1:3" ht="14.25" customHeight="1" x14ac:dyDescent="0.25">
      <c r="B31" s="25" t="s">
        <v>39</v>
      </c>
      <c r="C31" s="99">
        <v>6.8435949585570102E-2</v>
      </c>
    </row>
    <row r="32" spans="1:3" ht="14.25" customHeight="1" x14ac:dyDescent="0.25">
      <c r="B32" s="25" t="s">
        <v>40</v>
      </c>
      <c r="C32" s="99">
        <v>0.60610044267700902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8.3748699999999996</v>
      </c>
    </row>
    <row r="38" spans="1:5" ht="15" customHeight="1" x14ac:dyDescent="0.25">
      <c r="B38" s="11" t="s">
        <v>45</v>
      </c>
      <c r="C38" s="43">
        <v>11.663259999999999</v>
      </c>
      <c r="D38" s="12"/>
      <c r="E38" s="13"/>
    </row>
    <row r="39" spans="1:5" ht="15" customHeight="1" x14ac:dyDescent="0.25">
      <c r="B39" s="11" t="s">
        <v>46</v>
      </c>
      <c r="C39" s="43">
        <v>13.54884</v>
      </c>
      <c r="D39" s="12"/>
      <c r="E39" s="12"/>
    </row>
    <row r="40" spans="1:5" ht="15" customHeight="1" x14ac:dyDescent="0.25">
      <c r="B40" s="11" t="s">
        <v>47</v>
      </c>
      <c r="C40" s="100">
        <v>0.42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9.1148799999999994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7.9498999999999993E-3</v>
      </c>
      <c r="D45" s="12"/>
    </row>
    <row r="46" spans="1:5" ht="15.75" customHeight="1" x14ac:dyDescent="0.25">
      <c r="B46" s="11" t="s">
        <v>52</v>
      </c>
      <c r="C46" s="45">
        <v>8.5420099999999999E-2</v>
      </c>
      <c r="D46" s="12"/>
    </row>
    <row r="47" spans="1:5" ht="15.75" customHeight="1" x14ac:dyDescent="0.25">
      <c r="B47" s="11" t="s">
        <v>53</v>
      </c>
      <c r="C47" s="45">
        <v>7.3440500000000006E-2</v>
      </c>
      <c r="D47" s="12"/>
      <c r="E47" s="13"/>
    </row>
    <row r="48" spans="1:5" ht="15" customHeight="1" x14ac:dyDescent="0.25">
      <c r="B48" s="11" t="s">
        <v>54</v>
      </c>
      <c r="C48" s="46">
        <v>0.83318950000000003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0.478043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7dlOQcW6u0ctZPjmwutmV2SdEbVSi5kEfYVGW7r4g/doFsZXbZwdsyCOA1o4vPmMCX9f5uEw/StPjGFeuz/mxA==" saltValue="HmBzCBCdjJsLByqC2myP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9763</v>
      </c>
      <c r="C2" s="49">
        <v>31527.5</v>
      </c>
      <c r="D2" s="49">
        <v>53634</v>
      </c>
      <c r="E2" s="49">
        <v>52833.5</v>
      </c>
      <c r="F2" s="49">
        <v>30866.5</v>
      </c>
      <c r="G2" s="17">
        <f t="shared" ref="G2:G13" si="0">C2+D2+E2+F2</f>
        <v>168861.5</v>
      </c>
      <c r="H2" s="17">
        <f t="shared" ref="H2:H13" si="1">(B2 + stillbirth*B2/(1000-stillbirth))/(1-abortion)</f>
        <v>11196.371766908944</v>
      </c>
      <c r="I2" s="17">
        <f t="shared" ref="I2:I13" si="2">G2-H2</f>
        <v>157665.12823309106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9652</v>
      </c>
      <c r="C3" s="50">
        <v>31657</v>
      </c>
      <c r="D3" s="50">
        <v>52720.5</v>
      </c>
      <c r="E3" s="50">
        <v>53963.999999999993</v>
      </c>
      <c r="F3" s="50">
        <v>32312.5</v>
      </c>
      <c r="G3" s="17">
        <f t="shared" si="0"/>
        <v>170654</v>
      </c>
      <c r="H3" s="17">
        <f t="shared" si="1"/>
        <v>11069.075109516043</v>
      </c>
      <c r="I3" s="17">
        <f t="shared" si="2"/>
        <v>159584.92489048396</v>
      </c>
    </row>
    <row r="4" spans="1:9" ht="15.75" customHeight="1" x14ac:dyDescent="0.25">
      <c r="A4" s="5">
        <f t="shared" si="3"/>
        <v>2026</v>
      </c>
      <c r="B4" s="49">
        <v>9623</v>
      </c>
      <c r="C4" s="50">
        <v>31614</v>
      </c>
      <c r="D4" s="50">
        <v>52091.5</v>
      </c>
      <c r="E4" s="50">
        <v>54724.5</v>
      </c>
      <c r="F4" s="50">
        <v>33850.5</v>
      </c>
      <c r="G4" s="17">
        <f t="shared" si="0"/>
        <v>172280.5</v>
      </c>
      <c r="H4" s="17">
        <f t="shared" si="1"/>
        <v>11035.817424251232</v>
      </c>
      <c r="I4" s="17">
        <f t="shared" si="2"/>
        <v>161244.68257574877</v>
      </c>
    </row>
    <row r="5" spans="1:9" ht="15.75" customHeight="1" x14ac:dyDescent="0.25">
      <c r="A5" s="5">
        <f t="shared" si="3"/>
        <v>2027</v>
      </c>
      <c r="B5" s="49">
        <v>9585</v>
      </c>
      <c r="C5" s="50">
        <v>31355</v>
      </c>
      <c r="D5" s="50">
        <v>51704.5</v>
      </c>
      <c r="E5" s="50">
        <v>55135.5</v>
      </c>
      <c r="F5" s="50">
        <v>35438</v>
      </c>
      <c r="G5" s="17">
        <f t="shared" si="0"/>
        <v>173633</v>
      </c>
      <c r="H5" s="17">
        <f t="shared" si="1"/>
        <v>10992.238388386995</v>
      </c>
      <c r="I5" s="17">
        <f t="shared" si="2"/>
        <v>162640.76161161301</v>
      </c>
    </row>
    <row r="6" spans="1:9" ht="15.75" customHeight="1" x14ac:dyDescent="0.25">
      <c r="A6" s="5">
        <f t="shared" si="3"/>
        <v>2028</v>
      </c>
      <c r="B6" s="49">
        <v>9521</v>
      </c>
      <c r="C6" s="50">
        <v>31118</v>
      </c>
      <c r="D6" s="50">
        <v>51406</v>
      </c>
      <c r="E6" s="50">
        <v>55303</v>
      </c>
      <c r="F6" s="50">
        <v>37007</v>
      </c>
      <c r="G6" s="17">
        <f t="shared" si="0"/>
        <v>174834</v>
      </c>
      <c r="H6" s="17">
        <f t="shared" si="1"/>
        <v>10918.842117457754</v>
      </c>
      <c r="I6" s="17">
        <f t="shared" si="2"/>
        <v>163915.15788254223</v>
      </c>
    </row>
    <row r="7" spans="1:9" ht="15.75" customHeight="1" x14ac:dyDescent="0.25">
      <c r="A7" s="5">
        <f t="shared" si="3"/>
        <v>2029</v>
      </c>
      <c r="B7" s="49">
        <v>9453</v>
      </c>
      <c r="C7" s="50">
        <v>30950</v>
      </c>
      <c r="D7" s="50">
        <v>51082</v>
      </c>
      <c r="E7" s="50">
        <v>55299.5</v>
      </c>
      <c r="F7" s="50">
        <v>38552</v>
      </c>
      <c r="G7" s="17">
        <f t="shared" si="0"/>
        <v>175883.5</v>
      </c>
      <c r="H7" s="17">
        <f t="shared" si="1"/>
        <v>10840.858579595439</v>
      </c>
      <c r="I7" s="17">
        <f t="shared" si="2"/>
        <v>165042.64142040457</v>
      </c>
    </row>
    <row r="8" spans="1:9" ht="15.75" customHeight="1" x14ac:dyDescent="0.25">
      <c r="A8" s="5">
        <f t="shared" si="3"/>
        <v>2030</v>
      </c>
      <c r="B8" s="49">
        <v>9398</v>
      </c>
      <c r="C8" s="50">
        <v>30794</v>
      </c>
      <c r="D8" s="50">
        <v>50848</v>
      </c>
      <c r="E8" s="50">
        <v>55099.5</v>
      </c>
      <c r="F8" s="50">
        <v>40102</v>
      </c>
      <c r="G8" s="17">
        <f t="shared" si="0"/>
        <v>176843.5</v>
      </c>
      <c r="H8" s="17">
        <f t="shared" si="1"/>
        <v>10777.783659265622</v>
      </c>
      <c r="I8" s="17">
        <f t="shared" si="2"/>
        <v>166065.71634073439</v>
      </c>
    </row>
    <row r="9" spans="1:9" ht="15.75" customHeight="1" x14ac:dyDescent="0.25">
      <c r="A9" s="5">
        <f t="shared" si="3"/>
        <v>2031</v>
      </c>
      <c r="B9" s="49">
        <v>9315</v>
      </c>
      <c r="C9" s="50">
        <v>30568</v>
      </c>
      <c r="D9" s="50">
        <v>50894.5</v>
      </c>
      <c r="E9" s="50">
        <v>54612</v>
      </c>
      <c r="F9" s="50">
        <v>41636</v>
      </c>
      <c r="G9" s="17">
        <f t="shared" si="0"/>
        <v>177710.5</v>
      </c>
      <c r="H9" s="17">
        <f t="shared" si="1"/>
        <v>10682.597870404263</v>
      </c>
      <c r="I9" s="17">
        <f t="shared" si="2"/>
        <v>167027.90212959575</v>
      </c>
    </row>
    <row r="10" spans="1:9" ht="15.75" customHeight="1" x14ac:dyDescent="0.25">
      <c r="A10" s="5">
        <f t="shared" si="3"/>
        <v>2032</v>
      </c>
      <c r="B10" s="49">
        <v>9281</v>
      </c>
      <c r="C10" s="50">
        <v>30302</v>
      </c>
      <c r="D10" s="50">
        <v>50999.5</v>
      </c>
      <c r="E10" s="50">
        <v>53839</v>
      </c>
      <c r="F10" s="50">
        <v>43112.5</v>
      </c>
      <c r="G10" s="17">
        <f t="shared" si="0"/>
        <v>178253</v>
      </c>
      <c r="H10" s="17">
        <f t="shared" si="1"/>
        <v>10643.606101473106</v>
      </c>
      <c r="I10" s="17">
        <f t="shared" si="2"/>
        <v>167609.39389852691</v>
      </c>
    </row>
    <row r="11" spans="1:9" ht="15.75" customHeight="1" x14ac:dyDescent="0.25">
      <c r="A11" s="5">
        <f t="shared" si="3"/>
        <v>2033</v>
      </c>
      <c r="B11" s="49">
        <v>9208</v>
      </c>
      <c r="C11" s="50">
        <v>30078.5</v>
      </c>
      <c r="D11" s="50">
        <v>50971.5</v>
      </c>
      <c r="E11" s="50">
        <v>52911.5</v>
      </c>
      <c r="F11" s="50">
        <v>44540.5</v>
      </c>
      <c r="G11" s="17">
        <f t="shared" si="0"/>
        <v>178502</v>
      </c>
      <c r="H11" s="17">
        <f t="shared" si="1"/>
        <v>10559.888479944439</v>
      </c>
      <c r="I11" s="17">
        <f t="shared" si="2"/>
        <v>167942.11152005557</v>
      </c>
    </row>
    <row r="12" spans="1:9" ht="15.75" customHeight="1" x14ac:dyDescent="0.25">
      <c r="A12" s="5">
        <f t="shared" si="3"/>
        <v>2034</v>
      </c>
      <c r="B12" s="49">
        <v>9126</v>
      </c>
      <c r="C12" s="50">
        <v>29838.5</v>
      </c>
      <c r="D12" s="50">
        <v>50917</v>
      </c>
      <c r="E12" s="50">
        <v>51957.5</v>
      </c>
      <c r="F12" s="50">
        <v>45902</v>
      </c>
      <c r="G12" s="17">
        <f t="shared" si="0"/>
        <v>178615</v>
      </c>
      <c r="H12" s="17">
        <f t="shared" si="1"/>
        <v>10465.849507816351</v>
      </c>
      <c r="I12" s="17">
        <f t="shared" si="2"/>
        <v>168149.15049218366</v>
      </c>
    </row>
    <row r="13" spans="1:9" ht="15.75" customHeight="1" x14ac:dyDescent="0.25">
      <c r="A13" s="5">
        <f t="shared" si="3"/>
        <v>2035</v>
      </c>
      <c r="B13" s="49">
        <v>9093</v>
      </c>
      <c r="C13" s="50">
        <v>29571</v>
      </c>
      <c r="D13" s="50">
        <v>50807.5</v>
      </c>
      <c r="E13" s="50">
        <v>51138</v>
      </c>
      <c r="F13" s="50">
        <v>47128</v>
      </c>
      <c r="G13" s="17">
        <f t="shared" si="0"/>
        <v>178644.5</v>
      </c>
      <c r="H13" s="17">
        <f t="shared" si="1"/>
        <v>10428.004555618461</v>
      </c>
      <c r="I13" s="17">
        <f t="shared" si="2"/>
        <v>168216.49544438155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MdRGmwIIGkJhJPKy7i+98B0kPGPPX/8/ZQUuridrYP9VbEdTsTQz8n86yJDk/BT39SAySgQJvKN242sMlX8cw==" saltValue="fa2tw34u8+4qvEWjrEL2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2.3714377321137239E-4</v>
      </c>
    </row>
    <row r="4" spans="1:8" ht="15.75" customHeight="1" x14ac:dyDescent="0.25">
      <c r="B4" s="19" t="s">
        <v>79</v>
      </c>
      <c r="C4" s="101">
        <v>6.8990142437228216E-2</v>
      </c>
    </row>
    <row r="5" spans="1:8" ht="15.75" customHeight="1" x14ac:dyDescent="0.25">
      <c r="B5" s="19" t="s">
        <v>80</v>
      </c>
      <c r="C5" s="101">
        <v>2.154879078170566E-2</v>
      </c>
    </row>
    <row r="6" spans="1:8" ht="15.75" customHeight="1" x14ac:dyDescent="0.25">
      <c r="B6" s="19" t="s">
        <v>81</v>
      </c>
      <c r="C6" s="101">
        <v>0.1476192994640973</v>
      </c>
    </row>
    <row r="7" spans="1:8" ht="15.75" customHeight="1" x14ac:dyDescent="0.25">
      <c r="B7" s="19" t="s">
        <v>82</v>
      </c>
      <c r="C7" s="101">
        <v>0.4627929717863894</v>
      </c>
    </row>
    <row r="8" spans="1:8" ht="15.75" customHeight="1" x14ac:dyDescent="0.25">
      <c r="B8" s="19" t="s">
        <v>83</v>
      </c>
      <c r="C8" s="101">
        <v>8.2448451472156015E-3</v>
      </c>
    </row>
    <row r="9" spans="1:8" ht="15.75" customHeight="1" x14ac:dyDescent="0.25">
      <c r="B9" s="19" t="s">
        <v>84</v>
      </c>
      <c r="C9" s="101">
        <v>0.21754911910386021</v>
      </c>
    </row>
    <row r="10" spans="1:8" ht="15.75" customHeight="1" x14ac:dyDescent="0.25">
      <c r="B10" s="19" t="s">
        <v>85</v>
      </c>
      <c r="C10" s="101">
        <v>7.3017687506292284E-2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0.19858224738630861</v>
      </c>
      <c r="D14" s="55">
        <v>0.19858224738630861</v>
      </c>
      <c r="E14" s="55">
        <v>0.19858224738630861</v>
      </c>
      <c r="F14" s="55">
        <v>0.19858224738630861</v>
      </c>
    </row>
    <row r="15" spans="1:8" ht="15.75" customHeight="1" x14ac:dyDescent="0.25">
      <c r="B15" s="19" t="s">
        <v>88</v>
      </c>
      <c r="C15" s="101">
        <v>0.4050345629371549</v>
      </c>
      <c r="D15" s="101">
        <v>0.4050345629371549</v>
      </c>
      <c r="E15" s="101">
        <v>0.4050345629371549</v>
      </c>
      <c r="F15" s="101">
        <v>0.4050345629371549</v>
      </c>
    </row>
    <row r="16" spans="1:8" ht="15.75" customHeight="1" x14ac:dyDescent="0.25">
      <c r="B16" s="19" t="s">
        <v>89</v>
      </c>
      <c r="C16" s="101">
        <v>4.0658347197660587E-2</v>
      </c>
      <c r="D16" s="101">
        <v>4.0658347197660587E-2</v>
      </c>
      <c r="E16" s="101">
        <v>4.0658347197660587E-2</v>
      </c>
      <c r="F16" s="101">
        <v>4.0658347197660587E-2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1.085726120409349E-2</v>
      </c>
      <c r="D19" s="101">
        <v>1.085726120409349E-2</v>
      </c>
      <c r="E19" s="101">
        <v>1.085726120409349E-2</v>
      </c>
      <c r="F19" s="101">
        <v>1.085726120409349E-2</v>
      </c>
    </row>
    <row r="20" spans="1:8" ht="15.75" customHeight="1" x14ac:dyDescent="0.25">
      <c r="B20" s="19" t="s">
        <v>93</v>
      </c>
      <c r="C20" s="101">
        <v>5.2607638499198479E-2</v>
      </c>
      <c r="D20" s="101">
        <v>5.2607638499198479E-2</v>
      </c>
      <c r="E20" s="101">
        <v>5.2607638499198479E-2</v>
      </c>
      <c r="F20" s="101">
        <v>5.2607638499198479E-2</v>
      </c>
    </row>
    <row r="21" spans="1:8" ht="15.75" customHeight="1" x14ac:dyDescent="0.25">
      <c r="B21" s="19" t="s">
        <v>94</v>
      </c>
      <c r="C21" s="101">
        <v>0.2133313545305191</v>
      </c>
      <c r="D21" s="101">
        <v>0.2133313545305191</v>
      </c>
      <c r="E21" s="101">
        <v>0.2133313545305191</v>
      </c>
      <c r="F21" s="101">
        <v>0.2133313545305191</v>
      </c>
    </row>
    <row r="22" spans="1:8" ht="15.75" customHeight="1" x14ac:dyDescent="0.25">
      <c r="B22" s="19" t="s">
        <v>95</v>
      </c>
      <c r="C22" s="101">
        <v>7.8928588245065115E-2</v>
      </c>
      <c r="D22" s="101">
        <v>7.8928588245065115E-2</v>
      </c>
      <c r="E22" s="101">
        <v>7.8928588245065115E-2</v>
      </c>
      <c r="F22" s="101">
        <v>7.8928588245065115E-2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8.8581064000000001E-2</v>
      </c>
    </row>
    <row r="27" spans="1:8" ht="15.75" customHeight="1" x14ac:dyDescent="0.25">
      <c r="B27" s="19" t="s">
        <v>102</v>
      </c>
      <c r="C27" s="101">
        <v>8.3095249999999999E-3</v>
      </c>
    </row>
    <row r="28" spans="1:8" ht="15.75" customHeight="1" x14ac:dyDescent="0.25">
      <c r="B28" s="19" t="s">
        <v>103</v>
      </c>
      <c r="C28" s="101">
        <v>0.157741201</v>
      </c>
    </row>
    <row r="29" spans="1:8" ht="15.75" customHeight="1" x14ac:dyDescent="0.25">
      <c r="B29" s="19" t="s">
        <v>104</v>
      </c>
      <c r="C29" s="101">
        <v>0.16874623</v>
      </c>
    </row>
    <row r="30" spans="1:8" ht="15.75" customHeight="1" x14ac:dyDescent="0.25">
      <c r="B30" s="19" t="s">
        <v>2</v>
      </c>
      <c r="C30" s="101">
        <v>0.10641809300000001</v>
      </c>
    </row>
    <row r="31" spans="1:8" ht="15.75" customHeight="1" x14ac:dyDescent="0.25">
      <c r="B31" s="19" t="s">
        <v>105</v>
      </c>
      <c r="C31" s="101">
        <v>0.109242019</v>
      </c>
    </row>
    <row r="32" spans="1:8" ht="15.75" customHeight="1" x14ac:dyDescent="0.25">
      <c r="B32" s="19" t="s">
        <v>106</v>
      </c>
      <c r="C32" s="101">
        <v>1.8835845E-2</v>
      </c>
    </row>
    <row r="33" spans="2:3" ht="15.75" customHeight="1" x14ac:dyDescent="0.25">
      <c r="B33" s="19" t="s">
        <v>107</v>
      </c>
      <c r="C33" s="101">
        <v>8.4593191999999998E-2</v>
      </c>
    </row>
    <row r="34" spans="2:3" ht="15.75" customHeight="1" x14ac:dyDescent="0.25">
      <c r="B34" s="19" t="s">
        <v>108</v>
      </c>
      <c r="C34" s="101">
        <v>0.25753283100000002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FB1yxBYQwOVMrW6XEF27ZNzMfNne0FrbMeMnpZzgbiHd6y9R20DQkbG0iSDD9ywIjZD+OV1pjoiIoB1N+5amiw==" saltValue="9AupuxOM+6Cb8H9wwcU3A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114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115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119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120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0.46033876800000001</v>
      </c>
      <c r="D14" s="54">
        <v>0.44014876555400001</v>
      </c>
      <c r="E14" s="54">
        <v>0.44014876555400001</v>
      </c>
      <c r="F14" s="54">
        <v>0.382676710483</v>
      </c>
      <c r="G14" s="54">
        <v>0.382676710483</v>
      </c>
      <c r="H14" s="45">
        <v>0.42899999999999999</v>
      </c>
      <c r="I14" s="55">
        <v>0.42899999999999999</v>
      </c>
      <c r="J14" s="55">
        <v>0.42899999999999999</v>
      </c>
      <c r="K14" s="55">
        <v>0.42899999999999999</v>
      </c>
      <c r="L14" s="45">
        <v>0.32800000000000001</v>
      </c>
      <c r="M14" s="55">
        <v>0.32800000000000001</v>
      </c>
      <c r="N14" s="55">
        <v>0.32800000000000001</v>
      </c>
      <c r="O14" s="55">
        <v>0.32800000000000001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0.220061725671024</v>
      </c>
      <c r="D15" s="52">
        <f t="shared" si="0"/>
        <v>0.21041003633173083</v>
      </c>
      <c r="E15" s="52">
        <f t="shared" si="0"/>
        <v>0.21041003633173083</v>
      </c>
      <c r="F15" s="52">
        <f t="shared" si="0"/>
        <v>0.18293592270942477</v>
      </c>
      <c r="G15" s="52">
        <f t="shared" si="0"/>
        <v>0.18293592270942477</v>
      </c>
      <c r="H15" s="52">
        <f t="shared" si="0"/>
        <v>0.205080447</v>
      </c>
      <c r="I15" s="52">
        <f t="shared" si="0"/>
        <v>0.205080447</v>
      </c>
      <c r="J15" s="52">
        <f t="shared" si="0"/>
        <v>0.205080447</v>
      </c>
      <c r="K15" s="52">
        <f t="shared" si="0"/>
        <v>0.205080447</v>
      </c>
      <c r="L15" s="52">
        <f t="shared" si="0"/>
        <v>0.15679810399999999</v>
      </c>
      <c r="M15" s="52">
        <f t="shared" si="0"/>
        <v>0.15679810399999999</v>
      </c>
      <c r="N15" s="52">
        <f t="shared" si="0"/>
        <v>0.15679810399999999</v>
      </c>
      <c r="O15" s="52">
        <f t="shared" si="0"/>
        <v>0.15679810399999999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8Fl4h+LVRXb4Od816bBMpoXCoASyPy6mwcixA2fQE+wkAm5CP/g+6uOHAXGUs1mKUuU7VaEv3Xp3t3li4FkTg==" saltValue="RIMZ9mjiEzVtr2Mg/NaA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9.2236899999999997E-2</v>
      </c>
      <c r="D2" s="53">
        <v>6.3108300000000006E-2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0.1138975</v>
      </c>
      <c r="D3" s="53">
        <v>0.11909740000000001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0.14785380000000001</v>
      </c>
      <c r="D4" s="53">
        <v>0.43906440000000002</v>
      </c>
      <c r="E4" s="53">
        <v>0.83675640000000007</v>
      </c>
      <c r="F4" s="53">
        <v>0.38914690000000002</v>
      </c>
      <c r="G4" s="53">
        <v>0</v>
      </c>
    </row>
    <row r="5" spans="1:7" x14ac:dyDescent="0.25">
      <c r="B5" s="3" t="s">
        <v>132</v>
      </c>
      <c r="C5" s="52">
        <v>0.64601169999999997</v>
      </c>
      <c r="D5" s="52">
        <v>0.37872990000000001</v>
      </c>
      <c r="E5" s="52">
        <f>1-SUM(E2:E4)</f>
        <v>0.16324359999999993</v>
      </c>
      <c r="F5" s="52">
        <f>1-SUM(F2:F4)</f>
        <v>0.61085309999999993</v>
      </c>
      <c r="G5" s="52">
        <f>1-SUM(G2:G4)</f>
        <v>1</v>
      </c>
    </row>
  </sheetData>
  <sheetProtection algorithmName="SHA-512" hashValue="HcHc0b9cltlS8cgDnFGUV/h+38PEO+yid5vX57B8q6CYiCkS4ArVPmlegc1fmh+I2roy4HRL9wtZK4kIb1QDow==" saltValue="NcmEs94COft+T2EnHCY6r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j2KkpfvytfrGG4dG31arrQKfU8nW1CZBv9G8wEhX2Tye9ZbCoyx4oe2hiY+3uoawGGNPC9sPtvG1v17+UR0bQ==" saltValue="gGYAge/RbqUEaYnA8+sUx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xhnrnCGZ+J8vi3K6rGfB1eA8YG5QwnC3njEvNYEzEMXZj+l0t9HNQ4BPiEyCjYm4IqiifRYnELYk+hqIrMAnVA==" saltValue="md0aL3UTpZjK49Z+8P6Vg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sEYxNMF/E2UQqT1DHJHKKx4P3kR/aTOrI/0glw2ckal9S1iAv9xNIrTuGPRazZOPEGUBMKVuSiJhFRkTqigxmQ==" saltValue="36nwyHPNRMRbwbakyx1D+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gjgPPgU8g+jUJdn3uGtCZd7wpydfQtZ7UKqlGXzc6I6Rdn3d0qPy8RV/QHhV4XNi9E/Q/7qwxPxVYkqkDaT5rA==" saltValue="EHKMrmKVUcHb7M3hIy/ng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50.717962815851763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39.716252809925493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299.77526795353111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1.028663060260697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0.10199999999999999</v>
      </c>
      <c r="C10" s="98">
        <v>0.95</v>
      </c>
      <c r="D10" s="56">
        <v>12.84855225372141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12.84855225372141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12.84855225372141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12.84855225372141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0.10199999999999999</v>
      </c>
      <c r="C14" s="98">
        <v>0.95</v>
      </c>
      <c r="D14" s="56">
        <v>12.84855225372141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12.84855225372141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0.55531805361675357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0.33777333333333298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6.3108300000000006E-2</v>
      </c>
      <c r="C18" s="98">
        <v>0.95</v>
      </c>
      <c r="D18" s="56">
        <v>6.9453945454574351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6.3108300000000006E-2</v>
      </c>
      <c r="C19" s="98">
        <v>0.95</v>
      </c>
      <c r="D19" s="56">
        <v>6.9453945454574351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9.4911885685343371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22.086705401333919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4.1770706684296162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0.55416948499999996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0.10199999999999999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18.30380770317878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0.998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96.960746737260479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2.3752360395467411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1.1755235646488491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0.89980549999999992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2.5879090305551942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OmcjUzEwBRISXPvyBqvKmDv1yQEu3fq7rrfBrHr+6U/2VvXIpBBpLkVa7ZnTSrkmoVTPPth3GQI9A82SjwXMiA==" saltValue="fsacxgCgMqZ5jNm8cYz/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hZLZP/dj3KwMuL7RsKiULzNFmXIswpbPkiu1vdEucf/V0fwheCUdkd873jOfSFxiLO6W19nN3GCYym2/rQVYLg==" saltValue="NFVzwzk0mnitSxqgZvkNm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0aEJzjBC3kpVYv5kwiLXe9rJUWSFe+e/IUjajVBtaOiuflvAgzkIhEhyMLDHhA2vNhRs3WNAcZSvDIIv03Nnuw==" saltValue="zsBAR4nEQkLeq0ACpiOjF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208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sheetProtection algorithmName="SHA-512" hashValue="+qn7z3bPDJwSTOk52ed5/g1UsRXuCrtKxNsfPtq+IwJ+2HFObNmfhwC7JeS8Ly/PBFaC81f3DPObwnl3rhp9PA==" saltValue="KBTNJYuvUnNrkC/XhsrFK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3.2000000000000001E-2</v>
      </c>
      <c r="E2" s="60">
        <f>food_insecure</f>
        <v>3.2000000000000001E-2</v>
      </c>
      <c r="F2" s="60">
        <f>food_insecure</f>
        <v>3.2000000000000001E-2</v>
      </c>
      <c r="G2" s="60">
        <f>food_insecure</f>
        <v>3.2000000000000001E-2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3.2000000000000001E-2</v>
      </c>
      <c r="I15" s="60">
        <f>food_insecure</f>
        <v>3.2000000000000001E-2</v>
      </c>
      <c r="J15" s="60">
        <f>food_insecure</f>
        <v>3.2000000000000001E-2</v>
      </c>
      <c r="K15" s="60">
        <f>food_insecure</f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0.1596057102294923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6.8402447241210987E-2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9.3311117431640694E-2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0.67868072509765598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boN8SMHB/V2BER6/w9UeoZlfWwfnsQjdhkZyeUn9IDfEoSZwC1vWJhKXF0gWPbgPaStCFT5z+B2231XoMlc7g==" saltValue="oLAAT1joAkywKNWlL0IfH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UtHLyogMCZsH0Tk42ancwwlrHIjBWormou84wBSvLyM6Vuwxk8wLhr7nJUdJQKtOF+WWr0lPnbyS+NXOyYDovg==" saltValue="xtK/J+jjm9YXQHSy6vPxG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CXCnzjxHXMhLSzI68k9EFqE2cEpUNQUNxnXNTV+qSGBtHA2RAfonTvi3+2j1ySPNT7KZfFbREU8pDWKDxfbWw==" saltValue="ZtJfnmMuQwXmzdT4Ihgrj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0599vETT3/KC5eUmVq/EPDPRJu/nypYuhYiwfNIFJaRWFtwnixzqmuhEfeL6+PiFLXuW4luwwftTNHijCVNEA==" saltValue="Lzbdoqix9lUfjwsR1BDd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CBIOhAzqvV1f060jXkRvMYYFmz7H4iOPJc5DgM6dnyXRbpeZVxSR3S7ICFhqY43iw3CewjZJunDjZ5qNV3mW7g==" saltValue="fwGziSYeDhBP+K6b1ygma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IGYXVVS3A1/raM7uh217eSEUCv2r+kw4dwI0cB7RkvzbKDczwKDLmsRJ/HxpZdfLbEshK0g1S4jsu+bA5mdvMA==" saltValue="riLZARmnIHlOiPiisbD/I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/16hU0kBBzr8zKvgDm59YHwlcdSGuguF5KefCAJLH+KaA0s3d8cKRISZhLzJwl9KsZYajWcpAIQoO0LIXgeww==" saltValue="XV6bXdWuzobCGmGRETsJv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07y1FKMb2VNwlFu7YQ9HrmNfLK2Q2amQt+JA7pYOOV9Cci6looTc3Du9i3obfGH3SQaOPsRB+0N/h2YvTc03Nw==" saltValue="0IhK4siRtc0myC2kYI8D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4JKxr4FAYtWI4vttCrkd1Ewopcb55cFYz+FeKyCTTPvWxaqiCKLjn81tnfsbGP2CPwQCirU9jGB2PJuovk54ww==" saltValue="RmU277xoeYJRONdrY/pL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Qlw5TuQNe+KHLBJ+aaMWVIIvs4e8Bmfv9xkINhgs0aeF/JP/h0BphBQy5ZcywAy/VMl0s1n7G7gV9/mB24vtqQ==" saltValue="kU6FUwcovLxtxr0+YhyU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+UWbIMAjRFa91feQk8PdRUVltUK72/nrTkI90ndUuz46Zhv7EwE3hb1kjm9jOvry063NFkeB6JT4Q0fx43p5Dw==" saltValue="xolhZSkpMiTXjWqcRLGR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xRhvcteG/JWwaO0ktQjxzDTXzJV5DUAj8QWZDFJOTWiMWkFZxSSX4UJjpKdj2nJPBTAPJROx0jnP5gCbfT1kw==" saltValue="1NwlCEY0rsa2fd1qG9HE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8HP8pxWuJ8EWVC2Irj5asSdQfr75oBepGhQQxU59QKQ8dYRjSu/XY1TY19v/+8V1whWarm9CFuHpDoXNUYL45g==" saltValue="MCrXPTV6F3Ir9T7UV1Hb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0.10464021985061334</v>
      </c>
      <c r="G18" s="90">
        <f>MIN(MAX(1-0.89/(1-frac_sam_12_23months+(frac_sam_12_23months*0.89)),0),1)</f>
        <v>0.10579430344369589</v>
      </c>
      <c r="H18" s="90">
        <f>MIN(MAX(1-0.89/(1-frac_sam_24_59months+(frac_sam_24_59months*0.89)),0),1)</f>
        <v>0.10797291671796916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9.970044044997084E-2</v>
      </c>
      <c r="G20" s="90">
        <f>MIN(MAX(1-0.89/(1-frac_mam_12_23months+(frac_mam_12_23months*0.89)),0),1)</f>
        <v>0.10176089059770355</v>
      </c>
      <c r="H20" s="90">
        <f>MIN(MAX(1-0.89/(1-frac_mam_24_59months+(frac_mam_24_59months*0.89)),0),1)</f>
        <v>0.10537269197979415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9.4609509190748398E-3</v>
      </c>
      <c r="G73" s="90">
        <f>MIN(MAX(1-0.99/(1-frac_sam_12_23months+(frac_sam_12_23months*0.99)),0),1)</f>
        <v>9.576524057445579E-3</v>
      </c>
      <c r="H73" s="90">
        <f>MIN(MAX(1-0.99/(1-frac_sam_24_59months+(frac_sam_24_59months*0.99)),0),1)</f>
        <v>9.7954376098877693E-3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8.9693148191467564E-3</v>
      </c>
      <c r="G75" s="90">
        <f>MIN(MAX(1-0.99/(1-frac_mam_12_23months+(frac_mam_12_23months*0.99)),0),1)</f>
        <v>9.1737849290419726E-3</v>
      </c>
      <c r="H75" s="90">
        <f>MIN(MAX(1-0.99/(1-frac_mam_24_59months+(frac_mam_24_59months*0.99)),0),1)</f>
        <v>9.5342712730064338E-3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0.19119702548901507</v>
      </c>
      <c r="G128" s="90">
        <f>MIN(MAX(1-0.8/(1-frac_sam_12_23months+(frac_sam_12_23months*0.8)),0),1)</f>
        <v>0.19309986478292651</v>
      </c>
      <c r="H128" s="90">
        <f>MIN(MAX(1-0.8/(1-frac_sam_24_59months+(frac_sam_24_59months*0.8)),0),1)</f>
        <v>0.19668091060796145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0.1830063125368252</v>
      </c>
      <c r="G130" s="90">
        <f>MIN(MAX(1-0.8/(1-frac_mam_12_23months+(frac_mam_12_23months*0.8)),0),1)</f>
        <v>0.18643188425466561</v>
      </c>
      <c r="H130" s="90">
        <f>MIN(MAX(1-0.8/(1-frac_mam_24_59months+(frac_mam_24_59months*0.8)),0),1)</f>
        <v>0.19240518690713748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Xldv9T175fJVuiBRTo941flc9KjZ5Hyo4su0zW1cloCuWbYdRlTdZOqpe3AlIsP5TqFK9TfrBnH1rPvO2qxQQ==" saltValue="/UumhBlxs2JJ0j5yF85N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UivC5/PmAI3sLFMqHBffc8ad9EIRUBToltT6g5hIgWInv5pRq4vviyUPuyTtlOfvWf2DiGJGkpXQqnqeu3bvFQ==" saltValue="2t8IWlR3U/u1/EkIl6Ilt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2024-08-06T08:55:46Z</dcterms:modified>
</cp:coreProperties>
</file>