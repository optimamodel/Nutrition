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C145897-004B-4DD3-8123-30C3B019DAC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A2" i="2"/>
  <c r="A39" i="2" s="1"/>
  <c r="C33" i="1"/>
  <c r="C20" i="1"/>
  <c r="I2" i="2" l="1"/>
  <c r="A19" i="2"/>
  <c r="A23" i="2"/>
  <c r="I3" i="2"/>
  <c r="I7" i="2"/>
  <c r="I11" i="2"/>
  <c r="A35" i="2"/>
  <c r="I4" i="2"/>
  <c r="I8" i="2"/>
  <c r="A25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<sst xmlns="http://schemas.openxmlformats.org/spreadsheetml/2006/main" count="2159" uniqueCount="368">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</sst>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35834</v>
      </c>
    </row>
    <row r="8" spans="1:3" ht="15" customHeight="1" x14ac:dyDescent="0.25">
      <c r="B8" s="5" t="s">
        <v>37</v>
      </c>
      <c r="C8" s="44">
        <v>0.377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0.75754359999999998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0.16</v>
      </c>
    </row>
    <row r="24" spans="1:3" ht="15" customHeight="1" x14ac:dyDescent="0.25">
      <c r="B24" s="15" t="s">
        <v>51</v>
      </c>
      <c r="C24" s="45">
        <v>0.51100000000000001</v>
      </c>
    </row>
    <row r="25" spans="1:3" ht="15" customHeight="1" x14ac:dyDescent="0.25">
      <c r="B25" s="15" t="s">
        <v>52</v>
      </c>
      <c r="C25" s="45">
        <v>0.26350000000000001</v>
      </c>
    </row>
    <row r="26" spans="1:3" ht="15" customHeight="1" x14ac:dyDescent="0.25">
      <c r="B26" s="15" t="s">
        <v>53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0.27342300031322098</v>
      </c>
    </row>
    <row r="30" spans="1:3" ht="14.25" customHeight="1" x14ac:dyDescent="0.25">
      <c r="B30" s="25" t="s">
        <v>56</v>
      </c>
      <c r="C30" s="99">
        <v>5.2040607424200101E-2</v>
      </c>
    </row>
    <row r="31" spans="1:3" ht="14.25" customHeight="1" x14ac:dyDescent="0.25">
      <c r="B31" s="25" t="s">
        <v>57</v>
      </c>
      <c r="C31" s="99">
        <v>6.8435949585570102E-2</v>
      </c>
    </row>
    <row r="32" spans="1:3" ht="14.25" customHeight="1" x14ac:dyDescent="0.25">
      <c r="B32" s="25" t="s">
        <v>58</v>
      </c>
      <c r="C32" s="99">
        <v>0.60610044267700902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8.3748699999999996</v>
      </c>
    </row>
    <row r="38" spans="1:5" ht="15" customHeight="1" x14ac:dyDescent="0.25">
      <c r="B38" s="11" t="s">
        <v>63</v>
      </c>
      <c r="C38" s="43">
        <v>11.663259999999999</v>
      </c>
      <c r="D38" s="12"/>
      <c r="E38" s="13"/>
    </row>
    <row r="39" spans="1:5" ht="15" customHeight="1" x14ac:dyDescent="0.25">
      <c r="B39" s="11" t="s">
        <v>64</v>
      </c>
      <c r="C39" s="43">
        <v>13.54884</v>
      </c>
      <c r="D39" s="12"/>
      <c r="E39" s="12"/>
    </row>
    <row r="40" spans="1:5" ht="15" customHeight="1" x14ac:dyDescent="0.25">
      <c r="B40" s="11" t="s">
        <v>65</v>
      </c>
      <c r="C40" s="100">
        <v>0.42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7.9498999999999993E-3</v>
      </c>
      <c r="D45" s="12"/>
    </row>
    <row r="46" spans="1:5" ht="15.75" customHeight="1" x14ac:dyDescent="0.25">
      <c r="B46" s="11" t="s">
        <v>70</v>
      </c>
      <c r="C46" s="45">
        <v>8.5420099999999999E-2</v>
      </c>
      <c r="D46" s="12"/>
    </row>
    <row r="47" spans="1:5" ht="15.75" customHeight="1" x14ac:dyDescent="0.25">
      <c r="B47" s="11" t="s">
        <v>71</v>
      </c>
      <c r="C47" s="45">
        <v>7.3440500000000006E-2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</v>
      </c>
      <c r="D51" s="12"/>
    </row>
    <row r="52" spans="1:4" ht="15" customHeight="1" x14ac:dyDescent="0.25">
      <c r="B52" s="11" t="s">
        <v>75</v>
      </c>
      <c r="C52" s="100">
        <v>3.3</v>
      </c>
    </row>
    <row r="53" spans="1:4" ht="15.75" customHeight="1" x14ac:dyDescent="0.25">
      <c r="B53" s="11" t="s">
        <v>76</v>
      </c>
      <c r="C53" s="100">
        <v>3.3</v>
      </c>
    </row>
    <row r="54" spans="1:4" ht="15.75" customHeight="1" x14ac:dyDescent="0.25">
      <c r="B54" s="11" t="s">
        <v>77</v>
      </c>
      <c r="C54" s="100">
        <v>3.3</v>
      </c>
    </row>
    <row r="55" spans="1:4" ht="15.75" customHeight="1" x14ac:dyDescent="0.25">
      <c r="B55" s="11" t="s">
        <v>78</v>
      </c>
      <c r="C55" s="100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0.478043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tCHtp+fV05wkS/dLa/nQcWOmT1kV/YR0fk1Her6sskLoUo6/df44ABzL+oPh0+N9Bp/+5lZ4E4SyXDP0LCdp3w==" saltValue="OGtryQ3VX8FiV8SJMvln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6415</v>
      </c>
      <c r="C2" s="49">
        <v>23066.5</v>
      </c>
      <c r="D2" s="49">
        <v>40418</v>
      </c>
      <c r="E2" s="49">
        <v>44170.500000000007</v>
      </c>
      <c r="F2" s="49">
        <v>30383</v>
      </c>
      <c r="G2" s="17">
        <f t="shared" ref="G2:G13" si="0">C2+D2+E2+F2</f>
        <v>138038</v>
      </c>
      <c r="H2" s="17">
        <f t="shared" ref="H2:H13" si="1">(B2 + stillbirth*B2/(1000-stillbirth))/(1-abortion)</f>
        <v>7356.8293439230647</v>
      </c>
      <c r="I2" s="17">
        <f t="shared" ref="I2:I13" si="2">G2-H2</f>
        <v>130681.17065607694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6364</v>
      </c>
      <c r="C3" s="50">
        <v>23285</v>
      </c>
      <c r="D3" s="50">
        <v>40169.5</v>
      </c>
      <c r="E3" s="50">
        <v>44591</v>
      </c>
      <c r="F3" s="50">
        <v>31799</v>
      </c>
      <c r="G3" s="17">
        <f t="shared" si="0"/>
        <v>139844.5</v>
      </c>
      <c r="H3" s="17">
        <f t="shared" si="1"/>
        <v>7298.3416905263257</v>
      </c>
      <c r="I3" s="17">
        <f t="shared" si="2"/>
        <v>132546.15830947369</v>
      </c>
    </row>
    <row r="4" spans="1:9" ht="15.75" customHeight="1" x14ac:dyDescent="0.25">
      <c r="A4" s="5">
        <f t="shared" si="3"/>
        <v>2026</v>
      </c>
      <c r="B4" s="49">
        <v>6330</v>
      </c>
      <c r="C4" s="50">
        <v>23461.5</v>
      </c>
      <c r="D4" s="50">
        <v>40158.5</v>
      </c>
      <c r="E4" s="50">
        <v>44677</v>
      </c>
      <c r="F4" s="50">
        <v>33196.5</v>
      </c>
      <c r="G4" s="17">
        <f t="shared" si="0"/>
        <v>141493.5</v>
      </c>
      <c r="H4" s="17">
        <f t="shared" si="1"/>
        <v>7259.3499215951679</v>
      </c>
      <c r="I4" s="17">
        <f t="shared" si="2"/>
        <v>134234.15007840484</v>
      </c>
    </row>
    <row r="5" spans="1:9" ht="15.75" customHeight="1" x14ac:dyDescent="0.25">
      <c r="A5" s="5">
        <f t="shared" si="3"/>
        <v>2027</v>
      </c>
      <c r="B5" s="49">
        <v>6300</v>
      </c>
      <c r="C5" s="50">
        <v>23607.5</v>
      </c>
      <c r="D5" s="50">
        <v>40435.500000000007</v>
      </c>
      <c r="E5" s="50">
        <v>44325.500000000007</v>
      </c>
      <c r="F5" s="50">
        <v>34678.5</v>
      </c>
      <c r="G5" s="17">
        <f t="shared" si="0"/>
        <v>143047</v>
      </c>
      <c r="H5" s="17">
        <f t="shared" si="1"/>
        <v>7224.9454195970866</v>
      </c>
      <c r="I5" s="17">
        <f t="shared" si="2"/>
        <v>135822.05458040291</v>
      </c>
    </row>
    <row r="6" spans="1:9" ht="15.75" customHeight="1" x14ac:dyDescent="0.25">
      <c r="A6" s="5">
        <f t="shared" si="3"/>
        <v>2028</v>
      </c>
      <c r="B6" s="49">
        <v>6272</v>
      </c>
      <c r="C6" s="50">
        <v>23704</v>
      </c>
      <c r="D6" s="50">
        <v>40949.5</v>
      </c>
      <c r="E6" s="50">
        <v>43617.5</v>
      </c>
      <c r="F6" s="50">
        <v>36293.5</v>
      </c>
      <c r="G6" s="17">
        <f t="shared" si="0"/>
        <v>144564.5</v>
      </c>
      <c r="H6" s="17">
        <f t="shared" si="1"/>
        <v>7192.8345510655436</v>
      </c>
      <c r="I6" s="17">
        <f t="shared" si="2"/>
        <v>137371.66544893445</v>
      </c>
    </row>
    <row r="7" spans="1:9" ht="15.75" customHeight="1" x14ac:dyDescent="0.25">
      <c r="A7" s="5">
        <f t="shared" si="3"/>
        <v>2029</v>
      </c>
      <c r="B7" s="49">
        <v>6252</v>
      </c>
      <c r="C7" s="50">
        <v>23734</v>
      </c>
      <c r="D7" s="50">
        <v>41635.499999999993</v>
      </c>
      <c r="E7" s="50">
        <v>42728.5</v>
      </c>
      <c r="F7" s="50">
        <v>37878.5</v>
      </c>
      <c r="G7" s="17">
        <f t="shared" si="0"/>
        <v>145976.5</v>
      </c>
      <c r="H7" s="17">
        <f t="shared" si="1"/>
        <v>7169.8982164001563</v>
      </c>
      <c r="I7" s="17">
        <f t="shared" si="2"/>
        <v>138806.60178359985</v>
      </c>
    </row>
    <row r="8" spans="1:9" ht="15.75" customHeight="1" x14ac:dyDescent="0.25">
      <c r="A8" s="5">
        <f t="shared" si="3"/>
        <v>2030</v>
      </c>
      <c r="B8" s="49">
        <v>6236</v>
      </c>
      <c r="C8" s="50">
        <v>23718.5</v>
      </c>
      <c r="D8" s="50">
        <v>42493.5</v>
      </c>
      <c r="E8" s="50">
        <v>41744</v>
      </c>
      <c r="F8" s="50">
        <v>39272.5</v>
      </c>
      <c r="G8" s="17">
        <f t="shared" si="0"/>
        <v>147228.5</v>
      </c>
      <c r="H8" s="17">
        <f t="shared" si="1"/>
        <v>7151.5491486678457</v>
      </c>
      <c r="I8" s="17">
        <f t="shared" si="2"/>
        <v>140076.95085133216</v>
      </c>
    </row>
    <row r="9" spans="1:9" ht="15.75" customHeight="1" x14ac:dyDescent="0.25">
      <c r="A9" s="5">
        <f t="shared" si="3"/>
        <v>2031</v>
      </c>
      <c r="B9" s="49">
        <v>6227</v>
      </c>
      <c r="C9" s="50">
        <v>23689</v>
      </c>
      <c r="D9" s="50">
        <v>43439.499999999993</v>
      </c>
      <c r="E9" s="50">
        <v>40680.499999999993</v>
      </c>
      <c r="F9" s="50">
        <v>40488</v>
      </c>
      <c r="G9" s="17">
        <f t="shared" si="0"/>
        <v>148297</v>
      </c>
      <c r="H9" s="17">
        <f t="shared" si="1"/>
        <v>7141.2277980684221</v>
      </c>
      <c r="I9" s="17">
        <f t="shared" si="2"/>
        <v>141155.77220193157</v>
      </c>
    </row>
    <row r="10" spans="1:9" ht="15.75" customHeight="1" x14ac:dyDescent="0.25">
      <c r="A10" s="5">
        <f t="shared" si="3"/>
        <v>2032</v>
      </c>
      <c r="B10" s="49">
        <v>6230</v>
      </c>
      <c r="C10" s="50">
        <v>23654</v>
      </c>
      <c r="D10" s="50">
        <v>44277.5</v>
      </c>
      <c r="E10" s="50">
        <v>39724.999999999993</v>
      </c>
      <c r="F10" s="50">
        <v>41540</v>
      </c>
      <c r="G10" s="17">
        <f t="shared" si="0"/>
        <v>149196.5</v>
      </c>
      <c r="H10" s="17">
        <f t="shared" si="1"/>
        <v>7144.668248268229</v>
      </c>
      <c r="I10" s="17">
        <f t="shared" si="2"/>
        <v>142051.83175173178</v>
      </c>
    </row>
    <row r="11" spans="1:9" ht="15.75" customHeight="1" x14ac:dyDescent="0.25">
      <c r="A11" s="5">
        <f t="shared" si="3"/>
        <v>2033</v>
      </c>
      <c r="B11" s="49">
        <v>6231</v>
      </c>
      <c r="C11" s="50">
        <v>23583.5</v>
      </c>
      <c r="D11" s="50">
        <v>44855.000000000007</v>
      </c>
      <c r="E11" s="50">
        <v>39065</v>
      </c>
      <c r="F11" s="50">
        <v>42373.5</v>
      </c>
      <c r="G11" s="17">
        <f t="shared" si="0"/>
        <v>149877</v>
      </c>
      <c r="H11" s="17">
        <f t="shared" si="1"/>
        <v>7145.8150650014986</v>
      </c>
      <c r="I11" s="17">
        <f t="shared" si="2"/>
        <v>142731.18493499851</v>
      </c>
    </row>
    <row r="12" spans="1:9" ht="15.75" customHeight="1" x14ac:dyDescent="0.25">
      <c r="A12" s="5">
        <f t="shared" si="3"/>
        <v>2034</v>
      </c>
      <c r="B12" s="49">
        <v>6244</v>
      </c>
      <c r="C12" s="50">
        <v>23407.5</v>
      </c>
      <c r="D12" s="50">
        <v>45194.500000000007</v>
      </c>
      <c r="E12" s="50">
        <v>38656</v>
      </c>
      <c r="F12" s="50">
        <v>43001.5</v>
      </c>
      <c r="G12" s="17">
        <f t="shared" si="0"/>
        <v>150259.5</v>
      </c>
      <c r="H12" s="17">
        <f t="shared" si="1"/>
        <v>7160.7236825340005</v>
      </c>
      <c r="I12" s="17">
        <f t="shared" si="2"/>
        <v>143098.77631746599</v>
      </c>
    </row>
    <row r="13" spans="1:9" ht="15.75" customHeight="1" x14ac:dyDescent="0.25">
      <c r="A13" s="5">
        <f t="shared" si="3"/>
        <v>2035</v>
      </c>
      <c r="B13" s="49">
        <v>6246</v>
      </c>
      <c r="C13" s="50">
        <v>23012</v>
      </c>
      <c r="D13" s="50">
        <v>45419</v>
      </c>
      <c r="E13" s="50">
        <v>38446</v>
      </c>
      <c r="F13" s="50">
        <v>43436.5</v>
      </c>
      <c r="G13" s="17">
        <f t="shared" si="0"/>
        <v>150313.5</v>
      </c>
      <c r="H13" s="17">
        <f t="shared" si="1"/>
        <v>7163.0173160005397</v>
      </c>
      <c r="I13" s="17">
        <f t="shared" si="2"/>
        <v>143150.48268399946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5FVW9CUA5rp2MYn/ZVB7qNe0dUa0A2OXvwjNqiqSRv8yRwtvqLi/PI+IEffmWuszZ0GwtsKlSlRErvlay4wEw==" saltValue="l7hBwuUYY5ZbFZqIo+UWO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2.3714377321137239E-4</v>
      </c>
    </row>
    <row r="4" spans="1:8" ht="15.75" customHeight="1" x14ac:dyDescent="0.25">
      <c r="B4" s="19" t="s">
        <v>97</v>
      </c>
      <c r="C4" s="101">
        <v>6.8990142437228216E-2</v>
      </c>
    </row>
    <row r="5" spans="1:8" ht="15.75" customHeight="1" x14ac:dyDescent="0.25">
      <c r="B5" s="19" t="s">
        <v>98</v>
      </c>
      <c r="C5" s="101">
        <v>2.154879078170566E-2</v>
      </c>
    </row>
    <row r="6" spans="1:8" ht="15.75" customHeight="1" x14ac:dyDescent="0.25">
      <c r="B6" s="19" t="s">
        <v>99</v>
      </c>
      <c r="C6" s="101">
        <v>0.1476192994640973</v>
      </c>
    </row>
    <row r="7" spans="1:8" ht="15.75" customHeight="1" x14ac:dyDescent="0.25">
      <c r="B7" s="19" t="s">
        <v>100</v>
      </c>
      <c r="C7" s="101">
        <v>0.4627929717863894</v>
      </c>
    </row>
    <row r="8" spans="1:8" ht="15.75" customHeight="1" x14ac:dyDescent="0.25">
      <c r="B8" s="19" t="s">
        <v>101</v>
      </c>
      <c r="C8" s="101">
        <v>8.2448451472156015E-3</v>
      </c>
    </row>
    <row r="9" spans="1:8" ht="15.75" customHeight="1" x14ac:dyDescent="0.25">
      <c r="B9" s="19" t="s">
        <v>102</v>
      </c>
      <c r="C9" s="101">
        <v>0.21754911910386021</v>
      </c>
    </row>
    <row r="10" spans="1:8" ht="15.75" customHeight="1" x14ac:dyDescent="0.25">
      <c r="B10" s="19" t="s">
        <v>103</v>
      </c>
      <c r="C10" s="101">
        <v>7.3017687506292284E-2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106</v>
      </c>
      <c r="C15" s="101">
        <v>0.4050345629371549</v>
      </c>
      <c r="D15" s="101">
        <v>0.4050345629371549</v>
      </c>
      <c r="E15" s="101">
        <v>0.4050345629371549</v>
      </c>
      <c r="F15" s="101">
        <v>0.4050345629371549</v>
      </c>
    </row>
    <row r="16" spans="1:8" ht="15.75" customHeight="1" x14ac:dyDescent="0.25">
      <c r="B16" s="19" t="s">
        <v>107</v>
      </c>
      <c r="C16" s="101">
        <v>4.0658347197660587E-2</v>
      </c>
      <c r="D16" s="101">
        <v>4.0658347197660587E-2</v>
      </c>
      <c r="E16" s="101">
        <v>4.0658347197660587E-2</v>
      </c>
      <c r="F16" s="101">
        <v>4.0658347197660587E-2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1.085726120409349E-2</v>
      </c>
      <c r="D19" s="101">
        <v>1.085726120409349E-2</v>
      </c>
      <c r="E19" s="101">
        <v>1.085726120409349E-2</v>
      </c>
      <c r="F19" s="101">
        <v>1.085726120409349E-2</v>
      </c>
    </row>
    <row r="20" spans="1:8" ht="15.75" customHeight="1" x14ac:dyDescent="0.25">
      <c r="B20" s="19" t="s">
        <v>111</v>
      </c>
      <c r="C20" s="101">
        <v>5.2607638499198479E-2</v>
      </c>
      <c r="D20" s="101">
        <v>5.2607638499198479E-2</v>
      </c>
      <c r="E20" s="101">
        <v>5.2607638499198479E-2</v>
      </c>
      <c r="F20" s="101">
        <v>5.2607638499198479E-2</v>
      </c>
    </row>
    <row r="21" spans="1:8" ht="15.75" customHeight="1" x14ac:dyDescent="0.25">
      <c r="B21" s="19" t="s">
        <v>112</v>
      </c>
      <c r="C21" s="101">
        <v>0.2133313545305191</v>
      </c>
      <c r="D21" s="101">
        <v>0.2133313545305191</v>
      </c>
      <c r="E21" s="101">
        <v>0.2133313545305191</v>
      </c>
      <c r="F21" s="101">
        <v>0.2133313545305191</v>
      </c>
    </row>
    <row r="22" spans="1:8" ht="15.75" customHeight="1" x14ac:dyDescent="0.25">
      <c r="B22" s="19" t="s">
        <v>113</v>
      </c>
      <c r="C22" s="101">
        <v>7.8928588245065115E-2</v>
      </c>
      <c r="D22" s="101">
        <v>7.8928588245065115E-2</v>
      </c>
      <c r="E22" s="101">
        <v>7.8928588245065115E-2</v>
      </c>
      <c r="F22" s="101">
        <v>7.8928588245065115E-2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8.8581064000000001E-2</v>
      </c>
    </row>
    <row r="27" spans="1:8" ht="15.75" customHeight="1" x14ac:dyDescent="0.25">
      <c r="B27" s="19" t="s">
        <v>120</v>
      </c>
      <c r="C27" s="101">
        <v>8.3095249999999999E-3</v>
      </c>
    </row>
    <row r="28" spans="1:8" ht="15.75" customHeight="1" x14ac:dyDescent="0.25">
      <c r="B28" s="19" t="s">
        <v>121</v>
      </c>
      <c r="C28" s="101">
        <v>0.157741201</v>
      </c>
    </row>
    <row r="29" spans="1:8" ht="15.75" customHeight="1" x14ac:dyDescent="0.25">
      <c r="B29" s="19" t="s">
        <v>122</v>
      </c>
      <c r="C29" s="101">
        <v>0.16874623</v>
      </c>
    </row>
    <row r="30" spans="1:8" ht="15.75" customHeight="1" x14ac:dyDescent="0.25">
      <c r="B30" s="19" t="s">
        <v>2</v>
      </c>
      <c r="C30" s="101">
        <v>0.10641809300000001</v>
      </c>
    </row>
    <row r="31" spans="1:8" ht="15.75" customHeight="1" x14ac:dyDescent="0.25">
      <c r="B31" s="19" t="s">
        <v>123</v>
      </c>
      <c r="C31" s="101">
        <v>0.109242019</v>
      </c>
    </row>
    <row r="32" spans="1:8" ht="15.75" customHeight="1" x14ac:dyDescent="0.25">
      <c r="B32" s="19" t="s">
        <v>124</v>
      </c>
      <c r="C32" s="101">
        <v>1.8835845E-2</v>
      </c>
    </row>
    <row r="33" spans="2:3" ht="15.75" customHeight="1" x14ac:dyDescent="0.25">
      <c r="B33" s="19" t="s">
        <v>125</v>
      </c>
      <c r="C33" s="101">
        <v>8.4593191999999998E-2</v>
      </c>
    </row>
    <row r="34" spans="2:3" ht="15.75" customHeight="1" x14ac:dyDescent="0.25">
      <c r="B34" s="19" t="s">
        <v>126</v>
      </c>
      <c r="C34" s="101">
        <v>0.25753283100000002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K0yU0fE6KAsNUVME4a9fhtxWpNQX6/s6eAByFEfTcv4S58ZzLrdeLOxb+CCNUiiMz6HCM4yNJutr3pVAgP+eBw==" saltValue="4F1V+uMSjBysxeQKO+q3i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132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133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137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138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0WlwUBzRofKesG620x0LN4k3vkhcVT1GdylyiY1VlDlx5IG1JY/yMsxtgq+yZgU93xq/PM3W7krSJBTcl17DQ==" saltValue="sAKk9Y/LMSJz20qGnwum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0.64601180000000002</v>
      </c>
      <c r="D5" s="52">
        <f t="shared" si="0"/>
        <v>0.37872989999999995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73kDOC4n0evIfi5MyfF9Fhba7AhC3JtcUIF4iLh47CkaDadLVPLt1P1/D2TlFkFYg8M8YjFNip2YI72JTNvhlw==" saltValue="10SqYO91vtbNLwCDbQXGv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3hMu7CizmUMAenfvPlFOFHOqMTJAlHbyD9xTqGekcgPWS2GZSACSX/44R3r/iweOXHI7uSvfhsF2PRxLbB5mg==" saltValue="OMJK3YyWVx9pS1FGqQouA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3754.30479371603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0.48497000000000001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0.55269999999999997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1.6162364333987871E-2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98495.671459999998</v>
      </c>
      <c r="C22" s="109">
        <v>98410.294580000002</v>
      </c>
      <c r="D22" s="109">
        <v>98307.087520000001</v>
      </c>
      <c r="E22" s="109">
        <v>97948.233840000001</v>
      </c>
      <c r="F22" s="109">
        <v>97485.087079999998</v>
      </c>
      <c r="G22" s="109">
        <v>96995.274579999998</v>
      </c>
      <c r="H22" s="109">
        <v>96380.298909999998</v>
      </c>
      <c r="I22" s="109">
        <v>95510.098729999998</v>
      </c>
      <c r="J22" s="109">
        <v>94194.423190000001</v>
      </c>
      <c r="K22" s="109">
        <v>92141.764009999999</v>
      </c>
      <c r="L22" s="109">
        <v>89156.305470000007</v>
      </c>
      <c r="M22" s="109">
        <v>84903.098700000002</v>
      </c>
      <c r="N22" s="109">
        <v>78874.317160000006</v>
      </c>
      <c r="O22" s="109">
        <v>70402.71961</v>
      </c>
    </row>
  </sheetData>
  <sheetProtection algorithmName="SHA-512" hashValue="FXHQjvbwOCWbqjHU/VCcSPeY0lq+RnCj+s2LC/lz8Af3bczaqkBCZmWV4yRvs32cLKKMcu7SqQU53q1JEfEq/w==" saltValue="v9bLcHVz3P/KDGMJTIGGw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3ZauzR/xmkwSO2kx2Rq6rlDUFaq0ty9Xb3hjYEXDs1hCGhuRD/7mRZblTLE6B5plYGvFQ1Ge/ENPh0eh/exVng==" saltValue="osmkobzuixpBvwbSZ0fjP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prPKyHDB2Fnp1yb+16gdljdJ65a/fd+IzKF1Mcf7FJk3ugUL2pPcvrarlgGFZf8QiEjSFJzrhXu8HMcn+hrcbw==" saltValue="6R+Gl8aLGZDFrNUtuzC05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5.2668836507008754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0.56149571024496792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99.99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99.99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0.23003335421429147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0.10199999999999999</v>
      </c>
      <c r="C10" s="98">
        <v>0.95</v>
      </c>
      <c r="D10" s="56">
        <v>12.84855225372141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12.84855225372141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12.84855225372141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12.84855225372141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0.10199999999999999</v>
      </c>
      <c r="C14" s="98">
        <v>0.95</v>
      </c>
      <c r="D14" s="56">
        <v>12.84855225372141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12.84855225372141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2.8407188685968858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0.33777333333333298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6.3108300000000006E-2</v>
      </c>
      <c r="C18" s="98">
        <v>0.95</v>
      </c>
      <c r="D18" s="56">
        <v>5.2668836507008754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6.3108300000000006E-2</v>
      </c>
      <c r="C19" s="98">
        <v>0.95</v>
      </c>
      <c r="D19" s="56">
        <v>6.9453945454574351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2.1939130069251829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5.2668836507008754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4.1770706684296162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0.55416948499999996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0.10199999999999999</v>
      </c>
      <c r="C26" s="98">
        <v>0.95</v>
      </c>
      <c r="D26" s="56">
        <v>3.8681355531509101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13.457928721749347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0.998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</v>
      </c>
      <c r="C29" s="98">
        <v>0.95</v>
      </c>
      <c r="D29" s="56">
        <v>96.960746737260479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44.783843336315748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126.62714253872848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0.46210405728622134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0.89980549999999992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4.0706758054007581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SsY8qxMLMxjlyARORC9iYmRr1E5XGWFAaZr8PuPPW0fs5En6msOS3AuUqK7p0F8irrwdJtK/cEv99pwyz2ybzQ==" saltValue="PjfVWYSOMygAuuPspZGH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+tBc79DXhv4umWEdAbJufLIhDF147V6qQbH/HOFSrRxOmnUmRohuYq157UrljWudb9kfEcDBxs5gLEO7VYARQ==" saltValue="NDHpNqXlzlvFRKuJ0jY3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KQzIQu2jPTID+kQsMFoLv274aUIXAzyPwYekTClgPZTsC//e/C5ErmjW3PlFjb5K7/HkuYbIMr/sR0ebr1JKg==" saltValue="uijs4rw9AlCdjZJ0DCYp6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237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9PzkKS5GXn3CsFSMV3FbBm25FGEWYbc9g7sOIM6j0c4aR1eV71XOdKxqKrXaQbPPQ+MGcnWW8VCGvknQHpFwGA==" saltValue="NotPa7YCr7nC1DQudHIVS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0.377</v>
      </c>
      <c r="F2" s="60">
        <f>food_insecure</f>
        <v>0.377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0.377</v>
      </c>
      <c r="F5" s="60">
        <f>food_insecure</f>
        <v>0.377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0.377</v>
      </c>
      <c r="F8" s="60">
        <f>food_insecure</f>
        <v>0.377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0.377</v>
      </c>
      <c r="F9" s="60">
        <f>food_insecure</f>
        <v>0.377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0.377</v>
      </c>
      <c r="I15" s="60">
        <f t="shared" si="0"/>
        <v>0.377</v>
      </c>
      <c r="J15" s="60">
        <f t="shared" si="0"/>
        <v>0.377</v>
      </c>
      <c r="K15" s="60">
        <f t="shared" si="0"/>
        <v>0.377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0.377</v>
      </c>
      <c r="I16" s="60">
        <f t="shared" si="0"/>
        <v>0.377</v>
      </c>
      <c r="J16" s="60">
        <f t="shared" si="0"/>
        <v>0.377</v>
      </c>
      <c r="K16" s="60">
        <f t="shared" si="0"/>
        <v>0.377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0.13799890918800001</v>
      </c>
      <c r="M25" s="60">
        <f>(1-food_insecure)*(0.49)+food_insecure*(0.7)</f>
        <v>0.56916999999999995</v>
      </c>
      <c r="N25" s="60">
        <f>(1-food_insecure)*(0.49)+food_insecure*(0.7)</f>
        <v>0.56916999999999995</v>
      </c>
      <c r="O25" s="60">
        <f>(1-food_insecure)*(0.49)+food_insecure*(0.7)</f>
        <v>0.56916999999999995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5.9142389652000006E-2</v>
      </c>
      <c r="M26" s="60">
        <f>(1-food_insecure)*(0.21)+food_insecure*(0.3)</f>
        <v>0.24392999999999998</v>
      </c>
      <c r="N26" s="60">
        <f>(1-food_insecure)*(0.21)+food_insecure*(0.3)</f>
        <v>0.24392999999999998</v>
      </c>
      <c r="O26" s="60">
        <f>(1-food_insecure)*(0.21)+food_insecure*(0.3)</f>
        <v>0.24392999999999998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4.5315101159999996E-2</v>
      </c>
      <c r="M27" s="60">
        <f>(1-food_insecure)*(0.3)</f>
        <v>0.18689999999999998</v>
      </c>
      <c r="N27" s="60">
        <f>(1-food_insecure)*(0.3)</f>
        <v>0.18689999999999998</v>
      </c>
      <c r="O27" s="60">
        <f>(1-food_insecure)*(0.3)</f>
        <v>0.18689999999999998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0.75754359999999998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HM1uBSAzgLCDie1WDhsDdZv+BrRRlBJjOM2SIaZJPiipNLArTIcl33M05VEISM8AQxC936bX8pqfl5qzwwz3w==" saltValue="7VYytLP4aPaTZkCnsDCwD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WxO3ZUw/fs+2nAPDe+D75DTYbd64Z/9biwhBjIgnuZfty6YdFFCVPCcjWWBUktWBwlYcZG/daduToe8h9QHJaA==" saltValue="JP3VYtNI3D2/voqRhkvzj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X7g99ggjz6uSh8IkSbjqlwXKTKibfwbAV9WlKr55VDILlzDifEZYA4Oe62tAA0cl/f9fKcG54mxylalEoZcvg==" saltValue="7AKbtVtPCIb3Iyudh/mLu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YkRaFgsYXxuTtHq1XHDxOPGL7xWoCp1An4ETDSNf0Qm8GYm6sScMlEWrfP+xakiaVBoN3myLITVa5wQ6c2vJQ==" saltValue="qUVklBedvNJq8fgKJQlGv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KAbjqEYE+ceGIEeqaDEtsIe2Ge1dWfIvlOogM6b2R5FMpttwAJDsP80SnxN+pj36fFuE3Z7xRfK1+VKBSaTFAQ==" saltValue="inESAu+3t91vmX1s9yMbW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TK0SRzz9wQbS28e1F9ga2DG+dAtQPfgfpZBJvmV95FiaXnqkXFmIluII0tdMBI5aAAFR+iGBqRwKCi1ufOE8mw==" saltValue="WxamQi8ErBT/CRjHc2s5x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GAWQ8f3kHQyAnSTYxxywlX7F38OSNE+k5oJPxDBngVtC+k+XxI77wnwzcR9JjfrLeOQkBCSQ18MkxgknhDydw==" saltValue="ygscnzeENtIYs6l1rEYwq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K2VAIP2AG0DuCR2mY102lIUmEFp943x4jqGqKuGqv++xPkwwKtDxJcgXliqtrXY6c2lEY6hfj2HPXwppjRUcOQ==" saltValue="juamSvIh8Xa/pvzlztpn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5N70PErQaDzMhmaNpmJHfOKjv/CnBJ/MMro8w0NxvGzLt3nz3nivwBmFYXC6I8CImZzeCZHGqBC1XxyYS1iBRg==" saltValue="eqy/sz6I17OngMWJZI5H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Av0RPMX2sjOLMsCc8UTCsEQjTjbMzMYoY9INNlsX5Ww7fnutZ4NlpddXkRwf1r1p+p22OMDXq5nJvYwJhbMog==" saltValue="xQJW5HB7SdkG4WGvm4Ko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GM5QsV/GuHk3LOz6DnK+1zoHhHsQZXsbxC1djdR/s3E+AgpjGKL2VirjQYCxXE/FI01DPuk+kvUSZuVmCjd6w==" saltValue="aELTiVX5gC8bXZxTQK3A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Go0OI5DI3dtP3MbpHLarMa9ZdfjQW5rLieepqEM/pA11+OvfnkD+mT9/4h8Gs27+Ubpeu6U/510R2FPZZwwAg==" saltValue="bS+VRZizBRujZIkrGP+4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KY8ed8GdVJ/z5VDp9iBYBPMMcnndojT4O40QvzlK39cos3vCmV1DOxiQyIPmewSnxyQ/RyhwaCGqLM3ySV8vg==" saltValue="PQgDzIxsFjl10BiML49r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jLzYUsjzqgkOesHiuohNU1xv47e+NTo9YjImPk+/Dia9IDhhJSeiroCtR12XfyfD/9MYUUN/tpind7Q1g8bTw==" saltValue="n73LZE44p8yq6lrBFSUF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+egpX4qgqGUoPqNWlspGdQYz7FXPek1ITXqQjcfQtqGJEv6lEXSWc92JvNfILxzt+B4wXceazkLg2FI8vtH78g==" saltValue="btpVvKJqs3GHnxPRV9o2T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2025-07-04T03:35:10Z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