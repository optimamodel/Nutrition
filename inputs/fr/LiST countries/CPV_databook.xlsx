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232FF4C7-C1C7-4465-8F1C-0AD1C87A4F9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<sst xmlns="http://schemas.openxmlformats.org/spreadsheetml/2006/main" count="2102" uniqueCount="337">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</sst>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48375.50732421875</v>
      </c>
    </row>
    <row r="8" spans="1:3" ht="15" customHeight="1" x14ac:dyDescent="0.25">
      <c r="B8" s="5" t="s">
        <v>19</v>
      </c>
      <c r="C8" s="44">
        <v>3.2000000000000001E-2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0.67868072509765598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0.16</v>
      </c>
    </row>
    <row r="24" spans="1:3" ht="15" customHeight="1" x14ac:dyDescent="0.25">
      <c r="B24" s="15" t="s">
        <v>33</v>
      </c>
      <c r="C24" s="45">
        <v>0.51100000000000001</v>
      </c>
    </row>
    <row r="25" spans="1:3" ht="15" customHeight="1" x14ac:dyDescent="0.25">
      <c r="B25" s="15" t="s">
        <v>34</v>
      </c>
      <c r="C25" s="45">
        <v>0.26350000000000001</v>
      </c>
    </row>
    <row r="26" spans="1:3" ht="15" customHeight="1" x14ac:dyDescent="0.25">
      <c r="B26" s="15" t="s">
        <v>35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0.27342300031322098</v>
      </c>
    </row>
    <row r="30" spans="1:3" ht="14.25" customHeight="1" x14ac:dyDescent="0.25">
      <c r="B30" s="25" t="s">
        <v>38</v>
      </c>
      <c r="C30" s="99">
        <v>5.2040607424200101E-2</v>
      </c>
    </row>
    <row r="31" spans="1:3" ht="14.25" customHeight="1" x14ac:dyDescent="0.25">
      <c r="B31" s="25" t="s">
        <v>39</v>
      </c>
      <c r="C31" s="99">
        <v>6.8435949585570102E-2</v>
      </c>
    </row>
    <row r="32" spans="1:3" ht="14.25" customHeight="1" x14ac:dyDescent="0.25">
      <c r="B32" s="25" t="s">
        <v>40</v>
      </c>
      <c r="C32" s="99">
        <v>0.60610044267700902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8.3748699999999996</v>
      </c>
    </row>
    <row r="38" spans="1:5" ht="15" customHeight="1" x14ac:dyDescent="0.25">
      <c r="B38" s="11" t="s">
        <v>45</v>
      </c>
      <c r="C38" s="43">
        <v>11.663259999999999</v>
      </c>
      <c r="D38" s="12"/>
      <c r="E38" s="13"/>
    </row>
    <row r="39" spans="1:5" ht="15" customHeight="1" x14ac:dyDescent="0.25">
      <c r="B39" s="11" t="s">
        <v>46</v>
      </c>
      <c r="C39" s="43">
        <v>13.54884</v>
      </c>
      <c r="D39" s="12"/>
      <c r="E39" s="12"/>
    </row>
    <row r="40" spans="1:5" ht="15" customHeight="1" x14ac:dyDescent="0.25">
      <c r="B40" s="11" t="s">
        <v>47</v>
      </c>
      <c r="C40" s="100">
        <v>0.42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7.9498999999999993E-3</v>
      </c>
      <c r="D45" s="12"/>
    </row>
    <row r="46" spans="1:5" ht="15.75" customHeight="1" x14ac:dyDescent="0.25">
      <c r="B46" s="11" t="s">
        <v>52</v>
      </c>
      <c r="C46" s="45">
        <v>8.5420099999999999E-2</v>
      </c>
      <c r="D46" s="12"/>
    </row>
    <row r="47" spans="1:5" ht="15.75" customHeight="1" x14ac:dyDescent="0.25">
      <c r="B47" s="11" t="s">
        <v>53</v>
      </c>
      <c r="C47" s="45">
        <v>7.3440500000000006E-2</v>
      </c>
      <c r="D47" s="12"/>
      <c r="E47" s="13"/>
    </row>
    <row r="48" spans="1:5" ht="15" customHeight="1" x14ac:dyDescent="0.25">
      <c r="B48" s="11" t="s">
        <v>54</v>
      </c>
      <c r="C48" s="46">
        <v>0.83318950000000003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0.478043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pYr1xdPDDxizjlYKowhH2AV/e6ysm57cnexOHh0KDDKrULW6r3xjpQr4ilXBmvS2WNSpAi23NJiLFPl3HSdMA==" saltValue="ovW05esWv+2ZBb/FICAs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9763</v>
      </c>
      <c r="C2" s="49">
        <v>31527.5</v>
      </c>
      <c r="D2" s="49">
        <v>53634</v>
      </c>
      <c r="E2" s="49">
        <v>52833.5</v>
      </c>
      <c r="F2" s="49">
        <v>30866.5</v>
      </c>
      <c r="G2" s="17">
        <f t="shared" ref="G2:G13" si="0">C2+D2+E2+F2</f>
        <v>168861.5</v>
      </c>
      <c r="H2" s="17">
        <f t="shared" ref="H2:H13" si="1">(B2 + stillbirth*B2/(1000-stillbirth))/(1-abortion)</f>
        <v>11196.371766908944</v>
      </c>
      <c r="I2" s="17">
        <f t="shared" ref="I2:I13" si="2">G2-H2</f>
        <v>157665.12823309106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9652</v>
      </c>
      <c r="C3" s="50">
        <v>31657</v>
      </c>
      <c r="D3" s="50">
        <v>52720.5</v>
      </c>
      <c r="E3" s="50">
        <v>53963.999999999993</v>
      </c>
      <c r="F3" s="50">
        <v>32312.5</v>
      </c>
      <c r="G3" s="17">
        <f t="shared" si="0"/>
        <v>170654</v>
      </c>
      <c r="H3" s="17">
        <f t="shared" si="1"/>
        <v>11069.075109516043</v>
      </c>
      <c r="I3" s="17">
        <f t="shared" si="2"/>
        <v>159584.92489048396</v>
      </c>
    </row>
    <row r="4" spans="1:9" ht="15.75" customHeight="1" x14ac:dyDescent="0.25">
      <c r="A4" s="5">
        <f t="shared" si="3"/>
        <v>2026</v>
      </c>
      <c r="B4" s="49">
        <v>9623</v>
      </c>
      <c r="C4" s="50">
        <v>31614</v>
      </c>
      <c r="D4" s="50">
        <v>52091.5</v>
      </c>
      <c r="E4" s="50">
        <v>54724.5</v>
      </c>
      <c r="F4" s="50">
        <v>33850.5</v>
      </c>
      <c r="G4" s="17">
        <f t="shared" si="0"/>
        <v>172280.5</v>
      </c>
      <c r="H4" s="17">
        <f t="shared" si="1"/>
        <v>11035.817424251232</v>
      </c>
      <c r="I4" s="17">
        <f t="shared" si="2"/>
        <v>161244.68257574877</v>
      </c>
    </row>
    <row r="5" spans="1:9" ht="15.75" customHeight="1" x14ac:dyDescent="0.25">
      <c r="A5" s="5">
        <f t="shared" si="3"/>
        <v>2027</v>
      </c>
      <c r="B5" s="49">
        <v>9585</v>
      </c>
      <c r="C5" s="50">
        <v>31355</v>
      </c>
      <c r="D5" s="50">
        <v>51704.5</v>
      </c>
      <c r="E5" s="50">
        <v>55135.5</v>
      </c>
      <c r="F5" s="50">
        <v>35438</v>
      </c>
      <c r="G5" s="17">
        <f t="shared" si="0"/>
        <v>173633</v>
      </c>
      <c r="H5" s="17">
        <f t="shared" si="1"/>
        <v>10992.238388386995</v>
      </c>
      <c r="I5" s="17">
        <f t="shared" si="2"/>
        <v>162640.76161161301</v>
      </c>
    </row>
    <row r="6" spans="1:9" ht="15.75" customHeight="1" x14ac:dyDescent="0.25">
      <c r="A6" s="5">
        <f t="shared" si="3"/>
        <v>2028</v>
      </c>
      <c r="B6" s="49">
        <v>9521</v>
      </c>
      <c r="C6" s="50">
        <v>31118</v>
      </c>
      <c r="D6" s="50">
        <v>51406</v>
      </c>
      <c r="E6" s="50">
        <v>55303</v>
      </c>
      <c r="F6" s="50">
        <v>37007</v>
      </c>
      <c r="G6" s="17">
        <f t="shared" si="0"/>
        <v>174834</v>
      </c>
      <c r="H6" s="17">
        <f t="shared" si="1"/>
        <v>10918.842117457754</v>
      </c>
      <c r="I6" s="17">
        <f t="shared" si="2"/>
        <v>163915.15788254223</v>
      </c>
    </row>
    <row r="7" spans="1:9" ht="15.75" customHeight="1" x14ac:dyDescent="0.25">
      <c r="A7" s="5">
        <f t="shared" si="3"/>
        <v>2029</v>
      </c>
      <c r="B7" s="49">
        <v>9453</v>
      </c>
      <c r="C7" s="50">
        <v>30950</v>
      </c>
      <c r="D7" s="50">
        <v>51082</v>
      </c>
      <c r="E7" s="50">
        <v>55299.5</v>
      </c>
      <c r="F7" s="50">
        <v>38552</v>
      </c>
      <c r="G7" s="17">
        <f t="shared" si="0"/>
        <v>175883.5</v>
      </c>
      <c r="H7" s="17">
        <f t="shared" si="1"/>
        <v>10840.858579595439</v>
      </c>
      <c r="I7" s="17">
        <f t="shared" si="2"/>
        <v>165042.64142040457</v>
      </c>
    </row>
    <row r="8" spans="1:9" ht="15.75" customHeight="1" x14ac:dyDescent="0.25">
      <c r="A8" s="5">
        <f t="shared" si="3"/>
        <v>2030</v>
      </c>
      <c r="B8" s="49">
        <v>9398</v>
      </c>
      <c r="C8" s="50">
        <v>30794</v>
      </c>
      <c r="D8" s="50">
        <v>50848</v>
      </c>
      <c r="E8" s="50">
        <v>55099.5</v>
      </c>
      <c r="F8" s="50">
        <v>40102</v>
      </c>
      <c r="G8" s="17">
        <f t="shared" si="0"/>
        <v>176843.5</v>
      </c>
      <c r="H8" s="17">
        <f t="shared" si="1"/>
        <v>10777.783659265622</v>
      </c>
      <c r="I8" s="17">
        <f t="shared" si="2"/>
        <v>166065.71634073439</v>
      </c>
    </row>
    <row r="9" spans="1:9" ht="15.75" customHeight="1" x14ac:dyDescent="0.25">
      <c r="A9" s="5">
        <f t="shared" si="3"/>
        <v>2031</v>
      </c>
      <c r="B9" s="49">
        <v>9315</v>
      </c>
      <c r="C9" s="50">
        <v>30568</v>
      </c>
      <c r="D9" s="50">
        <v>50894.5</v>
      </c>
      <c r="E9" s="50">
        <v>54612</v>
      </c>
      <c r="F9" s="50">
        <v>41636</v>
      </c>
      <c r="G9" s="17">
        <f t="shared" si="0"/>
        <v>177710.5</v>
      </c>
      <c r="H9" s="17">
        <f t="shared" si="1"/>
        <v>10682.597870404263</v>
      </c>
      <c r="I9" s="17">
        <f t="shared" si="2"/>
        <v>167027.90212959575</v>
      </c>
    </row>
    <row r="10" spans="1:9" ht="15.75" customHeight="1" x14ac:dyDescent="0.25">
      <c r="A10" s="5">
        <f t="shared" si="3"/>
        <v>2032</v>
      </c>
      <c r="B10" s="49">
        <v>9281</v>
      </c>
      <c r="C10" s="50">
        <v>30302</v>
      </c>
      <c r="D10" s="50">
        <v>50999.5</v>
      </c>
      <c r="E10" s="50">
        <v>53839</v>
      </c>
      <c r="F10" s="50">
        <v>43112.5</v>
      </c>
      <c r="G10" s="17">
        <f t="shared" si="0"/>
        <v>178253</v>
      </c>
      <c r="H10" s="17">
        <f t="shared" si="1"/>
        <v>10643.606101473106</v>
      </c>
      <c r="I10" s="17">
        <f t="shared" si="2"/>
        <v>167609.39389852691</v>
      </c>
    </row>
    <row r="11" spans="1:9" ht="15.75" customHeight="1" x14ac:dyDescent="0.25">
      <c r="A11" s="5">
        <f t="shared" si="3"/>
        <v>2033</v>
      </c>
      <c r="B11" s="49">
        <v>9208</v>
      </c>
      <c r="C11" s="50">
        <v>30078.5</v>
      </c>
      <c r="D11" s="50">
        <v>50971.5</v>
      </c>
      <c r="E11" s="50">
        <v>52911.5</v>
      </c>
      <c r="F11" s="50">
        <v>44540.5</v>
      </c>
      <c r="G11" s="17">
        <f t="shared" si="0"/>
        <v>178502</v>
      </c>
      <c r="H11" s="17">
        <f t="shared" si="1"/>
        <v>10559.888479944439</v>
      </c>
      <c r="I11" s="17">
        <f t="shared" si="2"/>
        <v>167942.11152005557</v>
      </c>
    </row>
    <row r="12" spans="1:9" ht="15.75" customHeight="1" x14ac:dyDescent="0.25">
      <c r="A12" s="5">
        <f t="shared" si="3"/>
        <v>2034</v>
      </c>
      <c r="B12" s="49">
        <v>9126</v>
      </c>
      <c r="C12" s="50">
        <v>29838.5</v>
      </c>
      <c r="D12" s="50">
        <v>50917</v>
      </c>
      <c r="E12" s="50">
        <v>51957.5</v>
      </c>
      <c r="F12" s="50">
        <v>45902</v>
      </c>
      <c r="G12" s="17">
        <f t="shared" si="0"/>
        <v>178615</v>
      </c>
      <c r="H12" s="17">
        <f t="shared" si="1"/>
        <v>10465.849507816351</v>
      </c>
      <c r="I12" s="17">
        <f t="shared" si="2"/>
        <v>168149.15049218366</v>
      </c>
    </row>
    <row r="13" spans="1:9" ht="15.75" customHeight="1" x14ac:dyDescent="0.25">
      <c r="A13" s="5">
        <f t="shared" si="3"/>
        <v>2035</v>
      </c>
      <c r="B13" s="49">
        <v>9093</v>
      </c>
      <c r="C13" s="50">
        <v>29571</v>
      </c>
      <c r="D13" s="50">
        <v>50807.5</v>
      </c>
      <c r="E13" s="50">
        <v>51138</v>
      </c>
      <c r="F13" s="50">
        <v>47128</v>
      </c>
      <c r="G13" s="17">
        <f t="shared" si="0"/>
        <v>178644.5</v>
      </c>
      <c r="H13" s="17">
        <f t="shared" si="1"/>
        <v>10428.004555618461</v>
      </c>
      <c r="I13" s="17">
        <f t="shared" si="2"/>
        <v>168216.49544438155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YGTszpqVve10OmvuXcgc7cXQrG1IaW+oI75xQd/bDYTdqdGrJRA1eNgamad4tlL21CX2gHwRyxy3HWyNf3Dqw==" saltValue="HVgyX3391sdz6NyktP0q1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2.3714377321137239E-4</v>
      </c>
    </row>
    <row r="4" spans="1:8" ht="15.75" customHeight="1" x14ac:dyDescent="0.25">
      <c r="B4" s="19" t="s">
        <v>79</v>
      </c>
      <c r="C4" s="101">
        <v>6.8990142437228216E-2</v>
      </c>
    </row>
    <row r="5" spans="1:8" ht="15.75" customHeight="1" x14ac:dyDescent="0.25">
      <c r="B5" s="19" t="s">
        <v>80</v>
      </c>
      <c r="C5" s="101">
        <v>2.154879078170566E-2</v>
      </c>
    </row>
    <row r="6" spans="1:8" ht="15.75" customHeight="1" x14ac:dyDescent="0.25">
      <c r="B6" s="19" t="s">
        <v>81</v>
      </c>
      <c r="C6" s="101">
        <v>0.1476192994640973</v>
      </c>
    </row>
    <row r="7" spans="1:8" ht="15.75" customHeight="1" x14ac:dyDescent="0.25">
      <c r="B7" s="19" t="s">
        <v>82</v>
      </c>
      <c r="C7" s="101">
        <v>0.4627929717863894</v>
      </c>
    </row>
    <row r="8" spans="1:8" ht="15.75" customHeight="1" x14ac:dyDescent="0.25">
      <c r="B8" s="19" t="s">
        <v>83</v>
      </c>
      <c r="C8" s="101">
        <v>8.2448451472156015E-3</v>
      </c>
    </row>
    <row r="9" spans="1:8" ht="15.75" customHeight="1" x14ac:dyDescent="0.25">
      <c r="B9" s="19" t="s">
        <v>84</v>
      </c>
      <c r="C9" s="101">
        <v>0.21754911910386021</v>
      </c>
    </row>
    <row r="10" spans="1:8" ht="15.75" customHeight="1" x14ac:dyDescent="0.25">
      <c r="B10" s="19" t="s">
        <v>85</v>
      </c>
      <c r="C10" s="101">
        <v>7.3017687506292284E-2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88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89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93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94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95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8.8581064000000001E-2</v>
      </c>
    </row>
    <row r="27" spans="1:8" ht="15.75" customHeight="1" x14ac:dyDescent="0.25">
      <c r="B27" s="19" t="s">
        <v>102</v>
      </c>
      <c r="C27" s="101">
        <v>8.3095249999999999E-3</v>
      </c>
    </row>
    <row r="28" spans="1:8" ht="15.75" customHeight="1" x14ac:dyDescent="0.25">
      <c r="B28" s="19" t="s">
        <v>103</v>
      </c>
      <c r="C28" s="101">
        <v>0.157741201</v>
      </c>
    </row>
    <row r="29" spans="1:8" ht="15.75" customHeight="1" x14ac:dyDescent="0.25">
      <c r="B29" s="19" t="s">
        <v>104</v>
      </c>
      <c r="C29" s="101">
        <v>0.16874623</v>
      </c>
    </row>
    <row r="30" spans="1:8" ht="15.75" customHeight="1" x14ac:dyDescent="0.25">
      <c r="B30" s="19" t="s">
        <v>2</v>
      </c>
      <c r="C30" s="101">
        <v>0.10641809300000001</v>
      </c>
    </row>
    <row r="31" spans="1:8" ht="15.75" customHeight="1" x14ac:dyDescent="0.25">
      <c r="B31" s="19" t="s">
        <v>105</v>
      </c>
      <c r="C31" s="101">
        <v>0.109242019</v>
      </c>
    </row>
    <row r="32" spans="1:8" ht="15.75" customHeight="1" x14ac:dyDescent="0.25">
      <c r="B32" s="19" t="s">
        <v>106</v>
      </c>
      <c r="C32" s="101">
        <v>1.8835845E-2</v>
      </c>
    </row>
    <row r="33" spans="2:3" ht="15.75" customHeight="1" x14ac:dyDescent="0.25">
      <c r="B33" s="19" t="s">
        <v>107</v>
      </c>
      <c r="C33" s="101">
        <v>8.4593191999999998E-2</v>
      </c>
    </row>
    <row r="34" spans="2:3" ht="15.75" customHeight="1" x14ac:dyDescent="0.25">
      <c r="B34" s="19" t="s">
        <v>108</v>
      </c>
      <c r="C34" s="101">
        <v>0.25753283100000002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6upIOlU7c4NmggI+06E4VO/RifLzD7EFTcTp17PCt8Mhu83IZK20/UbY91YcXx1QSfxyQ4/bOiVRZ4wx8ueliw==" saltValue="/9K/gqBRyV2AIyTiyWPH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114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115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119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120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M6VGdDOP23wdzOOlAlUEtHSJUR8rropltad+hBOqffirFLZtkBBUT9T2FklpnXbnRz4pspzQoNwkToZdaNjjA==" saltValue="SNQ6jKjX0jkoMzzkec3k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132</v>
      </c>
      <c r="C5" s="52">
        <v>0.64601169999999997</v>
      </c>
      <c r="D5" s="52">
        <v>0.37872990000000001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rTBlbxyu404Wv+yQIjD95YkAJKk74MzlPX7LR3ewCS7xnn6tY1LOzN67/DokvIbZ7LJdZeonutTeRQtUqfPKbQ==" saltValue="lBP+yqcRHO83C9Opa+Eue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ajMZa5l8sfaRpr9kmalFh5Yt2cBvYw0bH//KWKRU7PJRigO2lhguW4rAJsEJxEUboKxutwAcYScQNUVtJ1o0g==" saltValue="enWv+kowJYZZocywq5jd+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Xe/4A/+K3RSE93Ct0xabi2N+Hwq6OzaHaGiyvGcY3puC2NTZkL1Px3qjBqDl5+bwqQXJpyqoZuZBUee07l38Vw==" saltValue="d5m55uPdy0OA0EEMLC12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x7/LbMovthMvaV0VuK/pe6L3wPuaHIWxfNt+zQ+EvHsCDdHBehSoVjeHpW9091afpqs11ID1dBoknUKLm4p9kA==" saltValue="4ieszfxKu7rWxPYhTBn/V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nr1bDA0/cottS9dMtOEtmkGMKiHsoUkriMUKBUso+HLHhUYUxlg326uDbzvPdSPwO5FrmcZtzjUBlE4HX+2+Kg==" saltValue="6kYiM4SDxHLCtCerUB5HD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50.717962815851763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0.22250339999999999</v>
      </c>
      <c r="C3" s="98">
        <v>0.95</v>
      </c>
      <c r="D3" s="56">
        <v>39.716252809925493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299.77526795353111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1.028663060260697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0.10199999999999999</v>
      </c>
      <c r="C10" s="98">
        <v>0.95</v>
      </c>
      <c r="D10" s="56">
        <v>12.84855225372141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0.10199999999999999</v>
      </c>
      <c r="C11" s="98">
        <v>0.95</v>
      </c>
      <c r="D11" s="56">
        <v>12.84855225372141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0.10199999999999999</v>
      </c>
      <c r="C12" s="98">
        <v>0.95</v>
      </c>
      <c r="D12" s="56">
        <v>12.84855225372141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0.10199999999999999</v>
      </c>
      <c r="C13" s="98">
        <v>0.95</v>
      </c>
      <c r="D13" s="56">
        <v>12.84855225372141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0.10199999999999999</v>
      </c>
      <c r="C14" s="98">
        <v>0.95</v>
      </c>
      <c r="D14" s="56">
        <v>12.84855225372141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0.10199999999999999</v>
      </c>
      <c r="C15" s="98">
        <v>0.95</v>
      </c>
      <c r="D15" s="56">
        <v>12.84855225372141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0.96</v>
      </c>
      <c r="C16" s="98">
        <v>0.95</v>
      </c>
      <c r="D16" s="56">
        <v>0.55531805361675357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0.33777333333333298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9.7595052500000001E-2</v>
      </c>
      <c r="C18" s="98">
        <v>0.95</v>
      </c>
      <c r="D18" s="56">
        <v>6.9453945454574351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0.830453</v>
      </c>
      <c r="C19" s="98">
        <v>0.95</v>
      </c>
      <c r="D19" s="56">
        <v>6.9453945454574351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0.89980549999999992</v>
      </c>
      <c r="C21" s="98">
        <v>0.95</v>
      </c>
      <c r="D21" s="56">
        <v>9.4911885685343371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22.086705401333919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4.1770706684296162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0.73954312999999994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0.10199999999999999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18.30380770317878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0.57994807749999999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96.960746737260479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2.3752360395467411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1.1755235646488491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0.998</v>
      </c>
      <c r="C38" s="98">
        <v>0.95</v>
      </c>
      <c r="D38" s="56">
        <v>2.5879090305551942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ECpbsK0go1ned8L+Ha/BGMeoAjnksjV78V4U7MaU366XeBkRzc65pYHCkua9ASBtgNT91Djpg01QJro+TbYRQA==" saltValue="6oMcfFf214GzJIAETWAg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5nGez164RjESVZRnhT32f0nNqBRGvvobz3jBqASMYyPndBQjOaq218Uq9xMBMlmSIEp4lcp6nDyeBq48zdkKQ==" saltValue="1XYZhCu2x3zcx3ioIRi0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PVv3WxOaaJstf/2aUXnt3ISr/n+Sv8OSXMB81BxDu27nCGXRfGMCqfIkqGqbKcOubuD067j1GZKbylL/KeRVA==" saltValue="6qXQFPzrBtfUJeUvhhyC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208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W6WexOIQ4Mpb2PN4z9III7lSRptSBxvDtxtnwjKMyCnjVW5jtYxIvsjnsolDW/QT5bcGE3RUBsLVazwEmhrlfw==" saltValue="f4DV8KQ1mbrYP1l45PKG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0.1596057102294923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6.8402447241210987E-2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9.3311117431640694E-2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0.67868072509765598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mEBNdBxQ0vcO4BavX20tg1cCK0cyQM93qDXbHhSh5G8KxGPPBGpnwA4QbAfTz4+lgGabykb8HNaR8KmuuuScw==" saltValue="Vqe8dg3TlR1YeFmnldLD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HCOohWVFHknU5L03hYiI6XN2tUOMUlB8BW+ta1iqO209v4iAoiiYUnOK7o6GVDC3xzJIu0SlIEIJ/gi3pUPVQ==" saltValue="qo5Epvq0WK1COAKBKslB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aYjAsrjn4ZiLnXWA0fF9XgphbxYsWIRhNqrfRuPBKgWb8wuQrFwQlBhCDuPhkta0jOSVsMVT5vBH5Gf2P98dA==" saltValue="8zeMQouMIpGr3CzYWSYy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xy4lXt4QPY1QdviYIkX6cnF476BZMuDzwAJn0jEo2qKMCByWAqjCh2HhJBfjsYx2V0Vw+EQooX1lyVQpQ//EA==" saltValue="iLeo8egp+hzSDy5UGaln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3Y4r/hLIxiVjRk4lgWrUBUlCNKc2T6TdfqBz5pi4QKEZwFypyjev5nIMv4Ifqd7DM5CZrGllIMpkWARGAjlsg==" saltValue="/DicU5VBdA1PqXs5lnEjU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zdpIsvN/rx3KrW4hQCwDvSI2vlDraDUqC4lkz/VMPkdh88cvqd4c+mjgB8+0ksPoQrtmMffM5VQ27eEGqHwUQ==" saltValue="q/bL8CslfYcVlFPsif2e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Les/XSm4NDAl4sFnhHoP+hXyVO2Soweo7AawM4378XU4UNRiIQB2er9sO298cR7eelq7oIXKWc0vSaNar21k7w==" saltValue="/XA3b8E6sIX1iJJaXSJsa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CDIgcnlz3jReKXspN9nicSqb/J4SA8FkOUPAv7yRbyGLMH/4a/FkrMGntWjVoMAnfLDAyRhWtCEATmTL/jPBA==" saltValue="LeIe8JbbNbVSmfzXf33T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fZtx+8/6b0qocBzmfiSlolXVl6suRIJF98SFAhi9WNVtVyLWJJ6zD1Dp36he3/iwHByzUgdSEVwpxFqsXngQw==" saltValue="np/Hg6H/HzgFpV0JLZm1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Mpj0tgl0VRytTO1ugWOTsG7p6lGNHrsOWl7eBg6NeiieofDSXSCu/6pkf7ZLkxR7b30ZeiAxSBPzaFnjoCe/g==" saltValue="wK7q/irx+n5BK3wb9kTr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9N5G3bEul+wJkIsSwqmI6xyEM7+QjBu7P7XDIihLfZ052IHpnIs5TtwXqYdqAiyv6HZq+8/W4pzHBdBUjviyg==" saltValue="E7Pm/gxF2oP+mqZA95Rt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VPJNJ1j7YuqXI7mrnIDwPeu5WGfIMcivry8y/Sdx8131+XWLdskvsZB2Wwcr7gFvqZ1DQvrok98hKSKiwVpZw==" saltValue="W12CxdnWHEt4DeKAm4u5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iA4Bx4W6AHfOU1XjwjG6OM9hiOqh6m2P9j6lyeX9UFzyeRwxiONuA2ldSan4TYZripLEEjRwizp6BISiPnnhA==" saltValue="KL9d7EWMcUkh5+lHgGx+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E4rgLyOiVcs4FQGRxjCd/znAabbmj3x/SJFyOXb4SHC5KORtZ+R1ptmaSodyl1Zl25+s+8P7D6qtqzAXiNrQA==" saltValue="YexAAXow7vC7Jy9EvwNQ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PsQPjMZjHCCk8SYaGgM+/3B14DyPHaeNhJMAq6O5zzOvaahjg5ozYqG3mRqbAwZWRQriObOeIUgra6OUrbrBA==" saltValue="PSUga83XY/+phGAG6n19T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2024-05-17T00:20:23Z</dcterms:modified>
</cp:coreProperties>
</file>