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5CFB2103-692B-4312-92CD-649E3328134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1" i="2"/>
  <c r="A23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40" i="2" s="1"/>
  <c r="C33" i="1"/>
  <c r="C20" i="1"/>
  <c r="I5" i="2" l="1"/>
  <c r="I9" i="2"/>
  <c r="I13" i="2"/>
  <c r="I2" i="2"/>
  <c r="I6" i="2"/>
  <c r="I10" i="2"/>
  <c r="A15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<sst xmlns="http://schemas.openxmlformats.org/spreadsheetml/2006/main" count="2101" uniqueCount="337">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</sst>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111855402</v>
      </c>
    </row>
    <row r="8" spans="1:3" ht="15" customHeight="1" x14ac:dyDescent="0.25">
      <c r="B8" s="5" t="s">
        <v>19</v>
      </c>
      <c r="C8" s="44">
        <v>0.21199999999999999</v>
      </c>
    </row>
    <row r="9" spans="1:3" ht="15" customHeight="1" x14ac:dyDescent="0.25">
      <c r="B9" s="5" t="s">
        <v>20</v>
      </c>
      <c r="C9" s="45">
        <v>0.1323</v>
      </c>
    </row>
    <row r="10" spans="1:3" ht="15" customHeight="1" x14ac:dyDescent="0.25">
      <c r="B10" s="5" t="s">
        <v>21</v>
      </c>
      <c r="C10" s="45">
        <v>0.62193199157714796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0.28000000000000003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0.115</v>
      </c>
    </row>
    <row r="24" spans="1:3" ht="15" customHeight="1" x14ac:dyDescent="0.25">
      <c r="B24" s="15" t="s">
        <v>33</v>
      </c>
      <c r="C24" s="45">
        <v>0.6835</v>
      </c>
    </row>
    <row r="25" spans="1:3" ht="15" customHeight="1" x14ac:dyDescent="0.25">
      <c r="B25" s="15" t="s">
        <v>34</v>
      </c>
      <c r="C25" s="45">
        <v>0.1807</v>
      </c>
    </row>
    <row r="26" spans="1:3" ht="15" customHeight="1" x14ac:dyDescent="0.25">
      <c r="B26" s="15" t="s">
        <v>35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0.39483629874449699</v>
      </c>
    </row>
    <row r="30" spans="1:3" ht="14.25" customHeight="1" x14ac:dyDescent="0.25">
      <c r="B30" s="25" t="s">
        <v>38</v>
      </c>
      <c r="C30" s="99">
        <v>6.4915878276872702E-2</v>
      </c>
    </row>
    <row r="31" spans="1:3" ht="14.25" customHeight="1" x14ac:dyDescent="0.25">
      <c r="B31" s="25" t="s">
        <v>39</v>
      </c>
      <c r="C31" s="99">
        <v>0.100475847605401</v>
      </c>
    </row>
    <row r="32" spans="1:3" ht="14.25" customHeight="1" x14ac:dyDescent="0.25">
      <c r="B32" s="25" t="s">
        <v>40</v>
      </c>
      <c r="C32" s="99">
        <v>0.43977197537322998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19.11843</v>
      </c>
    </row>
    <row r="38" spans="1:5" ht="15" customHeight="1" x14ac:dyDescent="0.25">
      <c r="B38" s="11" t="s">
        <v>45</v>
      </c>
      <c r="C38" s="43">
        <v>25.487660000000002</v>
      </c>
      <c r="D38" s="12"/>
      <c r="E38" s="13"/>
    </row>
    <row r="39" spans="1:5" ht="15" customHeight="1" x14ac:dyDescent="0.25">
      <c r="B39" s="11" t="s">
        <v>46</v>
      </c>
      <c r="C39" s="43">
        <v>30.619209999999999</v>
      </c>
      <c r="D39" s="12"/>
      <c r="E39" s="12"/>
    </row>
    <row r="40" spans="1:5" ht="15" customHeight="1" x14ac:dyDescent="0.25">
      <c r="B40" s="11" t="s">
        <v>47</v>
      </c>
      <c r="C40" s="100">
        <v>1.03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1.8195699999999999E-2</v>
      </c>
      <c r="D45" s="12"/>
    </row>
    <row r="46" spans="1:5" ht="15.75" customHeight="1" x14ac:dyDescent="0.25">
      <c r="B46" s="11" t="s">
        <v>52</v>
      </c>
      <c r="C46" s="45">
        <v>0.1121805</v>
      </c>
      <c r="D46" s="12"/>
    </row>
    <row r="47" spans="1:5" ht="15.75" customHeight="1" x14ac:dyDescent="0.25">
      <c r="B47" s="11" t="s">
        <v>53</v>
      </c>
      <c r="C47" s="45">
        <v>0.40419500000000003</v>
      </c>
      <c r="D47" s="12"/>
      <c r="E47" s="13"/>
    </row>
    <row r="48" spans="1:5" ht="15" customHeight="1" x14ac:dyDescent="0.25">
      <c r="B48" s="11" t="s">
        <v>54</v>
      </c>
      <c r="C48" s="46">
        <v>0.46542879999999998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0.45378299999999999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9Ux9JG7Z6axIxO38NtX3OyQu6GUWYLnYZXmdEFbFRDnGFSq84Zm6VDNOLoRYCjfPNzRJv3IA6BLk1oOedNsRpQ==" saltValue="9pMYl6F8PPFh7yB33Wr3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23000685</v>
      </c>
      <c r="C2" s="49">
        <v>71725685.999999985</v>
      </c>
      <c r="D2" s="49">
        <v>119498276</v>
      </c>
      <c r="E2" s="49">
        <v>109300719</v>
      </c>
      <c r="F2" s="49">
        <v>79727068</v>
      </c>
      <c r="G2" s="17">
        <f t="shared" ref="G2:G13" si="0">C2+D2+E2+F2</f>
        <v>380251749</v>
      </c>
      <c r="H2" s="17">
        <f t="shared" ref="H2:H13" si="1">(B2 + stillbirth*B2/(1000-stillbirth))/(1-abortion)</f>
        <v>26461100.53632265</v>
      </c>
      <c r="I2" s="17">
        <f t="shared" ref="I2:I13" si="2">G2-H2</f>
        <v>353790648.46367735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22979744</v>
      </c>
      <c r="C3" s="50">
        <v>71396420</v>
      </c>
      <c r="D3" s="50">
        <v>119844156</v>
      </c>
      <c r="E3" s="50">
        <v>110416399</v>
      </c>
      <c r="F3" s="50">
        <v>81432039</v>
      </c>
      <c r="G3" s="17">
        <f t="shared" si="0"/>
        <v>383089014</v>
      </c>
      <c r="H3" s="17">
        <f t="shared" si="1"/>
        <v>26437008.997034527</v>
      </c>
      <c r="I3" s="17">
        <f t="shared" si="2"/>
        <v>356652005.00296545</v>
      </c>
    </row>
    <row r="4" spans="1:9" ht="15.75" customHeight="1" x14ac:dyDescent="0.25">
      <c r="A4" s="5">
        <f t="shared" si="3"/>
        <v>2026</v>
      </c>
      <c r="B4" s="49">
        <v>22819796</v>
      </c>
      <c r="C4" s="50">
        <v>71131431.499999985</v>
      </c>
      <c r="D4" s="50">
        <v>119991552.5</v>
      </c>
      <c r="E4" s="50">
        <v>111382748.5</v>
      </c>
      <c r="F4" s="50">
        <v>83190756.5</v>
      </c>
      <c r="G4" s="17">
        <f t="shared" si="0"/>
        <v>385696489</v>
      </c>
      <c r="H4" s="17">
        <f t="shared" si="1"/>
        <v>26252997.081364032</v>
      </c>
      <c r="I4" s="17">
        <f t="shared" si="2"/>
        <v>359443491.91863596</v>
      </c>
    </row>
    <row r="5" spans="1:9" ht="15.75" customHeight="1" x14ac:dyDescent="0.25">
      <c r="A5" s="5">
        <f t="shared" si="3"/>
        <v>2027</v>
      </c>
      <c r="B5" s="49">
        <v>22778973</v>
      </c>
      <c r="C5" s="50">
        <v>70865932.5</v>
      </c>
      <c r="D5" s="50">
        <v>120002444.5</v>
      </c>
      <c r="E5" s="50">
        <v>112247523</v>
      </c>
      <c r="F5" s="50">
        <v>85028711</v>
      </c>
      <c r="G5" s="17">
        <f t="shared" si="0"/>
        <v>388144611</v>
      </c>
      <c r="H5" s="17">
        <f t="shared" si="1"/>
        <v>26206032.327610202</v>
      </c>
      <c r="I5" s="17">
        <f t="shared" si="2"/>
        <v>361938578.67238981</v>
      </c>
    </row>
    <row r="6" spans="1:9" ht="15.75" customHeight="1" x14ac:dyDescent="0.25">
      <c r="A6" s="5">
        <f t="shared" si="3"/>
        <v>2028</v>
      </c>
      <c r="B6" s="49">
        <v>22664923</v>
      </c>
      <c r="C6" s="50">
        <v>70414084.5</v>
      </c>
      <c r="D6" s="50">
        <v>119924467</v>
      </c>
      <c r="E6" s="50">
        <v>113083032.5</v>
      </c>
      <c r="F6" s="50">
        <v>86913878</v>
      </c>
      <c r="G6" s="17">
        <f t="shared" si="0"/>
        <v>390335462</v>
      </c>
      <c r="H6" s="17">
        <f t="shared" si="1"/>
        <v>26074823.691164482</v>
      </c>
      <c r="I6" s="17">
        <f t="shared" si="2"/>
        <v>364260638.30883551</v>
      </c>
    </row>
    <row r="7" spans="1:9" ht="15.75" customHeight="1" x14ac:dyDescent="0.25">
      <c r="A7" s="5">
        <f t="shared" si="3"/>
        <v>2029</v>
      </c>
      <c r="B7" s="49">
        <v>22551776</v>
      </c>
      <c r="C7" s="50">
        <v>69786401</v>
      </c>
      <c r="D7" s="50">
        <v>119795600.5</v>
      </c>
      <c r="E7" s="50">
        <v>113850841.5</v>
      </c>
      <c r="F7" s="50">
        <v>88705715.5</v>
      </c>
      <c r="G7" s="17">
        <f t="shared" si="0"/>
        <v>392138558.5</v>
      </c>
      <c r="H7" s="17">
        <f t="shared" si="1"/>
        <v>25944653.909595657</v>
      </c>
      <c r="I7" s="17">
        <f t="shared" si="2"/>
        <v>366193904.59040433</v>
      </c>
    </row>
    <row r="8" spans="1:9" ht="15.75" customHeight="1" x14ac:dyDescent="0.25">
      <c r="A8" s="5">
        <f t="shared" si="3"/>
        <v>2030</v>
      </c>
      <c r="B8" s="49">
        <v>22476542</v>
      </c>
      <c r="C8" s="50">
        <v>69193222</v>
      </c>
      <c r="D8" s="50">
        <v>119545653</v>
      </c>
      <c r="E8" s="50">
        <v>114645078</v>
      </c>
      <c r="F8" s="50">
        <v>90379561</v>
      </c>
      <c r="G8" s="17">
        <f t="shared" si="0"/>
        <v>393763514</v>
      </c>
      <c r="H8" s="17">
        <f t="shared" si="1"/>
        <v>25858101.077027861</v>
      </c>
      <c r="I8" s="17">
        <f t="shared" si="2"/>
        <v>367905412.92297214</v>
      </c>
    </row>
    <row r="9" spans="1:9" ht="15.75" customHeight="1" x14ac:dyDescent="0.25">
      <c r="A9" s="5">
        <f t="shared" si="3"/>
        <v>2031</v>
      </c>
      <c r="B9" s="49">
        <v>22298572</v>
      </c>
      <c r="C9" s="50">
        <v>68574356</v>
      </c>
      <c r="D9" s="50">
        <v>119074622</v>
      </c>
      <c r="E9" s="50">
        <v>115506115.5</v>
      </c>
      <c r="F9" s="50">
        <v>91885491.5</v>
      </c>
      <c r="G9" s="17">
        <f t="shared" si="0"/>
        <v>395040585</v>
      </c>
      <c r="H9" s="17">
        <f t="shared" si="1"/>
        <v>25653355.780857362</v>
      </c>
      <c r="I9" s="17">
        <f t="shared" si="2"/>
        <v>369387229.21914262</v>
      </c>
    </row>
    <row r="10" spans="1:9" ht="15.75" customHeight="1" x14ac:dyDescent="0.25">
      <c r="A10" s="5">
        <f t="shared" si="3"/>
        <v>2032</v>
      </c>
      <c r="B10" s="49">
        <v>22220638</v>
      </c>
      <c r="C10" s="50">
        <v>67926794.5</v>
      </c>
      <c r="D10" s="50">
        <v>118457759</v>
      </c>
      <c r="E10" s="50">
        <v>116320354</v>
      </c>
      <c r="F10" s="50">
        <v>93277104</v>
      </c>
      <c r="G10" s="17">
        <f t="shared" si="0"/>
        <v>395982011.5</v>
      </c>
      <c r="H10" s="17">
        <f t="shared" si="1"/>
        <v>25563696.737694178</v>
      </c>
      <c r="I10" s="17">
        <f t="shared" si="2"/>
        <v>370418314.7623058</v>
      </c>
    </row>
    <row r="11" spans="1:9" ht="15.75" customHeight="1" x14ac:dyDescent="0.25">
      <c r="A11" s="5">
        <f t="shared" si="3"/>
        <v>2033</v>
      </c>
      <c r="B11" s="49">
        <v>22056799</v>
      </c>
      <c r="C11" s="50">
        <v>67244633.5</v>
      </c>
      <c r="D11" s="50">
        <v>117804936</v>
      </c>
      <c r="E11" s="50">
        <v>117017207.5</v>
      </c>
      <c r="F11" s="50">
        <v>94595164</v>
      </c>
      <c r="G11" s="17">
        <f t="shared" si="0"/>
        <v>396661941</v>
      </c>
      <c r="H11" s="17">
        <f t="shared" si="1"/>
        <v>25375208.42742122</v>
      </c>
      <c r="I11" s="17">
        <f t="shared" si="2"/>
        <v>371286732.57257879</v>
      </c>
    </row>
    <row r="12" spans="1:9" ht="15.75" customHeight="1" x14ac:dyDescent="0.25">
      <c r="A12" s="5">
        <f t="shared" si="3"/>
        <v>2034</v>
      </c>
      <c r="B12" s="49">
        <v>21918597</v>
      </c>
      <c r="C12" s="50">
        <v>66569216.499999993</v>
      </c>
      <c r="D12" s="50">
        <v>117012884</v>
      </c>
      <c r="E12" s="50">
        <v>117572502</v>
      </c>
      <c r="F12" s="50">
        <v>95761642</v>
      </c>
      <c r="G12" s="17">
        <f t="shared" si="0"/>
        <v>396916244.5</v>
      </c>
      <c r="H12" s="17">
        <f t="shared" si="1"/>
        <v>25216214.161975611</v>
      </c>
      <c r="I12" s="17">
        <f t="shared" si="2"/>
        <v>371700030.33802438</v>
      </c>
    </row>
    <row r="13" spans="1:9" ht="15.75" customHeight="1" x14ac:dyDescent="0.25">
      <c r="A13" s="5">
        <f t="shared" si="3"/>
        <v>2035</v>
      </c>
      <c r="B13" s="49">
        <v>21764387</v>
      </c>
      <c r="C13" s="50">
        <v>65978035.5</v>
      </c>
      <c r="D13" s="50">
        <v>116158660</v>
      </c>
      <c r="E13" s="50">
        <v>117935685</v>
      </c>
      <c r="F13" s="50">
        <v>96801939.5</v>
      </c>
      <c r="G13" s="17">
        <f t="shared" si="0"/>
        <v>396874320</v>
      </c>
      <c r="H13" s="17">
        <f t="shared" si="1"/>
        <v>25038803.519044481</v>
      </c>
      <c r="I13" s="17">
        <f t="shared" si="2"/>
        <v>371835516.48095554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ysERqpXtTBTshVvwMJ3CEKfgmtr8anNAKXJ4DGtgYOo5kVbELaFFppAwL6FevnsLSZwkQmjkXMUci/vKf2Hng==" saltValue="oBmR4eD+5TzAHTeKwFpbD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1.1802901180290121E-2</v>
      </c>
    </row>
    <row r="4" spans="1:8" ht="15.75" customHeight="1" x14ac:dyDescent="0.25">
      <c r="B4" s="19" t="s">
        <v>79</v>
      </c>
      <c r="C4" s="101">
        <v>4.7839204783920453E-2</v>
      </c>
    </row>
    <row r="5" spans="1:8" ht="15.75" customHeight="1" x14ac:dyDescent="0.25">
      <c r="B5" s="19" t="s">
        <v>80</v>
      </c>
      <c r="C5" s="101">
        <v>6.8903006890300683E-2</v>
      </c>
    </row>
    <row r="6" spans="1:8" ht="15.75" customHeight="1" x14ac:dyDescent="0.25">
      <c r="B6" s="19" t="s">
        <v>81</v>
      </c>
      <c r="C6" s="101">
        <v>0.2147846214784627</v>
      </c>
    </row>
    <row r="7" spans="1:8" ht="15.75" customHeight="1" x14ac:dyDescent="0.25">
      <c r="B7" s="19" t="s">
        <v>82</v>
      </c>
      <c r="C7" s="101">
        <v>0.3863576386357635</v>
      </c>
    </row>
    <row r="8" spans="1:8" ht="15.75" customHeight="1" x14ac:dyDescent="0.25">
      <c r="B8" s="19" t="s">
        <v>83</v>
      </c>
      <c r="C8" s="101">
        <v>1.4752001475200141E-3</v>
      </c>
    </row>
    <row r="9" spans="1:8" ht="15.75" customHeight="1" x14ac:dyDescent="0.25">
      <c r="B9" s="19" t="s">
        <v>84</v>
      </c>
      <c r="C9" s="101">
        <v>8.9832408983240783E-2</v>
      </c>
    </row>
    <row r="10" spans="1:8" ht="15.75" customHeight="1" x14ac:dyDescent="0.25">
      <c r="B10" s="19" t="s">
        <v>85</v>
      </c>
      <c r="C10" s="101">
        <v>0.17900501790050191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88</v>
      </c>
      <c r="C15" s="101">
        <v>0.230872333632888</v>
      </c>
      <c r="D15" s="101">
        <v>0.230872333632888</v>
      </c>
      <c r="E15" s="101">
        <v>0.230872333632888</v>
      </c>
      <c r="F15" s="101">
        <v>0.230872333632888</v>
      </c>
    </row>
    <row r="16" spans="1:8" ht="15.75" customHeight="1" x14ac:dyDescent="0.25">
      <c r="B16" s="19" t="s">
        <v>89</v>
      </c>
      <c r="C16" s="101">
        <v>3.8348142011340389E-2</v>
      </c>
      <c r="D16" s="101">
        <v>3.8348142011340389E-2</v>
      </c>
      <c r="E16" s="101">
        <v>3.8348142011340389E-2</v>
      </c>
      <c r="F16" s="101">
        <v>3.8348142011340389E-2</v>
      </c>
    </row>
    <row r="17" spans="1:8" ht="15.75" customHeight="1" x14ac:dyDescent="0.25">
      <c r="B17" s="19" t="s">
        <v>90</v>
      </c>
      <c r="C17" s="101">
        <v>3.5408397605315653E-2</v>
      </c>
      <c r="D17" s="101">
        <v>3.5408397605315653E-2</v>
      </c>
      <c r="E17" s="101">
        <v>3.5408397605315653E-2</v>
      </c>
      <c r="F17" s="101">
        <v>3.5408397605315653E-2</v>
      </c>
    </row>
    <row r="18" spans="1:8" ht="15.75" customHeight="1" x14ac:dyDescent="0.25">
      <c r="B18" s="19" t="s">
        <v>91</v>
      </c>
      <c r="C18" s="101">
        <v>7.1410678096298971E-3</v>
      </c>
      <c r="D18" s="101">
        <v>7.1410678096298971E-3</v>
      </c>
      <c r="E18" s="101">
        <v>7.1410678096298971E-3</v>
      </c>
      <c r="F18" s="101">
        <v>7.1410678096298971E-3</v>
      </c>
    </row>
    <row r="19" spans="1:8" ht="15.75" customHeight="1" x14ac:dyDescent="0.25">
      <c r="B19" s="19" t="s">
        <v>92</v>
      </c>
      <c r="C19" s="101">
        <v>2.6687220192693512E-2</v>
      </c>
      <c r="D19" s="101">
        <v>2.6687220192693512E-2</v>
      </c>
      <c r="E19" s="101">
        <v>2.6687220192693512E-2</v>
      </c>
      <c r="F19" s="101">
        <v>2.6687220192693512E-2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0.14546560647395049</v>
      </c>
      <c r="D21" s="101">
        <v>0.14546560647395049</v>
      </c>
      <c r="E21" s="101">
        <v>0.14546560647395049</v>
      </c>
      <c r="F21" s="101">
        <v>0.14546560647395049</v>
      </c>
    </row>
    <row r="22" spans="1:8" ht="15.75" customHeight="1" x14ac:dyDescent="0.25">
      <c r="B22" s="19" t="s">
        <v>95</v>
      </c>
      <c r="C22" s="101">
        <v>0.32471813177277092</v>
      </c>
      <c r="D22" s="101">
        <v>0.32471813177277092</v>
      </c>
      <c r="E22" s="101">
        <v>0.32471813177277092</v>
      </c>
      <c r="F22" s="101">
        <v>0.32471813177277092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3.4359752E-2</v>
      </c>
    </row>
    <row r="27" spans="1:8" ht="15.75" customHeight="1" x14ac:dyDescent="0.25">
      <c r="B27" s="19" t="s">
        <v>102</v>
      </c>
      <c r="C27" s="101">
        <v>1.0551130000000001E-3</v>
      </c>
    </row>
    <row r="28" spans="1:8" ht="15.75" customHeight="1" x14ac:dyDescent="0.25">
      <c r="B28" s="19" t="s">
        <v>103</v>
      </c>
      <c r="C28" s="101">
        <v>0.250608724</v>
      </c>
    </row>
    <row r="29" spans="1:8" ht="15.75" customHeight="1" x14ac:dyDescent="0.25">
      <c r="B29" s="19" t="s">
        <v>104</v>
      </c>
      <c r="C29" s="101">
        <v>9.0697442000000003E-2</v>
      </c>
    </row>
    <row r="30" spans="1:8" ht="15.75" customHeight="1" x14ac:dyDescent="0.25">
      <c r="B30" s="19" t="s">
        <v>2</v>
      </c>
      <c r="C30" s="101">
        <v>0.16739261999999999</v>
      </c>
    </row>
    <row r="31" spans="1:8" ht="15.75" customHeight="1" x14ac:dyDescent="0.25">
      <c r="B31" s="19" t="s">
        <v>105</v>
      </c>
      <c r="C31" s="101">
        <v>6.9589346999999982E-2</v>
      </c>
    </row>
    <row r="32" spans="1:8" ht="15.75" customHeight="1" x14ac:dyDescent="0.25">
      <c r="B32" s="19" t="s">
        <v>106</v>
      </c>
      <c r="C32" s="101">
        <v>1.8007848999999999E-2</v>
      </c>
    </row>
    <row r="33" spans="2:3" ht="15.75" customHeight="1" x14ac:dyDescent="0.25">
      <c r="B33" s="19" t="s">
        <v>107</v>
      </c>
      <c r="C33" s="101">
        <v>4.5114976999999987E-2</v>
      </c>
    </row>
    <row r="34" spans="2:3" ht="15.75" customHeight="1" x14ac:dyDescent="0.25">
      <c r="B34" s="19" t="s">
        <v>108</v>
      </c>
      <c r="C34" s="101">
        <v>0.32317417500000001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NGf07P2HweuAnDra7DTLNOqZeAMn/RAyHGeKl4X8mXrBEcgEephHTG/FXINcdzxDK7S+BkxDt/gRFtyAaxjmAQ==" saltValue="H0gm2QqTmAO+z2Kf/5s+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114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115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119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120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1qGj71T9qQFpaIpef4auwIsrWMO4m+17rlbeAHsBU2An7mkCKoThfq3nf8j9beC9nPNTlcC1gxv44wP3yPdeQ==" saltValue="qTo6iWVJ5DBb9eMQ7dlB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132</v>
      </c>
      <c r="C5" s="52">
        <v>5.0184800000000002E-2</v>
      </c>
      <c r="D5" s="52">
        <v>4.9246299999999993E-2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iNE/d8FO+wZ/X8FzU9xxbF5p77NIbR7O90/KWrIkDUpDEptGqTnJZ8Osp12nXhEOFXr7s5h4M944WCfOTbuhwQ==" saltValue="LiTOjLi0eOhqWzS42q0+u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qYvJ1QzWaZ9hz7Hd1NdpOjlgDZGWedSInVA718ProaVP29gxHLud3M3LaGa7ZhDecPTuuOtYLYu1a+eIVVe2w==" saltValue="QPd+JmIPeqoRYCyGadSAo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a4wmWiptOA+t3Mt1gMJ9gUGP1kxWeWPn7KC0zl6TKubd3pmya2QsuI5AO12158z61EW5aaR9P+2UHm4scUU4HA==" saltValue="Bf6K4qkNHqnh/IN4pKhgr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qzQFvGUAkvERIqfoqOm1EloufI7lXcPofadbKld+mxs1W5fCuAgIGMH7JqyI4MRW3BYYWLCr/ew155l/hyM86w==" saltValue="5GXg6XgXIvV4oNln39/Z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eDsBNXJ46upxaa2fcKXvWjYUDra6qJmtybvgbQB03Vd0Qk42xJ9KuDkbUSYzAgv0fHf7gTnB6dvSFafpNfpagQ==" saltValue="xjO4qMdzjnApb1umNsV4M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53.840370779395258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18.272400739448379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5.5316310965581978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1.549491731967531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1.5426821704772209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0.25</v>
      </c>
      <c r="C9" s="98">
        <v>0.95</v>
      </c>
      <c r="D9" s="56">
        <v>0.65135469420149339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0.52523580000000003</v>
      </c>
      <c r="C10" s="98">
        <v>0.95</v>
      </c>
      <c r="D10" s="56">
        <v>12.664388720547789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12.664388720547789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12.664388720547789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12.664388720547789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0.52523580000000003</v>
      </c>
      <c r="C14" s="98">
        <v>0.95</v>
      </c>
      <c r="D14" s="56">
        <v>12.664388720547789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12.664388720547789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0.17549090000000001</v>
      </c>
      <c r="C16" s="98">
        <v>0.95</v>
      </c>
      <c r="D16" s="56">
        <v>0.37115452044313663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2.6852323958333302E-3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0.56000000000000005</v>
      </c>
      <c r="C18" s="98">
        <v>0.95</v>
      </c>
      <c r="D18" s="56">
        <v>5.5316310965581978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0.60997190000000001</v>
      </c>
      <c r="C19" s="98">
        <v>0.95</v>
      </c>
      <c r="D19" s="56">
        <v>5.5316310965581978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21.672337451693281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0.25387939999999998</v>
      </c>
      <c r="C23" s="98">
        <v>0.95</v>
      </c>
      <c r="D23" s="56">
        <v>4.0619684601961064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0.63353828607887197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0.52523580000000003</v>
      </c>
      <c r="C26" s="98">
        <v>0.95</v>
      </c>
      <c r="D26" s="56">
        <v>8.7121114042606536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21.40464706262247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0.60628720000000003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0.23551420000000001</v>
      </c>
      <c r="C29" s="98">
        <v>0.95</v>
      </c>
      <c r="D29" s="56">
        <v>26.81689264396762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124.95507750751879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0.54</v>
      </c>
      <c r="C32" s="98">
        <v>0.95</v>
      </c>
      <c r="D32" s="56">
        <v>0.11570116278579159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0.76264790000000005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0.36646840000000003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6.6521999999999998E-2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0.44826470000000002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0.23499999999999999</v>
      </c>
      <c r="C38" s="98">
        <v>0.95</v>
      </c>
      <c r="D38" s="56">
        <v>4.8321970599589923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gqeEleG0NJpFZQPFuEiklDaBw32nXwt4nU5Mie2vDVwA50iFa7njzglI9TKRdtXbD8jXxH3nWLJBWuoV6w6+rg==" saltValue="fpxdlOFG/SG6ppPGQpt8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yYfteKlcDtUlM7ADke4L2+s0gnOo8LekyG7r2lznNVpJfPPrzDUDvrfe2P+OqwVF85NKLyeUEmw2RUgZ0JoHXQ==" saltValue="nqAROJaPUvuTxCbf2YbFP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XazygA6elvIIg6HNgW/a6Vid2aPZVAapnXT0I4vZXd1AneqGgFc8Phnjol08KydoYgXgjYtKqRQo2AidoXYTlg==" saltValue="kkXUr3Qc1Hed3cKIlNnH8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208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sheetProtection algorithmName="SHA-512" hashValue="c0ZACc/YrPB8iAPJcIQ/VE3vMrImRJUp1WCkEzriKkk4ZERXvHhSJZNnPSpwaMVHgOjP89sRpC5jel1LDyJO4w==" saltValue="IHUexf19mq8d0H5OGUnxS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0.21199999999999999</v>
      </c>
      <c r="E2" s="60">
        <f>food_insecure</f>
        <v>0.21199999999999999</v>
      </c>
      <c r="F2" s="60">
        <f>food_insecure</f>
        <v>0.21199999999999999</v>
      </c>
      <c r="G2" s="60">
        <f>food_insecure</f>
        <v>0.21199999999999999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0.21199999999999999</v>
      </c>
      <c r="I15" s="60">
        <f>food_insecure</f>
        <v>0.21199999999999999</v>
      </c>
      <c r="J15" s="60">
        <f>food_insecure</f>
        <v>0.21199999999999999</v>
      </c>
      <c r="K15" s="60">
        <f>food_insecure</f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0.28000000000000003</v>
      </c>
      <c r="M24" s="60">
        <f>famplan_unmet_need</f>
        <v>0.28000000000000003</v>
      </c>
      <c r="N24" s="60">
        <f>famplan_unmet_need</f>
        <v>0.28000000000000003</v>
      </c>
      <c r="O24" s="60">
        <f>famplan_unmet_need</f>
        <v>0.28000000000000003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0.1323</v>
      </c>
      <c r="D34" s="60">
        <f t="shared" si="3"/>
        <v>0.1323</v>
      </c>
      <c r="E34" s="60">
        <f t="shared" si="3"/>
        <v>0.1323</v>
      </c>
      <c r="F34" s="60">
        <f t="shared" si="3"/>
        <v>0.1323</v>
      </c>
      <c r="G34" s="60">
        <f t="shared" si="3"/>
        <v>0.1323</v>
      </c>
      <c r="H34" s="60">
        <f t="shared" si="3"/>
        <v>0.1323</v>
      </c>
      <c r="I34" s="60">
        <f t="shared" si="3"/>
        <v>0.1323</v>
      </c>
      <c r="J34" s="60">
        <f t="shared" si="3"/>
        <v>0.1323</v>
      </c>
      <c r="K34" s="60">
        <f t="shared" si="3"/>
        <v>0.1323</v>
      </c>
      <c r="L34" s="60">
        <f t="shared" si="3"/>
        <v>0.1323</v>
      </c>
      <c r="M34" s="60">
        <f t="shared" si="3"/>
        <v>0.1323</v>
      </c>
      <c r="N34" s="60">
        <f t="shared" si="3"/>
        <v>0.1323</v>
      </c>
      <c r="O34" s="60">
        <f t="shared" si="3"/>
        <v>0.1323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GUbuYL4nCm/o9t+20QRtIHLsaJ+02caBbDHeKoJhDePS/Ygjj1mPq0nlb09kgwKh6KziudN0CkpCTcXZAvNXA==" saltValue="RO0xV92PcncMzGEsauB+N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6mTSDkRxfNgszPc38cfR0N+5ZMZspqw55ZE2UJDi2PoPxbI9XpbD2ZjWzqANMkw4pfg6yO3y7P2QvJtSshj8zA==" saltValue="71kuzUbxIdH/rp0u8jH7M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9o9/03258WZD2dSw4o9KKcBzukg9A1E9JTzJzWHCmRCpJhnoITzOTBgOtsa4LCZ6m+w+PS5GC9mQ1oIiSQ8qQ==" saltValue="r2O9UfZDH7csPLTHCg0rn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mNPQ8644RjBNDneb8k24kFel2n3AXLy7AnrNICMZ/wgbSaac1gtxqNT6Ur6TS+0f0AsLS+b3qhAQnIZtZuu2A==" saltValue="YzxQ0rz94JJA9JIH5iCqB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tgZAKJOjQ6v6J+g1DGB5yMvfd6Ms+UZo6cSUjk0h/AUKOp5CGXWyL8ifU6I2pDygn2AvunYnh09mSawjH3Iw6w==" saltValue="F6zc2Ez5PaSNOT04Cvk7e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LmM+JNnTr1+9t2QDnsjc7bQdayz7NI97050G8j0pptDx5lkXyI2xqy6LlXnhPdfWjmAJOV44UU7l5/LO3fptA==" saltValue="1IpERRIMjOj8NMmog1loz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0Ii2wpgzUOc4GnrnkQBJGa60fiT9D1s3K8QvECFyxM+LRVdd3Zx8VjSxw/WUeCwt1SoFmFeUgvJMq+SASp/Dg==" saltValue="wKpAUjdIk8WWMZAnv/w4A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Hv+M/Xkk0S7Jgk+rYEv3k+GevXSFxqS9xYvjNhQn5UhbZhW0BPBeKnT/w+n2AUAC2qH8YcFLMjLY+i5mBrG6w==" saltValue="SsVPjyZdDnBXpczeuCHV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qJEGAR9FzwGjI7LtQS27zSnHgKh+accUaNxQZDIOwyHJ4K9KeGbfEljj6svvy5ObxIAhktE+SWu7XZoQ7u/6w==" saltValue="vbiCJDvIoa+LogZ3FGNJ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m3TYcuuPVaUt0a9qVUa5agSYI05U7pFqKYnU/ms+sQl3nSl6QS977AnihWdGcsRDTazqBjBaa5blOzJggwzRg==" saltValue="TfPHIusU5ghIvAbHmYrF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745J+jI4BjzM0TSSEyI68AaYjYXmLESp8K8iFyK5P/yk7qKTYeqfPHHEuYmduRv4TC1HjFgK67Mn/PC3rQXhOA==" saltValue="Za5h+iin8sXsy0VHXaRz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3Q9DECsu/EeSYqjnyyD/L5vOb05QIuqAnWvPQ+xvfXeC6YxOLAjc9VS+D7t1Bs5FC81VbGbsfZN482ZcxQc8Q==" saltValue="wWgwzBeLmjk5DBBbEd5t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Nwl4YVdcam7oOc0uKrrge4o8gpPxebgPpfSL2Bjbk+VHNXb6sY8HBQGOmTlvlDOex7Trxs3yOxiToNXkpMN4Q==" saltValue="TzyYJ7d6bkCZRbWnBWyQ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0.10092932359651097</v>
      </c>
      <c r="G18" s="90">
        <f>MIN(MAX(1-0.89/(1-frac_sam_12_23months+(frac_sam_12_23months*0.89)),0),1)</f>
        <v>0.10212679498460497</v>
      </c>
      <c r="H18" s="90">
        <f>MIN(MAX(1-0.89/(1-frac_sam_24_59months+(frac_sam_24_59months*0.89)),0),1)</f>
        <v>0.10372320961830428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9.6635769596871812E-2</v>
      </c>
      <c r="G20" s="90">
        <f>MIN(MAX(1-0.89/(1-frac_mam_12_23months+(frac_mam_12_23months*0.89)),0),1)</f>
        <v>9.9067047992106194E-2</v>
      </c>
      <c r="H20" s="90">
        <f>MIN(MAX(1-0.89/(1-frac_mam_24_59months+(frac_mam_24_59months*0.89)),0),1)</f>
        <v>9.9564440805443688E-2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9.0911612039594747E-3</v>
      </c>
      <c r="G73" s="90">
        <f>MIN(MAX(1-0.99/(1-frac_sam_12_23months+(frac_sam_12_23months*0.99)),0),1)</f>
        <v>9.2101849634149691E-3</v>
      </c>
      <c r="H73" s="90">
        <f>MIN(MAX(1-0.99/(1-frac_sam_24_59months+(frac_sam_24_59months*0.99)),0),1)</f>
        <v>9.3693120005930997E-3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8.666760883378255E-3</v>
      </c>
      <c r="G75" s="90">
        <f>MIN(MAX(1-0.99/(1-frac_mam_12_23months+(frac_mam_12_23months*0.99)),0),1)</f>
        <v>8.9066307505107911E-3</v>
      </c>
      <c r="H75" s="90">
        <f>MIN(MAX(1-0.99/(1-frac_mam_24_59months+(frac_mam_24_59months*0.99)),0),1)</f>
        <v>8.9558487658336627E-3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0.18505094949408263</v>
      </c>
      <c r="G128" s="90">
        <f>MIN(MAX(1-0.8/(1-frac_sam_12_23months+(frac_sam_12_23months*0.8)),0),1)</f>
        <v>0.18703884651543401</v>
      </c>
      <c r="H128" s="90">
        <f>MIN(MAX(1-0.8/(1-frac_sam_24_59months+(frac_sam_24_59months*0.8)),0),1)</f>
        <v>0.18968217450895286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0.1778868836065608</v>
      </c>
      <c r="G130" s="90">
        <f>MIN(MAX(1-0.8/(1-frac_mam_12_23months+(frac_mam_12_23months*0.8)),0),1)</f>
        <v>0.18195064074227341</v>
      </c>
      <c r="H130" s="90">
        <f>MIN(MAX(1-0.8/(1-frac_mam_24_59months+(frac_mam_24_59months*0.8)),0),1)</f>
        <v>0.18277974731263757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N4LA0PWvT15sJJeoVChSWxfwFqiBBkOsY8nGMfmN2WevJkEEnXK2KjeLf360NIm/1D3Wrig5rlfuaR2jx6usg==" saltValue="xau8pW3op2JcP2mm4B+r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kPsUIotzCSfwu9j+5IPAjipRQjVwf8Q2RL6OgIz4awAXTJgIwMTtYslJS6LUiWzHzfQsXiDzZa2OWy21PD4XA==" saltValue="aMKF7Db4BVomMG/Na4brj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2024-08-06T09:10:50Z</dcterms:modified>
</cp:coreProperties>
</file>