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D8BE516D-58F0-44C1-9545-036C7D9F4554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<sst xmlns="http://schemas.openxmlformats.org/spreadsheetml/2006/main" count="2102" uniqueCount="337">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</sst>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111855402</v>
      </c>
    </row>
    <row r="8" spans="1:3" ht="15" customHeight="1" x14ac:dyDescent="0.25">
      <c r="B8" s="5" t="s">
        <v>19</v>
      </c>
      <c r="C8" s="44">
        <v>0.21199999999999999</v>
      </c>
    </row>
    <row r="9" spans="1:3" ht="15" customHeight="1" x14ac:dyDescent="0.25">
      <c r="B9" s="5" t="s">
        <v>20</v>
      </c>
      <c r="C9" s="45">
        <v>0.1323</v>
      </c>
    </row>
    <row r="10" spans="1:3" ht="15" customHeight="1" x14ac:dyDescent="0.25">
      <c r="B10" s="5" t="s">
        <v>21</v>
      </c>
      <c r="C10" s="45">
        <v>0.62193199157714796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0.28000000000000003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0.115</v>
      </c>
    </row>
    <row r="24" spans="1:3" ht="15" customHeight="1" x14ac:dyDescent="0.25">
      <c r="B24" s="15" t="s">
        <v>33</v>
      </c>
      <c r="C24" s="45">
        <v>0.6835</v>
      </c>
    </row>
    <row r="25" spans="1:3" ht="15" customHeight="1" x14ac:dyDescent="0.25">
      <c r="B25" s="15" t="s">
        <v>34</v>
      </c>
      <c r="C25" s="45">
        <v>0.1807</v>
      </c>
    </row>
    <row r="26" spans="1:3" ht="15" customHeight="1" x14ac:dyDescent="0.25">
      <c r="B26" s="15" t="s">
        <v>35</v>
      </c>
      <c r="C26" s="45">
        <v>2.0799999999999999E-2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0.39483629874449699</v>
      </c>
    </row>
    <row r="30" spans="1:3" ht="14.25" customHeight="1" x14ac:dyDescent="0.25">
      <c r="B30" s="25" t="s">
        <v>38</v>
      </c>
      <c r="C30" s="99">
        <v>6.4915878276872702E-2</v>
      </c>
    </row>
    <row r="31" spans="1:3" ht="14.25" customHeight="1" x14ac:dyDescent="0.25">
      <c r="B31" s="25" t="s">
        <v>39</v>
      </c>
      <c r="C31" s="99">
        <v>0.100475847605401</v>
      </c>
    </row>
    <row r="32" spans="1:3" ht="14.25" customHeight="1" x14ac:dyDescent="0.25">
      <c r="B32" s="25" t="s">
        <v>40</v>
      </c>
      <c r="C32" s="99">
        <v>0.43977197537322998</v>
      </c>
    </row>
    <row r="33" spans="1:5" ht="13" customHeight="1" x14ac:dyDescent="0.25">
      <c r="B33" s="27" t="s">
        <v>41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19.11843</v>
      </c>
    </row>
    <row r="38" spans="1:5" ht="15" customHeight="1" x14ac:dyDescent="0.25">
      <c r="B38" s="11" t="s">
        <v>45</v>
      </c>
      <c r="C38" s="43">
        <v>25.487660000000002</v>
      </c>
      <c r="D38" s="12"/>
      <c r="E38" s="13"/>
    </row>
    <row r="39" spans="1:5" ht="15" customHeight="1" x14ac:dyDescent="0.25">
      <c r="B39" s="11" t="s">
        <v>46</v>
      </c>
      <c r="C39" s="43">
        <v>30.619209999999999</v>
      </c>
      <c r="D39" s="12"/>
      <c r="E39" s="12"/>
    </row>
    <row r="40" spans="1:5" ht="15" customHeight="1" x14ac:dyDescent="0.25">
      <c r="B40" s="11" t="s">
        <v>47</v>
      </c>
      <c r="C40" s="100">
        <v>1.03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12.24282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1.8195699999999999E-2</v>
      </c>
      <c r="D45" s="12"/>
    </row>
    <row r="46" spans="1:5" ht="15.75" customHeight="1" x14ac:dyDescent="0.25">
      <c r="B46" s="11" t="s">
        <v>52</v>
      </c>
      <c r="C46" s="45">
        <v>0.1121805</v>
      </c>
      <c r="D46" s="12"/>
    </row>
    <row r="47" spans="1:5" ht="15.75" customHeight="1" x14ac:dyDescent="0.25">
      <c r="B47" s="11" t="s">
        <v>53</v>
      </c>
      <c r="C47" s="45">
        <v>0.40419500000000003</v>
      </c>
      <c r="D47" s="12"/>
      <c r="E47" s="13"/>
    </row>
    <row r="48" spans="1:5" ht="15" customHeight="1" x14ac:dyDescent="0.25">
      <c r="B48" s="11" t="s">
        <v>54</v>
      </c>
      <c r="C48" s="46">
        <v>0.46542879999999998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2.4</v>
      </c>
      <c r="D51" s="12"/>
    </row>
    <row r="52" spans="1:4" ht="15" customHeight="1" x14ac:dyDescent="0.25">
      <c r="B52" s="11" t="s">
        <v>57</v>
      </c>
      <c r="C52" s="100">
        <v>2.4</v>
      </c>
    </row>
    <row r="53" spans="1:4" ht="15.75" customHeight="1" x14ac:dyDescent="0.25">
      <c r="B53" s="11" t="s">
        <v>58</v>
      </c>
      <c r="C53" s="100">
        <v>2.4</v>
      </c>
    </row>
    <row r="54" spans="1:4" ht="15.75" customHeight="1" x14ac:dyDescent="0.25">
      <c r="B54" s="11" t="s">
        <v>59</v>
      </c>
      <c r="C54" s="100">
        <v>2.4</v>
      </c>
    </row>
    <row r="55" spans="1:4" ht="15.75" customHeight="1" x14ac:dyDescent="0.25">
      <c r="B55" s="11" t="s">
        <v>60</v>
      </c>
      <c r="C55" s="100">
        <v>2.4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2.1666666666666671E-2</v>
      </c>
    </row>
    <row r="59" spans="1:4" ht="15.75" customHeight="1" x14ac:dyDescent="0.25">
      <c r="B59" s="11" t="s">
        <v>63</v>
      </c>
      <c r="C59" s="45">
        <v>0.45378299999999999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Qb7oX5HB0uHMKdO/pwc/xgfvKonwP2pblf5HDmKiBpRO2ZnBSrUNutLv3CiqiQ3xm4AoWJqmXja2BlMhDK8E3w==" saltValue="TjsBeDtR0hqRpqd1o27o/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23000685</v>
      </c>
      <c r="C2" s="49">
        <v>71725685.999999985</v>
      </c>
      <c r="D2" s="49">
        <v>119498276</v>
      </c>
      <c r="E2" s="49">
        <v>109300719</v>
      </c>
      <c r="F2" s="49">
        <v>79727068</v>
      </c>
      <c r="G2" s="17">
        <f t="shared" ref="G2:G13" si="0">C2+D2+E2+F2</f>
        <v>380251749</v>
      </c>
      <c r="H2" s="17">
        <f t="shared" ref="H2:H13" si="1">(B2 + stillbirth*B2/(1000-stillbirth))/(1-abortion)</f>
        <v>26461100.53632265</v>
      </c>
      <c r="I2" s="17">
        <f t="shared" ref="I2:I13" si="2">G2-H2</f>
        <v>353790648.46367735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22979744</v>
      </c>
      <c r="C3" s="50">
        <v>71396420</v>
      </c>
      <c r="D3" s="50">
        <v>119844156</v>
      </c>
      <c r="E3" s="50">
        <v>110416399</v>
      </c>
      <c r="F3" s="50">
        <v>81432039</v>
      </c>
      <c r="G3" s="17">
        <f t="shared" si="0"/>
        <v>383089014</v>
      </c>
      <c r="H3" s="17">
        <f t="shared" si="1"/>
        <v>26437008.997034527</v>
      </c>
      <c r="I3" s="17">
        <f t="shared" si="2"/>
        <v>356652005.00296545</v>
      </c>
    </row>
    <row r="4" spans="1:9" ht="15.75" customHeight="1" x14ac:dyDescent="0.25">
      <c r="A4" s="5">
        <f t="shared" si="3"/>
        <v>2026</v>
      </c>
      <c r="B4" s="49">
        <v>22819796</v>
      </c>
      <c r="C4" s="50">
        <v>71131431.499999985</v>
      </c>
      <c r="D4" s="50">
        <v>119991552.5</v>
      </c>
      <c r="E4" s="50">
        <v>111382748.5</v>
      </c>
      <c r="F4" s="50">
        <v>83190756.5</v>
      </c>
      <c r="G4" s="17">
        <f t="shared" si="0"/>
        <v>385696489</v>
      </c>
      <c r="H4" s="17">
        <f t="shared" si="1"/>
        <v>26252997.081364032</v>
      </c>
      <c r="I4" s="17">
        <f t="shared" si="2"/>
        <v>359443491.91863596</v>
      </c>
    </row>
    <row r="5" spans="1:9" ht="15.75" customHeight="1" x14ac:dyDescent="0.25">
      <c r="A5" s="5">
        <f t="shared" si="3"/>
        <v>2027</v>
      </c>
      <c r="B5" s="49">
        <v>22778973</v>
      </c>
      <c r="C5" s="50">
        <v>70865932.5</v>
      </c>
      <c r="D5" s="50">
        <v>120002444.5</v>
      </c>
      <c r="E5" s="50">
        <v>112247523</v>
      </c>
      <c r="F5" s="50">
        <v>85028711</v>
      </c>
      <c r="G5" s="17">
        <f t="shared" si="0"/>
        <v>388144611</v>
      </c>
      <c r="H5" s="17">
        <f t="shared" si="1"/>
        <v>26206032.327610202</v>
      </c>
      <c r="I5" s="17">
        <f t="shared" si="2"/>
        <v>361938578.67238981</v>
      </c>
    </row>
    <row r="6" spans="1:9" ht="15.75" customHeight="1" x14ac:dyDescent="0.25">
      <c r="A6" s="5">
        <f t="shared" si="3"/>
        <v>2028</v>
      </c>
      <c r="B6" s="49">
        <v>22664923</v>
      </c>
      <c r="C6" s="50">
        <v>70414084.5</v>
      </c>
      <c r="D6" s="50">
        <v>119924467</v>
      </c>
      <c r="E6" s="50">
        <v>113083032.5</v>
      </c>
      <c r="F6" s="50">
        <v>86913878</v>
      </c>
      <c r="G6" s="17">
        <f t="shared" si="0"/>
        <v>390335462</v>
      </c>
      <c r="H6" s="17">
        <f t="shared" si="1"/>
        <v>26074823.691164482</v>
      </c>
      <c r="I6" s="17">
        <f t="shared" si="2"/>
        <v>364260638.30883551</v>
      </c>
    </row>
    <row r="7" spans="1:9" ht="15.75" customHeight="1" x14ac:dyDescent="0.25">
      <c r="A7" s="5">
        <f t="shared" si="3"/>
        <v>2029</v>
      </c>
      <c r="B7" s="49">
        <v>22551776</v>
      </c>
      <c r="C7" s="50">
        <v>69786401</v>
      </c>
      <c r="D7" s="50">
        <v>119795600.5</v>
      </c>
      <c r="E7" s="50">
        <v>113850841.5</v>
      </c>
      <c r="F7" s="50">
        <v>88705715.5</v>
      </c>
      <c r="G7" s="17">
        <f t="shared" si="0"/>
        <v>392138558.5</v>
      </c>
      <c r="H7" s="17">
        <f t="shared" si="1"/>
        <v>25944653.909595657</v>
      </c>
      <c r="I7" s="17">
        <f t="shared" si="2"/>
        <v>366193904.59040433</v>
      </c>
    </row>
    <row r="8" spans="1:9" ht="15.75" customHeight="1" x14ac:dyDescent="0.25">
      <c r="A8" s="5">
        <f t="shared" si="3"/>
        <v>2030</v>
      </c>
      <c r="B8" s="49">
        <v>22476542</v>
      </c>
      <c r="C8" s="50">
        <v>69193222</v>
      </c>
      <c r="D8" s="50">
        <v>119545653</v>
      </c>
      <c r="E8" s="50">
        <v>114645078</v>
      </c>
      <c r="F8" s="50">
        <v>90379561</v>
      </c>
      <c r="G8" s="17">
        <f t="shared" si="0"/>
        <v>393763514</v>
      </c>
      <c r="H8" s="17">
        <f t="shared" si="1"/>
        <v>25858101.077027861</v>
      </c>
      <c r="I8" s="17">
        <f t="shared" si="2"/>
        <v>367905412.92297214</v>
      </c>
    </row>
    <row r="9" spans="1:9" ht="15.75" customHeight="1" x14ac:dyDescent="0.25">
      <c r="A9" s="5">
        <f t="shared" si="3"/>
        <v>2031</v>
      </c>
      <c r="B9" s="49">
        <v>22298572</v>
      </c>
      <c r="C9" s="50">
        <v>68574356</v>
      </c>
      <c r="D9" s="50">
        <v>119074622</v>
      </c>
      <c r="E9" s="50">
        <v>115506115.5</v>
      </c>
      <c r="F9" s="50">
        <v>91885491.5</v>
      </c>
      <c r="G9" s="17">
        <f t="shared" si="0"/>
        <v>395040585</v>
      </c>
      <c r="H9" s="17">
        <f t="shared" si="1"/>
        <v>25653355.780857362</v>
      </c>
      <c r="I9" s="17">
        <f t="shared" si="2"/>
        <v>369387229.21914262</v>
      </c>
    </row>
    <row r="10" spans="1:9" ht="15.75" customHeight="1" x14ac:dyDescent="0.25">
      <c r="A10" s="5">
        <f t="shared" si="3"/>
        <v>2032</v>
      </c>
      <c r="B10" s="49">
        <v>22220638</v>
      </c>
      <c r="C10" s="50">
        <v>67926794.5</v>
      </c>
      <c r="D10" s="50">
        <v>118457759</v>
      </c>
      <c r="E10" s="50">
        <v>116320354</v>
      </c>
      <c r="F10" s="50">
        <v>93277104</v>
      </c>
      <c r="G10" s="17">
        <f t="shared" si="0"/>
        <v>395982011.5</v>
      </c>
      <c r="H10" s="17">
        <f t="shared" si="1"/>
        <v>25563696.737694178</v>
      </c>
      <c r="I10" s="17">
        <f t="shared" si="2"/>
        <v>370418314.7623058</v>
      </c>
    </row>
    <row r="11" spans="1:9" ht="15.75" customHeight="1" x14ac:dyDescent="0.25">
      <c r="A11" s="5">
        <f t="shared" si="3"/>
        <v>2033</v>
      </c>
      <c r="B11" s="49">
        <v>22056799</v>
      </c>
      <c r="C11" s="50">
        <v>67244633.5</v>
      </c>
      <c r="D11" s="50">
        <v>117804936</v>
      </c>
      <c r="E11" s="50">
        <v>117017207.5</v>
      </c>
      <c r="F11" s="50">
        <v>94595164</v>
      </c>
      <c r="G11" s="17">
        <f t="shared" si="0"/>
        <v>396661941</v>
      </c>
      <c r="H11" s="17">
        <f t="shared" si="1"/>
        <v>25375208.42742122</v>
      </c>
      <c r="I11" s="17">
        <f t="shared" si="2"/>
        <v>371286732.57257879</v>
      </c>
    </row>
    <row r="12" spans="1:9" ht="15.75" customHeight="1" x14ac:dyDescent="0.25">
      <c r="A12" s="5">
        <f t="shared" si="3"/>
        <v>2034</v>
      </c>
      <c r="B12" s="49">
        <v>21918597</v>
      </c>
      <c r="C12" s="50">
        <v>66569216.499999993</v>
      </c>
      <c r="D12" s="50">
        <v>117012884</v>
      </c>
      <c r="E12" s="50">
        <v>117572502</v>
      </c>
      <c r="F12" s="50">
        <v>95761642</v>
      </c>
      <c r="G12" s="17">
        <f t="shared" si="0"/>
        <v>396916244.5</v>
      </c>
      <c r="H12" s="17">
        <f t="shared" si="1"/>
        <v>25216214.161975611</v>
      </c>
      <c r="I12" s="17">
        <f t="shared" si="2"/>
        <v>371700030.33802438</v>
      </c>
    </row>
    <row r="13" spans="1:9" ht="15.75" customHeight="1" x14ac:dyDescent="0.25">
      <c r="A13" s="5">
        <f t="shared" si="3"/>
        <v>2035</v>
      </c>
      <c r="B13" s="49">
        <v>21764387</v>
      </c>
      <c r="C13" s="50">
        <v>65978035.5</v>
      </c>
      <c r="D13" s="50">
        <v>116158660</v>
      </c>
      <c r="E13" s="50">
        <v>117935685</v>
      </c>
      <c r="F13" s="50">
        <v>96801939.5</v>
      </c>
      <c r="G13" s="17">
        <f t="shared" si="0"/>
        <v>396874320</v>
      </c>
      <c r="H13" s="17">
        <f t="shared" si="1"/>
        <v>25038803.519044481</v>
      </c>
      <c r="I13" s="17">
        <f t="shared" si="2"/>
        <v>371835516.48095554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D6ozfQNREw6j8khddRHKi9hFvoUYslneZTc6//yHHVnYw/1GEWw+zKyYFEbhKmq9x40t26HoZVtv3v2bGcOJkQ==" saltValue="0O+xN6ht0QlC/FaJ6tYFs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1.1802901180290121E-2</v>
      </c>
    </row>
    <row r="4" spans="1:8" ht="15.75" customHeight="1" x14ac:dyDescent="0.25">
      <c r="B4" s="19" t="s">
        <v>79</v>
      </c>
      <c r="C4" s="101">
        <v>4.7839204783920453E-2</v>
      </c>
    </row>
    <row r="5" spans="1:8" ht="15.75" customHeight="1" x14ac:dyDescent="0.25">
      <c r="B5" s="19" t="s">
        <v>80</v>
      </c>
      <c r="C5" s="101">
        <v>6.8903006890300683E-2</v>
      </c>
    </row>
    <row r="6" spans="1:8" ht="15.75" customHeight="1" x14ac:dyDescent="0.25">
      <c r="B6" s="19" t="s">
        <v>81</v>
      </c>
      <c r="C6" s="101">
        <v>0.2147846214784627</v>
      </c>
    </row>
    <row r="7" spans="1:8" ht="15.75" customHeight="1" x14ac:dyDescent="0.25">
      <c r="B7" s="19" t="s">
        <v>82</v>
      </c>
      <c r="C7" s="101">
        <v>0.3863576386357635</v>
      </c>
    </row>
    <row r="8" spans="1:8" ht="15.75" customHeight="1" x14ac:dyDescent="0.25">
      <c r="B8" s="19" t="s">
        <v>83</v>
      </c>
      <c r="C8" s="101">
        <v>1.4752001475200141E-3</v>
      </c>
    </row>
    <row r="9" spans="1:8" ht="15.75" customHeight="1" x14ac:dyDescent="0.25">
      <c r="B9" s="19" t="s">
        <v>84</v>
      </c>
      <c r="C9" s="101">
        <v>8.9832408983240783E-2</v>
      </c>
    </row>
    <row r="10" spans="1:8" ht="15.75" customHeight="1" x14ac:dyDescent="0.25">
      <c r="B10" s="19" t="s">
        <v>85</v>
      </c>
      <c r="C10" s="101">
        <v>0.17900501790050191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0.19135910050141111</v>
      </c>
      <c r="D14" s="55">
        <v>0.19135910050141111</v>
      </c>
      <c r="E14" s="55">
        <v>0.19135910050141111</v>
      </c>
      <c r="F14" s="55">
        <v>0.19135910050141111</v>
      </c>
    </row>
    <row r="15" spans="1:8" ht="15.75" customHeight="1" x14ac:dyDescent="0.25">
      <c r="B15" s="19" t="s">
        <v>88</v>
      </c>
      <c r="C15" s="101">
        <v>0.230872333632888</v>
      </c>
      <c r="D15" s="101">
        <v>0.230872333632888</v>
      </c>
      <c r="E15" s="101">
        <v>0.230872333632888</v>
      </c>
      <c r="F15" s="101">
        <v>0.230872333632888</v>
      </c>
    </row>
    <row r="16" spans="1:8" ht="15.75" customHeight="1" x14ac:dyDescent="0.25">
      <c r="B16" s="19" t="s">
        <v>89</v>
      </c>
      <c r="C16" s="101">
        <v>3.8348142011340389E-2</v>
      </c>
      <c r="D16" s="101">
        <v>3.8348142011340389E-2</v>
      </c>
      <c r="E16" s="101">
        <v>3.8348142011340389E-2</v>
      </c>
      <c r="F16" s="101">
        <v>3.8348142011340389E-2</v>
      </c>
    </row>
    <row r="17" spans="1:8" ht="15.75" customHeight="1" x14ac:dyDescent="0.25">
      <c r="B17" s="19" t="s">
        <v>90</v>
      </c>
      <c r="C17" s="101">
        <v>3.5408397605315653E-2</v>
      </c>
      <c r="D17" s="101">
        <v>3.5408397605315653E-2</v>
      </c>
      <c r="E17" s="101">
        <v>3.5408397605315653E-2</v>
      </c>
      <c r="F17" s="101">
        <v>3.5408397605315653E-2</v>
      </c>
    </row>
    <row r="18" spans="1:8" ht="15.75" customHeight="1" x14ac:dyDescent="0.25">
      <c r="B18" s="19" t="s">
        <v>91</v>
      </c>
      <c r="C18" s="101">
        <v>7.1410678096298971E-3</v>
      </c>
      <c r="D18" s="101">
        <v>7.1410678096298971E-3</v>
      </c>
      <c r="E18" s="101">
        <v>7.1410678096298971E-3</v>
      </c>
      <c r="F18" s="101">
        <v>7.1410678096298971E-3</v>
      </c>
    </row>
    <row r="19" spans="1:8" ht="15.75" customHeight="1" x14ac:dyDescent="0.25">
      <c r="B19" s="19" t="s">
        <v>92</v>
      </c>
      <c r="C19" s="101">
        <v>2.6687220192693512E-2</v>
      </c>
      <c r="D19" s="101">
        <v>2.6687220192693512E-2</v>
      </c>
      <c r="E19" s="101">
        <v>2.6687220192693512E-2</v>
      </c>
      <c r="F19" s="101">
        <v>2.6687220192693512E-2</v>
      </c>
    </row>
    <row r="20" spans="1:8" ht="15.75" customHeight="1" x14ac:dyDescent="0.25">
      <c r="B20" s="19" t="s">
        <v>93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94</v>
      </c>
      <c r="C21" s="101">
        <v>0.14546560647395049</v>
      </c>
      <c r="D21" s="101">
        <v>0.14546560647395049</v>
      </c>
      <c r="E21" s="101">
        <v>0.14546560647395049</v>
      </c>
      <c r="F21" s="101">
        <v>0.14546560647395049</v>
      </c>
    </row>
    <row r="22" spans="1:8" ht="15.75" customHeight="1" x14ac:dyDescent="0.25">
      <c r="B22" s="19" t="s">
        <v>95</v>
      </c>
      <c r="C22" s="101">
        <v>0.32471813177277092</v>
      </c>
      <c r="D22" s="101">
        <v>0.32471813177277092</v>
      </c>
      <c r="E22" s="101">
        <v>0.32471813177277092</v>
      </c>
      <c r="F22" s="101">
        <v>0.32471813177277092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3.4359752E-2</v>
      </c>
    </row>
    <row r="27" spans="1:8" ht="15.75" customHeight="1" x14ac:dyDescent="0.25">
      <c r="B27" s="19" t="s">
        <v>102</v>
      </c>
      <c r="C27" s="101">
        <v>1.0551130000000001E-3</v>
      </c>
    </row>
    <row r="28" spans="1:8" ht="15.75" customHeight="1" x14ac:dyDescent="0.25">
      <c r="B28" s="19" t="s">
        <v>103</v>
      </c>
      <c r="C28" s="101">
        <v>0.250608724</v>
      </c>
    </row>
    <row r="29" spans="1:8" ht="15.75" customHeight="1" x14ac:dyDescent="0.25">
      <c r="B29" s="19" t="s">
        <v>104</v>
      </c>
      <c r="C29" s="101">
        <v>9.0697442000000003E-2</v>
      </c>
    </row>
    <row r="30" spans="1:8" ht="15.75" customHeight="1" x14ac:dyDescent="0.25">
      <c r="B30" s="19" t="s">
        <v>2</v>
      </c>
      <c r="C30" s="101">
        <v>0.16739261999999999</v>
      </c>
    </row>
    <row r="31" spans="1:8" ht="15.75" customHeight="1" x14ac:dyDescent="0.25">
      <c r="B31" s="19" t="s">
        <v>105</v>
      </c>
      <c r="C31" s="101">
        <v>6.9589346999999982E-2</v>
      </c>
    </row>
    <row r="32" spans="1:8" ht="15.75" customHeight="1" x14ac:dyDescent="0.25">
      <c r="B32" s="19" t="s">
        <v>106</v>
      </c>
      <c r="C32" s="101">
        <v>1.8007848999999999E-2</v>
      </c>
    </row>
    <row r="33" spans="2:3" ht="15.75" customHeight="1" x14ac:dyDescent="0.25">
      <c r="B33" s="19" t="s">
        <v>107</v>
      </c>
      <c r="C33" s="101">
        <v>4.5114976999999987E-2</v>
      </c>
    </row>
    <row r="34" spans="2:3" ht="15.75" customHeight="1" x14ac:dyDescent="0.25">
      <c r="B34" s="19" t="s">
        <v>108</v>
      </c>
      <c r="C34" s="101">
        <v>0.32317417500000001</v>
      </c>
    </row>
    <row r="35" spans="2:3" ht="15.75" customHeight="1" x14ac:dyDescent="0.25">
      <c r="B35" s="27" t="s">
        <v>41</v>
      </c>
      <c r="C35" s="48">
        <f>SUM(C26:C34)</f>
        <v>0.99999999899999992</v>
      </c>
    </row>
  </sheetData>
  <sheetProtection algorithmName="SHA-512" hashValue="S8HM7ScNq6K59Mju+ixpPegM5oo8GXivB9chWvesMnTwlEeBAOPP1ZRwAHfePreJwu2oiGGmqVHoRIODFriFOQ==" saltValue="RUraOJ1p3ovipA3ftuQqk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0.38029873150833793</v>
      </c>
      <c r="D2" s="52">
        <f>IFERROR(1-_xlfn.NORM.DIST(_xlfn.NORM.INV(SUM(D4:D5), 0, 1) + 1, 0, 1, TRUE), "")</f>
        <v>0.38029873150833793</v>
      </c>
      <c r="E2" s="52">
        <f>IFERROR(1-_xlfn.NORM.DIST(_xlfn.NORM.INV(SUM(E4:E5), 0, 1) + 1, 0, 1, TRUE), "")</f>
        <v>0.37428850720882179</v>
      </c>
      <c r="F2" s="52">
        <f>IFERROR(1-_xlfn.NORM.DIST(_xlfn.NORM.INV(SUM(F4:F5), 0, 1) + 1, 0, 1, TRUE), "")</f>
        <v>0.2287194198018474</v>
      </c>
      <c r="G2" s="52">
        <f>IFERROR(1-_xlfn.NORM.DIST(_xlfn.NORM.INV(SUM(G4:G5), 0, 1) + 1, 0, 1, TRUE), "")</f>
        <v>0.24726370166311418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0.37626876849166208</v>
      </c>
      <c r="D3" s="52">
        <f>IFERROR(_xlfn.NORM.DIST(_xlfn.NORM.INV(SUM(D4:D5), 0, 1) + 1, 0, 1, TRUE) - SUM(D4:D5), "")</f>
        <v>0.37626876849166208</v>
      </c>
      <c r="E3" s="52">
        <f>IFERROR(_xlfn.NORM.DIST(_xlfn.NORM.INV(SUM(E4:E5), 0, 1) + 1, 0, 1, TRUE) - SUM(E4:E5), "")</f>
        <v>0.3772957927911782</v>
      </c>
      <c r="F3" s="52">
        <f>IFERROR(_xlfn.NORM.DIST(_xlfn.NORM.INV(SUM(F4:F5), 0, 1) + 1, 0, 1, TRUE) - SUM(F4:F5), "")</f>
        <v>0.37266388019815255</v>
      </c>
      <c r="G3" s="52">
        <f>IFERROR(_xlfn.NORM.DIST(_xlfn.NORM.INV(SUM(G4:G5), 0, 1) + 1, 0, 1, TRUE) - SUM(G4:G5), "")</f>
        <v>0.37706679833688583</v>
      </c>
    </row>
    <row r="4" spans="1:15" ht="15.75" customHeight="1" x14ac:dyDescent="0.25">
      <c r="B4" s="5" t="s">
        <v>114</v>
      </c>
      <c r="C4" s="45">
        <v>0.1098698</v>
      </c>
      <c r="D4" s="53">
        <v>0.1098698</v>
      </c>
      <c r="E4" s="53">
        <v>0.12104090000000001</v>
      </c>
      <c r="F4" s="53">
        <v>0.2096877</v>
      </c>
      <c r="G4" s="53">
        <v>0.22988049999999999</v>
      </c>
    </row>
    <row r="5" spans="1:15" ht="15.75" customHeight="1" x14ac:dyDescent="0.25">
      <c r="B5" s="5" t="s">
        <v>115</v>
      </c>
      <c r="C5" s="45">
        <v>0.13356270000000001</v>
      </c>
      <c r="D5" s="53">
        <v>0.13356270000000001</v>
      </c>
      <c r="E5" s="53">
        <v>0.12737480000000001</v>
      </c>
      <c r="F5" s="53">
        <v>0.18892900000000001</v>
      </c>
      <c r="G5" s="53">
        <v>0.145789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0.3577196453720427</v>
      </c>
      <c r="D8" s="52">
        <f>IFERROR(1-_xlfn.NORM.DIST(_xlfn.NORM.INV(SUM(D10:D11), 0, 1) + 1, 0, 1, TRUE), "")</f>
        <v>0.3577196453720427</v>
      </c>
      <c r="E8" s="52">
        <f>IFERROR(1-_xlfn.NORM.DIST(_xlfn.NORM.INV(SUM(E10:E11), 0, 1) + 1, 0, 1, TRUE), "")</f>
        <v>0.40183353730501814</v>
      </c>
      <c r="F8" s="52">
        <f>IFERROR(1-_xlfn.NORM.DIST(_xlfn.NORM.INV(SUM(F10:F11), 0, 1) + 1, 0, 1, TRUE), "")</f>
        <v>0.45135708293881605</v>
      </c>
      <c r="G8" s="52">
        <f>IFERROR(1-_xlfn.NORM.DIST(_xlfn.NORM.INV(SUM(G10:G11), 0, 1) + 1, 0, 1, TRUE), "")</f>
        <v>0.48326101519940179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0.3797093546279573</v>
      </c>
      <c r="D9" s="52">
        <f>IFERROR(_xlfn.NORM.DIST(_xlfn.NORM.INV(SUM(D10:D11), 0, 1) + 1, 0, 1, TRUE) - SUM(D10:D11), "")</f>
        <v>0.3797093546279573</v>
      </c>
      <c r="E9" s="52">
        <f>IFERROR(_xlfn.NORM.DIST(_xlfn.NORM.INV(SUM(E10:E11), 0, 1) + 1, 0, 1, TRUE) - SUM(E10:E11), "")</f>
        <v>0.37195926269498186</v>
      </c>
      <c r="F9" s="52">
        <f>IFERROR(_xlfn.NORM.DIST(_xlfn.NORM.INV(SUM(F10:F11), 0, 1) + 1, 0, 1, TRUE) - SUM(F10:F11), "")</f>
        <v>0.35860771706118394</v>
      </c>
      <c r="G9" s="52">
        <f>IFERROR(_xlfn.NORM.DIST(_xlfn.NORM.INV(SUM(G10:G11), 0, 1) + 1, 0, 1, TRUE) - SUM(G10:G11), "")</f>
        <v>0.3477149848005982</v>
      </c>
    </row>
    <row r="10" spans="1:15" ht="15.75" customHeight="1" x14ac:dyDescent="0.25">
      <c r="B10" s="5" t="s">
        <v>119</v>
      </c>
      <c r="C10" s="45">
        <v>0.13725200000000001</v>
      </c>
      <c r="D10" s="53">
        <v>0.13725200000000001</v>
      </c>
      <c r="E10" s="53">
        <v>0.13448950000000001</v>
      </c>
      <c r="F10" s="53">
        <v>0.1103195</v>
      </c>
      <c r="G10" s="53">
        <v>0.1053587</v>
      </c>
    </row>
    <row r="11" spans="1:15" ht="15.75" customHeight="1" x14ac:dyDescent="0.25">
      <c r="B11" s="5" t="s">
        <v>120</v>
      </c>
      <c r="C11" s="45">
        <v>0.12531900000000001</v>
      </c>
      <c r="D11" s="53">
        <v>0.12531900000000001</v>
      </c>
      <c r="E11" s="53">
        <v>9.1717699999999999E-2</v>
      </c>
      <c r="F11" s="53">
        <v>7.97157E-2</v>
      </c>
      <c r="G11" s="53">
        <v>6.3665299999999994E-2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0.74456066350000005</v>
      </c>
      <c r="D14" s="54">
        <v>0.75094963539799986</v>
      </c>
      <c r="E14" s="54">
        <v>0.75094963539799986</v>
      </c>
      <c r="F14" s="54">
        <v>0.61297553806000005</v>
      </c>
      <c r="G14" s="54">
        <v>0.61297553806000005</v>
      </c>
      <c r="H14" s="45">
        <v>0.501</v>
      </c>
      <c r="I14" s="55">
        <v>0.501</v>
      </c>
      <c r="J14" s="55">
        <v>0.501</v>
      </c>
      <c r="K14" s="55">
        <v>0.501</v>
      </c>
      <c r="L14" s="45">
        <v>0.51500000000000001</v>
      </c>
      <c r="M14" s="55">
        <v>0.51500000000000001</v>
      </c>
      <c r="N14" s="55">
        <v>0.51500000000000001</v>
      </c>
      <c r="O14" s="55">
        <v>0.51500000000000001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0.33786897156502049</v>
      </c>
      <c r="D15" s="52">
        <f t="shared" si="0"/>
        <v>0.34076817839981055</v>
      </c>
      <c r="E15" s="52">
        <f t="shared" si="0"/>
        <v>0.34076817839981055</v>
      </c>
      <c r="F15" s="52">
        <f t="shared" si="0"/>
        <v>0.27815787858748098</v>
      </c>
      <c r="G15" s="52">
        <f t="shared" si="0"/>
        <v>0.27815787858748098</v>
      </c>
      <c r="H15" s="52">
        <f t="shared" si="0"/>
        <v>0.22734528300000001</v>
      </c>
      <c r="I15" s="52">
        <f t="shared" si="0"/>
        <v>0.22734528300000001</v>
      </c>
      <c r="J15" s="52">
        <f t="shared" si="0"/>
        <v>0.22734528300000001</v>
      </c>
      <c r="K15" s="52">
        <f t="shared" si="0"/>
        <v>0.22734528300000001</v>
      </c>
      <c r="L15" s="52">
        <f t="shared" si="0"/>
        <v>0.233698245</v>
      </c>
      <c r="M15" s="52">
        <f t="shared" si="0"/>
        <v>0.233698245</v>
      </c>
      <c r="N15" s="52">
        <f t="shared" si="0"/>
        <v>0.233698245</v>
      </c>
      <c r="O15" s="52">
        <f t="shared" si="0"/>
        <v>0.233698245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LH2GTH0QOrfgG0fb1746ULEDsBZ85ji+QqoVIK3fOSyAJSmsWGxTy8SFD2xhPs1MT9pdNWzfvnTyHxczm3b0rQ==" saltValue="reVzZKShMVrULiE0s3rt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0.75669140000000001</v>
      </c>
      <c r="D2" s="53">
        <v>0.60997190000000001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5.1763399999999987E-2</v>
      </c>
      <c r="D3" s="53">
        <v>0.13076309999999999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0.14136029999999999</v>
      </c>
      <c r="D4" s="53">
        <v>0.2100186</v>
      </c>
      <c r="E4" s="53">
        <v>0.92946989999999996</v>
      </c>
      <c r="F4" s="53">
        <v>0.80184809999999995</v>
      </c>
      <c r="G4" s="53">
        <v>0</v>
      </c>
    </row>
    <row r="5" spans="1:7" x14ac:dyDescent="0.25">
      <c r="B5" s="3" t="s">
        <v>132</v>
      </c>
      <c r="C5" s="52">
        <v>5.0184800000000002E-2</v>
      </c>
      <c r="D5" s="52">
        <v>4.9246299999999993E-2</v>
      </c>
      <c r="E5" s="52">
        <f>1-SUM(E2:E4)</f>
        <v>7.053010000000004E-2</v>
      </c>
      <c r="F5" s="52">
        <f>1-SUM(F2:F4)</f>
        <v>0.19815190000000005</v>
      </c>
      <c r="G5" s="52">
        <f>1-SUM(G2:G4)</f>
        <v>1</v>
      </c>
    </row>
  </sheetData>
  <sheetProtection algorithmName="SHA-512" hashValue="1XEPhowKBRHskjGERPDkuxMYy6h2k/7JeC2TAe+dbEUzptmnYDVlkOb+/ZKABttJ7Ydy6zAw3BJ4eWNlCq92jA==" saltValue="sQ0ONHKpJ47g1vNzydKgJ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khW774XOZl/ywYmNRZEG+D7YpJooSyDyGOoYoMT+HkdynSAAwl2sKOk9dN/W8i+Ef/Ii7jj6MWu3u5iJdkt2Aw==" saltValue="vaeFcM8oZZ0/konJnvp3D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7cUPQ4CGasyokIbHqkEuwiLpXPhNjlXmMUTYWAZFjmja2tlDpnpocl2BZhyj6kIkuSdUS+v0msnJTEXC4OFNhw==" saltValue="Ql2uODdWAWBU9qFV1sV5H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x8X0QH6bCui3ieif8QIdWzCnt75/GlmMA3Kqnd2kv+9Csj1P8nJ7OeujjsvAJusUFMyMeMNDA9ogYYWxF0jM1g==" saltValue="u85Q6GusDSgW7mtTQhOKx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c+6SfW06iklLhGDD/y8zz+zL43ogBM4kqALC5gGq5ahFuFrHmwrrSD/iKjnljMylW5VYd7mNEu3rCxA0N2hL8A==" saltValue="OxISEaJIf5RDBgV8rI2Q/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42.501437539526727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0.21051879924386699</v>
      </c>
      <c r="C3" s="98">
        <v>0.95</v>
      </c>
      <c r="D3" s="56">
        <v>39.532089276751883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170.9591808116555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1.549491731967531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0.52523580000000003</v>
      </c>
      <c r="C10" s="98">
        <v>0.95</v>
      </c>
      <c r="D10" s="56">
        <v>12.664388720547789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0.52523580000000003</v>
      </c>
      <c r="C11" s="98">
        <v>0.95</v>
      </c>
      <c r="D11" s="56">
        <v>12.664388720547789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0.52523580000000003</v>
      </c>
      <c r="C12" s="98">
        <v>0.95</v>
      </c>
      <c r="D12" s="56">
        <v>12.664388720547789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0.52523580000000003</v>
      </c>
      <c r="C13" s="98">
        <v>0.95</v>
      </c>
      <c r="D13" s="56">
        <v>12.664388720547789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0.52523580000000003</v>
      </c>
      <c r="C14" s="98">
        <v>0.95</v>
      </c>
      <c r="D14" s="56">
        <v>12.664388720547789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0.52523580000000003</v>
      </c>
      <c r="C15" s="98">
        <v>0.95</v>
      </c>
      <c r="D15" s="56">
        <v>12.664388720547789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0.93</v>
      </c>
      <c r="C16" s="98">
        <v>0.95</v>
      </c>
      <c r="D16" s="56">
        <v>0.37115452044313663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2.6852323958333302E-3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0.12731009532000001</v>
      </c>
      <c r="C18" s="98">
        <v>0.95</v>
      </c>
      <c r="D18" s="56">
        <v>4.0144932296368099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0.78388559999999996</v>
      </c>
      <c r="C19" s="98">
        <v>0.95</v>
      </c>
      <c r="D19" s="56">
        <v>4.0144932296368099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0.44826470000000002</v>
      </c>
      <c r="C21" s="98">
        <v>0.95</v>
      </c>
      <c r="D21" s="56">
        <v>11.931837010261511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21.672337451693281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4.0619684601961064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0.845367365401128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0.52523580000000003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18.225977519614752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0.662951613598872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78.207761686108483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0.54</v>
      </c>
      <c r="C31" s="98">
        <v>0.95</v>
      </c>
      <c r="D31" s="56">
        <v>5.5168582768474046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0.76115541772848727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0.54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0.23551420000000001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0.60628720000000003</v>
      </c>
      <c r="C38" s="98">
        <v>0.95</v>
      </c>
      <c r="D38" s="56">
        <v>1.5696029987704641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6u+sZt3g3tNfxkd2s9EXYQ2wltuZHPEKeqmEjQhfpuWACKXl1VdTcVIdaYjnZRPRXP4CpJQJzNeQ3cBnCBMF1A==" saltValue="Bos9+wzCG84kWSIvISuz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1Ifyo1EEZXpl6IvaKeV7Q+NcbIXDpcWvda5vujCPKPTKmdRCRMCvceIm6MuWFsN5VQrhtL3WwKnG6RhaPOfI4A==" saltValue="Dz02bJCR/IexF3FYFW8Mj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esfOX96cZ3Ydys19iPWN18by4a09ApGuKYCSYYG7gi97xK4JJvucqPFTA12fwNMg8D5bWdUj38N8GBT1sB1f+Q==" saltValue="/x4EALHwjz4vcleFmbIvN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2.4</v>
      </c>
      <c r="C2" s="21">
        <f>'Données pop de l''année de ref'!C52</f>
        <v>2.4</v>
      </c>
      <c r="D2" s="21">
        <f>'Données pop de l''année de ref'!C53</f>
        <v>2.4</v>
      </c>
      <c r="E2" s="21">
        <f>'Données pop de l''année de ref'!C54</f>
        <v>2.4</v>
      </c>
      <c r="F2" s="21">
        <f>'Données pop de l''année de ref'!C55</f>
        <v>2.4</v>
      </c>
    </row>
    <row r="3" spans="1:6" ht="15.75" customHeight="1" x14ac:dyDescent="0.25">
      <c r="A3" s="3" t="s">
        <v>209</v>
      </c>
      <c r="B3" s="21">
        <f>frac_mam_1month * 2.6</f>
        <v>0.35685520000000004</v>
      </c>
      <c r="C3" s="21">
        <f>frac_mam_1_5months * 2.6</f>
        <v>0.35685520000000004</v>
      </c>
      <c r="D3" s="21">
        <f>frac_mam_6_11months * 2.6</f>
        <v>0.34967270000000006</v>
      </c>
      <c r="E3" s="21">
        <f>frac_mam_12_23months * 2.6</f>
        <v>0.28683069999999999</v>
      </c>
      <c r="F3" s="21">
        <f>frac_mam_24_59months * 2.6</f>
        <v>0.27393262000000002</v>
      </c>
    </row>
    <row r="4" spans="1:6" ht="15.75" customHeight="1" x14ac:dyDescent="0.25">
      <c r="A4" s="3" t="s">
        <v>208</v>
      </c>
      <c r="B4" s="21">
        <f>frac_sam_1month * 2.6</f>
        <v>0.32582940000000005</v>
      </c>
      <c r="C4" s="21">
        <f>frac_sam_1_5months * 2.6</f>
        <v>0.32582940000000005</v>
      </c>
      <c r="D4" s="21">
        <f>frac_sam_6_11months * 2.6</f>
        <v>0.23846602</v>
      </c>
      <c r="E4" s="21">
        <f>frac_sam_12_23months * 2.6</f>
        <v>0.20726082000000001</v>
      </c>
      <c r="F4" s="21">
        <f>frac_sam_24_59months * 2.6</f>
        <v>0.16552977999999999</v>
      </c>
    </row>
  </sheetData>
  <sheetProtection algorithmName="SHA-512" hashValue="LzqUmUy0sAKj8tKjQGwyv45Gw0sZH9p2zQex1ROCoK+3TAE+rURGsmaDc2RhJBo3kzICG3/KeEV/LMFTuJRzlg==" saltValue="pXd67uB8bkbPxceXkkHmz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0.21199999999999999</v>
      </c>
      <c r="E2" s="60">
        <f>food_insecure</f>
        <v>0.21199999999999999</v>
      </c>
      <c r="F2" s="60">
        <f>food_insecure</f>
        <v>0.21199999999999999</v>
      </c>
      <c r="G2" s="60">
        <f>food_insecure</f>
        <v>0.21199999999999999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0.21199999999999999</v>
      </c>
      <c r="F5" s="60">
        <f>food_insecure</f>
        <v>0.21199999999999999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0.21199999999999999</v>
      </c>
      <c r="F8" s="60">
        <f>food_insecure</f>
        <v>0.21199999999999999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0.21199999999999999</v>
      </c>
      <c r="F9" s="60">
        <f>food_insecure</f>
        <v>0.21199999999999999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0.21199999999999999</v>
      </c>
      <c r="I15" s="60">
        <f>food_insecure</f>
        <v>0.21199999999999999</v>
      </c>
      <c r="J15" s="60">
        <f>food_insecure</f>
        <v>0.21199999999999999</v>
      </c>
      <c r="K15" s="60">
        <f>food_insecure</f>
        <v>0.21199999999999999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0.1323</v>
      </c>
      <c r="I19" s="60">
        <f>frac_malaria_risk</f>
        <v>0.1323</v>
      </c>
      <c r="J19" s="60">
        <f>frac_malaria_risk</f>
        <v>0.1323</v>
      </c>
      <c r="K19" s="60">
        <f>frac_malaria_risk</f>
        <v>0.1323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0.28000000000000003</v>
      </c>
      <c r="M24" s="60">
        <f>famplan_unmet_need</f>
        <v>0.28000000000000003</v>
      </c>
      <c r="N24" s="60">
        <f>famplan_unmet_need</f>
        <v>0.28000000000000003</v>
      </c>
      <c r="O24" s="60">
        <f>famplan_unmet_need</f>
        <v>0.28000000000000003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0.20208491186218289</v>
      </c>
      <c r="M25" s="60">
        <f>(1-food_insecure)*(0.49)+food_insecure*(0.7)</f>
        <v>0.53452</v>
      </c>
      <c r="N25" s="60">
        <f>(1-food_insecure)*(0.49)+food_insecure*(0.7)</f>
        <v>0.53452</v>
      </c>
      <c r="O25" s="60">
        <f>(1-food_insecure)*(0.49)+food_insecure*(0.7)</f>
        <v>0.53452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8.6607819369506941E-2</v>
      </c>
      <c r="M26" s="60">
        <f>(1-food_insecure)*(0.21)+food_insecure*(0.3)</f>
        <v>0.22907999999999998</v>
      </c>
      <c r="N26" s="60">
        <f>(1-food_insecure)*(0.21)+food_insecure*(0.3)</f>
        <v>0.22907999999999998</v>
      </c>
      <c r="O26" s="60">
        <f>(1-food_insecure)*(0.21)+food_insecure*(0.3)</f>
        <v>0.22907999999999998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8.9375277191162228E-2</v>
      </c>
      <c r="M27" s="60">
        <f>(1-food_insecure)*(0.3)</f>
        <v>0.2364</v>
      </c>
      <c r="N27" s="60">
        <f>(1-food_insecure)*(0.3)</f>
        <v>0.2364</v>
      </c>
      <c r="O27" s="60">
        <f>(1-food_insecure)*(0.3)</f>
        <v>0.2364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0.62193199157714796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0.1323</v>
      </c>
      <c r="D34" s="60">
        <f t="shared" si="3"/>
        <v>0.1323</v>
      </c>
      <c r="E34" s="60">
        <f t="shared" si="3"/>
        <v>0.1323</v>
      </c>
      <c r="F34" s="60">
        <f t="shared" si="3"/>
        <v>0.1323</v>
      </c>
      <c r="G34" s="60">
        <f t="shared" si="3"/>
        <v>0.1323</v>
      </c>
      <c r="H34" s="60">
        <f t="shared" si="3"/>
        <v>0.1323</v>
      </c>
      <c r="I34" s="60">
        <f t="shared" si="3"/>
        <v>0.1323</v>
      </c>
      <c r="J34" s="60">
        <f t="shared" si="3"/>
        <v>0.1323</v>
      </c>
      <c r="K34" s="60">
        <f t="shared" si="3"/>
        <v>0.1323</v>
      </c>
      <c r="L34" s="60">
        <f t="shared" si="3"/>
        <v>0.1323</v>
      </c>
      <c r="M34" s="60">
        <f t="shared" si="3"/>
        <v>0.1323</v>
      </c>
      <c r="N34" s="60">
        <f t="shared" si="3"/>
        <v>0.1323</v>
      </c>
      <c r="O34" s="60">
        <f t="shared" si="3"/>
        <v>0.1323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6P3sp1LqookuuJYAKAmeg+KrCQ9JZGWJezjcGitrb9T0S323VMsmGLUboCErz/zWqzgSvVW6DalCHQzrtFa2sg==" saltValue="JMHl53ZxJZ/PEcOPurI0i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AtSgbz89JDH0hQHfhW+Je0SDdktsuauSetOc+RmSqZRiTwXSVHZy+zNOA/eZPgXKipNAoupQYfjyui4leXJ5qQ==" saltValue="xiWXq7zK00LND8PLpSkXv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MnJp+r0b8+Z4XRK1sVZsb6mXjWax2Z6hW6CZTS9I0cRirHJgVvjYgg7eiC/1FHCRw5rnBO7l5S4l11cs38TpoQ==" saltValue="E0+ckizHv+H8+LbEiwcZ+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rb9mddVo89cQ73KBiSw5Pr8rXZyoVpGQqo0pOGzD/GNfb1B3pJ0sl+jIGAr2kYiz8bQbZpkvJaPGABmkPEw64Q==" saltValue="No1ZPlLUg8h6DQdQVjYlm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KKWh3HgM5tp3sGNZzyJyaCo+Az38DchkVOx3JohU5W+aHXmtLiBBtbr7CYprhPyGCFTLR9+T0WKNjBnPMaddhw==" saltValue="h9cER+b50Sof5sb2zLCSI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23gA3fLSXY+vuzNteXFHFPFaRYd2+oFllgvI/jPVAK1Ck0Sg3A0J04ZJFmvo2xjQrlp8eeqO5/7N9RlcWeXhfA==" saltValue="lXrBcjD730eiFgOK23A7f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0bXoh2YVe67x91qQyvuiLy3/WDp9rANjSwiMSCXUBFaKxgSqclzKC2Cg1e3XvPGd0WGTeYoIUo84mDkkDbeWEw==" saltValue="CaVUXTmspr6ITzlORbAJT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yH7EDFsLdZ19R84w3Nkq3brrBzxp1atJbr/k1WbZVHYH3LBpeP9A5M7v2UZaPKXrasNAvemmIFjNML7D6xOzww==" saltValue="G8jRO1J5mpDIxAg/Q5pP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6fBT/80I3xNOfzmlJZq3D9iyhSD3dvB/meHOrIgrk98VvVmKAfDQOplqNEsciG/o8pbXdjmes3wdrro+3UpMgA==" saltValue="3+Vtc9k0nEK2MYswoN6y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FGtrNrl09GDlyVR0WjEjq1jRuowxrDR1Gd1PxfSWBsKiH5GeCzeMMDiqYSDR9OB5e8xXbcFY0n5QXWIRt17OVQ==" saltValue="c2hkE7STuGUh6CT5LDs/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tPvTZSeQvNC0pcpgqulBktgEzKHiefirS5RaqaAMxSDL+vDxWYu9twgSPD6D2rQQQGPJK+Rc7r7/o8Kehd6SbA==" saltValue="8PjvSyKde+1Z1oK7vB4Y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T7PxaKoqKTPXYla99lJ9pQ+2Iy8rscHAIrsOpwu6rVHa8A4iZvnag9lRXWJ65BGs9IdhVpBWTOHu+OAlHRVMA==" saltValue="nezOwMzr0c8LxzWwLPTi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rHWaVjBU/midHRTU4PEPH3/DeAeKvcn7cR7W1kC4iOTIiie3ZSc4kl85X9ZugGgw3r1JYrmgl2u0nn7wjrBuOw==" saltValue="VkVOG6EBOtspTRNI5UwQM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zxJ2nR/mfBcvbDWzn1GMZDoZLNbpJXnn5wNpj+L6jGn6WaSd3dOB7kcFrtG3I94NyZQD06AINsD7C/KuBe2U8w==" saltValue="pJ03fDlGD9nL/+WSP+i4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pqqkDX2Fan/9ACG98xfwNOPl3d6W3oXzhqSyzJDH0KLoM6Yr1UfuyUeBuP2jxWuPlNH7a0POUJHsUZPQrsfVbA==" saltValue="alJpD3Akdpu/3nzAMgufT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2024-05-17T00:30:39Z</dcterms:modified>
</cp:coreProperties>
</file>